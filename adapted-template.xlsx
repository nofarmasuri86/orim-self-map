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הסבר" state="visible" r:id="rId4"/>
    <sheet sheetId="2" name="רווחה - קליטה" state="visible" r:id="rId5"/>
    <sheet sheetId="3" name="זה אני - קליטה" state="visible" r:id="rId6"/>
    <sheet sheetId="4" name="רווחה - מעקב" state="visible" r:id="rId7"/>
    <sheet sheetId="5" name="זה אני - מעקב" state="visible" r:id="rId8"/>
    <sheet sheetId="6" name="סיכום כיתתי" state="visible" r:id="rId9"/>
  </sheets>
  <calcPr calcId="171027"/>
</workbook>
</file>

<file path=xl/sharedStrings.xml><?xml version="1.0" encoding="utf-8"?>
<sst xmlns="http://schemas.openxmlformats.org/spreadsheetml/2006/main" count="242" uniqueCount="149">
  <si>
    <t>מיפוי מותאם – קליטה וניתוח</t>
  </si>
  <si>
    <t>בית ספר אורים · שאלונים לתלמידים בתפקוד סיעודי</t>
  </si>
  <si>
    <t>איך עובדים עם הקובץ</t>
  </si>
  <si>
    <t>1. מה ממלאים</t>
  </si>
  <si>
    <t>רק את התאים הצהובים. התאים האפורים מחשבים לבד, לא כותבים בהם.</t>
  </si>
  <si>
    <t>2. שורה אחת לכל מילוי</t>
  </si>
  <si>
    <t>כל פעם שתלמיד/ה ממלא/ת שאלון, מוסיפים שורה בגיליון הקליטה המתאים. שלושה מועדים = שלוש שורות.</t>
  </si>
  <si>
    <t>3. רשימות נפתחות</t>
  </si>
  <si>
    <t>ברוב העמודות בוחרים מרשימה: כן / לא / לא ענה, ובתצפית 3 = הרבה, 2 = לפעמים, 1 = כמעט לא.</t>
  </si>
  <si>
    <t>4. שורת הדוגמה</t>
  </si>
  <si>
    <t>השורה הראשונה בכל גיליון קליטה היא דוגמה (״תלמיד לדוגמה״). מוחקים אותה לפני שמתחילים.</t>
  </si>
  <si>
    <t>5. גיליונות המעקב</t>
  </si>
  <si>
    <t>כותבים את שמות התלמידים בעמודה הצהובה. הנתונים לכל מועד מתמלאים לבד, לפי השם המדויק.</t>
  </si>
  <si>
    <t>6. סיכום כיתתי</t>
  </si>
  <si>
    <t>כותבים את שמות הכיתות, והממוצעים לכל מועד מתמלאים לבד.</t>
  </si>
  <si>
    <t>מה כל מדד אומר</t>
  </si>
  <si>
    <t>מדד תצפית (1–3)</t>
  </si>
  <si>
    <t>ממוצע 9 שאלות התצפית של הצוות. זה המדד המרכזי לרווחה ולהשתתפות. 3 = רואים את זה הרבה.</t>
  </si>
  <si>
    <t>תשובות התלמיד/ה (%)</t>
  </si>
  <si>
    <t>כמה ״כן״ מתוך השאלות שהתלמיד/ה ענה/תה עליהן. מבטא איך התלמיד/ה מרגיש/ה עכשיו, לא דימוי עצמי.</t>
  </si>
  <si>
    <t>התאמה בחימום</t>
  </si>
  <si>
    <t>האם התלמיד/ה ענה/תה על שאלות החימום כמו שהצוות ציפה. ״תואם״ = אפשר לסמוך יותר על התשובות.</t>
  </si>
  <si>
    <t>אמינות המילוי</t>
  </si>
  <si>
    <t>״אמין״ אם החימום תואם וההבנה לא סומנה ״לא ברור״. בסוף השנה כדאי לנתח בנפרד רק מילויים אמינים.</t>
  </si>
  <si>
    <t>שינוי בתצפית</t>
  </si>
  <si>
    <t>ההפרש בין סוף שנה לתחילת שנה. שינוי של חצי נקודה ומעלה (על סולם 1–3) הוא כלל אצבע לשינוי שכדאי לשים לב אליו, לא סף סטטיסטי.</t>
  </si>
  <si>
    <t>זיהוי עצמי (״זה אני״)</t>
  </si>
  <si>
    <t>מלא = בחר/ה בתמונה של עצמו/ה, ענה/תה ״כן״ על התמונה שלו/ה ו״לא״ על התמונה האחרת.</t>
  </si>
  <si>
    <t>דיוק ״אני יכול/ה״</t>
  </si>
  <si>
    <t>כמה מהתשובות של התלמיד/ה תואמות את מה שהצוות רואה. ״חלקית״ נספרת כחצי.</t>
  </si>
  <si>
    <t>הערכת יתר / חסר</t>
  </si>
  <si>
    <t>יתר = אמר/ה ״כן״ והצוות סימן ״לא״. חסר = אמר/ה ״לא״ והצוות סימן ״כן״.</t>
  </si>
  <si>
    <t>רמה שהושגה (0–3)</t>
  </si>
  <si>
    <t>0 = עדיין אין זיהוי עצמי מלא · 1 = זיהוי עצמי · 2 = גם דיוק של 60% ומעלה ב״אני יכול/ה״ · 3 = גם ״כן״ על לפחות 2 שאלות גאווה ושייכות ותצפית גאווה 2 ומעלה.</t>
  </si>
  <si>
    <t>הערה</t>
  </si>
  <si>
    <t>הספים (חצי נקודה, 60%) נקבעו לשנה הראשונה כנקודת פתיחה סבירה. אפשר לשנות אותם אחרי שיהיו נתונים מסוף השנה.</t>
  </si>
  <si>
    <t>מקרא צבעים</t>
  </si>
  <si>
    <t>למילוי</t>
  </si>
  <si>
    <t>תא שממלאים</t>
  </si>
  <si>
    <t>מחושב</t>
  </si>
  <si>
    <t>נוסחה, לא לגעת</t>
  </si>
  <si>
    <t>מיפוי רווחה והשתתפות – קליטה</t>
  </si>
  <si>
    <t>שורה לכל מילוי. ממלאים רק תאים צהובים. השורה הראשונה היא דוגמה, מוחקים אותה.</t>
  </si>
  <si>
    <t>פרטי המילוי</t>
  </si>
  <si>
    <t>חימום</t>
  </si>
  <si>
    <t>תשובות התלמיד/ה</t>
  </si>
  <si>
    <t>תצפית הצוות (3 = הרבה · 2 = לפעמים · 1 = כמעט לא)</t>
  </si>
  <si>
    <t>חישובים אוטומטיים</t>
  </si>
  <si>
    <t>שם התלמיד/ה</t>
  </si>
  <si>
    <t>כיתה</t>
  </si>
  <si>
    <t>מועד</t>
  </si>
  <si>
    <t>תאריך</t>
  </si>
  <si>
    <t>ממלא/ת</t>
  </si>
  <si>
    <t>אופן תשובה</t>
  </si>
  <si>
    <t>הבנת השאלות</t>
  </si>
  <si>
    <t>מוזיקה – צפוי</t>
  </si>
  <si>
    <t>מוזיקה – תשובה</t>
  </si>
  <si>
    <t>בועות – צפוי</t>
  </si>
  <si>
    <t>בועות – תשובה</t>
  </si>
  <si>
    <t>להיות עם הילדים</t>
  </si>
  <si>
    <t>שמח/ה כשמדברים איתי</t>
  </si>
  <si>
    <t>אוהב/ת את הפעילויות</t>
  </si>
  <si>
    <t>אוהב/ת לשחק ולנסות</t>
  </si>
  <si>
    <t>רגוע ונעים לי</t>
  </si>
  <si>
    <t>אוהב/ת לבחור בעצמי</t>
  </si>
  <si>
    <t>אוהב/ת לעזור ולהשתתף</t>
  </si>
  <si>
    <t>המבוגרים נחמדים</t>
  </si>
  <si>
    <t>אוהב/ת להגיע</t>
  </si>
  <si>
    <t>מגיב/ה לקרבה</t>
  </si>
  <si>
    <t>יוזם/ת קשר</t>
  </si>
  <si>
    <t>מתעניין/ת בפעילות</t>
  </si>
  <si>
    <t>מעורב/ת לאורך זמן</t>
  </si>
  <si>
    <t>רגוע/ה ונינוח/ה</t>
  </si>
  <si>
    <t>מביע/ה אי־נוחות מובנת</t>
  </si>
  <si>
    <t>מביע/ה בחירה</t>
  </si>
  <si>
    <t>משתתף/ת ביומיום</t>
  </si>
  <si>
    <t>שמח/ה בבוקר</t>
  </si>
  <si>
    <t>הערות</t>
  </si>
  <si>
    <t>מפתח</t>
  </si>
  <si>
    <t>חברתי – תלמיד</t>
  </si>
  <si>
    <t>למידה – תלמיד</t>
  </si>
  <si>
    <t>רגשי – תלמיד</t>
  </si>
  <si>
    <t>השתתפות – תלמיד</t>
  </si>
  <si>
    <t>בית הספר – תלמיד</t>
  </si>
  <si>
    <t>תלמיד – סה״כ ״כן״</t>
  </si>
  <si>
    <t>תצפית חברתי</t>
  </si>
  <si>
    <t>תצפית למידה</t>
  </si>
  <si>
    <t>תצפית רגשי</t>
  </si>
  <si>
    <t>תצפית השתתפות</t>
  </si>
  <si>
    <t>תצפית אקלים</t>
  </si>
  <si>
    <t>מדד תצפית כולל</t>
  </si>
  <si>
    <t>תלמיד לדוגמה</t>
  </si>
  <si>
    <t>כיתה לדוגמה</t>
  </si>
  <si>
    <t>תחילת שנה</t>
  </si>
  <si>
    <t>11/11/2026</t>
  </si>
  <si>
    <t>נופר</t>
  </si>
  <si>
    <t>מבט</t>
  </si>
  <si>
    <t>הבין/ה</t>
  </si>
  <si>
    <t>כן</t>
  </si>
  <si>
    <t>לא</t>
  </si>
  <si>
    <t>לא ענה</t>
  </si>
  <si>
    <t>דוגמה – למחוק</t>
  </si>
  <si>
    <t>״זה אני״ – קליטה</t>
  </si>
  <si>
    <t>זיהוי עצמי</t>
  </si>
  <si>
    <t>אני יכול/ה – תשובת התלמיד/ה</t>
  </si>
  <si>
    <t>האם זה נכון? – בדיקת הצוות</t>
  </si>
  <si>
    <t>גאווה ושייכות</t>
  </si>
  <si>
    <t>איפה אני? (בחירת תמונה)</t>
  </si>
  <si>
    <t>זה אני? (התמונה שלו/ה)</t>
  </si>
  <si>
    <t>זה אני? (תמונה אחרת)</t>
  </si>
  <si>
    <t>תלמיד/ה: להגיד שלום</t>
  </si>
  <si>
    <t>תלמיד/ה: לבחור מה אני רוצה</t>
  </si>
  <si>
    <t>תלמיד/ה: להפעיל מתג או מסך</t>
  </si>
  <si>
    <t>תלמיד/ה: לעזור באוכל או בלבוש</t>
  </si>
  <si>
    <t>תלמיד/ה: להראות שאני שמח/ה</t>
  </si>
  <si>
    <t>צוות: להגיד שלום</t>
  </si>
  <si>
    <t>צוות: לבחור מה אני רוצה</t>
  </si>
  <si>
    <t>צוות: להפעיל מתג או מסך</t>
  </si>
  <si>
    <t>צוות: לעזור באוכל או בלבוש</t>
  </si>
  <si>
    <t>צוות: להראות שאני שמח/ה</t>
  </si>
  <si>
    <t>את זה אני עשיתי</t>
  </si>
  <si>
    <t>זה יפה</t>
  </si>
  <si>
    <t>זו הכיתה שלי</t>
  </si>
  <si>
    <t>תצפית: מראה גאווה (3/2/1)</t>
  </si>
  <si>
    <t>״אני יכול/ה״ – כן</t>
  </si>
  <si>
    <t>הערכת יתר</t>
  </si>
  <si>
    <t>הערכת חסר</t>
  </si>
  <si>
    <t>גאווה ושייכות – כן</t>
  </si>
  <si>
    <t>מגע או לחיצה</t>
  </si>
  <si>
    <t>חלקית</t>
  </si>
  <si>
    <t>בחר/ה בעצמו/ה</t>
  </si>
  <si>
    <t>רווחה והשתתפות – מעקב לאורך השנה</t>
  </si>
  <si>
    <t>כותבים שם תלמיד/ה בעמודה הצהובה, בדיוק כמו בגיליון הקליטה. השאר מתמלא לבד. השינוי מחושב על מדד התצפית.</t>
  </si>
  <si>
    <t>אמצע שנה</t>
  </si>
  <si>
    <t>סוף שנה</t>
  </si>
  <si>
    <t>שינוי לאורך השנה</t>
  </si>
  <si>
    <t>תלמיד/ה – ״כן״</t>
  </si>
  <si>
    <t>אמינות</t>
  </si>
  <si>
    <t>שינוי: סוף מול תחילת שנה</t>
  </si>
  <si>
    <t>מגמה</t>
  </si>
  <si>
    <t>״זה אני״ – מעקב לאורך השנה</t>
  </si>
  <si>
    <t>כותבים שם תלמיד/ה בעמודה הצהובה, בדיוק כמו בגיליון הקליטה. השינוי מחושב על הרמה שהושגה (0–3).</t>
  </si>
  <si>
    <t>רמה (0–3)</t>
  </si>
  <si>
    <t>סיכום כיתתי</t>
  </si>
  <si>
    <t>כותבים שם כיתה בעמודה הצהובה, בדיוק כמו בגיליונות הקליטה. הממוצעים מתמלאים לבד.</t>
  </si>
  <si>
    <t>מילויי רווחה</t>
  </si>
  <si>
    <t>מילויים אמינים</t>
  </si>
  <si>
    <t>מילויי ״זה אני״</t>
  </si>
  <si>
    <t>רמה ממוצעת (0–3)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</si>
</sst>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+0.0;-0.0;0"/>
  </numFmts>
  <fonts count="17" x14ac:knownFonts="1">
    <font>
      <color theme="1"/>
      <family val="2"/>
      <scheme val="minor"/>
      <sz val="11"/>
      <name val="Calibri"/>
    </font>
    <font>
      <b/>
      <charset val="1"/>
      <color rgb="FF1E2A4F"/>
      <sz val="16"/>
      <name val="Arial"/>
    </font>
    <font>
      <charset val="1"/>
      <sz val="10"/>
      <name val="Arial"/>
    </font>
    <font>
      <charset val="1"/>
      <color rgb="FF56607E"/>
      <sz val="10"/>
      <name val="Arial"/>
    </font>
    <font>
      <b/>
      <charset val="1"/>
      <color rgb="FF1E2A4F"/>
      <sz val="10"/>
      <name val="Arial"/>
    </font>
    <font>
      <b/>
      <charset val="1"/>
      <color rgb="FF24448F"/>
      <sz val="12"/>
      <name val="Arial"/>
    </font>
    <font>
      <b/>
      <charset val="1"/>
      <color rgb="FF1E2A4F"/>
      <sz val="11"/>
      <name val="Arial"/>
    </font>
    <font>
      <b/>
      <charset val="1"/>
      <color rgb="FF5B6584"/>
      <sz val="11"/>
      <name val="Arial"/>
    </font>
    <font>
      <b/>
      <charset val="1"/>
      <color rgb="FF24448F"/>
      <sz val="11"/>
      <name val="Arial"/>
    </font>
    <font>
      <b/>
      <charset val="1"/>
      <color rgb="FF17775A"/>
      <sz val="11"/>
      <name val="Arial"/>
    </font>
    <font>
      <b/>
      <charset val="1"/>
      <color rgb="FF3A4466"/>
      <sz val="11"/>
      <name val="Arial"/>
    </font>
    <font>
      <b/>
      <charset val="1"/>
      <color rgb="FFFFFFFF"/>
      <sz val="10"/>
      <name val="Arial"/>
    </font>
    <font>
      <i/>
      <charset val="1"/>
      <color rgb="FF7A5B00"/>
      <sz val="10"/>
      <name val="Arial"/>
    </font>
    <font>
      <b/>
      <charset val="1"/>
      <color rgb="FFB4541A"/>
      <sz val="11"/>
      <name val="Arial"/>
    </font>
    <font>
      <b/>
      <charset val="1"/>
      <color rgb="FF0F5E4A"/>
      <sz val="11"/>
      <name val="Arial"/>
    </font>
    <font>
      <b/>
      <charset val="1"/>
      <color rgb="FFC2295A"/>
      <sz val="11"/>
      <name val="Arial"/>
    </font>
    <font>
      <b/>
      <charset val="1"/>
      <color rgb="FF5B3FB8"/>
      <sz val="11"/>
      <name val="Arial"/>
    </font>
  </fonts>
  <fills count="14">
    <fill>
      <patternFill patternType="none"/>
    </fill>
    <fill>
      <patternFill patternType="gray125"/>
    </fill>
    <fill>
      <patternFill patternType="solid">
        <fgColor rgb="FFFFF7D1"/>
        <bgColor rgb="FFEEF2F8"/>
      </patternFill>
    </fill>
    <fill>
      <patternFill patternType="solid">
        <fgColor rgb="FFEEF2F8"/>
        <bgColor rgb="FFFFFFFF"/>
      </patternFill>
    </fill>
    <fill>
      <patternFill patternType="solid">
        <fgColor rgb="FF1E2A4F"/>
        <bgColor rgb="FF3A4466"/>
      </patternFill>
    </fill>
    <fill>
      <patternFill patternType="solid">
        <fgColor rgb="FF5B6584"/>
        <bgColor rgb="FF56607E"/>
      </patternFill>
    </fill>
    <fill>
      <patternFill patternType="solid">
        <fgColor rgb="FF24448F"/>
        <bgColor rgb="FF3A4466"/>
      </patternFill>
    </fill>
    <fill>
      <patternFill patternType="solid">
        <fgColor rgb="FF17775A"/>
        <bgColor rgb="FF0F5E4A"/>
      </patternFill>
    </fill>
    <fill>
      <patternFill patternType="solid">
        <fgColor rgb="FFC2295A"/>
        <bgColor rgb="FF9B1C24"/>
      </patternFill>
    </fill>
    <fill>
      <patternFill patternType="solid">
        <fgColor rgb="FF5B3FB8"/>
        <bgColor rgb="FF56607E"/>
      </patternFill>
    </fill>
    <fill>
      <patternFill patternType="solid">
        <fgColor rgb="FF13879A"/>
        <bgColor rgb="FF17775A"/>
      </patternFill>
    </fill>
    <fill>
      <patternFill patternType="solid">
        <fgColor rgb="FF3A4466"/>
        <bgColor rgb="FF24448F"/>
      </patternFill>
    </fill>
    <fill>
      <patternFill patternType="solid">
        <fgColor rgb="FFB4541A"/>
        <bgColor rgb="FF7A5B00"/>
      </patternFill>
    </fill>
    <fill>
      <patternFill patternType="solid">
        <fgColor rgb="FF0F5E4A"/>
        <bgColor rgb="FF17775A"/>
      </patternFill>
    </fill>
  </fills>
  <borders count="11">
    <border>
      <left/>
      <right/>
      <top/>
      <bottom/>
      <diagonal/>
    </border>
    <border>
      <left style="thin">
        <color rgb="FFC9D1E3"/>
      </left>
      <right style="thin">
        <color rgb="FFC9D1E3"/>
      </right>
      <top style="thin">
        <color rgb="FFC9D1E3"/>
      </top>
      <bottom style="thin">
        <color rgb="FFC9D1E3"/>
      </bottom>
      <diagonal/>
    </border>
    <border>
      <left/>
      <right/>
      <top/>
      <bottom style="medium">
        <color rgb="FF1E2A4F"/>
      </bottom>
      <diagonal/>
    </border>
    <border>
      <left/>
      <right/>
      <top/>
      <bottom style="medium">
        <color rgb="FF5B6584"/>
      </bottom>
      <diagonal/>
    </border>
    <border>
      <left/>
      <right/>
      <top/>
      <bottom style="medium">
        <color rgb="FF24448F"/>
      </bottom>
      <diagonal/>
    </border>
    <border>
      <left/>
      <right/>
      <top/>
      <bottom style="medium">
        <color rgb="FF17775A"/>
      </bottom>
      <diagonal/>
    </border>
    <border>
      <left/>
      <right/>
      <top/>
      <bottom style="medium">
        <color rgb="FF3A4466"/>
      </bottom>
      <diagonal/>
    </border>
    <border>
      <left/>
      <right/>
      <top/>
      <bottom style="medium">
        <color rgb="FFB4541A"/>
      </bottom>
      <diagonal/>
    </border>
    <border>
      <left/>
      <right/>
      <top/>
      <bottom style="medium">
        <color rgb="FF0F5E4A"/>
      </bottom>
      <diagonal/>
    </border>
    <border>
      <left/>
      <right/>
      <top/>
      <bottom style="medium">
        <color rgb="FFC2295A"/>
      </bottom>
      <diagonal/>
    </border>
    <border>
      <left/>
      <right/>
      <top/>
      <bottom style="medium">
        <color rgb="FF5B3FB8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bottom"/>
    </xf>
    <xf numFmtId="0" fontId="2" fillId="2" borderId="1" xfId="0" applyFont="1" applyFill="1" applyBorder="1" applyAlignment="1">
      <alignment vertical="bottom"/>
    </xf>
    <xf numFmtId="0" fontId="2" fillId="0" borderId="0" xfId="0" applyFont="1" applyAlignment="1">
      <alignment vertical="bottom"/>
    </xf>
    <xf numFmtId="0" fontId="2" fillId="3" borderId="1" xfId="0" applyFont="1" applyFill="1" applyBorder="1" applyAlignment="1">
      <alignment vertical="bottom"/>
    </xf>
    <xf numFmtId="0" fontId="1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6" fillId="0" borderId="2" xfId="0" applyFont="1" applyBorder="1" applyAlignment="1">
      <alignment horizontal="center" vertical="bottom"/>
    </xf>
    <xf numFmtId="0" fontId="7" fillId="0" borderId="3" xfId="0" applyFont="1" applyBorder="1" applyAlignment="1">
      <alignment horizontal="center" vertical="bottom"/>
    </xf>
    <xf numFmtId="0" fontId="8" fillId="0" borderId="4" xfId="0" applyFont="1" applyBorder="1" applyAlignment="1">
      <alignment horizontal="center" vertical="bottom"/>
    </xf>
    <xf numFmtId="0" fontId="9" fillId="0" borderId="5" xfId="0" applyFont="1" applyBorder="1" applyAlignment="1">
      <alignment horizontal="center" vertical="bottom"/>
    </xf>
    <xf numFmtId="0" fontId="10" fillId="0" borderId="6" xfId="0" applyFont="1" applyBorder="1" applyAlignment="1">
      <alignment horizontal="center" vertical="bottom"/>
    </xf>
    <xf numFmtId="0" fontId="11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bottom"/>
    </xf>
    <xf numFmtId="0" fontId="14" fillId="0" borderId="8" xfId="0" applyFont="1" applyBorder="1" applyAlignment="1">
      <alignment horizontal="center" vertical="bottom"/>
    </xf>
    <xf numFmtId="0" fontId="15" fillId="0" borderId="9" xfId="0" applyFont="1" applyBorder="1" applyAlignment="1">
      <alignment horizontal="center" vertical="bottom"/>
    </xf>
    <xf numFmtId="0" fontId="11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bottom"/>
    </xf>
    <xf numFmtId="165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ont>
        <b/>
        <charset val="1"/>
        <color rgb="FF9B1C24"/>
        <name val="Arial"/>
      </font>
      <fill>
        <patternFill>
          <bgColor rgb="FFFDE2E3"/>
        </patternFill>
      </fill>
    </dxf>
    <dxf>
      <fill>
        <patternFill>
          <bgColor rgb="FFFDE2E3"/>
        </patternFill>
      </fill>
    </dxf>
    <dxf>
      <font>
        <b/>
        <charset val="1"/>
        <color rgb="FF17775A"/>
        <name val="Arial"/>
      </font>
      <fill>
        <patternFill>
          <bgColor rgb="FFD2EFE1"/>
        </patternFill>
      </fill>
    </dxf>
    <dxf>
      <font>
        <b/>
        <charset val="1"/>
        <color rgb="FF9B1C24"/>
        <name val="Arial"/>
      </font>
      <fill>
        <patternFill>
          <bgColor rgb="FFFDE2E3"/>
        </patternFill>
      </fill>
    </dxf>
    <dxf>
      <font>
        <b/>
        <charset val="1"/>
        <color rgb="FF17775A"/>
        <name val="Arial"/>
      </font>
      <fill>
        <patternFill>
          <bgColor rgb="FFD2EFE1"/>
        </patternFill>
      </fill>
    </dxf>
    <dxf>
      <font>
        <b/>
        <charset val="1"/>
        <color rgb="FF9B1C24"/>
        <name val="Arial"/>
      </font>
      <fill>
        <patternFill>
          <bgColor rgb="FFFDE2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B705"/>
  </sheetPr>
  <dimension ref="A1:B28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0" customWidth="1"/>
    <col min="2" max="2" width="95" customWidth="1"/>
  </cols>
  <sheetData>
    <row r="1" ht="35.8" customHeight="1" spans="1:2" x14ac:dyDescent="0.25">
      <c r="A1" s="1" t="s">
        <v>0</v>
      </c>
      <c r="B1" s="2"/>
    </row>
    <row r="2" ht="23.85" customHeight="1" spans="1:2" x14ac:dyDescent="0.25">
      <c r="A2" s="3" t="s">
        <v>1</v>
      </c>
      <c r="B2" s="2"/>
    </row>
    <row r="3" ht="15" customHeight="1" spans="1:2" x14ac:dyDescent="0.25">
      <c r="A3" s="4"/>
      <c r="B3" s="2"/>
    </row>
    <row r="4" ht="15" customHeight="1" spans="1:2" x14ac:dyDescent="0.25">
      <c r="A4" s="5" t="s">
        <v>2</v>
      </c>
      <c r="B4" s="2"/>
    </row>
    <row r="5" ht="15" customHeight="1" spans="1:2" x14ac:dyDescent="0.25">
      <c r="A5" s="4" t="s">
        <v>3</v>
      </c>
      <c r="B5" s="2" t="s">
        <v>4</v>
      </c>
    </row>
    <row r="6" ht="15" customHeight="1" spans="1:2" x14ac:dyDescent="0.25">
      <c r="A6" s="4" t="s">
        <v>5</v>
      </c>
      <c r="B6" s="2" t="s">
        <v>6</v>
      </c>
    </row>
    <row r="7" ht="15" customHeight="1" spans="1:2" x14ac:dyDescent="0.25">
      <c r="A7" s="4" t="s">
        <v>7</v>
      </c>
      <c r="B7" s="2" t="s">
        <v>8</v>
      </c>
    </row>
    <row r="8" ht="15" customHeight="1" spans="1:2" x14ac:dyDescent="0.25">
      <c r="A8" s="4" t="s">
        <v>9</v>
      </c>
      <c r="B8" s="2" t="s">
        <v>10</v>
      </c>
    </row>
    <row r="9" ht="15" customHeight="1" spans="1:2" x14ac:dyDescent="0.25">
      <c r="A9" s="4" t="s">
        <v>11</v>
      </c>
      <c r="B9" s="2" t="s">
        <v>12</v>
      </c>
    </row>
    <row r="10" ht="15" customHeight="1" spans="1:2" x14ac:dyDescent="0.25">
      <c r="A10" s="4" t="s">
        <v>13</v>
      </c>
      <c r="B10" s="2" t="s">
        <v>14</v>
      </c>
    </row>
    <row r="11" ht="15" customHeight="1" spans="1:2" x14ac:dyDescent="0.25">
      <c r="A11" s="4"/>
      <c r="B11" s="2"/>
    </row>
    <row r="12" ht="15" customHeight="1" spans="1:2" x14ac:dyDescent="0.25">
      <c r="A12" s="5" t="s">
        <v>15</v>
      </c>
      <c r="B12" s="2"/>
    </row>
    <row r="13" ht="15" customHeight="1" spans="1:2" x14ac:dyDescent="0.25">
      <c r="A13" s="4" t="s">
        <v>16</v>
      </c>
      <c r="B13" s="2" t="s">
        <v>17</v>
      </c>
    </row>
    <row r="14" ht="15" customHeight="1" spans="1:2" x14ac:dyDescent="0.25">
      <c r="A14" s="4" t="s">
        <v>18</v>
      </c>
      <c r="B14" s="2" t="s">
        <v>19</v>
      </c>
    </row>
    <row r="15" ht="15" customHeight="1" spans="1:2" x14ac:dyDescent="0.25">
      <c r="A15" s="4" t="s">
        <v>20</v>
      </c>
      <c r="B15" s="2" t="s">
        <v>21</v>
      </c>
    </row>
    <row r="16" ht="15" customHeight="1" spans="1:2" x14ac:dyDescent="0.25">
      <c r="A16" s="4" t="s">
        <v>22</v>
      </c>
      <c r="B16" s="2" t="s">
        <v>23</v>
      </c>
    </row>
    <row r="17" ht="23.85" customHeight="1" spans="1:2" x14ac:dyDescent="0.25">
      <c r="A17" s="4" t="s">
        <v>24</v>
      </c>
      <c r="B17" s="2" t="s">
        <v>25</v>
      </c>
    </row>
    <row r="18" ht="15" customHeight="1" spans="1:2" x14ac:dyDescent="0.25">
      <c r="A18" s="4" t="s">
        <v>26</v>
      </c>
      <c r="B18" s="2" t="s">
        <v>27</v>
      </c>
    </row>
    <row r="19" ht="15" customHeight="1" spans="1:2" x14ac:dyDescent="0.25">
      <c r="A19" s="4" t="s">
        <v>28</v>
      </c>
      <c r="B19" s="2" t="s">
        <v>29</v>
      </c>
    </row>
    <row r="20" ht="15" customHeight="1" spans="1:2" x14ac:dyDescent="0.25">
      <c r="A20" s="4" t="s">
        <v>30</v>
      </c>
      <c r="B20" s="2" t="s">
        <v>31</v>
      </c>
    </row>
    <row r="21" ht="23.85" customHeight="1" spans="1:2" x14ac:dyDescent="0.25">
      <c r="A21" s="4" t="s">
        <v>32</v>
      </c>
      <c r="B21" s="2" t="s">
        <v>33</v>
      </c>
    </row>
    <row r="22" ht="15" customHeight="1" spans="1:2" x14ac:dyDescent="0.25">
      <c r="A22" s="4"/>
      <c r="B22" s="2"/>
    </row>
    <row r="23" ht="15" customHeight="1" spans="1:2" x14ac:dyDescent="0.25">
      <c r="A23" s="4" t="s">
        <v>34</v>
      </c>
      <c r="B23" s="2" t="s">
        <v>35</v>
      </c>
    </row>
    <row r="26" ht="15" customHeight="1" spans="1:1" x14ac:dyDescent="0.25">
      <c r="A26" s="6" t="s">
        <v>36</v>
      </c>
    </row>
    <row r="27" ht="15" customHeight="1" spans="1:2" x14ac:dyDescent="0.25">
      <c r="A27" s="7" t="s">
        <v>37</v>
      </c>
      <c r="B27" s="8" t="s">
        <v>38</v>
      </c>
    </row>
    <row r="28" ht="15" customHeight="1" spans="1:2" x14ac:dyDescent="0.25">
      <c r="A28" s="9" t="s">
        <v>39</v>
      </c>
      <c r="B28" s="8" t="s">
        <v>40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4448F"/>
  </sheetPr>
  <dimension ref="A1:AS204"/>
  <sheetViews>
    <sheetView workbookViewId="0" zoomScale="100" zoomScaleNormal="100" view="normal">
      <pane xSplit="1" ySplit="4" topLeftCell="B5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1" width="16" customWidth="1"/>
    <col min="2" max="7" width="13" customWidth="1"/>
    <col min="8" max="11" width="11" customWidth="1"/>
    <col min="12" max="29" width="12" customWidth="1"/>
    <col min="30" max="30" width="26" customWidth="1"/>
    <col min="31" max="31" width="18" customWidth="1"/>
    <col min="32" max="45" width="12" customWidth="1"/>
  </cols>
  <sheetData>
    <row r="1" ht="19.7" customHeight="1" spans="1:1" x14ac:dyDescent="0.25">
      <c r="A1" s="10" t="s">
        <v>41</v>
      </c>
    </row>
    <row r="2" ht="15" customHeight="1" spans="1:1" x14ac:dyDescent="0.25">
      <c r="A2" s="11" t="s">
        <v>42</v>
      </c>
    </row>
    <row r="3" ht="15" customHeight="1" spans="1:45" x14ac:dyDescent="0.25">
      <c r="A3" s="12" t="s">
        <v>43</v>
      </c>
      <c r="B3" s="12"/>
      <c r="C3" s="12"/>
      <c r="D3" s="12"/>
      <c r="E3" s="12"/>
      <c r="F3" s="12"/>
      <c r="G3" s="12"/>
      <c r="H3" s="13" t="s">
        <v>44</v>
      </c>
      <c r="I3" s="13"/>
      <c r="J3" s="13"/>
      <c r="K3" s="13"/>
      <c r="L3" s="14" t="s">
        <v>45</v>
      </c>
      <c r="M3" s="14"/>
      <c r="N3" s="14"/>
      <c r="O3" s="14"/>
      <c r="P3" s="14"/>
      <c r="Q3" s="14"/>
      <c r="R3" s="14"/>
      <c r="S3" s="14"/>
      <c r="T3" s="14"/>
      <c r="U3" s="15" t="s">
        <v>46</v>
      </c>
      <c r="V3" s="15"/>
      <c r="W3" s="15"/>
      <c r="X3" s="15"/>
      <c r="Y3" s="15"/>
      <c r="Z3" s="15"/>
      <c r="AA3" s="15"/>
      <c r="AB3" s="15"/>
      <c r="AC3" s="15"/>
      <c r="AE3" s="16" t="s">
        <v>47</v>
      </c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ht="57.75" customHeight="1" spans="1:45" x14ac:dyDescent="0.25">
      <c r="A4" s="17" t="s">
        <v>48</v>
      </c>
      <c r="B4" s="17" t="s">
        <v>49</v>
      </c>
      <c r="C4" s="17" t="s">
        <v>50</v>
      </c>
      <c r="D4" s="17" t="s">
        <v>51</v>
      </c>
      <c r="E4" s="17" t="s">
        <v>52</v>
      </c>
      <c r="F4" s="17" t="s">
        <v>53</v>
      </c>
      <c r="G4" s="17" t="s">
        <v>54</v>
      </c>
      <c r="H4" s="18" t="s">
        <v>55</v>
      </c>
      <c r="I4" s="18" t="s">
        <v>56</v>
      </c>
      <c r="J4" s="18" t="s">
        <v>57</v>
      </c>
      <c r="K4" s="18" t="s">
        <v>58</v>
      </c>
      <c r="L4" s="19" t="s">
        <v>59</v>
      </c>
      <c r="M4" s="19" t="s">
        <v>60</v>
      </c>
      <c r="N4" s="20" t="s">
        <v>61</v>
      </c>
      <c r="O4" s="20" t="s">
        <v>62</v>
      </c>
      <c r="P4" s="21" t="s">
        <v>63</v>
      </c>
      <c r="Q4" s="22" t="s">
        <v>64</v>
      </c>
      <c r="R4" s="22" t="s">
        <v>65</v>
      </c>
      <c r="S4" s="23" t="s">
        <v>66</v>
      </c>
      <c r="T4" s="23" t="s">
        <v>67</v>
      </c>
      <c r="U4" s="19" t="s">
        <v>68</v>
      </c>
      <c r="V4" s="19" t="s">
        <v>69</v>
      </c>
      <c r="W4" s="20" t="s">
        <v>70</v>
      </c>
      <c r="X4" s="20" t="s">
        <v>71</v>
      </c>
      <c r="Y4" s="21" t="s">
        <v>72</v>
      </c>
      <c r="Z4" s="21" t="s">
        <v>73</v>
      </c>
      <c r="AA4" s="22" t="s">
        <v>74</v>
      </c>
      <c r="AB4" s="22" t="s">
        <v>75</v>
      </c>
      <c r="AC4" s="23" t="s">
        <v>76</v>
      </c>
      <c r="AD4" s="17" t="s">
        <v>77</v>
      </c>
      <c r="AE4" s="24" t="s">
        <v>78</v>
      </c>
      <c r="AF4" s="24" t="s">
        <v>79</v>
      </c>
      <c r="AG4" s="24" t="s">
        <v>80</v>
      </c>
      <c r="AH4" s="24" t="s">
        <v>81</v>
      </c>
      <c r="AI4" s="24" t="s">
        <v>82</v>
      </c>
      <c r="AJ4" s="24" t="s">
        <v>83</v>
      </c>
      <c r="AK4" s="24" t="s">
        <v>84</v>
      </c>
      <c r="AL4" s="24" t="s">
        <v>85</v>
      </c>
      <c r="AM4" s="24" t="s">
        <v>86</v>
      </c>
      <c r="AN4" s="24" t="s">
        <v>87</v>
      </c>
      <c r="AO4" s="24" t="s">
        <v>88</v>
      </c>
      <c r="AP4" s="24" t="s">
        <v>89</v>
      </c>
      <c r="AQ4" s="24" t="s">
        <v>90</v>
      </c>
      <c r="AR4" s="24" t="s">
        <v>20</v>
      </c>
      <c r="AS4" s="24" t="s">
        <v>22</v>
      </c>
    </row>
    <row r="5" ht="15" customHeight="1" spans="1:45" x14ac:dyDescent="0.25">
      <c r="A5" s="25" t="s">
        <v>91</v>
      </c>
      <c r="B5" s="25" t="s">
        <v>92</v>
      </c>
      <c r="C5" s="25" t="s">
        <v>93</v>
      </c>
      <c r="D5" s="25" t="s">
        <v>94</v>
      </c>
      <c r="E5" s="25" t="s">
        <v>95</v>
      </c>
      <c r="F5" s="25" t="s">
        <v>96</v>
      </c>
      <c r="G5" s="25" t="s">
        <v>97</v>
      </c>
      <c r="H5" s="25" t="s">
        <v>98</v>
      </c>
      <c r="I5" s="25" t="s">
        <v>98</v>
      </c>
      <c r="J5" s="25" t="s">
        <v>99</v>
      </c>
      <c r="K5" s="25" t="s">
        <v>99</v>
      </c>
      <c r="L5" s="25" t="s">
        <v>98</v>
      </c>
      <c r="M5" s="25" t="s">
        <v>98</v>
      </c>
      <c r="N5" s="25" t="s">
        <v>98</v>
      </c>
      <c r="O5" s="25" t="s">
        <v>99</v>
      </c>
      <c r="P5" s="25" t="s">
        <v>98</v>
      </c>
      <c r="Q5" s="25" t="s">
        <v>99</v>
      </c>
      <c r="R5" s="25" t="s">
        <v>100</v>
      </c>
      <c r="S5" s="25" t="s">
        <v>98</v>
      </c>
      <c r="T5" s="25" t="s">
        <v>98</v>
      </c>
      <c r="U5" s="25">
        <v>2</v>
      </c>
      <c r="V5" s="25">
        <v>1</v>
      </c>
      <c r="W5" s="25">
        <v>3</v>
      </c>
      <c r="X5" s="25">
        <v>2</v>
      </c>
      <c r="Y5" s="25">
        <v>2</v>
      </c>
      <c r="Z5" s="25">
        <v>3</v>
      </c>
      <c r="AA5" s="25">
        <v>1</v>
      </c>
      <c r="AB5" s="25">
        <v>2</v>
      </c>
      <c r="AC5" s="25">
        <v>3</v>
      </c>
      <c r="AD5" s="25" t="s">
        <v>101</v>
      </c>
      <c r="AE5" s="26" t="str">
        <f>IF($A5="","",$A5&amp;"|"&amp;$C5)</f>
        <v>תלמיד לדוגמה|תחילת שנה</v>
      </c>
      <c r="AF5" s="27">
        <f>IF($A5="","",IFERROR(COUNTIF(L5:M5,"כן")/(COUNTIF(L5:M5,"כן")+COUNTIF(L5:M5,"לא")),""))</f>
        <v>1</v>
      </c>
      <c r="AG5" s="27">
        <f>IF($A5="","",IFERROR(COUNTIF(N5:O5,"כן")/(COUNTIF(N5:O5,"כן")+COUNTIF(N5:O5,"לא")),""))</f>
        <v>0.5</v>
      </c>
      <c r="AH5" s="27">
        <f>IF($A5="","",IFERROR(COUNTIF(P5,"כן")/(COUNTIF(P5,"כן")+COUNTIF(P5,"לא")),""))</f>
        <v>1</v>
      </c>
      <c r="AI5" s="27">
        <f>IF($A5="","",IFERROR(COUNTIF(Q5:R5,"כן")/(COUNTIF(Q5:R5,"כן")+COUNTIF(Q5:R5,"לא")),""))</f>
        <v>0</v>
      </c>
      <c r="AJ5" s="27">
        <f>IF($A5="","",IFERROR(COUNTIF(S5:T5,"כן")/(COUNTIF(S5:T5,"כן")+COUNTIF(S5:T5,"לא")),""))</f>
        <v>1</v>
      </c>
      <c r="AK5" s="27">
        <f>IF($A5="","",IFERROR(COUNTIF(L5:T5,"כן")/(COUNTIF(L5:T5,"כן")+COUNTIF(L5:T5,"לא")),""))</f>
        <v>0.75</v>
      </c>
      <c r="AL5" s="28">
        <f>IF($A5="","",IFERROR(AVERAGE(U5:V5),""))</f>
        <v>1.5</v>
      </c>
      <c r="AM5" s="28">
        <f>IF($A5="","",IFERROR(AVERAGE(W5:X5),""))</f>
        <v>2.5</v>
      </c>
      <c r="AN5" s="28">
        <f>IF($A5="","",IFERROR(AVERAGE(Y5:Z5),""))</f>
        <v>2.5</v>
      </c>
      <c r="AO5" s="28">
        <f>IF($A5="","",IFERROR(AVERAGE(AA5:AB5),""))</f>
        <v>1.5</v>
      </c>
      <c r="AP5" s="28">
        <f>IF($A5="","",IFERROR(AVERAGE(AC5),""))</f>
        <v>3</v>
      </c>
      <c r="AQ5" s="28">
        <f>IF($A5="","",IFERROR(AVERAGE(U5:AC5),""))</f>
        <v>2.11111111111111</v>
      </c>
      <c r="AR5" s="26" t="str">
        <f>IF($A5="","",IF(AND(H5="",J5=""),"לא נבדק",IF(AND(OR(H5="",H5=I5),OR(J5="",J5=K5)),"תואם","לא תואם")))</f>
        <v>תואם</v>
      </c>
      <c r="AS5" s="26" t="str">
        <f>IF($A5="","",IF(AND(AR5&lt;&gt;"לא תואם",G5&lt;&gt;"לא ברור"),"אמין","לפרש בזהירות"))</f>
        <v>אמין</v>
      </c>
    </row>
    <row r="6" ht="15" customHeight="1" spans="1:45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6">
        <f>IF($A6="","",$A6&amp;"|"&amp;$C6)</f>
      </c>
      <c r="AF6" s="27">
        <f>IF($A6="","",IFERROR(COUNTIF(L6:M6,"כן")/(COUNTIF(L6:M6,"כן")+COUNTIF(L6:M6,"לא")),""))</f>
      </c>
      <c r="AG6" s="27">
        <f>IF($A6="","",IFERROR(COUNTIF(N6:O6,"כן")/(COUNTIF(N6:O6,"כן")+COUNTIF(N6:O6,"לא")),""))</f>
      </c>
      <c r="AH6" s="27">
        <f>IF($A6="","",IFERROR(COUNTIF(P6,"כן")/(COUNTIF(P6,"כן")+COUNTIF(P6,"לא")),""))</f>
      </c>
      <c r="AI6" s="27">
        <f>IF($A6="","",IFERROR(COUNTIF(Q6:R6,"כן")/(COUNTIF(Q6:R6,"כן")+COUNTIF(Q6:R6,"לא")),""))</f>
      </c>
      <c r="AJ6" s="27">
        <f>IF($A6="","",IFERROR(COUNTIF(S6:T6,"כן")/(COUNTIF(S6:T6,"כן")+COUNTIF(S6:T6,"לא")),""))</f>
      </c>
      <c r="AK6" s="27">
        <f>IF($A6="","",IFERROR(COUNTIF(L6:T6,"כן")/(COUNTIF(L6:T6,"כן")+COUNTIF(L6:T6,"לא")),""))</f>
      </c>
      <c r="AL6" s="28">
        <f>IF($A6="","",IFERROR(AVERAGE(U6:V6),""))</f>
      </c>
      <c r="AM6" s="28">
        <f>IF($A6="","",IFERROR(AVERAGE(W6:X6),""))</f>
      </c>
      <c r="AN6" s="28">
        <f>IF($A6="","",IFERROR(AVERAGE(Y6:Z6),""))</f>
      </c>
      <c r="AO6" s="28">
        <f>IF($A6="","",IFERROR(AVERAGE(AA6:AB6),""))</f>
      </c>
      <c r="AP6" s="28">
        <f>IF($A6="","",IFERROR(AVERAGE(AC6),""))</f>
      </c>
      <c r="AQ6" s="28">
        <f>IF($A6="","",IFERROR(AVERAGE(U6:AC6),""))</f>
      </c>
      <c r="AR6" s="26">
        <f>IF($A6="","",IF(AND(H6="",J6=""),"לא נבדק",IF(AND(OR(H6="",H6=I6),OR(J6="",J6=K6)),"תואם","לא תואם")))</f>
      </c>
      <c r="AS6" s="26">
        <f>IF($A6="","",IF(AND(AR6&lt;&gt;"לא תואם",G6&lt;&gt;"לא ברור"),"אמין","לפרש בזהירות"))</f>
      </c>
    </row>
    <row r="7" ht="15" customHeight="1" spans="1:45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6">
        <f>IF($A7="","",$A7&amp;"|"&amp;$C7)</f>
      </c>
      <c r="AF7" s="27">
        <f>IF($A7="","",IFERROR(COUNTIF(L7:M7,"כן")/(COUNTIF(L7:M7,"כן")+COUNTIF(L7:M7,"לא")),""))</f>
      </c>
      <c r="AG7" s="27">
        <f>IF($A7="","",IFERROR(COUNTIF(N7:O7,"כן")/(COUNTIF(N7:O7,"כן")+COUNTIF(N7:O7,"לא")),""))</f>
      </c>
      <c r="AH7" s="27">
        <f>IF($A7="","",IFERROR(COUNTIF(P7,"כן")/(COUNTIF(P7,"כן")+COUNTIF(P7,"לא")),""))</f>
      </c>
      <c r="AI7" s="27">
        <f>IF($A7="","",IFERROR(COUNTIF(Q7:R7,"כן")/(COUNTIF(Q7:R7,"כן")+COUNTIF(Q7:R7,"לא")),""))</f>
      </c>
      <c r="AJ7" s="27">
        <f>IF($A7="","",IFERROR(COUNTIF(S7:T7,"כן")/(COUNTIF(S7:T7,"כן")+COUNTIF(S7:T7,"לא")),""))</f>
      </c>
      <c r="AK7" s="27">
        <f>IF($A7="","",IFERROR(COUNTIF(L7:T7,"כן")/(COUNTIF(L7:T7,"כן")+COUNTIF(L7:T7,"לא")),""))</f>
      </c>
      <c r="AL7" s="28">
        <f>IF($A7="","",IFERROR(AVERAGE(U7:V7),""))</f>
      </c>
      <c r="AM7" s="28">
        <f>IF($A7="","",IFERROR(AVERAGE(W7:X7),""))</f>
      </c>
      <c r="AN7" s="28">
        <f>IF($A7="","",IFERROR(AVERAGE(Y7:Z7),""))</f>
      </c>
      <c r="AO7" s="28">
        <f>IF($A7="","",IFERROR(AVERAGE(AA7:AB7),""))</f>
      </c>
      <c r="AP7" s="28">
        <f>IF($A7="","",IFERROR(AVERAGE(AC7),""))</f>
      </c>
      <c r="AQ7" s="28">
        <f>IF($A7="","",IFERROR(AVERAGE(U7:AC7),""))</f>
      </c>
      <c r="AR7" s="26">
        <f>IF($A7="","",IF(AND(H7="",J7=""),"לא נבדק",IF(AND(OR(H7="",H7=I7),OR(J7="",J7=K7)),"תואם","לא תואם")))</f>
      </c>
      <c r="AS7" s="26">
        <f>IF($A7="","",IF(AND(AR7&lt;&gt;"לא תואם",G7&lt;&gt;"לא ברור"),"אמין","לפרש בזהירות"))</f>
      </c>
    </row>
    <row r="8" ht="15" customHeight="1" spans="1:45" x14ac:dyDescent="0.2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6">
        <f>IF($A8="","",$A8&amp;"|"&amp;$C8)</f>
      </c>
      <c r="AF8" s="27">
        <f>IF($A8="","",IFERROR(COUNTIF(L8:M8,"כן")/(COUNTIF(L8:M8,"כן")+COUNTIF(L8:M8,"לא")),""))</f>
      </c>
      <c r="AG8" s="27">
        <f>IF($A8="","",IFERROR(COUNTIF(N8:O8,"כן")/(COUNTIF(N8:O8,"כן")+COUNTIF(N8:O8,"לא")),""))</f>
      </c>
      <c r="AH8" s="27">
        <f>IF($A8="","",IFERROR(COUNTIF(P8,"כן")/(COUNTIF(P8,"כן")+COUNTIF(P8,"לא")),""))</f>
      </c>
      <c r="AI8" s="27">
        <f>IF($A8="","",IFERROR(COUNTIF(Q8:R8,"כן")/(COUNTIF(Q8:R8,"כן")+COUNTIF(Q8:R8,"לא")),""))</f>
      </c>
      <c r="AJ8" s="27">
        <f>IF($A8="","",IFERROR(COUNTIF(S8:T8,"כן")/(COUNTIF(S8:T8,"כן")+COUNTIF(S8:T8,"לא")),""))</f>
      </c>
      <c r="AK8" s="27">
        <f>IF($A8="","",IFERROR(COUNTIF(L8:T8,"כן")/(COUNTIF(L8:T8,"כן")+COUNTIF(L8:T8,"לא")),""))</f>
      </c>
      <c r="AL8" s="28">
        <f>IF($A8="","",IFERROR(AVERAGE(U8:V8),""))</f>
      </c>
      <c r="AM8" s="28">
        <f>IF($A8="","",IFERROR(AVERAGE(W8:X8),""))</f>
      </c>
      <c r="AN8" s="28">
        <f>IF($A8="","",IFERROR(AVERAGE(Y8:Z8),""))</f>
      </c>
      <c r="AO8" s="28">
        <f>IF($A8="","",IFERROR(AVERAGE(AA8:AB8),""))</f>
      </c>
      <c r="AP8" s="28">
        <f>IF($A8="","",IFERROR(AVERAGE(AC8),""))</f>
      </c>
      <c r="AQ8" s="28">
        <f>IF($A8="","",IFERROR(AVERAGE(U8:AC8),""))</f>
      </c>
      <c r="AR8" s="26">
        <f>IF($A8="","",IF(AND(H8="",J8=""),"לא נבדק",IF(AND(OR(H8="",H8=I8),OR(J8="",J8=K8)),"תואם","לא תואם")))</f>
      </c>
      <c r="AS8" s="26">
        <f>IF($A8="","",IF(AND(AR8&lt;&gt;"לא תואם",G8&lt;&gt;"לא ברור"),"אמין","לפרש בזהירות"))</f>
      </c>
    </row>
    <row r="9" ht="15" customHeight="1" spans="1:45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6">
        <f>IF($A9="","",$A9&amp;"|"&amp;$C9)</f>
      </c>
      <c r="AF9" s="27">
        <f>IF($A9="","",IFERROR(COUNTIF(L9:M9,"כן")/(COUNTIF(L9:M9,"כן")+COUNTIF(L9:M9,"לא")),""))</f>
      </c>
      <c r="AG9" s="27">
        <f>IF($A9="","",IFERROR(COUNTIF(N9:O9,"כן")/(COUNTIF(N9:O9,"כן")+COUNTIF(N9:O9,"לא")),""))</f>
      </c>
      <c r="AH9" s="27">
        <f>IF($A9="","",IFERROR(COUNTIF(P9,"כן")/(COUNTIF(P9,"כן")+COUNTIF(P9,"לא")),""))</f>
      </c>
      <c r="AI9" s="27">
        <f>IF($A9="","",IFERROR(COUNTIF(Q9:R9,"כן")/(COUNTIF(Q9:R9,"כן")+COUNTIF(Q9:R9,"לא")),""))</f>
      </c>
      <c r="AJ9" s="27">
        <f>IF($A9="","",IFERROR(COUNTIF(S9:T9,"כן")/(COUNTIF(S9:T9,"כן")+COUNTIF(S9:T9,"לא")),""))</f>
      </c>
      <c r="AK9" s="27">
        <f>IF($A9="","",IFERROR(COUNTIF(L9:T9,"כן")/(COUNTIF(L9:T9,"כן")+COUNTIF(L9:T9,"לא")),""))</f>
      </c>
      <c r="AL9" s="28">
        <f>IF($A9="","",IFERROR(AVERAGE(U9:V9),""))</f>
      </c>
      <c r="AM9" s="28">
        <f>IF($A9="","",IFERROR(AVERAGE(W9:X9),""))</f>
      </c>
      <c r="AN9" s="28">
        <f>IF($A9="","",IFERROR(AVERAGE(Y9:Z9),""))</f>
      </c>
      <c r="AO9" s="28">
        <f>IF($A9="","",IFERROR(AVERAGE(AA9:AB9),""))</f>
      </c>
      <c r="AP9" s="28">
        <f>IF($A9="","",IFERROR(AVERAGE(AC9),""))</f>
      </c>
      <c r="AQ9" s="28">
        <f>IF($A9="","",IFERROR(AVERAGE(U9:AC9),""))</f>
      </c>
      <c r="AR9" s="26">
        <f>IF($A9="","",IF(AND(H9="",J9=""),"לא נבדק",IF(AND(OR(H9="",H9=I9),OR(J9="",J9=K9)),"תואם","לא תואם")))</f>
      </c>
      <c r="AS9" s="26">
        <f>IF($A9="","",IF(AND(AR9&lt;&gt;"לא תואם",G9&lt;&gt;"לא ברור"),"אמין","לפרש בזהירות"))</f>
      </c>
    </row>
    <row r="10" ht="15" customHeight="1" spans="1:45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6">
        <f>IF($A10="","",$A10&amp;"|"&amp;$C10)</f>
      </c>
      <c r="AF10" s="27">
        <f>IF($A10="","",IFERROR(COUNTIF(L10:M10,"כן")/(COUNTIF(L10:M10,"כן")+COUNTIF(L10:M10,"לא")),""))</f>
      </c>
      <c r="AG10" s="27">
        <f>IF($A10="","",IFERROR(COUNTIF(N10:O10,"כן")/(COUNTIF(N10:O10,"כן")+COUNTIF(N10:O10,"לא")),""))</f>
      </c>
      <c r="AH10" s="27">
        <f>IF($A10="","",IFERROR(COUNTIF(P10,"כן")/(COUNTIF(P10,"כן")+COUNTIF(P10,"לא")),""))</f>
      </c>
      <c r="AI10" s="27">
        <f>IF($A10="","",IFERROR(COUNTIF(Q10:R10,"כן")/(COUNTIF(Q10:R10,"כן")+COUNTIF(Q10:R10,"לא")),""))</f>
      </c>
      <c r="AJ10" s="27">
        <f>IF($A10="","",IFERROR(COUNTIF(S10:T10,"כן")/(COUNTIF(S10:T10,"כן")+COUNTIF(S10:T10,"לא")),""))</f>
      </c>
      <c r="AK10" s="27">
        <f>IF($A10="","",IFERROR(COUNTIF(L10:T10,"כן")/(COUNTIF(L10:T10,"כן")+COUNTIF(L10:T10,"לא")),""))</f>
      </c>
      <c r="AL10" s="28">
        <f>IF($A10="","",IFERROR(AVERAGE(U10:V10),""))</f>
      </c>
      <c r="AM10" s="28">
        <f>IF($A10="","",IFERROR(AVERAGE(W10:X10),""))</f>
      </c>
      <c r="AN10" s="28">
        <f>IF($A10="","",IFERROR(AVERAGE(Y10:Z10),""))</f>
      </c>
      <c r="AO10" s="28">
        <f>IF($A10="","",IFERROR(AVERAGE(AA10:AB10),""))</f>
      </c>
      <c r="AP10" s="28">
        <f>IF($A10="","",IFERROR(AVERAGE(AC10),""))</f>
      </c>
      <c r="AQ10" s="28">
        <f>IF($A10="","",IFERROR(AVERAGE(U10:AC10),""))</f>
      </c>
      <c r="AR10" s="26">
        <f>IF($A10="","",IF(AND(H10="",J10=""),"לא נבדק",IF(AND(OR(H10="",H10=I10),OR(J10="",J10=K10)),"תואם","לא תואם")))</f>
      </c>
      <c r="AS10" s="26">
        <f>IF($A10="","",IF(AND(AR10&lt;&gt;"לא תואם",G10&lt;&gt;"לא ברור"),"אמין","לפרש בזהירות"))</f>
      </c>
    </row>
    <row r="11" ht="15" customHeight="1" spans="1:45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6">
        <f>IF($A11="","",$A11&amp;"|"&amp;$C11)</f>
      </c>
      <c r="AF11" s="27">
        <f>IF($A11="","",IFERROR(COUNTIF(L11:M11,"כן")/(COUNTIF(L11:M11,"כן")+COUNTIF(L11:M11,"לא")),""))</f>
      </c>
      <c r="AG11" s="27">
        <f>IF($A11="","",IFERROR(COUNTIF(N11:O11,"כן")/(COUNTIF(N11:O11,"כן")+COUNTIF(N11:O11,"לא")),""))</f>
      </c>
      <c r="AH11" s="27">
        <f>IF($A11="","",IFERROR(COUNTIF(P11,"כן")/(COUNTIF(P11,"כן")+COUNTIF(P11,"לא")),""))</f>
      </c>
      <c r="AI11" s="27">
        <f>IF($A11="","",IFERROR(COUNTIF(Q11:R11,"כן")/(COUNTIF(Q11:R11,"כן")+COUNTIF(Q11:R11,"לא")),""))</f>
      </c>
      <c r="AJ11" s="27">
        <f>IF($A11="","",IFERROR(COUNTIF(S11:T11,"כן")/(COUNTIF(S11:T11,"כן")+COUNTIF(S11:T11,"לא")),""))</f>
      </c>
      <c r="AK11" s="27">
        <f>IF($A11="","",IFERROR(COUNTIF(L11:T11,"כן")/(COUNTIF(L11:T11,"כן")+COUNTIF(L11:T11,"לא")),""))</f>
      </c>
      <c r="AL11" s="28">
        <f>IF($A11="","",IFERROR(AVERAGE(U11:V11),""))</f>
      </c>
      <c r="AM11" s="28">
        <f>IF($A11="","",IFERROR(AVERAGE(W11:X11),""))</f>
      </c>
      <c r="AN11" s="28">
        <f>IF($A11="","",IFERROR(AVERAGE(Y11:Z11),""))</f>
      </c>
      <c r="AO11" s="28">
        <f>IF($A11="","",IFERROR(AVERAGE(AA11:AB11),""))</f>
      </c>
      <c r="AP11" s="28">
        <f>IF($A11="","",IFERROR(AVERAGE(AC11),""))</f>
      </c>
      <c r="AQ11" s="28">
        <f>IF($A11="","",IFERROR(AVERAGE(U11:AC11),""))</f>
      </c>
      <c r="AR11" s="26">
        <f>IF($A11="","",IF(AND(H11="",J11=""),"לא נבדק",IF(AND(OR(H11="",H11=I11),OR(J11="",J11=K11)),"תואם","לא תואם")))</f>
      </c>
      <c r="AS11" s="26">
        <f>IF($A11="","",IF(AND(AR11&lt;&gt;"לא תואם",G11&lt;&gt;"לא ברור"),"אמין","לפרש בזהירות"))</f>
      </c>
    </row>
    <row r="12" ht="15" customHeight="1" spans="1:45" x14ac:dyDescent="0.2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6">
        <f>IF($A12="","",$A12&amp;"|"&amp;$C12)</f>
      </c>
      <c r="AF12" s="27">
        <f>IF($A12="","",IFERROR(COUNTIF(L12:M12,"כן")/(COUNTIF(L12:M12,"כן")+COUNTIF(L12:M12,"לא")),""))</f>
      </c>
      <c r="AG12" s="27">
        <f>IF($A12="","",IFERROR(COUNTIF(N12:O12,"כן")/(COUNTIF(N12:O12,"כן")+COUNTIF(N12:O12,"לא")),""))</f>
      </c>
      <c r="AH12" s="27">
        <f>IF($A12="","",IFERROR(COUNTIF(P12,"כן")/(COUNTIF(P12,"כן")+COUNTIF(P12,"לא")),""))</f>
      </c>
      <c r="AI12" s="27">
        <f>IF($A12="","",IFERROR(COUNTIF(Q12:R12,"כן")/(COUNTIF(Q12:R12,"כן")+COUNTIF(Q12:R12,"לא")),""))</f>
      </c>
      <c r="AJ12" s="27">
        <f>IF($A12="","",IFERROR(COUNTIF(S12:T12,"כן")/(COUNTIF(S12:T12,"כן")+COUNTIF(S12:T12,"לא")),""))</f>
      </c>
      <c r="AK12" s="27">
        <f>IF($A12="","",IFERROR(COUNTIF(L12:T12,"כן")/(COUNTIF(L12:T12,"כן")+COUNTIF(L12:T12,"לא")),""))</f>
      </c>
      <c r="AL12" s="28">
        <f>IF($A12="","",IFERROR(AVERAGE(U12:V12),""))</f>
      </c>
      <c r="AM12" s="28">
        <f>IF($A12="","",IFERROR(AVERAGE(W12:X12),""))</f>
      </c>
      <c r="AN12" s="28">
        <f>IF($A12="","",IFERROR(AVERAGE(Y12:Z12),""))</f>
      </c>
      <c r="AO12" s="28">
        <f>IF($A12="","",IFERROR(AVERAGE(AA12:AB12),""))</f>
      </c>
      <c r="AP12" s="28">
        <f>IF($A12="","",IFERROR(AVERAGE(AC12),""))</f>
      </c>
      <c r="AQ12" s="28">
        <f>IF($A12="","",IFERROR(AVERAGE(U12:AC12),""))</f>
      </c>
      <c r="AR12" s="26">
        <f>IF($A12="","",IF(AND(H12="",J12=""),"לא נבדק",IF(AND(OR(H12="",H12=I12),OR(J12="",J12=K12)),"תואם","לא תואם")))</f>
      </c>
      <c r="AS12" s="26">
        <f>IF($A12="","",IF(AND(AR12&lt;&gt;"לא תואם",G12&lt;&gt;"לא ברור"),"אמין","לפרש בזהירות"))</f>
      </c>
    </row>
    <row r="13" ht="15" customHeight="1" spans="1:45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6">
        <f>IF($A13="","",$A13&amp;"|"&amp;$C13)</f>
      </c>
      <c r="AF13" s="27">
        <f>IF($A13="","",IFERROR(COUNTIF(L13:M13,"כן")/(COUNTIF(L13:M13,"כן")+COUNTIF(L13:M13,"לא")),""))</f>
      </c>
      <c r="AG13" s="27">
        <f>IF($A13="","",IFERROR(COUNTIF(N13:O13,"כן")/(COUNTIF(N13:O13,"כן")+COUNTIF(N13:O13,"לא")),""))</f>
      </c>
      <c r="AH13" s="27">
        <f>IF($A13="","",IFERROR(COUNTIF(P13,"כן")/(COUNTIF(P13,"כן")+COUNTIF(P13,"לא")),""))</f>
      </c>
      <c r="AI13" s="27">
        <f>IF($A13="","",IFERROR(COUNTIF(Q13:R13,"כן")/(COUNTIF(Q13:R13,"כן")+COUNTIF(Q13:R13,"לא")),""))</f>
      </c>
      <c r="AJ13" s="27">
        <f>IF($A13="","",IFERROR(COUNTIF(S13:T13,"כן")/(COUNTIF(S13:T13,"כן")+COUNTIF(S13:T13,"לא")),""))</f>
      </c>
      <c r="AK13" s="27">
        <f>IF($A13="","",IFERROR(COUNTIF(L13:T13,"כן")/(COUNTIF(L13:T13,"כן")+COUNTIF(L13:T13,"לא")),""))</f>
      </c>
      <c r="AL13" s="28">
        <f>IF($A13="","",IFERROR(AVERAGE(U13:V13),""))</f>
      </c>
      <c r="AM13" s="28">
        <f>IF($A13="","",IFERROR(AVERAGE(W13:X13),""))</f>
      </c>
      <c r="AN13" s="28">
        <f>IF($A13="","",IFERROR(AVERAGE(Y13:Z13),""))</f>
      </c>
      <c r="AO13" s="28">
        <f>IF($A13="","",IFERROR(AVERAGE(AA13:AB13),""))</f>
      </c>
      <c r="AP13" s="28">
        <f>IF($A13="","",IFERROR(AVERAGE(AC13),""))</f>
      </c>
      <c r="AQ13" s="28">
        <f>IF($A13="","",IFERROR(AVERAGE(U13:AC13),""))</f>
      </c>
      <c r="AR13" s="26">
        <f>IF($A13="","",IF(AND(H13="",J13=""),"לא נבדק",IF(AND(OR(H13="",H13=I13),OR(J13="",J13=K13)),"תואם","לא תואם")))</f>
      </c>
      <c r="AS13" s="26">
        <f>IF($A13="","",IF(AND(AR13&lt;&gt;"לא תואם",G13&lt;&gt;"לא ברור"),"אמין","לפרש בזהירות"))</f>
      </c>
    </row>
    <row r="14" ht="15" customHeight="1" spans="1:45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6">
        <f>IF($A14="","",$A14&amp;"|"&amp;$C14)</f>
      </c>
      <c r="AF14" s="27">
        <f>IF($A14="","",IFERROR(COUNTIF(L14:M14,"כן")/(COUNTIF(L14:M14,"כן")+COUNTIF(L14:M14,"לא")),""))</f>
      </c>
      <c r="AG14" s="27">
        <f>IF($A14="","",IFERROR(COUNTIF(N14:O14,"כן")/(COUNTIF(N14:O14,"כן")+COUNTIF(N14:O14,"לא")),""))</f>
      </c>
      <c r="AH14" s="27">
        <f>IF($A14="","",IFERROR(COUNTIF(P14,"כן")/(COUNTIF(P14,"כן")+COUNTIF(P14,"לא")),""))</f>
      </c>
      <c r="AI14" s="27">
        <f>IF($A14="","",IFERROR(COUNTIF(Q14:R14,"כן")/(COUNTIF(Q14:R14,"כן")+COUNTIF(Q14:R14,"לא")),""))</f>
      </c>
      <c r="AJ14" s="27">
        <f>IF($A14="","",IFERROR(COUNTIF(S14:T14,"כן")/(COUNTIF(S14:T14,"כן")+COUNTIF(S14:T14,"לא")),""))</f>
      </c>
      <c r="AK14" s="27">
        <f>IF($A14="","",IFERROR(COUNTIF(L14:T14,"כן")/(COUNTIF(L14:T14,"כן")+COUNTIF(L14:T14,"לא")),""))</f>
      </c>
      <c r="AL14" s="28">
        <f>IF($A14="","",IFERROR(AVERAGE(U14:V14),""))</f>
      </c>
      <c r="AM14" s="28">
        <f>IF($A14="","",IFERROR(AVERAGE(W14:X14),""))</f>
      </c>
      <c r="AN14" s="28">
        <f>IF($A14="","",IFERROR(AVERAGE(Y14:Z14),""))</f>
      </c>
      <c r="AO14" s="28">
        <f>IF($A14="","",IFERROR(AVERAGE(AA14:AB14),""))</f>
      </c>
      <c r="AP14" s="28">
        <f>IF($A14="","",IFERROR(AVERAGE(AC14),""))</f>
      </c>
      <c r="AQ14" s="28">
        <f>IF($A14="","",IFERROR(AVERAGE(U14:AC14),""))</f>
      </c>
      <c r="AR14" s="26">
        <f>IF($A14="","",IF(AND(H14="",J14=""),"לא נבדק",IF(AND(OR(H14="",H14=I14),OR(J14="",J14=K14)),"תואם","לא תואם")))</f>
      </c>
      <c r="AS14" s="26">
        <f>IF($A14="","",IF(AND(AR14&lt;&gt;"לא תואם",G14&lt;&gt;"לא ברור"),"אמין","לפרש בזהירות"))</f>
      </c>
    </row>
    <row r="15" ht="15" customHeight="1" spans="1:45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6">
        <f>IF($A15="","",$A15&amp;"|"&amp;$C15)</f>
      </c>
      <c r="AF15" s="27">
        <f>IF($A15="","",IFERROR(COUNTIF(L15:M15,"כן")/(COUNTIF(L15:M15,"כן")+COUNTIF(L15:M15,"לא")),""))</f>
      </c>
      <c r="AG15" s="27">
        <f>IF($A15="","",IFERROR(COUNTIF(N15:O15,"כן")/(COUNTIF(N15:O15,"כן")+COUNTIF(N15:O15,"לא")),""))</f>
      </c>
      <c r="AH15" s="27">
        <f>IF($A15="","",IFERROR(COUNTIF(P15,"כן")/(COUNTIF(P15,"כן")+COUNTIF(P15,"לא")),""))</f>
      </c>
      <c r="AI15" s="27">
        <f>IF($A15="","",IFERROR(COUNTIF(Q15:R15,"כן")/(COUNTIF(Q15:R15,"כן")+COUNTIF(Q15:R15,"לא")),""))</f>
      </c>
      <c r="AJ15" s="27">
        <f>IF($A15="","",IFERROR(COUNTIF(S15:T15,"כן")/(COUNTIF(S15:T15,"כן")+COUNTIF(S15:T15,"לא")),""))</f>
      </c>
      <c r="AK15" s="27">
        <f>IF($A15="","",IFERROR(COUNTIF(L15:T15,"כן")/(COUNTIF(L15:T15,"כן")+COUNTIF(L15:T15,"לא")),""))</f>
      </c>
      <c r="AL15" s="28">
        <f>IF($A15="","",IFERROR(AVERAGE(U15:V15),""))</f>
      </c>
      <c r="AM15" s="28">
        <f>IF($A15="","",IFERROR(AVERAGE(W15:X15),""))</f>
      </c>
      <c r="AN15" s="28">
        <f>IF($A15="","",IFERROR(AVERAGE(Y15:Z15),""))</f>
      </c>
      <c r="AO15" s="28">
        <f>IF($A15="","",IFERROR(AVERAGE(AA15:AB15),""))</f>
      </c>
      <c r="AP15" s="28">
        <f>IF($A15="","",IFERROR(AVERAGE(AC15),""))</f>
      </c>
      <c r="AQ15" s="28">
        <f>IF($A15="","",IFERROR(AVERAGE(U15:AC15),""))</f>
      </c>
      <c r="AR15" s="26">
        <f>IF($A15="","",IF(AND(H15="",J15=""),"לא נבדק",IF(AND(OR(H15="",H15=I15),OR(J15="",J15=K15)),"תואם","לא תואם")))</f>
      </c>
      <c r="AS15" s="26">
        <f>IF($A15="","",IF(AND(AR15&lt;&gt;"לא תואם",G15&lt;&gt;"לא ברור"),"אמין","לפרש בזהירות"))</f>
      </c>
    </row>
    <row r="16" ht="15" customHeight="1" spans="1:45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6">
        <f>IF($A16="","",$A16&amp;"|"&amp;$C16)</f>
      </c>
      <c r="AF16" s="27">
        <f>IF($A16="","",IFERROR(COUNTIF(L16:M16,"כן")/(COUNTIF(L16:M16,"כן")+COUNTIF(L16:M16,"לא")),""))</f>
      </c>
      <c r="AG16" s="27">
        <f>IF($A16="","",IFERROR(COUNTIF(N16:O16,"כן")/(COUNTIF(N16:O16,"כן")+COUNTIF(N16:O16,"לא")),""))</f>
      </c>
      <c r="AH16" s="27">
        <f>IF($A16="","",IFERROR(COUNTIF(P16,"כן")/(COUNTIF(P16,"כן")+COUNTIF(P16,"לא")),""))</f>
      </c>
      <c r="AI16" s="27">
        <f>IF($A16="","",IFERROR(COUNTIF(Q16:R16,"כן")/(COUNTIF(Q16:R16,"כן")+COUNTIF(Q16:R16,"לא")),""))</f>
      </c>
      <c r="AJ16" s="27">
        <f>IF($A16="","",IFERROR(COUNTIF(S16:T16,"כן")/(COUNTIF(S16:T16,"כן")+COUNTIF(S16:T16,"לא")),""))</f>
      </c>
      <c r="AK16" s="27">
        <f>IF($A16="","",IFERROR(COUNTIF(L16:T16,"כן")/(COUNTIF(L16:T16,"כן")+COUNTIF(L16:T16,"לא")),""))</f>
      </c>
      <c r="AL16" s="28">
        <f>IF($A16="","",IFERROR(AVERAGE(U16:V16),""))</f>
      </c>
      <c r="AM16" s="28">
        <f>IF($A16="","",IFERROR(AVERAGE(W16:X16),""))</f>
      </c>
      <c r="AN16" s="28">
        <f>IF($A16="","",IFERROR(AVERAGE(Y16:Z16),""))</f>
      </c>
      <c r="AO16" s="28">
        <f>IF($A16="","",IFERROR(AVERAGE(AA16:AB16),""))</f>
      </c>
      <c r="AP16" s="28">
        <f>IF($A16="","",IFERROR(AVERAGE(AC16),""))</f>
      </c>
      <c r="AQ16" s="28">
        <f>IF($A16="","",IFERROR(AVERAGE(U16:AC16),""))</f>
      </c>
      <c r="AR16" s="26">
        <f>IF($A16="","",IF(AND(H16="",J16=""),"לא נבדק",IF(AND(OR(H16="",H16=I16),OR(J16="",J16=K16)),"תואם","לא תואם")))</f>
      </c>
      <c r="AS16" s="26">
        <f>IF($A16="","",IF(AND(AR16&lt;&gt;"לא תואם",G16&lt;&gt;"לא ברור"),"אמין","לפרש בזהירות"))</f>
      </c>
    </row>
    <row r="17" ht="15" customHeight="1" spans="1:45" x14ac:dyDescent="0.2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6">
        <f>IF($A17="","",$A17&amp;"|"&amp;$C17)</f>
      </c>
      <c r="AF17" s="27">
        <f>IF($A17="","",IFERROR(COUNTIF(L17:M17,"כן")/(COUNTIF(L17:M17,"כן")+COUNTIF(L17:M17,"לא")),""))</f>
      </c>
      <c r="AG17" s="27">
        <f>IF($A17="","",IFERROR(COUNTIF(N17:O17,"כן")/(COUNTIF(N17:O17,"כן")+COUNTIF(N17:O17,"לא")),""))</f>
      </c>
      <c r="AH17" s="27">
        <f>IF($A17="","",IFERROR(COUNTIF(P17,"כן")/(COUNTIF(P17,"כן")+COUNTIF(P17,"לא")),""))</f>
      </c>
      <c r="AI17" s="27">
        <f>IF($A17="","",IFERROR(COUNTIF(Q17:R17,"כן")/(COUNTIF(Q17:R17,"כן")+COUNTIF(Q17:R17,"לא")),""))</f>
      </c>
      <c r="AJ17" s="27">
        <f>IF($A17="","",IFERROR(COUNTIF(S17:T17,"כן")/(COUNTIF(S17:T17,"כן")+COUNTIF(S17:T17,"לא")),""))</f>
      </c>
      <c r="AK17" s="27">
        <f>IF($A17="","",IFERROR(COUNTIF(L17:T17,"כן")/(COUNTIF(L17:T17,"כן")+COUNTIF(L17:T17,"לא")),""))</f>
      </c>
      <c r="AL17" s="28">
        <f>IF($A17="","",IFERROR(AVERAGE(U17:V17),""))</f>
      </c>
      <c r="AM17" s="28">
        <f>IF($A17="","",IFERROR(AVERAGE(W17:X17),""))</f>
      </c>
      <c r="AN17" s="28">
        <f>IF($A17="","",IFERROR(AVERAGE(Y17:Z17),""))</f>
      </c>
      <c r="AO17" s="28">
        <f>IF($A17="","",IFERROR(AVERAGE(AA17:AB17),""))</f>
      </c>
      <c r="AP17" s="28">
        <f>IF($A17="","",IFERROR(AVERAGE(AC17),""))</f>
      </c>
      <c r="AQ17" s="28">
        <f>IF($A17="","",IFERROR(AVERAGE(U17:AC17),""))</f>
      </c>
      <c r="AR17" s="26">
        <f>IF($A17="","",IF(AND(H17="",J17=""),"לא נבדק",IF(AND(OR(H17="",H17=I17),OR(J17="",J17=K17)),"תואם","לא תואם")))</f>
      </c>
      <c r="AS17" s="26">
        <f>IF($A17="","",IF(AND(AR17&lt;&gt;"לא תואם",G17&lt;&gt;"לא ברור"),"אמין","לפרש בזהירות"))</f>
      </c>
    </row>
    <row r="18" ht="15" customHeight="1" spans="1:45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6">
        <f>IF($A18="","",$A18&amp;"|"&amp;$C18)</f>
      </c>
      <c r="AF18" s="27">
        <f>IF($A18="","",IFERROR(COUNTIF(L18:M18,"כן")/(COUNTIF(L18:M18,"כן")+COUNTIF(L18:M18,"לא")),""))</f>
      </c>
      <c r="AG18" s="27">
        <f>IF($A18="","",IFERROR(COUNTIF(N18:O18,"כן")/(COUNTIF(N18:O18,"כן")+COUNTIF(N18:O18,"לא")),""))</f>
      </c>
      <c r="AH18" s="27">
        <f>IF($A18="","",IFERROR(COUNTIF(P18,"כן")/(COUNTIF(P18,"כן")+COUNTIF(P18,"לא")),""))</f>
      </c>
      <c r="AI18" s="27">
        <f>IF($A18="","",IFERROR(COUNTIF(Q18:R18,"כן")/(COUNTIF(Q18:R18,"כן")+COUNTIF(Q18:R18,"לא")),""))</f>
      </c>
      <c r="AJ18" s="27">
        <f>IF($A18="","",IFERROR(COUNTIF(S18:T18,"כן")/(COUNTIF(S18:T18,"כן")+COUNTIF(S18:T18,"לא")),""))</f>
      </c>
      <c r="AK18" s="27">
        <f>IF($A18="","",IFERROR(COUNTIF(L18:T18,"כן")/(COUNTIF(L18:T18,"כן")+COUNTIF(L18:T18,"לא")),""))</f>
      </c>
      <c r="AL18" s="28">
        <f>IF($A18="","",IFERROR(AVERAGE(U18:V18),""))</f>
      </c>
      <c r="AM18" s="28">
        <f>IF($A18="","",IFERROR(AVERAGE(W18:X18),""))</f>
      </c>
      <c r="AN18" s="28">
        <f>IF($A18="","",IFERROR(AVERAGE(Y18:Z18),""))</f>
      </c>
      <c r="AO18" s="28">
        <f>IF($A18="","",IFERROR(AVERAGE(AA18:AB18),""))</f>
      </c>
      <c r="AP18" s="28">
        <f>IF($A18="","",IFERROR(AVERAGE(AC18),""))</f>
      </c>
      <c r="AQ18" s="28">
        <f>IF($A18="","",IFERROR(AVERAGE(U18:AC18),""))</f>
      </c>
      <c r="AR18" s="26">
        <f>IF($A18="","",IF(AND(H18="",J18=""),"לא נבדק",IF(AND(OR(H18="",H18=I18),OR(J18="",J18=K18)),"תואם","לא תואם")))</f>
      </c>
      <c r="AS18" s="26">
        <f>IF($A18="","",IF(AND(AR18&lt;&gt;"לא תואם",G18&lt;&gt;"לא ברור"),"אמין","לפרש בזהירות"))</f>
      </c>
    </row>
    <row r="19" ht="15" customHeight="1" spans="1:45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6">
        <f>IF($A19="","",$A19&amp;"|"&amp;$C19)</f>
      </c>
      <c r="AF19" s="27">
        <f>IF($A19="","",IFERROR(COUNTIF(L19:M19,"כן")/(COUNTIF(L19:M19,"כן")+COUNTIF(L19:M19,"לא")),""))</f>
      </c>
      <c r="AG19" s="27">
        <f>IF($A19="","",IFERROR(COUNTIF(N19:O19,"כן")/(COUNTIF(N19:O19,"כן")+COUNTIF(N19:O19,"לא")),""))</f>
      </c>
      <c r="AH19" s="27">
        <f>IF($A19="","",IFERROR(COUNTIF(P19,"כן")/(COUNTIF(P19,"כן")+COUNTIF(P19,"לא")),""))</f>
      </c>
      <c r="AI19" s="27">
        <f>IF($A19="","",IFERROR(COUNTIF(Q19:R19,"כן")/(COUNTIF(Q19:R19,"כן")+COUNTIF(Q19:R19,"לא")),""))</f>
      </c>
      <c r="AJ19" s="27">
        <f>IF($A19="","",IFERROR(COUNTIF(S19:T19,"כן")/(COUNTIF(S19:T19,"כן")+COUNTIF(S19:T19,"לא")),""))</f>
      </c>
      <c r="AK19" s="27">
        <f>IF($A19="","",IFERROR(COUNTIF(L19:T19,"כן")/(COUNTIF(L19:T19,"כן")+COUNTIF(L19:T19,"לא")),""))</f>
      </c>
      <c r="AL19" s="28">
        <f>IF($A19="","",IFERROR(AVERAGE(U19:V19),""))</f>
      </c>
      <c r="AM19" s="28">
        <f>IF($A19="","",IFERROR(AVERAGE(W19:X19),""))</f>
      </c>
      <c r="AN19" s="28">
        <f>IF($A19="","",IFERROR(AVERAGE(Y19:Z19),""))</f>
      </c>
      <c r="AO19" s="28">
        <f>IF($A19="","",IFERROR(AVERAGE(AA19:AB19),""))</f>
      </c>
      <c r="AP19" s="28">
        <f>IF($A19="","",IFERROR(AVERAGE(AC19),""))</f>
      </c>
      <c r="AQ19" s="28">
        <f>IF($A19="","",IFERROR(AVERAGE(U19:AC19),""))</f>
      </c>
      <c r="AR19" s="26">
        <f>IF($A19="","",IF(AND(H19="",J19=""),"לא נבדק",IF(AND(OR(H19="",H19=I19),OR(J19="",J19=K19)),"תואם","לא תואם")))</f>
      </c>
      <c r="AS19" s="26">
        <f>IF($A19="","",IF(AND(AR19&lt;&gt;"לא תואם",G19&lt;&gt;"לא ברור"),"אמין","לפרש בזהירות"))</f>
      </c>
    </row>
    <row r="20" ht="15" customHeight="1" spans="1:45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6">
        <f>IF($A20="","",$A20&amp;"|"&amp;$C20)</f>
      </c>
      <c r="AF20" s="27">
        <f>IF($A20="","",IFERROR(COUNTIF(L20:M20,"כן")/(COUNTIF(L20:M20,"כן")+COUNTIF(L20:M20,"לא")),""))</f>
      </c>
      <c r="AG20" s="27">
        <f>IF($A20="","",IFERROR(COUNTIF(N20:O20,"כן")/(COUNTIF(N20:O20,"כן")+COUNTIF(N20:O20,"לא")),""))</f>
      </c>
      <c r="AH20" s="27">
        <f>IF($A20="","",IFERROR(COUNTIF(P20,"כן")/(COUNTIF(P20,"כן")+COUNTIF(P20,"לא")),""))</f>
      </c>
      <c r="AI20" s="27">
        <f>IF($A20="","",IFERROR(COUNTIF(Q20:R20,"כן")/(COUNTIF(Q20:R20,"כן")+COUNTIF(Q20:R20,"לא")),""))</f>
      </c>
      <c r="AJ20" s="27">
        <f>IF($A20="","",IFERROR(COUNTIF(S20:T20,"כן")/(COUNTIF(S20:T20,"כן")+COUNTIF(S20:T20,"לא")),""))</f>
      </c>
      <c r="AK20" s="27">
        <f>IF($A20="","",IFERROR(COUNTIF(L20:T20,"כן")/(COUNTIF(L20:T20,"כן")+COUNTIF(L20:T20,"לא")),""))</f>
      </c>
      <c r="AL20" s="28">
        <f>IF($A20="","",IFERROR(AVERAGE(U20:V20),""))</f>
      </c>
      <c r="AM20" s="28">
        <f>IF($A20="","",IFERROR(AVERAGE(W20:X20),""))</f>
      </c>
      <c r="AN20" s="28">
        <f>IF($A20="","",IFERROR(AVERAGE(Y20:Z20),""))</f>
      </c>
      <c r="AO20" s="28">
        <f>IF($A20="","",IFERROR(AVERAGE(AA20:AB20),""))</f>
      </c>
      <c r="AP20" s="28">
        <f>IF($A20="","",IFERROR(AVERAGE(AC20),""))</f>
      </c>
      <c r="AQ20" s="28">
        <f>IF($A20="","",IFERROR(AVERAGE(U20:AC20),""))</f>
      </c>
      <c r="AR20" s="26">
        <f>IF($A20="","",IF(AND(H20="",J20=""),"לא נבדק",IF(AND(OR(H20="",H20=I20),OR(J20="",J20=K20)),"תואם","לא תואם")))</f>
      </c>
      <c r="AS20" s="26">
        <f>IF($A20="","",IF(AND(AR20&lt;&gt;"לא תואם",G20&lt;&gt;"לא ברור"),"אמין","לפרש בזהירות"))</f>
      </c>
    </row>
    <row r="21" ht="15" customHeight="1" spans="1:45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6">
        <f>IF($A21="","",$A21&amp;"|"&amp;$C21)</f>
      </c>
      <c r="AF21" s="27">
        <f>IF($A21="","",IFERROR(COUNTIF(L21:M21,"כן")/(COUNTIF(L21:M21,"כן")+COUNTIF(L21:M21,"לא")),""))</f>
      </c>
      <c r="AG21" s="27">
        <f>IF($A21="","",IFERROR(COUNTIF(N21:O21,"כן")/(COUNTIF(N21:O21,"כן")+COUNTIF(N21:O21,"לא")),""))</f>
      </c>
      <c r="AH21" s="27">
        <f>IF($A21="","",IFERROR(COUNTIF(P21,"כן")/(COUNTIF(P21,"כן")+COUNTIF(P21,"לא")),""))</f>
      </c>
      <c r="AI21" s="27">
        <f>IF($A21="","",IFERROR(COUNTIF(Q21:R21,"כן")/(COUNTIF(Q21:R21,"כן")+COUNTIF(Q21:R21,"לא")),""))</f>
      </c>
      <c r="AJ21" s="27">
        <f>IF($A21="","",IFERROR(COUNTIF(S21:T21,"כן")/(COUNTIF(S21:T21,"כן")+COUNTIF(S21:T21,"לא")),""))</f>
      </c>
      <c r="AK21" s="27">
        <f>IF($A21="","",IFERROR(COUNTIF(L21:T21,"כן")/(COUNTIF(L21:T21,"כן")+COUNTIF(L21:T21,"לא")),""))</f>
      </c>
      <c r="AL21" s="28">
        <f>IF($A21="","",IFERROR(AVERAGE(U21:V21),""))</f>
      </c>
      <c r="AM21" s="28">
        <f>IF($A21="","",IFERROR(AVERAGE(W21:X21),""))</f>
      </c>
      <c r="AN21" s="28">
        <f>IF($A21="","",IFERROR(AVERAGE(Y21:Z21),""))</f>
      </c>
      <c r="AO21" s="28">
        <f>IF($A21="","",IFERROR(AVERAGE(AA21:AB21),""))</f>
      </c>
      <c r="AP21" s="28">
        <f>IF($A21="","",IFERROR(AVERAGE(AC21),""))</f>
      </c>
      <c r="AQ21" s="28">
        <f>IF($A21="","",IFERROR(AVERAGE(U21:AC21),""))</f>
      </c>
      <c r="AR21" s="26">
        <f>IF($A21="","",IF(AND(H21="",J21=""),"לא נבדק",IF(AND(OR(H21="",H21=I21),OR(J21="",J21=K21)),"תואם","לא תואם")))</f>
      </c>
      <c r="AS21" s="26">
        <f>IF($A21="","",IF(AND(AR21&lt;&gt;"לא תואם",G21&lt;&gt;"לא ברור"),"אמין","לפרש בזהירות"))</f>
      </c>
    </row>
    <row r="22" ht="15" customHeight="1" spans="1:45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6">
        <f>IF($A22="","",$A22&amp;"|"&amp;$C22)</f>
      </c>
      <c r="AF22" s="27">
        <f>IF($A22="","",IFERROR(COUNTIF(L22:M22,"כן")/(COUNTIF(L22:M22,"כן")+COUNTIF(L22:M22,"לא")),""))</f>
      </c>
      <c r="AG22" s="27">
        <f>IF($A22="","",IFERROR(COUNTIF(N22:O22,"כן")/(COUNTIF(N22:O22,"כן")+COUNTIF(N22:O22,"לא")),""))</f>
      </c>
      <c r="AH22" s="27">
        <f>IF($A22="","",IFERROR(COUNTIF(P22,"כן")/(COUNTIF(P22,"כן")+COUNTIF(P22,"לא")),""))</f>
      </c>
      <c r="AI22" s="27">
        <f>IF($A22="","",IFERROR(COUNTIF(Q22:R22,"כן")/(COUNTIF(Q22:R22,"כן")+COUNTIF(Q22:R22,"לא")),""))</f>
      </c>
      <c r="AJ22" s="27">
        <f>IF($A22="","",IFERROR(COUNTIF(S22:T22,"כן")/(COUNTIF(S22:T22,"כן")+COUNTIF(S22:T22,"לא")),""))</f>
      </c>
      <c r="AK22" s="27">
        <f>IF($A22="","",IFERROR(COUNTIF(L22:T22,"כן")/(COUNTIF(L22:T22,"כן")+COUNTIF(L22:T22,"לא")),""))</f>
      </c>
      <c r="AL22" s="28">
        <f>IF($A22="","",IFERROR(AVERAGE(U22:V22),""))</f>
      </c>
      <c r="AM22" s="28">
        <f>IF($A22="","",IFERROR(AVERAGE(W22:X22),""))</f>
      </c>
      <c r="AN22" s="28">
        <f>IF($A22="","",IFERROR(AVERAGE(Y22:Z22),""))</f>
      </c>
      <c r="AO22" s="28">
        <f>IF($A22="","",IFERROR(AVERAGE(AA22:AB22),""))</f>
      </c>
      <c r="AP22" s="28">
        <f>IF($A22="","",IFERROR(AVERAGE(AC22),""))</f>
      </c>
      <c r="AQ22" s="28">
        <f>IF($A22="","",IFERROR(AVERAGE(U22:AC22),""))</f>
      </c>
      <c r="AR22" s="26">
        <f>IF($A22="","",IF(AND(H22="",J22=""),"לא נבדק",IF(AND(OR(H22="",H22=I22),OR(J22="",J22=K22)),"תואם","לא תואם")))</f>
      </c>
      <c r="AS22" s="26">
        <f>IF($A22="","",IF(AND(AR22&lt;&gt;"לא תואם",G22&lt;&gt;"לא ברור"),"אמין","לפרש בזהירות"))</f>
      </c>
    </row>
    <row r="23" ht="15" customHeight="1" spans="1:45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6">
        <f>IF($A23="","",$A23&amp;"|"&amp;$C23)</f>
      </c>
      <c r="AF23" s="27">
        <f>IF($A23="","",IFERROR(COUNTIF(L23:M23,"כן")/(COUNTIF(L23:M23,"כן")+COUNTIF(L23:M23,"לא")),""))</f>
      </c>
      <c r="AG23" s="27">
        <f>IF($A23="","",IFERROR(COUNTIF(N23:O23,"כן")/(COUNTIF(N23:O23,"כן")+COUNTIF(N23:O23,"לא")),""))</f>
      </c>
      <c r="AH23" s="27">
        <f>IF($A23="","",IFERROR(COUNTIF(P23,"כן")/(COUNTIF(P23,"כן")+COUNTIF(P23,"לא")),""))</f>
      </c>
      <c r="AI23" s="27">
        <f>IF($A23="","",IFERROR(COUNTIF(Q23:R23,"כן")/(COUNTIF(Q23:R23,"כן")+COUNTIF(Q23:R23,"לא")),""))</f>
      </c>
      <c r="AJ23" s="27">
        <f>IF($A23="","",IFERROR(COUNTIF(S23:T23,"כן")/(COUNTIF(S23:T23,"כן")+COUNTIF(S23:T23,"לא")),""))</f>
      </c>
      <c r="AK23" s="27">
        <f>IF($A23="","",IFERROR(COUNTIF(L23:T23,"כן")/(COUNTIF(L23:T23,"כן")+COUNTIF(L23:T23,"לא")),""))</f>
      </c>
      <c r="AL23" s="28">
        <f>IF($A23="","",IFERROR(AVERAGE(U23:V23),""))</f>
      </c>
      <c r="AM23" s="28">
        <f>IF($A23="","",IFERROR(AVERAGE(W23:X23),""))</f>
      </c>
      <c r="AN23" s="28">
        <f>IF($A23="","",IFERROR(AVERAGE(Y23:Z23),""))</f>
      </c>
      <c r="AO23" s="28">
        <f>IF($A23="","",IFERROR(AVERAGE(AA23:AB23),""))</f>
      </c>
      <c r="AP23" s="28">
        <f>IF($A23="","",IFERROR(AVERAGE(AC23),""))</f>
      </c>
      <c r="AQ23" s="28">
        <f>IF($A23="","",IFERROR(AVERAGE(U23:AC23),""))</f>
      </c>
      <c r="AR23" s="26">
        <f>IF($A23="","",IF(AND(H23="",J23=""),"לא נבדק",IF(AND(OR(H23="",H23=I23),OR(J23="",J23=K23)),"תואם","לא תואם")))</f>
      </c>
      <c r="AS23" s="26">
        <f>IF($A23="","",IF(AND(AR23&lt;&gt;"לא תואם",G23&lt;&gt;"לא ברור"),"אמין","לפרש בזהירות"))</f>
      </c>
    </row>
    <row r="24" ht="15" customHeight="1" spans="1:45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6">
        <f>IF($A24="","",$A24&amp;"|"&amp;$C24)</f>
      </c>
      <c r="AF24" s="27">
        <f>IF($A24="","",IFERROR(COUNTIF(L24:M24,"כן")/(COUNTIF(L24:M24,"כן")+COUNTIF(L24:M24,"לא")),""))</f>
      </c>
      <c r="AG24" s="27">
        <f>IF($A24="","",IFERROR(COUNTIF(N24:O24,"כן")/(COUNTIF(N24:O24,"כן")+COUNTIF(N24:O24,"לא")),""))</f>
      </c>
      <c r="AH24" s="27">
        <f>IF($A24="","",IFERROR(COUNTIF(P24,"כן")/(COUNTIF(P24,"כן")+COUNTIF(P24,"לא")),""))</f>
      </c>
      <c r="AI24" s="27">
        <f>IF($A24="","",IFERROR(COUNTIF(Q24:R24,"כן")/(COUNTIF(Q24:R24,"כן")+COUNTIF(Q24:R24,"לא")),""))</f>
      </c>
      <c r="AJ24" s="27">
        <f>IF($A24="","",IFERROR(COUNTIF(S24:T24,"כן")/(COUNTIF(S24:T24,"כן")+COUNTIF(S24:T24,"לא")),""))</f>
      </c>
      <c r="AK24" s="27">
        <f>IF($A24="","",IFERROR(COUNTIF(L24:T24,"כן")/(COUNTIF(L24:T24,"כן")+COUNTIF(L24:T24,"לא")),""))</f>
      </c>
      <c r="AL24" s="28">
        <f>IF($A24="","",IFERROR(AVERAGE(U24:V24),""))</f>
      </c>
      <c r="AM24" s="28">
        <f>IF($A24="","",IFERROR(AVERAGE(W24:X24),""))</f>
      </c>
      <c r="AN24" s="28">
        <f>IF($A24="","",IFERROR(AVERAGE(Y24:Z24),""))</f>
      </c>
      <c r="AO24" s="28">
        <f>IF($A24="","",IFERROR(AVERAGE(AA24:AB24),""))</f>
      </c>
      <c r="AP24" s="28">
        <f>IF($A24="","",IFERROR(AVERAGE(AC24),""))</f>
      </c>
      <c r="AQ24" s="28">
        <f>IF($A24="","",IFERROR(AVERAGE(U24:AC24),""))</f>
      </c>
      <c r="AR24" s="26">
        <f>IF($A24="","",IF(AND(H24="",J24=""),"לא נבדק",IF(AND(OR(H24="",H24=I24),OR(J24="",J24=K24)),"תואם","לא תואם")))</f>
      </c>
      <c r="AS24" s="26">
        <f>IF($A24="","",IF(AND(AR24&lt;&gt;"לא תואם",G24&lt;&gt;"לא ברור"),"אמין","לפרש בזהירות"))</f>
      </c>
    </row>
    <row r="25" ht="15" customHeight="1" spans="1:45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6">
        <f>IF($A25="","",$A25&amp;"|"&amp;$C25)</f>
      </c>
      <c r="AF25" s="27">
        <f>IF($A25="","",IFERROR(COUNTIF(L25:M25,"כן")/(COUNTIF(L25:M25,"כן")+COUNTIF(L25:M25,"לא")),""))</f>
      </c>
      <c r="AG25" s="27">
        <f>IF($A25="","",IFERROR(COUNTIF(N25:O25,"כן")/(COUNTIF(N25:O25,"כן")+COUNTIF(N25:O25,"לא")),""))</f>
      </c>
      <c r="AH25" s="27">
        <f>IF($A25="","",IFERROR(COUNTIF(P25,"כן")/(COUNTIF(P25,"כן")+COUNTIF(P25,"לא")),""))</f>
      </c>
      <c r="AI25" s="27">
        <f>IF($A25="","",IFERROR(COUNTIF(Q25:R25,"כן")/(COUNTIF(Q25:R25,"כן")+COUNTIF(Q25:R25,"לא")),""))</f>
      </c>
      <c r="AJ25" s="27">
        <f>IF($A25="","",IFERROR(COUNTIF(S25:T25,"כן")/(COUNTIF(S25:T25,"כן")+COUNTIF(S25:T25,"לא")),""))</f>
      </c>
      <c r="AK25" s="27">
        <f>IF($A25="","",IFERROR(COUNTIF(L25:T25,"כן")/(COUNTIF(L25:T25,"כן")+COUNTIF(L25:T25,"לא")),""))</f>
      </c>
      <c r="AL25" s="28">
        <f>IF($A25="","",IFERROR(AVERAGE(U25:V25),""))</f>
      </c>
      <c r="AM25" s="28">
        <f>IF($A25="","",IFERROR(AVERAGE(W25:X25),""))</f>
      </c>
      <c r="AN25" s="28">
        <f>IF($A25="","",IFERROR(AVERAGE(Y25:Z25),""))</f>
      </c>
      <c r="AO25" s="28">
        <f>IF($A25="","",IFERROR(AVERAGE(AA25:AB25),""))</f>
      </c>
      <c r="AP25" s="28">
        <f>IF($A25="","",IFERROR(AVERAGE(AC25),""))</f>
      </c>
      <c r="AQ25" s="28">
        <f>IF($A25="","",IFERROR(AVERAGE(U25:AC25),""))</f>
      </c>
      <c r="AR25" s="26">
        <f>IF($A25="","",IF(AND(H25="",J25=""),"לא נבדק",IF(AND(OR(H25="",H25=I25),OR(J25="",J25=K25)),"תואם","לא תואם")))</f>
      </c>
      <c r="AS25" s="26">
        <f>IF($A25="","",IF(AND(AR25&lt;&gt;"לא תואם",G25&lt;&gt;"לא ברור"),"אמין","לפרש בזהירות"))</f>
      </c>
    </row>
    <row r="26" ht="15" customHeight="1" spans="1:45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6">
        <f>IF($A26="","",$A26&amp;"|"&amp;$C26)</f>
      </c>
      <c r="AF26" s="27">
        <f>IF($A26="","",IFERROR(COUNTIF(L26:M26,"כן")/(COUNTIF(L26:M26,"כן")+COUNTIF(L26:M26,"לא")),""))</f>
      </c>
      <c r="AG26" s="27">
        <f>IF($A26="","",IFERROR(COUNTIF(N26:O26,"כן")/(COUNTIF(N26:O26,"כן")+COUNTIF(N26:O26,"לא")),""))</f>
      </c>
      <c r="AH26" s="27">
        <f>IF($A26="","",IFERROR(COUNTIF(P26,"כן")/(COUNTIF(P26,"כן")+COUNTIF(P26,"לא")),""))</f>
      </c>
      <c r="AI26" s="27">
        <f>IF($A26="","",IFERROR(COUNTIF(Q26:R26,"כן")/(COUNTIF(Q26:R26,"כן")+COUNTIF(Q26:R26,"לא")),""))</f>
      </c>
      <c r="AJ26" s="27">
        <f>IF($A26="","",IFERROR(COUNTIF(S26:T26,"כן")/(COUNTIF(S26:T26,"כן")+COUNTIF(S26:T26,"לא")),""))</f>
      </c>
      <c r="AK26" s="27">
        <f>IF($A26="","",IFERROR(COUNTIF(L26:T26,"כן")/(COUNTIF(L26:T26,"כן")+COUNTIF(L26:T26,"לא")),""))</f>
      </c>
      <c r="AL26" s="28">
        <f>IF($A26="","",IFERROR(AVERAGE(U26:V26),""))</f>
      </c>
      <c r="AM26" s="28">
        <f>IF($A26="","",IFERROR(AVERAGE(W26:X26),""))</f>
      </c>
      <c r="AN26" s="28">
        <f>IF($A26="","",IFERROR(AVERAGE(Y26:Z26),""))</f>
      </c>
      <c r="AO26" s="28">
        <f>IF($A26="","",IFERROR(AVERAGE(AA26:AB26),""))</f>
      </c>
      <c r="AP26" s="28">
        <f>IF($A26="","",IFERROR(AVERAGE(AC26),""))</f>
      </c>
      <c r="AQ26" s="28">
        <f>IF($A26="","",IFERROR(AVERAGE(U26:AC26),""))</f>
      </c>
      <c r="AR26" s="26">
        <f>IF($A26="","",IF(AND(H26="",J26=""),"לא נבדק",IF(AND(OR(H26="",H26=I26),OR(J26="",J26=K26)),"תואם","לא תואם")))</f>
      </c>
      <c r="AS26" s="26">
        <f>IF($A26="","",IF(AND(AR26&lt;&gt;"לא תואם",G26&lt;&gt;"לא ברור"),"אמין","לפרש בזהירות"))</f>
      </c>
    </row>
    <row r="27" ht="15" customHeight="1" spans="1:45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6">
        <f>IF($A27="","",$A27&amp;"|"&amp;$C27)</f>
      </c>
      <c r="AF27" s="27">
        <f>IF($A27="","",IFERROR(COUNTIF(L27:M27,"כן")/(COUNTIF(L27:M27,"כן")+COUNTIF(L27:M27,"לא")),""))</f>
      </c>
      <c r="AG27" s="27">
        <f>IF($A27="","",IFERROR(COUNTIF(N27:O27,"כן")/(COUNTIF(N27:O27,"כן")+COUNTIF(N27:O27,"לא")),""))</f>
      </c>
      <c r="AH27" s="27">
        <f>IF($A27="","",IFERROR(COUNTIF(P27,"כן")/(COUNTIF(P27,"כן")+COUNTIF(P27,"לא")),""))</f>
      </c>
      <c r="AI27" s="27">
        <f>IF($A27="","",IFERROR(COUNTIF(Q27:R27,"כן")/(COUNTIF(Q27:R27,"כן")+COUNTIF(Q27:R27,"לא")),""))</f>
      </c>
      <c r="AJ27" s="27">
        <f>IF($A27="","",IFERROR(COUNTIF(S27:T27,"כן")/(COUNTIF(S27:T27,"כן")+COUNTIF(S27:T27,"לא")),""))</f>
      </c>
      <c r="AK27" s="27">
        <f>IF($A27="","",IFERROR(COUNTIF(L27:T27,"כן")/(COUNTIF(L27:T27,"כן")+COUNTIF(L27:T27,"לא")),""))</f>
      </c>
      <c r="AL27" s="28">
        <f>IF($A27="","",IFERROR(AVERAGE(U27:V27),""))</f>
      </c>
      <c r="AM27" s="28">
        <f>IF($A27="","",IFERROR(AVERAGE(W27:X27),""))</f>
      </c>
      <c r="AN27" s="28">
        <f>IF($A27="","",IFERROR(AVERAGE(Y27:Z27),""))</f>
      </c>
      <c r="AO27" s="28">
        <f>IF($A27="","",IFERROR(AVERAGE(AA27:AB27),""))</f>
      </c>
      <c r="AP27" s="28">
        <f>IF($A27="","",IFERROR(AVERAGE(AC27),""))</f>
      </c>
      <c r="AQ27" s="28">
        <f>IF($A27="","",IFERROR(AVERAGE(U27:AC27),""))</f>
      </c>
      <c r="AR27" s="26">
        <f>IF($A27="","",IF(AND(H27="",J27=""),"לא נבדק",IF(AND(OR(H27="",H27=I27),OR(J27="",J27=K27)),"תואם","לא תואם")))</f>
      </c>
      <c r="AS27" s="26">
        <f>IF($A27="","",IF(AND(AR27&lt;&gt;"לא תואם",G27&lt;&gt;"לא ברור"),"אמין","לפרש בזהירות"))</f>
      </c>
    </row>
    <row r="28" ht="15" customHeight="1" spans="1:45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6">
        <f>IF($A28="","",$A28&amp;"|"&amp;$C28)</f>
      </c>
      <c r="AF28" s="27">
        <f>IF($A28="","",IFERROR(COUNTIF(L28:M28,"כן")/(COUNTIF(L28:M28,"כן")+COUNTIF(L28:M28,"לא")),""))</f>
      </c>
      <c r="AG28" s="27">
        <f>IF($A28="","",IFERROR(COUNTIF(N28:O28,"כן")/(COUNTIF(N28:O28,"כן")+COUNTIF(N28:O28,"לא")),""))</f>
      </c>
      <c r="AH28" s="27">
        <f>IF($A28="","",IFERROR(COUNTIF(P28,"כן")/(COUNTIF(P28,"כן")+COUNTIF(P28,"לא")),""))</f>
      </c>
      <c r="AI28" s="27">
        <f>IF($A28="","",IFERROR(COUNTIF(Q28:R28,"כן")/(COUNTIF(Q28:R28,"כן")+COUNTIF(Q28:R28,"לא")),""))</f>
      </c>
      <c r="AJ28" s="27">
        <f>IF($A28="","",IFERROR(COUNTIF(S28:T28,"כן")/(COUNTIF(S28:T28,"כן")+COUNTIF(S28:T28,"לא")),""))</f>
      </c>
      <c r="AK28" s="27">
        <f>IF($A28="","",IFERROR(COUNTIF(L28:T28,"כן")/(COUNTIF(L28:T28,"כן")+COUNTIF(L28:T28,"לא")),""))</f>
      </c>
      <c r="AL28" s="28">
        <f>IF($A28="","",IFERROR(AVERAGE(U28:V28),""))</f>
      </c>
      <c r="AM28" s="28">
        <f>IF($A28="","",IFERROR(AVERAGE(W28:X28),""))</f>
      </c>
      <c r="AN28" s="28">
        <f>IF($A28="","",IFERROR(AVERAGE(Y28:Z28),""))</f>
      </c>
      <c r="AO28" s="28">
        <f>IF($A28="","",IFERROR(AVERAGE(AA28:AB28),""))</f>
      </c>
      <c r="AP28" s="28">
        <f>IF($A28="","",IFERROR(AVERAGE(AC28),""))</f>
      </c>
      <c r="AQ28" s="28">
        <f>IF($A28="","",IFERROR(AVERAGE(U28:AC28),""))</f>
      </c>
      <c r="AR28" s="26">
        <f>IF($A28="","",IF(AND(H28="",J28=""),"לא נבדק",IF(AND(OR(H28="",H28=I28),OR(J28="",J28=K28)),"תואם","לא תואם")))</f>
      </c>
      <c r="AS28" s="26">
        <f>IF($A28="","",IF(AND(AR28&lt;&gt;"לא תואם",G28&lt;&gt;"לא ברור"),"אמין","לפרש בזהירות"))</f>
      </c>
    </row>
    <row r="29" ht="15" customHeight="1" spans="1:45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6">
        <f>IF($A29="","",$A29&amp;"|"&amp;$C29)</f>
      </c>
      <c r="AF29" s="27">
        <f>IF($A29="","",IFERROR(COUNTIF(L29:M29,"כן")/(COUNTIF(L29:M29,"כן")+COUNTIF(L29:M29,"לא")),""))</f>
      </c>
      <c r="AG29" s="27">
        <f>IF($A29="","",IFERROR(COUNTIF(N29:O29,"כן")/(COUNTIF(N29:O29,"כן")+COUNTIF(N29:O29,"לא")),""))</f>
      </c>
      <c r="AH29" s="27">
        <f>IF($A29="","",IFERROR(COUNTIF(P29,"כן")/(COUNTIF(P29,"כן")+COUNTIF(P29,"לא")),""))</f>
      </c>
      <c r="AI29" s="27">
        <f>IF($A29="","",IFERROR(COUNTIF(Q29:R29,"כן")/(COUNTIF(Q29:R29,"כן")+COUNTIF(Q29:R29,"לא")),""))</f>
      </c>
      <c r="AJ29" s="27">
        <f>IF($A29="","",IFERROR(COUNTIF(S29:T29,"כן")/(COUNTIF(S29:T29,"כן")+COUNTIF(S29:T29,"לא")),""))</f>
      </c>
      <c r="AK29" s="27">
        <f>IF($A29="","",IFERROR(COUNTIF(L29:T29,"כן")/(COUNTIF(L29:T29,"כן")+COUNTIF(L29:T29,"לא")),""))</f>
      </c>
      <c r="AL29" s="28">
        <f>IF($A29="","",IFERROR(AVERAGE(U29:V29),""))</f>
      </c>
      <c r="AM29" s="28">
        <f>IF($A29="","",IFERROR(AVERAGE(W29:X29),""))</f>
      </c>
      <c r="AN29" s="28">
        <f>IF($A29="","",IFERROR(AVERAGE(Y29:Z29),""))</f>
      </c>
      <c r="AO29" s="28">
        <f>IF($A29="","",IFERROR(AVERAGE(AA29:AB29),""))</f>
      </c>
      <c r="AP29" s="28">
        <f>IF($A29="","",IFERROR(AVERAGE(AC29),""))</f>
      </c>
      <c r="AQ29" s="28">
        <f>IF($A29="","",IFERROR(AVERAGE(U29:AC29),""))</f>
      </c>
      <c r="AR29" s="26">
        <f>IF($A29="","",IF(AND(H29="",J29=""),"לא נבדק",IF(AND(OR(H29="",H29=I29),OR(J29="",J29=K29)),"תואם","לא תואם")))</f>
      </c>
      <c r="AS29" s="26">
        <f>IF($A29="","",IF(AND(AR29&lt;&gt;"לא תואם",G29&lt;&gt;"לא ברור"),"אמין","לפרש בזהירות"))</f>
      </c>
    </row>
    <row r="30" ht="15" customHeight="1" spans="1:45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6">
        <f>IF($A30="","",$A30&amp;"|"&amp;$C30)</f>
      </c>
      <c r="AF30" s="27">
        <f>IF($A30="","",IFERROR(COUNTIF(L30:M30,"כן")/(COUNTIF(L30:M30,"כן")+COUNTIF(L30:M30,"לא")),""))</f>
      </c>
      <c r="AG30" s="27">
        <f>IF($A30="","",IFERROR(COUNTIF(N30:O30,"כן")/(COUNTIF(N30:O30,"כן")+COUNTIF(N30:O30,"לא")),""))</f>
      </c>
      <c r="AH30" s="27">
        <f>IF($A30="","",IFERROR(COUNTIF(P30,"כן")/(COUNTIF(P30,"כן")+COUNTIF(P30,"לא")),""))</f>
      </c>
      <c r="AI30" s="27">
        <f>IF($A30="","",IFERROR(COUNTIF(Q30:R30,"כן")/(COUNTIF(Q30:R30,"כן")+COUNTIF(Q30:R30,"לא")),""))</f>
      </c>
      <c r="AJ30" s="27">
        <f>IF($A30="","",IFERROR(COUNTIF(S30:T30,"כן")/(COUNTIF(S30:T30,"כן")+COUNTIF(S30:T30,"לא")),""))</f>
      </c>
      <c r="AK30" s="27">
        <f>IF($A30="","",IFERROR(COUNTIF(L30:T30,"כן")/(COUNTIF(L30:T30,"כן")+COUNTIF(L30:T30,"לא")),""))</f>
      </c>
      <c r="AL30" s="28">
        <f>IF($A30="","",IFERROR(AVERAGE(U30:V30),""))</f>
      </c>
      <c r="AM30" s="28">
        <f>IF($A30="","",IFERROR(AVERAGE(W30:X30),""))</f>
      </c>
      <c r="AN30" s="28">
        <f>IF($A30="","",IFERROR(AVERAGE(Y30:Z30),""))</f>
      </c>
      <c r="AO30" s="28">
        <f>IF($A30="","",IFERROR(AVERAGE(AA30:AB30),""))</f>
      </c>
      <c r="AP30" s="28">
        <f>IF($A30="","",IFERROR(AVERAGE(AC30),""))</f>
      </c>
      <c r="AQ30" s="28">
        <f>IF($A30="","",IFERROR(AVERAGE(U30:AC30),""))</f>
      </c>
      <c r="AR30" s="26">
        <f>IF($A30="","",IF(AND(H30="",J30=""),"לא נבדק",IF(AND(OR(H30="",H30=I30),OR(J30="",J30=K30)),"תואם","לא תואם")))</f>
      </c>
      <c r="AS30" s="26">
        <f>IF($A30="","",IF(AND(AR30&lt;&gt;"לא תואם",G30&lt;&gt;"לא ברור"),"אמין","לפרש בזהירות"))</f>
      </c>
    </row>
    <row r="31" ht="15" customHeight="1" spans="1:45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6">
        <f>IF($A31="","",$A31&amp;"|"&amp;$C31)</f>
      </c>
      <c r="AF31" s="27">
        <f>IF($A31="","",IFERROR(COUNTIF(L31:M31,"כן")/(COUNTIF(L31:M31,"כן")+COUNTIF(L31:M31,"לא")),""))</f>
      </c>
      <c r="AG31" s="27">
        <f>IF($A31="","",IFERROR(COUNTIF(N31:O31,"כן")/(COUNTIF(N31:O31,"כן")+COUNTIF(N31:O31,"לא")),""))</f>
      </c>
      <c r="AH31" s="27">
        <f>IF($A31="","",IFERROR(COUNTIF(P31,"כן")/(COUNTIF(P31,"כן")+COUNTIF(P31,"לא")),""))</f>
      </c>
      <c r="AI31" s="27">
        <f>IF($A31="","",IFERROR(COUNTIF(Q31:R31,"כן")/(COUNTIF(Q31:R31,"כן")+COUNTIF(Q31:R31,"לא")),""))</f>
      </c>
      <c r="AJ31" s="27">
        <f>IF($A31="","",IFERROR(COUNTIF(S31:T31,"כן")/(COUNTIF(S31:T31,"כן")+COUNTIF(S31:T31,"לא")),""))</f>
      </c>
      <c r="AK31" s="27">
        <f>IF($A31="","",IFERROR(COUNTIF(L31:T31,"כן")/(COUNTIF(L31:T31,"כן")+COUNTIF(L31:T31,"לא")),""))</f>
      </c>
      <c r="AL31" s="28">
        <f>IF($A31="","",IFERROR(AVERAGE(U31:V31),""))</f>
      </c>
      <c r="AM31" s="28">
        <f>IF($A31="","",IFERROR(AVERAGE(W31:X31),""))</f>
      </c>
      <c r="AN31" s="28">
        <f>IF($A31="","",IFERROR(AVERAGE(Y31:Z31),""))</f>
      </c>
      <c r="AO31" s="28">
        <f>IF($A31="","",IFERROR(AVERAGE(AA31:AB31),""))</f>
      </c>
      <c r="AP31" s="28">
        <f>IF($A31="","",IFERROR(AVERAGE(AC31),""))</f>
      </c>
      <c r="AQ31" s="28">
        <f>IF($A31="","",IFERROR(AVERAGE(U31:AC31),""))</f>
      </c>
      <c r="AR31" s="26">
        <f>IF($A31="","",IF(AND(H31="",J31=""),"לא נבדק",IF(AND(OR(H31="",H31=I31),OR(J31="",J31=K31)),"תואם","לא תואם")))</f>
      </c>
      <c r="AS31" s="26">
        <f>IF($A31="","",IF(AND(AR31&lt;&gt;"לא תואם",G31&lt;&gt;"לא ברור"),"אמין","לפרש בזהירות"))</f>
      </c>
    </row>
    <row r="32" ht="15" customHeight="1" spans="1:45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6">
        <f>IF($A32="","",$A32&amp;"|"&amp;$C32)</f>
      </c>
      <c r="AF32" s="27">
        <f>IF($A32="","",IFERROR(COUNTIF(L32:M32,"כן")/(COUNTIF(L32:M32,"כן")+COUNTIF(L32:M32,"לא")),""))</f>
      </c>
      <c r="AG32" s="27">
        <f>IF($A32="","",IFERROR(COUNTIF(N32:O32,"כן")/(COUNTIF(N32:O32,"כן")+COUNTIF(N32:O32,"לא")),""))</f>
      </c>
      <c r="AH32" s="27">
        <f>IF($A32="","",IFERROR(COUNTIF(P32,"כן")/(COUNTIF(P32,"כן")+COUNTIF(P32,"לא")),""))</f>
      </c>
      <c r="AI32" s="27">
        <f>IF($A32="","",IFERROR(COUNTIF(Q32:R32,"כן")/(COUNTIF(Q32:R32,"כן")+COUNTIF(Q32:R32,"לא")),""))</f>
      </c>
      <c r="AJ32" s="27">
        <f>IF($A32="","",IFERROR(COUNTIF(S32:T32,"כן")/(COUNTIF(S32:T32,"כן")+COUNTIF(S32:T32,"לא")),""))</f>
      </c>
      <c r="AK32" s="27">
        <f>IF($A32="","",IFERROR(COUNTIF(L32:T32,"כן")/(COUNTIF(L32:T32,"כן")+COUNTIF(L32:T32,"לא")),""))</f>
      </c>
      <c r="AL32" s="28">
        <f>IF($A32="","",IFERROR(AVERAGE(U32:V32),""))</f>
      </c>
      <c r="AM32" s="28">
        <f>IF($A32="","",IFERROR(AVERAGE(W32:X32),""))</f>
      </c>
      <c r="AN32" s="28">
        <f>IF($A32="","",IFERROR(AVERAGE(Y32:Z32),""))</f>
      </c>
      <c r="AO32" s="28">
        <f>IF($A32="","",IFERROR(AVERAGE(AA32:AB32),""))</f>
      </c>
      <c r="AP32" s="28">
        <f>IF($A32="","",IFERROR(AVERAGE(AC32),""))</f>
      </c>
      <c r="AQ32" s="28">
        <f>IF($A32="","",IFERROR(AVERAGE(U32:AC32),""))</f>
      </c>
      <c r="AR32" s="26">
        <f>IF($A32="","",IF(AND(H32="",J32=""),"לא נבדק",IF(AND(OR(H32="",H32=I32),OR(J32="",J32=K32)),"תואם","לא תואם")))</f>
      </c>
      <c r="AS32" s="26">
        <f>IF($A32="","",IF(AND(AR32&lt;&gt;"לא תואם",G32&lt;&gt;"לא ברור"),"אמין","לפרש בזהירות"))</f>
      </c>
    </row>
    <row r="33" ht="15" customHeight="1" spans="1:45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6">
        <f>IF($A33="","",$A33&amp;"|"&amp;$C33)</f>
      </c>
      <c r="AF33" s="27">
        <f>IF($A33="","",IFERROR(COUNTIF(L33:M33,"כן")/(COUNTIF(L33:M33,"כן")+COUNTIF(L33:M33,"לא")),""))</f>
      </c>
      <c r="AG33" s="27">
        <f>IF($A33="","",IFERROR(COUNTIF(N33:O33,"כן")/(COUNTIF(N33:O33,"כן")+COUNTIF(N33:O33,"לא")),""))</f>
      </c>
      <c r="AH33" s="27">
        <f>IF($A33="","",IFERROR(COUNTIF(P33,"כן")/(COUNTIF(P33,"כן")+COUNTIF(P33,"לא")),""))</f>
      </c>
      <c r="AI33" s="27">
        <f>IF($A33="","",IFERROR(COUNTIF(Q33:R33,"כן")/(COUNTIF(Q33:R33,"כן")+COUNTIF(Q33:R33,"לא")),""))</f>
      </c>
      <c r="AJ33" s="27">
        <f>IF($A33="","",IFERROR(COUNTIF(S33:T33,"כן")/(COUNTIF(S33:T33,"כן")+COUNTIF(S33:T33,"לא")),""))</f>
      </c>
      <c r="AK33" s="27">
        <f>IF($A33="","",IFERROR(COUNTIF(L33:T33,"כן")/(COUNTIF(L33:T33,"כן")+COUNTIF(L33:T33,"לא")),""))</f>
      </c>
      <c r="AL33" s="28">
        <f>IF($A33="","",IFERROR(AVERAGE(U33:V33),""))</f>
      </c>
      <c r="AM33" s="28">
        <f>IF($A33="","",IFERROR(AVERAGE(W33:X33),""))</f>
      </c>
      <c r="AN33" s="28">
        <f>IF($A33="","",IFERROR(AVERAGE(Y33:Z33),""))</f>
      </c>
      <c r="AO33" s="28">
        <f>IF($A33="","",IFERROR(AVERAGE(AA33:AB33),""))</f>
      </c>
      <c r="AP33" s="28">
        <f>IF($A33="","",IFERROR(AVERAGE(AC33),""))</f>
      </c>
      <c r="AQ33" s="28">
        <f>IF($A33="","",IFERROR(AVERAGE(U33:AC33),""))</f>
      </c>
      <c r="AR33" s="26">
        <f>IF($A33="","",IF(AND(H33="",J33=""),"לא נבדק",IF(AND(OR(H33="",H33=I33),OR(J33="",J33=K33)),"תואם","לא תואם")))</f>
      </c>
      <c r="AS33" s="26">
        <f>IF($A33="","",IF(AND(AR33&lt;&gt;"לא תואם",G33&lt;&gt;"לא ברור"),"אמין","לפרש בזהירות"))</f>
      </c>
    </row>
    <row r="34" ht="15" customHeight="1" spans="1:45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6">
        <f>IF($A34="","",$A34&amp;"|"&amp;$C34)</f>
      </c>
      <c r="AF34" s="27">
        <f>IF($A34="","",IFERROR(COUNTIF(L34:M34,"כן")/(COUNTIF(L34:M34,"כן")+COUNTIF(L34:M34,"לא")),""))</f>
      </c>
      <c r="AG34" s="27">
        <f>IF($A34="","",IFERROR(COUNTIF(N34:O34,"כן")/(COUNTIF(N34:O34,"כן")+COUNTIF(N34:O34,"לא")),""))</f>
      </c>
      <c r="AH34" s="27">
        <f>IF($A34="","",IFERROR(COUNTIF(P34,"כן")/(COUNTIF(P34,"כן")+COUNTIF(P34,"לא")),""))</f>
      </c>
      <c r="AI34" s="27">
        <f>IF($A34="","",IFERROR(COUNTIF(Q34:R34,"כן")/(COUNTIF(Q34:R34,"כן")+COUNTIF(Q34:R34,"לא")),""))</f>
      </c>
      <c r="AJ34" s="27">
        <f>IF($A34="","",IFERROR(COUNTIF(S34:T34,"כן")/(COUNTIF(S34:T34,"כן")+COUNTIF(S34:T34,"לא")),""))</f>
      </c>
      <c r="AK34" s="27">
        <f>IF($A34="","",IFERROR(COUNTIF(L34:T34,"כן")/(COUNTIF(L34:T34,"כן")+COUNTIF(L34:T34,"לא")),""))</f>
      </c>
      <c r="AL34" s="28">
        <f>IF($A34="","",IFERROR(AVERAGE(U34:V34),""))</f>
      </c>
      <c r="AM34" s="28">
        <f>IF($A34="","",IFERROR(AVERAGE(W34:X34),""))</f>
      </c>
      <c r="AN34" s="28">
        <f>IF($A34="","",IFERROR(AVERAGE(Y34:Z34),""))</f>
      </c>
      <c r="AO34" s="28">
        <f>IF($A34="","",IFERROR(AVERAGE(AA34:AB34),""))</f>
      </c>
      <c r="AP34" s="28">
        <f>IF($A34="","",IFERROR(AVERAGE(AC34),""))</f>
      </c>
      <c r="AQ34" s="28">
        <f>IF($A34="","",IFERROR(AVERAGE(U34:AC34),""))</f>
      </c>
      <c r="AR34" s="26">
        <f>IF($A34="","",IF(AND(H34="",J34=""),"לא נבדק",IF(AND(OR(H34="",H34=I34),OR(J34="",J34=K34)),"תואם","לא תואם")))</f>
      </c>
      <c r="AS34" s="26">
        <f>IF($A34="","",IF(AND(AR34&lt;&gt;"לא תואם",G34&lt;&gt;"לא ברור"),"אמין","לפרש בזהירות"))</f>
      </c>
    </row>
    <row r="35" ht="15" customHeight="1" spans="1:45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6">
        <f>IF($A35="","",$A35&amp;"|"&amp;$C35)</f>
      </c>
      <c r="AF35" s="27">
        <f>IF($A35="","",IFERROR(COUNTIF(L35:M35,"כן")/(COUNTIF(L35:M35,"כן")+COUNTIF(L35:M35,"לא")),""))</f>
      </c>
      <c r="AG35" s="27">
        <f>IF($A35="","",IFERROR(COUNTIF(N35:O35,"כן")/(COUNTIF(N35:O35,"כן")+COUNTIF(N35:O35,"לא")),""))</f>
      </c>
      <c r="AH35" s="27">
        <f>IF($A35="","",IFERROR(COUNTIF(P35,"כן")/(COUNTIF(P35,"כן")+COUNTIF(P35,"לא")),""))</f>
      </c>
      <c r="AI35" s="27">
        <f>IF($A35="","",IFERROR(COUNTIF(Q35:R35,"כן")/(COUNTIF(Q35:R35,"כן")+COUNTIF(Q35:R35,"לא")),""))</f>
      </c>
      <c r="AJ35" s="27">
        <f>IF($A35="","",IFERROR(COUNTIF(S35:T35,"כן")/(COUNTIF(S35:T35,"כן")+COUNTIF(S35:T35,"לא")),""))</f>
      </c>
      <c r="AK35" s="27">
        <f>IF($A35="","",IFERROR(COUNTIF(L35:T35,"כן")/(COUNTIF(L35:T35,"כן")+COUNTIF(L35:T35,"לא")),""))</f>
      </c>
      <c r="AL35" s="28">
        <f>IF($A35="","",IFERROR(AVERAGE(U35:V35),""))</f>
      </c>
      <c r="AM35" s="28">
        <f>IF($A35="","",IFERROR(AVERAGE(W35:X35),""))</f>
      </c>
      <c r="AN35" s="28">
        <f>IF($A35="","",IFERROR(AVERAGE(Y35:Z35),""))</f>
      </c>
      <c r="AO35" s="28">
        <f>IF($A35="","",IFERROR(AVERAGE(AA35:AB35),""))</f>
      </c>
      <c r="AP35" s="28">
        <f>IF($A35="","",IFERROR(AVERAGE(AC35),""))</f>
      </c>
      <c r="AQ35" s="28">
        <f>IF($A35="","",IFERROR(AVERAGE(U35:AC35),""))</f>
      </c>
      <c r="AR35" s="26">
        <f>IF($A35="","",IF(AND(H35="",J35=""),"לא נבדק",IF(AND(OR(H35="",H35=I35),OR(J35="",J35=K35)),"תואם","לא תואם")))</f>
      </c>
      <c r="AS35" s="26">
        <f>IF($A35="","",IF(AND(AR35&lt;&gt;"לא תואם",G35&lt;&gt;"לא ברור"),"אמין","לפרש בזהירות"))</f>
      </c>
    </row>
    <row r="36" ht="15" customHeight="1" spans="1:45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6">
        <f>IF($A36="","",$A36&amp;"|"&amp;$C36)</f>
      </c>
      <c r="AF36" s="27">
        <f>IF($A36="","",IFERROR(COUNTIF(L36:M36,"כן")/(COUNTIF(L36:M36,"כן")+COUNTIF(L36:M36,"לא")),""))</f>
      </c>
      <c r="AG36" s="27">
        <f>IF($A36="","",IFERROR(COUNTIF(N36:O36,"כן")/(COUNTIF(N36:O36,"כן")+COUNTIF(N36:O36,"לא")),""))</f>
      </c>
      <c r="AH36" s="27">
        <f>IF($A36="","",IFERROR(COUNTIF(P36,"כן")/(COUNTIF(P36,"כן")+COUNTIF(P36,"לא")),""))</f>
      </c>
      <c r="AI36" s="27">
        <f>IF($A36="","",IFERROR(COUNTIF(Q36:R36,"כן")/(COUNTIF(Q36:R36,"כן")+COUNTIF(Q36:R36,"לא")),""))</f>
      </c>
      <c r="AJ36" s="27">
        <f>IF($A36="","",IFERROR(COUNTIF(S36:T36,"כן")/(COUNTIF(S36:T36,"כן")+COUNTIF(S36:T36,"לא")),""))</f>
      </c>
      <c r="AK36" s="27">
        <f>IF($A36="","",IFERROR(COUNTIF(L36:T36,"כן")/(COUNTIF(L36:T36,"כן")+COUNTIF(L36:T36,"לא")),""))</f>
      </c>
      <c r="AL36" s="28">
        <f>IF($A36="","",IFERROR(AVERAGE(U36:V36),""))</f>
      </c>
      <c r="AM36" s="28">
        <f>IF($A36="","",IFERROR(AVERAGE(W36:X36),""))</f>
      </c>
      <c r="AN36" s="28">
        <f>IF($A36="","",IFERROR(AVERAGE(Y36:Z36),""))</f>
      </c>
      <c r="AO36" s="28">
        <f>IF($A36="","",IFERROR(AVERAGE(AA36:AB36),""))</f>
      </c>
      <c r="AP36" s="28">
        <f>IF($A36="","",IFERROR(AVERAGE(AC36),""))</f>
      </c>
      <c r="AQ36" s="28">
        <f>IF($A36="","",IFERROR(AVERAGE(U36:AC36),""))</f>
      </c>
      <c r="AR36" s="26">
        <f>IF($A36="","",IF(AND(H36="",J36=""),"לא נבדק",IF(AND(OR(H36="",H36=I36),OR(J36="",J36=K36)),"תואם","לא תואם")))</f>
      </c>
      <c r="AS36" s="26">
        <f>IF($A36="","",IF(AND(AR36&lt;&gt;"לא תואם",G36&lt;&gt;"לא ברור"),"אמין","לפרש בזהירות"))</f>
      </c>
    </row>
    <row r="37" ht="15" customHeight="1" spans="1:45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6">
        <f>IF($A37="","",$A37&amp;"|"&amp;$C37)</f>
      </c>
      <c r="AF37" s="27">
        <f>IF($A37="","",IFERROR(COUNTIF(L37:M37,"כן")/(COUNTIF(L37:M37,"כן")+COUNTIF(L37:M37,"לא")),""))</f>
      </c>
      <c r="AG37" s="27">
        <f>IF($A37="","",IFERROR(COUNTIF(N37:O37,"כן")/(COUNTIF(N37:O37,"כן")+COUNTIF(N37:O37,"לא")),""))</f>
      </c>
      <c r="AH37" s="27">
        <f>IF($A37="","",IFERROR(COUNTIF(P37,"כן")/(COUNTIF(P37,"כן")+COUNTIF(P37,"לא")),""))</f>
      </c>
      <c r="AI37" s="27">
        <f>IF($A37="","",IFERROR(COUNTIF(Q37:R37,"כן")/(COUNTIF(Q37:R37,"כן")+COUNTIF(Q37:R37,"לא")),""))</f>
      </c>
      <c r="AJ37" s="27">
        <f>IF($A37="","",IFERROR(COUNTIF(S37:T37,"כן")/(COUNTIF(S37:T37,"כן")+COUNTIF(S37:T37,"לא")),""))</f>
      </c>
      <c r="AK37" s="27">
        <f>IF($A37="","",IFERROR(COUNTIF(L37:T37,"כן")/(COUNTIF(L37:T37,"כן")+COUNTIF(L37:T37,"לא")),""))</f>
      </c>
      <c r="AL37" s="28">
        <f>IF($A37="","",IFERROR(AVERAGE(U37:V37),""))</f>
      </c>
      <c r="AM37" s="28">
        <f>IF($A37="","",IFERROR(AVERAGE(W37:X37),""))</f>
      </c>
      <c r="AN37" s="28">
        <f>IF($A37="","",IFERROR(AVERAGE(Y37:Z37),""))</f>
      </c>
      <c r="AO37" s="28">
        <f>IF($A37="","",IFERROR(AVERAGE(AA37:AB37),""))</f>
      </c>
      <c r="AP37" s="28">
        <f>IF($A37="","",IFERROR(AVERAGE(AC37),""))</f>
      </c>
      <c r="AQ37" s="28">
        <f>IF($A37="","",IFERROR(AVERAGE(U37:AC37),""))</f>
      </c>
      <c r="AR37" s="26">
        <f>IF($A37="","",IF(AND(H37="",J37=""),"לא נבדק",IF(AND(OR(H37="",H37=I37),OR(J37="",J37=K37)),"תואם","לא תואם")))</f>
      </c>
      <c r="AS37" s="26">
        <f>IF($A37="","",IF(AND(AR37&lt;&gt;"לא תואם",G37&lt;&gt;"לא ברור"),"אמין","לפרש בזהירות"))</f>
      </c>
    </row>
    <row r="38" ht="15" customHeight="1" spans="1:45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6">
        <f>IF($A38="","",$A38&amp;"|"&amp;$C38)</f>
      </c>
      <c r="AF38" s="27">
        <f>IF($A38="","",IFERROR(COUNTIF(L38:M38,"כן")/(COUNTIF(L38:M38,"כן")+COUNTIF(L38:M38,"לא")),""))</f>
      </c>
      <c r="AG38" s="27">
        <f>IF($A38="","",IFERROR(COUNTIF(N38:O38,"כן")/(COUNTIF(N38:O38,"כן")+COUNTIF(N38:O38,"לא")),""))</f>
      </c>
      <c r="AH38" s="27">
        <f>IF($A38="","",IFERROR(COUNTIF(P38,"כן")/(COUNTIF(P38,"כן")+COUNTIF(P38,"לא")),""))</f>
      </c>
      <c r="AI38" s="27">
        <f>IF($A38="","",IFERROR(COUNTIF(Q38:R38,"כן")/(COUNTIF(Q38:R38,"כן")+COUNTIF(Q38:R38,"לא")),""))</f>
      </c>
      <c r="AJ38" s="27">
        <f>IF($A38="","",IFERROR(COUNTIF(S38:T38,"כן")/(COUNTIF(S38:T38,"כן")+COUNTIF(S38:T38,"לא")),""))</f>
      </c>
      <c r="AK38" s="27">
        <f>IF($A38="","",IFERROR(COUNTIF(L38:T38,"כן")/(COUNTIF(L38:T38,"כן")+COUNTIF(L38:T38,"לא")),""))</f>
      </c>
      <c r="AL38" s="28">
        <f>IF($A38="","",IFERROR(AVERAGE(U38:V38),""))</f>
      </c>
      <c r="AM38" s="28">
        <f>IF($A38="","",IFERROR(AVERAGE(W38:X38),""))</f>
      </c>
      <c r="AN38" s="28">
        <f>IF($A38="","",IFERROR(AVERAGE(Y38:Z38),""))</f>
      </c>
      <c r="AO38" s="28">
        <f>IF($A38="","",IFERROR(AVERAGE(AA38:AB38),""))</f>
      </c>
      <c r="AP38" s="28">
        <f>IF($A38="","",IFERROR(AVERAGE(AC38),""))</f>
      </c>
      <c r="AQ38" s="28">
        <f>IF($A38="","",IFERROR(AVERAGE(U38:AC38),""))</f>
      </c>
      <c r="AR38" s="26">
        <f>IF($A38="","",IF(AND(H38="",J38=""),"לא נבדק",IF(AND(OR(H38="",H38=I38),OR(J38="",J38=K38)),"תואם","לא תואם")))</f>
      </c>
      <c r="AS38" s="26">
        <f>IF($A38="","",IF(AND(AR38&lt;&gt;"לא תואם",G38&lt;&gt;"לא ברור"),"אמין","לפרש בזהירות"))</f>
      </c>
    </row>
    <row r="39" ht="15" customHeight="1" spans="1:45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6">
        <f>IF($A39="","",$A39&amp;"|"&amp;$C39)</f>
      </c>
      <c r="AF39" s="27">
        <f>IF($A39="","",IFERROR(COUNTIF(L39:M39,"כן")/(COUNTIF(L39:M39,"כן")+COUNTIF(L39:M39,"לא")),""))</f>
      </c>
      <c r="AG39" s="27">
        <f>IF($A39="","",IFERROR(COUNTIF(N39:O39,"כן")/(COUNTIF(N39:O39,"כן")+COUNTIF(N39:O39,"לא")),""))</f>
      </c>
      <c r="AH39" s="27">
        <f>IF($A39="","",IFERROR(COUNTIF(P39,"כן")/(COUNTIF(P39,"כן")+COUNTIF(P39,"לא")),""))</f>
      </c>
      <c r="AI39" s="27">
        <f>IF($A39="","",IFERROR(COUNTIF(Q39:R39,"כן")/(COUNTIF(Q39:R39,"כן")+COUNTIF(Q39:R39,"לא")),""))</f>
      </c>
      <c r="AJ39" s="27">
        <f>IF($A39="","",IFERROR(COUNTIF(S39:T39,"כן")/(COUNTIF(S39:T39,"כן")+COUNTIF(S39:T39,"לא")),""))</f>
      </c>
      <c r="AK39" s="27">
        <f>IF($A39="","",IFERROR(COUNTIF(L39:T39,"כן")/(COUNTIF(L39:T39,"כן")+COUNTIF(L39:T39,"לא")),""))</f>
      </c>
      <c r="AL39" s="28">
        <f>IF($A39="","",IFERROR(AVERAGE(U39:V39),""))</f>
      </c>
      <c r="AM39" s="28">
        <f>IF($A39="","",IFERROR(AVERAGE(W39:X39),""))</f>
      </c>
      <c r="AN39" s="28">
        <f>IF($A39="","",IFERROR(AVERAGE(Y39:Z39),""))</f>
      </c>
      <c r="AO39" s="28">
        <f>IF($A39="","",IFERROR(AVERAGE(AA39:AB39),""))</f>
      </c>
      <c r="AP39" s="28">
        <f>IF($A39="","",IFERROR(AVERAGE(AC39),""))</f>
      </c>
      <c r="AQ39" s="28">
        <f>IF($A39="","",IFERROR(AVERAGE(U39:AC39),""))</f>
      </c>
      <c r="AR39" s="26">
        <f>IF($A39="","",IF(AND(H39="",J39=""),"לא נבדק",IF(AND(OR(H39="",H39=I39),OR(J39="",J39=K39)),"תואם","לא תואם")))</f>
      </c>
      <c r="AS39" s="26">
        <f>IF($A39="","",IF(AND(AR39&lt;&gt;"לא תואם",G39&lt;&gt;"לא ברור"),"אמין","לפרש בזהירות"))</f>
      </c>
    </row>
    <row r="40" ht="15" customHeight="1" spans="1:45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6">
        <f>IF($A40="","",$A40&amp;"|"&amp;$C40)</f>
      </c>
      <c r="AF40" s="27">
        <f>IF($A40="","",IFERROR(COUNTIF(L40:M40,"כן")/(COUNTIF(L40:M40,"כן")+COUNTIF(L40:M40,"לא")),""))</f>
      </c>
      <c r="AG40" s="27">
        <f>IF($A40="","",IFERROR(COUNTIF(N40:O40,"כן")/(COUNTIF(N40:O40,"כן")+COUNTIF(N40:O40,"לא")),""))</f>
      </c>
      <c r="AH40" s="27">
        <f>IF($A40="","",IFERROR(COUNTIF(P40,"כן")/(COUNTIF(P40,"כן")+COUNTIF(P40,"לא")),""))</f>
      </c>
      <c r="AI40" s="27">
        <f>IF($A40="","",IFERROR(COUNTIF(Q40:R40,"כן")/(COUNTIF(Q40:R40,"כן")+COUNTIF(Q40:R40,"לא")),""))</f>
      </c>
      <c r="AJ40" s="27">
        <f>IF($A40="","",IFERROR(COUNTIF(S40:T40,"כן")/(COUNTIF(S40:T40,"כן")+COUNTIF(S40:T40,"לא")),""))</f>
      </c>
      <c r="AK40" s="27">
        <f>IF($A40="","",IFERROR(COUNTIF(L40:T40,"כן")/(COUNTIF(L40:T40,"כן")+COUNTIF(L40:T40,"לא")),""))</f>
      </c>
      <c r="AL40" s="28">
        <f>IF($A40="","",IFERROR(AVERAGE(U40:V40),""))</f>
      </c>
      <c r="AM40" s="28">
        <f>IF($A40="","",IFERROR(AVERAGE(W40:X40),""))</f>
      </c>
      <c r="AN40" s="28">
        <f>IF($A40="","",IFERROR(AVERAGE(Y40:Z40),""))</f>
      </c>
      <c r="AO40" s="28">
        <f>IF($A40="","",IFERROR(AVERAGE(AA40:AB40),""))</f>
      </c>
      <c r="AP40" s="28">
        <f>IF($A40="","",IFERROR(AVERAGE(AC40),""))</f>
      </c>
      <c r="AQ40" s="28">
        <f>IF($A40="","",IFERROR(AVERAGE(U40:AC40),""))</f>
      </c>
      <c r="AR40" s="26">
        <f>IF($A40="","",IF(AND(H40="",J40=""),"לא נבדק",IF(AND(OR(H40="",H40=I40),OR(J40="",J40=K40)),"תואם","לא תואם")))</f>
      </c>
      <c r="AS40" s="26">
        <f>IF($A40="","",IF(AND(AR40&lt;&gt;"לא תואם",G40&lt;&gt;"לא ברור"),"אמין","לפרש בזהירות"))</f>
      </c>
    </row>
    <row r="41" ht="15" customHeight="1" spans="1:45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6">
        <f>IF($A41="","",$A41&amp;"|"&amp;$C41)</f>
      </c>
      <c r="AF41" s="27">
        <f>IF($A41="","",IFERROR(COUNTIF(L41:M41,"כן")/(COUNTIF(L41:M41,"כן")+COUNTIF(L41:M41,"לא")),""))</f>
      </c>
      <c r="AG41" s="27">
        <f>IF($A41="","",IFERROR(COUNTIF(N41:O41,"כן")/(COUNTIF(N41:O41,"כן")+COUNTIF(N41:O41,"לא")),""))</f>
      </c>
      <c r="AH41" s="27">
        <f>IF($A41="","",IFERROR(COUNTIF(P41,"כן")/(COUNTIF(P41,"כן")+COUNTIF(P41,"לא")),""))</f>
      </c>
      <c r="AI41" s="27">
        <f>IF($A41="","",IFERROR(COUNTIF(Q41:R41,"כן")/(COUNTIF(Q41:R41,"כן")+COUNTIF(Q41:R41,"לא")),""))</f>
      </c>
      <c r="AJ41" s="27">
        <f>IF($A41="","",IFERROR(COUNTIF(S41:T41,"כן")/(COUNTIF(S41:T41,"כן")+COUNTIF(S41:T41,"לא")),""))</f>
      </c>
      <c r="AK41" s="27">
        <f>IF($A41="","",IFERROR(COUNTIF(L41:T41,"כן")/(COUNTIF(L41:T41,"כן")+COUNTIF(L41:T41,"לא")),""))</f>
      </c>
      <c r="AL41" s="28">
        <f>IF($A41="","",IFERROR(AVERAGE(U41:V41),""))</f>
      </c>
      <c r="AM41" s="28">
        <f>IF($A41="","",IFERROR(AVERAGE(W41:X41),""))</f>
      </c>
      <c r="AN41" s="28">
        <f>IF($A41="","",IFERROR(AVERAGE(Y41:Z41),""))</f>
      </c>
      <c r="AO41" s="28">
        <f>IF($A41="","",IFERROR(AVERAGE(AA41:AB41),""))</f>
      </c>
      <c r="AP41" s="28">
        <f>IF($A41="","",IFERROR(AVERAGE(AC41),""))</f>
      </c>
      <c r="AQ41" s="28">
        <f>IF($A41="","",IFERROR(AVERAGE(U41:AC41),""))</f>
      </c>
      <c r="AR41" s="26">
        <f>IF($A41="","",IF(AND(H41="",J41=""),"לא נבדק",IF(AND(OR(H41="",H41=I41),OR(J41="",J41=K41)),"תואם","לא תואם")))</f>
      </c>
      <c r="AS41" s="26">
        <f>IF($A41="","",IF(AND(AR41&lt;&gt;"לא תואם",G41&lt;&gt;"לא ברור"),"אמין","לפרש בזהירות"))</f>
      </c>
    </row>
    <row r="42" ht="15" customHeight="1" spans="1:45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6">
        <f>IF($A42="","",$A42&amp;"|"&amp;$C42)</f>
      </c>
      <c r="AF42" s="27">
        <f>IF($A42="","",IFERROR(COUNTIF(L42:M42,"כן")/(COUNTIF(L42:M42,"כן")+COUNTIF(L42:M42,"לא")),""))</f>
      </c>
      <c r="AG42" s="27">
        <f>IF($A42="","",IFERROR(COUNTIF(N42:O42,"כן")/(COUNTIF(N42:O42,"כן")+COUNTIF(N42:O42,"לא")),""))</f>
      </c>
      <c r="AH42" s="27">
        <f>IF($A42="","",IFERROR(COUNTIF(P42,"כן")/(COUNTIF(P42,"כן")+COUNTIF(P42,"לא")),""))</f>
      </c>
      <c r="AI42" s="27">
        <f>IF($A42="","",IFERROR(COUNTIF(Q42:R42,"כן")/(COUNTIF(Q42:R42,"כן")+COUNTIF(Q42:R42,"לא")),""))</f>
      </c>
      <c r="AJ42" s="27">
        <f>IF($A42="","",IFERROR(COUNTIF(S42:T42,"כן")/(COUNTIF(S42:T42,"כן")+COUNTIF(S42:T42,"לא")),""))</f>
      </c>
      <c r="AK42" s="27">
        <f>IF($A42="","",IFERROR(COUNTIF(L42:T42,"כן")/(COUNTIF(L42:T42,"כן")+COUNTIF(L42:T42,"לא")),""))</f>
      </c>
      <c r="AL42" s="28">
        <f>IF($A42="","",IFERROR(AVERAGE(U42:V42),""))</f>
      </c>
      <c r="AM42" s="28">
        <f>IF($A42="","",IFERROR(AVERAGE(W42:X42),""))</f>
      </c>
      <c r="AN42" s="28">
        <f>IF($A42="","",IFERROR(AVERAGE(Y42:Z42),""))</f>
      </c>
      <c r="AO42" s="28">
        <f>IF($A42="","",IFERROR(AVERAGE(AA42:AB42),""))</f>
      </c>
      <c r="AP42" s="28">
        <f>IF($A42="","",IFERROR(AVERAGE(AC42),""))</f>
      </c>
      <c r="AQ42" s="28">
        <f>IF($A42="","",IFERROR(AVERAGE(U42:AC42),""))</f>
      </c>
      <c r="AR42" s="26">
        <f>IF($A42="","",IF(AND(H42="",J42=""),"לא נבדק",IF(AND(OR(H42="",H42=I42),OR(J42="",J42=K42)),"תואם","לא תואם")))</f>
      </c>
      <c r="AS42" s="26">
        <f>IF($A42="","",IF(AND(AR42&lt;&gt;"לא תואם",G42&lt;&gt;"לא ברור"),"אמין","לפרש בזהירות"))</f>
      </c>
    </row>
    <row r="43" ht="15" customHeight="1" spans="1:45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6">
        <f>IF($A43="","",$A43&amp;"|"&amp;$C43)</f>
      </c>
      <c r="AF43" s="27">
        <f>IF($A43="","",IFERROR(COUNTIF(L43:M43,"כן")/(COUNTIF(L43:M43,"כן")+COUNTIF(L43:M43,"לא")),""))</f>
      </c>
      <c r="AG43" s="27">
        <f>IF($A43="","",IFERROR(COUNTIF(N43:O43,"כן")/(COUNTIF(N43:O43,"כן")+COUNTIF(N43:O43,"לא")),""))</f>
      </c>
      <c r="AH43" s="27">
        <f>IF($A43="","",IFERROR(COUNTIF(P43,"כן")/(COUNTIF(P43,"כן")+COUNTIF(P43,"לא")),""))</f>
      </c>
      <c r="AI43" s="27">
        <f>IF($A43="","",IFERROR(COUNTIF(Q43:R43,"כן")/(COUNTIF(Q43:R43,"כן")+COUNTIF(Q43:R43,"לא")),""))</f>
      </c>
      <c r="AJ43" s="27">
        <f>IF($A43="","",IFERROR(COUNTIF(S43:T43,"כן")/(COUNTIF(S43:T43,"כן")+COUNTIF(S43:T43,"לא")),""))</f>
      </c>
      <c r="AK43" s="27">
        <f>IF($A43="","",IFERROR(COUNTIF(L43:T43,"כן")/(COUNTIF(L43:T43,"כן")+COUNTIF(L43:T43,"לא")),""))</f>
      </c>
      <c r="AL43" s="28">
        <f>IF($A43="","",IFERROR(AVERAGE(U43:V43),""))</f>
      </c>
      <c r="AM43" s="28">
        <f>IF($A43="","",IFERROR(AVERAGE(W43:X43),""))</f>
      </c>
      <c r="AN43" s="28">
        <f>IF($A43="","",IFERROR(AVERAGE(Y43:Z43),""))</f>
      </c>
      <c r="AO43" s="28">
        <f>IF($A43="","",IFERROR(AVERAGE(AA43:AB43),""))</f>
      </c>
      <c r="AP43" s="28">
        <f>IF($A43="","",IFERROR(AVERAGE(AC43),""))</f>
      </c>
      <c r="AQ43" s="28">
        <f>IF($A43="","",IFERROR(AVERAGE(U43:AC43),""))</f>
      </c>
      <c r="AR43" s="26">
        <f>IF($A43="","",IF(AND(H43="",J43=""),"לא נבדק",IF(AND(OR(H43="",H43=I43),OR(J43="",J43=K43)),"תואם","לא תואם")))</f>
      </c>
      <c r="AS43" s="26">
        <f>IF($A43="","",IF(AND(AR43&lt;&gt;"לא תואם",G43&lt;&gt;"לא ברור"),"אמין","לפרש בזהירות"))</f>
      </c>
    </row>
    <row r="44" ht="15" customHeight="1" spans="1:45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6">
        <f>IF($A44="","",$A44&amp;"|"&amp;$C44)</f>
      </c>
      <c r="AF44" s="27">
        <f>IF($A44="","",IFERROR(COUNTIF(L44:M44,"כן")/(COUNTIF(L44:M44,"כן")+COUNTIF(L44:M44,"לא")),""))</f>
      </c>
      <c r="AG44" s="27">
        <f>IF($A44="","",IFERROR(COUNTIF(N44:O44,"כן")/(COUNTIF(N44:O44,"כן")+COUNTIF(N44:O44,"לא")),""))</f>
      </c>
      <c r="AH44" s="27">
        <f>IF($A44="","",IFERROR(COUNTIF(P44,"כן")/(COUNTIF(P44,"כן")+COUNTIF(P44,"לא")),""))</f>
      </c>
      <c r="AI44" s="27">
        <f>IF($A44="","",IFERROR(COUNTIF(Q44:R44,"כן")/(COUNTIF(Q44:R44,"כן")+COUNTIF(Q44:R44,"לא")),""))</f>
      </c>
      <c r="AJ44" s="27">
        <f>IF($A44="","",IFERROR(COUNTIF(S44:T44,"כן")/(COUNTIF(S44:T44,"כן")+COUNTIF(S44:T44,"לא")),""))</f>
      </c>
      <c r="AK44" s="27">
        <f>IF($A44="","",IFERROR(COUNTIF(L44:T44,"כן")/(COUNTIF(L44:T44,"כן")+COUNTIF(L44:T44,"לא")),""))</f>
      </c>
      <c r="AL44" s="28">
        <f>IF($A44="","",IFERROR(AVERAGE(U44:V44),""))</f>
      </c>
      <c r="AM44" s="28">
        <f>IF($A44="","",IFERROR(AVERAGE(W44:X44),""))</f>
      </c>
      <c r="AN44" s="28">
        <f>IF($A44="","",IFERROR(AVERAGE(Y44:Z44),""))</f>
      </c>
      <c r="AO44" s="28">
        <f>IF($A44="","",IFERROR(AVERAGE(AA44:AB44),""))</f>
      </c>
      <c r="AP44" s="28">
        <f>IF($A44="","",IFERROR(AVERAGE(AC44),""))</f>
      </c>
      <c r="AQ44" s="28">
        <f>IF($A44="","",IFERROR(AVERAGE(U44:AC44),""))</f>
      </c>
      <c r="AR44" s="26">
        <f>IF($A44="","",IF(AND(H44="",J44=""),"לא נבדק",IF(AND(OR(H44="",H44=I44),OR(J44="",J44=K44)),"תואם","לא תואם")))</f>
      </c>
      <c r="AS44" s="26">
        <f>IF($A44="","",IF(AND(AR44&lt;&gt;"לא תואם",G44&lt;&gt;"לא ברור"),"אמין","לפרש בזהירות"))</f>
      </c>
    </row>
    <row r="45" ht="15" customHeight="1" spans="1:45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6">
        <f>IF($A45="","",$A45&amp;"|"&amp;$C45)</f>
      </c>
      <c r="AF45" s="27">
        <f>IF($A45="","",IFERROR(COUNTIF(L45:M45,"כן")/(COUNTIF(L45:M45,"כן")+COUNTIF(L45:M45,"לא")),""))</f>
      </c>
      <c r="AG45" s="27">
        <f>IF($A45="","",IFERROR(COUNTIF(N45:O45,"כן")/(COUNTIF(N45:O45,"כן")+COUNTIF(N45:O45,"לא")),""))</f>
      </c>
      <c r="AH45" s="27">
        <f>IF($A45="","",IFERROR(COUNTIF(P45,"כן")/(COUNTIF(P45,"כן")+COUNTIF(P45,"לא")),""))</f>
      </c>
      <c r="AI45" s="27">
        <f>IF($A45="","",IFERROR(COUNTIF(Q45:R45,"כן")/(COUNTIF(Q45:R45,"כן")+COUNTIF(Q45:R45,"לא")),""))</f>
      </c>
      <c r="AJ45" s="27">
        <f>IF($A45="","",IFERROR(COUNTIF(S45:T45,"כן")/(COUNTIF(S45:T45,"כן")+COUNTIF(S45:T45,"לא")),""))</f>
      </c>
      <c r="AK45" s="27">
        <f>IF($A45="","",IFERROR(COUNTIF(L45:T45,"כן")/(COUNTIF(L45:T45,"כן")+COUNTIF(L45:T45,"לא")),""))</f>
      </c>
      <c r="AL45" s="28">
        <f>IF($A45="","",IFERROR(AVERAGE(U45:V45),""))</f>
      </c>
      <c r="AM45" s="28">
        <f>IF($A45="","",IFERROR(AVERAGE(W45:X45),""))</f>
      </c>
      <c r="AN45" s="28">
        <f>IF($A45="","",IFERROR(AVERAGE(Y45:Z45),""))</f>
      </c>
      <c r="AO45" s="28">
        <f>IF($A45="","",IFERROR(AVERAGE(AA45:AB45),""))</f>
      </c>
      <c r="AP45" s="28">
        <f>IF($A45="","",IFERROR(AVERAGE(AC45),""))</f>
      </c>
      <c r="AQ45" s="28">
        <f>IF($A45="","",IFERROR(AVERAGE(U45:AC45),""))</f>
      </c>
      <c r="AR45" s="26">
        <f>IF($A45="","",IF(AND(H45="",J45=""),"לא נבדק",IF(AND(OR(H45="",H45=I45),OR(J45="",J45=K45)),"תואם","לא תואם")))</f>
      </c>
      <c r="AS45" s="26">
        <f>IF($A45="","",IF(AND(AR45&lt;&gt;"לא תואם",G45&lt;&gt;"לא ברור"),"אמין","לפרש בזהירות"))</f>
      </c>
    </row>
    <row r="46" ht="15" customHeight="1" spans="1:45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6">
        <f>IF($A46="","",$A46&amp;"|"&amp;$C46)</f>
      </c>
      <c r="AF46" s="27">
        <f>IF($A46="","",IFERROR(COUNTIF(L46:M46,"כן")/(COUNTIF(L46:M46,"כן")+COUNTIF(L46:M46,"לא")),""))</f>
      </c>
      <c r="AG46" s="27">
        <f>IF($A46="","",IFERROR(COUNTIF(N46:O46,"כן")/(COUNTIF(N46:O46,"כן")+COUNTIF(N46:O46,"לא")),""))</f>
      </c>
      <c r="AH46" s="27">
        <f>IF($A46="","",IFERROR(COUNTIF(P46,"כן")/(COUNTIF(P46,"כן")+COUNTIF(P46,"לא")),""))</f>
      </c>
      <c r="AI46" s="27">
        <f>IF($A46="","",IFERROR(COUNTIF(Q46:R46,"כן")/(COUNTIF(Q46:R46,"כן")+COUNTIF(Q46:R46,"לא")),""))</f>
      </c>
      <c r="AJ46" s="27">
        <f>IF($A46="","",IFERROR(COUNTIF(S46:T46,"כן")/(COUNTIF(S46:T46,"כן")+COUNTIF(S46:T46,"לא")),""))</f>
      </c>
      <c r="AK46" s="27">
        <f>IF($A46="","",IFERROR(COUNTIF(L46:T46,"כן")/(COUNTIF(L46:T46,"כן")+COUNTIF(L46:T46,"לא")),""))</f>
      </c>
      <c r="AL46" s="28">
        <f>IF($A46="","",IFERROR(AVERAGE(U46:V46),""))</f>
      </c>
      <c r="AM46" s="28">
        <f>IF($A46="","",IFERROR(AVERAGE(W46:X46),""))</f>
      </c>
      <c r="AN46" s="28">
        <f>IF($A46="","",IFERROR(AVERAGE(Y46:Z46),""))</f>
      </c>
      <c r="AO46" s="28">
        <f>IF($A46="","",IFERROR(AVERAGE(AA46:AB46),""))</f>
      </c>
      <c r="AP46" s="28">
        <f>IF($A46="","",IFERROR(AVERAGE(AC46),""))</f>
      </c>
      <c r="AQ46" s="28">
        <f>IF($A46="","",IFERROR(AVERAGE(U46:AC46),""))</f>
      </c>
      <c r="AR46" s="26">
        <f>IF($A46="","",IF(AND(H46="",J46=""),"לא נבדק",IF(AND(OR(H46="",H46=I46),OR(J46="",J46=K46)),"תואם","לא תואם")))</f>
      </c>
      <c r="AS46" s="26">
        <f>IF($A46="","",IF(AND(AR46&lt;&gt;"לא תואם",G46&lt;&gt;"לא ברור"),"אמין","לפרש בזהירות"))</f>
      </c>
    </row>
    <row r="47" ht="15" customHeight="1" spans="1:45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6">
        <f>IF($A47="","",$A47&amp;"|"&amp;$C47)</f>
      </c>
      <c r="AF47" s="27">
        <f>IF($A47="","",IFERROR(COUNTIF(L47:M47,"כן")/(COUNTIF(L47:M47,"כן")+COUNTIF(L47:M47,"לא")),""))</f>
      </c>
      <c r="AG47" s="27">
        <f>IF($A47="","",IFERROR(COUNTIF(N47:O47,"כן")/(COUNTIF(N47:O47,"כן")+COUNTIF(N47:O47,"לא")),""))</f>
      </c>
      <c r="AH47" s="27">
        <f>IF($A47="","",IFERROR(COUNTIF(P47,"כן")/(COUNTIF(P47,"כן")+COUNTIF(P47,"לא")),""))</f>
      </c>
      <c r="AI47" s="27">
        <f>IF($A47="","",IFERROR(COUNTIF(Q47:R47,"כן")/(COUNTIF(Q47:R47,"כן")+COUNTIF(Q47:R47,"לא")),""))</f>
      </c>
      <c r="AJ47" s="27">
        <f>IF($A47="","",IFERROR(COUNTIF(S47:T47,"כן")/(COUNTIF(S47:T47,"כן")+COUNTIF(S47:T47,"לא")),""))</f>
      </c>
      <c r="AK47" s="27">
        <f>IF($A47="","",IFERROR(COUNTIF(L47:T47,"כן")/(COUNTIF(L47:T47,"כן")+COUNTIF(L47:T47,"לא")),""))</f>
      </c>
      <c r="AL47" s="28">
        <f>IF($A47="","",IFERROR(AVERAGE(U47:V47),""))</f>
      </c>
      <c r="AM47" s="28">
        <f>IF($A47="","",IFERROR(AVERAGE(W47:X47),""))</f>
      </c>
      <c r="AN47" s="28">
        <f>IF($A47="","",IFERROR(AVERAGE(Y47:Z47),""))</f>
      </c>
      <c r="AO47" s="28">
        <f>IF($A47="","",IFERROR(AVERAGE(AA47:AB47),""))</f>
      </c>
      <c r="AP47" s="28">
        <f>IF($A47="","",IFERROR(AVERAGE(AC47),""))</f>
      </c>
      <c r="AQ47" s="28">
        <f>IF($A47="","",IFERROR(AVERAGE(U47:AC47),""))</f>
      </c>
      <c r="AR47" s="26">
        <f>IF($A47="","",IF(AND(H47="",J47=""),"לא נבדק",IF(AND(OR(H47="",H47=I47),OR(J47="",J47=K47)),"תואם","לא תואם")))</f>
      </c>
      <c r="AS47" s="26">
        <f>IF($A47="","",IF(AND(AR47&lt;&gt;"לא תואם",G47&lt;&gt;"לא ברור"),"אמין","לפרש בזהירות"))</f>
      </c>
    </row>
    <row r="48" ht="15" customHeight="1" spans="1:45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6">
        <f>IF($A48="","",$A48&amp;"|"&amp;$C48)</f>
      </c>
      <c r="AF48" s="27">
        <f>IF($A48="","",IFERROR(COUNTIF(L48:M48,"כן")/(COUNTIF(L48:M48,"כן")+COUNTIF(L48:M48,"לא")),""))</f>
      </c>
      <c r="AG48" s="27">
        <f>IF($A48="","",IFERROR(COUNTIF(N48:O48,"כן")/(COUNTIF(N48:O48,"כן")+COUNTIF(N48:O48,"לא")),""))</f>
      </c>
      <c r="AH48" s="27">
        <f>IF($A48="","",IFERROR(COUNTIF(P48,"כן")/(COUNTIF(P48,"כן")+COUNTIF(P48,"לא")),""))</f>
      </c>
      <c r="AI48" s="27">
        <f>IF($A48="","",IFERROR(COUNTIF(Q48:R48,"כן")/(COUNTIF(Q48:R48,"כן")+COUNTIF(Q48:R48,"לא")),""))</f>
      </c>
      <c r="AJ48" s="27">
        <f>IF($A48="","",IFERROR(COUNTIF(S48:T48,"כן")/(COUNTIF(S48:T48,"כן")+COUNTIF(S48:T48,"לא")),""))</f>
      </c>
      <c r="AK48" s="27">
        <f>IF($A48="","",IFERROR(COUNTIF(L48:T48,"כן")/(COUNTIF(L48:T48,"כן")+COUNTIF(L48:T48,"לא")),""))</f>
      </c>
      <c r="AL48" s="28">
        <f>IF($A48="","",IFERROR(AVERAGE(U48:V48),""))</f>
      </c>
      <c r="AM48" s="28">
        <f>IF($A48="","",IFERROR(AVERAGE(W48:X48),""))</f>
      </c>
      <c r="AN48" s="28">
        <f>IF($A48="","",IFERROR(AVERAGE(Y48:Z48),""))</f>
      </c>
      <c r="AO48" s="28">
        <f>IF($A48="","",IFERROR(AVERAGE(AA48:AB48),""))</f>
      </c>
      <c r="AP48" s="28">
        <f>IF($A48="","",IFERROR(AVERAGE(AC48),""))</f>
      </c>
      <c r="AQ48" s="28">
        <f>IF($A48="","",IFERROR(AVERAGE(U48:AC48),""))</f>
      </c>
      <c r="AR48" s="26">
        <f>IF($A48="","",IF(AND(H48="",J48=""),"לא נבדק",IF(AND(OR(H48="",H48=I48),OR(J48="",J48=K48)),"תואם","לא תואם")))</f>
      </c>
      <c r="AS48" s="26">
        <f>IF($A48="","",IF(AND(AR48&lt;&gt;"לא תואם",G48&lt;&gt;"לא ברור"),"אמין","לפרש בזהירות"))</f>
      </c>
    </row>
    <row r="49" ht="15" customHeight="1" spans="1:45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6">
        <f>IF($A49="","",$A49&amp;"|"&amp;$C49)</f>
      </c>
      <c r="AF49" s="27">
        <f>IF($A49="","",IFERROR(COUNTIF(L49:M49,"כן")/(COUNTIF(L49:M49,"כן")+COUNTIF(L49:M49,"לא")),""))</f>
      </c>
      <c r="AG49" s="27">
        <f>IF($A49="","",IFERROR(COUNTIF(N49:O49,"כן")/(COUNTIF(N49:O49,"כן")+COUNTIF(N49:O49,"לא")),""))</f>
      </c>
      <c r="AH49" s="27">
        <f>IF($A49="","",IFERROR(COUNTIF(P49,"כן")/(COUNTIF(P49,"כן")+COUNTIF(P49,"לא")),""))</f>
      </c>
      <c r="AI49" s="27">
        <f>IF($A49="","",IFERROR(COUNTIF(Q49:R49,"כן")/(COUNTIF(Q49:R49,"כן")+COUNTIF(Q49:R49,"לא")),""))</f>
      </c>
      <c r="AJ49" s="27">
        <f>IF($A49="","",IFERROR(COUNTIF(S49:T49,"כן")/(COUNTIF(S49:T49,"כן")+COUNTIF(S49:T49,"לא")),""))</f>
      </c>
      <c r="AK49" s="27">
        <f>IF($A49="","",IFERROR(COUNTIF(L49:T49,"כן")/(COUNTIF(L49:T49,"כן")+COUNTIF(L49:T49,"לא")),""))</f>
      </c>
      <c r="AL49" s="28">
        <f>IF($A49="","",IFERROR(AVERAGE(U49:V49),""))</f>
      </c>
      <c r="AM49" s="28">
        <f>IF($A49="","",IFERROR(AVERAGE(W49:X49),""))</f>
      </c>
      <c r="AN49" s="28">
        <f>IF($A49="","",IFERROR(AVERAGE(Y49:Z49),""))</f>
      </c>
      <c r="AO49" s="28">
        <f>IF($A49="","",IFERROR(AVERAGE(AA49:AB49),""))</f>
      </c>
      <c r="AP49" s="28">
        <f>IF($A49="","",IFERROR(AVERAGE(AC49),""))</f>
      </c>
      <c r="AQ49" s="28">
        <f>IF($A49="","",IFERROR(AVERAGE(U49:AC49),""))</f>
      </c>
      <c r="AR49" s="26">
        <f>IF($A49="","",IF(AND(H49="",J49=""),"לא נבדק",IF(AND(OR(H49="",H49=I49),OR(J49="",J49=K49)),"תואם","לא תואם")))</f>
      </c>
      <c r="AS49" s="26">
        <f>IF($A49="","",IF(AND(AR49&lt;&gt;"לא תואם",G49&lt;&gt;"לא ברור"),"אמין","לפרש בזהירות"))</f>
      </c>
    </row>
    <row r="50" ht="15" customHeight="1" spans="1:45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6">
        <f>IF($A50="","",$A50&amp;"|"&amp;$C50)</f>
      </c>
      <c r="AF50" s="27">
        <f>IF($A50="","",IFERROR(COUNTIF(L50:M50,"כן")/(COUNTIF(L50:M50,"כן")+COUNTIF(L50:M50,"לא")),""))</f>
      </c>
      <c r="AG50" s="27">
        <f>IF($A50="","",IFERROR(COUNTIF(N50:O50,"כן")/(COUNTIF(N50:O50,"כן")+COUNTIF(N50:O50,"לא")),""))</f>
      </c>
      <c r="AH50" s="27">
        <f>IF($A50="","",IFERROR(COUNTIF(P50,"כן")/(COUNTIF(P50,"כן")+COUNTIF(P50,"לא")),""))</f>
      </c>
      <c r="AI50" s="27">
        <f>IF($A50="","",IFERROR(COUNTIF(Q50:R50,"כן")/(COUNTIF(Q50:R50,"כן")+COUNTIF(Q50:R50,"לא")),""))</f>
      </c>
      <c r="AJ50" s="27">
        <f>IF($A50="","",IFERROR(COUNTIF(S50:T50,"כן")/(COUNTIF(S50:T50,"כן")+COUNTIF(S50:T50,"לא")),""))</f>
      </c>
      <c r="AK50" s="27">
        <f>IF($A50="","",IFERROR(COUNTIF(L50:T50,"כן")/(COUNTIF(L50:T50,"כן")+COUNTIF(L50:T50,"לא")),""))</f>
      </c>
      <c r="AL50" s="28">
        <f>IF($A50="","",IFERROR(AVERAGE(U50:V50),""))</f>
      </c>
      <c r="AM50" s="28">
        <f>IF($A50="","",IFERROR(AVERAGE(W50:X50),""))</f>
      </c>
      <c r="AN50" s="28">
        <f>IF($A50="","",IFERROR(AVERAGE(Y50:Z50),""))</f>
      </c>
      <c r="AO50" s="28">
        <f>IF($A50="","",IFERROR(AVERAGE(AA50:AB50),""))</f>
      </c>
      <c r="AP50" s="28">
        <f>IF($A50="","",IFERROR(AVERAGE(AC50),""))</f>
      </c>
      <c r="AQ50" s="28">
        <f>IF($A50="","",IFERROR(AVERAGE(U50:AC50),""))</f>
      </c>
      <c r="AR50" s="26">
        <f>IF($A50="","",IF(AND(H50="",J50=""),"לא נבדק",IF(AND(OR(H50="",H50=I50),OR(J50="",J50=K50)),"תואם","לא תואם")))</f>
      </c>
      <c r="AS50" s="26">
        <f>IF($A50="","",IF(AND(AR50&lt;&gt;"לא תואם",G50&lt;&gt;"לא ברור"),"אמין","לפרש בזהירות"))</f>
      </c>
    </row>
    <row r="51" ht="15" customHeight="1" spans="1:45" x14ac:dyDescent="0.2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6">
        <f>IF($A51="","",$A51&amp;"|"&amp;$C51)</f>
      </c>
      <c r="AF51" s="27">
        <f>IF($A51="","",IFERROR(COUNTIF(L51:M51,"כן")/(COUNTIF(L51:M51,"כן")+COUNTIF(L51:M51,"לא")),""))</f>
      </c>
      <c r="AG51" s="27">
        <f>IF($A51="","",IFERROR(COUNTIF(N51:O51,"כן")/(COUNTIF(N51:O51,"כן")+COUNTIF(N51:O51,"לא")),""))</f>
      </c>
      <c r="AH51" s="27">
        <f>IF($A51="","",IFERROR(COUNTIF(P51,"כן")/(COUNTIF(P51,"כן")+COUNTIF(P51,"לא")),""))</f>
      </c>
      <c r="AI51" s="27">
        <f>IF($A51="","",IFERROR(COUNTIF(Q51:R51,"כן")/(COUNTIF(Q51:R51,"כן")+COUNTIF(Q51:R51,"לא")),""))</f>
      </c>
      <c r="AJ51" s="27">
        <f>IF($A51="","",IFERROR(COUNTIF(S51:T51,"כן")/(COUNTIF(S51:T51,"כן")+COUNTIF(S51:T51,"לא")),""))</f>
      </c>
      <c r="AK51" s="27">
        <f>IF($A51="","",IFERROR(COUNTIF(L51:T51,"כן")/(COUNTIF(L51:T51,"כן")+COUNTIF(L51:T51,"לא")),""))</f>
      </c>
      <c r="AL51" s="28">
        <f>IF($A51="","",IFERROR(AVERAGE(U51:V51),""))</f>
      </c>
      <c r="AM51" s="28">
        <f>IF($A51="","",IFERROR(AVERAGE(W51:X51),""))</f>
      </c>
      <c r="AN51" s="28">
        <f>IF($A51="","",IFERROR(AVERAGE(Y51:Z51),""))</f>
      </c>
      <c r="AO51" s="28">
        <f>IF($A51="","",IFERROR(AVERAGE(AA51:AB51),""))</f>
      </c>
      <c r="AP51" s="28">
        <f>IF($A51="","",IFERROR(AVERAGE(AC51),""))</f>
      </c>
      <c r="AQ51" s="28">
        <f>IF($A51="","",IFERROR(AVERAGE(U51:AC51),""))</f>
      </c>
      <c r="AR51" s="26">
        <f>IF($A51="","",IF(AND(H51="",J51=""),"לא נבדק",IF(AND(OR(H51="",H51=I51),OR(J51="",J51=K51)),"תואם","לא תואם")))</f>
      </c>
      <c r="AS51" s="26">
        <f>IF($A51="","",IF(AND(AR51&lt;&gt;"לא תואם",G51&lt;&gt;"לא ברור"),"אמין","לפרש בזהירות"))</f>
      </c>
    </row>
    <row r="52" ht="15" customHeight="1" spans="1:45" x14ac:dyDescent="0.2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6">
        <f>IF($A52="","",$A52&amp;"|"&amp;$C52)</f>
      </c>
      <c r="AF52" s="27">
        <f>IF($A52="","",IFERROR(COUNTIF(L52:M52,"כן")/(COUNTIF(L52:M52,"כן")+COUNTIF(L52:M52,"לא")),""))</f>
      </c>
      <c r="AG52" s="27">
        <f>IF($A52="","",IFERROR(COUNTIF(N52:O52,"כן")/(COUNTIF(N52:O52,"כן")+COUNTIF(N52:O52,"לא")),""))</f>
      </c>
      <c r="AH52" s="27">
        <f>IF($A52="","",IFERROR(COUNTIF(P52,"כן")/(COUNTIF(P52,"כן")+COUNTIF(P52,"לא")),""))</f>
      </c>
      <c r="AI52" s="27">
        <f>IF($A52="","",IFERROR(COUNTIF(Q52:R52,"כן")/(COUNTIF(Q52:R52,"כן")+COUNTIF(Q52:R52,"לא")),""))</f>
      </c>
      <c r="AJ52" s="27">
        <f>IF($A52="","",IFERROR(COUNTIF(S52:T52,"כן")/(COUNTIF(S52:T52,"כן")+COUNTIF(S52:T52,"לא")),""))</f>
      </c>
      <c r="AK52" s="27">
        <f>IF($A52="","",IFERROR(COUNTIF(L52:T52,"כן")/(COUNTIF(L52:T52,"כן")+COUNTIF(L52:T52,"לא")),""))</f>
      </c>
      <c r="AL52" s="28">
        <f>IF($A52="","",IFERROR(AVERAGE(U52:V52),""))</f>
      </c>
      <c r="AM52" s="28">
        <f>IF($A52="","",IFERROR(AVERAGE(W52:X52),""))</f>
      </c>
      <c r="AN52" s="28">
        <f>IF($A52="","",IFERROR(AVERAGE(Y52:Z52),""))</f>
      </c>
      <c r="AO52" s="28">
        <f>IF($A52="","",IFERROR(AVERAGE(AA52:AB52),""))</f>
      </c>
      <c r="AP52" s="28">
        <f>IF($A52="","",IFERROR(AVERAGE(AC52),""))</f>
      </c>
      <c r="AQ52" s="28">
        <f>IF($A52="","",IFERROR(AVERAGE(U52:AC52),""))</f>
      </c>
      <c r="AR52" s="26">
        <f>IF($A52="","",IF(AND(H52="",J52=""),"לא נבדק",IF(AND(OR(H52="",H52=I52),OR(J52="",J52=K52)),"תואם","לא תואם")))</f>
      </c>
      <c r="AS52" s="26">
        <f>IF($A52="","",IF(AND(AR52&lt;&gt;"לא תואם",G52&lt;&gt;"לא ברור"),"אמין","לפרש בזהירות"))</f>
      </c>
    </row>
    <row r="53" ht="15" customHeight="1" spans="1:45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6">
        <f>IF($A53="","",$A53&amp;"|"&amp;$C53)</f>
      </c>
      <c r="AF53" s="27">
        <f>IF($A53="","",IFERROR(COUNTIF(L53:M53,"כן")/(COUNTIF(L53:M53,"כן")+COUNTIF(L53:M53,"לא")),""))</f>
      </c>
      <c r="AG53" s="27">
        <f>IF($A53="","",IFERROR(COUNTIF(N53:O53,"כן")/(COUNTIF(N53:O53,"כן")+COUNTIF(N53:O53,"לא")),""))</f>
      </c>
      <c r="AH53" s="27">
        <f>IF($A53="","",IFERROR(COUNTIF(P53,"כן")/(COUNTIF(P53,"כן")+COUNTIF(P53,"לא")),""))</f>
      </c>
      <c r="AI53" s="27">
        <f>IF($A53="","",IFERROR(COUNTIF(Q53:R53,"כן")/(COUNTIF(Q53:R53,"כן")+COUNTIF(Q53:R53,"לא")),""))</f>
      </c>
      <c r="AJ53" s="27">
        <f>IF($A53="","",IFERROR(COUNTIF(S53:T53,"כן")/(COUNTIF(S53:T53,"כן")+COUNTIF(S53:T53,"לא")),""))</f>
      </c>
      <c r="AK53" s="27">
        <f>IF($A53="","",IFERROR(COUNTIF(L53:T53,"כן")/(COUNTIF(L53:T53,"כן")+COUNTIF(L53:T53,"לא")),""))</f>
      </c>
      <c r="AL53" s="28">
        <f>IF($A53="","",IFERROR(AVERAGE(U53:V53),""))</f>
      </c>
      <c r="AM53" s="28">
        <f>IF($A53="","",IFERROR(AVERAGE(W53:X53),""))</f>
      </c>
      <c r="AN53" s="28">
        <f>IF($A53="","",IFERROR(AVERAGE(Y53:Z53),""))</f>
      </c>
      <c r="AO53" s="28">
        <f>IF($A53="","",IFERROR(AVERAGE(AA53:AB53),""))</f>
      </c>
      <c r="AP53" s="28">
        <f>IF($A53="","",IFERROR(AVERAGE(AC53),""))</f>
      </c>
      <c r="AQ53" s="28">
        <f>IF($A53="","",IFERROR(AVERAGE(U53:AC53),""))</f>
      </c>
      <c r="AR53" s="26">
        <f>IF($A53="","",IF(AND(H53="",J53=""),"לא נבדק",IF(AND(OR(H53="",H53=I53),OR(J53="",J53=K53)),"תואם","לא תואם")))</f>
      </c>
      <c r="AS53" s="26">
        <f>IF($A53="","",IF(AND(AR53&lt;&gt;"לא תואם",G53&lt;&gt;"לא ברור"),"אמין","לפרש בזהירות"))</f>
      </c>
    </row>
    <row r="54" ht="15" customHeight="1" spans="1:45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6">
        <f>IF($A54="","",$A54&amp;"|"&amp;$C54)</f>
      </c>
      <c r="AF54" s="27">
        <f>IF($A54="","",IFERROR(COUNTIF(L54:M54,"כן")/(COUNTIF(L54:M54,"כן")+COUNTIF(L54:M54,"לא")),""))</f>
      </c>
      <c r="AG54" s="27">
        <f>IF($A54="","",IFERROR(COUNTIF(N54:O54,"כן")/(COUNTIF(N54:O54,"כן")+COUNTIF(N54:O54,"לא")),""))</f>
      </c>
      <c r="AH54" s="27">
        <f>IF($A54="","",IFERROR(COUNTIF(P54,"כן")/(COUNTIF(P54,"כן")+COUNTIF(P54,"לא")),""))</f>
      </c>
      <c r="AI54" s="27">
        <f>IF($A54="","",IFERROR(COUNTIF(Q54:R54,"כן")/(COUNTIF(Q54:R54,"כן")+COUNTIF(Q54:R54,"לא")),""))</f>
      </c>
      <c r="AJ54" s="27">
        <f>IF($A54="","",IFERROR(COUNTIF(S54:T54,"כן")/(COUNTIF(S54:T54,"כן")+COUNTIF(S54:T54,"לא")),""))</f>
      </c>
      <c r="AK54" s="27">
        <f>IF($A54="","",IFERROR(COUNTIF(L54:T54,"כן")/(COUNTIF(L54:T54,"כן")+COUNTIF(L54:T54,"לא")),""))</f>
      </c>
      <c r="AL54" s="28">
        <f>IF($A54="","",IFERROR(AVERAGE(U54:V54),""))</f>
      </c>
      <c r="AM54" s="28">
        <f>IF($A54="","",IFERROR(AVERAGE(W54:X54),""))</f>
      </c>
      <c r="AN54" s="28">
        <f>IF($A54="","",IFERROR(AVERAGE(Y54:Z54),""))</f>
      </c>
      <c r="AO54" s="28">
        <f>IF($A54="","",IFERROR(AVERAGE(AA54:AB54),""))</f>
      </c>
      <c r="AP54" s="28">
        <f>IF($A54="","",IFERROR(AVERAGE(AC54),""))</f>
      </c>
      <c r="AQ54" s="28">
        <f>IF($A54="","",IFERROR(AVERAGE(U54:AC54),""))</f>
      </c>
      <c r="AR54" s="26">
        <f>IF($A54="","",IF(AND(H54="",J54=""),"לא נבדק",IF(AND(OR(H54="",H54=I54),OR(J54="",J54=K54)),"תואם","לא תואם")))</f>
      </c>
      <c r="AS54" s="26">
        <f>IF($A54="","",IF(AND(AR54&lt;&gt;"לא תואם",G54&lt;&gt;"לא ברור"),"אמין","לפרש בזהירות"))</f>
      </c>
    </row>
    <row r="55" ht="15" customHeight="1" spans="1:45" x14ac:dyDescent="0.2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6">
        <f>IF($A55="","",$A55&amp;"|"&amp;$C55)</f>
      </c>
      <c r="AF55" s="27">
        <f>IF($A55="","",IFERROR(COUNTIF(L55:M55,"כן")/(COUNTIF(L55:M55,"כן")+COUNTIF(L55:M55,"לא")),""))</f>
      </c>
      <c r="AG55" s="27">
        <f>IF($A55="","",IFERROR(COUNTIF(N55:O55,"כן")/(COUNTIF(N55:O55,"כן")+COUNTIF(N55:O55,"לא")),""))</f>
      </c>
      <c r="AH55" s="27">
        <f>IF($A55="","",IFERROR(COUNTIF(P55,"כן")/(COUNTIF(P55,"כן")+COUNTIF(P55,"לא")),""))</f>
      </c>
      <c r="AI55" s="27">
        <f>IF($A55="","",IFERROR(COUNTIF(Q55:R55,"כן")/(COUNTIF(Q55:R55,"כן")+COUNTIF(Q55:R55,"לא")),""))</f>
      </c>
      <c r="AJ55" s="27">
        <f>IF($A55="","",IFERROR(COUNTIF(S55:T55,"כן")/(COUNTIF(S55:T55,"כן")+COUNTIF(S55:T55,"לא")),""))</f>
      </c>
      <c r="AK55" s="27">
        <f>IF($A55="","",IFERROR(COUNTIF(L55:T55,"כן")/(COUNTIF(L55:T55,"כן")+COUNTIF(L55:T55,"לא")),""))</f>
      </c>
      <c r="AL55" s="28">
        <f>IF($A55="","",IFERROR(AVERAGE(U55:V55),""))</f>
      </c>
      <c r="AM55" s="28">
        <f>IF($A55="","",IFERROR(AVERAGE(W55:X55),""))</f>
      </c>
      <c r="AN55" s="28">
        <f>IF($A55="","",IFERROR(AVERAGE(Y55:Z55),""))</f>
      </c>
      <c r="AO55" s="28">
        <f>IF($A55="","",IFERROR(AVERAGE(AA55:AB55),""))</f>
      </c>
      <c r="AP55" s="28">
        <f>IF($A55="","",IFERROR(AVERAGE(AC55),""))</f>
      </c>
      <c r="AQ55" s="28">
        <f>IF($A55="","",IFERROR(AVERAGE(U55:AC55),""))</f>
      </c>
      <c r="AR55" s="26">
        <f>IF($A55="","",IF(AND(H55="",J55=""),"לא נבדק",IF(AND(OR(H55="",H55=I55),OR(J55="",J55=K55)),"תואם","לא תואם")))</f>
      </c>
      <c r="AS55" s="26">
        <f>IF($A55="","",IF(AND(AR55&lt;&gt;"לא תואם",G55&lt;&gt;"לא ברור"),"אמין","לפרש בזהירות"))</f>
      </c>
    </row>
    <row r="56" ht="15" customHeight="1" spans="1:45" x14ac:dyDescent="0.2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6">
        <f>IF($A56="","",$A56&amp;"|"&amp;$C56)</f>
      </c>
      <c r="AF56" s="27">
        <f>IF($A56="","",IFERROR(COUNTIF(L56:M56,"כן")/(COUNTIF(L56:M56,"כן")+COUNTIF(L56:M56,"לא")),""))</f>
      </c>
      <c r="AG56" s="27">
        <f>IF($A56="","",IFERROR(COUNTIF(N56:O56,"כן")/(COUNTIF(N56:O56,"כן")+COUNTIF(N56:O56,"לא")),""))</f>
      </c>
      <c r="AH56" s="27">
        <f>IF($A56="","",IFERROR(COUNTIF(P56,"כן")/(COUNTIF(P56,"כן")+COUNTIF(P56,"לא")),""))</f>
      </c>
      <c r="AI56" s="27">
        <f>IF($A56="","",IFERROR(COUNTIF(Q56:R56,"כן")/(COUNTIF(Q56:R56,"כן")+COUNTIF(Q56:R56,"לא")),""))</f>
      </c>
      <c r="AJ56" s="27">
        <f>IF($A56="","",IFERROR(COUNTIF(S56:T56,"כן")/(COUNTIF(S56:T56,"כן")+COUNTIF(S56:T56,"לא")),""))</f>
      </c>
      <c r="AK56" s="27">
        <f>IF($A56="","",IFERROR(COUNTIF(L56:T56,"כן")/(COUNTIF(L56:T56,"כן")+COUNTIF(L56:T56,"לא")),""))</f>
      </c>
      <c r="AL56" s="28">
        <f>IF($A56="","",IFERROR(AVERAGE(U56:V56),""))</f>
      </c>
      <c r="AM56" s="28">
        <f>IF($A56="","",IFERROR(AVERAGE(W56:X56),""))</f>
      </c>
      <c r="AN56" s="28">
        <f>IF($A56="","",IFERROR(AVERAGE(Y56:Z56),""))</f>
      </c>
      <c r="AO56" s="28">
        <f>IF($A56="","",IFERROR(AVERAGE(AA56:AB56),""))</f>
      </c>
      <c r="AP56" s="28">
        <f>IF($A56="","",IFERROR(AVERAGE(AC56),""))</f>
      </c>
      <c r="AQ56" s="28">
        <f>IF($A56="","",IFERROR(AVERAGE(U56:AC56),""))</f>
      </c>
      <c r="AR56" s="26">
        <f>IF($A56="","",IF(AND(H56="",J56=""),"לא נבדק",IF(AND(OR(H56="",H56=I56),OR(J56="",J56=K56)),"תואם","לא תואם")))</f>
      </c>
      <c r="AS56" s="26">
        <f>IF($A56="","",IF(AND(AR56&lt;&gt;"לא תואם",G56&lt;&gt;"לא ברור"),"אמין","לפרש בזהירות"))</f>
      </c>
    </row>
    <row r="57" ht="15" customHeight="1" spans="1:45" x14ac:dyDescent="0.2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6">
        <f>IF($A57="","",$A57&amp;"|"&amp;$C57)</f>
      </c>
      <c r="AF57" s="27">
        <f>IF($A57="","",IFERROR(COUNTIF(L57:M57,"כן")/(COUNTIF(L57:M57,"כן")+COUNTIF(L57:M57,"לא")),""))</f>
      </c>
      <c r="AG57" s="27">
        <f>IF($A57="","",IFERROR(COUNTIF(N57:O57,"כן")/(COUNTIF(N57:O57,"כן")+COUNTIF(N57:O57,"לא")),""))</f>
      </c>
      <c r="AH57" s="27">
        <f>IF($A57="","",IFERROR(COUNTIF(P57,"כן")/(COUNTIF(P57,"כן")+COUNTIF(P57,"לא")),""))</f>
      </c>
      <c r="AI57" s="27">
        <f>IF($A57="","",IFERROR(COUNTIF(Q57:R57,"כן")/(COUNTIF(Q57:R57,"כן")+COUNTIF(Q57:R57,"לא")),""))</f>
      </c>
      <c r="AJ57" s="27">
        <f>IF($A57="","",IFERROR(COUNTIF(S57:T57,"כן")/(COUNTIF(S57:T57,"כן")+COUNTIF(S57:T57,"לא")),""))</f>
      </c>
      <c r="AK57" s="27">
        <f>IF($A57="","",IFERROR(COUNTIF(L57:T57,"כן")/(COUNTIF(L57:T57,"כן")+COUNTIF(L57:T57,"לא")),""))</f>
      </c>
      <c r="AL57" s="28">
        <f>IF($A57="","",IFERROR(AVERAGE(U57:V57),""))</f>
      </c>
      <c r="AM57" s="28">
        <f>IF($A57="","",IFERROR(AVERAGE(W57:X57),""))</f>
      </c>
      <c r="AN57" s="28">
        <f>IF($A57="","",IFERROR(AVERAGE(Y57:Z57),""))</f>
      </c>
      <c r="AO57" s="28">
        <f>IF($A57="","",IFERROR(AVERAGE(AA57:AB57),""))</f>
      </c>
      <c r="AP57" s="28">
        <f>IF($A57="","",IFERROR(AVERAGE(AC57),""))</f>
      </c>
      <c r="AQ57" s="28">
        <f>IF($A57="","",IFERROR(AVERAGE(U57:AC57),""))</f>
      </c>
      <c r="AR57" s="26">
        <f>IF($A57="","",IF(AND(H57="",J57=""),"לא נבדק",IF(AND(OR(H57="",H57=I57),OR(J57="",J57=K57)),"תואם","לא תואם")))</f>
      </c>
      <c r="AS57" s="26">
        <f>IF($A57="","",IF(AND(AR57&lt;&gt;"לא תואם",G57&lt;&gt;"לא ברור"),"אמין","לפרש בזהירות"))</f>
      </c>
    </row>
    <row r="58" ht="15" customHeight="1" spans="1:45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6">
        <f>IF($A58="","",$A58&amp;"|"&amp;$C58)</f>
      </c>
      <c r="AF58" s="27">
        <f>IF($A58="","",IFERROR(COUNTIF(L58:M58,"כן")/(COUNTIF(L58:M58,"כן")+COUNTIF(L58:M58,"לא")),""))</f>
      </c>
      <c r="AG58" s="27">
        <f>IF($A58="","",IFERROR(COUNTIF(N58:O58,"כן")/(COUNTIF(N58:O58,"כן")+COUNTIF(N58:O58,"לא")),""))</f>
      </c>
      <c r="AH58" s="27">
        <f>IF($A58="","",IFERROR(COUNTIF(P58,"כן")/(COUNTIF(P58,"כן")+COUNTIF(P58,"לא")),""))</f>
      </c>
      <c r="AI58" s="27">
        <f>IF($A58="","",IFERROR(COUNTIF(Q58:R58,"כן")/(COUNTIF(Q58:R58,"כן")+COUNTIF(Q58:R58,"לא")),""))</f>
      </c>
      <c r="AJ58" s="27">
        <f>IF($A58="","",IFERROR(COUNTIF(S58:T58,"כן")/(COUNTIF(S58:T58,"כן")+COUNTIF(S58:T58,"לא")),""))</f>
      </c>
      <c r="AK58" s="27">
        <f>IF($A58="","",IFERROR(COUNTIF(L58:T58,"כן")/(COUNTIF(L58:T58,"כן")+COUNTIF(L58:T58,"לא")),""))</f>
      </c>
      <c r="AL58" s="28">
        <f>IF($A58="","",IFERROR(AVERAGE(U58:V58),""))</f>
      </c>
      <c r="AM58" s="28">
        <f>IF($A58="","",IFERROR(AVERAGE(W58:X58),""))</f>
      </c>
      <c r="AN58" s="28">
        <f>IF($A58="","",IFERROR(AVERAGE(Y58:Z58),""))</f>
      </c>
      <c r="AO58" s="28">
        <f>IF($A58="","",IFERROR(AVERAGE(AA58:AB58),""))</f>
      </c>
      <c r="AP58" s="28">
        <f>IF($A58="","",IFERROR(AVERAGE(AC58),""))</f>
      </c>
      <c r="AQ58" s="28">
        <f>IF($A58="","",IFERROR(AVERAGE(U58:AC58),""))</f>
      </c>
      <c r="AR58" s="26">
        <f>IF($A58="","",IF(AND(H58="",J58=""),"לא נבדק",IF(AND(OR(H58="",H58=I58),OR(J58="",J58=K58)),"תואם","לא תואם")))</f>
      </c>
      <c r="AS58" s="26">
        <f>IF($A58="","",IF(AND(AR58&lt;&gt;"לא תואם",G58&lt;&gt;"לא ברור"),"אמין","לפרש בזהירות"))</f>
      </c>
    </row>
    <row r="59" ht="15" customHeight="1" spans="1:45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6">
        <f>IF($A59="","",$A59&amp;"|"&amp;$C59)</f>
      </c>
      <c r="AF59" s="27">
        <f>IF($A59="","",IFERROR(COUNTIF(L59:M59,"כן")/(COUNTIF(L59:M59,"כן")+COUNTIF(L59:M59,"לא")),""))</f>
      </c>
      <c r="AG59" s="27">
        <f>IF($A59="","",IFERROR(COUNTIF(N59:O59,"כן")/(COUNTIF(N59:O59,"כן")+COUNTIF(N59:O59,"לא")),""))</f>
      </c>
      <c r="AH59" s="27">
        <f>IF($A59="","",IFERROR(COUNTIF(P59,"כן")/(COUNTIF(P59,"כן")+COUNTIF(P59,"לא")),""))</f>
      </c>
      <c r="AI59" s="27">
        <f>IF($A59="","",IFERROR(COUNTIF(Q59:R59,"כן")/(COUNTIF(Q59:R59,"כן")+COUNTIF(Q59:R59,"לא")),""))</f>
      </c>
      <c r="AJ59" s="27">
        <f>IF($A59="","",IFERROR(COUNTIF(S59:T59,"כן")/(COUNTIF(S59:T59,"כן")+COUNTIF(S59:T59,"לא")),""))</f>
      </c>
      <c r="AK59" s="27">
        <f>IF($A59="","",IFERROR(COUNTIF(L59:T59,"כן")/(COUNTIF(L59:T59,"כן")+COUNTIF(L59:T59,"לא")),""))</f>
      </c>
      <c r="AL59" s="28">
        <f>IF($A59="","",IFERROR(AVERAGE(U59:V59),""))</f>
      </c>
      <c r="AM59" s="28">
        <f>IF($A59="","",IFERROR(AVERAGE(W59:X59),""))</f>
      </c>
      <c r="AN59" s="28">
        <f>IF($A59="","",IFERROR(AVERAGE(Y59:Z59),""))</f>
      </c>
      <c r="AO59" s="28">
        <f>IF($A59="","",IFERROR(AVERAGE(AA59:AB59),""))</f>
      </c>
      <c r="AP59" s="28">
        <f>IF($A59="","",IFERROR(AVERAGE(AC59),""))</f>
      </c>
      <c r="AQ59" s="28">
        <f>IF($A59="","",IFERROR(AVERAGE(U59:AC59),""))</f>
      </c>
      <c r="AR59" s="26">
        <f>IF($A59="","",IF(AND(H59="",J59=""),"לא נבדק",IF(AND(OR(H59="",H59=I59),OR(J59="",J59=K59)),"תואם","לא תואם")))</f>
      </c>
      <c r="AS59" s="26">
        <f>IF($A59="","",IF(AND(AR59&lt;&gt;"לא תואם",G59&lt;&gt;"לא ברור"),"אמין","לפרש בזהירות"))</f>
      </c>
    </row>
    <row r="60" ht="15" customHeight="1" spans="1:45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6">
        <f>IF($A60="","",$A60&amp;"|"&amp;$C60)</f>
      </c>
      <c r="AF60" s="27">
        <f>IF($A60="","",IFERROR(COUNTIF(L60:M60,"כן")/(COUNTIF(L60:M60,"כן")+COUNTIF(L60:M60,"לא")),""))</f>
      </c>
      <c r="AG60" s="27">
        <f>IF($A60="","",IFERROR(COUNTIF(N60:O60,"כן")/(COUNTIF(N60:O60,"כן")+COUNTIF(N60:O60,"לא")),""))</f>
      </c>
      <c r="AH60" s="27">
        <f>IF($A60="","",IFERROR(COUNTIF(P60,"כן")/(COUNTIF(P60,"כן")+COUNTIF(P60,"לא")),""))</f>
      </c>
      <c r="AI60" s="27">
        <f>IF($A60="","",IFERROR(COUNTIF(Q60:R60,"כן")/(COUNTIF(Q60:R60,"כן")+COUNTIF(Q60:R60,"לא")),""))</f>
      </c>
      <c r="AJ60" s="27">
        <f>IF($A60="","",IFERROR(COUNTIF(S60:T60,"כן")/(COUNTIF(S60:T60,"כן")+COUNTIF(S60:T60,"לא")),""))</f>
      </c>
      <c r="AK60" s="27">
        <f>IF($A60="","",IFERROR(COUNTIF(L60:T60,"כן")/(COUNTIF(L60:T60,"כן")+COUNTIF(L60:T60,"לא")),""))</f>
      </c>
      <c r="AL60" s="28">
        <f>IF($A60="","",IFERROR(AVERAGE(U60:V60),""))</f>
      </c>
      <c r="AM60" s="28">
        <f>IF($A60="","",IFERROR(AVERAGE(W60:X60),""))</f>
      </c>
      <c r="AN60" s="28">
        <f>IF($A60="","",IFERROR(AVERAGE(Y60:Z60),""))</f>
      </c>
      <c r="AO60" s="28">
        <f>IF($A60="","",IFERROR(AVERAGE(AA60:AB60),""))</f>
      </c>
      <c r="AP60" s="28">
        <f>IF($A60="","",IFERROR(AVERAGE(AC60),""))</f>
      </c>
      <c r="AQ60" s="28">
        <f>IF($A60="","",IFERROR(AVERAGE(U60:AC60),""))</f>
      </c>
      <c r="AR60" s="26">
        <f>IF($A60="","",IF(AND(H60="",J60=""),"לא נבדק",IF(AND(OR(H60="",H60=I60),OR(J60="",J60=K60)),"תואם","לא תואם")))</f>
      </c>
      <c r="AS60" s="26">
        <f>IF($A60="","",IF(AND(AR60&lt;&gt;"לא תואם",G60&lt;&gt;"לא ברור"),"אמין","לפרש בזהירות"))</f>
      </c>
    </row>
    <row r="61" ht="15" customHeight="1" spans="1:45" x14ac:dyDescent="0.2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6">
        <f>IF($A61="","",$A61&amp;"|"&amp;$C61)</f>
      </c>
      <c r="AF61" s="27">
        <f>IF($A61="","",IFERROR(COUNTIF(L61:M61,"כן")/(COUNTIF(L61:M61,"כן")+COUNTIF(L61:M61,"לא")),""))</f>
      </c>
      <c r="AG61" s="27">
        <f>IF($A61="","",IFERROR(COUNTIF(N61:O61,"כן")/(COUNTIF(N61:O61,"כן")+COUNTIF(N61:O61,"לא")),""))</f>
      </c>
      <c r="AH61" s="27">
        <f>IF($A61="","",IFERROR(COUNTIF(P61,"כן")/(COUNTIF(P61,"כן")+COUNTIF(P61,"לא")),""))</f>
      </c>
      <c r="AI61" s="27">
        <f>IF($A61="","",IFERROR(COUNTIF(Q61:R61,"כן")/(COUNTIF(Q61:R61,"כן")+COUNTIF(Q61:R61,"לא")),""))</f>
      </c>
      <c r="AJ61" s="27">
        <f>IF($A61="","",IFERROR(COUNTIF(S61:T61,"כן")/(COUNTIF(S61:T61,"כן")+COUNTIF(S61:T61,"לא")),""))</f>
      </c>
      <c r="AK61" s="27">
        <f>IF($A61="","",IFERROR(COUNTIF(L61:T61,"כן")/(COUNTIF(L61:T61,"כן")+COUNTIF(L61:T61,"לא")),""))</f>
      </c>
      <c r="AL61" s="28">
        <f>IF($A61="","",IFERROR(AVERAGE(U61:V61),""))</f>
      </c>
      <c r="AM61" s="28">
        <f>IF($A61="","",IFERROR(AVERAGE(W61:X61),""))</f>
      </c>
      <c r="AN61" s="28">
        <f>IF($A61="","",IFERROR(AVERAGE(Y61:Z61),""))</f>
      </c>
      <c r="AO61" s="28">
        <f>IF($A61="","",IFERROR(AVERAGE(AA61:AB61),""))</f>
      </c>
      <c r="AP61" s="28">
        <f>IF($A61="","",IFERROR(AVERAGE(AC61),""))</f>
      </c>
      <c r="AQ61" s="28">
        <f>IF($A61="","",IFERROR(AVERAGE(U61:AC61),""))</f>
      </c>
      <c r="AR61" s="26">
        <f>IF($A61="","",IF(AND(H61="",J61=""),"לא נבדק",IF(AND(OR(H61="",H61=I61),OR(J61="",J61=K61)),"תואם","לא תואם")))</f>
      </c>
      <c r="AS61" s="26">
        <f>IF($A61="","",IF(AND(AR61&lt;&gt;"לא תואם",G61&lt;&gt;"לא ברור"),"אמין","לפרש בזהירות"))</f>
      </c>
    </row>
    <row r="62" ht="15" customHeight="1" spans="1:45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6">
        <f>IF($A62="","",$A62&amp;"|"&amp;$C62)</f>
      </c>
      <c r="AF62" s="27">
        <f>IF($A62="","",IFERROR(COUNTIF(L62:M62,"כן")/(COUNTIF(L62:M62,"כן")+COUNTIF(L62:M62,"לא")),""))</f>
      </c>
      <c r="AG62" s="27">
        <f>IF($A62="","",IFERROR(COUNTIF(N62:O62,"כן")/(COUNTIF(N62:O62,"כן")+COUNTIF(N62:O62,"לא")),""))</f>
      </c>
      <c r="AH62" s="27">
        <f>IF($A62="","",IFERROR(COUNTIF(P62,"כן")/(COUNTIF(P62,"כן")+COUNTIF(P62,"לא")),""))</f>
      </c>
      <c r="AI62" s="27">
        <f>IF($A62="","",IFERROR(COUNTIF(Q62:R62,"כן")/(COUNTIF(Q62:R62,"כן")+COUNTIF(Q62:R62,"לא")),""))</f>
      </c>
      <c r="AJ62" s="27">
        <f>IF($A62="","",IFERROR(COUNTIF(S62:T62,"כן")/(COUNTIF(S62:T62,"כן")+COUNTIF(S62:T62,"לא")),""))</f>
      </c>
      <c r="AK62" s="27">
        <f>IF($A62="","",IFERROR(COUNTIF(L62:T62,"כן")/(COUNTIF(L62:T62,"כן")+COUNTIF(L62:T62,"לא")),""))</f>
      </c>
      <c r="AL62" s="28">
        <f>IF($A62="","",IFERROR(AVERAGE(U62:V62),""))</f>
      </c>
      <c r="AM62" s="28">
        <f>IF($A62="","",IFERROR(AVERAGE(W62:X62),""))</f>
      </c>
      <c r="AN62" s="28">
        <f>IF($A62="","",IFERROR(AVERAGE(Y62:Z62),""))</f>
      </c>
      <c r="AO62" s="28">
        <f>IF($A62="","",IFERROR(AVERAGE(AA62:AB62),""))</f>
      </c>
      <c r="AP62" s="28">
        <f>IF($A62="","",IFERROR(AVERAGE(AC62),""))</f>
      </c>
      <c r="AQ62" s="28">
        <f>IF($A62="","",IFERROR(AVERAGE(U62:AC62),""))</f>
      </c>
      <c r="AR62" s="26">
        <f>IF($A62="","",IF(AND(H62="",J62=""),"לא נבדק",IF(AND(OR(H62="",H62=I62),OR(J62="",J62=K62)),"תואם","לא תואם")))</f>
      </c>
      <c r="AS62" s="26">
        <f>IF($A62="","",IF(AND(AR62&lt;&gt;"לא תואם",G62&lt;&gt;"לא ברור"),"אמין","לפרש בזהירות"))</f>
      </c>
    </row>
    <row r="63" ht="15" customHeight="1" spans="1:45" x14ac:dyDescent="0.2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6">
        <f>IF($A63="","",$A63&amp;"|"&amp;$C63)</f>
      </c>
      <c r="AF63" s="27">
        <f>IF($A63="","",IFERROR(COUNTIF(L63:M63,"כן")/(COUNTIF(L63:M63,"כן")+COUNTIF(L63:M63,"לא")),""))</f>
      </c>
      <c r="AG63" s="27">
        <f>IF($A63="","",IFERROR(COUNTIF(N63:O63,"כן")/(COUNTIF(N63:O63,"כן")+COUNTIF(N63:O63,"לא")),""))</f>
      </c>
      <c r="AH63" s="27">
        <f>IF($A63="","",IFERROR(COUNTIF(P63,"כן")/(COUNTIF(P63,"כן")+COUNTIF(P63,"לא")),""))</f>
      </c>
      <c r="AI63" s="27">
        <f>IF($A63="","",IFERROR(COUNTIF(Q63:R63,"כן")/(COUNTIF(Q63:R63,"כן")+COUNTIF(Q63:R63,"לא")),""))</f>
      </c>
      <c r="AJ63" s="27">
        <f>IF($A63="","",IFERROR(COUNTIF(S63:T63,"כן")/(COUNTIF(S63:T63,"כן")+COUNTIF(S63:T63,"לא")),""))</f>
      </c>
      <c r="AK63" s="27">
        <f>IF($A63="","",IFERROR(COUNTIF(L63:T63,"כן")/(COUNTIF(L63:T63,"כן")+COUNTIF(L63:T63,"לא")),""))</f>
      </c>
      <c r="AL63" s="28">
        <f>IF($A63="","",IFERROR(AVERAGE(U63:V63),""))</f>
      </c>
      <c r="AM63" s="28">
        <f>IF($A63="","",IFERROR(AVERAGE(W63:X63),""))</f>
      </c>
      <c r="AN63" s="28">
        <f>IF($A63="","",IFERROR(AVERAGE(Y63:Z63),""))</f>
      </c>
      <c r="AO63" s="28">
        <f>IF($A63="","",IFERROR(AVERAGE(AA63:AB63),""))</f>
      </c>
      <c r="AP63" s="28">
        <f>IF($A63="","",IFERROR(AVERAGE(AC63),""))</f>
      </c>
      <c r="AQ63" s="28">
        <f>IF($A63="","",IFERROR(AVERAGE(U63:AC63),""))</f>
      </c>
      <c r="AR63" s="26">
        <f>IF($A63="","",IF(AND(H63="",J63=""),"לא נבדק",IF(AND(OR(H63="",H63=I63),OR(J63="",J63=K63)),"תואם","לא תואם")))</f>
      </c>
      <c r="AS63" s="26">
        <f>IF($A63="","",IF(AND(AR63&lt;&gt;"לא תואם",G63&lt;&gt;"לא ברור"),"אמין","לפרש בזהירות"))</f>
      </c>
    </row>
    <row r="64" ht="15" customHeight="1" spans="1:45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6">
        <f>IF($A64="","",$A64&amp;"|"&amp;$C64)</f>
      </c>
      <c r="AF64" s="27">
        <f>IF($A64="","",IFERROR(COUNTIF(L64:M64,"כן")/(COUNTIF(L64:M64,"כן")+COUNTIF(L64:M64,"לא")),""))</f>
      </c>
      <c r="AG64" s="27">
        <f>IF($A64="","",IFERROR(COUNTIF(N64:O64,"כן")/(COUNTIF(N64:O64,"כן")+COUNTIF(N64:O64,"לא")),""))</f>
      </c>
      <c r="AH64" s="27">
        <f>IF($A64="","",IFERROR(COUNTIF(P64,"כן")/(COUNTIF(P64,"כן")+COUNTIF(P64,"לא")),""))</f>
      </c>
      <c r="AI64" s="27">
        <f>IF($A64="","",IFERROR(COUNTIF(Q64:R64,"כן")/(COUNTIF(Q64:R64,"כן")+COUNTIF(Q64:R64,"לא")),""))</f>
      </c>
      <c r="AJ64" s="27">
        <f>IF($A64="","",IFERROR(COUNTIF(S64:T64,"כן")/(COUNTIF(S64:T64,"כן")+COUNTIF(S64:T64,"לא")),""))</f>
      </c>
      <c r="AK64" s="27">
        <f>IF($A64="","",IFERROR(COUNTIF(L64:T64,"כן")/(COUNTIF(L64:T64,"כן")+COUNTIF(L64:T64,"לא")),""))</f>
      </c>
      <c r="AL64" s="28">
        <f>IF($A64="","",IFERROR(AVERAGE(U64:V64),""))</f>
      </c>
      <c r="AM64" s="28">
        <f>IF($A64="","",IFERROR(AVERAGE(W64:X64),""))</f>
      </c>
      <c r="AN64" s="28">
        <f>IF($A64="","",IFERROR(AVERAGE(Y64:Z64),""))</f>
      </c>
      <c r="AO64" s="28">
        <f>IF($A64="","",IFERROR(AVERAGE(AA64:AB64),""))</f>
      </c>
      <c r="AP64" s="28">
        <f>IF($A64="","",IFERROR(AVERAGE(AC64),""))</f>
      </c>
      <c r="AQ64" s="28">
        <f>IF($A64="","",IFERROR(AVERAGE(U64:AC64),""))</f>
      </c>
      <c r="AR64" s="26">
        <f>IF($A64="","",IF(AND(H64="",J64=""),"לא נבדק",IF(AND(OR(H64="",H64=I64),OR(J64="",J64=K64)),"תואם","לא תואם")))</f>
      </c>
      <c r="AS64" s="26">
        <f>IF($A64="","",IF(AND(AR64&lt;&gt;"לא תואם",G64&lt;&gt;"לא ברור"),"אמין","לפרש בזהירות"))</f>
      </c>
    </row>
    <row r="65" ht="15" customHeight="1" spans="1:45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6">
        <f>IF($A65="","",$A65&amp;"|"&amp;$C65)</f>
      </c>
      <c r="AF65" s="27">
        <f>IF($A65="","",IFERROR(COUNTIF(L65:M65,"כן")/(COUNTIF(L65:M65,"כן")+COUNTIF(L65:M65,"לא")),""))</f>
      </c>
      <c r="AG65" s="27">
        <f>IF($A65="","",IFERROR(COUNTIF(N65:O65,"כן")/(COUNTIF(N65:O65,"כן")+COUNTIF(N65:O65,"לא")),""))</f>
      </c>
      <c r="AH65" s="27">
        <f>IF($A65="","",IFERROR(COUNTIF(P65,"כן")/(COUNTIF(P65,"כן")+COUNTIF(P65,"לא")),""))</f>
      </c>
      <c r="AI65" s="27">
        <f>IF($A65="","",IFERROR(COUNTIF(Q65:R65,"כן")/(COUNTIF(Q65:R65,"כן")+COUNTIF(Q65:R65,"לא")),""))</f>
      </c>
      <c r="AJ65" s="27">
        <f>IF($A65="","",IFERROR(COUNTIF(S65:T65,"כן")/(COUNTIF(S65:T65,"כן")+COUNTIF(S65:T65,"לא")),""))</f>
      </c>
      <c r="AK65" s="27">
        <f>IF($A65="","",IFERROR(COUNTIF(L65:T65,"כן")/(COUNTIF(L65:T65,"כן")+COUNTIF(L65:T65,"לא")),""))</f>
      </c>
      <c r="AL65" s="28">
        <f>IF($A65="","",IFERROR(AVERAGE(U65:V65),""))</f>
      </c>
      <c r="AM65" s="28">
        <f>IF($A65="","",IFERROR(AVERAGE(W65:X65),""))</f>
      </c>
      <c r="AN65" s="28">
        <f>IF($A65="","",IFERROR(AVERAGE(Y65:Z65),""))</f>
      </c>
      <c r="AO65" s="28">
        <f>IF($A65="","",IFERROR(AVERAGE(AA65:AB65),""))</f>
      </c>
      <c r="AP65" s="28">
        <f>IF($A65="","",IFERROR(AVERAGE(AC65),""))</f>
      </c>
      <c r="AQ65" s="28">
        <f>IF($A65="","",IFERROR(AVERAGE(U65:AC65),""))</f>
      </c>
      <c r="AR65" s="26">
        <f>IF($A65="","",IF(AND(H65="",J65=""),"לא נבדק",IF(AND(OR(H65="",H65=I65),OR(J65="",J65=K65)),"תואם","לא תואם")))</f>
      </c>
      <c r="AS65" s="26">
        <f>IF($A65="","",IF(AND(AR65&lt;&gt;"לא תואם",G65&lt;&gt;"לא ברור"),"אמין","לפרש בזהירות"))</f>
      </c>
    </row>
    <row r="66" ht="15" customHeight="1" spans="1:45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6">
        <f>IF($A66="","",$A66&amp;"|"&amp;$C66)</f>
      </c>
      <c r="AF66" s="27">
        <f>IF($A66="","",IFERROR(COUNTIF(L66:M66,"כן")/(COUNTIF(L66:M66,"כן")+COUNTIF(L66:M66,"לא")),""))</f>
      </c>
      <c r="AG66" s="27">
        <f>IF($A66="","",IFERROR(COUNTIF(N66:O66,"כן")/(COUNTIF(N66:O66,"כן")+COUNTIF(N66:O66,"לא")),""))</f>
      </c>
      <c r="AH66" s="27">
        <f>IF($A66="","",IFERROR(COUNTIF(P66,"כן")/(COUNTIF(P66,"כן")+COUNTIF(P66,"לא")),""))</f>
      </c>
      <c r="AI66" s="27">
        <f>IF($A66="","",IFERROR(COUNTIF(Q66:R66,"כן")/(COUNTIF(Q66:R66,"כן")+COUNTIF(Q66:R66,"לא")),""))</f>
      </c>
      <c r="AJ66" s="27">
        <f>IF($A66="","",IFERROR(COUNTIF(S66:T66,"כן")/(COUNTIF(S66:T66,"כן")+COUNTIF(S66:T66,"לא")),""))</f>
      </c>
      <c r="AK66" s="27">
        <f>IF($A66="","",IFERROR(COUNTIF(L66:T66,"כן")/(COUNTIF(L66:T66,"כן")+COUNTIF(L66:T66,"לא")),""))</f>
      </c>
      <c r="AL66" s="28">
        <f>IF($A66="","",IFERROR(AVERAGE(U66:V66),""))</f>
      </c>
      <c r="AM66" s="28">
        <f>IF($A66="","",IFERROR(AVERAGE(W66:X66),""))</f>
      </c>
      <c r="AN66" s="28">
        <f>IF($A66="","",IFERROR(AVERAGE(Y66:Z66),""))</f>
      </c>
      <c r="AO66" s="28">
        <f>IF($A66="","",IFERROR(AVERAGE(AA66:AB66),""))</f>
      </c>
      <c r="AP66" s="28">
        <f>IF($A66="","",IFERROR(AVERAGE(AC66),""))</f>
      </c>
      <c r="AQ66" s="28">
        <f>IF($A66="","",IFERROR(AVERAGE(U66:AC66),""))</f>
      </c>
      <c r="AR66" s="26">
        <f>IF($A66="","",IF(AND(H66="",J66=""),"לא נבדק",IF(AND(OR(H66="",H66=I66),OR(J66="",J66=K66)),"תואם","לא תואם")))</f>
      </c>
      <c r="AS66" s="26">
        <f>IF($A66="","",IF(AND(AR66&lt;&gt;"לא תואם",G66&lt;&gt;"לא ברור"),"אמין","לפרש בזהירות"))</f>
      </c>
    </row>
    <row r="67" ht="15" customHeight="1" spans="1:45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6">
        <f>IF($A67="","",$A67&amp;"|"&amp;$C67)</f>
      </c>
      <c r="AF67" s="27">
        <f>IF($A67="","",IFERROR(COUNTIF(L67:M67,"כן")/(COUNTIF(L67:M67,"כן")+COUNTIF(L67:M67,"לא")),""))</f>
      </c>
      <c r="AG67" s="27">
        <f>IF($A67="","",IFERROR(COUNTIF(N67:O67,"כן")/(COUNTIF(N67:O67,"כן")+COUNTIF(N67:O67,"לא")),""))</f>
      </c>
      <c r="AH67" s="27">
        <f>IF($A67="","",IFERROR(COUNTIF(P67,"כן")/(COUNTIF(P67,"כן")+COUNTIF(P67,"לא")),""))</f>
      </c>
      <c r="AI67" s="27">
        <f>IF($A67="","",IFERROR(COUNTIF(Q67:R67,"כן")/(COUNTIF(Q67:R67,"כן")+COUNTIF(Q67:R67,"לא")),""))</f>
      </c>
      <c r="AJ67" s="27">
        <f>IF($A67="","",IFERROR(COUNTIF(S67:T67,"כן")/(COUNTIF(S67:T67,"כן")+COUNTIF(S67:T67,"לא")),""))</f>
      </c>
      <c r="AK67" s="27">
        <f>IF($A67="","",IFERROR(COUNTIF(L67:T67,"כן")/(COUNTIF(L67:T67,"כן")+COUNTIF(L67:T67,"לא")),""))</f>
      </c>
      <c r="AL67" s="28">
        <f>IF($A67="","",IFERROR(AVERAGE(U67:V67),""))</f>
      </c>
      <c r="AM67" s="28">
        <f>IF($A67="","",IFERROR(AVERAGE(W67:X67),""))</f>
      </c>
      <c r="AN67" s="28">
        <f>IF($A67="","",IFERROR(AVERAGE(Y67:Z67),""))</f>
      </c>
      <c r="AO67" s="28">
        <f>IF($A67="","",IFERROR(AVERAGE(AA67:AB67),""))</f>
      </c>
      <c r="AP67" s="28">
        <f>IF($A67="","",IFERROR(AVERAGE(AC67),""))</f>
      </c>
      <c r="AQ67" s="28">
        <f>IF($A67="","",IFERROR(AVERAGE(U67:AC67),""))</f>
      </c>
      <c r="AR67" s="26">
        <f>IF($A67="","",IF(AND(H67="",J67=""),"לא נבדק",IF(AND(OR(H67="",H67=I67),OR(J67="",J67=K67)),"תואם","לא תואם")))</f>
      </c>
      <c r="AS67" s="26">
        <f>IF($A67="","",IF(AND(AR67&lt;&gt;"לא תואם",G67&lt;&gt;"לא ברור"),"אמין","לפרש בזהירות"))</f>
      </c>
    </row>
    <row r="68" ht="15" customHeight="1" spans="1:45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6">
        <f>IF($A68="","",$A68&amp;"|"&amp;$C68)</f>
      </c>
      <c r="AF68" s="27">
        <f>IF($A68="","",IFERROR(COUNTIF(L68:M68,"כן")/(COUNTIF(L68:M68,"כן")+COUNTIF(L68:M68,"לא")),""))</f>
      </c>
      <c r="AG68" s="27">
        <f>IF($A68="","",IFERROR(COUNTIF(N68:O68,"כן")/(COUNTIF(N68:O68,"כן")+COUNTIF(N68:O68,"לא")),""))</f>
      </c>
      <c r="AH68" s="27">
        <f>IF($A68="","",IFERROR(COUNTIF(P68,"כן")/(COUNTIF(P68,"כן")+COUNTIF(P68,"לא")),""))</f>
      </c>
      <c r="AI68" s="27">
        <f>IF($A68="","",IFERROR(COUNTIF(Q68:R68,"כן")/(COUNTIF(Q68:R68,"כן")+COUNTIF(Q68:R68,"לא")),""))</f>
      </c>
      <c r="AJ68" s="27">
        <f>IF($A68="","",IFERROR(COUNTIF(S68:T68,"כן")/(COUNTIF(S68:T68,"כן")+COUNTIF(S68:T68,"לא")),""))</f>
      </c>
      <c r="AK68" s="27">
        <f>IF($A68="","",IFERROR(COUNTIF(L68:T68,"כן")/(COUNTIF(L68:T68,"כן")+COUNTIF(L68:T68,"לא")),""))</f>
      </c>
      <c r="AL68" s="28">
        <f>IF($A68="","",IFERROR(AVERAGE(U68:V68),""))</f>
      </c>
      <c r="AM68" s="28">
        <f>IF($A68="","",IFERROR(AVERAGE(W68:X68),""))</f>
      </c>
      <c r="AN68" s="28">
        <f>IF($A68="","",IFERROR(AVERAGE(Y68:Z68),""))</f>
      </c>
      <c r="AO68" s="28">
        <f>IF($A68="","",IFERROR(AVERAGE(AA68:AB68),""))</f>
      </c>
      <c r="AP68" s="28">
        <f>IF($A68="","",IFERROR(AVERAGE(AC68),""))</f>
      </c>
      <c r="AQ68" s="28">
        <f>IF($A68="","",IFERROR(AVERAGE(U68:AC68),""))</f>
      </c>
      <c r="AR68" s="26">
        <f>IF($A68="","",IF(AND(H68="",J68=""),"לא נבדק",IF(AND(OR(H68="",H68=I68),OR(J68="",J68=K68)),"תואם","לא תואם")))</f>
      </c>
      <c r="AS68" s="26">
        <f>IF($A68="","",IF(AND(AR68&lt;&gt;"לא תואם",G68&lt;&gt;"לא ברור"),"אמין","לפרש בזהירות"))</f>
      </c>
    </row>
    <row r="69" ht="15" customHeight="1" spans="1:45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6">
        <f>IF($A69="","",$A69&amp;"|"&amp;$C69)</f>
      </c>
      <c r="AF69" s="27">
        <f>IF($A69="","",IFERROR(COUNTIF(L69:M69,"כן")/(COUNTIF(L69:M69,"כן")+COUNTIF(L69:M69,"לא")),""))</f>
      </c>
      <c r="AG69" s="27">
        <f>IF($A69="","",IFERROR(COUNTIF(N69:O69,"כן")/(COUNTIF(N69:O69,"כן")+COUNTIF(N69:O69,"לא")),""))</f>
      </c>
      <c r="AH69" s="27">
        <f>IF($A69="","",IFERROR(COUNTIF(P69,"כן")/(COUNTIF(P69,"כן")+COUNTIF(P69,"לא")),""))</f>
      </c>
      <c r="AI69" s="27">
        <f>IF($A69="","",IFERROR(COUNTIF(Q69:R69,"כן")/(COUNTIF(Q69:R69,"כן")+COUNTIF(Q69:R69,"לא")),""))</f>
      </c>
      <c r="AJ69" s="27">
        <f>IF($A69="","",IFERROR(COUNTIF(S69:T69,"כן")/(COUNTIF(S69:T69,"כן")+COUNTIF(S69:T69,"לא")),""))</f>
      </c>
      <c r="AK69" s="27">
        <f>IF($A69="","",IFERROR(COUNTIF(L69:T69,"כן")/(COUNTIF(L69:T69,"כן")+COUNTIF(L69:T69,"לא")),""))</f>
      </c>
      <c r="AL69" s="28">
        <f>IF($A69="","",IFERROR(AVERAGE(U69:V69),""))</f>
      </c>
      <c r="AM69" s="28">
        <f>IF($A69="","",IFERROR(AVERAGE(W69:X69),""))</f>
      </c>
      <c r="AN69" s="28">
        <f>IF($A69="","",IFERROR(AVERAGE(Y69:Z69),""))</f>
      </c>
      <c r="AO69" s="28">
        <f>IF($A69="","",IFERROR(AVERAGE(AA69:AB69),""))</f>
      </c>
      <c r="AP69" s="28">
        <f>IF($A69="","",IFERROR(AVERAGE(AC69),""))</f>
      </c>
      <c r="AQ69" s="28">
        <f>IF($A69="","",IFERROR(AVERAGE(U69:AC69),""))</f>
      </c>
      <c r="AR69" s="26">
        <f>IF($A69="","",IF(AND(H69="",J69=""),"לא נבדק",IF(AND(OR(H69="",H69=I69),OR(J69="",J69=K69)),"תואם","לא תואם")))</f>
      </c>
      <c r="AS69" s="26">
        <f>IF($A69="","",IF(AND(AR69&lt;&gt;"לא תואם",G69&lt;&gt;"לא ברור"),"אמין","לפרש בזהירות"))</f>
      </c>
    </row>
    <row r="70" ht="15" customHeight="1" spans="1:45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6">
        <f>IF($A70="","",$A70&amp;"|"&amp;$C70)</f>
      </c>
      <c r="AF70" s="27">
        <f>IF($A70="","",IFERROR(COUNTIF(L70:M70,"כן")/(COUNTIF(L70:M70,"כן")+COUNTIF(L70:M70,"לא")),""))</f>
      </c>
      <c r="AG70" s="27">
        <f>IF($A70="","",IFERROR(COUNTIF(N70:O70,"כן")/(COUNTIF(N70:O70,"כן")+COUNTIF(N70:O70,"לא")),""))</f>
      </c>
      <c r="AH70" s="27">
        <f>IF($A70="","",IFERROR(COUNTIF(P70,"כן")/(COUNTIF(P70,"כן")+COUNTIF(P70,"לא")),""))</f>
      </c>
      <c r="AI70" s="27">
        <f>IF($A70="","",IFERROR(COUNTIF(Q70:R70,"כן")/(COUNTIF(Q70:R70,"כן")+COUNTIF(Q70:R70,"לא")),""))</f>
      </c>
      <c r="AJ70" s="27">
        <f>IF($A70="","",IFERROR(COUNTIF(S70:T70,"כן")/(COUNTIF(S70:T70,"כן")+COUNTIF(S70:T70,"לא")),""))</f>
      </c>
      <c r="AK70" s="27">
        <f>IF($A70="","",IFERROR(COUNTIF(L70:T70,"כן")/(COUNTIF(L70:T70,"כן")+COUNTIF(L70:T70,"לא")),""))</f>
      </c>
      <c r="AL70" s="28">
        <f>IF($A70="","",IFERROR(AVERAGE(U70:V70),""))</f>
      </c>
      <c r="AM70" s="28">
        <f>IF($A70="","",IFERROR(AVERAGE(W70:X70),""))</f>
      </c>
      <c r="AN70" s="28">
        <f>IF($A70="","",IFERROR(AVERAGE(Y70:Z70),""))</f>
      </c>
      <c r="AO70" s="28">
        <f>IF($A70="","",IFERROR(AVERAGE(AA70:AB70),""))</f>
      </c>
      <c r="AP70" s="28">
        <f>IF($A70="","",IFERROR(AVERAGE(AC70),""))</f>
      </c>
      <c r="AQ70" s="28">
        <f>IF($A70="","",IFERROR(AVERAGE(U70:AC70),""))</f>
      </c>
      <c r="AR70" s="26">
        <f>IF($A70="","",IF(AND(H70="",J70=""),"לא נבדק",IF(AND(OR(H70="",H70=I70),OR(J70="",J70=K70)),"תואם","לא תואם")))</f>
      </c>
      <c r="AS70" s="26">
        <f>IF($A70="","",IF(AND(AR70&lt;&gt;"לא תואם",G70&lt;&gt;"לא ברור"),"אמין","לפרש בזהירות"))</f>
      </c>
    </row>
    <row r="71" ht="15" customHeight="1" spans="1:45" x14ac:dyDescent="0.2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6">
        <f>IF($A71="","",$A71&amp;"|"&amp;$C71)</f>
      </c>
      <c r="AF71" s="27">
        <f>IF($A71="","",IFERROR(COUNTIF(L71:M71,"כן")/(COUNTIF(L71:M71,"כן")+COUNTIF(L71:M71,"לא")),""))</f>
      </c>
      <c r="AG71" s="27">
        <f>IF($A71="","",IFERROR(COUNTIF(N71:O71,"כן")/(COUNTIF(N71:O71,"כן")+COUNTIF(N71:O71,"לא")),""))</f>
      </c>
      <c r="AH71" s="27">
        <f>IF($A71="","",IFERROR(COUNTIF(P71,"כן")/(COUNTIF(P71,"כן")+COUNTIF(P71,"לא")),""))</f>
      </c>
      <c r="AI71" s="27">
        <f>IF($A71="","",IFERROR(COUNTIF(Q71:R71,"כן")/(COUNTIF(Q71:R71,"כן")+COUNTIF(Q71:R71,"לא")),""))</f>
      </c>
      <c r="AJ71" s="27">
        <f>IF($A71="","",IFERROR(COUNTIF(S71:T71,"כן")/(COUNTIF(S71:T71,"כן")+COUNTIF(S71:T71,"לא")),""))</f>
      </c>
      <c r="AK71" s="27">
        <f>IF($A71="","",IFERROR(COUNTIF(L71:T71,"כן")/(COUNTIF(L71:T71,"כן")+COUNTIF(L71:T71,"לא")),""))</f>
      </c>
      <c r="AL71" s="28">
        <f>IF($A71="","",IFERROR(AVERAGE(U71:V71),""))</f>
      </c>
      <c r="AM71" s="28">
        <f>IF($A71="","",IFERROR(AVERAGE(W71:X71),""))</f>
      </c>
      <c r="AN71" s="28">
        <f>IF($A71="","",IFERROR(AVERAGE(Y71:Z71),""))</f>
      </c>
      <c r="AO71" s="28">
        <f>IF($A71="","",IFERROR(AVERAGE(AA71:AB71),""))</f>
      </c>
      <c r="AP71" s="28">
        <f>IF($A71="","",IFERROR(AVERAGE(AC71),""))</f>
      </c>
      <c r="AQ71" s="28">
        <f>IF($A71="","",IFERROR(AVERAGE(U71:AC71),""))</f>
      </c>
      <c r="AR71" s="26">
        <f>IF($A71="","",IF(AND(H71="",J71=""),"לא נבדק",IF(AND(OR(H71="",H71=I71),OR(J71="",J71=K71)),"תואם","לא תואם")))</f>
      </c>
      <c r="AS71" s="26">
        <f>IF($A71="","",IF(AND(AR71&lt;&gt;"לא תואם",G71&lt;&gt;"לא ברור"),"אמין","לפרש בזהירות"))</f>
      </c>
    </row>
    <row r="72" ht="15" customHeight="1" spans="1:45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6">
        <f>IF($A72="","",$A72&amp;"|"&amp;$C72)</f>
      </c>
      <c r="AF72" s="27">
        <f>IF($A72="","",IFERROR(COUNTIF(L72:M72,"כן")/(COUNTIF(L72:M72,"כן")+COUNTIF(L72:M72,"לא")),""))</f>
      </c>
      <c r="AG72" s="27">
        <f>IF($A72="","",IFERROR(COUNTIF(N72:O72,"כן")/(COUNTIF(N72:O72,"כן")+COUNTIF(N72:O72,"לא")),""))</f>
      </c>
      <c r="AH72" s="27">
        <f>IF($A72="","",IFERROR(COUNTIF(P72,"כן")/(COUNTIF(P72,"כן")+COUNTIF(P72,"לא")),""))</f>
      </c>
      <c r="AI72" s="27">
        <f>IF($A72="","",IFERROR(COUNTIF(Q72:R72,"כן")/(COUNTIF(Q72:R72,"כן")+COUNTIF(Q72:R72,"לא")),""))</f>
      </c>
      <c r="AJ72" s="27">
        <f>IF($A72="","",IFERROR(COUNTIF(S72:T72,"כן")/(COUNTIF(S72:T72,"כן")+COUNTIF(S72:T72,"לא")),""))</f>
      </c>
      <c r="AK72" s="27">
        <f>IF($A72="","",IFERROR(COUNTIF(L72:T72,"כן")/(COUNTIF(L72:T72,"כן")+COUNTIF(L72:T72,"לא")),""))</f>
      </c>
      <c r="AL72" s="28">
        <f>IF($A72="","",IFERROR(AVERAGE(U72:V72),""))</f>
      </c>
      <c r="AM72" s="28">
        <f>IF($A72="","",IFERROR(AVERAGE(W72:X72),""))</f>
      </c>
      <c r="AN72" s="28">
        <f>IF($A72="","",IFERROR(AVERAGE(Y72:Z72),""))</f>
      </c>
      <c r="AO72" s="28">
        <f>IF($A72="","",IFERROR(AVERAGE(AA72:AB72),""))</f>
      </c>
      <c r="AP72" s="28">
        <f>IF($A72="","",IFERROR(AVERAGE(AC72),""))</f>
      </c>
      <c r="AQ72" s="28">
        <f>IF($A72="","",IFERROR(AVERAGE(U72:AC72),""))</f>
      </c>
      <c r="AR72" s="26">
        <f>IF($A72="","",IF(AND(H72="",J72=""),"לא נבדק",IF(AND(OR(H72="",H72=I72),OR(J72="",J72=K72)),"תואם","לא תואם")))</f>
      </c>
      <c r="AS72" s="26">
        <f>IF($A72="","",IF(AND(AR72&lt;&gt;"לא תואם",G72&lt;&gt;"לא ברור"),"אמין","לפרש בזהירות"))</f>
      </c>
    </row>
    <row r="73" ht="15" customHeight="1" spans="1:45" x14ac:dyDescent="0.2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6">
        <f>IF($A73="","",$A73&amp;"|"&amp;$C73)</f>
      </c>
      <c r="AF73" s="27">
        <f>IF($A73="","",IFERROR(COUNTIF(L73:M73,"כן")/(COUNTIF(L73:M73,"כן")+COUNTIF(L73:M73,"לא")),""))</f>
      </c>
      <c r="AG73" s="27">
        <f>IF($A73="","",IFERROR(COUNTIF(N73:O73,"כן")/(COUNTIF(N73:O73,"כן")+COUNTIF(N73:O73,"לא")),""))</f>
      </c>
      <c r="AH73" s="27">
        <f>IF($A73="","",IFERROR(COUNTIF(P73,"כן")/(COUNTIF(P73,"כן")+COUNTIF(P73,"לא")),""))</f>
      </c>
      <c r="AI73" s="27">
        <f>IF($A73="","",IFERROR(COUNTIF(Q73:R73,"כן")/(COUNTIF(Q73:R73,"כן")+COUNTIF(Q73:R73,"לא")),""))</f>
      </c>
      <c r="AJ73" s="27">
        <f>IF($A73="","",IFERROR(COUNTIF(S73:T73,"כן")/(COUNTIF(S73:T73,"כן")+COUNTIF(S73:T73,"לא")),""))</f>
      </c>
      <c r="AK73" s="27">
        <f>IF($A73="","",IFERROR(COUNTIF(L73:T73,"כן")/(COUNTIF(L73:T73,"כן")+COUNTIF(L73:T73,"לא")),""))</f>
      </c>
      <c r="AL73" s="28">
        <f>IF($A73="","",IFERROR(AVERAGE(U73:V73),""))</f>
      </c>
      <c r="AM73" s="28">
        <f>IF($A73="","",IFERROR(AVERAGE(W73:X73),""))</f>
      </c>
      <c r="AN73" s="28">
        <f>IF($A73="","",IFERROR(AVERAGE(Y73:Z73),""))</f>
      </c>
      <c r="AO73" s="28">
        <f>IF($A73="","",IFERROR(AVERAGE(AA73:AB73),""))</f>
      </c>
      <c r="AP73" s="28">
        <f>IF($A73="","",IFERROR(AVERAGE(AC73),""))</f>
      </c>
      <c r="AQ73" s="28">
        <f>IF($A73="","",IFERROR(AVERAGE(U73:AC73),""))</f>
      </c>
      <c r="AR73" s="26">
        <f>IF($A73="","",IF(AND(H73="",J73=""),"לא נבדק",IF(AND(OR(H73="",H73=I73),OR(J73="",J73=K73)),"תואם","לא תואם")))</f>
      </c>
      <c r="AS73" s="26">
        <f>IF($A73="","",IF(AND(AR73&lt;&gt;"לא תואם",G73&lt;&gt;"לא ברור"),"אמין","לפרש בזהירות"))</f>
      </c>
    </row>
    <row r="74" ht="15" customHeight="1" spans="1:45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6">
        <f>IF($A74="","",$A74&amp;"|"&amp;$C74)</f>
      </c>
      <c r="AF74" s="27">
        <f>IF($A74="","",IFERROR(COUNTIF(L74:M74,"כן")/(COUNTIF(L74:M74,"כן")+COUNTIF(L74:M74,"לא")),""))</f>
      </c>
      <c r="AG74" s="27">
        <f>IF($A74="","",IFERROR(COUNTIF(N74:O74,"כן")/(COUNTIF(N74:O74,"כן")+COUNTIF(N74:O74,"לא")),""))</f>
      </c>
      <c r="AH74" s="27">
        <f>IF($A74="","",IFERROR(COUNTIF(P74,"כן")/(COUNTIF(P74,"כן")+COUNTIF(P74,"לא")),""))</f>
      </c>
      <c r="AI74" s="27">
        <f>IF($A74="","",IFERROR(COUNTIF(Q74:R74,"כן")/(COUNTIF(Q74:R74,"כן")+COUNTIF(Q74:R74,"לא")),""))</f>
      </c>
      <c r="AJ74" s="27">
        <f>IF($A74="","",IFERROR(COUNTIF(S74:T74,"כן")/(COUNTIF(S74:T74,"כן")+COUNTIF(S74:T74,"לא")),""))</f>
      </c>
      <c r="AK74" s="27">
        <f>IF($A74="","",IFERROR(COUNTIF(L74:T74,"כן")/(COUNTIF(L74:T74,"כן")+COUNTIF(L74:T74,"לא")),""))</f>
      </c>
      <c r="AL74" s="28">
        <f>IF($A74="","",IFERROR(AVERAGE(U74:V74),""))</f>
      </c>
      <c r="AM74" s="28">
        <f>IF($A74="","",IFERROR(AVERAGE(W74:X74),""))</f>
      </c>
      <c r="AN74" s="28">
        <f>IF($A74="","",IFERROR(AVERAGE(Y74:Z74),""))</f>
      </c>
      <c r="AO74" s="28">
        <f>IF($A74="","",IFERROR(AVERAGE(AA74:AB74),""))</f>
      </c>
      <c r="AP74" s="28">
        <f>IF($A74="","",IFERROR(AVERAGE(AC74),""))</f>
      </c>
      <c r="AQ74" s="28">
        <f>IF($A74="","",IFERROR(AVERAGE(U74:AC74),""))</f>
      </c>
      <c r="AR74" s="26">
        <f>IF($A74="","",IF(AND(H74="",J74=""),"לא נבדק",IF(AND(OR(H74="",H74=I74),OR(J74="",J74=K74)),"תואם","לא תואם")))</f>
      </c>
      <c r="AS74" s="26">
        <f>IF($A74="","",IF(AND(AR74&lt;&gt;"לא תואם",G74&lt;&gt;"לא ברור"),"אמין","לפרש בזהירות"))</f>
      </c>
    </row>
    <row r="75" ht="15" customHeight="1" spans="1:45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6">
        <f>IF($A75="","",$A75&amp;"|"&amp;$C75)</f>
      </c>
      <c r="AF75" s="27">
        <f>IF($A75="","",IFERROR(COUNTIF(L75:M75,"כן")/(COUNTIF(L75:M75,"כן")+COUNTIF(L75:M75,"לא")),""))</f>
      </c>
      <c r="AG75" s="27">
        <f>IF($A75="","",IFERROR(COUNTIF(N75:O75,"כן")/(COUNTIF(N75:O75,"כן")+COUNTIF(N75:O75,"לא")),""))</f>
      </c>
      <c r="AH75" s="27">
        <f>IF($A75="","",IFERROR(COUNTIF(P75,"כן")/(COUNTIF(P75,"כן")+COUNTIF(P75,"לא")),""))</f>
      </c>
      <c r="AI75" s="27">
        <f>IF($A75="","",IFERROR(COUNTIF(Q75:R75,"כן")/(COUNTIF(Q75:R75,"כן")+COUNTIF(Q75:R75,"לא")),""))</f>
      </c>
      <c r="AJ75" s="27">
        <f>IF($A75="","",IFERROR(COUNTIF(S75:T75,"כן")/(COUNTIF(S75:T75,"כן")+COUNTIF(S75:T75,"לא")),""))</f>
      </c>
      <c r="AK75" s="27">
        <f>IF($A75="","",IFERROR(COUNTIF(L75:T75,"כן")/(COUNTIF(L75:T75,"כן")+COUNTIF(L75:T75,"לא")),""))</f>
      </c>
      <c r="AL75" s="28">
        <f>IF($A75="","",IFERROR(AVERAGE(U75:V75),""))</f>
      </c>
      <c r="AM75" s="28">
        <f>IF($A75="","",IFERROR(AVERAGE(W75:X75),""))</f>
      </c>
      <c r="AN75" s="28">
        <f>IF($A75="","",IFERROR(AVERAGE(Y75:Z75),""))</f>
      </c>
      <c r="AO75" s="28">
        <f>IF($A75="","",IFERROR(AVERAGE(AA75:AB75),""))</f>
      </c>
      <c r="AP75" s="28">
        <f>IF($A75="","",IFERROR(AVERAGE(AC75),""))</f>
      </c>
      <c r="AQ75" s="28">
        <f>IF($A75="","",IFERROR(AVERAGE(U75:AC75),""))</f>
      </c>
      <c r="AR75" s="26">
        <f>IF($A75="","",IF(AND(H75="",J75=""),"לא נבדק",IF(AND(OR(H75="",H75=I75),OR(J75="",J75=K75)),"תואם","לא תואם")))</f>
      </c>
      <c r="AS75" s="26">
        <f>IF($A75="","",IF(AND(AR75&lt;&gt;"לא תואם",G75&lt;&gt;"לא ברור"),"אמין","לפרש בזהירות"))</f>
      </c>
    </row>
    <row r="76" ht="15" customHeight="1" spans="1:45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6">
        <f>IF($A76="","",$A76&amp;"|"&amp;$C76)</f>
      </c>
      <c r="AF76" s="27">
        <f>IF($A76="","",IFERROR(COUNTIF(L76:M76,"כן")/(COUNTIF(L76:M76,"כן")+COUNTIF(L76:M76,"לא")),""))</f>
      </c>
      <c r="AG76" s="27">
        <f>IF($A76="","",IFERROR(COUNTIF(N76:O76,"כן")/(COUNTIF(N76:O76,"כן")+COUNTIF(N76:O76,"לא")),""))</f>
      </c>
      <c r="AH76" s="27">
        <f>IF($A76="","",IFERROR(COUNTIF(P76,"כן")/(COUNTIF(P76,"כן")+COUNTIF(P76,"לא")),""))</f>
      </c>
      <c r="AI76" s="27">
        <f>IF($A76="","",IFERROR(COUNTIF(Q76:R76,"כן")/(COUNTIF(Q76:R76,"כן")+COUNTIF(Q76:R76,"לא")),""))</f>
      </c>
      <c r="AJ76" s="27">
        <f>IF($A76="","",IFERROR(COUNTIF(S76:T76,"כן")/(COUNTIF(S76:T76,"כן")+COUNTIF(S76:T76,"לא")),""))</f>
      </c>
      <c r="AK76" s="27">
        <f>IF($A76="","",IFERROR(COUNTIF(L76:T76,"כן")/(COUNTIF(L76:T76,"כן")+COUNTIF(L76:T76,"לא")),""))</f>
      </c>
      <c r="AL76" s="28">
        <f>IF($A76="","",IFERROR(AVERAGE(U76:V76),""))</f>
      </c>
      <c r="AM76" s="28">
        <f>IF($A76="","",IFERROR(AVERAGE(W76:X76),""))</f>
      </c>
      <c r="AN76" s="28">
        <f>IF($A76="","",IFERROR(AVERAGE(Y76:Z76),""))</f>
      </c>
      <c r="AO76" s="28">
        <f>IF($A76="","",IFERROR(AVERAGE(AA76:AB76),""))</f>
      </c>
      <c r="AP76" s="28">
        <f>IF($A76="","",IFERROR(AVERAGE(AC76),""))</f>
      </c>
      <c r="AQ76" s="28">
        <f>IF($A76="","",IFERROR(AVERAGE(U76:AC76),""))</f>
      </c>
      <c r="AR76" s="26">
        <f>IF($A76="","",IF(AND(H76="",J76=""),"לא נבדק",IF(AND(OR(H76="",H76=I76),OR(J76="",J76=K76)),"תואם","לא תואם")))</f>
      </c>
      <c r="AS76" s="26">
        <f>IF($A76="","",IF(AND(AR76&lt;&gt;"לא תואם",G76&lt;&gt;"לא ברור"),"אמין","לפרש בזהירות"))</f>
      </c>
    </row>
    <row r="77" ht="15" customHeight="1" spans="1:45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6">
        <f>IF($A77="","",$A77&amp;"|"&amp;$C77)</f>
      </c>
      <c r="AF77" s="27">
        <f>IF($A77="","",IFERROR(COUNTIF(L77:M77,"כן")/(COUNTIF(L77:M77,"כן")+COUNTIF(L77:M77,"לא")),""))</f>
      </c>
      <c r="AG77" s="27">
        <f>IF($A77="","",IFERROR(COUNTIF(N77:O77,"כן")/(COUNTIF(N77:O77,"כן")+COUNTIF(N77:O77,"לא")),""))</f>
      </c>
      <c r="AH77" s="27">
        <f>IF($A77="","",IFERROR(COUNTIF(P77,"כן")/(COUNTIF(P77,"כן")+COUNTIF(P77,"לא")),""))</f>
      </c>
      <c r="AI77" s="27">
        <f>IF($A77="","",IFERROR(COUNTIF(Q77:R77,"כן")/(COUNTIF(Q77:R77,"כן")+COUNTIF(Q77:R77,"לא")),""))</f>
      </c>
      <c r="AJ77" s="27">
        <f>IF($A77="","",IFERROR(COUNTIF(S77:T77,"כן")/(COUNTIF(S77:T77,"כן")+COUNTIF(S77:T77,"לא")),""))</f>
      </c>
      <c r="AK77" s="27">
        <f>IF($A77="","",IFERROR(COUNTIF(L77:T77,"כן")/(COUNTIF(L77:T77,"כן")+COUNTIF(L77:T77,"לא")),""))</f>
      </c>
      <c r="AL77" s="28">
        <f>IF($A77="","",IFERROR(AVERAGE(U77:V77),""))</f>
      </c>
      <c r="AM77" s="28">
        <f>IF($A77="","",IFERROR(AVERAGE(W77:X77),""))</f>
      </c>
      <c r="AN77" s="28">
        <f>IF($A77="","",IFERROR(AVERAGE(Y77:Z77),""))</f>
      </c>
      <c r="AO77" s="28">
        <f>IF($A77="","",IFERROR(AVERAGE(AA77:AB77),""))</f>
      </c>
      <c r="AP77" s="28">
        <f>IF($A77="","",IFERROR(AVERAGE(AC77),""))</f>
      </c>
      <c r="AQ77" s="28">
        <f>IF($A77="","",IFERROR(AVERAGE(U77:AC77),""))</f>
      </c>
      <c r="AR77" s="26">
        <f>IF($A77="","",IF(AND(H77="",J77=""),"לא נבדק",IF(AND(OR(H77="",H77=I77),OR(J77="",J77=K77)),"תואם","לא תואם")))</f>
      </c>
      <c r="AS77" s="26">
        <f>IF($A77="","",IF(AND(AR77&lt;&gt;"לא תואם",G77&lt;&gt;"לא ברור"),"אמין","לפרש בזהירות"))</f>
      </c>
    </row>
    <row r="78" ht="15" customHeight="1" spans="1:45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6">
        <f>IF($A78="","",$A78&amp;"|"&amp;$C78)</f>
      </c>
      <c r="AF78" s="27">
        <f>IF($A78="","",IFERROR(COUNTIF(L78:M78,"כן")/(COUNTIF(L78:M78,"כן")+COUNTIF(L78:M78,"לא")),""))</f>
      </c>
      <c r="AG78" s="27">
        <f>IF($A78="","",IFERROR(COUNTIF(N78:O78,"כן")/(COUNTIF(N78:O78,"כן")+COUNTIF(N78:O78,"לא")),""))</f>
      </c>
      <c r="AH78" s="27">
        <f>IF($A78="","",IFERROR(COUNTIF(P78,"כן")/(COUNTIF(P78,"כן")+COUNTIF(P78,"לא")),""))</f>
      </c>
      <c r="AI78" s="27">
        <f>IF($A78="","",IFERROR(COUNTIF(Q78:R78,"כן")/(COUNTIF(Q78:R78,"כן")+COUNTIF(Q78:R78,"לא")),""))</f>
      </c>
      <c r="AJ78" s="27">
        <f>IF($A78="","",IFERROR(COUNTIF(S78:T78,"כן")/(COUNTIF(S78:T78,"כן")+COUNTIF(S78:T78,"לא")),""))</f>
      </c>
      <c r="AK78" s="27">
        <f>IF($A78="","",IFERROR(COUNTIF(L78:T78,"כן")/(COUNTIF(L78:T78,"כן")+COUNTIF(L78:T78,"לא")),""))</f>
      </c>
      <c r="AL78" s="28">
        <f>IF($A78="","",IFERROR(AVERAGE(U78:V78),""))</f>
      </c>
      <c r="AM78" s="28">
        <f>IF($A78="","",IFERROR(AVERAGE(W78:X78),""))</f>
      </c>
      <c r="AN78" s="28">
        <f>IF($A78="","",IFERROR(AVERAGE(Y78:Z78),""))</f>
      </c>
      <c r="AO78" s="28">
        <f>IF($A78="","",IFERROR(AVERAGE(AA78:AB78),""))</f>
      </c>
      <c r="AP78" s="28">
        <f>IF($A78="","",IFERROR(AVERAGE(AC78),""))</f>
      </c>
      <c r="AQ78" s="28">
        <f>IF($A78="","",IFERROR(AVERAGE(U78:AC78),""))</f>
      </c>
      <c r="AR78" s="26">
        <f>IF($A78="","",IF(AND(H78="",J78=""),"לא נבדק",IF(AND(OR(H78="",H78=I78),OR(J78="",J78=K78)),"תואם","לא תואם")))</f>
      </c>
      <c r="AS78" s="26">
        <f>IF($A78="","",IF(AND(AR78&lt;&gt;"לא תואם",G78&lt;&gt;"לא ברור"),"אמין","לפרש בזהירות"))</f>
      </c>
    </row>
    <row r="79" ht="15" customHeight="1" spans="1:45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6">
        <f>IF($A79="","",$A79&amp;"|"&amp;$C79)</f>
      </c>
      <c r="AF79" s="27">
        <f>IF($A79="","",IFERROR(COUNTIF(L79:M79,"כן")/(COUNTIF(L79:M79,"כן")+COUNTIF(L79:M79,"לא")),""))</f>
      </c>
      <c r="AG79" s="27">
        <f>IF($A79="","",IFERROR(COUNTIF(N79:O79,"כן")/(COUNTIF(N79:O79,"כן")+COUNTIF(N79:O79,"לא")),""))</f>
      </c>
      <c r="AH79" s="27">
        <f>IF($A79="","",IFERROR(COUNTIF(P79,"כן")/(COUNTIF(P79,"כן")+COUNTIF(P79,"לא")),""))</f>
      </c>
      <c r="AI79" s="27">
        <f>IF($A79="","",IFERROR(COUNTIF(Q79:R79,"כן")/(COUNTIF(Q79:R79,"כן")+COUNTIF(Q79:R79,"לא")),""))</f>
      </c>
      <c r="AJ79" s="27">
        <f>IF($A79="","",IFERROR(COUNTIF(S79:T79,"כן")/(COUNTIF(S79:T79,"כן")+COUNTIF(S79:T79,"לא")),""))</f>
      </c>
      <c r="AK79" s="27">
        <f>IF($A79="","",IFERROR(COUNTIF(L79:T79,"כן")/(COUNTIF(L79:T79,"כן")+COUNTIF(L79:T79,"לא")),""))</f>
      </c>
      <c r="AL79" s="28">
        <f>IF($A79="","",IFERROR(AVERAGE(U79:V79),""))</f>
      </c>
      <c r="AM79" s="28">
        <f>IF($A79="","",IFERROR(AVERAGE(W79:X79),""))</f>
      </c>
      <c r="AN79" s="28">
        <f>IF($A79="","",IFERROR(AVERAGE(Y79:Z79),""))</f>
      </c>
      <c r="AO79" s="28">
        <f>IF($A79="","",IFERROR(AVERAGE(AA79:AB79),""))</f>
      </c>
      <c r="AP79" s="28">
        <f>IF($A79="","",IFERROR(AVERAGE(AC79),""))</f>
      </c>
      <c r="AQ79" s="28">
        <f>IF($A79="","",IFERROR(AVERAGE(U79:AC79),""))</f>
      </c>
      <c r="AR79" s="26">
        <f>IF($A79="","",IF(AND(H79="",J79=""),"לא נבדק",IF(AND(OR(H79="",H79=I79),OR(J79="",J79=K79)),"תואם","לא תואם")))</f>
      </c>
      <c r="AS79" s="26">
        <f>IF($A79="","",IF(AND(AR79&lt;&gt;"לא תואם",G79&lt;&gt;"לא ברור"),"אמין","לפרש בזהירות"))</f>
      </c>
    </row>
    <row r="80" ht="15" customHeight="1" spans="1:45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6">
        <f>IF($A80="","",$A80&amp;"|"&amp;$C80)</f>
      </c>
      <c r="AF80" s="27">
        <f>IF($A80="","",IFERROR(COUNTIF(L80:M80,"כן")/(COUNTIF(L80:M80,"כן")+COUNTIF(L80:M80,"לא")),""))</f>
      </c>
      <c r="AG80" s="27">
        <f>IF($A80="","",IFERROR(COUNTIF(N80:O80,"כן")/(COUNTIF(N80:O80,"כן")+COUNTIF(N80:O80,"לא")),""))</f>
      </c>
      <c r="AH80" s="27">
        <f>IF($A80="","",IFERROR(COUNTIF(P80,"כן")/(COUNTIF(P80,"כן")+COUNTIF(P80,"לא")),""))</f>
      </c>
      <c r="AI80" s="27">
        <f>IF($A80="","",IFERROR(COUNTIF(Q80:R80,"כן")/(COUNTIF(Q80:R80,"כן")+COUNTIF(Q80:R80,"לא")),""))</f>
      </c>
      <c r="AJ80" s="27">
        <f>IF($A80="","",IFERROR(COUNTIF(S80:T80,"כן")/(COUNTIF(S80:T80,"כן")+COUNTIF(S80:T80,"לא")),""))</f>
      </c>
      <c r="AK80" s="27">
        <f>IF($A80="","",IFERROR(COUNTIF(L80:T80,"כן")/(COUNTIF(L80:T80,"כן")+COUNTIF(L80:T80,"לא")),""))</f>
      </c>
      <c r="AL80" s="28">
        <f>IF($A80="","",IFERROR(AVERAGE(U80:V80),""))</f>
      </c>
      <c r="AM80" s="28">
        <f>IF($A80="","",IFERROR(AVERAGE(W80:X80),""))</f>
      </c>
      <c r="AN80" s="28">
        <f>IF($A80="","",IFERROR(AVERAGE(Y80:Z80),""))</f>
      </c>
      <c r="AO80" s="28">
        <f>IF($A80="","",IFERROR(AVERAGE(AA80:AB80),""))</f>
      </c>
      <c r="AP80" s="28">
        <f>IF($A80="","",IFERROR(AVERAGE(AC80),""))</f>
      </c>
      <c r="AQ80" s="28">
        <f>IF($A80="","",IFERROR(AVERAGE(U80:AC80),""))</f>
      </c>
      <c r="AR80" s="26">
        <f>IF($A80="","",IF(AND(H80="",J80=""),"לא נבדק",IF(AND(OR(H80="",H80=I80),OR(J80="",J80=K80)),"תואם","לא תואם")))</f>
      </c>
      <c r="AS80" s="26">
        <f>IF($A80="","",IF(AND(AR80&lt;&gt;"לא תואם",G80&lt;&gt;"לא ברור"),"אמין","לפרש בזהירות"))</f>
      </c>
    </row>
    <row r="81" ht="15" customHeight="1" spans="1:45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6">
        <f>IF($A81="","",$A81&amp;"|"&amp;$C81)</f>
      </c>
      <c r="AF81" s="27">
        <f>IF($A81="","",IFERROR(COUNTIF(L81:M81,"כן")/(COUNTIF(L81:M81,"כן")+COUNTIF(L81:M81,"לא")),""))</f>
      </c>
      <c r="AG81" s="27">
        <f>IF($A81="","",IFERROR(COUNTIF(N81:O81,"כן")/(COUNTIF(N81:O81,"כן")+COUNTIF(N81:O81,"לא")),""))</f>
      </c>
      <c r="AH81" s="27">
        <f>IF($A81="","",IFERROR(COUNTIF(P81,"כן")/(COUNTIF(P81,"כן")+COUNTIF(P81,"לא")),""))</f>
      </c>
      <c r="AI81" s="27">
        <f>IF($A81="","",IFERROR(COUNTIF(Q81:R81,"כן")/(COUNTIF(Q81:R81,"כן")+COUNTIF(Q81:R81,"לא")),""))</f>
      </c>
      <c r="AJ81" s="27">
        <f>IF($A81="","",IFERROR(COUNTIF(S81:T81,"כן")/(COUNTIF(S81:T81,"כן")+COUNTIF(S81:T81,"לא")),""))</f>
      </c>
      <c r="AK81" s="27">
        <f>IF($A81="","",IFERROR(COUNTIF(L81:T81,"כן")/(COUNTIF(L81:T81,"כן")+COUNTIF(L81:T81,"לא")),""))</f>
      </c>
      <c r="AL81" s="28">
        <f>IF($A81="","",IFERROR(AVERAGE(U81:V81),""))</f>
      </c>
      <c r="AM81" s="28">
        <f>IF($A81="","",IFERROR(AVERAGE(W81:X81),""))</f>
      </c>
      <c r="AN81" s="28">
        <f>IF($A81="","",IFERROR(AVERAGE(Y81:Z81),""))</f>
      </c>
      <c r="AO81" s="28">
        <f>IF($A81="","",IFERROR(AVERAGE(AA81:AB81),""))</f>
      </c>
      <c r="AP81" s="28">
        <f>IF($A81="","",IFERROR(AVERAGE(AC81),""))</f>
      </c>
      <c r="AQ81" s="28">
        <f>IF($A81="","",IFERROR(AVERAGE(U81:AC81),""))</f>
      </c>
      <c r="AR81" s="26">
        <f>IF($A81="","",IF(AND(H81="",J81=""),"לא נבדק",IF(AND(OR(H81="",H81=I81),OR(J81="",J81=K81)),"תואם","לא תואם")))</f>
      </c>
      <c r="AS81" s="26">
        <f>IF($A81="","",IF(AND(AR81&lt;&gt;"לא תואם",G81&lt;&gt;"לא ברור"),"אמין","לפרש בזהירות"))</f>
      </c>
    </row>
    <row r="82" ht="15" customHeight="1" spans="1:45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6">
        <f>IF($A82="","",$A82&amp;"|"&amp;$C82)</f>
      </c>
      <c r="AF82" s="27">
        <f>IF($A82="","",IFERROR(COUNTIF(L82:M82,"כן")/(COUNTIF(L82:M82,"כן")+COUNTIF(L82:M82,"לא")),""))</f>
      </c>
      <c r="AG82" s="27">
        <f>IF($A82="","",IFERROR(COUNTIF(N82:O82,"כן")/(COUNTIF(N82:O82,"כן")+COUNTIF(N82:O82,"לא")),""))</f>
      </c>
      <c r="AH82" s="27">
        <f>IF($A82="","",IFERROR(COUNTIF(P82,"כן")/(COUNTIF(P82,"כן")+COUNTIF(P82,"לא")),""))</f>
      </c>
      <c r="AI82" s="27">
        <f>IF($A82="","",IFERROR(COUNTIF(Q82:R82,"כן")/(COUNTIF(Q82:R82,"כן")+COUNTIF(Q82:R82,"לא")),""))</f>
      </c>
      <c r="AJ82" s="27">
        <f>IF($A82="","",IFERROR(COUNTIF(S82:T82,"כן")/(COUNTIF(S82:T82,"כן")+COUNTIF(S82:T82,"לא")),""))</f>
      </c>
      <c r="AK82" s="27">
        <f>IF($A82="","",IFERROR(COUNTIF(L82:T82,"כן")/(COUNTIF(L82:T82,"כן")+COUNTIF(L82:T82,"לא")),""))</f>
      </c>
      <c r="AL82" s="28">
        <f>IF($A82="","",IFERROR(AVERAGE(U82:V82),""))</f>
      </c>
      <c r="AM82" s="28">
        <f>IF($A82="","",IFERROR(AVERAGE(W82:X82),""))</f>
      </c>
      <c r="AN82" s="28">
        <f>IF($A82="","",IFERROR(AVERAGE(Y82:Z82),""))</f>
      </c>
      <c r="AO82" s="28">
        <f>IF($A82="","",IFERROR(AVERAGE(AA82:AB82),""))</f>
      </c>
      <c r="AP82" s="28">
        <f>IF($A82="","",IFERROR(AVERAGE(AC82),""))</f>
      </c>
      <c r="AQ82" s="28">
        <f>IF($A82="","",IFERROR(AVERAGE(U82:AC82),""))</f>
      </c>
      <c r="AR82" s="26">
        <f>IF($A82="","",IF(AND(H82="",J82=""),"לא נבדק",IF(AND(OR(H82="",H82=I82),OR(J82="",J82=K82)),"תואם","לא תואם")))</f>
      </c>
      <c r="AS82" s="26">
        <f>IF($A82="","",IF(AND(AR82&lt;&gt;"לא תואם",G82&lt;&gt;"לא ברור"),"אמין","לפרש בזהירות"))</f>
      </c>
    </row>
    <row r="83" ht="15" customHeight="1" spans="1:45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6">
        <f>IF($A83="","",$A83&amp;"|"&amp;$C83)</f>
      </c>
      <c r="AF83" s="27">
        <f>IF($A83="","",IFERROR(COUNTIF(L83:M83,"כן")/(COUNTIF(L83:M83,"כן")+COUNTIF(L83:M83,"לא")),""))</f>
      </c>
      <c r="AG83" s="27">
        <f>IF($A83="","",IFERROR(COUNTIF(N83:O83,"כן")/(COUNTIF(N83:O83,"כן")+COUNTIF(N83:O83,"לא")),""))</f>
      </c>
      <c r="AH83" s="27">
        <f>IF($A83="","",IFERROR(COUNTIF(P83,"כן")/(COUNTIF(P83,"כן")+COUNTIF(P83,"לא")),""))</f>
      </c>
      <c r="AI83" s="27">
        <f>IF($A83="","",IFERROR(COUNTIF(Q83:R83,"כן")/(COUNTIF(Q83:R83,"כן")+COUNTIF(Q83:R83,"לא")),""))</f>
      </c>
      <c r="AJ83" s="27">
        <f>IF($A83="","",IFERROR(COUNTIF(S83:T83,"כן")/(COUNTIF(S83:T83,"כן")+COUNTIF(S83:T83,"לא")),""))</f>
      </c>
      <c r="AK83" s="27">
        <f>IF($A83="","",IFERROR(COUNTIF(L83:T83,"כן")/(COUNTIF(L83:T83,"כן")+COUNTIF(L83:T83,"לא")),""))</f>
      </c>
      <c r="AL83" s="28">
        <f>IF($A83="","",IFERROR(AVERAGE(U83:V83),""))</f>
      </c>
      <c r="AM83" s="28">
        <f>IF($A83="","",IFERROR(AVERAGE(W83:X83),""))</f>
      </c>
      <c r="AN83" s="28">
        <f>IF($A83="","",IFERROR(AVERAGE(Y83:Z83),""))</f>
      </c>
      <c r="AO83" s="28">
        <f>IF($A83="","",IFERROR(AVERAGE(AA83:AB83),""))</f>
      </c>
      <c r="AP83" s="28">
        <f>IF($A83="","",IFERROR(AVERAGE(AC83),""))</f>
      </c>
      <c r="AQ83" s="28">
        <f>IF($A83="","",IFERROR(AVERAGE(U83:AC83),""))</f>
      </c>
      <c r="AR83" s="26">
        <f>IF($A83="","",IF(AND(H83="",J83=""),"לא נבדק",IF(AND(OR(H83="",H83=I83),OR(J83="",J83=K83)),"תואם","לא תואם")))</f>
      </c>
      <c r="AS83" s="26">
        <f>IF($A83="","",IF(AND(AR83&lt;&gt;"לא תואם",G83&lt;&gt;"לא ברור"),"אמין","לפרש בזהירות"))</f>
      </c>
    </row>
    <row r="84" ht="15" customHeight="1" spans="1:45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6">
        <f>IF($A84="","",$A84&amp;"|"&amp;$C84)</f>
      </c>
      <c r="AF84" s="27">
        <f>IF($A84="","",IFERROR(COUNTIF(L84:M84,"כן")/(COUNTIF(L84:M84,"כן")+COUNTIF(L84:M84,"לא")),""))</f>
      </c>
      <c r="AG84" s="27">
        <f>IF($A84="","",IFERROR(COUNTIF(N84:O84,"כן")/(COUNTIF(N84:O84,"כן")+COUNTIF(N84:O84,"לא")),""))</f>
      </c>
      <c r="AH84" s="27">
        <f>IF($A84="","",IFERROR(COUNTIF(P84,"כן")/(COUNTIF(P84,"כן")+COUNTIF(P84,"לא")),""))</f>
      </c>
      <c r="AI84" s="27">
        <f>IF($A84="","",IFERROR(COUNTIF(Q84:R84,"כן")/(COUNTIF(Q84:R84,"כן")+COUNTIF(Q84:R84,"לא")),""))</f>
      </c>
      <c r="AJ84" s="27">
        <f>IF($A84="","",IFERROR(COUNTIF(S84:T84,"כן")/(COUNTIF(S84:T84,"כן")+COUNTIF(S84:T84,"לא")),""))</f>
      </c>
      <c r="AK84" s="27">
        <f>IF($A84="","",IFERROR(COUNTIF(L84:T84,"כן")/(COUNTIF(L84:T84,"כן")+COUNTIF(L84:T84,"לא")),""))</f>
      </c>
      <c r="AL84" s="28">
        <f>IF($A84="","",IFERROR(AVERAGE(U84:V84),""))</f>
      </c>
      <c r="AM84" s="28">
        <f>IF($A84="","",IFERROR(AVERAGE(W84:X84),""))</f>
      </c>
      <c r="AN84" s="28">
        <f>IF($A84="","",IFERROR(AVERAGE(Y84:Z84),""))</f>
      </c>
      <c r="AO84" s="28">
        <f>IF($A84="","",IFERROR(AVERAGE(AA84:AB84),""))</f>
      </c>
      <c r="AP84" s="28">
        <f>IF($A84="","",IFERROR(AVERAGE(AC84),""))</f>
      </c>
      <c r="AQ84" s="28">
        <f>IF($A84="","",IFERROR(AVERAGE(U84:AC84),""))</f>
      </c>
      <c r="AR84" s="26">
        <f>IF($A84="","",IF(AND(H84="",J84=""),"לא נבדק",IF(AND(OR(H84="",H84=I84),OR(J84="",J84=K84)),"תואם","לא תואם")))</f>
      </c>
      <c r="AS84" s="26">
        <f>IF($A84="","",IF(AND(AR84&lt;&gt;"לא תואם",G84&lt;&gt;"לא ברור"),"אמין","לפרש בזהירות"))</f>
      </c>
    </row>
    <row r="85" ht="15" customHeight="1" spans="1:45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6">
        <f>IF($A85="","",$A85&amp;"|"&amp;$C85)</f>
      </c>
      <c r="AF85" s="27">
        <f>IF($A85="","",IFERROR(COUNTIF(L85:M85,"כן")/(COUNTIF(L85:M85,"כן")+COUNTIF(L85:M85,"לא")),""))</f>
      </c>
      <c r="AG85" s="27">
        <f>IF($A85="","",IFERROR(COUNTIF(N85:O85,"כן")/(COUNTIF(N85:O85,"כן")+COUNTIF(N85:O85,"לא")),""))</f>
      </c>
      <c r="AH85" s="27">
        <f>IF($A85="","",IFERROR(COUNTIF(P85,"כן")/(COUNTIF(P85,"כן")+COUNTIF(P85,"לא")),""))</f>
      </c>
      <c r="AI85" s="27">
        <f>IF($A85="","",IFERROR(COUNTIF(Q85:R85,"כן")/(COUNTIF(Q85:R85,"כן")+COUNTIF(Q85:R85,"לא")),""))</f>
      </c>
      <c r="AJ85" s="27">
        <f>IF($A85="","",IFERROR(COUNTIF(S85:T85,"כן")/(COUNTIF(S85:T85,"כן")+COUNTIF(S85:T85,"לא")),""))</f>
      </c>
      <c r="AK85" s="27">
        <f>IF($A85="","",IFERROR(COUNTIF(L85:T85,"כן")/(COUNTIF(L85:T85,"כן")+COUNTIF(L85:T85,"לא")),""))</f>
      </c>
      <c r="AL85" s="28">
        <f>IF($A85="","",IFERROR(AVERAGE(U85:V85),""))</f>
      </c>
      <c r="AM85" s="28">
        <f>IF($A85="","",IFERROR(AVERAGE(W85:X85),""))</f>
      </c>
      <c r="AN85" s="28">
        <f>IF($A85="","",IFERROR(AVERAGE(Y85:Z85),""))</f>
      </c>
      <c r="AO85" s="28">
        <f>IF($A85="","",IFERROR(AVERAGE(AA85:AB85),""))</f>
      </c>
      <c r="AP85" s="28">
        <f>IF($A85="","",IFERROR(AVERAGE(AC85),""))</f>
      </c>
      <c r="AQ85" s="28">
        <f>IF($A85="","",IFERROR(AVERAGE(U85:AC85),""))</f>
      </c>
      <c r="AR85" s="26">
        <f>IF($A85="","",IF(AND(H85="",J85=""),"לא נבדק",IF(AND(OR(H85="",H85=I85),OR(J85="",J85=K85)),"תואם","לא תואם")))</f>
      </c>
      <c r="AS85" s="26">
        <f>IF($A85="","",IF(AND(AR85&lt;&gt;"לא תואם",G85&lt;&gt;"לא ברור"),"אמין","לפרש בזהירות"))</f>
      </c>
    </row>
    <row r="86" ht="15" customHeight="1" spans="1:45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6">
        <f>IF($A86="","",$A86&amp;"|"&amp;$C86)</f>
      </c>
      <c r="AF86" s="27">
        <f>IF($A86="","",IFERROR(COUNTIF(L86:M86,"כן")/(COUNTIF(L86:M86,"כן")+COUNTIF(L86:M86,"לא")),""))</f>
      </c>
      <c r="AG86" s="27">
        <f>IF($A86="","",IFERROR(COUNTIF(N86:O86,"כן")/(COUNTIF(N86:O86,"כן")+COUNTIF(N86:O86,"לא")),""))</f>
      </c>
      <c r="AH86" s="27">
        <f>IF($A86="","",IFERROR(COUNTIF(P86,"כן")/(COUNTIF(P86,"כן")+COUNTIF(P86,"לא")),""))</f>
      </c>
      <c r="AI86" s="27">
        <f>IF($A86="","",IFERROR(COUNTIF(Q86:R86,"כן")/(COUNTIF(Q86:R86,"כן")+COUNTIF(Q86:R86,"לא")),""))</f>
      </c>
      <c r="AJ86" s="27">
        <f>IF($A86="","",IFERROR(COUNTIF(S86:T86,"כן")/(COUNTIF(S86:T86,"כן")+COUNTIF(S86:T86,"לא")),""))</f>
      </c>
      <c r="AK86" s="27">
        <f>IF($A86="","",IFERROR(COUNTIF(L86:T86,"כן")/(COUNTIF(L86:T86,"כן")+COUNTIF(L86:T86,"לא")),""))</f>
      </c>
      <c r="AL86" s="28">
        <f>IF($A86="","",IFERROR(AVERAGE(U86:V86),""))</f>
      </c>
      <c r="AM86" s="28">
        <f>IF($A86="","",IFERROR(AVERAGE(W86:X86),""))</f>
      </c>
      <c r="AN86" s="28">
        <f>IF($A86="","",IFERROR(AVERAGE(Y86:Z86),""))</f>
      </c>
      <c r="AO86" s="28">
        <f>IF($A86="","",IFERROR(AVERAGE(AA86:AB86),""))</f>
      </c>
      <c r="AP86" s="28">
        <f>IF($A86="","",IFERROR(AVERAGE(AC86),""))</f>
      </c>
      <c r="AQ86" s="28">
        <f>IF($A86="","",IFERROR(AVERAGE(U86:AC86),""))</f>
      </c>
      <c r="AR86" s="26">
        <f>IF($A86="","",IF(AND(H86="",J86=""),"לא נבדק",IF(AND(OR(H86="",H86=I86),OR(J86="",J86=K86)),"תואם","לא תואם")))</f>
      </c>
      <c r="AS86" s="26">
        <f>IF($A86="","",IF(AND(AR86&lt;&gt;"לא תואם",G86&lt;&gt;"לא ברור"),"אמין","לפרש בזהירות"))</f>
      </c>
    </row>
    <row r="87" ht="15" customHeight="1" spans="1:45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6">
        <f>IF($A87="","",$A87&amp;"|"&amp;$C87)</f>
      </c>
      <c r="AF87" s="27">
        <f>IF($A87="","",IFERROR(COUNTIF(L87:M87,"כן")/(COUNTIF(L87:M87,"כן")+COUNTIF(L87:M87,"לא")),""))</f>
      </c>
      <c r="AG87" s="27">
        <f>IF($A87="","",IFERROR(COUNTIF(N87:O87,"כן")/(COUNTIF(N87:O87,"כן")+COUNTIF(N87:O87,"לא")),""))</f>
      </c>
      <c r="AH87" s="27">
        <f>IF($A87="","",IFERROR(COUNTIF(P87,"כן")/(COUNTIF(P87,"כן")+COUNTIF(P87,"לא")),""))</f>
      </c>
      <c r="AI87" s="27">
        <f>IF($A87="","",IFERROR(COUNTIF(Q87:R87,"כן")/(COUNTIF(Q87:R87,"כן")+COUNTIF(Q87:R87,"לא")),""))</f>
      </c>
      <c r="AJ87" s="27">
        <f>IF($A87="","",IFERROR(COUNTIF(S87:T87,"כן")/(COUNTIF(S87:T87,"כן")+COUNTIF(S87:T87,"לא")),""))</f>
      </c>
      <c r="AK87" s="27">
        <f>IF($A87="","",IFERROR(COUNTIF(L87:T87,"כן")/(COUNTIF(L87:T87,"כן")+COUNTIF(L87:T87,"לא")),""))</f>
      </c>
      <c r="AL87" s="28">
        <f>IF($A87="","",IFERROR(AVERAGE(U87:V87),""))</f>
      </c>
      <c r="AM87" s="28">
        <f>IF($A87="","",IFERROR(AVERAGE(W87:X87),""))</f>
      </c>
      <c r="AN87" s="28">
        <f>IF($A87="","",IFERROR(AVERAGE(Y87:Z87),""))</f>
      </c>
      <c r="AO87" s="28">
        <f>IF($A87="","",IFERROR(AVERAGE(AA87:AB87),""))</f>
      </c>
      <c r="AP87" s="28">
        <f>IF($A87="","",IFERROR(AVERAGE(AC87),""))</f>
      </c>
      <c r="AQ87" s="28">
        <f>IF($A87="","",IFERROR(AVERAGE(U87:AC87),""))</f>
      </c>
      <c r="AR87" s="26">
        <f>IF($A87="","",IF(AND(H87="",J87=""),"לא נבדק",IF(AND(OR(H87="",H87=I87),OR(J87="",J87=K87)),"תואם","לא תואם")))</f>
      </c>
      <c r="AS87" s="26">
        <f>IF($A87="","",IF(AND(AR87&lt;&gt;"לא תואם",G87&lt;&gt;"לא ברור"),"אמין","לפרש בזהירות"))</f>
      </c>
    </row>
    <row r="88" ht="15" customHeight="1" spans="1:45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6">
        <f>IF($A88="","",$A88&amp;"|"&amp;$C88)</f>
      </c>
      <c r="AF88" s="27">
        <f>IF($A88="","",IFERROR(COUNTIF(L88:M88,"כן")/(COUNTIF(L88:M88,"כן")+COUNTIF(L88:M88,"לא")),""))</f>
      </c>
      <c r="AG88" s="27">
        <f>IF($A88="","",IFERROR(COUNTIF(N88:O88,"כן")/(COUNTIF(N88:O88,"כן")+COUNTIF(N88:O88,"לא")),""))</f>
      </c>
      <c r="AH88" s="27">
        <f>IF($A88="","",IFERROR(COUNTIF(P88,"כן")/(COUNTIF(P88,"כן")+COUNTIF(P88,"לא")),""))</f>
      </c>
      <c r="AI88" s="27">
        <f>IF($A88="","",IFERROR(COUNTIF(Q88:R88,"כן")/(COUNTIF(Q88:R88,"כן")+COUNTIF(Q88:R88,"לא")),""))</f>
      </c>
      <c r="AJ88" s="27">
        <f>IF($A88="","",IFERROR(COUNTIF(S88:T88,"כן")/(COUNTIF(S88:T88,"כן")+COUNTIF(S88:T88,"לא")),""))</f>
      </c>
      <c r="AK88" s="27">
        <f>IF($A88="","",IFERROR(COUNTIF(L88:T88,"כן")/(COUNTIF(L88:T88,"כן")+COUNTIF(L88:T88,"לא")),""))</f>
      </c>
      <c r="AL88" s="28">
        <f>IF($A88="","",IFERROR(AVERAGE(U88:V88),""))</f>
      </c>
      <c r="AM88" s="28">
        <f>IF($A88="","",IFERROR(AVERAGE(W88:X88),""))</f>
      </c>
      <c r="AN88" s="28">
        <f>IF($A88="","",IFERROR(AVERAGE(Y88:Z88),""))</f>
      </c>
      <c r="AO88" s="28">
        <f>IF($A88="","",IFERROR(AVERAGE(AA88:AB88),""))</f>
      </c>
      <c r="AP88" s="28">
        <f>IF($A88="","",IFERROR(AVERAGE(AC88),""))</f>
      </c>
      <c r="AQ88" s="28">
        <f>IF($A88="","",IFERROR(AVERAGE(U88:AC88),""))</f>
      </c>
      <c r="AR88" s="26">
        <f>IF($A88="","",IF(AND(H88="",J88=""),"לא נבדק",IF(AND(OR(H88="",H88=I88),OR(J88="",J88=K88)),"תואם","לא תואם")))</f>
      </c>
      <c r="AS88" s="26">
        <f>IF($A88="","",IF(AND(AR88&lt;&gt;"לא תואם",G88&lt;&gt;"לא ברור"),"אמין","לפרש בזהירות"))</f>
      </c>
    </row>
    <row r="89" ht="15" customHeight="1" spans="1:45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6">
        <f>IF($A89="","",$A89&amp;"|"&amp;$C89)</f>
      </c>
      <c r="AF89" s="27">
        <f>IF($A89="","",IFERROR(COUNTIF(L89:M89,"כן")/(COUNTIF(L89:M89,"כן")+COUNTIF(L89:M89,"לא")),""))</f>
      </c>
      <c r="AG89" s="27">
        <f>IF($A89="","",IFERROR(COUNTIF(N89:O89,"כן")/(COUNTIF(N89:O89,"כן")+COUNTIF(N89:O89,"לא")),""))</f>
      </c>
      <c r="AH89" s="27">
        <f>IF($A89="","",IFERROR(COUNTIF(P89,"כן")/(COUNTIF(P89,"כן")+COUNTIF(P89,"לא")),""))</f>
      </c>
      <c r="AI89" s="27">
        <f>IF($A89="","",IFERROR(COUNTIF(Q89:R89,"כן")/(COUNTIF(Q89:R89,"כן")+COUNTIF(Q89:R89,"לא")),""))</f>
      </c>
      <c r="AJ89" s="27">
        <f>IF($A89="","",IFERROR(COUNTIF(S89:T89,"כן")/(COUNTIF(S89:T89,"כן")+COUNTIF(S89:T89,"לא")),""))</f>
      </c>
      <c r="AK89" s="27">
        <f>IF($A89="","",IFERROR(COUNTIF(L89:T89,"כן")/(COUNTIF(L89:T89,"כן")+COUNTIF(L89:T89,"לא")),""))</f>
      </c>
      <c r="AL89" s="28">
        <f>IF($A89="","",IFERROR(AVERAGE(U89:V89),""))</f>
      </c>
      <c r="AM89" s="28">
        <f>IF($A89="","",IFERROR(AVERAGE(W89:X89),""))</f>
      </c>
      <c r="AN89" s="28">
        <f>IF($A89="","",IFERROR(AVERAGE(Y89:Z89),""))</f>
      </c>
      <c r="AO89" s="28">
        <f>IF($A89="","",IFERROR(AVERAGE(AA89:AB89),""))</f>
      </c>
      <c r="AP89" s="28">
        <f>IF($A89="","",IFERROR(AVERAGE(AC89),""))</f>
      </c>
      <c r="AQ89" s="28">
        <f>IF($A89="","",IFERROR(AVERAGE(U89:AC89),""))</f>
      </c>
      <c r="AR89" s="26">
        <f>IF($A89="","",IF(AND(H89="",J89=""),"לא נבדק",IF(AND(OR(H89="",H89=I89),OR(J89="",J89=K89)),"תואם","לא תואם")))</f>
      </c>
      <c r="AS89" s="26">
        <f>IF($A89="","",IF(AND(AR89&lt;&gt;"לא תואם",G89&lt;&gt;"לא ברור"),"אמין","לפרש בזהירות"))</f>
      </c>
    </row>
    <row r="90" ht="15" customHeight="1" spans="1:45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6">
        <f>IF($A90="","",$A90&amp;"|"&amp;$C90)</f>
      </c>
      <c r="AF90" s="27">
        <f>IF($A90="","",IFERROR(COUNTIF(L90:M90,"כן")/(COUNTIF(L90:M90,"כן")+COUNTIF(L90:M90,"לא")),""))</f>
      </c>
      <c r="AG90" s="27">
        <f>IF($A90="","",IFERROR(COUNTIF(N90:O90,"כן")/(COUNTIF(N90:O90,"כן")+COUNTIF(N90:O90,"לא")),""))</f>
      </c>
      <c r="AH90" s="27">
        <f>IF($A90="","",IFERROR(COUNTIF(P90,"כן")/(COUNTIF(P90,"כן")+COUNTIF(P90,"לא")),""))</f>
      </c>
      <c r="AI90" s="27">
        <f>IF($A90="","",IFERROR(COUNTIF(Q90:R90,"כן")/(COUNTIF(Q90:R90,"כן")+COUNTIF(Q90:R90,"לא")),""))</f>
      </c>
      <c r="AJ90" s="27">
        <f>IF($A90="","",IFERROR(COUNTIF(S90:T90,"כן")/(COUNTIF(S90:T90,"כן")+COUNTIF(S90:T90,"לא")),""))</f>
      </c>
      <c r="AK90" s="27">
        <f>IF($A90="","",IFERROR(COUNTIF(L90:T90,"כן")/(COUNTIF(L90:T90,"כן")+COUNTIF(L90:T90,"לא")),""))</f>
      </c>
      <c r="AL90" s="28">
        <f>IF($A90="","",IFERROR(AVERAGE(U90:V90),""))</f>
      </c>
      <c r="AM90" s="28">
        <f>IF($A90="","",IFERROR(AVERAGE(W90:X90),""))</f>
      </c>
      <c r="AN90" s="28">
        <f>IF($A90="","",IFERROR(AVERAGE(Y90:Z90),""))</f>
      </c>
      <c r="AO90" s="28">
        <f>IF($A90="","",IFERROR(AVERAGE(AA90:AB90),""))</f>
      </c>
      <c r="AP90" s="28">
        <f>IF($A90="","",IFERROR(AVERAGE(AC90),""))</f>
      </c>
      <c r="AQ90" s="28">
        <f>IF($A90="","",IFERROR(AVERAGE(U90:AC90),""))</f>
      </c>
      <c r="AR90" s="26">
        <f>IF($A90="","",IF(AND(H90="",J90=""),"לא נבדק",IF(AND(OR(H90="",H90=I90),OR(J90="",J90=K90)),"תואם","לא תואם")))</f>
      </c>
      <c r="AS90" s="26">
        <f>IF($A90="","",IF(AND(AR90&lt;&gt;"לא תואם",G90&lt;&gt;"לא ברור"),"אמין","לפרש בזהירות"))</f>
      </c>
    </row>
    <row r="91" ht="15" customHeight="1" spans="1:45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6">
        <f>IF($A91="","",$A91&amp;"|"&amp;$C91)</f>
      </c>
      <c r="AF91" s="27">
        <f>IF($A91="","",IFERROR(COUNTIF(L91:M91,"כן")/(COUNTIF(L91:M91,"כן")+COUNTIF(L91:M91,"לא")),""))</f>
      </c>
      <c r="AG91" s="27">
        <f>IF($A91="","",IFERROR(COUNTIF(N91:O91,"כן")/(COUNTIF(N91:O91,"כן")+COUNTIF(N91:O91,"לא")),""))</f>
      </c>
      <c r="AH91" s="27">
        <f>IF($A91="","",IFERROR(COUNTIF(P91,"כן")/(COUNTIF(P91,"כן")+COUNTIF(P91,"לא")),""))</f>
      </c>
      <c r="AI91" s="27">
        <f>IF($A91="","",IFERROR(COUNTIF(Q91:R91,"כן")/(COUNTIF(Q91:R91,"כן")+COUNTIF(Q91:R91,"לא")),""))</f>
      </c>
      <c r="AJ91" s="27">
        <f>IF($A91="","",IFERROR(COUNTIF(S91:T91,"כן")/(COUNTIF(S91:T91,"כן")+COUNTIF(S91:T91,"לא")),""))</f>
      </c>
      <c r="AK91" s="27">
        <f>IF($A91="","",IFERROR(COUNTIF(L91:T91,"כן")/(COUNTIF(L91:T91,"כן")+COUNTIF(L91:T91,"לא")),""))</f>
      </c>
      <c r="AL91" s="28">
        <f>IF($A91="","",IFERROR(AVERAGE(U91:V91),""))</f>
      </c>
      <c r="AM91" s="28">
        <f>IF($A91="","",IFERROR(AVERAGE(W91:X91),""))</f>
      </c>
      <c r="AN91" s="28">
        <f>IF($A91="","",IFERROR(AVERAGE(Y91:Z91),""))</f>
      </c>
      <c r="AO91" s="28">
        <f>IF($A91="","",IFERROR(AVERAGE(AA91:AB91),""))</f>
      </c>
      <c r="AP91" s="28">
        <f>IF($A91="","",IFERROR(AVERAGE(AC91),""))</f>
      </c>
      <c r="AQ91" s="28">
        <f>IF($A91="","",IFERROR(AVERAGE(U91:AC91),""))</f>
      </c>
      <c r="AR91" s="26">
        <f>IF($A91="","",IF(AND(H91="",J91=""),"לא נבדק",IF(AND(OR(H91="",H91=I91),OR(J91="",J91=K91)),"תואם","לא תואם")))</f>
      </c>
      <c r="AS91" s="26">
        <f>IF($A91="","",IF(AND(AR91&lt;&gt;"לא תואם",G91&lt;&gt;"לא ברור"),"אמין","לפרש בזהירות"))</f>
      </c>
    </row>
    <row r="92" ht="15" customHeight="1" spans="1:45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6">
        <f>IF($A92="","",$A92&amp;"|"&amp;$C92)</f>
      </c>
      <c r="AF92" s="27">
        <f>IF($A92="","",IFERROR(COUNTIF(L92:M92,"כן")/(COUNTIF(L92:M92,"כן")+COUNTIF(L92:M92,"לא")),""))</f>
      </c>
      <c r="AG92" s="27">
        <f>IF($A92="","",IFERROR(COUNTIF(N92:O92,"כן")/(COUNTIF(N92:O92,"כן")+COUNTIF(N92:O92,"לא")),""))</f>
      </c>
      <c r="AH92" s="27">
        <f>IF($A92="","",IFERROR(COUNTIF(P92,"כן")/(COUNTIF(P92,"כן")+COUNTIF(P92,"לא")),""))</f>
      </c>
      <c r="AI92" s="27">
        <f>IF($A92="","",IFERROR(COUNTIF(Q92:R92,"כן")/(COUNTIF(Q92:R92,"כן")+COUNTIF(Q92:R92,"לא")),""))</f>
      </c>
      <c r="AJ92" s="27">
        <f>IF($A92="","",IFERROR(COUNTIF(S92:T92,"כן")/(COUNTIF(S92:T92,"כן")+COUNTIF(S92:T92,"לא")),""))</f>
      </c>
      <c r="AK92" s="27">
        <f>IF($A92="","",IFERROR(COUNTIF(L92:T92,"כן")/(COUNTIF(L92:T92,"כן")+COUNTIF(L92:T92,"לא")),""))</f>
      </c>
      <c r="AL92" s="28">
        <f>IF($A92="","",IFERROR(AVERAGE(U92:V92),""))</f>
      </c>
      <c r="AM92" s="28">
        <f>IF($A92="","",IFERROR(AVERAGE(W92:X92),""))</f>
      </c>
      <c r="AN92" s="28">
        <f>IF($A92="","",IFERROR(AVERAGE(Y92:Z92),""))</f>
      </c>
      <c r="AO92" s="28">
        <f>IF($A92="","",IFERROR(AVERAGE(AA92:AB92),""))</f>
      </c>
      <c r="AP92" s="28">
        <f>IF($A92="","",IFERROR(AVERAGE(AC92),""))</f>
      </c>
      <c r="AQ92" s="28">
        <f>IF($A92="","",IFERROR(AVERAGE(U92:AC92),""))</f>
      </c>
      <c r="AR92" s="26">
        <f>IF($A92="","",IF(AND(H92="",J92=""),"לא נבדק",IF(AND(OR(H92="",H92=I92),OR(J92="",J92=K92)),"תואם","לא תואם")))</f>
      </c>
      <c r="AS92" s="26">
        <f>IF($A92="","",IF(AND(AR92&lt;&gt;"לא תואם",G92&lt;&gt;"לא ברור"),"אמין","לפרש בזהירות"))</f>
      </c>
    </row>
    <row r="93" ht="15" customHeight="1" spans="1:45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6">
        <f>IF($A93="","",$A93&amp;"|"&amp;$C93)</f>
      </c>
      <c r="AF93" s="27">
        <f>IF($A93="","",IFERROR(COUNTIF(L93:M93,"כן")/(COUNTIF(L93:M93,"כן")+COUNTIF(L93:M93,"לא")),""))</f>
      </c>
      <c r="AG93" s="27">
        <f>IF($A93="","",IFERROR(COUNTIF(N93:O93,"כן")/(COUNTIF(N93:O93,"כן")+COUNTIF(N93:O93,"לא")),""))</f>
      </c>
      <c r="AH93" s="27">
        <f>IF($A93="","",IFERROR(COUNTIF(P93,"כן")/(COUNTIF(P93,"כן")+COUNTIF(P93,"לא")),""))</f>
      </c>
      <c r="AI93" s="27">
        <f>IF($A93="","",IFERROR(COUNTIF(Q93:R93,"כן")/(COUNTIF(Q93:R93,"כן")+COUNTIF(Q93:R93,"לא")),""))</f>
      </c>
      <c r="AJ93" s="27">
        <f>IF($A93="","",IFERROR(COUNTIF(S93:T93,"כן")/(COUNTIF(S93:T93,"כן")+COUNTIF(S93:T93,"לא")),""))</f>
      </c>
      <c r="AK93" s="27">
        <f>IF($A93="","",IFERROR(COUNTIF(L93:T93,"כן")/(COUNTIF(L93:T93,"כן")+COUNTIF(L93:T93,"לא")),""))</f>
      </c>
      <c r="AL93" s="28">
        <f>IF($A93="","",IFERROR(AVERAGE(U93:V93),""))</f>
      </c>
      <c r="AM93" s="28">
        <f>IF($A93="","",IFERROR(AVERAGE(W93:X93),""))</f>
      </c>
      <c r="AN93" s="28">
        <f>IF($A93="","",IFERROR(AVERAGE(Y93:Z93),""))</f>
      </c>
      <c r="AO93" s="28">
        <f>IF($A93="","",IFERROR(AVERAGE(AA93:AB93),""))</f>
      </c>
      <c r="AP93" s="28">
        <f>IF($A93="","",IFERROR(AVERAGE(AC93),""))</f>
      </c>
      <c r="AQ93" s="28">
        <f>IF($A93="","",IFERROR(AVERAGE(U93:AC93),""))</f>
      </c>
      <c r="AR93" s="26">
        <f>IF($A93="","",IF(AND(H93="",J93=""),"לא נבדק",IF(AND(OR(H93="",H93=I93),OR(J93="",J93=K93)),"תואם","לא תואם")))</f>
      </c>
      <c r="AS93" s="26">
        <f>IF($A93="","",IF(AND(AR93&lt;&gt;"לא תואם",G93&lt;&gt;"לא ברור"),"אמין","לפרש בזהירות"))</f>
      </c>
    </row>
    <row r="94" ht="15" customHeight="1" spans="1:45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6">
        <f>IF($A94="","",$A94&amp;"|"&amp;$C94)</f>
      </c>
      <c r="AF94" s="27">
        <f>IF($A94="","",IFERROR(COUNTIF(L94:M94,"כן")/(COUNTIF(L94:M94,"כן")+COUNTIF(L94:M94,"לא")),""))</f>
      </c>
      <c r="AG94" s="27">
        <f>IF($A94="","",IFERROR(COUNTIF(N94:O94,"כן")/(COUNTIF(N94:O94,"כן")+COUNTIF(N94:O94,"לא")),""))</f>
      </c>
      <c r="AH94" s="27">
        <f>IF($A94="","",IFERROR(COUNTIF(P94,"כן")/(COUNTIF(P94,"כן")+COUNTIF(P94,"לא")),""))</f>
      </c>
      <c r="AI94" s="27">
        <f>IF($A94="","",IFERROR(COUNTIF(Q94:R94,"כן")/(COUNTIF(Q94:R94,"כן")+COUNTIF(Q94:R94,"לא")),""))</f>
      </c>
      <c r="AJ94" s="27">
        <f>IF($A94="","",IFERROR(COUNTIF(S94:T94,"כן")/(COUNTIF(S94:T94,"כן")+COUNTIF(S94:T94,"לא")),""))</f>
      </c>
      <c r="AK94" s="27">
        <f>IF($A94="","",IFERROR(COUNTIF(L94:T94,"כן")/(COUNTIF(L94:T94,"כן")+COUNTIF(L94:T94,"לא")),""))</f>
      </c>
      <c r="AL94" s="28">
        <f>IF($A94="","",IFERROR(AVERAGE(U94:V94),""))</f>
      </c>
      <c r="AM94" s="28">
        <f>IF($A94="","",IFERROR(AVERAGE(W94:X94),""))</f>
      </c>
      <c r="AN94" s="28">
        <f>IF($A94="","",IFERROR(AVERAGE(Y94:Z94),""))</f>
      </c>
      <c r="AO94" s="28">
        <f>IF($A94="","",IFERROR(AVERAGE(AA94:AB94),""))</f>
      </c>
      <c r="AP94" s="28">
        <f>IF($A94="","",IFERROR(AVERAGE(AC94),""))</f>
      </c>
      <c r="AQ94" s="28">
        <f>IF($A94="","",IFERROR(AVERAGE(U94:AC94),""))</f>
      </c>
      <c r="AR94" s="26">
        <f>IF($A94="","",IF(AND(H94="",J94=""),"לא נבדק",IF(AND(OR(H94="",H94=I94),OR(J94="",J94=K94)),"תואם","לא תואם")))</f>
      </c>
      <c r="AS94" s="26">
        <f>IF($A94="","",IF(AND(AR94&lt;&gt;"לא תואם",G94&lt;&gt;"לא ברור"),"אמין","לפרש בזהירות"))</f>
      </c>
    </row>
    <row r="95" ht="15" customHeight="1" spans="1:45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6">
        <f>IF($A95="","",$A95&amp;"|"&amp;$C95)</f>
      </c>
      <c r="AF95" s="27">
        <f>IF($A95="","",IFERROR(COUNTIF(L95:M95,"כן")/(COUNTIF(L95:M95,"כן")+COUNTIF(L95:M95,"לא")),""))</f>
      </c>
      <c r="AG95" s="27">
        <f>IF($A95="","",IFERROR(COUNTIF(N95:O95,"כן")/(COUNTIF(N95:O95,"כן")+COUNTIF(N95:O95,"לא")),""))</f>
      </c>
      <c r="AH95" s="27">
        <f>IF($A95="","",IFERROR(COUNTIF(P95,"כן")/(COUNTIF(P95,"כן")+COUNTIF(P95,"לא")),""))</f>
      </c>
      <c r="AI95" s="27">
        <f>IF($A95="","",IFERROR(COUNTIF(Q95:R95,"כן")/(COUNTIF(Q95:R95,"כן")+COUNTIF(Q95:R95,"לא")),""))</f>
      </c>
      <c r="AJ95" s="27">
        <f>IF($A95="","",IFERROR(COUNTIF(S95:T95,"כן")/(COUNTIF(S95:T95,"כן")+COUNTIF(S95:T95,"לא")),""))</f>
      </c>
      <c r="AK95" s="27">
        <f>IF($A95="","",IFERROR(COUNTIF(L95:T95,"כן")/(COUNTIF(L95:T95,"כן")+COUNTIF(L95:T95,"לא")),""))</f>
      </c>
      <c r="AL95" s="28">
        <f>IF($A95="","",IFERROR(AVERAGE(U95:V95),""))</f>
      </c>
      <c r="AM95" s="28">
        <f>IF($A95="","",IFERROR(AVERAGE(W95:X95),""))</f>
      </c>
      <c r="AN95" s="28">
        <f>IF($A95="","",IFERROR(AVERAGE(Y95:Z95),""))</f>
      </c>
      <c r="AO95" s="28">
        <f>IF($A95="","",IFERROR(AVERAGE(AA95:AB95),""))</f>
      </c>
      <c r="AP95" s="28">
        <f>IF($A95="","",IFERROR(AVERAGE(AC95),""))</f>
      </c>
      <c r="AQ95" s="28">
        <f>IF($A95="","",IFERROR(AVERAGE(U95:AC95),""))</f>
      </c>
      <c r="AR95" s="26">
        <f>IF($A95="","",IF(AND(H95="",J95=""),"לא נבדק",IF(AND(OR(H95="",H95=I95),OR(J95="",J95=K95)),"תואם","לא תואם")))</f>
      </c>
      <c r="AS95" s="26">
        <f>IF($A95="","",IF(AND(AR95&lt;&gt;"לא תואם",G95&lt;&gt;"לא ברור"),"אמין","לפרש בזהירות"))</f>
      </c>
    </row>
    <row r="96" ht="15" customHeight="1" spans="1:45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6">
        <f>IF($A96="","",$A96&amp;"|"&amp;$C96)</f>
      </c>
      <c r="AF96" s="27">
        <f>IF($A96="","",IFERROR(COUNTIF(L96:M96,"כן")/(COUNTIF(L96:M96,"כן")+COUNTIF(L96:M96,"לא")),""))</f>
      </c>
      <c r="AG96" s="27">
        <f>IF($A96="","",IFERROR(COUNTIF(N96:O96,"כן")/(COUNTIF(N96:O96,"כן")+COUNTIF(N96:O96,"לא")),""))</f>
      </c>
      <c r="AH96" s="27">
        <f>IF($A96="","",IFERROR(COUNTIF(P96,"כן")/(COUNTIF(P96,"כן")+COUNTIF(P96,"לא")),""))</f>
      </c>
      <c r="AI96" s="27">
        <f>IF($A96="","",IFERROR(COUNTIF(Q96:R96,"כן")/(COUNTIF(Q96:R96,"כן")+COUNTIF(Q96:R96,"לא")),""))</f>
      </c>
      <c r="AJ96" s="27">
        <f>IF($A96="","",IFERROR(COUNTIF(S96:T96,"כן")/(COUNTIF(S96:T96,"כן")+COUNTIF(S96:T96,"לא")),""))</f>
      </c>
      <c r="AK96" s="27">
        <f>IF($A96="","",IFERROR(COUNTIF(L96:T96,"כן")/(COUNTIF(L96:T96,"כן")+COUNTIF(L96:T96,"לא")),""))</f>
      </c>
      <c r="AL96" s="28">
        <f>IF($A96="","",IFERROR(AVERAGE(U96:V96),""))</f>
      </c>
      <c r="AM96" s="28">
        <f>IF($A96="","",IFERROR(AVERAGE(W96:X96),""))</f>
      </c>
      <c r="AN96" s="28">
        <f>IF($A96="","",IFERROR(AVERAGE(Y96:Z96),""))</f>
      </c>
      <c r="AO96" s="28">
        <f>IF($A96="","",IFERROR(AVERAGE(AA96:AB96),""))</f>
      </c>
      <c r="AP96" s="28">
        <f>IF($A96="","",IFERROR(AVERAGE(AC96),""))</f>
      </c>
      <c r="AQ96" s="28">
        <f>IF($A96="","",IFERROR(AVERAGE(U96:AC96),""))</f>
      </c>
      <c r="AR96" s="26">
        <f>IF($A96="","",IF(AND(H96="",J96=""),"לא נבדק",IF(AND(OR(H96="",H96=I96),OR(J96="",J96=K96)),"תואם","לא תואם")))</f>
      </c>
      <c r="AS96" s="26">
        <f>IF($A96="","",IF(AND(AR96&lt;&gt;"לא תואם",G96&lt;&gt;"לא ברור"),"אמין","לפרש בזהירות"))</f>
      </c>
    </row>
    <row r="97" ht="15" customHeight="1" spans="1:45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6">
        <f>IF($A97="","",$A97&amp;"|"&amp;$C97)</f>
      </c>
      <c r="AF97" s="27">
        <f>IF($A97="","",IFERROR(COUNTIF(L97:M97,"כן")/(COUNTIF(L97:M97,"כן")+COUNTIF(L97:M97,"לא")),""))</f>
      </c>
      <c r="AG97" s="27">
        <f>IF($A97="","",IFERROR(COUNTIF(N97:O97,"כן")/(COUNTIF(N97:O97,"כן")+COUNTIF(N97:O97,"לא")),""))</f>
      </c>
      <c r="AH97" s="27">
        <f>IF($A97="","",IFERROR(COUNTIF(P97,"כן")/(COUNTIF(P97,"כן")+COUNTIF(P97,"לא")),""))</f>
      </c>
      <c r="AI97" s="27">
        <f>IF($A97="","",IFERROR(COUNTIF(Q97:R97,"כן")/(COUNTIF(Q97:R97,"כן")+COUNTIF(Q97:R97,"לא")),""))</f>
      </c>
      <c r="AJ97" s="27">
        <f>IF($A97="","",IFERROR(COUNTIF(S97:T97,"כן")/(COUNTIF(S97:T97,"כן")+COUNTIF(S97:T97,"לא")),""))</f>
      </c>
      <c r="AK97" s="27">
        <f>IF($A97="","",IFERROR(COUNTIF(L97:T97,"כן")/(COUNTIF(L97:T97,"כן")+COUNTIF(L97:T97,"לא")),""))</f>
      </c>
      <c r="AL97" s="28">
        <f>IF($A97="","",IFERROR(AVERAGE(U97:V97),""))</f>
      </c>
      <c r="AM97" s="28">
        <f>IF($A97="","",IFERROR(AVERAGE(W97:X97),""))</f>
      </c>
      <c r="AN97" s="28">
        <f>IF($A97="","",IFERROR(AVERAGE(Y97:Z97),""))</f>
      </c>
      <c r="AO97" s="28">
        <f>IF($A97="","",IFERROR(AVERAGE(AA97:AB97),""))</f>
      </c>
      <c r="AP97" s="28">
        <f>IF($A97="","",IFERROR(AVERAGE(AC97),""))</f>
      </c>
      <c r="AQ97" s="28">
        <f>IF($A97="","",IFERROR(AVERAGE(U97:AC97),""))</f>
      </c>
      <c r="AR97" s="26">
        <f>IF($A97="","",IF(AND(H97="",J97=""),"לא נבדק",IF(AND(OR(H97="",H97=I97),OR(J97="",J97=K97)),"תואם","לא תואם")))</f>
      </c>
      <c r="AS97" s="26">
        <f>IF($A97="","",IF(AND(AR97&lt;&gt;"לא תואם",G97&lt;&gt;"לא ברור"),"אמין","לפרש בזהירות"))</f>
      </c>
    </row>
    <row r="98" ht="15" customHeight="1" spans="1:45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6">
        <f>IF($A98="","",$A98&amp;"|"&amp;$C98)</f>
      </c>
      <c r="AF98" s="27">
        <f>IF($A98="","",IFERROR(COUNTIF(L98:M98,"כן")/(COUNTIF(L98:M98,"כן")+COUNTIF(L98:M98,"לא")),""))</f>
      </c>
      <c r="AG98" s="27">
        <f>IF($A98="","",IFERROR(COUNTIF(N98:O98,"כן")/(COUNTIF(N98:O98,"כן")+COUNTIF(N98:O98,"לא")),""))</f>
      </c>
      <c r="AH98" s="27">
        <f>IF($A98="","",IFERROR(COUNTIF(P98,"כן")/(COUNTIF(P98,"כן")+COUNTIF(P98,"לא")),""))</f>
      </c>
      <c r="AI98" s="27">
        <f>IF($A98="","",IFERROR(COUNTIF(Q98:R98,"כן")/(COUNTIF(Q98:R98,"כן")+COUNTIF(Q98:R98,"לא")),""))</f>
      </c>
      <c r="AJ98" s="27">
        <f>IF($A98="","",IFERROR(COUNTIF(S98:T98,"כן")/(COUNTIF(S98:T98,"כן")+COUNTIF(S98:T98,"לא")),""))</f>
      </c>
      <c r="AK98" s="27">
        <f>IF($A98="","",IFERROR(COUNTIF(L98:T98,"כן")/(COUNTIF(L98:T98,"כן")+COUNTIF(L98:T98,"לא")),""))</f>
      </c>
      <c r="AL98" s="28">
        <f>IF($A98="","",IFERROR(AVERAGE(U98:V98),""))</f>
      </c>
      <c r="AM98" s="28">
        <f>IF($A98="","",IFERROR(AVERAGE(W98:X98),""))</f>
      </c>
      <c r="AN98" s="28">
        <f>IF($A98="","",IFERROR(AVERAGE(Y98:Z98),""))</f>
      </c>
      <c r="AO98" s="28">
        <f>IF($A98="","",IFERROR(AVERAGE(AA98:AB98),""))</f>
      </c>
      <c r="AP98" s="28">
        <f>IF($A98="","",IFERROR(AVERAGE(AC98),""))</f>
      </c>
      <c r="AQ98" s="28">
        <f>IF($A98="","",IFERROR(AVERAGE(U98:AC98),""))</f>
      </c>
      <c r="AR98" s="26">
        <f>IF($A98="","",IF(AND(H98="",J98=""),"לא נבדק",IF(AND(OR(H98="",H98=I98),OR(J98="",J98=K98)),"תואם","לא תואם")))</f>
      </c>
      <c r="AS98" s="26">
        <f>IF($A98="","",IF(AND(AR98&lt;&gt;"לא תואם",G98&lt;&gt;"לא ברור"),"אמין","לפרש בזהירות"))</f>
      </c>
    </row>
    <row r="99" ht="15" customHeight="1" spans="1:45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6">
        <f>IF($A99="","",$A99&amp;"|"&amp;$C99)</f>
      </c>
      <c r="AF99" s="27">
        <f>IF($A99="","",IFERROR(COUNTIF(L99:M99,"כן")/(COUNTIF(L99:M99,"כן")+COUNTIF(L99:M99,"לא")),""))</f>
      </c>
      <c r="AG99" s="27">
        <f>IF($A99="","",IFERROR(COUNTIF(N99:O99,"כן")/(COUNTIF(N99:O99,"כן")+COUNTIF(N99:O99,"לא")),""))</f>
      </c>
      <c r="AH99" s="27">
        <f>IF($A99="","",IFERROR(COUNTIF(P99,"כן")/(COUNTIF(P99,"כן")+COUNTIF(P99,"לא")),""))</f>
      </c>
      <c r="AI99" s="27">
        <f>IF($A99="","",IFERROR(COUNTIF(Q99:R99,"כן")/(COUNTIF(Q99:R99,"כן")+COUNTIF(Q99:R99,"לא")),""))</f>
      </c>
      <c r="AJ99" s="27">
        <f>IF($A99="","",IFERROR(COUNTIF(S99:T99,"כן")/(COUNTIF(S99:T99,"כן")+COUNTIF(S99:T99,"לא")),""))</f>
      </c>
      <c r="AK99" s="27">
        <f>IF($A99="","",IFERROR(COUNTIF(L99:T99,"כן")/(COUNTIF(L99:T99,"כן")+COUNTIF(L99:T99,"לא")),""))</f>
      </c>
      <c r="AL99" s="28">
        <f>IF($A99="","",IFERROR(AVERAGE(U99:V99),""))</f>
      </c>
      <c r="AM99" s="28">
        <f>IF($A99="","",IFERROR(AVERAGE(W99:X99),""))</f>
      </c>
      <c r="AN99" s="28">
        <f>IF($A99="","",IFERROR(AVERAGE(Y99:Z99),""))</f>
      </c>
      <c r="AO99" s="28">
        <f>IF($A99="","",IFERROR(AVERAGE(AA99:AB99),""))</f>
      </c>
      <c r="AP99" s="28">
        <f>IF($A99="","",IFERROR(AVERAGE(AC99),""))</f>
      </c>
      <c r="AQ99" s="28">
        <f>IF($A99="","",IFERROR(AVERAGE(U99:AC99),""))</f>
      </c>
      <c r="AR99" s="26">
        <f>IF($A99="","",IF(AND(H99="",J99=""),"לא נבדק",IF(AND(OR(H99="",H99=I99),OR(J99="",J99=K99)),"תואם","לא תואם")))</f>
      </c>
      <c r="AS99" s="26">
        <f>IF($A99="","",IF(AND(AR99&lt;&gt;"לא תואם",G99&lt;&gt;"לא ברור"),"אמין","לפרש בזהירות"))</f>
      </c>
    </row>
    <row r="100" ht="15" customHeight="1" spans="1:45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6">
        <f>IF($A100="","",$A100&amp;"|"&amp;$C100)</f>
      </c>
      <c r="AF100" s="27">
        <f>IF($A100="","",IFERROR(COUNTIF(L100:M100,"כן")/(COUNTIF(L100:M100,"כן")+COUNTIF(L100:M100,"לא")),""))</f>
      </c>
      <c r="AG100" s="27">
        <f>IF($A100="","",IFERROR(COUNTIF(N100:O100,"כן")/(COUNTIF(N100:O100,"כן")+COUNTIF(N100:O100,"לא")),""))</f>
      </c>
      <c r="AH100" s="27">
        <f>IF($A100="","",IFERROR(COUNTIF(P100,"כן")/(COUNTIF(P100,"כן")+COUNTIF(P100,"לא")),""))</f>
      </c>
      <c r="AI100" s="27">
        <f>IF($A100="","",IFERROR(COUNTIF(Q100:R100,"כן")/(COUNTIF(Q100:R100,"כן")+COUNTIF(Q100:R100,"לא")),""))</f>
      </c>
      <c r="AJ100" s="27">
        <f>IF($A100="","",IFERROR(COUNTIF(S100:T100,"כן")/(COUNTIF(S100:T100,"כן")+COUNTIF(S100:T100,"לא")),""))</f>
      </c>
      <c r="AK100" s="27">
        <f>IF($A100="","",IFERROR(COUNTIF(L100:T100,"כן")/(COUNTIF(L100:T100,"כן")+COUNTIF(L100:T100,"לא")),""))</f>
      </c>
      <c r="AL100" s="28">
        <f>IF($A100="","",IFERROR(AVERAGE(U100:V100),""))</f>
      </c>
      <c r="AM100" s="28">
        <f>IF($A100="","",IFERROR(AVERAGE(W100:X100),""))</f>
      </c>
      <c r="AN100" s="28">
        <f>IF($A100="","",IFERROR(AVERAGE(Y100:Z100),""))</f>
      </c>
      <c r="AO100" s="28">
        <f>IF($A100="","",IFERROR(AVERAGE(AA100:AB100),""))</f>
      </c>
      <c r="AP100" s="28">
        <f>IF($A100="","",IFERROR(AVERAGE(AC100),""))</f>
      </c>
      <c r="AQ100" s="28">
        <f>IF($A100="","",IFERROR(AVERAGE(U100:AC100),""))</f>
      </c>
      <c r="AR100" s="26">
        <f>IF($A100="","",IF(AND(H100="",J100=""),"לא נבדק",IF(AND(OR(H100="",H100=I100),OR(J100="",J100=K100)),"תואם","לא תואם")))</f>
      </c>
      <c r="AS100" s="26">
        <f>IF($A100="","",IF(AND(AR100&lt;&gt;"לא תואם",G100&lt;&gt;"לא ברור"),"אמין","לפרש בזהירות"))</f>
      </c>
    </row>
    <row r="101" ht="15" customHeight="1" spans="1:45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6">
        <f>IF($A101="","",$A101&amp;"|"&amp;$C101)</f>
      </c>
      <c r="AF101" s="27">
        <f>IF($A101="","",IFERROR(COUNTIF(L101:M101,"כן")/(COUNTIF(L101:M101,"כן")+COUNTIF(L101:M101,"לא")),""))</f>
      </c>
      <c r="AG101" s="27">
        <f>IF($A101="","",IFERROR(COUNTIF(N101:O101,"כן")/(COUNTIF(N101:O101,"כן")+COUNTIF(N101:O101,"לא")),""))</f>
      </c>
      <c r="AH101" s="27">
        <f>IF($A101="","",IFERROR(COUNTIF(P101,"כן")/(COUNTIF(P101,"כן")+COUNTIF(P101,"לא")),""))</f>
      </c>
      <c r="AI101" s="27">
        <f>IF($A101="","",IFERROR(COUNTIF(Q101:R101,"כן")/(COUNTIF(Q101:R101,"כן")+COUNTIF(Q101:R101,"לא")),""))</f>
      </c>
      <c r="AJ101" s="27">
        <f>IF($A101="","",IFERROR(COUNTIF(S101:T101,"כן")/(COUNTIF(S101:T101,"כן")+COUNTIF(S101:T101,"לא")),""))</f>
      </c>
      <c r="AK101" s="27">
        <f>IF($A101="","",IFERROR(COUNTIF(L101:T101,"כן")/(COUNTIF(L101:T101,"כן")+COUNTIF(L101:T101,"לא")),""))</f>
      </c>
      <c r="AL101" s="28">
        <f>IF($A101="","",IFERROR(AVERAGE(U101:V101),""))</f>
      </c>
      <c r="AM101" s="28">
        <f>IF($A101="","",IFERROR(AVERAGE(W101:X101),""))</f>
      </c>
      <c r="AN101" s="28">
        <f>IF($A101="","",IFERROR(AVERAGE(Y101:Z101),""))</f>
      </c>
      <c r="AO101" s="28">
        <f>IF($A101="","",IFERROR(AVERAGE(AA101:AB101),""))</f>
      </c>
      <c r="AP101" s="28">
        <f>IF($A101="","",IFERROR(AVERAGE(AC101),""))</f>
      </c>
      <c r="AQ101" s="28">
        <f>IF($A101="","",IFERROR(AVERAGE(U101:AC101),""))</f>
      </c>
      <c r="AR101" s="26">
        <f>IF($A101="","",IF(AND(H101="",J101=""),"לא נבדק",IF(AND(OR(H101="",H101=I101),OR(J101="",J101=K101)),"תואם","לא תואם")))</f>
      </c>
      <c r="AS101" s="26">
        <f>IF($A101="","",IF(AND(AR101&lt;&gt;"לא תואם",G101&lt;&gt;"לא ברור"),"אמין","לפרש בזהירות"))</f>
      </c>
    </row>
    <row r="102" ht="15" customHeight="1" spans="1:45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6">
        <f>IF($A102="","",$A102&amp;"|"&amp;$C102)</f>
      </c>
      <c r="AF102" s="27">
        <f>IF($A102="","",IFERROR(COUNTIF(L102:M102,"כן")/(COUNTIF(L102:M102,"כן")+COUNTIF(L102:M102,"לא")),""))</f>
      </c>
      <c r="AG102" s="27">
        <f>IF($A102="","",IFERROR(COUNTIF(N102:O102,"כן")/(COUNTIF(N102:O102,"כן")+COUNTIF(N102:O102,"לא")),""))</f>
      </c>
      <c r="AH102" s="27">
        <f>IF($A102="","",IFERROR(COUNTIF(P102,"כן")/(COUNTIF(P102,"כן")+COUNTIF(P102,"לא")),""))</f>
      </c>
      <c r="AI102" s="27">
        <f>IF($A102="","",IFERROR(COUNTIF(Q102:R102,"כן")/(COUNTIF(Q102:R102,"כן")+COUNTIF(Q102:R102,"לא")),""))</f>
      </c>
      <c r="AJ102" s="27">
        <f>IF($A102="","",IFERROR(COUNTIF(S102:T102,"כן")/(COUNTIF(S102:T102,"כן")+COUNTIF(S102:T102,"לא")),""))</f>
      </c>
      <c r="AK102" s="27">
        <f>IF($A102="","",IFERROR(COUNTIF(L102:T102,"כן")/(COUNTIF(L102:T102,"כן")+COUNTIF(L102:T102,"לא")),""))</f>
      </c>
      <c r="AL102" s="28">
        <f>IF($A102="","",IFERROR(AVERAGE(U102:V102),""))</f>
      </c>
      <c r="AM102" s="28">
        <f>IF($A102="","",IFERROR(AVERAGE(W102:X102),""))</f>
      </c>
      <c r="AN102" s="28">
        <f>IF($A102="","",IFERROR(AVERAGE(Y102:Z102),""))</f>
      </c>
      <c r="AO102" s="28">
        <f>IF($A102="","",IFERROR(AVERAGE(AA102:AB102),""))</f>
      </c>
      <c r="AP102" s="28">
        <f>IF($A102="","",IFERROR(AVERAGE(AC102),""))</f>
      </c>
      <c r="AQ102" s="28">
        <f>IF($A102="","",IFERROR(AVERAGE(U102:AC102),""))</f>
      </c>
      <c r="AR102" s="26">
        <f>IF($A102="","",IF(AND(H102="",J102=""),"לא נבדק",IF(AND(OR(H102="",H102=I102),OR(J102="",J102=K102)),"תואם","לא תואם")))</f>
      </c>
      <c r="AS102" s="26">
        <f>IF($A102="","",IF(AND(AR102&lt;&gt;"לא תואם",G102&lt;&gt;"לא ברור"),"אמין","לפרש בזהירות"))</f>
      </c>
    </row>
    <row r="103" ht="15" customHeight="1" spans="1:45" x14ac:dyDescent="0.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6">
        <f>IF($A103="","",$A103&amp;"|"&amp;$C103)</f>
      </c>
      <c r="AF103" s="27">
        <f>IF($A103="","",IFERROR(COUNTIF(L103:M103,"כן")/(COUNTIF(L103:M103,"כן")+COUNTIF(L103:M103,"לא")),""))</f>
      </c>
      <c r="AG103" s="27">
        <f>IF($A103="","",IFERROR(COUNTIF(N103:O103,"כן")/(COUNTIF(N103:O103,"כן")+COUNTIF(N103:O103,"לא")),""))</f>
      </c>
      <c r="AH103" s="27">
        <f>IF($A103="","",IFERROR(COUNTIF(P103,"כן")/(COUNTIF(P103,"כן")+COUNTIF(P103,"לא")),""))</f>
      </c>
      <c r="AI103" s="27">
        <f>IF($A103="","",IFERROR(COUNTIF(Q103:R103,"כן")/(COUNTIF(Q103:R103,"כן")+COUNTIF(Q103:R103,"לא")),""))</f>
      </c>
      <c r="AJ103" s="27">
        <f>IF($A103="","",IFERROR(COUNTIF(S103:T103,"כן")/(COUNTIF(S103:T103,"כן")+COUNTIF(S103:T103,"לא")),""))</f>
      </c>
      <c r="AK103" s="27">
        <f>IF($A103="","",IFERROR(COUNTIF(L103:T103,"כן")/(COUNTIF(L103:T103,"כן")+COUNTIF(L103:T103,"לא")),""))</f>
      </c>
      <c r="AL103" s="28">
        <f>IF($A103="","",IFERROR(AVERAGE(U103:V103),""))</f>
      </c>
      <c r="AM103" s="28">
        <f>IF($A103="","",IFERROR(AVERAGE(W103:X103),""))</f>
      </c>
      <c r="AN103" s="28">
        <f>IF($A103="","",IFERROR(AVERAGE(Y103:Z103),""))</f>
      </c>
      <c r="AO103" s="28">
        <f>IF($A103="","",IFERROR(AVERAGE(AA103:AB103),""))</f>
      </c>
      <c r="AP103" s="28">
        <f>IF($A103="","",IFERROR(AVERAGE(AC103),""))</f>
      </c>
      <c r="AQ103" s="28">
        <f>IF($A103="","",IFERROR(AVERAGE(U103:AC103),""))</f>
      </c>
      <c r="AR103" s="26">
        <f>IF($A103="","",IF(AND(H103="",J103=""),"לא נבדק",IF(AND(OR(H103="",H103=I103),OR(J103="",J103=K103)),"תואם","לא תואם")))</f>
      </c>
      <c r="AS103" s="26">
        <f>IF($A103="","",IF(AND(AR103&lt;&gt;"לא תואם",G103&lt;&gt;"לא ברור"),"אמין","לפרש בזהירות"))</f>
      </c>
    </row>
    <row r="104" ht="15" customHeight="1" spans="1:45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6">
        <f>IF($A104="","",$A104&amp;"|"&amp;$C104)</f>
      </c>
      <c r="AF104" s="27">
        <f>IF($A104="","",IFERROR(COUNTIF(L104:M104,"כן")/(COUNTIF(L104:M104,"כן")+COUNTIF(L104:M104,"לא")),""))</f>
      </c>
      <c r="AG104" s="27">
        <f>IF($A104="","",IFERROR(COUNTIF(N104:O104,"כן")/(COUNTIF(N104:O104,"כן")+COUNTIF(N104:O104,"לא")),""))</f>
      </c>
      <c r="AH104" s="27">
        <f>IF($A104="","",IFERROR(COUNTIF(P104,"כן")/(COUNTIF(P104,"כן")+COUNTIF(P104,"לא")),""))</f>
      </c>
      <c r="AI104" s="27">
        <f>IF($A104="","",IFERROR(COUNTIF(Q104:R104,"כן")/(COUNTIF(Q104:R104,"כן")+COUNTIF(Q104:R104,"לא")),""))</f>
      </c>
      <c r="AJ104" s="27">
        <f>IF($A104="","",IFERROR(COUNTIF(S104:T104,"כן")/(COUNTIF(S104:T104,"כן")+COUNTIF(S104:T104,"לא")),""))</f>
      </c>
      <c r="AK104" s="27">
        <f>IF($A104="","",IFERROR(COUNTIF(L104:T104,"כן")/(COUNTIF(L104:T104,"כן")+COUNTIF(L104:T104,"לא")),""))</f>
      </c>
      <c r="AL104" s="28">
        <f>IF($A104="","",IFERROR(AVERAGE(U104:V104),""))</f>
      </c>
      <c r="AM104" s="28">
        <f>IF($A104="","",IFERROR(AVERAGE(W104:X104),""))</f>
      </c>
      <c r="AN104" s="28">
        <f>IF($A104="","",IFERROR(AVERAGE(Y104:Z104),""))</f>
      </c>
      <c r="AO104" s="28">
        <f>IF($A104="","",IFERROR(AVERAGE(AA104:AB104),""))</f>
      </c>
      <c r="AP104" s="28">
        <f>IF($A104="","",IFERROR(AVERAGE(AC104),""))</f>
      </c>
      <c r="AQ104" s="28">
        <f>IF($A104="","",IFERROR(AVERAGE(U104:AC104),""))</f>
      </c>
      <c r="AR104" s="26">
        <f>IF($A104="","",IF(AND(H104="",J104=""),"לא נבדק",IF(AND(OR(H104="",H104=I104),OR(J104="",J104=K104)),"תואם","לא תואם")))</f>
      </c>
      <c r="AS104" s="26">
        <f>IF($A104="","",IF(AND(AR104&lt;&gt;"לא תואם",G104&lt;&gt;"לא ברור"),"אמין","לפרש בזהירות"))</f>
      </c>
    </row>
    <row r="105" ht="15" customHeight="1" spans="1:45" x14ac:dyDescent="0.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6">
        <f>IF($A105="","",$A105&amp;"|"&amp;$C105)</f>
      </c>
      <c r="AF105" s="27">
        <f>IF($A105="","",IFERROR(COUNTIF(L105:M105,"כן")/(COUNTIF(L105:M105,"כן")+COUNTIF(L105:M105,"לא")),""))</f>
      </c>
      <c r="AG105" s="27">
        <f>IF($A105="","",IFERROR(COUNTIF(N105:O105,"כן")/(COUNTIF(N105:O105,"כן")+COUNTIF(N105:O105,"לא")),""))</f>
      </c>
      <c r="AH105" s="27">
        <f>IF($A105="","",IFERROR(COUNTIF(P105,"כן")/(COUNTIF(P105,"כן")+COUNTIF(P105,"לא")),""))</f>
      </c>
      <c r="AI105" s="27">
        <f>IF($A105="","",IFERROR(COUNTIF(Q105:R105,"כן")/(COUNTIF(Q105:R105,"כן")+COUNTIF(Q105:R105,"לא")),""))</f>
      </c>
      <c r="AJ105" s="27">
        <f>IF($A105="","",IFERROR(COUNTIF(S105:T105,"כן")/(COUNTIF(S105:T105,"כן")+COUNTIF(S105:T105,"לא")),""))</f>
      </c>
      <c r="AK105" s="27">
        <f>IF($A105="","",IFERROR(COUNTIF(L105:T105,"כן")/(COUNTIF(L105:T105,"כן")+COUNTIF(L105:T105,"לא")),""))</f>
      </c>
      <c r="AL105" s="28">
        <f>IF($A105="","",IFERROR(AVERAGE(U105:V105),""))</f>
      </c>
      <c r="AM105" s="28">
        <f>IF($A105="","",IFERROR(AVERAGE(W105:X105),""))</f>
      </c>
      <c r="AN105" s="28">
        <f>IF($A105="","",IFERROR(AVERAGE(Y105:Z105),""))</f>
      </c>
      <c r="AO105" s="28">
        <f>IF($A105="","",IFERROR(AVERAGE(AA105:AB105),""))</f>
      </c>
      <c r="AP105" s="28">
        <f>IF($A105="","",IFERROR(AVERAGE(AC105),""))</f>
      </c>
      <c r="AQ105" s="28">
        <f>IF($A105="","",IFERROR(AVERAGE(U105:AC105),""))</f>
      </c>
      <c r="AR105" s="26">
        <f>IF($A105="","",IF(AND(H105="",J105=""),"לא נבדק",IF(AND(OR(H105="",H105=I105),OR(J105="",J105=K105)),"תואם","לא תואם")))</f>
      </c>
      <c r="AS105" s="26">
        <f>IF($A105="","",IF(AND(AR105&lt;&gt;"לא תואם",G105&lt;&gt;"לא ברור"),"אמין","לפרש בזהירות"))</f>
      </c>
    </row>
    <row r="106" ht="15" customHeight="1" spans="1:45" x14ac:dyDescent="0.2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6">
        <f>IF($A106="","",$A106&amp;"|"&amp;$C106)</f>
      </c>
      <c r="AF106" s="27">
        <f>IF($A106="","",IFERROR(COUNTIF(L106:M106,"כן")/(COUNTIF(L106:M106,"כן")+COUNTIF(L106:M106,"לא")),""))</f>
      </c>
      <c r="AG106" s="27">
        <f>IF($A106="","",IFERROR(COUNTIF(N106:O106,"כן")/(COUNTIF(N106:O106,"כן")+COUNTIF(N106:O106,"לא")),""))</f>
      </c>
      <c r="AH106" s="27">
        <f>IF($A106="","",IFERROR(COUNTIF(P106,"כן")/(COUNTIF(P106,"כן")+COUNTIF(P106,"לא")),""))</f>
      </c>
      <c r="AI106" s="27">
        <f>IF($A106="","",IFERROR(COUNTIF(Q106:R106,"כן")/(COUNTIF(Q106:R106,"כן")+COUNTIF(Q106:R106,"לא")),""))</f>
      </c>
      <c r="AJ106" s="27">
        <f>IF($A106="","",IFERROR(COUNTIF(S106:T106,"כן")/(COUNTIF(S106:T106,"כן")+COUNTIF(S106:T106,"לא")),""))</f>
      </c>
      <c r="AK106" s="27">
        <f>IF($A106="","",IFERROR(COUNTIF(L106:T106,"כן")/(COUNTIF(L106:T106,"כן")+COUNTIF(L106:T106,"לא")),""))</f>
      </c>
      <c r="AL106" s="28">
        <f>IF($A106="","",IFERROR(AVERAGE(U106:V106),""))</f>
      </c>
      <c r="AM106" s="28">
        <f>IF($A106="","",IFERROR(AVERAGE(W106:X106),""))</f>
      </c>
      <c r="AN106" s="28">
        <f>IF($A106="","",IFERROR(AVERAGE(Y106:Z106),""))</f>
      </c>
      <c r="AO106" s="28">
        <f>IF($A106="","",IFERROR(AVERAGE(AA106:AB106),""))</f>
      </c>
      <c r="AP106" s="28">
        <f>IF($A106="","",IFERROR(AVERAGE(AC106),""))</f>
      </c>
      <c r="AQ106" s="28">
        <f>IF($A106="","",IFERROR(AVERAGE(U106:AC106),""))</f>
      </c>
      <c r="AR106" s="26">
        <f>IF($A106="","",IF(AND(H106="",J106=""),"לא נבדק",IF(AND(OR(H106="",H106=I106),OR(J106="",J106=K106)),"תואם","לא תואם")))</f>
      </c>
      <c r="AS106" s="26">
        <f>IF($A106="","",IF(AND(AR106&lt;&gt;"לא תואם",G106&lt;&gt;"לא ברור"),"אמין","לפרש בזהירות"))</f>
      </c>
    </row>
    <row r="107" ht="15" customHeight="1" spans="1:45" x14ac:dyDescent="0.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6">
        <f>IF($A107="","",$A107&amp;"|"&amp;$C107)</f>
      </c>
      <c r="AF107" s="27">
        <f>IF($A107="","",IFERROR(COUNTIF(L107:M107,"כן")/(COUNTIF(L107:M107,"כן")+COUNTIF(L107:M107,"לא")),""))</f>
      </c>
      <c r="AG107" s="27">
        <f>IF($A107="","",IFERROR(COUNTIF(N107:O107,"כן")/(COUNTIF(N107:O107,"כן")+COUNTIF(N107:O107,"לא")),""))</f>
      </c>
      <c r="AH107" s="27">
        <f>IF($A107="","",IFERROR(COUNTIF(P107,"כן")/(COUNTIF(P107,"כן")+COUNTIF(P107,"לא")),""))</f>
      </c>
      <c r="AI107" s="27">
        <f>IF($A107="","",IFERROR(COUNTIF(Q107:R107,"כן")/(COUNTIF(Q107:R107,"כן")+COUNTIF(Q107:R107,"לא")),""))</f>
      </c>
      <c r="AJ107" s="27">
        <f>IF($A107="","",IFERROR(COUNTIF(S107:T107,"כן")/(COUNTIF(S107:T107,"כן")+COUNTIF(S107:T107,"לא")),""))</f>
      </c>
      <c r="AK107" s="27">
        <f>IF($A107="","",IFERROR(COUNTIF(L107:T107,"כן")/(COUNTIF(L107:T107,"כן")+COUNTIF(L107:T107,"לא")),""))</f>
      </c>
      <c r="AL107" s="28">
        <f>IF($A107="","",IFERROR(AVERAGE(U107:V107),""))</f>
      </c>
      <c r="AM107" s="28">
        <f>IF($A107="","",IFERROR(AVERAGE(W107:X107),""))</f>
      </c>
      <c r="AN107" s="28">
        <f>IF($A107="","",IFERROR(AVERAGE(Y107:Z107),""))</f>
      </c>
      <c r="AO107" s="28">
        <f>IF($A107="","",IFERROR(AVERAGE(AA107:AB107),""))</f>
      </c>
      <c r="AP107" s="28">
        <f>IF($A107="","",IFERROR(AVERAGE(AC107),""))</f>
      </c>
      <c r="AQ107" s="28">
        <f>IF($A107="","",IFERROR(AVERAGE(U107:AC107),""))</f>
      </c>
      <c r="AR107" s="26">
        <f>IF($A107="","",IF(AND(H107="",J107=""),"לא נבדק",IF(AND(OR(H107="",H107=I107),OR(J107="",J107=K107)),"תואם","לא תואם")))</f>
      </c>
      <c r="AS107" s="26">
        <f>IF($A107="","",IF(AND(AR107&lt;&gt;"לא תואם",G107&lt;&gt;"לא ברור"),"אמין","לפרש בזהירות"))</f>
      </c>
    </row>
    <row r="108" ht="15" customHeight="1" spans="1:45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6">
        <f>IF($A108="","",$A108&amp;"|"&amp;$C108)</f>
      </c>
      <c r="AF108" s="27">
        <f>IF($A108="","",IFERROR(COUNTIF(L108:M108,"כן")/(COUNTIF(L108:M108,"כן")+COUNTIF(L108:M108,"לא")),""))</f>
      </c>
      <c r="AG108" s="27">
        <f>IF($A108="","",IFERROR(COUNTIF(N108:O108,"כן")/(COUNTIF(N108:O108,"כן")+COUNTIF(N108:O108,"לא")),""))</f>
      </c>
      <c r="AH108" s="27">
        <f>IF($A108="","",IFERROR(COUNTIF(P108,"כן")/(COUNTIF(P108,"כן")+COUNTIF(P108,"לא")),""))</f>
      </c>
      <c r="AI108" s="27">
        <f>IF($A108="","",IFERROR(COUNTIF(Q108:R108,"כן")/(COUNTIF(Q108:R108,"כן")+COUNTIF(Q108:R108,"לא")),""))</f>
      </c>
      <c r="AJ108" s="27">
        <f>IF($A108="","",IFERROR(COUNTIF(S108:T108,"כן")/(COUNTIF(S108:T108,"כן")+COUNTIF(S108:T108,"לא")),""))</f>
      </c>
      <c r="AK108" s="27">
        <f>IF($A108="","",IFERROR(COUNTIF(L108:T108,"כן")/(COUNTIF(L108:T108,"כן")+COUNTIF(L108:T108,"לא")),""))</f>
      </c>
      <c r="AL108" s="28">
        <f>IF($A108="","",IFERROR(AVERAGE(U108:V108),""))</f>
      </c>
      <c r="AM108" s="28">
        <f>IF($A108="","",IFERROR(AVERAGE(W108:X108),""))</f>
      </c>
      <c r="AN108" s="28">
        <f>IF($A108="","",IFERROR(AVERAGE(Y108:Z108),""))</f>
      </c>
      <c r="AO108" s="28">
        <f>IF($A108="","",IFERROR(AVERAGE(AA108:AB108),""))</f>
      </c>
      <c r="AP108" s="28">
        <f>IF($A108="","",IFERROR(AVERAGE(AC108),""))</f>
      </c>
      <c r="AQ108" s="28">
        <f>IF($A108="","",IFERROR(AVERAGE(U108:AC108),""))</f>
      </c>
      <c r="AR108" s="26">
        <f>IF($A108="","",IF(AND(H108="",J108=""),"לא נבדק",IF(AND(OR(H108="",H108=I108),OR(J108="",J108=K108)),"תואם","לא תואם")))</f>
      </c>
      <c r="AS108" s="26">
        <f>IF($A108="","",IF(AND(AR108&lt;&gt;"לא תואם",G108&lt;&gt;"לא ברור"),"אמין","לפרש בזהירות"))</f>
      </c>
    </row>
    <row r="109" ht="15" customHeight="1" spans="1:45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6">
        <f>IF($A109="","",$A109&amp;"|"&amp;$C109)</f>
      </c>
      <c r="AF109" s="27">
        <f>IF($A109="","",IFERROR(COUNTIF(L109:M109,"כן")/(COUNTIF(L109:M109,"כן")+COUNTIF(L109:M109,"לא")),""))</f>
      </c>
      <c r="AG109" s="27">
        <f>IF($A109="","",IFERROR(COUNTIF(N109:O109,"כן")/(COUNTIF(N109:O109,"כן")+COUNTIF(N109:O109,"לא")),""))</f>
      </c>
      <c r="AH109" s="27">
        <f>IF($A109="","",IFERROR(COUNTIF(P109,"כן")/(COUNTIF(P109,"כן")+COUNTIF(P109,"לא")),""))</f>
      </c>
      <c r="AI109" s="27">
        <f>IF($A109="","",IFERROR(COUNTIF(Q109:R109,"כן")/(COUNTIF(Q109:R109,"כן")+COUNTIF(Q109:R109,"לא")),""))</f>
      </c>
      <c r="AJ109" s="27">
        <f>IF($A109="","",IFERROR(COUNTIF(S109:T109,"כן")/(COUNTIF(S109:T109,"כן")+COUNTIF(S109:T109,"לא")),""))</f>
      </c>
      <c r="AK109" s="27">
        <f>IF($A109="","",IFERROR(COUNTIF(L109:T109,"כן")/(COUNTIF(L109:T109,"כן")+COUNTIF(L109:T109,"לא")),""))</f>
      </c>
      <c r="AL109" s="28">
        <f>IF($A109="","",IFERROR(AVERAGE(U109:V109),""))</f>
      </c>
      <c r="AM109" s="28">
        <f>IF($A109="","",IFERROR(AVERAGE(W109:X109),""))</f>
      </c>
      <c r="AN109" s="28">
        <f>IF($A109="","",IFERROR(AVERAGE(Y109:Z109),""))</f>
      </c>
      <c r="AO109" s="28">
        <f>IF($A109="","",IFERROR(AVERAGE(AA109:AB109),""))</f>
      </c>
      <c r="AP109" s="28">
        <f>IF($A109="","",IFERROR(AVERAGE(AC109),""))</f>
      </c>
      <c r="AQ109" s="28">
        <f>IF($A109="","",IFERROR(AVERAGE(U109:AC109),""))</f>
      </c>
      <c r="AR109" s="26">
        <f>IF($A109="","",IF(AND(H109="",J109=""),"לא נבדק",IF(AND(OR(H109="",H109=I109),OR(J109="",J109=K109)),"תואם","לא תואם")))</f>
      </c>
      <c r="AS109" s="26">
        <f>IF($A109="","",IF(AND(AR109&lt;&gt;"לא תואם",G109&lt;&gt;"לא ברור"),"אמין","לפרש בזהירות"))</f>
      </c>
    </row>
    <row r="110" ht="15" customHeight="1" spans="1:45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6">
        <f>IF($A110="","",$A110&amp;"|"&amp;$C110)</f>
      </c>
      <c r="AF110" s="27">
        <f>IF($A110="","",IFERROR(COUNTIF(L110:M110,"כן")/(COUNTIF(L110:M110,"כן")+COUNTIF(L110:M110,"לא")),""))</f>
      </c>
      <c r="AG110" s="27">
        <f>IF($A110="","",IFERROR(COUNTIF(N110:O110,"כן")/(COUNTIF(N110:O110,"כן")+COUNTIF(N110:O110,"לא")),""))</f>
      </c>
      <c r="AH110" s="27">
        <f>IF($A110="","",IFERROR(COUNTIF(P110,"כן")/(COUNTIF(P110,"כן")+COUNTIF(P110,"לא")),""))</f>
      </c>
      <c r="AI110" s="27">
        <f>IF($A110="","",IFERROR(COUNTIF(Q110:R110,"כן")/(COUNTIF(Q110:R110,"כן")+COUNTIF(Q110:R110,"לא")),""))</f>
      </c>
      <c r="AJ110" s="27">
        <f>IF($A110="","",IFERROR(COUNTIF(S110:T110,"כן")/(COUNTIF(S110:T110,"כן")+COUNTIF(S110:T110,"לא")),""))</f>
      </c>
      <c r="AK110" s="27">
        <f>IF($A110="","",IFERROR(COUNTIF(L110:T110,"כן")/(COUNTIF(L110:T110,"כן")+COUNTIF(L110:T110,"לא")),""))</f>
      </c>
      <c r="AL110" s="28">
        <f>IF($A110="","",IFERROR(AVERAGE(U110:V110),""))</f>
      </c>
      <c r="AM110" s="28">
        <f>IF($A110="","",IFERROR(AVERAGE(W110:X110),""))</f>
      </c>
      <c r="AN110" s="28">
        <f>IF($A110="","",IFERROR(AVERAGE(Y110:Z110),""))</f>
      </c>
      <c r="AO110" s="28">
        <f>IF($A110="","",IFERROR(AVERAGE(AA110:AB110),""))</f>
      </c>
      <c r="AP110" s="28">
        <f>IF($A110="","",IFERROR(AVERAGE(AC110),""))</f>
      </c>
      <c r="AQ110" s="28">
        <f>IF($A110="","",IFERROR(AVERAGE(U110:AC110),""))</f>
      </c>
      <c r="AR110" s="26">
        <f>IF($A110="","",IF(AND(H110="",J110=""),"לא נבדק",IF(AND(OR(H110="",H110=I110),OR(J110="",J110=K110)),"תואם","לא תואם")))</f>
      </c>
      <c r="AS110" s="26">
        <f>IF($A110="","",IF(AND(AR110&lt;&gt;"לא תואם",G110&lt;&gt;"לא ברור"),"אמין","לפרש בזהירות"))</f>
      </c>
    </row>
    <row r="111" ht="15" customHeight="1" spans="1:45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6">
        <f>IF($A111="","",$A111&amp;"|"&amp;$C111)</f>
      </c>
      <c r="AF111" s="27">
        <f>IF($A111="","",IFERROR(COUNTIF(L111:M111,"כן")/(COUNTIF(L111:M111,"כן")+COUNTIF(L111:M111,"לא")),""))</f>
      </c>
      <c r="AG111" s="27">
        <f>IF($A111="","",IFERROR(COUNTIF(N111:O111,"כן")/(COUNTIF(N111:O111,"כן")+COUNTIF(N111:O111,"לא")),""))</f>
      </c>
      <c r="AH111" s="27">
        <f>IF($A111="","",IFERROR(COUNTIF(P111,"כן")/(COUNTIF(P111,"כן")+COUNTIF(P111,"לא")),""))</f>
      </c>
      <c r="AI111" s="27">
        <f>IF($A111="","",IFERROR(COUNTIF(Q111:R111,"כן")/(COUNTIF(Q111:R111,"כן")+COUNTIF(Q111:R111,"לא")),""))</f>
      </c>
      <c r="AJ111" s="27">
        <f>IF($A111="","",IFERROR(COUNTIF(S111:T111,"כן")/(COUNTIF(S111:T111,"כן")+COUNTIF(S111:T111,"לא")),""))</f>
      </c>
      <c r="AK111" s="27">
        <f>IF($A111="","",IFERROR(COUNTIF(L111:T111,"כן")/(COUNTIF(L111:T111,"כן")+COUNTIF(L111:T111,"לא")),""))</f>
      </c>
      <c r="AL111" s="28">
        <f>IF($A111="","",IFERROR(AVERAGE(U111:V111),""))</f>
      </c>
      <c r="AM111" s="28">
        <f>IF($A111="","",IFERROR(AVERAGE(W111:X111),""))</f>
      </c>
      <c r="AN111" s="28">
        <f>IF($A111="","",IFERROR(AVERAGE(Y111:Z111),""))</f>
      </c>
      <c r="AO111" s="28">
        <f>IF($A111="","",IFERROR(AVERAGE(AA111:AB111),""))</f>
      </c>
      <c r="AP111" s="28">
        <f>IF($A111="","",IFERROR(AVERAGE(AC111),""))</f>
      </c>
      <c r="AQ111" s="28">
        <f>IF($A111="","",IFERROR(AVERAGE(U111:AC111),""))</f>
      </c>
      <c r="AR111" s="26">
        <f>IF($A111="","",IF(AND(H111="",J111=""),"לא נבדק",IF(AND(OR(H111="",H111=I111),OR(J111="",J111=K111)),"תואם","לא תואם")))</f>
      </c>
      <c r="AS111" s="26">
        <f>IF($A111="","",IF(AND(AR111&lt;&gt;"לא תואם",G111&lt;&gt;"לא ברור"),"אמין","לפרש בזהירות"))</f>
      </c>
    </row>
    <row r="112" ht="15" customHeight="1" spans="1:45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6">
        <f>IF($A112="","",$A112&amp;"|"&amp;$C112)</f>
      </c>
      <c r="AF112" s="27">
        <f>IF($A112="","",IFERROR(COUNTIF(L112:M112,"כן")/(COUNTIF(L112:M112,"כן")+COUNTIF(L112:M112,"לא")),""))</f>
      </c>
      <c r="AG112" s="27">
        <f>IF($A112="","",IFERROR(COUNTIF(N112:O112,"כן")/(COUNTIF(N112:O112,"כן")+COUNTIF(N112:O112,"לא")),""))</f>
      </c>
      <c r="AH112" s="27">
        <f>IF($A112="","",IFERROR(COUNTIF(P112,"כן")/(COUNTIF(P112,"כן")+COUNTIF(P112,"לא")),""))</f>
      </c>
      <c r="AI112" s="27">
        <f>IF($A112="","",IFERROR(COUNTIF(Q112:R112,"כן")/(COUNTIF(Q112:R112,"כן")+COUNTIF(Q112:R112,"לא")),""))</f>
      </c>
      <c r="AJ112" s="27">
        <f>IF($A112="","",IFERROR(COUNTIF(S112:T112,"כן")/(COUNTIF(S112:T112,"כן")+COUNTIF(S112:T112,"לא")),""))</f>
      </c>
      <c r="AK112" s="27">
        <f>IF($A112="","",IFERROR(COUNTIF(L112:T112,"כן")/(COUNTIF(L112:T112,"כן")+COUNTIF(L112:T112,"לא")),""))</f>
      </c>
      <c r="AL112" s="28">
        <f>IF($A112="","",IFERROR(AVERAGE(U112:V112),""))</f>
      </c>
      <c r="AM112" s="28">
        <f>IF($A112="","",IFERROR(AVERAGE(W112:X112),""))</f>
      </c>
      <c r="AN112" s="28">
        <f>IF($A112="","",IFERROR(AVERAGE(Y112:Z112),""))</f>
      </c>
      <c r="AO112" s="28">
        <f>IF($A112="","",IFERROR(AVERAGE(AA112:AB112),""))</f>
      </c>
      <c r="AP112" s="28">
        <f>IF($A112="","",IFERROR(AVERAGE(AC112),""))</f>
      </c>
      <c r="AQ112" s="28">
        <f>IF($A112="","",IFERROR(AVERAGE(U112:AC112),""))</f>
      </c>
      <c r="AR112" s="26">
        <f>IF($A112="","",IF(AND(H112="",J112=""),"לא נבדק",IF(AND(OR(H112="",H112=I112),OR(J112="",J112=K112)),"תואם","לא תואם")))</f>
      </c>
      <c r="AS112" s="26">
        <f>IF($A112="","",IF(AND(AR112&lt;&gt;"לא תואם",G112&lt;&gt;"לא ברור"),"אמין","לפרש בזהירות"))</f>
      </c>
    </row>
    <row r="113" ht="15" customHeight="1" spans="1:45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6">
        <f>IF($A113="","",$A113&amp;"|"&amp;$C113)</f>
      </c>
      <c r="AF113" s="27">
        <f>IF($A113="","",IFERROR(COUNTIF(L113:M113,"כן")/(COUNTIF(L113:M113,"כן")+COUNTIF(L113:M113,"לא")),""))</f>
      </c>
      <c r="AG113" s="27">
        <f>IF($A113="","",IFERROR(COUNTIF(N113:O113,"כן")/(COUNTIF(N113:O113,"כן")+COUNTIF(N113:O113,"לא")),""))</f>
      </c>
      <c r="AH113" s="27">
        <f>IF($A113="","",IFERROR(COUNTIF(P113,"כן")/(COUNTIF(P113,"כן")+COUNTIF(P113,"לא")),""))</f>
      </c>
      <c r="AI113" s="27">
        <f>IF($A113="","",IFERROR(COUNTIF(Q113:R113,"כן")/(COUNTIF(Q113:R113,"כן")+COUNTIF(Q113:R113,"לא")),""))</f>
      </c>
      <c r="AJ113" s="27">
        <f>IF($A113="","",IFERROR(COUNTIF(S113:T113,"כן")/(COUNTIF(S113:T113,"כן")+COUNTIF(S113:T113,"לא")),""))</f>
      </c>
      <c r="AK113" s="27">
        <f>IF($A113="","",IFERROR(COUNTIF(L113:T113,"כן")/(COUNTIF(L113:T113,"כן")+COUNTIF(L113:T113,"לא")),""))</f>
      </c>
      <c r="AL113" s="28">
        <f>IF($A113="","",IFERROR(AVERAGE(U113:V113),""))</f>
      </c>
      <c r="AM113" s="28">
        <f>IF($A113="","",IFERROR(AVERAGE(W113:X113),""))</f>
      </c>
      <c r="AN113" s="28">
        <f>IF($A113="","",IFERROR(AVERAGE(Y113:Z113),""))</f>
      </c>
      <c r="AO113" s="28">
        <f>IF($A113="","",IFERROR(AVERAGE(AA113:AB113),""))</f>
      </c>
      <c r="AP113" s="28">
        <f>IF($A113="","",IFERROR(AVERAGE(AC113),""))</f>
      </c>
      <c r="AQ113" s="28">
        <f>IF($A113="","",IFERROR(AVERAGE(U113:AC113),""))</f>
      </c>
      <c r="AR113" s="26">
        <f>IF($A113="","",IF(AND(H113="",J113=""),"לא נבדק",IF(AND(OR(H113="",H113=I113),OR(J113="",J113=K113)),"תואם","לא תואם")))</f>
      </c>
      <c r="AS113" s="26">
        <f>IF($A113="","",IF(AND(AR113&lt;&gt;"לא תואם",G113&lt;&gt;"לא ברור"),"אמין","לפרש בזהירות"))</f>
      </c>
    </row>
    <row r="114" ht="15" customHeight="1" spans="1:45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6">
        <f>IF($A114="","",$A114&amp;"|"&amp;$C114)</f>
      </c>
      <c r="AF114" s="27">
        <f>IF($A114="","",IFERROR(COUNTIF(L114:M114,"כן")/(COUNTIF(L114:M114,"כן")+COUNTIF(L114:M114,"לא")),""))</f>
      </c>
      <c r="AG114" s="27">
        <f>IF($A114="","",IFERROR(COUNTIF(N114:O114,"כן")/(COUNTIF(N114:O114,"כן")+COUNTIF(N114:O114,"לא")),""))</f>
      </c>
      <c r="AH114" s="27">
        <f>IF($A114="","",IFERROR(COUNTIF(P114,"כן")/(COUNTIF(P114,"כן")+COUNTIF(P114,"לא")),""))</f>
      </c>
      <c r="AI114" s="27">
        <f>IF($A114="","",IFERROR(COUNTIF(Q114:R114,"כן")/(COUNTIF(Q114:R114,"כן")+COUNTIF(Q114:R114,"לא")),""))</f>
      </c>
      <c r="AJ114" s="27">
        <f>IF($A114="","",IFERROR(COUNTIF(S114:T114,"כן")/(COUNTIF(S114:T114,"כן")+COUNTIF(S114:T114,"לא")),""))</f>
      </c>
      <c r="AK114" s="27">
        <f>IF($A114="","",IFERROR(COUNTIF(L114:T114,"כן")/(COUNTIF(L114:T114,"כן")+COUNTIF(L114:T114,"לא")),""))</f>
      </c>
      <c r="AL114" s="28">
        <f>IF($A114="","",IFERROR(AVERAGE(U114:V114),""))</f>
      </c>
      <c r="AM114" s="28">
        <f>IF($A114="","",IFERROR(AVERAGE(W114:X114),""))</f>
      </c>
      <c r="AN114" s="28">
        <f>IF($A114="","",IFERROR(AVERAGE(Y114:Z114),""))</f>
      </c>
      <c r="AO114" s="28">
        <f>IF($A114="","",IFERROR(AVERAGE(AA114:AB114),""))</f>
      </c>
      <c r="AP114" s="28">
        <f>IF($A114="","",IFERROR(AVERAGE(AC114),""))</f>
      </c>
      <c r="AQ114" s="28">
        <f>IF($A114="","",IFERROR(AVERAGE(U114:AC114),""))</f>
      </c>
      <c r="AR114" s="26">
        <f>IF($A114="","",IF(AND(H114="",J114=""),"לא נבדק",IF(AND(OR(H114="",H114=I114),OR(J114="",J114=K114)),"תואם","לא תואם")))</f>
      </c>
      <c r="AS114" s="26">
        <f>IF($A114="","",IF(AND(AR114&lt;&gt;"לא תואם",G114&lt;&gt;"לא ברור"),"אמין","לפרש בזהירות"))</f>
      </c>
    </row>
    <row r="115" ht="15" customHeight="1" spans="1:45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6">
        <f>IF($A115="","",$A115&amp;"|"&amp;$C115)</f>
      </c>
      <c r="AF115" s="27">
        <f>IF($A115="","",IFERROR(COUNTIF(L115:M115,"כן")/(COUNTIF(L115:M115,"כן")+COUNTIF(L115:M115,"לא")),""))</f>
      </c>
      <c r="AG115" s="27">
        <f>IF($A115="","",IFERROR(COUNTIF(N115:O115,"כן")/(COUNTIF(N115:O115,"כן")+COUNTIF(N115:O115,"לא")),""))</f>
      </c>
      <c r="AH115" s="27">
        <f>IF($A115="","",IFERROR(COUNTIF(P115,"כן")/(COUNTIF(P115,"כן")+COUNTIF(P115,"לא")),""))</f>
      </c>
      <c r="AI115" s="27">
        <f>IF($A115="","",IFERROR(COUNTIF(Q115:R115,"כן")/(COUNTIF(Q115:R115,"כן")+COUNTIF(Q115:R115,"לא")),""))</f>
      </c>
      <c r="AJ115" s="27">
        <f>IF($A115="","",IFERROR(COUNTIF(S115:T115,"כן")/(COUNTIF(S115:T115,"כן")+COUNTIF(S115:T115,"לא")),""))</f>
      </c>
      <c r="AK115" s="27">
        <f>IF($A115="","",IFERROR(COUNTIF(L115:T115,"כן")/(COUNTIF(L115:T115,"כן")+COUNTIF(L115:T115,"לא")),""))</f>
      </c>
      <c r="AL115" s="28">
        <f>IF($A115="","",IFERROR(AVERAGE(U115:V115),""))</f>
      </c>
      <c r="AM115" s="28">
        <f>IF($A115="","",IFERROR(AVERAGE(W115:X115),""))</f>
      </c>
      <c r="AN115" s="28">
        <f>IF($A115="","",IFERROR(AVERAGE(Y115:Z115),""))</f>
      </c>
      <c r="AO115" s="28">
        <f>IF($A115="","",IFERROR(AVERAGE(AA115:AB115),""))</f>
      </c>
      <c r="AP115" s="28">
        <f>IF($A115="","",IFERROR(AVERAGE(AC115),""))</f>
      </c>
      <c r="AQ115" s="28">
        <f>IF($A115="","",IFERROR(AVERAGE(U115:AC115),""))</f>
      </c>
      <c r="AR115" s="26">
        <f>IF($A115="","",IF(AND(H115="",J115=""),"לא נבדק",IF(AND(OR(H115="",H115=I115),OR(J115="",J115=K115)),"תואם","לא תואם")))</f>
      </c>
      <c r="AS115" s="26">
        <f>IF($A115="","",IF(AND(AR115&lt;&gt;"לא תואם",G115&lt;&gt;"לא ברור"),"אמין","לפרש בזהירות"))</f>
      </c>
    </row>
    <row r="116" ht="15" customHeight="1" spans="1:45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6">
        <f>IF($A116="","",$A116&amp;"|"&amp;$C116)</f>
      </c>
      <c r="AF116" s="27">
        <f>IF($A116="","",IFERROR(COUNTIF(L116:M116,"כן")/(COUNTIF(L116:M116,"כן")+COUNTIF(L116:M116,"לא")),""))</f>
      </c>
      <c r="AG116" s="27">
        <f>IF($A116="","",IFERROR(COUNTIF(N116:O116,"כן")/(COUNTIF(N116:O116,"כן")+COUNTIF(N116:O116,"לא")),""))</f>
      </c>
      <c r="AH116" s="27">
        <f>IF($A116="","",IFERROR(COUNTIF(P116,"כן")/(COUNTIF(P116,"כן")+COUNTIF(P116,"לא")),""))</f>
      </c>
      <c r="AI116" s="27">
        <f>IF($A116="","",IFERROR(COUNTIF(Q116:R116,"כן")/(COUNTIF(Q116:R116,"כן")+COUNTIF(Q116:R116,"לא")),""))</f>
      </c>
      <c r="AJ116" s="27">
        <f>IF($A116="","",IFERROR(COUNTIF(S116:T116,"כן")/(COUNTIF(S116:T116,"כן")+COUNTIF(S116:T116,"לא")),""))</f>
      </c>
      <c r="AK116" s="27">
        <f>IF($A116="","",IFERROR(COUNTIF(L116:T116,"כן")/(COUNTIF(L116:T116,"כן")+COUNTIF(L116:T116,"לא")),""))</f>
      </c>
      <c r="AL116" s="28">
        <f>IF($A116="","",IFERROR(AVERAGE(U116:V116),""))</f>
      </c>
      <c r="AM116" s="28">
        <f>IF($A116="","",IFERROR(AVERAGE(W116:X116),""))</f>
      </c>
      <c r="AN116" s="28">
        <f>IF($A116="","",IFERROR(AVERAGE(Y116:Z116),""))</f>
      </c>
      <c r="AO116" s="28">
        <f>IF($A116="","",IFERROR(AVERAGE(AA116:AB116),""))</f>
      </c>
      <c r="AP116" s="28">
        <f>IF($A116="","",IFERROR(AVERAGE(AC116),""))</f>
      </c>
      <c r="AQ116" s="28">
        <f>IF($A116="","",IFERROR(AVERAGE(U116:AC116),""))</f>
      </c>
      <c r="AR116" s="26">
        <f>IF($A116="","",IF(AND(H116="",J116=""),"לא נבדק",IF(AND(OR(H116="",H116=I116),OR(J116="",J116=K116)),"תואם","לא תואם")))</f>
      </c>
      <c r="AS116" s="26">
        <f>IF($A116="","",IF(AND(AR116&lt;&gt;"לא תואם",G116&lt;&gt;"לא ברור"),"אמין","לפרש בזהירות"))</f>
      </c>
    </row>
    <row r="117" ht="15" customHeight="1" spans="1:45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6">
        <f>IF($A117="","",$A117&amp;"|"&amp;$C117)</f>
      </c>
      <c r="AF117" s="27">
        <f>IF($A117="","",IFERROR(COUNTIF(L117:M117,"כן")/(COUNTIF(L117:M117,"כן")+COUNTIF(L117:M117,"לא")),""))</f>
      </c>
      <c r="AG117" s="27">
        <f>IF($A117="","",IFERROR(COUNTIF(N117:O117,"כן")/(COUNTIF(N117:O117,"כן")+COUNTIF(N117:O117,"לא")),""))</f>
      </c>
      <c r="AH117" s="27">
        <f>IF($A117="","",IFERROR(COUNTIF(P117,"כן")/(COUNTIF(P117,"כן")+COUNTIF(P117,"לא")),""))</f>
      </c>
      <c r="AI117" s="27">
        <f>IF($A117="","",IFERROR(COUNTIF(Q117:R117,"כן")/(COUNTIF(Q117:R117,"כן")+COUNTIF(Q117:R117,"לא")),""))</f>
      </c>
      <c r="AJ117" s="27">
        <f>IF($A117="","",IFERROR(COUNTIF(S117:T117,"כן")/(COUNTIF(S117:T117,"כן")+COUNTIF(S117:T117,"לא")),""))</f>
      </c>
      <c r="AK117" s="27">
        <f>IF($A117="","",IFERROR(COUNTIF(L117:T117,"כן")/(COUNTIF(L117:T117,"כן")+COUNTIF(L117:T117,"לא")),""))</f>
      </c>
      <c r="AL117" s="28">
        <f>IF($A117="","",IFERROR(AVERAGE(U117:V117),""))</f>
      </c>
      <c r="AM117" s="28">
        <f>IF($A117="","",IFERROR(AVERAGE(W117:X117),""))</f>
      </c>
      <c r="AN117" s="28">
        <f>IF($A117="","",IFERROR(AVERAGE(Y117:Z117),""))</f>
      </c>
      <c r="AO117" s="28">
        <f>IF($A117="","",IFERROR(AVERAGE(AA117:AB117),""))</f>
      </c>
      <c r="AP117" s="28">
        <f>IF($A117="","",IFERROR(AVERAGE(AC117),""))</f>
      </c>
      <c r="AQ117" s="28">
        <f>IF($A117="","",IFERROR(AVERAGE(U117:AC117),""))</f>
      </c>
      <c r="AR117" s="26">
        <f>IF($A117="","",IF(AND(H117="",J117=""),"לא נבדק",IF(AND(OR(H117="",H117=I117),OR(J117="",J117=K117)),"תואם","לא תואם")))</f>
      </c>
      <c r="AS117" s="26">
        <f>IF($A117="","",IF(AND(AR117&lt;&gt;"לא תואם",G117&lt;&gt;"לא ברור"),"אמין","לפרש בזהירות"))</f>
      </c>
    </row>
    <row r="118" ht="15" customHeight="1" spans="1:45" x14ac:dyDescent="0.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6">
        <f>IF($A118="","",$A118&amp;"|"&amp;$C118)</f>
      </c>
      <c r="AF118" s="27">
        <f>IF($A118="","",IFERROR(COUNTIF(L118:M118,"כן")/(COUNTIF(L118:M118,"כן")+COUNTIF(L118:M118,"לא")),""))</f>
      </c>
      <c r="AG118" s="27">
        <f>IF($A118="","",IFERROR(COUNTIF(N118:O118,"כן")/(COUNTIF(N118:O118,"כן")+COUNTIF(N118:O118,"לא")),""))</f>
      </c>
      <c r="AH118" s="27">
        <f>IF($A118="","",IFERROR(COUNTIF(P118,"כן")/(COUNTIF(P118,"כן")+COUNTIF(P118,"לא")),""))</f>
      </c>
      <c r="AI118" s="27">
        <f>IF($A118="","",IFERROR(COUNTIF(Q118:R118,"כן")/(COUNTIF(Q118:R118,"כן")+COUNTIF(Q118:R118,"לא")),""))</f>
      </c>
      <c r="AJ118" s="27">
        <f>IF($A118="","",IFERROR(COUNTIF(S118:T118,"כן")/(COUNTIF(S118:T118,"כן")+COUNTIF(S118:T118,"לא")),""))</f>
      </c>
      <c r="AK118" s="27">
        <f>IF($A118="","",IFERROR(COUNTIF(L118:T118,"כן")/(COUNTIF(L118:T118,"כן")+COUNTIF(L118:T118,"לא")),""))</f>
      </c>
      <c r="AL118" s="28">
        <f>IF($A118="","",IFERROR(AVERAGE(U118:V118),""))</f>
      </c>
      <c r="AM118" s="28">
        <f>IF($A118="","",IFERROR(AVERAGE(W118:X118),""))</f>
      </c>
      <c r="AN118" s="28">
        <f>IF($A118="","",IFERROR(AVERAGE(Y118:Z118),""))</f>
      </c>
      <c r="AO118" s="28">
        <f>IF($A118="","",IFERROR(AVERAGE(AA118:AB118),""))</f>
      </c>
      <c r="AP118" s="28">
        <f>IF($A118="","",IFERROR(AVERAGE(AC118),""))</f>
      </c>
      <c r="AQ118" s="28">
        <f>IF($A118="","",IFERROR(AVERAGE(U118:AC118),""))</f>
      </c>
      <c r="AR118" s="26">
        <f>IF($A118="","",IF(AND(H118="",J118=""),"לא נבדק",IF(AND(OR(H118="",H118=I118),OR(J118="",J118=K118)),"תואם","לא תואם")))</f>
      </c>
      <c r="AS118" s="26">
        <f>IF($A118="","",IF(AND(AR118&lt;&gt;"לא תואם",G118&lt;&gt;"לא ברור"),"אמין","לפרש בזהירות"))</f>
      </c>
    </row>
    <row r="119" ht="15" customHeight="1" spans="1:45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6">
        <f>IF($A119="","",$A119&amp;"|"&amp;$C119)</f>
      </c>
      <c r="AF119" s="27">
        <f>IF($A119="","",IFERROR(COUNTIF(L119:M119,"כן")/(COUNTIF(L119:M119,"כן")+COUNTIF(L119:M119,"לא")),""))</f>
      </c>
      <c r="AG119" s="27">
        <f>IF($A119="","",IFERROR(COUNTIF(N119:O119,"כן")/(COUNTIF(N119:O119,"כן")+COUNTIF(N119:O119,"לא")),""))</f>
      </c>
      <c r="AH119" s="27">
        <f>IF($A119="","",IFERROR(COUNTIF(P119,"כן")/(COUNTIF(P119,"כן")+COUNTIF(P119,"לא")),""))</f>
      </c>
      <c r="AI119" s="27">
        <f>IF($A119="","",IFERROR(COUNTIF(Q119:R119,"כן")/(COUNTIF(Q119:R119,"כן")+COUNTIF(Q119:R119,"לא")),""))</f>
      </c>
      <c r="AJ119" s="27">
        <f>IF($A119="","",IFERROR(COUNTIF(S119:T119,"כן")/(COUNTIF(S119:T119,"כן")+COUNTIF(S119:T119,"לא")),""))</f>
      </c>
      <c r="AK119" s="27">
        <f>IF($A119="","",IFERROR(COUNTIF(L119:T119,"כן")/(COUNTIF(L119:T119,"כן")+COUNTIF(L119:T119,"לא")),""))</f>
      </c>
      <c r="AL119" s="28">
        <f>IF($A119="","",IFERROR(AVERAGE(U119:V119),""))</f>
      </c>
      <c r="AM119" s="28">
        <f>IF($A119="","",IFERROR(AVERAGE(W119:X119),""))</f>
      </c>
      <c r="AN119" s="28">
        <f>IF($A119="","",IFERROR(AVERAGE(Y119:Z119),""))</f>
      </c>
      <c r="AO119" s="28">
        <f>IF($A119="","",IFERROR(AVERAGE(AA119:AB119),""))</f>
      </c>
      <c r="AP119" s="28">
        <f>IF($A119="","",IFERROR(AVERAGE(AC119),""))</f>
      </c>
      <c r="AQ119" s="28">
        <f>IF($A119="","",IFERROR(AVERAGE(U119:AC119),""))</f>
      </c>
      <c r="AR119" s="26">
        <f>IF($A119="","",IF(AND(H119="",J119=""),"לא נבדק",IF(AND(OR(H119="",H119=I119),OR(J119="",J119=K119)),"תואם","לא תואם")))</f>
      </c>
      <c r="AS119" s="26">
        <f>IF($A119="","",IF(AND(AR119&lt;&gt;"לא תואם",G119&lt;&gt;"לא ברור"),"אמין","לפרש בזהירות"))</f>
      </c>
    </row>
    <row r="120" ht="15" customHeight="1" spans="1:45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6">
        <f>IF($A120="","",$A120&amp;"|"&amp;$C120)</f>
      </c>
      <c r="AF120" s="27">
        <f>IF($A120="","",IFERROR(COUNTIF(L120:M120,"כן")/(COUNTIF(L120:M120,"כן")+COUNTIF(L120:M120,"לא")),""))</f>
      </c>
      <c r="AG120" s="27">
        <f>IF($A120="","",IFERROR(COUNTIF(N120:O120,"כן")/(COUNTIF(N120:O120,"כן")+COUNTIF(N120:O120,"לא")),""))</f>
      </c>
      <c r="AH120" s="27">
        <f>IF($A120="","",IFERROR(COUNTIF(P120,"כן")/(COUNTIF(P120,"כן")+COUNTIF(P120,"לא")),""))</f>
      </c>
      <c r="AI120" s="27">
        <f>IF($A120="","",IFERROR(COUNTIF(Q120:R120,"כן")/(COUNTIF(Q120:R120,"כן")+COUNTIF(Q120:R120,"לא")),""))</f>
      </c>
      <c r="AJ120" s="27">
        <f>IF($A120="","",IFERROR(COUNTIF(S120:T120,"כן")/(COUNTIF(S120:T120,"כן")+COUNTIF(S120:T120,"לא")),""))</f>
      </c>
      <c r="AK120" s="27">
        <f>IF($A120="","",IFERROR(COUNTIF(L120:T120,"כן")/(COUNTIF(L120:T120,"כן")+COUNTIF(L120:T120,"לא")),""))</f>
      </c>
      <c r="AL120" s="28">
        <f>IF($A120="","",IFERROR(AVERAGE(U120:V120),""))</f>
      </c>
      <c r="AM120" s="28">
        <f>IF($A120="","",IFERROR(AVERAGE(W120:X120),""))</f>
      </c>
      <c r="AN120" s="28">
        <f>IF($A120="","",IFERROR(AVERAGE(Y120:Z120),""))</f>
      </c>
      <c r="AO120" s="28">
        <f>IF($A120="","",IFERROR(AVERAGE(AA120:AB120),""))</f>
      </c>
      <c r="AP120" s="28">
        <f>IF($A120="","",IFERROR(AVERAGE(AC120),""))</f>
      </c>
      <c r="AQ120" s="28">
        <f>IF($A120="","",IFERROR(AVERAGE(U120:AC120),""))</f>
      </c>
      <c r="AR120" s="26">
        <f>IF($A120="","",IF(AND(H120="",J120=""),"לא נבדק",IF(AND(OR(H120="",H120=I120),OR(J120="",J120=K120)),"תואם","לא תואם")))</f>
      </c>
      <c r="AS120" s="26">
        <f>IF($A120="","",IF(AND(AR120&lt;&gt;"לא תואם",G120&lt;&gt;"לא ברור"),"אמין","לפרש בזהירות"))</f>
      </c>
    </row>
    <row r="121" ht="15" customHeight="1" spans="1:45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6">
        <f>IF($A121="","",$A121&amp;"|"&amp;$C121)</f>
      </c>
      <c r="AF121" s="27">
        <f>IF($A121="","",IFERROR(COUNTIF(L121:M121,"כן")/(COUNTIF(L121:M121,"כן")+COUNTIF(L121:M121,"לא")),""))</f>
      </c>
      <c r="AG121" s="27">
        <f>IF($A121="","",IFERROR(COUNTIF(N121:O121,"כן")/(COUNTIF(N121:O121,"כן")+COUNTIF(N121:O121,"לא")),""))</f>
      </c>
      <c r="AH121" s="27">
        <f>IF($A121="","",IFERROR(COUNTIF(P121,"כן")/(COUNTIF(P121,"כן")+COUNTIF(P121,"לא")),""))</f>
      </c>
      <c r="AI121" s="27">
        <f>IF($A121="","",IFERROR(COUNTIF(Q121:R121,"כן")/(COUNTIF(Q121:R121,"כן")+COUNTIF(Q121:R121,"לא")),""))</f>
      </c>
      <c r="AJ121" s="27">
        <f>IF($A121="","",IFERROR(COUNTIF(S121:T121,"כן")/(COUNTIF(S121:T121,"כן")+COUNTIF(S121:T121,"לא")),""))</f>
      </c>
      <c r="AK121" s="27">
        <f>IF($A121="","",IFERROR(COUNTIF(L121:T121,"כן")/(COUNTIF(L121:T121,"כן")+COUNTIF(L121:T121,"לא")),""))</f>
      </c>
      <c r="AL121" s="28">
        <f>IF($A121="","",IFERROR(AVERAGE(U121:V121),""))</f>
      </c>
      <c r="AM121" s="28">
        <f>IF($A121="","",IFERROR(AVERAGE(W121:X121),""))</f>
      </c>
      <c r="AN121" s="28">
        <f>IF($A121="","",IFERROR(AVERAGE(Y121:Z121),""))</f>
      </c>
      <c r="AO121" s="28">
        <f>IF($A121="","",IFERROR(AVERAGE(AA121:AB121),""))</f>
      </c>
      <c r="AP121" s="28">
        <f>IF($A121="","",IFERROR(AVERAGE(AC121),""))</f>
      </c>
      <c r="AQ121" s="28">
        <f>IF($A121="","",IFERROR(AVERAGE(U121:AC121),""))</f>
      </c>
      <c r="AR121" s="26">
        <f>IF($A121="","",IF(AND(H121="",J121=""),"לא נבדק",IF(AND(OR(H121="",H121=I121),OR(J121="",J121=K121)),"תואם","לא תואם")))</f>
      </c>
      <c r="AS121" s="26">
        <f>IF($A121="","",IF(AND(AR121&lt;&gt;"לא תואם",G121&lt;&gt;"לא ברור"),"אמין","לפרש בזהירות"))</f>
      </c>
    </row>
    <row r="122" ht="15" customHeight="1" spans="1:45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6">
        <f>IF($A122="","",$A122&amp;"|"&amp;$C122)</f>
      </c>
      <c r="AF122" s="27">
        <f>IF($A122="","",IFERROR(COUNTIF(L122:M122,"כן")/(COUNTIF(L122:M122,"כן")+COUNTIF(L122:M122,"לא")),""))</f>
      </c>
      <c r="AG122" s="27">
        <f>IF($A122="","",IFERROR(COUNTIF(N122:O122,"כן")/(COUNTIF(N122:O122,"כן")+COUNTIF(N122:O122,"לא")),""))</f>
      </c>
      <c r="AH122" s="27">
        <f>IF($A122="","",IFERROR(COUNTIF(P122,"כן")/(COUNTIF(P122,"כן")+COUNTIF(P122,"לא")),""))</f>
      </c>
      <c r="AI122" s="27">
        <f>IF($A122="","",IFERROR(COUNTIF(Q122:R122,"כן")/(COUNTIF(Q122:R122,"כן")+COUNTIF(Q122:R122,"לא")),""))</f>
      </c>
      <c r="AJ122" s="27">
        <f>IF($A122="","",IFERROR(COUNTIF(S122:T122,"כן")/(COUNTIF(S122:T122,"כן")+COUNTIF(S122:T122,"לא")),""))</f>
      </c>
      <c r="AK122" s="27">
        <f>IF($A122="","",IFERROR(COUNTIF(L122:T122,"כן")/(COUNTIF(L122:T122,"כן")+COUNTIF(L122:T122,"לא")),""))</f>
      </c>
      <c r="AL122" s="28">
        <f>IF($A122="","",IFERROR(AVERAGE(U122:V122),""))</f>
      </c>
      <c r="AM122" s="28">
        <f>IF($A122="","",IFERROR(AVERAGE(W122:X122),""))</f>
      </c>
      <c r="AN122" s="28">
        <f>IF($A122="","",IFERROR(AVERAGE(Y122:Z122),""))</f>
      </c>
      <c r="AO122" s="28">
        <f>IF($A122="","",IFERROR(AVERAGE(AA122:AB122),""))</f>
      </c>
      <c r="AP122" s="28">
        <f>IF($A122="","",IFERROR(AVERAGE(AC122),""))</f>
      </c>
      <c r="AQ122" s="28">
        <f>IF($A122="","",IFERROR(AVERAGE(U122:AC122),""))</f>
      </c>
      <c r="AR122" s="26">
        <f>IF($A122="","",IF(AND(H122="",J122=""),"לא נבדק",IF(AND(OR(H122="",H122=I122),OR(J122="",J122=K122)),"תואם","לא תואם")))</f>
      </c>
      <c r="AS122" s="26">
        <f>IF($A122="","",IF(AND(AR122&lt;&gt;"לא תואם",G122&lt;&gt;"לא ברור"),"אמין","לפרש בזהירות"))</f>
      </c>
    </row>
    <row r="123" ht="15" customHeight="1" spans="1:45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6">
        <f>IF($A123="","",$A123&amp;"|"&amp;$C123)</f>
      </c>
      <c r="AF123" s="27">
        <f>IF($A123="","",IFERROR(COUNTIF(L123:M123,"כן")/(COUNTIF(L123:M123,"כן")+COUNTIF(L123:M123,"לא")),""))</f>
      </c>
      <c r="AG123" s="27">
        <f>IF($A123="","",IFERROR(COUNTIF(N123:O123,"כן")/(COUNTIF(N123:O123,"כן")+COUNTIF(N123:O123,"לא")),""))</f>
      </c>
      <c r="AH123" s="27">
        <f>IF($A123="","",IFERROR(COUNTIF(P123,"כן")/(COUNTIF(P123,"כן")+COUNTIF(P123,"לא")),""))</f>
      </c>
      <c r="AI123" s="27">
        <f>IF($A123="","",IFERROR(COUNTIF(Q123:R123,"כן")/(COUNTIF(Q123:R123,"כן")+COUNTIF(Q123:R123,"לא")),""))</f>
      </c>
      <c r="AJ123" s="27">
        <f>IF($A123="","",IFERROR(COUNTIF(S123:T123,"כן")/(COUNTIF(S123:T123,"כן")+COUNTIF(S123:T123,"לא")),""))</f>
      </c>
      <c r="AK123" s="27">
        <f>IF($A123="","",IFERROR(COUNTIF(L123:T123,"כן")/(COUNTIF(L123:T123,"כן")+COUNTIF(L123:T123,"לא")),""))</f>
      </c>
      <c r="AL123" s="28">
        <f>IF($A123="","",IFERROR(AVERAGE(U123:V123),""))</f>
      </c>
      <c r="AM123" s="28">
        <f>IF($A123="","",IFERROR(AVERAGE(W123:X123),""))</f>
      </c>
      <c r="AN123" s="28">
        <f>IF($A123="","",IFERROR(AVERAGE(Y123:Z123),""))</f>
      </c>
      <c r="AO123" s="28">
        <f>IF($A123="","",IFERROR(AVERAGE(AA123:AB123),""))</f>
      </c>
      <c r="AP123" s="28">
        <f>IF($A123="","",IFERROR(AVERAGE(AC123),""))</f>
      </c>
      <c r="AQ123" s="28">
        <f>IF($A123="","",IFERROR(AVERAGE(U123:AC123),""))</f>
      </c>
      <c r="AR123" s="26">
        <f>IF($A123="","",IF(AND(H123="",J123=""),"לא נבדק",IF(AND(OR(H123="",H123=I123),OR(J123="",J123=K123)),"תואם","לא תואם")))</f>
      </c>
      <c r="AS123" s="26">
        <f>IF($A123="","",IF(AND(AR123&lt;&gt;"לא תואם",G123&lt;&gt;"לא ברור"),"אמין","לפרש בזהירות"))</f>
      </c>
    </row>
    <row r="124" ht="15" customHeight="1" spans="1:45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6">
        <f>IF($A124="","",$A124&amp;"|"&amp;$C124)</f>
      </c>
      <c r="AF124" s="27">
        <f>IF($A124="","",IFERROR(COUNTIF(L124:M124,"כן")/(COUNTIF(L124:M124,"כן")+COUNTIF(L124:M124,"לא")),""))</f>
      </c>
      <c r="AG124" s="27">
        <f>IF($A124="","",IFERROR(COUNTIF(N124:O124,"כן")/(COUNTIF(N124:O124,"כן")+COUNTIF(N124:O124,"לא")),""))</f>
      </c>
      <c r="AH124" s="27">
        <f>IF($A124="","",IFERROR(COUNTIF(P124,"כן")/(COUNTIF(P124,"כן")+COUNTIF(P124,"לא")),""))</f>
      </c>
      <c r="AI124" s="27">
        <f>IF($A124="","",IFERROR(COUNTIF(Q124:R124,"כן")/(COUNTIF(Q124:R124,"כן")+COUNTIF(Q124:R124,"לא")),""))</f>
      </c>
      <c r="AJ124" s="27">
        <f>IF($A124="","",IFERROR(COUNTIF(S124:T124,"כן")/(COUNTIF(S124:T124,"כן")+COUNTIF(S124:T124,"לא")),""))</f>
      </c>
      <c r="AK124" s="27">
        <f>IF($A124="","",IFERROR(COUNTIF(L124:T124,"כן")/(COUNTIF(L124:T124,"כן")+COUNTIF(L124:T124,"לא")),""))</f>
      </c>
      <c r="AL124" s="28">
        <f>IF($A124="","",IFERROR(AVERAGE(U124:V124),""))</f>
      </c>
      <c r="AM124" s="28">
        <f>IF($A124="","",IFERROR(AVERAGE(W124:X124),""))</f>
      </c>
      <c r="AN124" s="28">
        <f>IF($A124="","",IFERROR(AVERAGE(Y124:Z124),""))</f>
      </c>
      <c r="AO124" s="28">
        <f>IF($A124="","",IFERROR(AVERAGE(AA124:AB124),""))</f>
      </c>
      <c r="AP124" s="28">
        <f>IF($A124="","",IFERROR(AVERAGE(AC124),""))</f>
      </c>
      <c r="AQ124" s="28">
        <f>IF($A124="","",IFERROR(AVERAGE(U124:AC124),""))</f>
      </c>
      <c r="AR124" s="26">
        <f>IF($A124="","",IF(AND(H124="",J124=""),"לא נבדק",IF(AND(OR(H124="",H124=I124),OR(J124="",J124=K124)),"תואם","לא תואם")))</f>
      </c>
      <c r="AS124" s="26">
        <f>IF($A124="","",IF(AND(AR124&lt;&gt;"לא תואם",G124&lt;&gt;"לא ברור"),"אמין","לפרש בזהירות"))</f>
      </c>
    </row>
    <row r="125" ht="15" customHeight="1" spans="1:45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6">
        <f>IF($A125="","",$A125&amp;"|"&amp;$C125)</f>
      </c>
      <c r="AF125" s="27">
        <f>IF($A125="","",IFERROR(COUNTIF(L125:M125,"כן")/(COUNTIF(L125:M125,"כן")+COUNTIF(L125:M125,"לא")),""))</f>
      </c>
      <c r="AG125" s="27">
        <f>IF($A125="","",IFERROR(COUNTIF(N125:O125,"כן")/(COUNTIF(N125:O125,"כן")+COUNTIF(N125:O125,"לא")),""))</f>
      </c>
      <c r="AH125" s="27">
        <f>IF($A125="","",IFERROR(COUNTIF(P125,"כן")/(COUNTIF(P125,"כן")+COUNTIF(P125,"לא")),""))</f>
      </c>
      <c r="AI125" s="27">
        <f>IF($A125="","",IFERROR(COUNTIF(Q125:R125,"כן")/(COUNTIF(Q125:R125,"כן")+COUNTIF(Q125:R125,"לא")),""))</f>
      </c>
      <c r="AJ125" s="27">
        <f>IF($A125="","",IFERROR(COUNTIF(S125:T125,"כן")/(COUNTIF(S125:T125,"כן")+COUNTIF(S125:T125,"לא")),""))</f>
      </c>
      <c r="AK125" s="27">
        <f>IF($A125="","",IFERROR(COUNTIF(L125:T125,"כן")/(COUNTIF(L125:T125,"כן")+COUNTIF(L125:T125,"לא")),""))</f>
      </c>
      <c r="AL125" s="28">
        <f>IF($A125="","",IFERROR(AVERAGE(U125:V125),""))</f>
      </c>
      <c r="AM125" s="28">
        <f>IF($A125="","",IFERROR(AVERAGE(W125:X125),""))</f>
      </c>
      <c r="AN125" s="28">
        <f>IF($A125="","",IFERROR(AVERAGE(Y125:Z125),""))</f>
      </c>
      <c r="AO125" s="28">
        <f>IF($A125="","",IFERROR(AVERAGE(AA125:AB125),""))</f>
      </c>
      <c r="AP125" s="28">
        <f>IF($A125="","",IFERROR(AVERAGE(AC125),""))</f>
      </c>
      <c r="AQ125" s="28">
        <f>IF($A125="","",IFERROR(AVERAGE(U125:AC125),""))</f>
      </c>
      <c r="AR125" s="26">
        <f>IF($A125="","",IF(AND(H125="",J125=""),"לא נבדק",IF(AND(OR(H125="",H125=I125),OR(J125="",J125=K125)),"תואם","לא תואם")))</f>
      </c>
      <c r="AS125" s="26">
        <f>IF($A125="","",IF(AND(AR125&lt;&gt;"לא תואם",G125&lt;&gt;"לא ברור"),"אמין","לפרש בזהירות"))</f>
      </c>
    </row>
    <row r="126" ht="15" customHeight="1" spans="1:45" x14ac:dyDescent="0.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6">
        <f>IF($A126="","",$A126&amp;"|"&amp;$C126)</f>
      </c>
      <c r="AF126" s="27">
        <f>IF($A126="","",IFERROR(COUNTIF(L126:M126,"כן")/(COUNTIF(L126:M126,"כן")+COUNTIF(L126:M126,"לא")),""))</f>
      </c>
      <c r="AG126" s="27">
        <f>IF($A126="","",IFERROR(COUNTIF(N126:O126,"כן")/(COUNTIF(N126:O126,"כן")+COUNTIF(N126:O126,"לא")),""))</f>
      </c>
      <c r="AH126" s="27">
        <f>IF($A126="","",IFERROR(COUNTIF(P126,"כן")/(COUNTIF(P126,"כן")+COUNTIF(P126,"לא")),""))</f>
      </c>
      <c r="AI126" s="27">
        <f>IF($A126="","",IFERROR(COUNTIF(Q126:R126,"כן")/(COUNTIF(Q126:R126,"כן")+COUNTIF(Q126:R126,"לא")),""))</f>
      </c>
      <c r="AJ126" s="27">
        <f>IF($A126="","",IFERROR(COUNTIF(S126:T126,"כן")/(COUNTIF(S126:T126,"כן")+COUNTIF(S126:T126,"לא")),""))</f>
      </c>
      <c r="AK126" s="27">
        <f>IF($A126="","",IFERROR(COUNTIF(L126:T126,"כן")/(COUNTIF(L126:T126,"כן")+COUNTIF(L126:T126,"לא")),""))</f>
      </c>
      <c r="AL126" s="28">
        <f>IF($A126="","",IFERROR(AVERAGE(U126:V126),""))</f>
      </c>
      <c r="AM126" s="28">
        <f>IF($A126="","",IFERROR(AVERAGE(W126:X126),""))</f>
      </c>
      <c r="AN126" s="28">
        <f>IF($A126="","",IFERROR(AVERAGE(Y126:Z126),""))</f>
      </c>
      <c r="AO126" s="28">
        <f>IF($A126="","",IFERROR(AVERAGE(AA126:AB126),""))</f>
      </c>
      <c r="AP126" s="28">
        <f>IF($A126="","",IFERROR(AVERAGE(AC126),""))</f>
      </c>
      <c r="AQ126" s="28">
        <f>IF($A126="","",IFERROR(AVERAGE(U126:AC126),""))</f>
      </c>
      <c r="AR126" s="26">
        <f>IF($A126="","",IF(AND(H126="",J126=""),"לא נבדק",IF(AND(OR(H126="",H126=I126),OR(J126="",J126=K126)),"תואם","לא תואם")))</f>
      </c>
      <c r="AS126" s="26">
        <f>IF($A126="","",IF(AND(AR126&lt;&gt;"לא תואם",G126&lt;&gt;"לא ברור"),"אמין","לפרש בזהירות"))</f>
      </c>
    </row>
    <row r="127" ht="15" customHeight="1" spans="1:45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6">
        <f>IF($A127="","",$A127&amp;"|"&amp;$C127)</f>
      </c>
      <c r="AF127" s="27">
        <f>IF($A127="","",IFERROR(COUNTIF(L127:M127,"כן")/(COUNTIF(L127:M127,"כן")+COUNTIF(L127:M127,"לא")),""))</f>
      </c>
      <c r="AG127" s="27">
        <f>IF($A127="","",IFERROR(COUNTIF(N127:O127,"כן")/(COUNTIF(N127:O127,"כן")+COUNTIF(N127:O127,"לא")),""))</f>
      </c>
      <c r="AH127" s="27">
        <f>IF($A127="","",IFERROR(COUNTIF(P127,"כן")/(COUNTIF(P127,"כן")+COUNTIF(P127,"לא")),""))</f>
      </c>
      <c r="AI127" s="27">
        <f>IF($A127="","",IFERROR(COUNTIF(Q127:R127,"כן")/(COUNTIF(Q127:R127,"כן")+COUNTIF(Q127:R127,"לא")),""))</f>
      </c>
      <c r="AJ127" s="27">
        <f>IF($A127="","",IFERROR(COUNTIF(S127:T127,"כן")/(COUNTIF(S127:T127,"כן")+COUNTIF(S127:T127,"לא")),""))</f>
      </c>
      <c r="AK127" s="27">
        <f>IF($A127="","",IFERROR(COUNTIF(L127:T127,"כן")/(COUNTIF(L127:T127,"כן")+COUNTIF(L127:T127,"לא")),""))</f>
      </c>
      <c r="AL127" s="28">
        <f>IF($A127="","",IFERROR(AVERAGE(U127:V127),""))</f>
      </c>
      <c r="AM127" s="28">
        <f>IF($A127="","",IFERROR(AVERAGE(W127:X127),""))</f>
      </c>
      <c r="AN127" s="28">
        <f>IF($A127="","",IFERROR(AVERAGE(Y127:Z127),""))</f>
      </c>
      <c r="AO127" s="28">
        <f>IF($A127="","",IFERROR(AVERAGE(AA127:AB127),""))</f>
      </c>
      <c r="AP127" s="28">
        <f>IF($A127="","",IFERROR(AVERAGE(AC127),""))</f>
      </c>
      <c r="AQ127" s="28">
        <f>IF($A127="","",IFERROR(AVERAGE(U127:AC127),""))</f>
      </c>
      <c r="AR127" s="26">
        <f>IF($A127="","",IF(AND(H127="",J127=""),"לא נבדק",IF(AND(OR(H127="",H127=I127),OR(J127="",J127=K127)),"תואם","לא תואם")))</f>
      </c>
      <c r="AS127" s="26">
        <f>IF($A127="","",IF(AND(AR127&lt;&gt;"לא תואם",G127&lt;&gt;"לא ברור"),"אמין","לפרש בזהירות"))</f>
      </c>
    </row>
    <row r="128" ht="15" customHeight="1" spans="1:45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6">
        <f>IF($A128="","",$A128&amp;"|"&amp;$C128)</f>
      </c>
      <c r="AF128" s="27">
        <f>IF($A128="","",IFERROR(COUNTIF(L128:M128,"כן")/(COUNTIF(L128:M128,"כן")+COUNTIF(L128:M128,"לא")),""))</f>
      </c>
      <c r="AG128" s="27">
        <f>IF($A128="","",IFERROR(COUNTIF(N128:O128,"כן")/(COUNTIF(N128:O128,"כן")+COUNTIF(N128:O128,"לא")),""))</f>
      </c>
      <c r="AH128" s="27">
        <f>IF($A128="","",IFERROR(COUNTIF(P128,"כן")/(COUNTIF(P128,"כן")+COUNTIF(P128,"לא")),""))</f>
      </c>
      <c r="AI128" s="27">
        <f>IF($A128="","",IFERROR(COUNTIF(Q128:R128,"כן")/(COUNTIF(Q128:R128,"כן")+COUNTIF(Q128:R128,"לא")),""))</f>
      </c>
      <c r="AJ128" s="27">
        <f>IF($A128="","",IFERROR(COUNTIF(S128:T128,"כן")/(COUNTIF(S128:T128,"כן")+COUNTIF(S128:T128,"לא")),""))</f>
      </c>
      <c r="AK128" s="27">
        <f>IF($A128="","",IFERROR(COUNTIF(L128:T128,"כן")/(COUNTIF(L128:T128,"כן")+COUNTIF(L128:T128,"לא")),""))</f>
      </c>
      <c r="AL128" s="28">
        <f>IF($A128="","",IFERROR(AVERAGE(U128:V128),""))</f>
      </c>
      <c r="AM128" s="28">
        <f>IF($A128="","",IFERROR(AVERAGE(W128:X128),""))</f>
      </c>
      <c r="AN128" s="28">
        <f>IF($A128="","",IFERROR(AVERAGE(Y128:Z128),""))</f>
      </c>
      <c r="AO128" s="28">
        <f>IF($A128="","",IFERROR(AVERAGE(AA128:AB128),""))</f>
      </c>
      <c r="AP128" s="28">
        <f>IF($A128="","",IFERROR(AVERAGE(AC128),""))</f>
      </c>
      <c r="AQ128" s="28">
        <f>IF($A128="","",IFERROR(AVERAGE(U128:AC128),""))</f>
      </c>
      <c r="AR128" s="26">
        <f>IF($A128="","",IF(AND(H128="",J128=""),"לא נבדק",IF(AND(OR(H128="",H128=I128),OR(J128="",J128=K128)),"תואם","לא תואם")))</f>
      </c>
      <c r="AS128" s="26">
        <f>IF($A128="","",IF(AND(AR128&lt;&gt;"לא תואם",G128&lt;&gt;"לא ברור"),"אמין","לפרש בזהירות"))</f>
      </c>
    </row>
    <row r="129" ht="15" customHeight="1" spans="1:45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6">
        <f>IF($A129="","",$A129&amp;"|"&amp;$C129)</f>
      </c>
      <c r="AF129" s="27">
        <f>IF($A129="","",IFERROR(COUNTIF(L129:M129,"כן")/(COUNTIF(L129:M129,"כן")+COUNTIF(L129:M129,"לא")),""))</f>
      </c>
      <c r="AG129" s="27">
        <f>IF($A129="","",IFERROR(COUNTIF(N129:O129,"כן")/(COUNTIF(N129:O129,"כן")+COUNTIF(N129:O129,"לא")),""))</f>
      </c>
      <c r="AH129" s="27">
        <f>IF($A129="","",IFERROR(COUNTIF(P129,"כן")/(COUNTIF(P129,"כן")+COUNTIF(P129,"לא")),""))</f>
      </c>
      <c r="AI129" s="27">
        <f>IF($A129="","",IFERROR(COUNTIF(Q129:R129,"כן")/(COUNTIF(Q129:R129,"כן")+COUNTIF(Q129:R129,"לא")),""))</f>
      </c>
      <c r="AJ129" s="27">
        <f>IF($A129="","",IFERROR(COUNTIF(S129:T129,"כן")/(COUNTIF(S129:T129,"כן")+COUNTIF(S129:T129,"לא")),""))</f>
      </c>
      <c r="AK129" s="27">
        <f>IF($A129="","",IFERROR(COUNTIF(L129:T129,"כן")/(COUNTIF(L129:T129,"כן")+COUNTIF(L129:T129,"לא")),""))</f>
      </c>
      <c r="AL129" s="28">
        <f>IF($A129="","",IFERROR(AVERAGE(U129:V129),""))</f>
      </c>
      <c r="AM129" s="28">
        <f>IF($A129="","",IFERROR(AVERAGE(W129:X129),""))</f>
      </c>
      <c r="AN129" s="28">
        <f>IF($A129="","",IFERROR(AVERAGE(Y129:Z129),""))</f>
      </c>
      <c r="AO129" s="28">
        <f>IF($A129="","",IFERROR(AVERAGE(AA129:AB129),""))</f>
      </c>
      <c r="AP129" s="28">
        <f>IF($A129="","",IFERROR(AVERAGE(AC129),""))</f>
      </c>
      <c r="AQ129" s="28">
        <f>IF($A129="","",IFERROR(AVERAGE(U129:AC129),""))</f>
      </c>
      <c r="AR129" s="26">
        <f>IF($A129="","",IF(AND(H129="",J129=""),"לא נבדק",IF(AND(OR(H129="",H129=I129),OR(J129="",J129=K129)),"תואם","לא תואם")))</f>
      </c>
      <c r="AS129" s="26">
        <f>IF($A129="","",IF(AND(AR129&lt;&gt;"לא תואם",G129&lt;&gt;"לא ברור"),"אמין","לפרש בזהירות"))</f>
      </c>
    </row>
    <row r="130" ht="15" customHeight="1" spans="1:45" x14ac:dyDescent="0.2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6">
        <f>IF($A130="","",$A130&amp;"|"&amp;$C130)</f>
      </c>
      <c r="AF130" s="27">
        <f>IF($A130="","",IFERROR(COUNTIF(L130:M130,"כן")/(COUNTIF(L130:M130,"כן")+COUNTIF(L130:M130,"לא")),""))</f>
      </c>
      <c r="AG130" s="27">
        <f>IF($A130="","",IFERROR(COUNTIF(N130:O130,"כן")/(COUNTIF(N130:O130,"כן")+COUNTIF(N130:O130,"לא")),""))</f>
      </c>
      <c r="AH130" s="27">
        <f>IF($A130="","",IFERROR(COUNTIF(P130,"כן")/(COUNTIF(P130,"כן")+COUNTIF(P130,"לא")),""))</f>
      </c>
      <c r="AI130" s="27">
        <f>IF($A130="","",IFERROR(COUNTIF(Q130:R130,"כן")/(COUNTIF(Q130:R130,"כן")+COUNTIF(Q130:R130,"לא")),""))</f>
      </c>
      <c r="AJ130" s="27">
        <f>IF($A130="","",IFERROR(COUNTIF(S130:T130,"כן")/(COUNTIF(S130:T130,"כן")+COUNTIF(S130:T130,"לא")),""))</f>
      </c>
      <c r="AK130" s="27">
        <f>IF($A130="","",IFERROR(COUNTIF(L130:T130,"כן")/(COUNTIF(L130:T130,"כן")+COUNTIF(L130:T130,"לא")),""))</f>
      </c>
      <c r="AL130" s="28">
        <f>IF($A130="","",IFERROR(AVERAGE(U130:V130),""))</f>
      </c>
      <c r="AM130" s="28">
        <f>IF($A130="","",IFERROR(AVERAGE(W130:X130),""))</f>
      </c>
      <c r="AN130" s="28">
        <f>IF($A130="","",IFERROR(AVERAGE(Y130:Z130),""))</f>
      </c>
      <c r="AO130" s="28">
        <f>IF($A130="","",IFERROR(AVERAGE(AA130:AB130),""))</f>
      </c>
      <c r="AP130" s="28">
        <f>IF($A130="","",IFERROR(AVERAGE(AC130),""))</f>
      </c>
      <c r="AQ130" s="28">
        <f>IF($A130="","",IFERROR(AVERAGE(U130:AC130),""))</f>
      </c>
      <c r="AR130" s="26">
        <f>IF($A130="","",IF(AND(H130="",J130=""),"לא נבדק",IF(AND(OR(H130="",H130=I130),OR(J130="",J130=K130)),"תואם","לא תואם")))</f>
      </c>
      <c r="AS130" s="26">
        <f>IF($A130="","",IF(AND(AR130&lt;&gt;"לא תואם",G130&lt;&gt;"לא ברור"),"אמין","לפרש בזהירות"))</f>
      </c>
    </row>
    <row r="131" ht="15" customHeight="1" spans="1:45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6">
        <f>IF($A131="","",$A131&amp;"|"&amp;$C131)</f>
      </c>
      <c r="AF131" s="27">
        <f>IF($A131="","",IFERROR(COUNTIF(L131:M131,"כן")/(COUNTIF(L131:M131,"כן")+COUNTIF(L131:M131,"לא")),""))</f>
      </c>
      <c r="AG131" s="27">
        <f>IF($A131="","",IFERROR(COUNTIF(N131:O131,"כן")/(COUNTIF(N131:O131,"כן")+COUNTIF(N131:O131,"לא")),""))</f>
      </c>
      <c r="AH131" s="27">
        <f>IF($A131="","",IFERROR(COUNTIF(P131,"כן")/(COUNTIF(P131,"כן")+COUNTIF(P131,"לא")),""))</f>
      </c>
      <c r="AI131" s="27">
        <f>IF($A131="","",IFERROR(COUNTIF(Q131:R131,"כן")/(COUNTIF(Q131:R131,"כן")+COUNTIF(Q131:R131,"לא")),""))</f>
      </c>
      <c r="AJ131" s="27">
        <f>IF($A131="","",IFERROR(COUNTIF(S131:T131,"כן")/(COUNTIF(S131:T131,"כן")+COUNTIF(S131:T131,"לא")),""))</f>
      </c>
      <c r="AK131" s="27">
        <f>IF($A131="","",IFERROR(COUNTIF(L131:T131,"כן")/(COUNTIF(L131:T131,"כן")+COUNTIF(L131:T131,"לא")),""))</f>
      </c>
      <c r="AL131" s="28">
        <f>IF($A131="","",IFERROR(AVERAGE(U131:V131),""))</f>
      </c>
      <c r="AM131" s="28">
        <f>IF($A131="","",IFERROR(AVERAGE(W131:X131),""))</f>
      </c>
      <c r="AN131" s="28">
        <f>IF($A131="","",IFERROR(AVERAGE(Y131:Z131),""))</f>
      </c>
      <c r="AO131" s="28">
        <f>IF($A131="","",IFERROR(AVERAGE(AA131:AB131),""))</f>
      </c>
      <c r="AP131" s="28">
        <f>IF($A131="","",IFERROR(AVERAGE(AC131),""))</f>
      </c>
      <c r="AQ131" s="28">
        <f>IF($A131="","",IFERROR(AVERAGE(U131:AC131),""))</f>
      </c>
      <c r="AR131" s="26">
        <f>IF($A131="","",IF(AND(H131="",J131=""),"לא נבדק",IF(AND(OR(H131="",H131=I131),OR(J131="",J131=K131)),"תואם","לא תואם")))</f>
      </c>
      <c r="AS131" s="26">
        <f>IF($A131="","",IF(AND(AR131&lt;&gt;"לא תואם",G131&lt;&gt;"לא ברור"),"אמין","לפרש בזהירות"))</f>
      </c>
    </row>
    <row r="132" ht="15" customHeight="1" spans="1:45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6">
        <f>IF($A132="","",$A132&amp;"|"&amp;$C132)</f>
      </c>
      <c r="AF132" s="27">
        <f>IF($A132="","",IFERROR(COUNTIF(L132:M132,"כן")/(COUNTIF(L132:M132,"כן")+COUNTIF(L132:M132,"לא")),""))</f>
      </c>
      <c r="AG132" s="27">
        <f>IF($A132="","",IFERROR(COUNTIF(N132:O132,"כן")/(COUNTIF(N132:O132,"כן")+COUNTIF(N132:O132,"לא")),""))</f>
      </c>
      <c r="AH132" s="27">
        <f>IF($A132="","",IFERROR(COUNTIF(P132,"כן")/(COUNTIF(P132,"כן")+COUNTIF(P132,"לא")),""))</f>
      </c>
      <c r="AI132" s="27">
        <f>IF($A132="","",IFERROR(COUNTIF(Q132:R132,"כן")/(COUNTIF(Q132:R132,"כן")+COUNTIF(Q132:R132,"לא")),""))</f>
      </c>
      <c r="AJ132" s="27">
        <f>IF($A132="","",IFERROR(COUNTIF(S132:T132,"כן")/(COUNTIF(S132:T132,"כן")+COUNTIF(S132:T132,"לא")),""))</f>
      </c>
      <c r="AK132" s="27">
        <f>IF($A132="","",IFERROR(COUNTIF(L132:T132,"כן")/(COUNTIF(L132:T132,"כן")+COUNTIF(L132:T132,"לא")),""))</f>
      </c>
      <c r="AL132" s="28">
        <f>IF($A132="","",IFERROR(AVERAGE(U132:V132),""))</f>
      </c>
      <c r="AM132" s="28">
        <f>IF($A132="","",IFERROR(AVERAGE(W132:X132),""))</f>
      </c>
      <c r="AN132" s="28">
        <f>IF($A132="","",IFERROR(AVERAGE(Y132:Z132),""))</f>
      </c>
      <c r="AO132" s="28">
        <f>IF($A132="","",IFERROR(AVERAGE(AA132:AB132),""))</f>
      </c>
      <c r="AP132" s="28">
        <f>IF($A132="","",IFERROR(AVERAGE(AC132),""))</f>
      </c>
      <c r="AQ132" s="28">
        <f>IF($A132="","",IFERROR(AVERAGE(U132:AC132),""))</f>
      </c>
      <c r="AR132" s="26">
        <f>IF($A132="","",IF(AND(H132="",J132=""),"לא נבדק",IF(AND(OR(H132="",H132=I132),OR(J132="",J132=K132)),"תואם","לא תואם")))</f>
      </c>
      <c r="AS132" s="26">
        <f>IF($A132="","",IF(AND(AR132&lt;&gt;"לא תואם",G132&lt;&gt;"לא ברור"),"אמין","לפרש בזהירות"))</f>
      </c>
    </row>
    <row r="133" ht="15" customHeight="1" spans="1:45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6">
        <f>IF($A133="","",$A133&amp;"|"&amp;$C133)</f>
      </c>
      <c r="AF133" s="27">
        <f>IF($A133="","",IFERROR(COUNTIF(L133:M133,"כן")/(COUNTIF(L133:M133,"כן")+COUNTIF(L133:M133,"לא")),""))</f>
      </c>
      <c r="AG133" s="27">
        <f>IF($A133="","",IFERROR(COUNTIF(N133:O133,"כן")/(COUNTIF(N133:O133,"כן")+COUNTIF(N133:O133,"לא")),""))</f>
      </c>
      <c r="AH133" s="27">
        <f>IF($A133="","",IFERROR(COUNTIF(P133,"כן")/(COUNTIF(P133,"כן")+COUNTIF(P133,"לא")),""))</f>
      </c>
      <c r="AI133" s="27">
        <f>IF($A133="","",IFERROR(COUNTIF(Q133:R133,"כן")/(COUNTIF(Q133:R133,"כן")+COUNTIF(Q133:R133,"לא")),""))</f>
      </c>
      <c r="AJ133" s="27">
        <f>IF($A133="","",IFERROR(COUNTIF(S133:T133,"כן")/(COUNTIF(S133:T133,"כן")+COUNTIF(S133:T133,"לא")),""))</f>
      </c>
      <c r="AK133" s="27">
        <f>IF($A133="","",IFERROR(COUNTIF(L133:T133,"כן")/(COUNTIF(L133:T133,"כן")+COUNTIF(L133:T133,"לא")),""))</f>
      </c>
      <c r="AL133" s="28">
        <f>IF($A133="","",IFERROR(AVERAGE(U133:V133),""))</f>
      </c>
      <c r="AM133" s="28">
        <f>IF($A133="","",IFERROR(AVERAGE(W133:X133),""))</f>
      </c>
      <c r="AN133" s="28">
        <f>IF($A133="","",IFERROR(AVERAGE(Y133:Z133),""))</f>
      </c>
      <c r="AO133" s="28">
        <f>IF($A133="","",IFERROR(AVERAGE(AA133:AB133),""))</f>
      </c>
      <c r="AP133" s="28">
        <f>IF($A133="","",IFERROR(AVERAGE(AC133),""))</f>
      </c>
      <c r="AQ133" s="28">
        <f>IF($A133="","",IFERROR(AVERAGE(U133:AC133),""))</f>
      </c>
      <c r="AR133" s="26">
        <f>IF($A133="","",IF(AND(H133="",J133=""),"לא נבדק",IF(AND(OR(H133="",H133=I133),OR(J133="",J133=K133)),"תואם","לא תואם")))</f>
      </c>
      <c r="AS133" s="26">
        <f>IF($A133="","",IF(AND(AR133&lt;&gt;"לא תואם",G133&lt;&gt;"לא ברור"),"אמין","לפרש בזהירות"))</f>
      </c>
    </row>
    <row r="134" ht="15" customHeight="1" spans="1:45" x14ac:dyDescent="0.2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6">
        <f>IF($A134="","",$A134&amp;"|"&amp;$C134)</f>
      </c>
      <c r="AF134" s="27">
        <f>IF($A134="","",IFERROR(COUNTIF(L134:M134,"כן")/(COUNTIF(L134:M134,"כן")+COUNTIF(L134:M134,"לא")),""))</f>
      </c>
      <c r="AG134" s="27">
        <f>IF($A134="","",IFERROR(COUNTIF(N134:O134,"כן")/(COUNTIF(N134:O134,"כן")+COUNTIF(N134:O134,"לא")),""))</f>
      </c>
      <c r="AH134" s="27">
        <f>IF($A134="","",IFERROR(COUNTIF(P134,"כן")/(COUNTIF(P134,"כן")+COUNTIF(P134,"לא")),""))</f>
      </c>
      <c r="AI134" s="27">
        <f>IF($A134="","",IFERROR(COUNTIF(Q134:R134,"כן")/(COUNTIF(Q134:R134,"כן")+COUNTIF(Q134:R134,"לא")),""))</f>
      </c>
      <c r="AJ134" s="27">
        <f>IF($A134="","",IFERROR(COUNTIF(S134:T134,"כן")/(COUNTIF(S134:T134,"כן")+COUNTIF(S134:T134,"לא")),""))</f>
      </c>
      <c r="AK134" s="27">
        <f>IF($A134="","",IFERROR(COUNTIF(L134:T134,"כן")/(COUNTIF(L134:T134,"כן")+COUNTIF(L134:T134,"לא")),""))</f>
      </c>
      <c r="AL134" s="28">
        <f>IF($A134="","",IFERROR(AVERAGE(U134:V134),""))</f>
      </c>
      <c r="AM134" s="28">
        <f>IF($A134="","",IFERROR(AVERAGE(W134:X134),""))</f>
      </c>
      <c r="AN134" s="28">
        <f>IF($A134="","",IFERROR(AVERAGE(Y134:Z134),""))</f>
      </c>
      <c r="AO134" s="28">
        <f>IF($A134="","",IFERROR(AVERAGE(AA134:AB134),""))</f>
      </c>
      <c r="AP134" s="28">
        <f>IF($A134="","",IFERROR(AVERAGE(AC134),""))</f>
      </c>
      <c r="AQ134" s="28">
        <f>IF($A134="","",IFERROR(AVERAGE(U134:AC134),""))</f>
      </c>
      <c r="AR134" s="26">
        <f>IF($A134="","",IF(AND(H134="",J134=""),"לא נבדק",IF(AND(OR(H134="",H134=I134),OR(J134="",J134=K134)),"תואם","לא תואם")))</f>
      </c>
      <c r="AS134" s="26">
        <f>IF($A134="","",IF(AND(AR134&lt;&gt;"לא תואם",G134&lt;&gt;"לא ברור"),"אמין","לפרש בזהירות"))</f>
      </c>
    </row>
    <row r="135" ht="15" customHeight="1" spans="1:45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6">
        <f>IF($A135="","",$A135&amp;"|"&amp;$C135)</f>
      </c>
      <c r="AF135" s="27">
        <f>IF($A135="","",IFERROR(COUNTIF(L135:M135,"כן")/(COUNTIF(L135:M135,"כן")+COUNTIF(L135:M135,"לא")),""))</f>
      </c>
      <c r="AG135" s="27">
        <f>IF($A135="","",IFERROR(COUNTIF(N135:O135,"כן")/(COUNTIF(N135:O135,"כן")+COUNTIF(N135:O135,"לא")),""))</f>
      </c>
      <c r="AH135" s="27">
        <f>IF($A135="","",IFERROR(COUNTIF(P135,"כן")/(COUNTIF(P135,"כן")+COUNTIF(P135,"לא")),""))</f>
      </c>
      <c r="AI135" s="27">
        <f>IF($A135="","",IFERROR(COUNTIF(Q135:R135,"כן")/(COUNTIF(Q135:R135,"כן")+COUNTIF(Q135:R135,"לא")),""))</f>
      </c>
      <c r="AJ135" s="27">
        <f>IF($A135="","",IFERROR(COUNTIF(S135:T135,"כן")/(COUNTIF(S135:T135,"כן")+COUNTIF(S135:T135,"לא")),""))</f>
      </c>
      <c r="AK135" s="27">
        <f>IF($A135="","",IFERROR(COUNTIF(L135:T135,"כן")/(COUNTIF(L135:T135,"כן")+COUNTIF(L135:T135,"לא")),""))</f>
      </c>
      <c r="AL135" s="28">
        <f>IF($A135="","",IFERROR(AVERAGE(U135:V135),""))</f>
      </c>
      <c r="AM135" s="28">
        <f>IF($A135="","",IFERROR(AVERAGE(W135:X135),""))</f>
      </c>
      <c r="AN135" s="28">
        <f>IF($A135="","",IFERROR(AVERAGE(Y135:Z135),""))</f>
      </c>
      <c r="AO135" s="28">
        <f>IF($A135="","",IFERROR(AVERAGE(AA135:AB135),""))</f>
      </c>
      <c r="AP135" s="28">
        <f>IF($A135="","",IFERROR(AVERAGE(AC135),""))</f>
      </c>
      <c r="AQ135" s="28">
        <f>IF($A135="","",IFERROR(AVERAGE(U135:AC135),""))</f>
      </c>
      <c r="AR135" s="26">
        <f>IF($A135="","",IF(AND(H135="",J135=""),"לא נבדק",IF(AND(OR(H135="",H135=I135),OR(J135="",J135=K135)),"תואם","לא תואם")))</f>
      </c>
      <c r="AS135" s="26">
        <f>IF($A135="","",IF(AND(AR135&lt;&gt;"לא תואם",G135&lt;&gt;"לא ברור"),"אמין","לפרש בזהירות"))</f>
      </c>
    </row>
    <row r="136" ht="15" customHeight="1" spans="1:45" x14ac:dyDescent="0.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6">
        <f>IF($A136="","",$A136&amp;"|"&amp;$C136)</f>
      </c>
      <c r="AF136" s="27">
        <f>IF($A136="","",IFERROR(COUNTIF(L136:M136,"כן")/(COUNTIF(L136:M136,"כן")+COUNTIF(L136:M136,"לא")),""))</f>
      </c>
      <c r="AG136" s="27">
        <f>IF($A136="","",IFERROR(COUNTIF(N136:O136,"כן")/(COUNTIF(N136:O136,"כן")+COUNTIF(N136:O136,"לא")),""))</f>
      </c>
      <c r="AH136" s="27">
        <f>IF($A136="","",IFERROR(COUNTIF(P136,"כן")/(COUNTIF(P136,"כן")+COUNTIF(P136,"לא")),""))</f>
      </c>
      <c r="AI136" s="27">
        <f>IF($A136="","",IFERROR(COUNTIF(Q136:R136,"כן")/(COUNTIF(Q136:R136,"כן")+COUNTIF(Q136:R136,"לא")),""))</f>
      </c>
      <c r="AJ136" s="27">
        <f>IF($A136="","",IFERROR(COUNTIF(S136:T136,"כן")/(COUNTIF(S136:T136,"כן")+COUNTIF(S136:T136,"לא")),""))</f>
      </c>
      <c r="AK136" s="27">
        <f>IF($A136="","",IFERROR(COUNTIF(L136:T136,"כן")/(COUNTIF(L136:T136,"כן")+COUNTIF(L136:T136,"לא")),""))</f>
      </c>
      <c r="AL136" s="28">
        <f>IF($A136="","",IFERROR(AVERAGE(U136:V136),""))</f>
      </c>
      <c r="AM136" s="28">
        <f>IF($A136="","",IFERROR(AVERAGE(W136:X136),""))</f>
      </c>
      <c r="AN136" s="28">
        <f>IF($A136="","",IFERROR(AVERAGE(Y136:Z136),""))</f>
      </c>
      <c r="AO136" s="28">
        <f>IF($A136="","",IFERROR(AVERAGE(AA136:AB136),""))</f>
      </c>
      <c r="AP136" s="28">
        <f>IF($A136="","",IFERROR(AVERAGE(AC136),""))</f>
      </c>
      <c r="AQ136" s="28">
        <f>IF($A136="","",IFERROR(AVERAGE(U136:AC136),""))</f>
      </c>
      <c r="AR136" s="26">
        <f>IF($A136="","",IF(AND(H136="",J136=""),"לא נבדק",IF(AND(OR(H136="",H136=I136),OR(J136="",J136=K136)),"תואם","לא תואם")))</f>
      </c>
      <c r="AS136" s="26">
        <f>IF($A136="","",IF(AND(AR136&lt;&gt;"לא תואם",G136&lt;&gt;"לא ברור"),"אמין","לפרש בזהירות"))</f>
      </c>
    </row>
    <row r="137" ht="15" customHeight="1" spans="1:45" x14ac:dyDescent="0.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6">
        <f>IF($A137="","",$A137&amp;"|"&amp;$C137)</f>
      </c>
      <c r="AF137" s="27">
        <f>IF($A137="","",IFERROR(COUNTIF(L137:M137,"כן")/(COUNTIF(L137:M137,"כן")+COUNTIF(L137:M137,"לא")),""))</f>
      </c>
      <c r="AG137" s="27">
        <f>IF($A137="","",IFERROR(COUNTIF(N137:O137,"כן")/(COUNTIF(N137:O137,"כן")+COUNTIF(N137:O137,"לא")),""))</f>
      </c>
      <c r="AH137" s="27">
        <f>IF($A137="","",IFERROR(COUNTIF(P137,"כן")/(COUNTIF(P137,"כן")+COUNTIF(P137,"לא")),""))</f>
      </c>
      <c r="AI137" s="27">
        <f>IF($A137="","",IFERROR(COUNTIF(Q137:R137,"כן")/(COUNTIF(Q137:R137,"כן")+COUNTIF(Q137:R137,"לא")),""))</f>
      </c>
      <c r="AJ137" s="27">
        <f>IF($A137="","",IFERROR(COUNTIF(S137:T137,"כן")/(COUNTIF(S137:T137,"כן")+COUNTIF(S137:T137,"לא")),""))</f>
      </c>
      <c r="AK137" s="27">
        <f>IF($A137="","",IFERROR(COUNTIF(L137:T137,"כן")/(COUNTIF(L137:T137,"כן")+COUNTIF(L137:T137,"לא")),""))</f>
      </c>
      <c r="AL137" s="28">
        <f>IF($A137="","",IFERROR(AVERAGE(U137:V137),""))</f>
      </c>
      <c r="AM137" s="28">
        <f>IF($A137="","",IFERROR(AVERAGE(W137:X137),""))</f>
      </c>
      <c r="AN137" s="28">
        <f>IF($A137="","",IFERROR(AVERAGE(Y137:Z137),""))</f>
      </c>
      <c r="AO137" s="28">
        <f>IF($A137="","",IFERROR(AVERAGE(AA137:AB137),""))</f>
      </c>
      <c r="AP137" s="28">
        <f>IF($A137="","",IFERROR(AVERAGE(AC137),""))</f>
      </c>
      <c r="AQ137" s="28">
        <f>IF($A137="","",IFERROR(AVERAGE(U137:AC137),""))</f>
      </c>
      <c r="AR137" s="26">
        <f>IF($A137="","",IF(AND(H137="",J137=""),"לא נבדק",IF(AND(OR(H137="",H137=I137),OR(J137="",J137=K137)),"תואם","לא תואם")))</f>
      </c>
      <c r="AS137" s="26">
        <f>IF($A137="","",IF(AND(AR137&lt;&gt;"לא תואם",G137&lt;&gt;"לא ברור"),"אמין","לפרש בזהירות"))</f>
      </c>
    </row>
    <row r="138" ht="15" customHeight="1" spans="1:45" x14ac:dyDescent="0.2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6">
        <f>IF($A138="","",$A138&amp;"|"&amp;$C138)</f>
      </c>
      <c r="AF138" s="27">
        <f>IF($A138="","",IFERROR(COUNTIF(L138:M138,"כן")/(COUNTIF(L138:M138,"כן")+COUNTIF(L138:M138,"לא")),""))</f>
      </c>
      <c r="AG138" s="27">
        <f>IF($A138="","",IFERROR(COUNTIF(N138:O138,"כן")/(COUNTIF(N138:O138,"כן")+COUNTIF(N138:O138,"לא")),""))</f>
      </c>
      <c r="AH138" s="27">
        <f>IF($A138="","",IFERROR(COUNTIF(P138,"כן")/(COUNTIF(P138,"כן")+COUNTIF(P138,"לא")),""))</f>
      </c>
      <c r="AI138" s="27">
        <f>IF($A138="","",IFERROR(COUNTIF(Q138:R138,"כן")/(COUNTIF(Q138:R138,"כן")+COUNTIF(Q138:R138,"לא")),""))</f>
      </c>
      <c r="AJ138" s="27">
        <f>IF($A138="","",IFERROR(COUNTIF(S138:T138,"כן")/(COUNTIF(S138:T138,"כן")+COUNTIF(S138:T138,"לא")),""))</f>
      </c>
      <c r="AK138" s="27">
        <f>IF($A138="","",IFERROR(COUNTIF(L138:T138,"כן")/(COUNTIF(L138:T138,"כן")+COUNTIF(L138:T138,"לא")),""))</f>
      </c>
      <c r="AL138" s="28">
        <f>IF($A138="","",IFERROR(AVERAGE(U138:V138),""))</f>
      </c>
      <c r="AM138" s="28">
        <f>IF($A138="","",IFERROR(AVERAGE(W138:X138),""))</f>
      </c>
      <c r="AN138" s="28">
        <f>IF($A138="","",IFERROR(AVERAGE(Y138:Z138),""))</f>
      </c>
      <c r="AO138" s="28">
        <f>IF($A138="","",IFERROR(AVERAGE(AA138:AB138),""))</f>
      </c>
      <c r="AP138" s="28">
        <f>IF($A138="","",IFERROR(AVERAGE(AC138),""))</f>
      </c>
      <c r="AQ138" s="28">
        <f>IF($A138="","",IFERROR(AVERAGE(U138:AC138),""))</f>
      </c>
      <c r="AR138" s="26">
        <f>IF($A138="","",IF(AND(H138="",J138=""),"לא נבדק",IF(AND(OR(H138="",H138=I138),OR(J138="",J138=K138)),"תואם","לא תואם")))</f>
      </c>
      <c r="AS138" s="26">
        <f>IF($A138="","",IF(AND(AR138&lt;&gt;"לא תואם",G138&lt;&gt;"לא ברור"),"אמין","לפרש בזהירות"))</f>
      </c>
    </row>
    <row r="139" ht="15" customHeight="1" spans="1:45" x14ac:dyDescent="0.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6">
        <f>IF($A139="","",$A139&amp;"|"&amp;$C139)</f>
      </c>
      <c r="AF139" s="27">
        <f>IF($A139="","",IFERROR(COUNTIF(L139:M139,"כן")/(COUNTIF(L139:M139,"כן")+COUNTIF(L139:M139,"לא")),""))</f>
      </c>
      <c r="AG139" s="27">
        <f>IF($A139="","",IFERROR(COUNTIF(N139:O139,"כן")/(COUNTIF(N139:O139,"כן")+COUNTIF(N139:O139,"לא")),""))</f>
      </c>
      <c r="AH139" s="27">
        <f>IF($A139="","",IFERROR(COUNTIF(P139,"כן")/(COUNTIF(P139,"כן")+COUNTIF(P139,"לא")),""))</f>
      </c>
      <c r="AI139" s="27">
        <f>IF($A139="","",IFERROR(COUNTIF(Q139:R139,"כן")/(COUNTIF(Q139:R139,"כן")+COUNTIF(Q139:R139,"לא")),""))</f>
      </c>
      <c r="AJ139" s="27">
        <f>IF($A139="","",IFERROR(COUNTIF(S139:T139,"כן")/(COUNTIF(S139:T139,"כן")+COUNTIF(S139:T139,"לא")),""))</f>
      </c>
      <c r="AK139" s="27">
        <f>IF($A139="","",IFERROR(COUNTIF(L139:T139,"כן")/(COUNTIF(L139:T139,"כן")+COUNTIF(L139:T139,"לא")),""))</f>
      </c>
      <c r="AL139" s="28">
        <f>IF($A139="","",IFERROR(AVERAGE(U139:V139),""))</f>
      </c>
      <c r="AM139" s="28">
        <f>IF($A139="","",IFERROR(AVERAGE(W139:X139),""))</f>
      </c>
      <c r="AN139" s="28">
        <f>IF($A139="","",IFERROR(AVERAGE(Y139:Z139),""))</f>
      </c>
      <c r="AO139" s="28">
        <f>IF($A139="","",IFERROR(AVERAGE(AA139:AB139),""))</f>
      </c>
      <c r="AP139" s="28">
        <f>IF($A139="","",IFERROR(AVERAGE(AC139),""))</f>
      </c>
      <c r="AQ139" s="28">
        <f>IF($A139="","",IFERROR(AVERAGE(U139:AC139),""))</f>
      </c>
      <c r="AR139" s="26">
        <f>IF($A139="","",IF(AND(H139="",J139=""),"לא נבדק",IF(AND(OR(H139="",H139=I139),OR(J139="",J139=K139)),"תואם","לא תואם")))</f>
      </c>
      <c r="AS139" s="26">
        <f>IF($A139="","",IF(AND(AR139&lt;&gt;"לא תואם",G139&lt;&gt;"לא ברור"),"אמין","לפרש בזהירות"))</f>
      </c>
    </row>
    <row r="140" ht="15" customHeight="1" spans="1:45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6">
        <f>IF($A140="","",$A140&amp;"|"&amp;$C140)</f>
      </c>
      <c r="AF140" s="27">
        <f>IF($A140="","",IFERROR(COUNTIF(L140:M140,"כן")/(COUNTIF(L140:M140,"כן")+COUNTIF(L140:M140,"לא")),""))</f>
      </c>
      <c r="AG140" s="27">
        <f>IF($A140="","",IFERROR(COUNTIF(N140:O140,"כן")/(COUNTIF(N140:O140,"כן")+COUNTIF(N140:O140,"לא")),""))</f>
      </c>
      <c r="AH140" s="27">
        <f>IF($A140="","",IFERROR(COUNTIF(P140,"כן")/(COUNTIF(P140,"כן")+COUNTIF(P140,"לא")),""))</f>
      </c>
      <c r="AI140" s="27">
        <f>IF($A140="","",IFERROR(COUNTIF(Q140:R140,"כן")/(COUNTIF(Q140:R140,"כן")+COUNTIF(Q140:R140,"לא")),""))</f>
      </c>
      <c r="AJ140" s="27">
        <f>IF($A140="","",IFERROR(COUNTIF(S140:T140,"כן")/(COUNTIF(S140:T140,"כן")+COUNTIF(S140:T140,"לא")),""))</f>
      </c>
      <c r="AK140" s="27">
        <f>IF($A140="","",IFERROR(COUNTIF(L140:T140,"כן")/(COUNTIF(L140:T140,"כן")+COUNTIF(L140:T140,"לא")),""))</f>
      </c>
      <c r="AL140" s="28">
        <f>IF($A140="","",IFERROR(AVERAGE(U140:V140),""))</f>
      </c>
      <c r="AM140" s="28">
        <f>IF($A140="","",IFERROR(AVERAGE(W140:X140),""))</f>
      </c>
      <c r="AN140" s="28">
        <f>IF($A140="","",IFERROR(AVERAGE(Y140:Z140),""))</f>
      </c>
      <c r="AO140" s="28">
        <f>IF($A140="","",IFERROR(AVERAGE(AA140:AB140),""))</f>
      </c>
      <c r="AP140" s="28">
        <f>IF($A140="","",IFERROR(AVERAGE(AC140),""))</f>
      </c>
      <c r="AQ140" s="28">
        <f>IF($A140="","",IFERROR(AVERAGE(U140:AC140),""))</f>
      </c>
      <c r="AR140" s="26">
        <f>IF($A140="","",IF(AND(H140="",J140=""),"לא נבדק",IF(AND(OR(H140="",H140=I140),OR(J140="",J140=K140)),"תואם","לא תואם")))</f>
      </c>
      <c r="AS140" s="26">
        <f>IF($A140="","",IF(AND(AR140&lt;&gt;"לא תואם",G140&lt;&gt;"לא ברור"),"אמין","לפרש בזהירות"))</f>
      </c>
    </row>
    <row r="141" ht="15" customHeight="1" spans="1:45" x14ac:dyDescent="0.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6">
        <f>IF($A141="","",$A141&amp;"|"&amp;$C141)</f>
      </c>
      <c r="AF141" s="27">
        <f>IF($A141="","",IFERROR(COUNTIF(L141:M141,"כן")/(COUNTIF(L141:M141,"כן")+COUNTIF(L141:M141,"לא")),""))</f>
      </c>
      <c r="AG141" s="27">
        <f>IF($A141="","",IFERROR(COUNTIF(N141:O141,"כן")/(COUNTIF(N141:O141,"כן")+COUNTIF(N141:O141,"לא")),""))</f>
      </c>
      <c r="AH141" s="27">
        <f>IF($A141="","",IFERROR(COUNTIF(P141,"כן")/(COUNTIF(P141,"כן")+COUNTIF(P141,"לא")),""))</f>
      </c>
      <c r="AI141" s="27">
        <f>IF($A141="","",IFERROR(COUNTIF(Q141:R141,"כן")/(COUNTIF(Q141:R141,"כן")+COUNTIF(Q141:R141,"לא")),""))</f>
      </c>
      <c r="AJ141" s="27">
        <f>IF($A141="","",IFERROR(COUNTIF(S141:T141,"כן")/(COUNTIF(S141:T141,"כן")+COUNTIF(S141:T141,"לא")),""))</f>
      </c>
      <c r="AK141" s="27">
        <f>IF($A141="","",IFERROR(COUNTIF(L141:T141,"כן")/(COUNTIF(L141:T141,"כן")+COUNTIF(L141:T141,"לא")),""))</f>
      </c>
      <c r="AL141" s="28">
        <f>IF($A141="","",IFERROR(AVERAGE(U141:V141),""))</f>
      </c>
      <c r="AM141" s="28">
        <f>IF($A141="","",IFERROR(AVERAGE(W141:X141),""))</f>
      </c>
      <c r="AN141" s="28">
        <f>IF($A141="","",IFERROR(AVERAGE(Y141:Z141),""))</f>
      </c>
      <c r="AO141" s="28">
        <f>IF($A141="","",IFERROR(AVERAGE(AA141:AB141),""))</f>
      </c>
      <c r="AP141" s="28">
        <f>IF($A141="","",IFERROR(AVERAGE(AC141),""))</f>
      </c>
      <c r="AQ141" s="28">
        <f>IF($A141="","",IFERROR(AVERAGE(U141:AC141),""))</f>
      </c>
      <c r="AR141" s="26">
        <f>IF($A141="","",IF(AND(H141="",J141=""),"לא נבדק",IF(AND(OR(H141="",H141=I141),OR(J141="",J141=K141)),"תואם","לא תואם")))</f>
      </c>
      <c r="AS141" s="26">
        <f>IF($A141="","",IF(AND(AR141&lt;&gt;"לא תואם",G141&lt;&gt;"לא ברור"),"אמין","לפרש בזהירות"))</f>
      </c>
    </row>
    <row r="142" ht="15" customHeight="1" spans="1:45" x14ac:dyDescent="0.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6">
        <f>IF($A142="","",$A142&amp;"|"&amp;$C142)</f>
      </c>
      <c r="AF142" s="27">
        <f>IF($A142="","",IFERROR(COUNTIF(L142:M142,"כן")/(COUNTIF(L142:M142,"כן")+COUNTIF(L142:M142,"לא")),""))</f>
      </c>
      <c r="AG142" s="27">
        <f>IF($A142="","",IFERROR(COUNTIF(N142:O142,"כן")/(COUNTIF(N142:O142,"כן")+COUNTIF(N142:O142,"לא")),""))</f>
      </c>
      <c r="AH142" s="27">
        <f>IF($A142="","",IFERROR(COUNTIF(P142,"כן")/(COUNTIF(P142,"כן")+COUNTIF(P142,"לא")),""))</f>
      </c>
      <c r="AI142" s="27">
        <f>IF($A142="","",IFERROR(COUNTIF(Q142:R142,"כן")/(COUNTIF(Q142:R142,"כן")+COUNTIF(Q142:R142,"לא")),""))</f>
      </c>
      <c r="AJ142" s="27">
        <f>IF($A142="","",IFERROR(COUNTIF(S142:T142,"כן")/(COUNTIF(S142:T142,"כן")+COUNTIF(S142:T142,"לא")),""))</f>
      </c>
      <c r="AK142" s="27">
        <f>IF($A142="","",IFERROR(COUNTIF(L142:T142,"כן")/(COUNTIF(L142:T142,"כן")+COUNTIF(L142:T142,"לא")),""))</f>
      </c>
      <c r="AL142" s="28">
        <f>IF($A142="","",IFERROR(AVERAGE(U142:V142),""))</f>
      </c>
      <c r="AM142" s="28">
        <f>IF($A142="","",IFERROR(AVERAGE(W142:X142),""))</f>
      </c>
      <c r="AN142" s="28">
        <f>IF($A142="","",IFERROR(AVERAGE(Y142:Z142),""))</f>
      </c>
      <c r="AO142" s="28">
        <f>IF($A142="","",IFERROR(AVERAGE(AA142:AB142),""))</f>
      </c>
      <c r="AP142" s="28">
        <f>IF($A142="","",IFERROR(AVERAGE(AC142),""))</f>
      </c>
      <c r="AQ142" s="28">
        <f>IF($A142="","",IFERROR(AVERAGE(U142:AC142),""))</f>
      </c>
      <c r="AR142" s="26">
        <f>IF($A142="","",IF(AND(H142="",J142=""),"לא נבדק",IF(AND(OR(H142="",H142=I142),OR(J142="",J142=K142)),"תואם","לא תואם")))</f>
      </c>
      <c r="AS142" s="26">
        <f>IF($A142="","",IF(AND(AR142&lt;&gt;"לא תואם",G142&lt;&gt;"לא ברור"),"אמין","לפרש בזהירות"))</f>
      </c>
    </row>
    <row r="143" ht="15" customHeight="1" spans="1:45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6">
        <f>IF($A143="","",$A143&amp;"|"&amp;$C143)</f>
      </c>
      <c r="AF143" s="27">
        <f>IF($A143="","",IFERROR(COUNTIF(L143:M143,"כן")/(COUNTIF(L143:M143,"כן")+COUNTIF(L143:M143,"לא")),""))</f>
      </c>
      <c r="AG143" s="27">
        <f>IF($A143="","",IFERROR(COUNTIF(N143:O143,"כן")/(COUNTIF(N143:O143,"כן")+COUNTIF(N143:O143,"לא")),""))</f>
      </c>
      <c r="AH143" s="27">
        <f>IF($A143="","",IFERROR(COUNTIF(P143,"כן")/(COUNTIF(P143,"כן")+COUNTIF(P143,"לא")),""))</f>
      </c>
      <c r="AI143" s="27">
        <f>IF($A143="","",IFERROR(COUNTIF(Q143:R143,"כן")/(COUNTIF(Q143:R143,"כן")+COUNTIF(Q143:R143,"לא")),""))</f>
      </c>
      <c r="AJ143" s="27">
        <f>IF($A143="","",IFERROR(COUNTIF(S143:T143,"כן")/(COUNTIF(S143:T143,"כן")+COUNTIF(S143:T143,"לא")),""))</f>
      </c>
      <c r="AK143" s="27">
        <f>IF($A143="","",IFERROR(COUNTIF(L143:T143,"כן")/(COUNTIF(L143:T143,"כן")+COUNTIF(L143:T143,"לא")),""))</f>
      </c>
      <c r="AL143" s="28">
        <f>IF($A143="","",IFERROR(AVERAGE(U143:V143),""))</f>
      </c>
      <c r="AM143" s="28">
        <f>IF($A143="","",IFERROR(AVERAGE(W143:X143),""))</f>
      </c>
      <c r="AN143" s="28">
        <f>IF($A143="","",IFERROR(AVERAGE(Y143:Z143),""))</f>
      </c>
      <c r="AO143" s="28">
        <f>IF($A143="","",IFERROR(AVERAGE(AA143:AB143),""))</f>
      </c>
      <c r="AP143" s="28">
        <f>IF($A143="","",IFERROR(AVERAGE(AC143),""))</f>
      </c>
      <c r="AQ143" s="28">
        <f>IF($A143="","",IFERROR(AVERAGE(U143:AC143),""))</f>
      </c>
      <c r="AR143" s="26">
        <f>IF($A143="","",IF(AND(H143="",J143=""),"לא נבדק",IF(AND(OR(H143="",H143=I143),OR(J143="",J143=K143)),"תואם","לא תואם")))</f>
      </c>
      <c r="AS143" s="26">
        <f>IF($A143="","",IF(AND(AR143&lt;&gt;"לא תואם",G143&lt;&gt;"לא ברור"),"אמין","לפרש בזהירות"))</f>
      </c>
    </row>
    <row r="144" ht="15" customHeight="1" spans="1:45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6">
        <f>IF($A144="","",$A144&amp;"|"&amp;$C144)</f>
      </c>
      <c r="AF144" s="27">
        <f>IF($A144="","",IFERROR(COUNTIF(L144:M144,"כן")/(COUNTIF(L144:M144,"כן")+COUNTIF(L144:M144,"לא")),""))</f>
      </c>
      <c r="AG144" s="27">
        <f>IF($A144="","",IFERROR(COUNTIF(N144:O144,"כן")/(COUNTIF(N144:O144,"כן")+COUNTIF(N144:O144,"לא")),""))</f>
      </c>
      <c r="AH144" s="27">
        <f>IF($A144="","",IFERROR(COUNTIF(P144,"כן")/(COUNTIF(P144,"כן")+COUNTIF(P144,"לא")),""))</f>
      </c>
      <c r="AI144" s="27">
        <f>IF($A144="","",IFERROR(COUNTIF(Q144:R144,"כן")/(COUNTIF(Q144:R144,"כן")+COUNTIF(Q144:R144,"לא")),""))</f>
      </c>
      <c r="AJ144" s="27">
        <f>IF($A144="","",IFERROR(COUNTIF(S144:T144,"כן")/(COUNTIF(S144:T144,"כן")+COUNTIF(S144:T144,"לא")),""))</f>
      </c>
      <c r="AK144" s="27">
        <f>IF($A144="","",IFERROR(COUNTIF(L144:T144,"כן")/(COUNTIF(L144:T144,"כן")+COUNTIF(L144:T144,"לא")),""))</f>
      </c>
      <c r="AL144" s="28">
        <f>IF($A144="","",IFERROR(AVERAGE(U144:V144),""))</f>
      </c>
      <c r="AM144" s="28">
        <f>IF($A144="","",IFERROR(AVERAGE(W144:X144),""))</f>
      </c>
      <c r="AN144" s="28">
        <f>IF($A144="","",IFERROR(AVERAGE(Y144:Z144),""))</f>
      </c>
      <c r="AO144" s="28">
        <f>IF($A144="","",IFERROR(AVERAGE(AA144:AB144),""))</f>
      </c>
      <c r="AP144" s="28">
        <f>IF($A144="","",IFERROR(AVERAGE(AC144),""))</f>
      </c>
      <c r="AQ144" s="28">
        <f>IF($A144="","",IFERROR(AVERAGE(U144:AC144),""))</f>
      </c>
      <c r="AR144" s="26">
        <f>IF($A144="","",IF(AND(H144="",J144=""),"לא נבדק",IF(AND(OR(H144="",H144=I144),OR(J144="",J144=K144)),"תואם","לא תואם")))</f>
      </c>
      <c r="AS144" s="26">
        <f>IF($A144="","",IF(AND(AR144&lt;&gt;"לא תואם",G144&lt;&gt;"לא ברור"),"אמין","לפרש בזהירות"))</f>
      </c>
    </row>
    <row r="145" ht="15" customHeight="1" spans="1:45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6">
        <f>IF($A145="","",$A145&amp;"|"&amp;$C145)</f>
      </c>
      <c r="AF145" s="27">
        <f>IF($A145="","",IFERROR(COUNTIF(L145:M145,"כן")/(COUNTIF(L145:M145,"כן")+COUNTIF(L145:M145,"לא")),""))</f>
      </c>
      <c r="AG145" s="27">
        <f>IF($A145="","",IFERROR(COUNTIF(N145:O145,"כן")/(COUNTIF(N145:O145,"כן")+COUNTIF(N145:O145,"לא")),""))</f>
      </c>
      <c r="AH145" s="27">
        <f>IF($A145="","",IFERROR(COUNTIF(P145,"כן")/(COUNTIF(P145,"כן")+COUNTIF(P145,"לא")),""))</f>
      </c>
      <c r="AI145" s="27">
        <f>IF($A145="","",IFERROR(COUNTIF(Q145:R145,"כן")/(COUNTIF(Q145:R145,"כן")+COUNTIF(Q145:R145,"לא")),""))</f>
      </c>
      <c r="AJ145" s="27">
        <f>IF($A145="","",IFERROR(COUNTIF(S145:T145,"כן")/(COUNTIF(S145:T145,"כן")+COUNTIF(S145:T145,"לא")),""))</f>
      </c>
      <c r="AK145" s="27">
        <f>IF($A145="","",IFERROR(COUNTIF(L145:T145,"כן")/(COUNTIF(L145:T145,"כן")+COUNTIF(L145:T145,"לא")),""))</f>
      </c>
      <c r="AL145" s="28">
        <f>IF($A145="","",IFERROR(AVERAGE(U145:V145),""))</f>
      </c>
      <c r="AM145" s="28">
        <f>IF($A145="","",IFERROR(AVERAGE(W145:X145),""))</f>
      </c>
      <c r="AN145" s="28">
        <f>IF($A145="","",IFERROR(AVERAGE(Y145:Z145),""))</f>
      </c>
      <c r="AO145" s="28">
        <f>IF($A145="","",IFERROR(AVERAGE(AA145:AB145),""))</f>
      </c>
      <c r="AP145" s="28">
        <f>IF($A145="","",IFERROR(AVERAGE(AC145),""))</f>
      </c>
      <c r="AQ145" s="28">
        <f>IF($A145="","",IFERROR(AVERAGE(U145:AC145),""))</f>
      </c>
      <c r="AR145" s="26">
        <f>IF($A145="","",IF(AND(H145="",J145=""),"לא נבדק",IF(AND(OR(H145="",H145=I145),OR(J145="",J145=K145)),"תואם","לא תואם")))</f>
      </c>
      <c r="AS145" s="26">
        <f>IF($A145="","",IF(AND(AR145&lt;&gt;"לא תואם",G145&lt;&gt;"לא ברור"),"אמין","לפרש בזהירות"))</f>
      </c>
    </row>
    <row r="146" ht="15" customHeight="1" spans="1:45" x14ac:dyDescent="0.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6">
        <f>IF($A146="","",$A146&amp;"|"&amp;$C146)</f>
      </c>
      <c r="AF146" s="27">
        <f>IF($A146="","",IFERROR(COUNTIF(L146:M146,"כן")/(COUNTIF(L146:M146,"כן")+COUNTIF(L146:M146,"לא")),""))</f>
      </c>
      <c r="AG146" s="27">
        <f>IF($A146="","",IFERROR(COUNTIF(N146:O146,"כן")/(COUNTIF(N146:O146,"כן")+COUNTIF(N146:O146,"לא")),""))</f>
      </c>
      <c r="AH146" s="27">
        <f>IF($A146="","",IFERROR(COUNTIF(P146,"כן")/(COUNTIF(P146,"כן")+COUNTIF(P146,"לא")),""))</f>
      </c>
      <c r="AI146" s="27">
        <f>IF($A146="","",IFERROR(COUNTIF(Q146:R146,"כן")/(COUNTIF(Q146:R146,"כן")+COUNTIF(Q146:R146,"לא")),""))</f>
      </c>
      <c r="AJ146" s="27">
        <f>IF($A146="","",IFERROR(COUNTIF(S146:T146,"כן")/(COUNTIF(S146:T146,"כן")+COUNTIF(S146:T146,"לא")),""))</f>
      </c>
      <c r="AK146" s="27">
        <f>IF($A146="","",IFERROR(COUNTIF(L146:T146,"כן")/(COUNTIF(L146:T146,"כן")+COUNTIF(L146:T146,"לא")),""))</f>
      </c>
      <c r="AL146" s="28">
        <f>IF($A146="","",IFERROR(AVERAGE(U146:V146),""))</f>
      </c>
      <c r="AM146" s="28">
        <f>IF($A146="","",IFERROR(AVERAGE(W146:X146),""))</f>
      </c>
      <c r="AN146" s="28">
        <f>IF($A146="","",IFERROR(AVERAGE(Y146:Z146),""))</f>
      </c>
      <c r="AO146" s="28">
        <f>IF($A146="","",IFERROR(AVERAGE(AA146:AB146),""))</f>
      </c>
      <c r="AP146" s="28">
        <f>IF($A146="","",IFERROR(AVERAGE(AC146),""))</f>
      </c>
      <c r="AQ146" s="28">
        <f>IF($A146="","",IFERROR(AVERAGE(U146:AC146),""))</f>
      </c>
      <c r="AR146" s="26">
        <f>IF($A146="","",IF(AND(H146="",J146=""),"לא נבדק",IF(AND(OR(H146="",H146=I146),OR(J146="",J146=K146)),"תואם","לא תואם")))</f>
      </c>
      <c r="AS146" s="26">
        <f>IF($A146="","",IF(AND(AR146&lt;&gt;"לא תואם",G146&lt;&gt;"לא ברור"),"אמין","לפרש בזהירות"))</f>
      </c>
    </row>
    <row r="147" ht="15" customHeight="1" spans="1:45" x14ac:dyDescent="0.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6">
        <f>IF($A147="","",$A147&amp;"|"&amp;$C147)</f>
      </c>
      <c r="AF147" s="27">
        <f>IF($A147="","",IFERROR(COUNTIF(L147:M147,"כן")/(COUNTIF(L147:M147,"כן")+COUNTIF(L147:M147,"לא")),""))</f>
      </c>
      <c r="AG147" s="27">
        <f>IF($A147="","",IFERROR(COUNTIF(N147:O147,"כן")/(COUNTIF(N147:O147,"כן")+COUNTIF(N147:O147,"לא")),""))</f>
      </c>
      <c r="AH147" s="27">
        <f>IF($A147="","",IFERROR(COUNTIF(P147,"כן")/(COUNTIF(P147,"כן")+COUNTIF(P147,"לא")),""))</f>
      </c>
      <c r="AI147" s="27">
        <f>IF($A147="","",IFERROR(COUNTIF(Q147:R147,"כן")/(COUNTIF(Q147:R147,"כן")+COUNTIF(Q147:R147,"לא")),""))</f>
      </c>
      <c r="AJ147" s="27">
        <f>IF($A147="","",IFERROR(COUNTIF(S147:T147,"כן")/(COUNTIF(S147:T147,"כן")+COUNTIF(S147:T147,"לא")),""))</f>
      </c>
      <c r="AK147" s="27">
        <f>IF($A147="","",IFERROR(COUNTIF(L147:T147,"כן")/(COUNTIF(L147:T147,"כן")+COUNTIF(L147:T147,"לא")),""))</f>
      </c>
      <c r="AL147" s="28">
        <f>IF($A147="","",IFERROR(AVERAGE(U147:V147),""))</f>
      </c>
      <c r="AM147" s="28">
        <f>IF($A147="","",IFERROR(AVERAGE(W147:X147),""))</f>
      </c>
      <c r="AN147" s="28">
        <f>IF($A147="","",IFERROR(AVERAGE(Y147:Z147),""))</f>
      </c>
      <c r="AO147" s="28">
        <f>IF($A147="","",IFERROR(AVERAGE(AA147:AB147),""))</f>
      </c>
      <c r="AP147" s="28">
        <f>IF($A147="","",IFERROR(AVERAGE(AC147),""))</f>
      </c>
      <c r="AQ147" s="28">
        <f>IF($A147="","",IFERROR(AVERAGE(U147:AC147),""))</f>
      </c>
      <c r="AR147" s="26">
        <f>IF($A147="","",IF(AND(H147="",J147=""),"לא נבדק",IF(AND(OR(H147="",H147=I147),OR(J147="",J147=K147)),"תואם","לא תואם")))</f>
      </c>
      <c r="AS147" s="26">
        <f>IF($A147="","",IF(AND(AR147&lt;&gt;"לא תואם",G147&lt;&gt;"לא ברור"),"אמין","לפרש בזהירות"))</f>
      </c>
    </row>
    <row r="148" ht="15" customHeight="1" spans="1:45" x14ac:dyDescent="0.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6">
        <f>IF($A148="","",$A148&amp;"|"&amp;$C148)</f>
      </c>
      <c r="AF148" s="27">
        <f>IF($A148="","",IFERROR(COUNTIF(L148:M148,"כן")/(COUNTIF(L148:M148,"כן")+COUNTIF(L148:M148,"לא")),""))</f>
      </c>
      <c r="AG148" s="27">
        <f>IF($A148="","",IFERROR(COUNTIF(N148:O148,"כן")/(COUNTIF(N148:O148,"כן")+COUNTIF(N148:O148,"לא")),""))</f>
      </c>
      <c r="AH148" s="27">
        <f>IF($A148="","",IFERROR(COUNTIF(P148,"כן")/(COUNTIF(P148,"כן")+COUNTIF(P148,"לא")),""))</f>
      </c>
      <c r="AI148" s="27">
        <f>IF($A148="","",IFERROR(COUNTIF(Q148:R148,"כן")/(COUNTIF(Q148:R148,"כן")+COUNTIF(Q148:R148,"לא")),""))</f>
      </c>
      <c r="AJ148" s="27">
        <f>IF($A148="","",IFERROR(COUNTIF(S148:T148,"כן")/(COUNTIF(S148:T148,"כן")+COUNTIF(S148:T148,"לא")),""))</f>
      </c>
      <c r="AK148" s="27">
        <f>IF($A148="","",IFERROR(COUNTIF(L148:T148,"כן")/(COUNTIF(L148:T148,"כן")+COUNTIF(L148:T148,"לא")),""))</f>
      </c>
      <c r="AL148" s="28">
        <f>IF($A148="","",IFERROR(AVERAGE(U148:V148),""))</f>
      </c>
      <c r="AM148" s="28">
        <f>IF($A148="","",IFERROR(AVERAGE(W148:X148),""))</f>
      </c>
      <c r="AN148" s="28">
        <f>IF($A148="","",IFERROR(AVERAGE(Y148:Z148),""))</f>
      </c>
      <c r="AO148" s="28">
        <f>IF($A148="","",IFERROR(AVERAGE(AA148:AB148),""))</f>
      </c>
      <c r="AP148" s="28">
        <f>IF($A148="","",IFERROR(AVERAGE(AC148),""))</f>
      </c>
      <c r="AQ148" s="28">
        <f>IF($A148="","",IFERROR(AVERAGE(U148:AC148),""))</f>
      </c>
      <c r="AR148" s="26">
        <f>IF($A148="","",IF(AND(H148="",J148=""),"לא נבדק",IF(AND(OR(H148="",H148=I148),OR(J148="",J148=K148)),"תואם","לא תואם")))</f>
      </c>
      <c r="AS148" s="26">
        <f>IF($A148="","",IF(AND(AR148&lt;&gt;"לא תואם",G148&lt;&gt;"לא ברור"),"אמין","לפרש בזהירות"))</f>
      </c>
    </row>
    <row r="149" ht="15" customHeight="1" spans="1:45" x14ac:dyDescent="0.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6">
        <f>IF($A149="","",$A149&amp;"|"&amp;$C149)</f>
      </c>
      <c r="AF149" s="27">
        <f>IF($A149="","",IFERROR(COUNTIF(L149:M149,"כן")/(COUNTIF(L149:M149,"כן")+COUNTIF(L149:M149,"לא")),""))</f>
      </c>
      <c r="AG149" s="27">
        <f>IF($A149="","",IFERROR(COUNTIF(N149:O149,"כן")/(COUNTIF(N149:O149,"כן")+COUNTIF(N149:O149,"לא")),""))</f>
      </c>
      <c r="AH149" s="27">
        <f>IF($A149="","",IFERROR(COUNTIF(P149,"כן")/(COUNTIF(P149,"כן")+COUNTIF(P149,"לא")),""))</f>
      </c>
      <c r="AI149" s="27">
        <f>IF($A149="","",IFERROR(COUNTIF(Q149:R149,"כן")/(COUNTIF(Q149:R149,"כן")+COUNTIF(Q149:R149,"לא")),""))</f>
      </c>
      <c r="AJ149" s="27">
        <f>IF($A149="","",IFERROR(COUNTIF(S149:T149,"כן")/(COUNTIF(S149:T149,"כן")+COUNTIF(S149:T149,"לא")),""))</f>
      </c>
      <c r="AK149" s="27">
        <f>IF($A149="","",IFERROR(COUNTIF(L149:T149,"כן")/(COUNTIF(L149:T149,"כן")+COUNTIF(L149:T149,"לא")),""))</f>
      </c>
      <c r="AL149" s="28">
        <f>IF($A149="","",IFERROR(AVERAGE(U149:V149),""))</f>
      </c>
      <c r="AM149" s="28">
        <f>IF($A149="","",IFERROR(AVERAGE(W149:X149),""))</f>
      </c>
      <c r="AN149" s="28">
        <f>IF($A149="","",IFERROR(AVERAGE(Y149:Z149),""))</f>
      </c>
      <c r="AO149" s="28">
        <f>IF($A149="","",IFERROR(AVERAGE(AA149:AB149),""))</f>
      </c>
      <c r="AP149" s="28">
        <f>IF($A149="","",IFERROR(AVERAGE(AC149),""))</f>
      </c>
      <c r="AQ149" s="28">
        <f>IF($A149="","",IFERROR(AVERAGE(U149:AC149),""))</f>
      </c>
      <c r="AR149" s="26">
        <f>IF($A149="","",IF(AND(H149="",J149=""),"לא נבדק",IF(AND(OR(H149="",H149=I149),OR(J149="",J149=K149)),"תואם","לא תואם")))</f>
      </c>
      <c r="AS149" s="26">
        <f>IF($A149="","",IF(AND(AR149&lt;&gt;"לא תואם",G149&lt;&gt;"לא ברור"),"אמין","לפרש בזהירות"))</f>
      </c>
    </row>
    <row r="150" ht="15" customHeight="1" spans="1:45" x14ac:dyDescent="0.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6">
        <f>IF($A150="","",$A150&amp;"|"&amp;$C150)</f>
      </c>
      <c r="AF150" s="27">
        <f>IF($A150="","",IFERROR(COUNTIF(L150:M150,"כן")/(COUNTIF(L150:M150,"כן")+COUNTIF(L150:M150,"לא")),""))</f>
      </c>
      <c r="AG150" s="27">
        <f>IF($A150="","",IFERROR(COUNTIF(N150:O150,"כן")/(COUNTIF(N150:O150,"כן")+COUNTIF(N150:O150,"לא")),""))</f>
      </c>
      <c r="AH150" s="27">
        <f>IF($A150="","",IFERROR(COUNTIF(P150,"כן")/(COUNTIF(P150,"כן")+COUNTIF(P150,"לא")),""))</f>
      </c>
      <c r="AI150" s="27">
        <f>IF($A150="","",IFERROR(COUNTIF(Q150:R150,"כן")/(COUNTIF(Q150:R150,"כן")+COUNTIF(Q150:R150,"לא")),""))</f>
      </c>
      <c r="AJ150" s="27">
        <f>IF($A150="","",IFERROR(COUNTIF(S150:T150,"כן")/(COUNTIF(S150:T150,"כן")+COUNTIF(S150:T150,"לא")),""))</f>
      </c>
      <c r="AK150" s="27">
        <f>IF($A150="","",IFERROR(COUNTIF(L150:T150,"כן")/(COUNTIF(L150:T150,"כן")+COUNTIF(L150:T150,"לא")),""))</f>
      </c>
      <c r="AL150" s="28">
        <f>IF($A150="","",IFERROR(AVERAGE(U150:V150),""))</f>
      </c>
      <c r="AM150" s="28">
        <f>IF($A150="","",IFERROR(AVERAGE(W150:X150),""))</f>
      </c>
      <c r="AN150" s="28">
        <f>IF($A150="","",IFERROR(AVERAGE(Y150:Z150),""))</f>
      </c>
      <c r="AO150" s="28">
        <f>IF($A150="","",IFERROR(AVERAGE(AA150:AB150),""))</f>
      </c>
      <c r="AP150" s="28">
        <f>IF($A150="","",IFERROR(AVERAGE(AC150),""))</f>
      </c>
      <c r="AQ150" s="28">
        <f>IF($A150="","",IFERROR(AVERAGE(U150:AC150),""))</f>
      </c>
      <c r="AR150" s="26">
        <f>IF($A150="","",IF(AND(H150="",J150=""),"לא נבדק",IF(AND(OR(H150="",H150=I150),OR(J150="",J150=K150)),"תואם","לא תואם")))</f>
      </c>
      <c r="AS150" s="26">
        <f>IF($A150="","",IF(AND(AR150&lt;&gt;"לא תואם",G150&lt;&gt;"לא ברור"),"אמין","לפרש בזהירות"))</f>
      </c>
    </row>
    <row r="151" ht="15" customHeight="1" spans="1:45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6">
        <f>IF($A151="","",$A151&amp;"|"&amp;$C151)</f>
      </c>
      <c r="AF151" s="27">
        <f>IF($A151="","",IFERROR(COUNTIF(L151:M151,"כן")/(COUNTIF(L151:M151,"כן")+COUNTIF(L151:M151,"לא")),""))</f>
      </c>
      <c r="AG151" s="27">
        <f>IF($A151="","",IFERROR(COUNTIF(N151:O151,"כן")/(COUNTIF(N151:O151,"כן")+COUNTIF(N151:O151,"לא")),""))</f>
      </c>
      <c r="AH151" s="27">
        <f>IF($A151="","",IFERROR(COUNTIF(P151,"כן")/(COUNTIF(P151,"כן")+COUNTIF(P151,"לא")),""))</f>
      </c>
      <c r="AI151" s="27">
        <f>IF($A151="","",IFERROR(COUNTIF(Q151:R151,"כן")/(COUNTIF(Q151:R151,"כן")+COUNTIF(Q151:R151,"לא")),""))</f>
      </c>
      <c r="AJ151" s="27">
        <f>IF($A151="","",IFERROR(COUNTIF(S151:T151,"כן")/(COUNTIF(S151:T151,"כן")+COUNTIF(S151:T151,"לא")),""))</f>
      </c>
      <c r="AK151" s="27">
        <f>IF($A151="","",IFERROR(COUNTIF(L151:T151,"כן")/(COUNTIF(L151:T151,"כן")+COUNTIF(L151:T151,"לא")),""))</f>
      </c>
      <c r="AL151" s="28">
        <f>IF($A151="","",IFERROR(AVERAGE(U151:V151),""))</f>
      </c>
      <c r="AM151" s="28">
        <f>IF($A151="","",IFERROR(AVERAGE(W151:X151),""))</f>
      </c>
      <c r="AN151" s="28">
        <f>IF($A151="","",IFERROR(AVERAGE(Y151:Z151),""))</f>
      </c>
      <c r="AO151" s="28">
        <f>IF($A151="","",IFERROR(AVERAGE(AA151:AB151),""))</f>
      </c>
      <c r="AP151" s="28">
        <f>IF($A151="","",IFERROR(AVERAGE(AC151),""))</f>
      </c>
      <c r="AQ151" s="28">
        <f>IF($A151="","",IFERROR(AVERAGE(U151:AC151),""))</f>
      </c>
      <c r="AR151" s="26">
        <f>IF($A151="","",IF(AND(H151="",J151=""),"לא נבדק",IF(AND(OR(H151="",H151=I151),OR(J151="",J151=K151)),"תואם","לא תואם")))</f>
      </c>
      <c r="AS151" s="26">
        <f>IF($A151="","",IF(AND(AR151&lt;&gt;"לא תואם",G151&lt;&gt;"לא ברור"),"אמין","לפרש בזהירות"))</f>
      </c>
    </row>
    <row r="152" ht="15" customHeight="1" spans="1:45" x14ac:dyDescent="0.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6">
        <f>IF($A152="","",$A152&amp;"|"&amp;$C152)</f>
      </c>
      <c r="AF152" s="27">
        <f>IF($A152="","",IFERROR(COUNTIF(L152:M152,"כן")/(COUNTIF(L152:M152,"כן")+COUNTIF(L152:M152,"לא")),""))</f>
      </c>
      <c r="AG152" s="27">
        <f>IF($A152="","",IFERROR(COUNTIF(N152:O152,"כן")/(COUNTIF(N152:O152,"כן")+COUNTIF(N152:O152,"לא")),""))</f>
      </c>
      <c r="AH152" s="27">
        <f>IF($A152="","",IFERROR(COUNTIF(P152,"כן")/(COUNTIF(P152,"כן")+COUNTIF(P152,"לא")),""))</f>
      </c>
      <c r="AI152" s="27">
        <f>IF($A152="","",IFERROR(COUNTIF(Q152:R152,"כן")/(COUNTIF(Q152:R152,"כן")+COUNTIF(Q152:R152,"לא")),""))</f>
      </c>
      <c r="AJ152" s="27">
        <f>IF($A152="","",IFERROR(COUNTIF(S152:T152,"כן")/(COUNTIF(S152:T152,"כן")+COUNTIF(S152:T152,"לא")),""))</f>
      </c>
      <c r="AK152" s="27">
        <f>IF($A152="","",IFERROR(COUNTIF(L152:T152,"כן")/(COUNTIF(L152:T152,"כן")+COUNTIF(L152:T152,"לא")),""))</f>
      </c>
      <c r="AL152" s="28">
        <f>IF($A152="","",IFERROR(AVERAGE(U152:V152),""))</f>
      </c>
      <c r="AM152" s="28">
        <f>IF($A152="","",IFERROR(AVERAGE(W152:X152),""))</f>
      </c>
      <c r="AN152" s="28">
        <f>IF($A152="","",IFERROR(AVERAGE(Y152:Z152),""))</f>
      </c>
      <c r="AO152" s="28">
        <f>IF($A152="","",IFERROR(AVERAGE(AA152:AB152),""))</f>
      </c>
      <c r="AP152" s="28">
        <f>IF($A152="","",IFERROR(AVERAGE(AC152),""))</f>
      </c>
      <c r="AQ152" s="28">
        <f>IF($A152="","",IFERROR(AVERAGE(U152:AC152),""))</f>
      </c>
      <c r="AR152" s="26">
        <f>IF($A152="","",IF(AND(H152="",J152=""),"לא נבדק",IF(AND(OR(H152="",H152=I152),OR(J152="",J152=K152)),"תואם","לא תואם")))</f>
      </c>
      <c r="AS152" s="26">
        <f>IF($A152="","",IF(AND(AR152&lt;&gt;"לא תואם",G152&lt;&gt;"לא ברור"),"אמין","לפרש בזהירות"))</f>
      </c>
    </row>
    <row r="153" ht="15" customHeight="1" spans="1:45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6">
        <f>IF($A153="","",$A153&amp;"|"&amp;$C153)</f>
      </c>
      <c r="AF153" s="27">
        <f>IF($A153="","",IFERROR(COUNTIF(L153:M153,"כן")/(COUNTIF(L153:M153,"כן")+COUNTIF(L153:M153,"לא")),""))</f>
      </c>
      <c r="AG153" s="27">
        <f>IF($A153="","",IFERROR(COUNTIF(N153:O153,"כן")/(COUNTIF(N153:O153,"כן")+COUNTIF(N153:O153,"לא")),""))</f>
      </c>
      <c r="AH153" s="27">
        <f>IF($A153="","",IFERROR(COUNTIF(P153,"כן")/(COUNTIF(P153,"כן")+COUNTIF(P153,"לא")),""))</f>
      </c>
      <c r="AI153" s="27">
        <f>IF($A153="","",IFERROR(COUNTIF(Q153:R153,"כן")/(COUNTIF(Q153:R153,"כן")+COUNTIF(Q153:R153,"לא")),""))</f>
      </c>
      <c r="AJ153" s="27">
        <f>IF($A153="","",IFERROR(COUNTIF(S153:T153,"כן")/(COUNTIF(S153:T153,"כן")+COUNTIF(S153:T153,"לא")),""))</f>
      </c>
      <c r="AK153" s="27">
        <f>IF($A153="","",IFERROR(COUNTIF(L153:T153,"כן")/(COUNTIF(L153:T153,"כן")+COUNTIF(L153:T153,"לא")),""))</f>
      </c>
      <c r="AL153" s="28">
        <f>IF($A153="","",IFERROR(AVERAGE(U153:V153),""))</f>
      </c>
      <c r="AM153" s="28">
        <f>IF($A153="","",IFERROR(AVERAGE(W153:X153),""))</f>
      </c>
      <c r="AN153" s="28">
        <f>IF($A153="","",IFERROR(AVERAGE(Y153:Z153),""))</f>
      </c>
      <c r="AO153" s="28">
        <f>IF($A153="","",IFERROR(AVERAGE(AA153:AB153),""))</f>
      </c>
      <c r="AP153" s="28">
        <f>IF($A153="","",IFERROR(AVERAGE(AC153),""))</f>
      </c>
      <c r="AQ153" s="28">
        <f>IF($A153="","",IFERROR(AVERAGE(U153:AC153),""))</f>
      </c>
      <c r="AR153" s="26">
        <f>IF($A153="","",IF(AND(H153="",J153=""),"לא נבדק",IF(AND(OR(H153="",H153=I153),OR(J153="",J153=K153)),"תואם","לא תואם")))</f>
      </c>
      <c r="AS153" s="26">
        <f>IF($A153="","",IF(AND(AR153&lt;&gt;"לא תואם",G153&lt;&gt;"לא ברור"),"אמין","לפרש בזהירות"))</f>
      </c>
    </row>
    <row r="154" ht="15" customHeight="1" spans="1:45" x14ac:dyDescent="0.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6">
        <f>IF($A154="","",$A154&amp;"|"&amp;$C154)</f>
      </c>
      <c r="AF154" s="27">
        <f>IF($A154="","",IFERROR(COUNTIF(L154:M154,"כן")/(COUNTIF(L154:M154,"כן")+COUNTIF(L154:M154,"לא")),""))</f>
      </c>
      <c r="AG154" s="27">
        <f>IF($A154="","",IFERROR(COUNTIF(N154:O154,"כן")/(COUNTIF(N154:O154,"כן")+COUNTIF(N154:O154,"לא")),""))</f>
      </c>
      <c r="AH154" s="27">
        <f>IF($A154="","",IFERROR(COUNTIF(P154,"כן")/(COUNTIF(P154,"כן")+COUNTIF(P154,"לא")),""))</f>
      </c>
      <c r="AI154" s="27">
        <f>IF($A154="","",IFERROR(COUNTIF(Q154:R154,"כן")/(COUNTIF(Q154:R154,"כן")+COUNTIF(Q154:R154,"לא")),""))</f>
      </c>
      <c r="AJ154" s="27">
        <f>IF($A154="","",IFERROR(COUNTIF(S154:T154,"כן")/(COUNTIF(S154:T154,"כן")+COUNTIF(S154:T154,"לא")),""))</f>
      </c>
      <c r="AK154" s="27">
        <f>IF($A154="","",IFERROR(COUNTIF(L154:T154,"כן")/(COUNTIF(L154:T154,"כן")+COUNTIF(L154:T154,"לא")),""))</f>
      </c>
      <c r="AL154" s="28">
        <f>IF($A154="","",IFERROR(AVERAGE(U154:V154),""))</f>
      </c>
      <c r="AM154" s="28">
        <f>IF($A154="","",IFERROR(AVERAGE(W154:X154),""))</f>
      </c>
      <c r="AN154" s="28">
        <f>IF($A154="","",IFERROR(AVERAGE(Y154:Z154),""))</f>
      </c>
      <c r="AO154" s="28">
        <f>IF($A154="","",IFERROR(AVERAGE(AA154:AB154),""))</f>
      </c>
      <c r="AP154" s="28">
        <f>IF($A154="","",IFERROR(AVERAGE(AC154),""))</f>
      </c>
      <c r="AQ154" s="28">
        <f>IF($A154="","",IFERROR(AVERAGE(U154:AC154),""))</f>
      </c>
      <c r="AR154" s="26">
        <f>IF($A154="","",IF(AND(H154="",J154=""),"לא נבדק",IF(AND(OR(H154="",H154=I154),OR(J154="",J154=K154)),"תואם","לא תואם")))</f>
      </c>
      <c r="AS154" s="26">
        <f>IF($A154="","",IF(AND(AR154&lt;&gt;"לא תואם",G154&lt;&gt;"לא ברור"),"אמין","לפרש בזהירות"))</f>
      </c>
    </row>
    <row r="155" ht="15" customHeight="1" spans="1:45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6">
        <f>IF($A155="","",$A155&amp;"|"&amp;$C155)</f>
      </c>
      <c r="AF155" s="27">
        <f>IF($A155="","",IFERROR(COUNTIF(L155:M155,"כן")/(COUNTIF(L155:M155,"כן")+COUNTIF(L155:M155,"לא")),""))</f>
      </c>
      <c r="AG155" s="27">
        <f>IF($A155="","",IFERROR(COUNTIF(N155:O155,"כן")/(COUNTIF(N155:O155,"כן")+COUNTIF(N155:O155,"לא")),""))</f>
      </c>
      <c r="AH155" s="27">
        <f>IF($A155="","",IFERROR(COUNTIF(P155,"כן")/(COUNTIF(P155,"כן")+COUNTIF(P155,"לא")),""))</f>
      </c>
      <c r="AI155" s="27">
        <f>IF($A155="","",IFERROR(COUNTIF(Q155:R155,"כן")/(COUNTIF(Q155:R155,"כן")+COUNTIF(Q155:R155,"לא")),""))</f>
      </c>
      <c r="AJ155" s="27">
        <f>IF($A155="","",IFERROR(COUNTIF(S155:T155,"כן")/(COUNTIF(S155:T155,"כן")+COUNTIF(S155:T155,"לא")),""))</f>
      </c>
      <c r="AK155" s="27">
        <f>IF($A155="","",IFERROR(COUNTIF(L155:T155,"כן")/(COUNTIF(L155:T155,"כן")+COUNTIF(L155:T155,"לא")),""))</f>
      </c>
      <c r="AL155" s="28">
        <f>IF($A155="","",IFERROR(AVERAGE(U155:V155),""))</f>
      </c>
      <c r="AM155" s="28">
        <f>IF($A155="","",IFERROR(AVERAGE(W155:X155),""))</f>
      </c>
      <c r="AN155" s="28">
        <f>IF($A155="","",IFERROR(AVERAGE(Y155:Z155),""))</f>
      </c>
      <c r="AO155" s="28">
        <f>IF($A155="","",IFERROR(AVERAGE(AA155:AB155),""))</f>
      </c>
      <c r="AP155" s="28">
        <f>IF($A155="","",IFERROR(AVERAGE(AC155),""))</f>
      </c>
      <c r="AQ155" s="28">
        <f>IF($A155="","",IFERROR(AVERAGE(U155:AC155),""))</f>
      </c>
      <c r="AR155" s="26">
        <f>IF($A155="","",IF(AND(H155="",J155=""),"לא נבדק",IF(AND(OR(H155="",H155=I155),OR(J155="",J155=K155)),"תואם","לא תואם")))</f>
      </c>
      <c r="AS155" s="26">
        <f>IF($A155="","",IF(AND(AR155&lt;&gt;"לא תואם",G155&lt;&gt;"לא ברור"),"אמין","לפרש בזהירות"))</f>
      </c>
    </row>
    <row r="156" ht="15" customHeight="1" spans="1:45" x14ac:dyDescent="0.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6">
        <f>IF($A156="","",$A156&amp;"|"&amp;$C156)</f>
      </c>
      <c r="AF156" s="27">
        <f>IF($A156="","",IFERROR(COUNTIF(L156:M156,"כן")/(COUNTIF(L156:M156,"כן")+COUNTIF(L156:M156,"לא")),""))</f>
      </c>
      <c r="AG156" s="27">
        <f>IF($A156="","",IFERROR(COUNTIF(N156:O156,"כן")/(COUNTIF(N156:O156,"כן")+COUNTIF(N156:O156,"לא")),""))</f>
      </c>
      <c r="AH156" s="27">
        <f>IF($A156="","",IFERROR(COUNTIF(P156,"כן")/(COUNTIF(P156,"כן")+COUNTIF(P156,"לא")),""))</f>
      </c>
      <c r="AI156" s="27">
        <f>IF($A156="","",IFERROR(COUNTIF(Q156:R156,"כן")/(COUNTIF(Q156:R156,"כן")+COUNTIF(Q156:R156,"לא")),""))</f>
      </c>
      <c r="AJ156" s="27">
        <f>IF($A156="","",IFERROR(COUNTIF(S156:T156,"כן")/(COUNTIF(S156:T156,"כן")+COUNTIF(S156:T156,"לא")),""))</f>
      </c>
      <c r="AK156" s="27">
        <f>IF($A156="","",IFERROR(COUNTIF(L156:T156,"כן")/(COUNTIF(L156:T156,"כן")+COUNTIF(L156:T156,"לא")),""))</f>
      </c>
      <c r="AL156" s="28">
        <f>IF($A156="","",IFERROR(AVERAGE(U156:V156),""))</f>
      </c>
      <c r="AM156" s="28">
        <f>IF($A156="","",IFERROR(AVERAGE(W156:X156),""))</f>
      </c>
      <c r="AN156" s="28">
        <f>IF($A156="","",IFERROR(AVERAGE(Y156:Z156),""))</f>
      </c>
      <c r="AO156" s="28">
        <f>IF($A156="","",IFERROR(AVERAGE(AA156:AB156),""))</f>
      </c>
      <c r="AP156" s="28">
        <f>IF($A156="","",IFERROR(AVERAGE(AC156),""))</f>
      </c>
      <c r="AQ156" s="28">
        <f>IF($A156="","",IFERROR(AVERAGE(U156:AC156),""))</f>
      </c>
      <c r="AR156" s="26">
        <f>IF($A156="","",IF(AND(H156="",J156=""),"לא נבדק",IF(AND(OR(H156="",H156=I156),OR(J156="",J156=K156)),"תואם","לא תואם")))</f>
      </c>
      <c r="AS156" s="26">
        <f>IF($A156="","",IF(AND(AR156&lt;&gt;"לא תואם",G156&lt;&gt;"לא ברור"),"אמין","לפרש בזהירות"))</f>
      </c>
    </row>
    <row r="157" ht="15" customHeight="1" spans="1:45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6">
        <f>IF($A157="","",$A157&amp;"|"&amp;$C157)</f>
      </c>
      <c r="AF157" s="27">
        <f>IF($A157="","",IFERROR(COUNTIF(L157:M157,"כן")/(COUNTIF(L157:M157,"כן")+COUNTIF(L157:M157,"לא")),""))</f>
      </c>
      <c r="AG157" s="27">
        <f>IF($A157="","",IFERROR(COUNTIF(N157:O157,"כן")/(COUNTIF(N157:O157,"כן")+COUNTIF(N157:O157,"לא")),""))</f>
      </c>
      <c r="AH157" s="27">
        <f>IF($A157="","",IFERROR(COUNTIF(P157,"כן")/(COUNTIF(P157,"כן")+COUNTIF(P157,"לא")),""))</f>
      </c>
      <c r="AI157" s="27">
        <f>IF($A157="","",IFERROR(COUNTIF(Q157:R157,"כן")/(COUNTIF(Q157:R157,"כן")+COUNTIF(Q157:R157,"לא")),""))</f>
      </c>
      <c r="AJ157" s="27">
        <f>IF($A157="","",IFERROR(COUNTIF(S157:T157,"כן")/(COUNTIF(S157:T157,"כן")+COUNTIF(S157:T157,"לא")),""))</f>
      </c>
      <c r="AK157" s="27">
        <f>IF($A157="","",IFERROR(COUNTIF(L157:T157,"כן")/(COUNTIF(L157:T157,"כן")+COUNTIF(L157:T157,"לא")),""))</f>
      </c>
      <c r="AL157" s="28">
        <f>IF($A157="","",IFERROR(AVERAGE(U157:V157),""))</f>
      </c>
      <c r="AM157" s="28">
        <f>IF($A157="","",IFERROR(AVERAGE(W157:X157),""))</f>
      </c>
      <c r="AN157" s="28">
        <f>IF($A157="","",IFERROR(AVERAGE(Y157:Z157),""))</f>
      </c>
      <c r="AO157" s="28">
        <f>IF($A157="","",IFERROR(AVERAGE(AA157:AB157),""))</f>
      </c>
      <c r="AP157" s="28">
        <f>IF($A157="","",IFERROR(AVERAGE(AC157),""))</f>
      </c>
      <c r="AQ157" s="28">
        <f>IF($A157="","",IFERROR(AVERAGE(U157:AC157),""))</f>
      </c>
      <c r="AR157" s="26">
        <f>IF($A157="","",IF(AND(H157="",J157=""),"לא נבדק",IF(AND(OR(H157="",H157=I157),OR(J157="",J157=K157)),"תואם","לא תואם")))</f>
      </c>
      <c r="AS157" s="26">
        <f>IF($A157="","",IF(AND(AR157&lt;&gt;"לא תואם",G157&lt;&gt;"לא ברור"),"אמין","לפרש בזהירות"))</f>
      </c>
    </row>
    <row r="158" ht="15" customHeight="1" spans="1:45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6">
        <f>IF($A158="","",$A158&amp;"|"&amp;$C158)</f>
      </c>
      <c r="AF158" s="27">
        <f>IF($A158="","",IFERROR(COUNTIF(L158:M158,"כן")/(COUNTIF(L158:M158,"כן")+COUNTIF(L158:M158,"לא")),""))</f>
      </c>
      <c r="AG158" s="27">
        <f>IF($A158="","",IFERROR(COUNTIF(N158:O158,"כן")/(COUNTIF(N158:O158,"כן")+COUNTIF(N158:O158,"לא")),""))</f>
      </c>
      <c r="AH158" s="27">
        <f>IF($A158="","",IFERROR(COUNTIF(P158,"כן")/(COUNTIF(P158,"כן")+COUNTIF(P158,"לא")),""))</f>
      </c>
      <c r="AI158" s="27">
        <f>IF($A158="","",IFERROR(COUNTIF(Q158:R158,"כן")/(COUNTIF(Q158:R158,"כן")+COUNTIF(Q158:R158,"לא")),""))</f>
      </c>
      <c r="AJ158" s="27">
        <f>IF($A158="","",IFERROR(COUNTIF(S158:T158,"כן")/(COUNTIF(S158:T158,"כן")+COUNTIF(S158:T158,"לא")),""))</f>
      </c>
      <c r="AK158" s="27">
        <f>IF($A158="","",IFERROR(COUNTIF(L158:T158,"כן")/(COUNTIF(L158:T158,"כן")+COUNTIF(L158:T158,"לא")),""))</f>
      </c>
      <c r="AL158" s="28">
        <f>IF($A158="","",IFERROR(AVERAGE(U158:V158),""))</f>
      </c>
      <c r="AM158" s="28">
        <f>IF($A158="","",IFERROR(AVERAGE(W158:X158),""))</f>
      </c>
      <c r="AN158" s="28">
        <f>IF($A158="","",IFERROR(AVERAGE(Y158:Z158),""))</f>
      </c>
      <c r="AO158" s="28">
        <f>IF($A158="","",IFERROR(AVERAGE(AA158:AB158),""))</f>
      </c>
      <c r="AP158" s="28">
        <f>IF($A158="","",IFERROR(AVERAGE(AC158),""))</f>
      </c>
      <c r="AQ158" s="28">
        <f>IF($A158="","",IFERROR(AVERAGE(U158:AC158),""))</f>
      </c>
      <c r="AR158" s="26">
        <f>IF($A158="","",IF(AND(H158="",J158=""),"לא נבדק",IF(AND(OR(H158="",H158=I158),OR(J158="",J158=K158)),"תואם","לא תואם")))</f>
      </c>
      <c r="AS158" s="26">
        <f>IF($A158="","",IF(AND(AR158&lt;&gt;"לא תואם",G158&lt;&gt;"לא ברור"),"אמין","לפרש בזהירות"))</f>
      </c>
    </row>
    <row r="159" ht="15" customHeight="1" spans="1:45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6">
        <f>IF($A159="","",$A159&amp;"|"&amp;$C159)</f>
      </c>
      <c r="AF159" s="27">
        <f>IF($A159="","",IFERROR(COUNTIF(L159:M159,"כן")/(COUNTIF(L159:M159,"כן")+COUNTIF(L159:M159,"לא")),""))</f>
      </c>
      <c r="AG159" s="27">
        <f>IF($A159="","",IFERROR(COUNTIF(N159:O159,"כן")/(COUNTIF(N159:O159,"כן")+COUNTIF(N159:O159,"לא")),""))</f>
      </c>
      <c r="AH159" s="27">
        <f>IF($A159="","",IFERROR(COUNTIF(P159,"כן")/(COUNTIF(P159,"כן")+COUNTIF(P159,"לא")),""))</f>
      </c>
      <c r="AI159" s="27">
        <f>IF($A159="","",IFERROR(COUNTIF(Q159:R159,"כן")/(COUNTIF(Q159:R159,"כן")+COUNTIF(Q159:R159,"לא")),""))</f>
      </c>
      <c r="AJ159" s="27">
        <f>IF($A159="","",IFERROR(COUNTIF(S159:T159,"כן")/(COUNTIF(S159:T159,"כן")+COUNTIF(S159:T159,"לא")),""))</f>
      </c>
      <c r="AK159" s="27">
        <f>IF($A159="","",IFERROR(COUNTIF(L159:T159,"כן")/(COUNTIF(L159:T159,"כן")+COUNTIF(L159:T159,"לא")),""))</f>
      </c>
      <c r="AL159" s="28">
        <f>IF($A159="","",IFERROR(AVERAGE(U159:V159),""))</f>
      </c>
      <c r="AM159" s="28">
        <f>IF($A159="","",IFERROR(AVERAGE(W159:X159),""))</f>
      </c>
      <c r="AN159" s="28">
        <f>IF($A159="","",IFERROR(AVERAGE(Y159:Z159),""))</f>
      </c>
      <c r="AO159" s="28">
        <f>IF($A159="","",IFERROR(AVERAGE(AA159:AB159),""))</f>
      </c>
      <c r="AP159" s="28">
        <f>IF($A159="","",IFERROR(AVERAGE(AC159),""))</f>
      </c>
      <c r="AQ159" s="28">
        <f>IF($A159="","",IFERROR(AVERAGE(U159:AC159),""))</f>
      </c>
      <c r="AR159" s="26">
        <f>IF($A159="","",IF(AND(H159="",J159=""),"לא נבדק",IF(AND(OR(H159="",H159=I159),OR(J159="",J159=K159)),"תואם","לא תואם")))</f>
      </c>
      <c r="AS159" s="26">
        <f>IF($A159="","",IF(AND(AR159&lt;&gt;"לא תואם",G159&lt;&gt;"לא ברור"),"אמין","לפרש בזהירות"))</f>
      </c>
    </row>
    <row r="160" ht="15" customHeight="1" spans="1:45" x14ac:dyDescent="0.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6">
        <f>IF($A160="","",$A160&amp;"|"&amp;$C160)</f>
      </c>
      <c r="AF160" s="27">
        <f>IF($A160="","",IFERROR(COUNTIF(L160:M160,"כן")/(COUNTIF(L160:M160,"כן")+COUNTIF(L160:M160,"לא")),""))</f>
      </c>
      <c r="AG160" s="27">
        <f>IF($A160="","",IFERROR(COUNTIF(N160:O160,"כן")/(COUNTIF(N160:O160,"כן")+COUNTIF(N160:O160,"לא")),""))</f>
      </c>
      <c r="AH160" s="27">
        <f>IF($A160="","",IFERROR(COUNTIF(P160,"כן")/(COUNTIF(P160,"כן")+COUNTIF(P160,"לא")),""))</f>
      </c>
      <c r="AI160" s="27">
        <f>IF($A160="","",IFERROR(COUNTIF(Q160:R160,"כן")/(COUNTIF(Q160:R160,"כן")+COUNTIF(Q160:R160,"לא")),""))</f>
      </c>
      <c r="AJ160" s="27">
        <f>IF($A160="","",IFERROR(COUNTIF(S160:T160,"כן")/(COUNTIF(S160:T160,"כן")+COUNTIF(S160:T160,"לא")),""))</f>
      </c>
      <c r="AK160" s="27">
        <f>IF($A160="","",IFERROR(COUNTIF(L160:T160,"כן")/(COUNTIF(L160:T160,"כן")+COUNTIF(L160:T160,"לא")),""))</f>
      </c>
      <c r="AL160" s="28">
        <f>IF($A160="","",IFERROR(AVERAGE(U160:V160),""))</f>
      </c>
      <c r="AM160" s="28">
        <f>IF($A160="","",IFERROR(AVERAGE(W160:X160),""))</f>
      </c>
      <c r="AN160" s="28">
        <f>IF($A160="","",IFERROR(AVERAGE(Y160:Z160),""))</f>
      </c>
      <c r="AO160" s="28">
        <f>IF($A160="","",IFERROR(AVERAGE(AA160:AB160),""))</f>
      </c>
      <c r="AP160" s="28">
        <f>IF($A160="","",IFERROR(AVERAGE(AC160),""))</f>
      </c>
      <c r="AQ160" s="28">
        <f>IF($A160="","",IFERROR(AVERAGE(U160:AC160),""))</f>
      </c>
      <c r="AR160" s="26">
        <f>IF($A160="","",IF(AND(H160="",J160=""),"לא נבדק",IF(AND(OR(H160="",H160=I160),OR(J160="",J160=K160)),"תואם","לא תואם")))</f>
      </c>
      <c r="AS160" s="26">
        <f>IF($A160="","",IF(AND(AR160&lt;&gt;"לא תואם",G160&lt;&gt;"לא ברור"),"אמין","לפרש בזהירות"))</f>
      </c>
    </row>
    <row r="161" ht="15" customHeight="1" spans="1:45" x14ac:dyDescent="0.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6">
        <f>IF($A161="","",$A161&amp;"|"&amp;$C161)</f>
      </c>
      <c r="AF161" s="27">
        <f>IF($A161="","",IFERROR(COUNTIF(L161:M161,"כן")/(COUNTIF(L161:M161,"כן")+COUNTIF(L161:M161,"לא")),""))</f>
      </c>
      <c r="AG161" s="27">
        <f>IF($A161="","",IFERROR(COUNTIF(N161:O161,"כן")/(COUNTIF(N161:O161,"כן")+COUNTIF(N161:O161,"לא")),""))</f>
      </c>
      <c r="AH161" s="27">
        <f>IF($A161="","",IFERROR(COUNTIF(P161,"כן")/(COUNTIF(P161,"כן")+COUNTIF(P161,"לא")),""))</f>
      </c>
      <c r="AI161" s="27">
        <f>IF($A161="","",IFERROR(COUNTIF(Q161:R161,"כן")/(COUNTIF(Q161:R161,"כן")+COUNTIF(Q161:R161,"לא")),""))</f>
      </c>
      <c r="AJ161" s="27">
        <f>IF($A161="","",IFERROR(COUNTIF(S161:T161,"כן")/(COUNTIF(S161:T161,"כן")+COUNTIF(S161:T161,"לא")),""))</f>
      </c>
      <c r="AK161" s="27">
        <f>IF($A161="","",IFERROR(COUNTIF(L161:T161,"כן")/(COUNTIF(L161:T161,"כן")+COUNTIF(L161:T161,"לא")),""))</f>
      </c>
      <c r="AL161" s="28">
        <f>IF($A161="","",IFERROR(AVERAGE(U161:V161),""))</f>
      </c>
      <c r="AM161" s="28">
        <f>IF($A161="","",IFERROR(AVERAGE(W161:X161),""))</f>
      </c>
      <c r="AN161" s="28">
        <f>IF($A161="","",IFERROR(AVERAGE(Y161:Z161),""))</f>
      </c>
      <c r="AO161" s="28">
        <f>IF($A161="","",IFERROR(AVERAGE(AA161:AB161),""))</f>
      </c>
      <c r="AP161" s="28">
        <f>IF($A161="","",IFERROR(AVERAGE(AC161),""))</f>
      </c>
      <c r="AQ161" s="28">
        <f>IF($A161="","",IFERROR(AVERAGE(U161:AC161),""))</f>
      </c>
      <c r="AR161" s="26">
        <f>IF($A161="","",IF(AND(H161="",J161=""),"לא נבדק",IF(AND(OR(H161="",H161=I161),OR(J161="",J161=K161)),"תואם","לא תואם")))</f>
      </c>
      <c r="AS161" s="26">
        <f>IF($A161="","",IF(AND(AR161&lt;&gt;"לא תואם",G161&lt;&gt;"לא ברור"),"אמין","לפרש בזהירות"))</f>
      </c>
    </row>
    <row r="162" ht="15" customHeight="1" spans="1:45" x14ac:dyDescent="0.2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6">
        <f>IF($A162="","",$A162&amp;"|"&amp;$C162)</f>
      </c>
      <c r="AF162" s="27">
        <f>IF($A162="","",IFERROR(COUNTIF(L162:M162,"כן")/(COUNTIF(L162:M162,"כן")+COUNTIF(L162:M162,"לא")),""))</f>
      </c>
      <c r="AG162" s="27">
        <f>IF($A162="","",IFERROR(COUNTIF(N162:O162,"כן")/(COUNTIF(N162:O162,"כן")+COUNTIF(N162:O162,"לא")),""))</f>
      </c>
      <c r="AH162" s="27">
        <f>IF($A162="","",IFERROR(COUNTIF(P162,"כן")/(COUNTIF(P162,"כן")+COUNTIF(P162,"לא")),""))</f>
      </c>
      <c r="AI162" s="27">
        <f>IF($A162="","",IFERROR(COUNTIF(Q162:R162,"כן")/(COUNTIF(Q162:R162,"כן")+COUNTIF(Q162:R162,"לא")),""))</f>
      </c>
      <c r="AJ162" s="27">
        <f>IF($A162="","",IFERROR(COUNTIF(S162:T162,"כן")/(COUNTIF(S162:T162,"כן")+COUNTIF(S162:T162,"לא")),""))</f>
      </c>
      <c r="AK162" s="27">
        <f>IF($A162="","",IFERROR(COUNTIF(L162:T162,"כן")/(COUNTIF(L162:T162,"כן")+COUNTIF(L162:T162,"לא")),""))</f>
      </c>
      <c r="AL162" s="28">
        <f>IF($A162="","",IFERROR(AVERAGE(U162:V162),""))</f>
      </c>
      <c r="AM162" s="28">
        <f>IF($A162="","",IFERROR(AVERAGE(W162:X162),""))</f>
      </c>
      <c r="AN162" s="28">
        <f>IF($A162="","",IFERROR(AVERAGE(Y162:Z162),""))</f>
      </c>
      <c r="AO162" s="28">
        <f>IF($A162="","",IFERROR(AVERAGE(AA162:AB162),""))</f>
      </c>
      <c r="AP162" s="28">
        <f>IF($A162="","",IFERROR(AVERAGE(AC162),""))</f>
      </c>
      <c r="AQ162" s="28">
        <f>IF($A162="","",IFERROR(AVERAGE(U162:AC162),""))</f>
      </c>
      <c r="AR162" s="26">
        <f>IF($A162="","",IF(AND(H162="",J162=""),"לא נבדק",IF(AND(OR(H162="",H162=I162),OR(J162="",J162=K162)),"תואם","לא תואם")))</f>
      </c>
      <c r="AS162" s="26">
        <f>IF($A162="","",IF(AND(AR162&lt;&gt;"לא תואם",G162&lt;&gt;"לא ברור"),"אמין","לפרש בזהירות"))</f>
      </c>
    </row>
    <row r="163" ht="15" customHeight="1" spans="1:45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6">
        <f>IF($A163="","",$A163&amp;"|"&amp;$C163)</f>
      </c>
      <c r="AF163" s="27">
        <f>IF($A163="","",IFERROR(COUNTIF(L163:M163,"כן")/(COUNTIF(L163:M163,"כן")+COUNTIF(L163:M163,"לא")),""))</f>
      </c>
      <c r="AG163" s="27">
        <f>IF($A163="","",IFERROR(COUNTIF(N163:O163,"כן")/(COUNTIF(N163:O163,"כן")+COUNTIF(N163:O163,"לא")),""))</f>
      </c>
      <c r="AH163" s="27">
        <f>IF($A163="","",IFERROR(COUNTIF(P163,"כן")/(COUNTIF(P163,"כן")+COUNTIF(P163,"לא")),""))</f>
      </c>
      <c r="AI163" s="27">
        <f>IF($A163="","",IFERROR(COUNTIF(Q163:R163,"כן")/(COUNTIF(Q163:R163,"כן")+COUNTIF(Q163:R163,"לא")),""))</f>
      </c>
      <c r="AJ163" s="27">
        <f>IF($A163="","",IFERROR(COUNTIF(S163:T163,"כן")/(COUNTIF(S163:T163,"כן")+COUNTIF(S163:T163,"לא")),""))</f>
      </c>
      <c r="AK163" s="27">
        <f>IF($A163="","",IFERROR(COUNTIF(L163:T163,"כן")/(COUNTIF(L163:T163,"כן")+COUNTIF(L163:T163,"לא")),""))</f>
      </c>
      <c r="AL163" s="28">
        <f>IF($A163="","",IFERROR(AVERAGE(U163:V163),""))</f>
      </c>
      <c r="AM163" s="28">
        <f>IF($A163="","",IFERROR(AVERAGE(W163:X163),""))</f>
      </c>
      <c r="AN163" s="28">
        <f>IF($A163="","",IFERROR(AVERAGE(Y163:Z163),""))</f>
      </c>
      <c r="AO163" s="28">
        <f>IF($A163="","",IFERROR(AVERAGE(AA163:AB163),""))</f>
      </c>
      <c r="AP163" s="28">
        <f>IF($A163="","",IFERROR(AVERAGE(AC163),""))</f>
      </c>
      <c r="AQ163" s="28">
        <f>IF($A163="","",IFERROR(AVERAGE(U163:AC163),""))</f>
      </c>
      <c r="AR163" s="26">
        <f>IF($A163="","",IF(AND(H163="",J163=""),"לא נבדק",IF(AND(OR(H163="",H163=I163),OR(J163="",J163=K163)),"תואם","לא תואם")))</f>
      </c>
      <c r="AS163" s="26">
        <f>IF($A163="","",IF(AND(AR163&lt;&gt;"לא תואם",G163&lt;&gt;"לא ברור"),"אמין","לפרש בזהירות"))</f>
      </c>
    </row>
    <row r="164" ht="15" customHeight="1" spans="1:45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6">
        <f>IF($A164="","",$A164&amp;"|"&amp;$C164)</f>
      </c>
      <c r="AF164" s="27">
        <f>IF($A164="","",IFERROR(COUNTIF(L164:M164,"כן")/(COUNTIF(L164:M164,"כן")+COUNTIF(L164:M164,"לא")),""))</f>
      </c>
      <c r="AG164" s="27">
        <f>IF($A164="","",IFERROR(COUNTIF(N164:O164,"כן")/(COUNTIF(N164:O164,"כן")+COUNTIF(N164:O164,"לא")),""))</f>
      </c>
      <c r="AH164" s="27">
        <f>IF($A164="","",IFERROR(COUNTIF(P164,"כן")/(COUNTIF(P164,"כן")+COUNTIF(P164,"לא")),""))</f>
      </c>
      <c r="AI164" s="27">
        <f>IF($A164="","",IFERROR(COUNTIF(Q164:R164,"כן")/(COUNTIF(Q164:R164,"כן")+COUNTIF(Q164:R164,"לא")),""))</f>
      </c>
      <c r="AJ164" s="27">
        <f>IF($A164="","",IFERROR(COUNTIF(S164:T164,"כן")/(COUNTIF(S164:T164,"כן")+COUNTIF(S164:T164,"לא")),""))</f>
      </c>
      <c r="AK164" s="27">
        <f>IF($A164="","",IFERROR(COUNTIF(L164:T164,"כן")/(COUNTIF(L164:T164,"כן")+COUNTIF(L164:T164,"לא")),""))</f>
      </c>
      <c r="AL164" s="28">
        <f>IF($A164="","",IFERROR(AVERAGE(U164:V164),""))</f>
      </c>
      <c r="AM164" s="28">
        <f>IF($A164="","",IFERROR(AVERAGE(W164:X164),""))</f>
      </c>
      <c r="AN164" s="28">
        <f>IF($A164="","",IFERROR(AVERAGE(Y164:Z164),""))</f>
      </c>
      <c r="AO164" s="28">
        <f>IF($A164="","",IFERROR(AVERAGE(AA164:AB164),""))</f>
      </c>
      <c r="AP164" s="28">
        <f>IF($A164="","",IFERROR(AVERAGE(AC164),""))</f>
      </c>
      <c r="AQ164" s="28">
        <f>IF($A164="","",IFERROR(AVERAGE(U164:AC164),""))</f>
      </c>
      <c r="AR164" s="26">
        <f>IF($A164="","",IF(AND(H164="",J164=""),"לא נבדק",IF(AND(OR(H164="",H164=I164),OR(J164="",J164=K164)),"תואם","לא תואם")))</f>
      </c>
      <c r="AS164" s="26">
        <f>IF($A164="","",IF(AND(AR164&lt;&gt;"לא תואם",G164&lt;&gt;"לא ברור"),"אמין","לפרש בזהירות"))</f>
      </c>
    </row>
    <row r="165" ht="15" customHeight="1" spans="1:45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6">
        <f>IF($A165="","",$A165&amp;"|"&amp;$C165)</f>
      </c>
      <c r="AF165" s="27">
        <f>IF($A165="","",IFERROR(COUNTIF(L165:M165,"כן")/(COUNTIF(L165:M165,"כן")+COUNTIF(L165:M165,"לא")),""))</f>
      </c>
      <c r="AG165" s="27">
        <f>IF($A165="","",IFERROR(COUNTIF(N165:O165,"כן")/(COUNTIF(N165:O165,"כן")+COUNTIF(N165:O165,"לא")),""))</f>
      </c>
      <c r="AH165" s="27">
        <f>IF($A165="","",IFERROR(COUNTIF(P165,"כן")/(COUNTIF(P165,"כן")+COUNTIF(P165,"לא")),""))</f>
      </c>
      <c r="AI165" s="27">
        <f>IF($A165="","",IFERROR(COUNTIF(Q165:R165,"כן")/(COUNTIF(Q165:R165,"כן")+COUNTIF(Q165:R165,"לא")),""))</f>
      </c>
      <c r="AJ165" s="27">
        <f>IF($A165="","",IFERROR(COUNTIF(S165:T165,"כן")/(COUNTIF(S165:T165,"כן")+COUNTIF(S165:T165,"לא")),""))</f>
      </c>
      <c r="AK165" s="27">
        <f>IF($A165="","",IFERROR(COUNTIF(L165:T165,"כן")/(COUNTIF(L165:T165,"כן")+COUNTIF(L165:T165,"לא")),""))</f>
      </c>
      <c r="AL165" s="28">
        <f>IF($A165="","",IFERROR(AVERAGE(U165:V165),""))</f>
      </c>
      <c r="AM165" s="28">
        <f>IF($A165="","",IFERROR(AVERAGE(W165:X165),""))</f>
      </c>
      <c r="AN165" s="28">
        <f>IF($A165="","",IFERROR(AVERAGE(Y165:Z165),""))</f>
      </c>
      <c r="AO165" s="28">
        <f>IF($A165="","",IFERROR(AVERAGE(AA165:AB165),""))</f>
      </c>
      <c r="AP165" s="28">
        <f>IF($A165="","",IFERROR(AVERAGE(AC165),""))</f>
      </c>
      <c r="AQ165" s="28">
        <f>IF($A165="","",IFERROR(AVERAGE(U165:AC165),""))</f>
      </c>
      <c r="AR165" s="26">
        <f>IF($A165="","",IF(AND(H165="",J165=""),"לא נבדק",IF(AND(OR(H165="",H165=I165),OR(J165="",J165=K165)),"תואם","לא תואם")))</f>
      </c>
      <c r="AS165" s="26">
        <f>IF($A165="","",IF(AND(AR165&lt;&gt;"לא תואם",G165&lt;&gt;"לא ברור"),"אמין","לפרש בזהירות"))</f>
      </c>
    </row>
    <row r="166" ht="15" customHeight="1" spans="1:45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6">
        <f>IF($A166="","",$A166&amp;"|"&amp;$C166)</f>
      </c>
      <c r="AF166" s="27">
        <f>IF($A166="","",IFERROR(COUNTIF(L166:M166,"כן")/(COUNTIF(L166:M166,"כן")+COUNTIF(L166:M166,"לא")),""))</f>
      </c>
      <c r="AG166" s="27">
        <f>IF($A166="","",IFERROR(COUNTIF(N166:O166,"כן")/(COUNTIF(N166:O166,"כן")+COUNTIF(N166:O166,"לא")),""))</f>
      </c>
      <c r="AH166" s="27">
        <f>IF($A166="","",IFERROR(COUNTIF(P166,"כן")/(COUNTIF(P166,"כן")+COUNTIF(P166,"לא")),""))</f>
      </c>
      <c r="AI166" s="27">
        <f>IF($A166="","",IFERROR(COUNTIF(Q166:R166,"כן")/(COUNTIF(Q166:R166,"כן")+COUNTIF(Q166:R166,"לא")),""))</f>
      </c>
      <c r="AJ166" s="27">
        <f>IF($A166="","",IFERROR(COUNTIF(S166:T166,"כן")/(COUNTIF(S166:T166,"כן")+COUNTIF(S166:T166,"לא")),""))</f>
      </c>
      <c r="AK166" s="27">
        <f>IF($A166="","",IFERROR(COUNTIF(L166:T166,"כן")/(COUNTIF(L166:T166,"כן")+COUNTIF(L166:T166,"לא")),""))</f>
      </c>
      <c r="AL166" s="28">
        <f>IF($A166="","",IFERROR(AVERAGE(U166:V166),""))</f>
      </c>
      <c r="AM166" s="28">
        <f>IF($A166="","",IFERROR(AVERAGE(W166:X166),""))</f>
      </c>
      <c r="AN166" s="28">
        <f>IF($A166="","",IFERROR(AVERAGE(Y166:Z166),""))</f>
      </c>
      <c r="AO166" s="28">
        <f>IF($A166="","",IFERROR(AVERAGE(AA166:AB166),""))</f>
      </c>
      <c r="AP166" s="28">
        <f>IF($A166="","",IFERROR(AVERAGE(AC166),""))</f>
      </c>
      <c r="AQ166" s="28">
        <f>IF($A166="","",IFERROR(AVERAGE(U166:AC166),""))</f>
      </c>
      <c r="AR166" s="26">
        <f>IF($A166="","",IF(AND(H166="",J166=""),"לא נבדק",IF(AND(OR(H166="",H166=I166),OR(J166="",J166=K166)),"תואם","לא תואם")))</f>
      </c>
      <c r="AS166" s="26">
        <f>IF($A166="","",IF(AND(AR166&lt;&gt;"לא תואם",G166&lt;&gt;"לא ברור"),"אמין","לפרש בזהירות"))</f>
      </c>
    </row>
    <row r="167" ht="15" customHeight="1" spans="1:45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6">
        <f>IF($A167="","",$A167&amp;"|"&amp;$C167)</f>
      </c>
      <c r="AF167" s="27">
        <f>IF($A167="","",IFERROR(COUNTIF(L167:M167,"כן")/(COUNTIF(L167:M167,"כן")+COUNTIF(L167:M167,"לא")),""))</f>
      </c>
      <c r="AG167" s="27">
        <f>IF($A167="","",IFERROR(COUNTIF(N167:O167,"כן")/(COUNTIF(N167:O167,"כן")+COUNTIF(N167:O167,"לא")),""))</f>
      </c>
      <c r="AH167" s="27">
        <f>IF($A167="","",IFERROR(COUNTIF(P167,"כן")/(COUNTIF(P167,"כן")+COUNTIF(P167,"לא")),""))</f>
      </c>
      <c r="AI167" s="27">
        <f>IF($A167="","",IFERROR(COUNTIF(Q167:R167,"כן")/(COUNTIF(Q167:R167,"כן")+COUNTIF(Q167:R167,"לא")),""))</f>
      </c>
      <c r="AJ167" s="27">
        <f>IF($A167="","",IFERROR(COUNTIF(S167:T167,"כן")/(COUNTIF(S167:T167,"כן")+COUNTIF(S167:T167,"לא")),""))</f>
      </c>
      <c r="AK167" s="27">
        <f>IF($A167="","",IFERROR(COUNTIF(L167:T167,"כן")/(COUNTIF(L167:T167,"כן")+COUNTIF(L167:T167,"לא")),""))</f>
      </c>
      <c r="AL167" s="28">
        <f>IF($A167="","",IFERROR(AVERAGE(U167:V167),""))</f>
      </c>
      <c r="AM167" s="28">
        <f>IF($A167="","",IFERROR(AVERAGE(W167:X167),""))</f>
      </c>
      <c r="AN167" s="28">
        <f>IF($A167="","",IFERROR(AVERAGE(Y167:Z167),""))</f>
      </c>
      <c r="AO167" s="28">
        <f>IF($A167="","",IFERROR(AVERAGE(AA167:AB167),""))</f>
      </c>
      <c r="AP167" s="28">
        <f>IF($A167="","",IFERROR(AVERAGE(AC167),""))</f>
      </c>
      <c r="AQ167" s="28">
        <f>IF($A167="","",IFERROR(AVERAGE(U167:AC167),""))</f>
      </c>
      <c r="AR167" s="26">
        <f>IF($A167="","",IF(AND(H167="",J167=""),"לא נבדק",IF(AND(OR(H167="",H167=I167),OR(J167="",J167=K167)),"תואם","לא תואם")))</f>
      </c>
      <c r="AS167" s="26">
        <f>IF($A167="","",IF(AND(AR167&lt;&gt;"לא תואם",G167&lt;&gt;"לא ברור"),"אמין","לפרש בזהירות"))</f>
      </c>
    </row>
    <row r="168" ht="15" customHeight="1" spans="1:45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6">
        <f>IF($A168="","",$A168&amp;"|"&amp;$C168)</f>
      </c>
      <c r="AF168" s="27">
        <f>IF($A168="","",IFERROR(COUNTIF(L168:M168,"כן")/(COUNTIF(L168:M168,"כן")+COUNTIF(L168:M168,"לא")),""))</f>
      </c>
      <c r="AG168" s="27">
        <f>IF($A168="","",IFERROR(COUNTIF(N168:O168,"כן")/(COUNTIF(N168:O168,"כן")+COUNTIF(N168:O168,"לא")),""))</f>
      </c>
      <c r="AH168" s="27">
        <f>IF($A168="","",IFERROR(COUNTIF(P168,"כן")/(COUNTIF(P168,"כן")+COUNTIF(P168,"לא")),""))</f>
      </c>
      <c r="AI168" s="27">
        <f>IF($A168="","",IFERROR(COUNTIF(Q168:R168,"כן")/(COUNTIF(Q168:R168,"כן")+COUNTIF(Q168:R168,"לא")),""))</f>
      </c>
      <c r="AJ168" s="27">
        <f>IF($A168="","",IFERROR(COUNTIF(S168:T168,"כן")/(COUNTIF(S168:T168,"כן")+COUNTIF(S168:T168,"לא")),""))</f>
      </c>
      <c r="AK168" s="27">
        <f>IF($A168="","",IFERROR(COUNTIF(L168:T168,"כן")/(COUNTIF(L168:T168,"כן")+COUNTIF(L168:T168,"לא")),""))</f>
      </c>
      <c r="AL168" s="28">
        <f>IF($A168="","",IFERROR(AVERAGE(U168:V168),""))</f>
      </c>
      <c r="AM168" s="28">
        <f>IF($A168="","",IFERROR(AVERAGE(W168:X168),""))</f>
      </c>
      <c r="AN168" s="28">
        <f>IF($A168="","",IFERROR(AVERAGE(Y168:Z168),""))</f>
      </c>
      <c r="AO168" s="28">
        <f>IF($A168="","",IFERROR(AVERAGE(AA168:AB168),""))</f>
      </c>
      <c r="AP168" s="28">
        <f>IF($A168="","",IFERROR(AVERAGE(AC168),""))</f>
      </c>
      <c r="AQ168" s="28">
        <f>IF($A168="","",IFERROR(AVERAGE(U168:AC168),""))</f>
      </c>
      <c r="AR168" s="26">
        <f>IF($A168="","",IF(AND(H168="",J168=""),"לא נבדק",IF(AND(OR(H168="",H168=I168),OR(J168="",J168=K168)),"תואם","לא תואם")))</f>
      </c>
      <c r="AS168" s="26">
        <f>IF($A168="","",IF(AND(AR168&lt;&gt;"לא תואם",G168&lt;&gt;"לא ברור"),"אמין","לפרש בזהירות"))</f>
      </c>
    </row>
    <row r="169" ht="15" customHeight="1" spans="1:45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6">
        <f>IF($A169="","",$A169&amp;"|"&amp;$C169)</f>
      </c>
      <c r="AF169" s="27">
        <f>IF($A169="","",IFERROR(COUNTIF(L169:M169,"כן")/(COUNTIF(L169:M169,"כן")+COUNTIF(L169:M169,"לא")),""))</f>
      </c>
      <c r="AG169" s="27">
        <f>IF($A169="","",IFERROR(COUNTIF(N169:O169,"כן")/(COUNTIF(N169:O169,"כן")+COUNTIF(N169:O169,"לא")),""))</f>
      </c>
      <c r="AH169" s="27">
        <f>IF($A169="","",IFERROR(COUNTIF(P169,"כן")/(COUNTIF(P169,"כן")+COUNTIF(P169,"לא")),""))</f>
      </c>
      <c r="AI169" s="27">
        <f>IF($A169="","",IFERROR(COUNTIF(Q169:R169,"כן")/(COUNTIF(Q169:R169,"כן")+COUNTIF(Q169:R169,"לא")),""))</f>
      </c>
      <c r="AJ169" s="27">
        <f>IF($A169="","",IFERROR(COUNTIF(S169:T169,"כן")/(COUNTIF(S169:T169,"כן")+COUNTIF(S169:T169,"לא")),""))</f>
      </c>
      <c r="AK169" s="27">
        <f>IF($A169="","",IFERROR(COUNTIF(L169:T169,"כן")/(COUNTIF(L169:T169,"כן")+COUNTIF(L169:T169,"לא")),""))</f>
      </c>
      <c r="AL169" s="28">
        <f>IF($A169="","",IFERROR(AVERAGE(U169:V169),""))</f>
      </c>
      <c r="AM169" s="28">
        <f>IF($A169="","",IFERROR(AVERAGE(W169:X169),""))</f>
      </c>
      <c r="AN169" s="28">
        <f>IF($A169="","",IFERROR(AVERAGE(Y169:Z169),""))</f>
      </c>
      <c r="AO169" s="28">
        <f>IF($A169="","",IFERROR(AVERAGE(AA169:AB169),""))</f>
      </c>
      <c r="AP169" s="28">
        <f>IF($A169="","",IFERROR(AVERAGE(AC169),""))</f>
      </c>
      <c r="AQ169" s="28">
        <f>IF($A169="","",IFERROR(AVERAGE(U169:AC169),""))</f>
      </c>
      <c r="AR169" s="26">
        <f>IF($A169="","",IF(AND(H169="",J169=""),"לא נבדק",IF(AND(OR(H169="",H169=I169),OR(J169="",J169=K169)),"תואם","לא תואם")))</f>
      </c>
      <c r="AS169" s="26">
        <f>IF($A169="","",IF(AND(AR169&lt;&gt;"לא תואם",G169&lt;&gt;"לא ברור"),"אמין","לפרש בזהירות"))</f>
      </c>
    </row>
    <row r="170" ht="15" customHeight="1" spans="1:45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6">
        <f>IF($A170="","",$A170&amp;"|"&amp;$C170)</f>
      </c>
      <c r="AF170" s="27">
        <f>IF($A170="","",IFERROR(COUNTIF(L170:M170,"כן")/(COUNTIF(L170:M170,"כן")+COUNTIF(L170:M170,"לא")),""))</f>
      </c>
      <c r="AG170" s="27">
        <f>IF($A170="","",IFERROR(COUNTIF(N170:O170,"כן")/(COUNTIF(N170:O170,"כן")+COUNTIF(N170:O170,"לא")),""))</f>
      </c>
      <c r="AH170" s="27">
        <f>IF($A170="","",IFERROR(COUNTIF(P170,"כן")/(COUNTIF(P170,"כן")+COUNTIF(P170,"לא")),""))</f>
      </c>
      <c r="AI170" s="27">
        <f>IF($A170="","",IFERROR(COUNTIF(Q170:R170,"כן")/(COUNTIF(Q170:R170,"כן")+COUNTIF(Q170:R170,"לא")),""))</f>
      </c>
      <c r="AJ170" s="27">
        <f>IF($A170="","",IFERROR(COUNTIF(S170:T170,"כן")/(COUNTIF(S170:T170,"כן")+COUNTIF(S170:T170,"לא")),""))</f>
      </c>
      <c r="AK170" s="27">
        <f>IF($A170="","",IFERROR(COUNTIF(L170:T170,"כן")/(COUNTIF(L170:T170,"כן")+COUNTIF(L170:T170,"לא")),""))</f>
      </c>
      <c r="AL170" s="28">
        <f>IF($A170="","",IFERROR(AVERAGE(U170:V170),""))</f>
      </c>
      <c r="AM170" s="28">
        <f>IF($A170="","",IFERROR(AVERAGE(W170:X170),""))</f>
      </c>
      <c r="AN170" s="28">
        <f>IF($A170="","",IFERROR(AVERAGE(Y170:Z170),""))</f>
      </c>
      <c r="AO170" s="28">
        <f>IF($A170="","",IFERROR(AVERAGE(AA170:AB170),""))</f>
      </c>
      <c r="AP170" s="28">
        <f>IF($A170="","",IFERROR(AVERAGE(AC170),""))</f>
      </c>
      <c r="AQ170" s="28">
        <f>IF($A170="","",IFERROR(AVERAGE(U170:AC170),""))</f>
      </c>
      <c r="AR170" s="26">
        <f>IF($A170="","",IF(AND(H170="",J170=""),"לא נבדק",IF(AND(OR(H170="",H170=I170),OR(J170="",J170=K170)),"תואם","לא תואם")))</f>
      </c>
      <c r="AS170" s="26">
        <f>IF($A170="","",IF(AND(AR170&lt;&gt;"לא תואם",G170&lt;&gt;"לא ברור"),"אמין","לפרש בזהירות"))</f>
      </c>
    </row>
    <row r="171" ht="15" customHeight="1" spans="1:45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6">
        <f>IF($A171="","",$A171&amp;"|"&amp;$C171)</f>
      </c>
      <c r="AF171" s="27">
        <f>IF($A171="","",IFERROR(COUNTIF(L171:M171,"כן")/(COUNTIF(L171:M171,"כן")+COUNTIF(L171:M171,"לא")),""))</f>
      </c>
      <c r="AG171" s="27">
        <f>IF($A171="","",IFERROR(COUNTIF(N171:O171,"כן")/(COUNTIF(N171:O171,"כן")+COUNTIF(N171:O171,"לא")),""))</f>
      </c>
      <c r="AH171" s="27">
        <f>IF($A171="","",IFERROR(COUNTIF(P171,"כן")/(COUNTIF(P171,"כן")+COUNTIF(P171,"לא")),""))</f>
      </c>
      <c r="AI171" s="27">
        <f>IF($A171="","",IFERROR(COUNTIF(Q171:R171,"כן")/(COUNTIF(Q171:R171,"כן")+COUNTIF(Q171:R171,"לא")),""))</f>
      </c>
      <c r="AJ171" s="27">
        <f>IF($A171="","",IFERROR(COUNTIF(S171:T171,"כן")/(COUNTIF(S171:T171,"כן")+COUNTIF(S171:T171,"לא")),""))</f>
      </c>
      <c r="AK171" s="27">
        <f>IF($A171="","",IFERROR(COUNTIF(L171:T171,"כן")/(COUNTIF(L171:T171,"כן")+COUNTIF(L171:T171,"לא")),""))</f>
      </c>
      <c r="AL171" s="28">
        <f>IF($A171="","",IFERROR(AVERAGE(U171:V171),""))</f>
      </c>
      <c r="AM171" s="28">
        <f>IF($A171="","",IFERROR(AVERAGE(W171:X171),""))</f>
      </c>
      <c r="AN171" s="28">
        <f>IF($A171="","",IFERROR(AVERAGE(Y171:Z171),""))</f>
      </c>
      <c r="AO171" s="28">
        <f>IF($A171="","",IFERROR(AVERAGE(AA171:AB171),""))</f>
      </c>
      <c r="AP171" s="28">
        <f>IF($A171="","",IFERROR(AVERAGE(AC171),""))</f>
      </c>
      <c r="AQ171" s="28">
        <f>IF($A171="","",IFERROR(AVERAGE(U171:AC171),""))</f>
      </c>
      <c r="AR171" s="26">
        <f>IF($A171="","",IF(AND(H171="",J171=""),"לא נבדק",IF(AND(OR(H171="",H171=I171),OR(J171="",J171=K171)),"תואם","לא תואם")))</f>
      </c>
      <c r="AS171" s="26">
        <f>IF($A171="","",IF(AND(AR171&lt;&gt;"לא תואם",G171&lt;&gt;"לא ברור"),"אמין","לפרש בזהירות"))</f>
      </c>
    </row>
    <row r="172" ht="15" customHeight="1" spans="1:45" x14ac:dyDescent="0.2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6">
        <f>IF($A172="","",$A172&amp;"|"&amp;$C172)</f>
      </c>
      <c r="AF172" s="27">
        <f>IF($A172="","",IFERROR(COUNTIF(L172:M172,"כן")/(COUNTIF(L172:M172,"כן")+COUNTIF(L172:M172,"לא")),""))</f>
      </c>
      <c r="AG172" s="27">
        <f>IF($A172="","",IFERROR(COUNTIF(N172:O172,"כן")/(COUNTIF(N172:O172,"כן")+COUNTIF(N172:O172,"לא")),""))</f>
      </c>
      <c r="AH172" s="27">
        <f>IF($A172="","",IFERROR(COUNTIF(P172,"כן")/(COUNTIF(P172,"כן")+COUNTIF(P172,"לא")),""))</f>
      </c>
      <c r="AI172" s="27">
        <f>IF($A172="","",IFERROR(COUNTIF(Q172:R172,"כן")/(COUNTIF(Q172:R172,"כן")+COUNTIF(Q172:R172,"לא")),""))</f>
      </c>
      <c r="AJ172" s="27">
        <f>IF($A172="","",IFERROR(COUNTIF(S172:T172,"כן")/(COUNTIF(S172:T172,"כן")+COUNTIF(S172:T172,"לא")),""))</f>
      </c>
      <c r="AK172" s="27">
        <f>IF($A172="","",IFERROR(COUNTIF(L172:T172,"כן")/(COUNTIF(L172:T172,"כן")+COUNTIF(L172:T172,"לא")),""))</f>
      </c>
      <c r="AL172" s="28">
        <f>IF($A172="","",IFERROR(AVERAGE(U172:V172),""))</f>
      </c>
      <c r="AM172" s="28">
        <f>IF($A172="","",IFERROR(AVERAGE(W172:X172),""))</f>
      </c>
      <c r="AN172" s="28">
        <f>IF($A172="","",IFERROR(AVERAGE(Y172:Z172),""))</f>
      </c>
      <c r="AO172" s="28">
        <f>IF($A172="","",IFERROR(AVERAGE(AA172:AB172),""))</f>
      </c>
      <c r="AP172" s="28">
        <f>IF($A172="","",IFERROR(AVERAGE(AC172),""))</f>
      </c>
      <c r="AQ172" s="28">
        <f>IF($A172="","",IFERROR(AVERAGE(U172:AC172),""))</f>
      </c>
      <c r="AR172" s="26">
        <f>IF($A172="","",IF(AND(H172="",J172=""),"לא נבדק",IF(AND(OR(H172="",H172=I172),OR(J172="",J172=K172)),"תואם","לא תואם")))</f>
      </c>
      <c r="AS172" s="26">
        <f>IF($A172="","",IF(AND(AR172&lt;&gt;"לא תואם",G172&lt;&gt;"לא ברור"),"אמין","לפרש בזהירות"))</f>
      </c>
    </row>
    <row r="173" ht="15" customHeight="1" spans="1:45" x14ac:dyDescent="0.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6">
        <f>IF($A173="","",$A173&amp;"|"&amp;$C173)</f>
      </c>
      <c r="AF173" s="27">
        <f>IF($A173="","",IFERROR(COUNTIF(L173:M173,"כן")/(COUNTIF(L173:M173,"כן")+COUNTIF(L173:M173,"לא")),""))</f>
      </c>
      <c r="AG173" s="27">
        <f>IF($A173="","",IFERROR(COUNTIF(N173:O173,"כן")/(COUNTIF(N173:O173,"כן")+COUNTIF(N173:O173,"לא")),""))</f>
      </c>
      <c r="AH173" s="27">
        <f>IF($A173="","",IFERROR(COUNTIF(P173,"כן")/(COUNTIF(P173,"כן")+COUNTIF(P173,"לא")),""))</f>
      </c>
      <c r="AI173" s="27">
        <f>IF($A173="","",IFERROR(COUNTIF(Q173:R173,"כן")/(COUNTIF(Q173:R173,"כן")+COUNTIF(Q173:R173,"לא")),""))</f>
      </c>
      <c r="AJ173" s="27">
        <f>IF($A173="","",IFERROR(COUNTIF(S173:T173,"כן")/(COUNTIF(S173:T173,"כן")+COUNTIF(S173:T173,"לא")),""))</f>
      </c>
      <c r="AK173" s="27">
        <f>IF($A173="","",IFERROR(COUNTIF(L173:T173,"כן")/(COUNTIF(L173:T173,"כן")+COUNTIF(L173:T173,"לא")),""))</f>
      </c>
      <c r="AL173" s="28">
        <f>IF($A173="","",IFERROR(AVERAGE(U173:V173),""))</f>
      </c>
      <c r="AM173" s="28">
        <f>IF($A173="","",IFERROR(AVERAGE(W173:X173),""))</f>
      </c>
      <c r="AN173" s="28">
        <f>IF($A173="","",IFERROR(AVERAGE(Y173:Z173),""))</f>
      </c>
      <c r="AO173" s="28">
        <f>IF($A173="","",IFERROR(AVERAGE(AA173:AB173),""))</f>
      </c>
      <c r="AP173" s="28">
        <f>IF($A173="","",IFERROR(AVERAGE(AC173),""))</f>
      </c>
      <c r="AQ173" s="28">
        <f>IF($A173="","",IFERROR(AVERAGE(U173:AC173),""))</f>
      </c>
      <c r="AR173" s="26">
        <f>IF($A173="","",IF(AND(H173="",J173=""),"לא נבדק",IF(AND(OR(H173="",H173=I173),OR(J173="",J173=K173)),"תואם","לא תואם")))</f>
      </c>
      <c r="AS173" s="26">
        <f>IF($A173="","",IF(AND(AR173&lt;&gt;"לא תואם",G173&lt;&gt;"לא ברור"),"אמין","לפרש בזהירות"))</f>
      </c>
    </row>
    <row r="174" ht="15" customHeight="1" spans="1:45" x14ac:dyDescent="0.2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6">
        <f>IF($A174="","",$A174&amp;"|"&amp;$C174)</f>
      </c>
      <c r="AF174" s="27">
        <f>IF($A174="","",IFERROR(COUNTIF(L174:M174,"כן")/(COUNTIF(L174:M174,"כן")+COUNTIF(L174:M174,"לא")),""))</f>
      </c>
      <c r="AG174" s="27">
        <f>IF($A174="","",IFERROR(COUNTIF(N174:O174,"כן")/(COUNTIF(N174:O174,"כן")+COUNTIF(N174:O174,"לא")),""))</f>
      </c>
      <c r="AH174" s="27">
        <f>IF($A174="","",IFERROR(COUNTIF(P174,"כן")/(COUNTIF(P174,"כן")+COUNTIF(P174,"לא")),""))</f>
      </c>
      <c r="AI174" s="27">
        <f>IF($A174="","",IFERROR(COUNTIF(Q174:R174,"כן")/(COUNTIF(Q174:R174,"כן")+COUNTIF(Q174:R174,"לא")),""))</f>
      </c>
      <c r="AJ174" s="27">
        <f>IF($A174="","",IFERROR(COUNTIF(S174:T174,"כן")/(COUNTIF(S174:T174,"כן")+COUNTIF(S174:T174,"לא")),""))</f>
      </c>
      <c r="AK174" s="27">
        <f>IF($A174="","",IFERROR(COUNTIF(L174:T174,"כן")/(COUNTIF(L174:T174,"כן")+COUNTIF(L174:T174,"לא")),""))</f>
      </c>
      <c r="AL174" s="28">
        <f>IF($A174="","",IFERROR(AVERAGE(U174:V174),""))</f>
      </c>
      <c r="AM174" s="28">
        <f>IF($A174="","",IFERROR(AVERAGE(W174:X174),""))</f>
      </c>
      <c r="AN174" s="28">
        <f>IF($A174="","",IFERROR(AVERAGE(Y174:Z174),""))</f>
      </c>
      <c r="AO174" s="28">
        <f>IF($A174="","",IFERROR(AVERAGE(AA174:AB174),""))</f>
      </c>
      <c r="AP174" s="28">
        <f>IF($A174="","",IFERROR(AVERAGE(AC174),""))</f>
      </c>
      <c r="AQ174" s="28">
        <f>IF($A174="","",IFERROR(AVERAGE(U174:AC174),""))</f>
      </c>
      <c r="AR174" s="26">
        <f>IF($A174="","",IF(AND(H174="",J174=""),"לא נבדק",IF(AND(OR(H174="",H174=I174),OR(J174="",J174=K174)),"תואם","לא תואם")))</f>
      </c>
      <c r="AS174" s="26">
        <f>IF($A174="","",IF(AND(AR174&lt;&gt;"לא תואם",G174&lt;&gt;"לא ברור"),"אמין","לפרש בזהירות"))</f>
      </c>
    </row>
    <row r="175" ht="15" customHeight="1" spans="1:45" x14ac:dyDescent="0.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6">
        <f>IF($A175="","",$A175&amp;"|"&amp;$C175)</f>
      </c>
      <c r="AF175" s="27">
        <f>IF($A175="","",IFERROR(COUNTIF(L175:M175,"כן")/(COUNTIF(L175:M175,"כן")+COUNTIF(L175:M175,"לא")),""))</f>
      </c>
      <c r="AG175" s="27">
        <f>IF($A175="","",IFERROR(COUNTIF(N175:O175,"כן")/(COUNTIF(N175:O175,"כן")+COUNTIF(N175:O175,"לא")),""))</f>
      </c>
      <c r="AH175" s="27">
        <f>IF($A175="","",IFERROR(COUNTIF(P175,"כן")/(COUNTIF(P175,"כן")+COUNTIF(P175,"לא")),""))</f>
      </c>
      <c r="AI175" s="27">
        <f>IF($A175="","",IFERROR(COUNTIF(Q175:R175,"כן")/(COUNTIF(Q175:R175,"כן")+COUNTIF(Q175:R175,"לא")),""))</f>
      </c>
      <c r="AJ175" s="27">
        <f>IF($A175="","",IFERROR(COUNTIF(S175:T175,"כן")/(COUNTIF(S175:T175,"כן")+COUNTIF(S175:T175,"לא")),""))</f>
      </c>
      <c r="AK175" s="27">
        <f>IF($A175="","",IFERROR(COUNTIF(L175:T175,"כן")/(COUNTIF(L175:T175,"כן")+COUNTIF(L175:T175,"לא")),""))</f>
      </c>
      <c r="AL175" s="28">
        <f>IF($A175="","",IFERROR(AVERAGE(U175:V175),""))</f>
      </c>
      <c r="AM175" s="28">
        <f>IF($A175="","",IFERROR(AVERAGE(W175:X175),""))</f>
      </c>
      <c r="AN175" s="28">
        <f>IF($A175="","",IFERROR(AVERAGE(Y175:Z175),""))</f>
      </c>
      <c r="AO175" s="28">
        <f>IF($A175="","",IFERROR(AVERAGE(AA175:AB175),""))</f>
      </c>
      <c r="AP175" s="28">
        <f>IF($A175="","",IFERROR(AVERAGE(AC175),""))</f>
      </c>
      <c r="AQ175" s="28">
        <f>IF($A175="","",IFERROR(AVERAGE(U175:AC175),""))</f>
      </c>
      <c r="AR175" s="26">
        <f>IF($A175="","",IF(AND(H175="",J175=""),"לא נבדק",IF(AND(OR(H175="",H175=I175),OR(J175="",J175=K175)),"תואם","לא תואם")))</f>
      </c>
      <c r="AS175" s="26">
        <f>IF($A175="","",IF(AND(AR175&lt;&gt;"לא תואם",G175&lt;&gt;"לא ברור"),"אמין","לפרש בזהירות"))</f>
      </c>
    </row>
    <row r="176" ht="15" customHeight="1" spans="1:45" x14ac:dyDescent="0.2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6">
        <f>IF($A176="","",$A176&amp;"|"&amp;$C176)</f>
      </c>
      <c r="AF176" s="27">
        <f>IF($A176="","",IFERROR(COUNTIF(L176:M176,"כן")/(COUNTIF(L176:M176,"כן")+COUNTIF(L176:M176,"לא")),""))</f>
      </c>
      <c r="AG176" s="27">
        <f>IF($A176="","",IFERROR(COUNTIF(N176:O176,"כן")/(COUNTIF(N176:O176,"כן")+COUNTIF(N176:O176,"לא")),""))</f>
      </c>
      <c r="AH176" s="27">
        <f>IF($A176="","",IFERROR(COUNTIF(P176,"כן")/(COUNTIF(P176,"כן")+COUNTIF(P176,"לא")),""))</f>
      </c>
      <c r="AI176" s="27">
        <f>IF($A176="","",IFERROR(COUNTIF(Q176:R176,"כן")/(COUNTIF(Q176:R176,"כן")+COUNTIF(Q176:R176,"לא")),""))</f>
      </c>
      <c r="AJ176" s="27">
        <f>IF($A176="","",IFERROR(COUNTIF(S176:T176,"כן")/(COUNTIF(S176:T176,"כן")+COUNTIF(S176:T176,"לא")),""))</f>
      </c>
      <c r="AK176" s="27">
        <f>IF($A176="","",IFERROR(COUNTIF(L176:T176,"כן")/(COUNTIF(L176:T176,"כן")+COUNTIF(L176:T176,"לא")),""))</f>
      </c>
      <c r="AL176" s="28">
        <f>IF($A176="","",IFERROR(AVERAGE(U176:V176),""))</f>
      </c>
      <c r="AM176" s="28">
        <f>IF($A176="","",IFERROR(AVERAGE(W176:X176),""))</f>
      </c>
      <c r="AN176" s="28">
        <f>IF($A176="","",IFERROR(AVERAGE(Y176:Z176),""))</f>
      </c>
      <c r="AO176" s="28">
        <f>IF($A176="","",IFERROR(AVERAGE(AA176:AB176),""))</f>
      </c>
      <c r="AP176" s="28">
        <f>IF($A176="","",IFERROR(AVERAGE(AC176),""))</f>
      </c>
      <c r="AQ176" s="28">
        <f>IF($A176="","",IFERROR(AVERAGE(U176:AC176),""))</f>
      </c>
      <c r="AR176" s="26">
        <f>IF($A176="","",IF(AND(H176="",J176=""),"לא נבדק",IF(AND(OR(H176="",H176=I176),OR(J176="",J176=K176)),"תואם","לא תואם")))</f>
      </c>
      <c r="AS176" s="26">
        <f>IF($A176="","",IF(AND(AR176&lt;&gt;"לא תואם",G176&lt;&gt;"לא ברור"),"אמין","לפרש בזהירות"))</f>
      </c>
    </row>
    <row r="177" ht="15" customHeight="1" spans="1:45" x14ac:dyDescent="0.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6">
        <f>IF($A177="","",$A177&amp;"|"&amp;$C177)</f>
      </c>
      <c r="AF177" s="27">
        <f>IF($A177="","",IFERROR(COUNTIF(L177:M177,"כן")/(COUNTIF(L177:M177,"כן")+COUNTIF(L177:M177,"לא")),""))</f>
      </c>
      <c r="AG177" s="27">
        <f>IF($A177="","",IFERROR(COUNTIF(N177:O177,"כן")/(COUNTIF(N177:O177,"כן")+COUNTIF(N177:O177,"לא")),""))</f>
      </c>
      <c r="AH177" s="27">
        <f>IF($A177="","",IFERROR(COUNTIF(P177,"כן")/(COUNTIF(P177,"כן")+COUNTIF(P177,"לא")),""))</f>
      </c>
      <c r="AI177" s="27">
        <f>IF($A177="","",IFERROR(COUNTIF(Q177:R177,"כן")/(COUNTIF(Q177:R177,"כן")+COUNTIF(Q177:R177,"לא")),""))</f>
      </c>
      <c r="AJ177" s="27">
        <f>IF($A177="","",IFERROR(COUNTIF(S177:T177,"כן")/(COUNTIF(S177:T177,"כן")+COUNTIF(S177:T177,"לא")),""))</f>
      </c>
      <c r="AK177" s="27">
        <f>IF($A177="","",IFERROR(COUNTIF(L177:T177,"כן")/(COUNTIF(L177:T177,"כן")+COUNTIF(L177:T177,"לא")),""))</f>
      </c>
      <c r="AL177" s="28">
        <f>IF($A177="","",IFERROR(AVERAGE(U177:V177),""))</f>
      </c>
      <c r="AM177" s="28">
        <f>IF($A177="","",IFERROR(AVERAGE(W177:X177),""))</f>
      </c>
      <c r="AN177" s="28">
        <f>IF($A177="","",IFERROR(AVERAGE(Y177:Z177),""))</f>
      </c>
      <c r="AO177" s="28">
        <f>IF($A177="","",IFERROR(AVERAGE(AA177:AB177),""))</f>
      </c>
      <c r="AP177" s="28">
        <f>IF($A177="","",IFERROR(AVERAGE(AC177),""))</f>
      </c>
      <c r="AQ177" s="28">
        <f>IF($A177="","",IFERROR(AVERAGE(U177:AC177),""))</f>
      </c>
      <c r="AR177" s="26">
        <f>IF($A177="","",IF(AND(H177="",J177=""),"לא נבדק",IF(AND(OR(H177="",H177=I177),OR(J177="",J177=K177)),"תואם","לא תואם")))</f>
      </c>
      <c r="AS177" s="26">
        <f>IF($A177="","",IF(AND(AR177&lt;&gt;"לא תואם",G177&lt;&gt;"לא ברור"),"אמין","לפרש בזהירות"))</f>
      </c>
    </row>
    <row r="178" ht="15" customHeight="1" spans="1:45" x14ac:dyDescent="0.2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6">
        <f>IF($A178="","",$A178&amp;"|"&amp;$C178)</f>
      </c>
      <c r="AF178" s="27">
        <f>IF($A178="","",IFERROR(COUNTIF(L178:M178,"כן")/(COUNTIF(L178:M178,"כן")+COUNTIF(L178:M178,"לא")),""))</f>
      </c>
      <c r="AG178" s="27">
        <f>IF($A178="","",IFERROR(COUNTIF(N178:O178,"כן")/(COUNTIF(N178:O178,"כן")+COUNTIF(N178:O178,"לא")),""))</f>
      </c>
      <c r="AH178" s="27">
        <f>IF($A178="","",IFERROR(COUNTIF(P178,"כן")/(COUNTIF(P178,"כן")+COUNTIF(P178,"לא")),""))</f>
      </c>
      <c r="AI178" s="27">
        <f>IF($A178="","",IFERROR(COUNTIF(Q178:R178,"כן")/(COUNTIF(Q178:R178,"כן")+COUNTIF(Q178:R178,"לא")),""))</f>
      </c>
      <c r="AJ178" s="27">
        <f>IF($A178="","",IFERROR(COUNTIF(S178:T178,"כן")/(COUNTIF(S178:T178,"כן")+COUNTIF(S178:T178,"לא")),""))</f>
      </c>
      <c r="AK178" s="27">
        <f>IF($A178="","",IFERROR(COUNTIF(L178:T178,"כן")/(COUNTIF(L178:T178,"כן")+COUNTIF(L178:T178,"לא")),""))</f>
      </c>
      <c r="AL178" s="28">
        <f>IF($A178="","",IFERROR(AVERAGE(U178:V178),""))</f>
      </c>
      <c r="AM178" s="28">
        <f>IF($A178="","",IFERROR(AVERAGE(W178:X178),""))</f>
      </c>
      <c r="AN178" s="28">
        <f>IF($A178="","",IFERROR(AVERAGE(Y178:Z178),""))</f>
      </c>
      <c r="AO178" s="28">
        <f>IF($A178="","",IFERROR(AVERAGE(AA178:AB178),""))</f>
      </c>
      <c r="AP178" s="28">
        <f>IF($A178="","",IFERROR(AVERAGE(AC178),""))</f>
      </c>
      <c r="AQ178" s="28">
        <f>IF($A178="","",IFERROR(AVERAGE(U178:AC178),""))</f>
      </c>
      <c r="AR178" s="26">
        <f>IF($A178="","",IF(AND(H178="",J178=""),"לא נבדק",IF(AND(OR(H178="",H178=I178),OR(J178="",J178=K178)),"תואם","לא תואם")))</f>
      </c>
      <c r="AS178" s="26">
        <f>IF($A178="","",IF(AND(AR178&lt;&gt;"לא תואם",G178&lt;&gt;"לא ברור"),"אמין","לפרש בזהירות"))</f>
      </c>
    </row>
    <row r="179" ht="15" customHeight="1" spans="1:45" x14ac:dyDescent="0.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6">
        <f>IF($A179="","",$A179&amp;"|"&amp;$C179)</f>
      </c>
      <c r="AF179" s="27">
        <f>IF($A179="","",IFERROR(COUNTIF(L179:M179,"כן")/(COUNTIF(L179:M179,"כן")+COUNTIF(L179:M179,"לא")),""))</f>
      </c>
      <c r="AG179" s="27">
        <f>IF($A179="","",IFERROR(COUNTIF(N179:O179,"כן")/(COUNTIF(N179:O179,"כן")+COUNTIF(N179:O179,"לא")),""))</f>
      </c>
      <c r="AH179" s="27">
        <f>IF($A179="","",IFERROR(COUNTIF(P179,"כן")/(COUNTIF(P179,"כן")+COUNTIF(P179,"לא")),""))</f>
      </c>
      <c r="AI179" s="27">
        <f>IF($A179="","",IFERROR(COUNTIF(Q179:R179,"כן")/(COUNTIF(Q179:R179,"כן")+COUNTIF(Q179:R179,"לא")),""))</f>
      </c>
      <c r="AJ179" s="27">
        <f>IF($A179="","",IFERROR(COUNTIF(S179:T179,"כן")/(COUNTIF(S179:T179,"כן")+COUNTIF(S179:T179,"לא")),""))</f>
      </c>
      <c r="AK179" s="27">
        <f>IF($A179="","",IFERROR(COUNTIF(L179:T179,"כן")/(COUNTIF(L179:T179,"כן")+COUNTIF(L179:T179,"לא")),""))</f>
      </c>
      <c r="AL179" s="28">
        <f>IF($A179="","",IFERROR(AVERAGE(U179:V179),""))</f>
      </c>
      <c r="AM179" s="28">
        <f>IF($A179="","",IFERROR(AVERAGE(W179:X179),""))</f>
      </c>
      <c r="AN179" s="28">
        <f>IF($A179="","",IFERROR(AVERAGE(Y179:Z179),""))</f>
      </c>
      <c r="AO179" s="28">
        <f>IF($A179="","",IFERROR(AVERAGE(AA179:AB179),""))</f>
      </c>
      <c r="AP179" s="28">
        <f>IF($A179="","",IFERROR(AVERAGE(AC179),""))</f>
      </c>
      <c r="AQ179" s="28">
        <f>IF($A179="","",IFERROR(AVERAGE(U179:AC179),""))</f>
      </c>
      <c r="AR179" s="26">
        <f>IF($A179="","",IF(AND(H179="",J179=""),"לא נבדק",IF(AND(OR(H179="",H179=I179),OR(J179="",J179=K179)),"תואם","לא תואם")))</f>
      </c>
      <c r="AS179" s="26">
        <f>IF($A179="","",IF(AND(AR179&lt;&gt;"לא תואם",G179&lt;&gt;"לא ברור"),"אמין","לפרש בזהירות"))</f>
      </c>
    </row>
    <row r="180" ht="15" customHeight="1" spans="1:45" x14ac:dyDescent="0.2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6">
        <f>IF($A180="","",$A180&amp;"|"&amp;$C180)</f>
      </c>
      <c r="AF180" s="27">
        <f>IF($A180="","",IFERROR(COUNTIF(L180:M180,"כן")/(COUNTIF(L180:M180,"כן")+COUNTIF(L180:M180,"לא")),""))</f>
      </c>
      <c r="AG180" s="27">
        <f>IF($A180="","",IFERROR(COUNTIF(N180:O180,"כן")/(COUNTIF(N180:O180,"כן")+COUNTIF(N180:O180,"לא")),""))</f>
      </c>
      <c r="AH180" s="27">
        <f>IF($A180="","",IFERROR(COUNTIF(P180,"כן")/(COUNTIF(P180,"כן")+COUNTIF(P180,"לא")),""))</f>
      </c>
      <c r="AI180" s="27">
        <f>IF($A180="","",IFERROR(COUNTIF(Q180:R180,"כן")/(COUNTIF(Q180:R180,"כן")+COUNTIF(Q180:R180,"לא")),""))</f>
      </c>
      <c r="AJ180" s="27">
        <f>IF($A180="","",IFERROR(COUNTIF(S180:T180,"כן")/(COUNTIF(S180:T180,"כן")+COUNTIF(S180:T180,"לא")),""))</f>
      </c>
      <c r="AK180" s="27">
        <f>IF($A180="","",IFERROR(COUNTIF(L180:T180,"כן")/(COUNTIF(L180:T180,"כן")+COUNTIF(L180:T180,"לא")),""))</f>
      </c>
      <c r="AL180" s="28">
        <f>IF($A180="","",IFERROR(AVERAGE(U180:V180),""))</f>
      </c>
      <c r="AM180" s="28">
        <f>IF($A180="","",IFERROR(AVERAGE(W180:X180),""))</f>
      </c>
      <c r="AN180" s="28">
        <f>IF($A180="","",IFERROR(AVERAGE(Y180:Z180),""))</f>
      </c>
      <c r="AO180" s="28">
        <f>IF($A180="","",IFERROR(AVERAGE(AA180:AB180),""))</f>
      </c>
      <c r="AP180" s="28">
        <f>IF($A180="","",IFERROR(AVERAGE(AC180),""))</f>
      </c>
      <c r="AQ180" s="28">
        <f>IF($A180="","",IFERROR(AVERAGE(U180:AC180),""))</f>
      </c>
      <c r="AR180" s="26">
        <f>IF($A180="","",IF(AND(H180="",J180=""),"לא נבדק",IF(AND(OR(H180="",H180=I180),OR(J180="",J180=K180)),"תואם","לא תואם")))</f>
      </c>
      <c r="AS180" s="26">
        <f>IF($A180="","",IF(AND(AR180&lt;&gt;"לא תואם",G180&lt;&gt;"לא ברור"),"אמין","לפרש בזהירות"))</f>
      </c>
    </row>
    <row r="181" ht="15" customHeight="1" spans="1:45" x14ac:dyDescent="0.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6">
        <f>IF($A181="","",$A181&amp;"|"&amp;$C181)</f>
      </c>
      <c r="AF181" s="27">
        <f>IF($A181="","",IFERROR(COUNTIF(L181:M181,"כן")/(COUNTIF(L181:M181,"כן")+COUNTIF(L181:M181,"לא")),""))</f>
      </c>
      <c r="AG181" s="27">
        <f>IF($A181="","",IFERROR(COUNTIF(N181:O181,"כן")/(COUNTIF(N181:O181,"כן")+COUNTIF(N181:O181,"לא")),""))</f>
      </c>
      <c r="AH181" s="27">
        <f>IF($A181="","",IFERROR(COUNTIF(P181,"כן")/(COUNTIF(P181,"כן")+COUNTIF(P181,"לא")),""))</f>
      </c>
      <c r="AI181" s="27">
        <f>IF($A181="","",IFERROR(COUNTIF(Q181:R181,"כן")/(COUNTIF(Q181:R181,"כן")+COUNTIF(Q181:R181,"לא")),""))</f>
      </c>
      <c r="AJ181" s="27">
        <f>IF($A181="","",IFERROR(COUNTIF(S181:T181,"כן")/(COUNTIF(S181:T181,"כן")+COUNTIF(S181:T181,"לא")),""))</f>
      </c>
      <c r="AK181" s="27">
        <f>IF($A181="","",IFERROR(COUNTIF(L181:T181,"כן")/(COUNTIF(L181:T181,"כן")+COUNTIF(L181:T181,"לא")),""))</f>
      </c>
      <c r="AL181" s="28">
        <f>IF($A181="","",IFERROR(AVERAGE(U181:V181),""))</f>
      </c>
      <c r="AM181" s="28">
        <f>IF($A181="","",IFERROR(AVERAGE(W181:X181),""))</f>
      </c>
      <c r="AN181" s="28">
        <f>IF($A181="","",IFERROR(AVERAGE(Y181:Z181),""))</f>
      </c>
      <c r="AO181" s="28">
        <f>IF($A181="","",IFERROR(AVERAGE(AA181:AB181),""))</f>
      </c>
      <c r="AP181" s="28">
        <f>IF($A181="","",IFERROR(AVERAGE(AC181),""))</f>
      </c>
      <c r="AQ181" s="28">
        <f>IF($A181="","",IFERROR(AVERAGE(U181:AC181),""))</f>
      </c>
      <c r="AR181" s="26">
        <f>IF($A181="","",IF(AND(H181="",J181=""),"לא נבדק",IF(AND(OR(H181="",H181=I181),OR(J181="",J181=K181)),"תואם","לא תואם")))</f>
      </c>
      <c r="AS181" s="26">
        <f>IF($A181="","",IF(AND(AR181&lt;&gt;"לא תואם",G181&lt;&gt;"לא ברור"),"אמין","לפרש בזהירות"))</f>
      </c>
    </row>
    <row r="182" ht="15" customHeight="1" spans="1:45" x14ac:dyDescent="0.2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6">
        <f>IF($A182="","",$A182&amp;"|"&amp;$C182)</f>
      </c>
      <c r="AF182" s="27">
        <f>IF($A182="","",IFERROR(COUNTIF(L182:M182,"כן")/(COUNTIF(L182:M182,"כן")+COUNTIF(L182:M182,"לא")),""))</f>
      </c>
      <c r="AG182" s="27">
        <f>IF($A182="","",IFERROR(COUNTIF(N182:O182,"כן")/(COUNTIF(N182:O182,"כן")+COUNTIF(N182:O182,"לא")),""))</f>
      </c>
      <c r="AH182" s="27">
        <f>IF($A182="","",IFERROR(COUNTIF(P182,"כן")/(COUNTIF(P182,"כן")+COUNTIF(P182,"לא")),""))</f>
      </c>
      <c r="AI182" s="27">
        <f>IF($A182="","",IFERROR(COUNTIF(Q182:R182,"כן")/(COUNTIF(Q182:R182,"כן")+COUNTIF(Q182:R182,"לא")),""))</f>
      </c>
      <c r="AJ182" s="27">
        <f>IF($A182="","",IFERROR(COUNTIF(S182:T182,"כן")/(COUNTIF(S182:T182,"כן")+COUNTIF(S182:T182,"לא")),""))</f>
      </c>
      <c r="AK182" s="27">
        <f>IF($A182="","",IFERROR(COUNTIF(L182:T182,"כן")/(COUNTIF(L182:T182,"כן")+COUNTIF(L182:T182,"לא")),""))</f>
      </c>
      <c r="AL182" s="28">
        <f>IF($A182="","",IFERROR(AVERAGE(U182:V182),""))</f>
      </c>
      <c r="AM182" s="28">
        <f>IF($A182="","",IFERROR(AVERAGE(W182:X182),""))</f>
      </c>
      <c r="AN182" s="28">
        <f>IF($A182="","",IFERROR(AVERAGE(Y182:Z182),""))</f>
      </c>
      <c r="AO182" s="28">
        <f>IF($A182="","",IFERROR(AVERAGE(AA182:AB182),""))</f>
      </c>
      <c r="AP182" s="28">
        <f>IF($A182="","",IFERROR(AVERAGE(AC182),""))</f>
      </c>
      <c r="AQ182" s="28">
        <f>IF($A182="","",IFERROR(AVERAGE(U182:AC182),""))</f>
      </c>
      <c r="AR182" s="26">
        <f>IF($A182="","",IF(AND(H182="",J182=""),"לא נבדק",IF(AND(OR(H182="",H182=I182),OR(J182="",J182=K182)),"תואם","לא תואם")))</f>
      </c>
      <c r="AS182" s="26">
        <f>IF($A182="","",IF(AND(AR182&lt;&gt;"לא תואם",G182&lt;&gt;"לא ברור"),"אמין","לפרש בזהירות"))</f>
      </c>
    </row>
    <row r="183" ht="15" customHeight="1" spans="1:45" x14ac:dyDescent="0.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6">
        <f>IF($A183="","",$A183&amp;"|"&amp;$C183)</f>
      </c>
      <c r="AF183" s="27">
        <f>IF($A183="","",IFERROR(COUNTIF(L183:M183,"כן")/(COUNTIF(L183:M183,"כן")+COUNTIF(L183:M183,"לא")),""))</f>
      </c>
      <c r="AG183" s="27">
        <f>IF($A183="","",IFERROR(COUNTIF(N183:O183,"כן")/(COUNTIF(N183:O183,"כן")+COUNTIF(N183:O183,"לא")),""))</f>
      </c>
      <c r="AH183" s="27">
        <f>IF($A183="","",IFERROR(COUNTIF(P183,"כן")/(COUNTIF(P183,"כן")+COUNTIF(P183,"לא")),""))</f>
      </c>
      <c r="AI183" s="27">
        <f>IF($A183="","",IFERROR(COUNTIF(Q183:R183,"כן")/(COUNTIF(Q183:R183,"כן")+COUNTIF(Q183:R183,"לא")),""))</f>
      </c>
      <c r="AJ183" s="27">
        <f>IF($A183="","",IFERROR(COUNTIF(S183:T183,"כן")/(COUNTIF(S183:T183,"כן")+COUNTIF(S183:T183,"לא")),""))</f>
      </c>
      <c r="AK183" s="27">
        <f>IF($A183="","",IFERROR(COUNTIF(L183:T183,"כן")/(COUNTIF(L183:T183,"כן")+COUNTIF(L183:T183,"לא")),""))</f>
      </c>
      <c r="AL183" s="28">
        <f>IF($A183="","",IFERROR(AVERAGE(U183:V183),""))</f>
      </c>
      <c r="AM183" s="28">
        <f>IF($A183="","",IFERROR(AVERAGE(W183:X183),""))</f>
      </c>
      <c r="AN183" s="28">
        <f>IF($A183="","",IFERROR(AVERAGE(Y183:Z183),""))</f>
      </c>
      <c r="AO183" s="28">
        <f>IF($A183="","",IFERROR(AVERAGE(AA183:AB183),""))</f>
      </c>
      <c r="AP183" s="28">
        <f>IF($A183="","",IFERROR(AVERAGE(AC183),""))</f>
      </c>
      <c r="AQ183" s="28">
        <f>IF($A183="","",IFERROR(AVERAGE(U183:AC183),""))</f>
      </c>
      <c r="AR183" s="26">
        <f>IF($A183="","",IF(AND(H183="",J183=""),"לא נבדק",IF(AND(OR(H183="",H183=I183),OR(J183="",J183=K183)),"תואם","לא תואם")))</f>
      </c>
      <c r="AS183" s="26">
        <f>IF($A183="","",IF(AND(AR183&lt;&gt;"לא תואם",G183&lt;&gt;"לא ברור"),"אמין","לפרש בזהירות"))</f>
      </c>
    </row>
    <row r="184" ht="15" customHeight="1" spans="1:45" x14ac:dyDescent="0.2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6">
        <f>IF($A184="","",$A184&amp;"|"&amp;$C184)</f>
      </c>
      <c r="AF184" s="27">
        <f>IF($A184="","",IFERROR(COUNTIF(L184:M184,"כן")/(COUNTIF(L184:M184,"כן")+COUNTIF(L184:M184,"לא")),""))</f>
      </c>
      <c r="AG184" s="27">
        <f>IF($A184="","",IFERROR(COUNTIF(N184:O184,"כן")/(COUNTIF(N184:O184,"כן")+COUNTIF(N184:O184,"לא")),""))</f>
      </c>
      <c r="AH184" s="27">
        <f>IF($A184="","",IFERROR(COUNTIF(P184,"כן")/(COUNTIF(P184,"כן")+COUNTIF(P184,"לא")),""))</f>
      </c>
      <c r="AI184" s="27">
        <f>IF($A184="","",IFERROR(COUNTIF(Q184:R184,"כן")/(COUNTIF(Q184:R184,"כן")+COUNTIF(Q184:R184,"לא")),""))</f>
      </c>
      <c r="AJ184" s="27">
        <f>IF($A184="","",IFERROR(COUNTIF(S184:T184,"כן")/(COUNTIF(S184:T184,"כן")+COUNTIF(S184:T184,"לא")),""))</f>
      </c>
      <c r="AK184" s="27">
        <f>IF($A184="","",IFERROR(COUNTIF(L184:T184,"כן")/(COUNTIF(L184:T184,"כן")+COUNTIF(L184:T184,"לא")),""))</f>
      </c>
      <c r="AL184" s="28">
        <f>IF($A184="","",IFERROR(AVERAGE(U184:V184),""))</f>
      </c>
      <c r="AM184" s="28">
        <f>IF($A184="","",IFERROR(AVERAGE(W184:X184),""))</f>
      </c>
      <c r="AN184" s="28">
        <f>IF($A184="","",IFERROR(AVERAGE(Y184:Z184),""))</f>
      </c>
      <c r="AO184" s="28">
        <f>IF($A184="","",IFERROR(AVERAGE(AA184:AB184),""))</f>
      </c>
      <c r="AP184" s="28">
        <f>IF($A184="","",IFERROR(AVERAGE(AC184),""))</f>
      </c>
      <c r="AQ184" s="28">
        <f>IF($A184="","",IFERROR(AVERAGE(U184:AC184),""))</f>
      </c>
      <c r="AR184" s="26">
        <f>IF($A184="","",IF(AND(H184="",J184=""),"לא נבדק",IF(AND(OR(H184="",H184=I184),OR(J184="",J184=K184)),"תואם","לא תואם")))</f>
      </c>
      <c r="AS184" s="26">
        <f>IF($A184="","",IF(AND(AR184&lt;&gt;"לא תואם",G184&lt;&gt;"לא ברור"),"אמין","לפרש בזהירות"))</f>
      </c>
    </row>
    <row r="185" ht="15" customHeight="1" spans="1:45" x14ac:dyDescent="0.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6">
        <f>IF($A185="","",$A185&amp;"|"&amp;$C185)</f>
      </c>
      <c r="AF185" s="27">
        <f>IF($A185="","",IFERROR(COUNTIF(L185:M185,"כן")/(COUNTIF(L185:M185,"כן")+COUNTIF(L185:M185,"לא")),""))</f>
      </c>
      <c r="AG185" s="27">
        <f>IF($A185="","",IFERROR(COUNTIF(N185:O185,"כן")/(COUNTIF(N185:O185,"כן")+COUNTIF(N185:O185,"לא")),""))</f>
      </c>
      <c r="AH185" s="27">
        <f>IF($A185="","",IFERROR(COUNTIF(P185,"כן")/(COUNTIF(P185,"כן")+COUNTIF(P185,"לא")),""))</f>
      </c>
      <c r="AI185" s="27">
        <f>IF($A185="","",IFERROR(COUNTIF(Q185:R185,"כן")/(COUNTIF(Q185:R185,"כן")+COUNTIF(Q185:R185,"לא")),""))</f>
      </c>
      <c r="AJ185" s="27">
        <f>IF($A185="","",IFERROR(COUNTIF(S185:T185,"כן")/(COUNTIF(S185:T185,"כן")+COUNTIF(S185:T185,"לא")),""))</f>
      </c>
      <c r="AK185" s="27">
        <f>IF($A185="","",IFERROR(COUNTIF(L185:T185,"כן")/(COUNTIF(L185:T185,"כן")+COUNTIF(L185:T185,"לא")),""))</f>
      </c>
      <c r="AL185" s="28">
        <f>IF($A185="","",IFERROR(AVERAGE(U185:V185),""))</f>
      </c>
      <c r="AM185" s="28">
        <f>IF($A185="","",IFERROR(AVERAGE(W185:X185),""))</f>
      </c>
      <c r="AN185" s="28">
        <f>IF($A185="","",IFERROR(AVERAGE(Y185:Z185),""))</f>
      </c>
      <c r="AO185" s="28">
        <f>IF($A185="","",IFERROR(AVERAGE(AA185:AB185),""))</f>
      </c>
      <c r="AP185" s="28">
        <f>IF($A185="","",IFERROR(AVERAGE(AC185),""))</f>
      </c>
      <c r="AQ185" s="28">
        <f>IF($A185="","",IFERROR(AVERAGE(U185:AC185),""))</f>
      </c>
      <c r="AR185" s="26">
        <f>IF($A185="","",IF(AND(H185="",J185=""),"לא נבדק",IF(AND(OR(H185="",H185=I185),OR(J185="",J185=K185)),"תואם","לא תואם")))</f>
      </c>
      <c r="AS185" s="26">
        <f>IF($A185="","",IF(AND(AR185&lt;&gt;"לא תואם",G185&lt;&gt;"לא ברור"),"אמין","לפרש בזהירות"))</f>
      </c>
    </row>
    <row r="186" ht="15" customHeight="1" spans="1:45" x14ac:dyDescent="0.2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6">
        <f>IF($A186="","",$A186&amp;"|"&amp;$C186)</f>
      </c>
      <c r="AF186" s="27">
        <f>IF($A186="","",IFERROR(COUNTIF(L186:M186,"כן")/(COUNTIF(L186:M186,"כן")+COUNTIF(L186:M186,"לא")),""))</f>
      </c>
      <c r="AG186" s="27">
        <f>IF($A186="","",IFERROR(COUNTIF(N186:O186,"כן")/(COUNTIF(N186:O186,"כן")+COUNTIF(N186:O186,"לא")),""))</f>
      </c>
      <c r="AH186" s="27">
        <f>IF($A186="","",IFERROR(COUNTIF(P186,"כן")/(COUNTIF(P186,"כן")+COUNTIF(P186,"לא")),""))</f>
      </c>
      <c r="AI186" s="27">
        <f>IF($A186="","",IFERROR(COUNTIF(Q186:R186,"כן")/(COUNTIF(Q186:R186,"כן")+COUNTIF(Q186:R186,"לא")),""))</f>
      </c>
      <c r="AJ186" s="27">
        <f>IF($A186="","",IFERROR(COUNTIF(S186:T186,"כן")/(COUNTIF(S186:T186,"כן")+COUNTIF(S186:T186,"לא")),""))</f>
      </c>
      <c r="AK186" s="27">
        <f>IF($A186="","",IFERROR(COUNTIF(L186:T186,"כן")/(COUNTIF(L186:T186,"כן")+COUNTIF(L186:T186,"לא")),""))</f>
      </c>
      <c r="AL186" s="28">
        <f>IF($A186="","",IFERROR(AVERAGE(U186:V186),""))</f>
      </c>
      <c r="AM186" s="28">
        <f>IF($A186="","",IFERROR(AVERAGE(W186:X186),""))</f>
      </c>
      <c r="AN186" s="28">
        <f>IF($A186="","",IFERROR(AVERAGE(Y186:Z186),""))</f>
      </c>
      <c r="AO186" s="28">
        <f>IF($A186="","",IFERROR(AVERAGE(AA186:AB186),""))</f>
      </c>
      <c r="AP186" s="28">
        <f>IF($A186="","",IFERROR(AVERAGE(AC186),""))</f>
      </c>
      <c r="AQ186" s="28">
        <f>IF($A186="","",IFERROR(AVERAGE(U186:AC186),""))</f>
      </c>
      <c r="AR186" s="26">
        <f>IF($A186="","",IF(AND(H186="",J186=""),"לא נבדק",IF(AND(OR(H186="",H186=I186),OR(J186="",J186=K186)),"תואם","לא תואם")))</f>
      </c>
      <c r="AS186" s="26">
        <f>IF($A186="","",IF(AND(AR186&lt;&gt;"לא תואם",G186&lt;&gt;"לא ברור"),"אמין","לפרש בזהירות"))</f>
      </c>
    </row>
    <row r="187" ht="15" customHeight="1" spans="1:45" x14ac:dyDescent="0.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6">
        <f>IF($A187="","",$A187&amp;"|"&amp;$C187)</f>
      </c>
      <c r="AF187" s="27">
        <f>IF($A187="","",IFERROR(COUNTIF(L187:M187,"כן")/(COUNTIF(L187:M187,"כן")+COUNTIF(L187:M187,"לא")),""))</f>
      </c>
      <c r="AG187" s="27">
        <f>IF($A187="","",IFERROR(COUNTIF(N187:O187,"כן")/(COUNTIF(N187:O187,"כן")+COUNTIF(N187:O187,"לא")),""))</f>
      </c>
      <c r="AH187" s="27">
        <f>IF($A187="","",IFERROR(COUNTIF(P187,"כן")/(COUNTIF(P187,"כן")+COUNTIF(P187,"לא")),""))</f>
      </c>
      <c r="AI187" s="27">
        <f>IF($A187="","",IFERROR(COUNTIF(Q187:R187,"כן")/(COUNTIF(Q187:R187,"כן")+COUNTIF(Q187:R187,"לא")),""))</f>
      </c>
      <c r="AJ187" s="27">
        <f>IF($A187="","",IFERROR(COUNTIF(S187:T187,"כן")/(COUNTIF(S187:T187,"כן")+COUNTIF(S187:T187,"לא")),""))</f>
      </c>
      <c r="AK187" s="27">
        <f>IF($A187="","",IFERROR(COUNTIF(L187:T187,"כן")/(COUNTIF(L187:T187,"כן")+COUNTIF(L187:T187,"לא")),""))</f>
      </c>
      <c r="AL187" s="28">
        <f>IF($A187="","",IFERROR(AVERAGE(U187:V187),""))</f>
      </c>
      <c r="AM187" s="28">
        <f>IF($A187="","",IFERROR(AVERAGE(W187:X187),""))</f>
      </c>
      <c r="AN187" s="28">
        <f>IF($A187="","",IFERROR(AVERAGE(Y187:Z187),""))</f>
      </c>
      <c r="AO187" s="28">
        <f>IF($A187="","",IFERROR(AVERAGE(AA187:AB187),""))</f>
      </c>
      <c r="AP187" s="28">
        <f>IF($A187="","",IFERROR(AVERAGE(AC187),""))</f>
      </c>
      <c r="AQ187" s="28">
        <f>IF($A187="","",IFERROR(AVERAGE(U187:AC187),""))</f>
      </c>
      <c r="AR187" s="26">
        <f>IF($A187="","",IF(AND(H187="",J187=""),"לא נבדק",IF(AND(OR(H187="",H187=I187),OR(J187="",J187=K187)),"תואם","לא תואם")))</f>
      </c>
      <c r="AS187" s="26">
        <f>IF($A187="","",IF(AND(AR187&lt;&gt;"לא תואם",G187&lt;&gt;"לא ברור"),"אמין","לפרש בזהירות"))</f>
      </c>
    </row>
    <row r="188" ht="15" customHeight="1" spans="1:45" x14ac:dyDescent="0.2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6">
        <f>IF($A188="","",$A188&amp;"|"&amp;$C188)</f>
      </c>
      <c r="AF188" s="27">
        <f>IF($A188="","",IFERROR(COUNTIF(L188:M188,"כן")/(COUNTIF(L188:M188,"כן")+COUNTIF(L188:M188,"לא")),""))</f>
      </c>
      <c r="AG188" s="27">
        <f>IF($A188="","",IFERROR(COUNTIF(N188:O188,"כן")/(COUNTIF(N188:O188,"כן")+COUNTIF(N188:O188,"לא")),""))</f>
      </c>
      <c r="AH188" s="27">
        <f>IF($A188="","",IFERROR(COUNTIF(P188,"כן")/(COUNTIF(P188,"כן")+COUNTIF(P188,"לא")),""))</f>
      </c>
      <c r="AI188" s="27">
        <f>IF($A188="","",IFERROR(COUNTIF(Q188:R188,"כן")/(COUNTIF(Q188:R188,"כן")+COUNTIF(Q188:R188,"לא")),""))</f>
      </c>
      <c r="AJ188" s="27">
        <f>IF($A188="","",IFERROR(COUNTIF(S188:T188,"כן")/(COUNTIF(S188:T188,"כן")+COUNTIF(S188:T188,"לא")),""))</f>
      </c>
      <c r="AK188" s="27">
        <f>IF($A188="","",IFERROR(COUNTIF(L188:T188,"כן")/(COUNTIF(L188:T188,"כן")+COUNTIF(L188:T188,"לא")),""))</f>
      </c>
      <c r="AL188" s="28">
        <f>IF($A188="","",IFERROR(AVERAGE(U188:V188),""))</f>
      </c>
      <c r="AM188" s="28">
        <f>IF($A188="","",IFERROR(AVERAGE(W188:X188),""))</f>
      </c>
      <c r="AN188" s="28">
        <f>IF($A188="","",IFERROR(AVERAGE(Y188:Z188),""))</f>
      </c>
      <c r="AO188" s="28">
        <f>IF($A188="","",IFERROR(AVERAGE(AA188:AB188),""))</f>
      </c>
      <c r="AP188" s="28">
        <f>IF($A188="","",IFERROR(AVERAGE(AC188),""))</f>
      </c>
      <c r="AQ188" s="28">
        <f>IF($A188="","",IFERROR(AVERAGE(U188:AC188),""))</f>
      </c>
      <c r="AR188" s="26">
        <f>IF($A188="","",IF(AND(H188="",J188=""),"לא נבדק",IF(AND(OR(H188="",H188=I188),OR(J188="",J188=K188)),"תואם","לא תואם")))</f>
      </c>
      <c r="AS188" s="26">
        <f>IF($A188="","",IF(AND(AR188&lt;&gt;"לא תואם",G188&lt;&gt;"לא ברור"),"אמין","לפרש בזהירות"))</f>
      </c>
    </row>
    <row r="189" ht="15" customHeight="1" spans="1:45" x14ac:dyDescent="0.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6">
        <f>IF($A189="","",$A189&amp;"|"&amp;$C189)</f>
      </c>
      <c r="AF189" s="27">
        <f>IF($A189="","",IFERROR(COUNTIF(L189:M189,"כן")/(COUNTIF(L189:M189,"כן")+COUNTIF(L189:M189,"לא")),""))</f>
      </c>
      <c r="AG189" s="27">
        <f>IF($A189="","",IFERROR(COUNTIF(N189:O189,"כן")/(COUNTIF(N189:O189,"כן")+COUNTIF(N189:O189,"לא")),""))</f>
      </c>
      <c r="AH189" s="27">
        <f>IF($A189="","",IFERROR(COUNTIF(P189,"כן")/(COUNTIF(P189,"כן")+COUNTIF(P189,"לא")),""))</f>
      </c>
      <c r="AI189" s="27">
        <f>IF($A189="","",IFERROR(COUNTIF(Q189:R189,"כן")/(COUNTIF(Q189:R189,"כן")+COUNTIF(Q189:R189,"לא")),""))</f>
      </c>
      <c r="AJ189" s="27">
        <f>IF($A189="","",IFERROR(COUNTIF(S189:T189,"כן")/(COUNTIF(S189:T189,"כן")+COUNTIF(S189:T189,"לא")),""))</f>
      </c>
      <c r="AK189" s="27">
        <f>IF($A189="","",IFERROR(COUNTIF(L189:T189,"כן")/(COUNTIF(L189:T189,"כן")+COUNTIF(L189:T189,"לא")),""))</f>
      </c>
      <c r="AL189" s="28">
        <f>IF($A189="","",IFERROR(AVERAGE(U189:V189),""))</f>
      </c>
      <c r="AM189" s="28">
        <f>IF($A189="","",IFERROR(AVERAGE(W189:X189),""))</f>
      </c>
      <c r="AN189" s="28">
        <f>IF($A189="","",IFERROR(AVERAGE(Y189:Z189),""))</f>
      </c>
      <c r="AO189" s="28">
        <f>IF($A189="","",IFERROR(AVERAGE(AA189:AB189),""))</f>
      </c>
      <c r="AP189" s="28">
        <f>IF($A189="","",IFERROR(AVERAGE(AC189),""))</f>
      </c>
      <c r="AQ189" s="28">
        <f>IF($A189="","",IFERROR(AVERAGE(U189:AC189),""))</f>
      </c>
      <c r="AR189" s="26">
        <f>IF($A189="","",IF(AND(H189="",J189=""),"לא נבדק",IF(AND(OR(H189="",H189=I189),OR(J189="",J189=K189)),"תואם","לא תואם")))</f>
      </c>
      <c r="AS189" s="26">
        <f>IF($A189="","",IF(AND(AR189&lt;&gt;"לא תואם",G189&lt;&gt;"לא ברור"),"אמין","לפרש בזהירות"))</f>
      </c>
    </row>
    <row r="190" ht="15" customHeight="1" spans="1:45" x14ac:dyDescent="0.2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6">
        <f>IF($A190="","",$A190&amp;"|"&amp;$C190)</f>
      </c>
      <c r="AF190" s="27">
        <f>IF($A190="","",IFERROR(COUNTIF(L190:M190,"כן")/(COUNTIF(L190:M190,"כן")+COUNTIF(L190:M190,"לא")),""))</f>
      </c>
      <c r="AG190" s="27">
        <f>IF($A190="","",IFERROR(COUNTIF(N190:O190,"כן")/(COUNTIF(N190:O190,"כן")+COUNTIF(N190:O190,"לא")),""))</f>
      </c>
      <c r="AH190" s="27">
        <f>IF($A190="","",IFERROR(COUNTIF(P190,"כן")/(COUNTIF(P190,"כן")+COUNTIF(P190,"לא")),""))</f>
      </c>
      <c r="AI190" s="27">
        <f>IF($A190="","",IFERROR(COUNTIF(Q190:R190,"כן")/(COUNTIF(Q190:R190,"כן")+COUNTIF(Q190:R190,"לא")),""))</f>
      </c>
      <c r="AJ190" s="27">
        <f>IF($A190="","",IFERROR(COUNTIF(S190:T190,"כן")/(COUNTIF(S190:T190,"כן")+COUNTIF(S190:T190,"לא")),""))</f>
      </c>
      <c r="AK190" s="27">
        <f>IF($A190="","",IFERROR(COUNTIF(L190:T190,"כן")/(COUNTIF(L190:T190,"כן")+COUNTIF(L190:T190,"לא")),""))</f>
      </c>
      <c r="AL190" s="28">
        <f>IF($A190="","",IFERROR(AVERAGE(U190:V190),""))</f>
      </c>
      <c r="AM190" s="28">
        <f>IF($A190="","",IFERROR(AVERAGE(W190:X190),""))</f>
      </c>
      <c r="AN190" s="28">
        <f>IF($A190="","",IFERROR(AVERAGE(Y190:Z190),""))</f>
      </c>
      <c r="AO190" s="28">
        <f>IF($A190="","",IFERROR(AVERAGE(AA190:AB190),""))</f>
      </c>
      <c r="AP190" s="28">
        <f>IF($A190="","",IFERROR(AVERAGE(AC190),""))</f>
      </c>
      <c r="AQ190" s="28">
        <f>IF($A190="","",IFERROR(AVERAGE(U190:AC190),""))</f>
      </c>
      <c r="AR190" s="26">
        <f>IF($A190="","",IF(AND(H190="",J190=""),"לא נבדק",IF(AND(OR(H190="",H190=I190),OR(J190="",J190=K190)),"תואם","לא תואם")))</f>
      </c>
      <c r="AS190" s="26">
        <f>IF($A190="","",IF(AND(AR190&lt;&gt;"לא תואם",G190&lt;&gt;"לא ברור"),"אמין","לפרש בזהירות"))</f>
      </c>
    </row>
    <row r="191" ht="15" customHeight="1" spans="1:45" x14ac:dyDescent="0.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6">
        <f>IF($A191="","",$A191&amp;"|"&amp;$C191)</f>
      </c>
      <c r="AF191" s="27">
        <f>IF($A191="","",IFERROR(COUNTIF(L191:M191,"כן")/(COUNTIF(L191:M191,"כן")+COUNTIF(L191:M191,"לא")),""))</f>
      </c>
      <c r="AG191" s="27">
        <f>IF($A191="","",IFERROR(COUNTIF(N191:O191,"כן")/(COUNTIF(N191:O191,"כן")+COUNTIF(N191:O191,"לא")),""))</f>
      </c>
      <c r="AH191" s="27">
        <f>IF($A191="","",IFERROR(COUNTIF(P191,"כן")/(COUNTIF(P191,"כן")+COUNTIF(P191,"לא")),""))</f>
      </c>
      <c r="AI191" s="27">
        <f>IF($A191="","",IFERROR(COUNTIF(Q191:R191,"כן")/(COUNTIF(Q191:R191,"כן")+COUNTIF(Q191:R191,"לא")),""))</f>
      </c>
      <c r="AJ191" s="27">
        <f>IF($A191="","",IFERROR(COUNTIF(S191:T191,"כן")/(COUNTIF(S191:T191,"כן")+COUNTIF(S191:T191,"לא")),""))</f>
      </c>
      <c r="AK191" s="27">
        <f>IF($A191="","",IFERROR(COUNTIF(L191:T191,"כן")/(COUNTIF(L191:T191,"כן")+COUNTIF(L191:T191,"לא")),""))</f>
      </c>
      <c r="AL191" s="28">
        <f>IF($A191="","",IFERROR(AVERAGE(U191:V191),""))</f>
      </c>
      <c r="AM191" s="28">
        <f>IF($A191="","",IFERROR(AVERAGE(W191:X191),""))</f>
      </c>
      <c r="AN191" s="28">
        <f>IF($A191="","",IFERROR(AVERAGE(Y191:Z191),""))</f>
      </c>
      <c r="AO191" s="28">
        <f>IF($A191="","",IFERROR(AVERAGE(AA191:AB191),""))</f>
      </c>
      <c r="AP191" s="28">
        <f>IF($A191="","",IFERROR(AVERAGE(AC191),""))</f>
      </c>
      <c r="AQ191" s="28">
        <f>IF($A191="","",IFERROR(AVERAGE(U191:AC191),""))</f>
      </c>
      <c r="AR191" s="26">
        <f>IF($A191="","",IF(AND(H191="",J191=""),"לא נבדק",IF(AND(OR(H191="",H191=I191),OR(J191="",J191=K191)),"תואם","לא תואם")))</f>
      </c>
      <c r="AS191" s="26">
        <f>IF($A191="","",IF(AND(AR191&lt;&gt;"לא תואם",G191&lt;&gt;"לא ברור"),"אמין","לפרש בזהירות"))</f>
      </c>
    </row>
    <row r="192" ht="15" customHeight="1" spans="1:45" x14ac:dyDescent="0.2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6">
        <f>IF($A192="","",$A192&amp;"|"&amp;$C192)</f>
      </c>
      <c r="AF192" s="27">
        <f>IF($A192="","",IFERROR(COUNTIF(L192:M192,"כן")/(COUNTIF(L192:M192,"כן")+COUNTIF(L192:M192,"לא")),""))</f>
      </c>
      <c r="AG192" s="27">
        <f>IF($A192="","",IFERROR(COUNTIF(N192:O192,"כן")/(COUNTIF(N192:O192,"כן")+COUNTIF(N192:O192,"לא")),""))</f>
      </c>
      <c r="AH192" s="27">
        <f>IF($A192="","",IFERROR(COUNTIF(P192,"כן")/(COUNTIF(P192,"כן")+COUNTIF(P192,"לא")),""))</f>
      </c>
      <c r="AI192" s="27">
        <f>IF($A192="","",IFERROR(COUNTIF(Q192:R192,"כן")/(COUNTIF(Q192:R192,"כן")+COUNTIF(Q192:R192,"לא")),""))</f>
      </c>
      <c r="AJ192" s="27">
        <f>IF($A192="","",IFERROR(COUNTIF(S192:T192,"כן")/(COUNTIF(S192:T192,"כן")+COUNTIF(S192:T192,"לא")),""))</f>
      </c>
      <c r="AK192" s="27">
        <f>IF($A192="","",IFERROR(COUNTIF(L192:T192,"כן")/(COUNTIF(L192:T192,"כן")+COUNTIF(L192:T192,"לא")),""))</f>
      </c>
      <c r="AL192" s="28">
        <f>IF($A192="","",IFERROR(AVERAGE(U192:V192),""))</f>
      </c>
      <c r="AM192" s="28">
        <f>IF($A192="","",IFERROR(AVERAGE(W192:X192),""))</f>
      </c>
      <c r="AN192" s="28">
        <f>IF($A192="","",IFERROR(AVERAGE(Y192:Z192),""))</f>
      </c>
      <c r="AO192" s="28">
        <f>IF($A192="","",IFERROR(AVERAGE(AA192:AB192),""))</f>
      </c>
      <c r="AP192" s="28">
        <f>IF($A192="","",IFERROR(AVERAGE(AC192),""))</f>
      </c>
      <c r="AQ192" s="28">
        <f>IF($A192="","",IFERROR(AVERAGE(U192:AC192),""))</f>
      </c>
      <c r="AR192" s="26">
        <f>IF($A192="","",IF(AND(H192="",J192=""),"לא נבדק",IF(AND(OR(H192="",H192=I192),OR(J192="",J192=K192)),"תואם","לא תואם")))</f>
      </c>
      <c r="AS192" s="26">
        <f>IF($A192="","",IF(AND(AR192&lt;&gt;"לא תואם",G192&lt;&gt;"לא ברור"),"אמין","לפרש בזהירות"))</f>
      </c>
    </row>
    <row r="193" ht="15" customHeight="1" spans="1:45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6">
        <f>IF($A193="","",$A193&amp;"|"&amp;$C193)</f>
      </c>
      <c r="AF193" s="27">
        <f>IF($A193="","",IFERROR(COUNTIF(L193:M193,"כן")/(COUNTIF(L193:M193,"כן")+COUNTIF(L193:M193,"לא")),""))</f>
      </c>
      <c r="AG193" s="27">
        <f>IF($A193="","",IFERROR(COUNTIF(N193:O193,"כן")/(COUNTIF(N193:O193,"כן")+COUNTIF(N193:O193,"לא")),""))</f>
      </c>
      <c r="AH193" s="27">
        <f>IF($A193="","",IFERROR(COUNTIF(P193,"כן")/(COUNTIF(P193,"כן")+COUNTIF(P193,"לא")),""))</f>
      </c>
      <c r="AI193" s="27">
        <f>IF($A193="","",IFERROR(COUNTIF(Q193:R193,"כן")/(COUNTIF(Q193:R193,"כן")+COUNTIF(Q193:R193,"לא")),""))</f>
      </c>
      <c r="AJ193" s="27">
        <f>IF($A193="","",IFERROR(COUNTIF(S193:T193,"כן")/(COUNTIF(S193:T193,"כן")+COUNTIF(S193:T193,"לא")),""))</f>
      </c>
      <c r="AK193" s="27">
        <f>IF($A193="","",IFERROR(COUNTIF(L193:T193,"כן")/(COUNTIF(L193:T193,"כן")+COUNTIF(L193:T193,"לא")),""))</f>
      </c>
      <c r="AL193" s="28">
        <f>IF($A193="","",IFERROR(AVERAGE(U193:V193),""))</f>
      </c>
      <c r="AM193" s="28">
        <f>IF($A193="","",IFERROR(AVERAGE(W193:X193),""))</f>
      </c>
      <c r="AN193" s="28">
        <f>IF($A193="","",IFERROR(AVERAGE(Y193:Z193),""))</f>
      </c>
      <c r="AO193" s="28">
        <f>IF($A193="","",IFERROR(AVERAGE(AA193:AB193),""))</f>
      </c>
      <c r="AP193" s="28">
        <f>IF($A193="","",IFERROR(AVERAGE(AC193),""))</f>
      </c>
      <c r="AQ193" s="28">
        <f>IF($A193="","",IFERROR(AVERAGE(U193:AC193),""))</f>
      </c>
      <c r="AR193" s="26">
        <f>IF($A193="","",IF(AND(H193="",J193=""),"לא נבדק",IF(AND(OR(H193="",H193=I193),OR(J193="",J193=K193)),"תואם","לא תואם")))</f>
      </c>
      <c r="AS193" s="26">
        <f>IF($A193="","",IF(AND(AR193&lt;&gt;"לא תואם",G193&lt;&gt;"לא ברור"),"אמין","לפרש בזהירות"))</f>
      </c>
    </row>
    <row r="194" ht="15" customHeight="1" spans="1:45" x14ac:dyDescent="0.2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6">
        <f>IF($A194="","",$A194&amp;"|"&amp;$C194)</f>
      </c>
      <c r="AF194" s="27">
        <f>IF($A194="","",IFERROR(COUNTIF(L194:M194,"כן")/(COUNTIF(L194:M194,"כן")+COUNTIF(L194:M194,"לא")),""))</f>
      </c>
      <c r="AG194" s="27">
        <f>IF($A194="","",IFERROR(COUNTIF(N194:O194,"כן")/(COUNTIF(N194:O194,"כן")+COUNTIF(N194:O194,"לא")),""))</f>
      </c>
      <c r="AH194" s="27">
        <f>IF($A194="","",IFERROR(COUNTIF(P194,"כן")/(COUNTIF(P194,"כן")+COUNTIF(P194,"לא")),""))</f>
      </c>
      <c r="AI194" s="27">
        <f>IF($A194="","",IFERROR(COUNTIF(Q194:R194,"כן")/(COUNTIF(Q194:R194,"כן")+COUNTIF(Q194:R194,"לא")),""))</f>
      </c>
      <c r="AJ194" s="27">
        <f>IF($A194="","",IFERROR(COUNTIF(S194:T194,"כן")/(COUNTIF(S194:T194,"כן")+COUNTIF(S194:T194,"לא")),""))</f>
      </c>
      <c r="AK194" s="27">
        <f>IF($A194="","",IFERROR(COUNTIF(L194:T194,"כן")/(COUNTIF(L194:T194,"כן")+COUNTIF(L194:T194,"לא")),""))</f>
      </c>
      <c r="AL194" s="28">
        <f>IF($A194="","",IFERROR(AVERAGE(U194:V194),""))</f>
      </c>
      <c r="AM194" s="28">
        <f>IF($A194="","",IFERROR(AVERAGE(W194:X194),""))</f>
      </c>
      <c r="AN194" s="28">
        <f>IF($A194="","",IFERROR(AVERAGE(Y194:Z194),""))</f>
      </c>
      <c r="AO194" s="28">
        <f>IF($A194="","",IFERROR(AVERAGE(AA194:AB194),""))</f>
      </c>
      <c r="AP194" s="28">
        <f>IF($A194="","",IFERROR(AVERAGE(AC194),""))</f>
      </c>
      <c r="AQ194" s="28">
        <f>IF($A194="","",IFERROR(AVERAGE(U194:AC194),""))</f>
      </c>
      <c r="AR194" s="26">
        <f>IF($A194="","",IF(AND(H194="",J194=""),"לא נבדק",IF(AND(OR(H194="",H194=I194),OR(J194="",J194=K194)),"תואם","לא תואם")))</f>
      </c>
      <c r="AS194" s="26">
        <f>IF($A194="","",IF(AND(AR194&lt;&gt;"לא תואם",G194&lt;&gt;"לא ברור"),"אמין","לפרש בזהירות"))</f>
      </c>
    </row>
    <row r="195" ht="15" customHeight="1" spans="1:45" x14ac:dyDescent="0.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6">
        <f>IF($A195="","",$A195&amp;"|"&amp;$C195)</f>
      </c>
      <c r="AF195" s="27">
        <f>IF($A195="","",IFERROR(COUNTIF(L195:M195,"כן")/(COUNTIF(L195:M195,"כן")+COUNTIF(L195:M195,"לא")),""))</f>
      </c>
      <c r="AG195" s="27">
        <f>IF($A195="","",IFERROR(COUNTIF(N195:O195,"כן")/(COUNTIF(N195:O195,"כן")+COUNTIF(N195:O195,"לא")),""))</f>
      </c>
      <c r="AH195" s="27">
        <f>IF($A195="","",IFERROR(COUNTIF(P195,"כן")/(COUNTIF(P195,"כן")+COUNTIF(P195,"לא")),""))</f>
      </c>
      <c r="AI195" s="27">
        <f>IF($A195="","",IFERROR(COUNTIF(Q195:R195,"כן")/(COUNTIF(Q195:R195,"כן")+COUNTIF(Q195:R195,"לא")),""))</f>
      </c>
      <c r="AJ195" s="27">
        <f>IF($A195="","",IFERROR(COUNTIF(S195:T195,"כן")/(COUNTIF(S195:T195,"כן")+COUNTIF(S195:T195,"לא")),""))</f>
      </c>
      <c r="AK195" s="27">
        <f>IF($A195="","",IFERROR(COUNTIF(L195:T195,"כן")/(COUNTIF(L195:T195,"כן")+COUNTIF(L195:T195,"לא")),""))</f>
      </c>
      <c r="AL195" s="28">
        <f>IF($A195="","",IFERROR(AVERAGE(U195:V195),""))</f>
      </c>
      <c r="AM195" s="28">
        <f>IF($A195="","",IFERROR(AVERAGE(W195:X195),""))</f>
      </c>
      <c r="AN195" s="28">
        <f>IF($A195="","",IFERROR(AVERAGE(Y195:Z195),""))</f>
      </c>
      <c r="AO195" s="28">
        <f>IF($A195="","",IFERROR(AVERAGE(AA195:AB195),""))</f>
      </c>
      <c r="AP195" s="28">
        <f>IF($A195="","",IFERROR(AVERAGE(AC195),""))</f>
      </c>
      <c r="AQ195" s="28">
        <f>IF($A195="","",IFERROR(AVERAGE(U195:AC195),""))</f>
      </c>
      <c r="AR195" s="26">
        <f>IF($A195="","",IF(AND(H195="",J195=""),"לא נבדק",IF(AND(OR(H195="",H195=I195),OR(J195="",J195=K195)),"תואם","לא תואם")))</f>
      </c>
      <c r="AS195" s="26">
        <f>IF($A195="","",IF(AND(AR195&lt;&gt;"לא תואם",G195&lt;&gt;"לא ברור"),"אמין","לפרש בזהירות"))</f>
      </c>
    </row>
    <row r="196" ht="15" customHeight="1" spans="1:45" x14ac:dyDescent="0.2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6">
        <f>IF($A196="","",$A196&amp;"|"&amp;$C196)</f>
      </c>
      <c r="AF196" s="27">
        <f>IF($A196="","",IFERROR(COUNTIF(L196:M196,"כן")/(COUNTIF(L196:M196,"כן")+COUNTIF(L196:M196,"לא")),""))</f>
      </c>
      <c r="AG196" s="27">
        <f>IF($A196="","",IFERROR(COUNTIF(N196:O196,"כן")/(COUNTIF(N196:O196,"כן")+COUNTIF(N196:O196,"לא")),""))</f>
      </c>
      <c r="AH196" s="27">
        <f>IF($A196="","",IFERROR(COUNTIF(P196,"כן")/(COUNTIF(P196,"כן")+COUNTIF(P196,"לא")),""))</f>
      </c>
      <c r="AI196" s="27">
        <f>IF($A196="","",IFERROR(COUNTIF(Q196:R196,"כן")/(COUNTIF(Q196:R196,"כן")+COUNTIF(Q196:R196,"לא")),""))</f>
      </c>
      <c r="AJ196" s="27">
        <f>IF($A196="","",IFERROR(COUNTIF(S196:T196,"כן")/(COUNTIF(S196:T196,"כן")+COUNTIF(S196:T196,"לא")),""))</f>
      </c>
      <c r="AK196" s="27">
        <f>IF($A196="","",IFERROR(COUNTIF(L196:T196,"כן")/(COUNTIF(L196:T196,"כן")+COUNTIF(L196:T196,"לא")),""))</f>
      </c>
      <c r="AL196" s="28">
        <f>IF($A196="","",IFERROR(AVERAGE(U196:V196),""))</f>
      </c>
      <c r="AM196" s="28">
        <f>IF($A196="","",IFERROR(AVERAGE(W196:X196),""))</f>
      </c>
      <c r="AN196" s="28">
        <f>IF($A196="","",IFERROR(AVERAGE(Y196:Z196),""))</f>
      </c>
      <c r="AO196" s="28">
        <f>IF($A196="","",IFERROR(AVERAGE(AA196:AB196),""))</f>
      </c>
      <c r="AP196" s="28">
        <f>IF($A196="","",IFERROR(AVERAGE(AC196),""))</f>
      </c>
      <c r="AQ196" s="28">
        <f>IF($A196="","",IFERROR(AVERAGE(U196:AC196),""))</f>
      </c>
      <c r="AR196" s="26">
        <f>IF($A196="","",IF(AND(H196="",J196=""),"לא נבדק",IF(AND(OR(H196="",H196=I196),OR(J196="",J196=K196)),"תואם","לא תואם")))</f>
      </c>
      <c r="AS196" s="26">
        <f>IF($A196="","",IF(AND(AR196&lt;&gt;"לא תואם",G196&lt;&gt;"לא ברור"),"אמין","לפרש בזהירות"))</f>
      </c>
    </row>
    <row r="197" ht="15" customHeight="1" spans="1:45" x14ac:dyDescent="0.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6">
        <f>IF($A197="","",$A197&amp;"|"&amp;$C197)</f>
      </c>
      <c r="AF197" s="27">
        <f>IF($A197="","",IFERROR(COUNTIF(L197:M197,"כן")/(COUNTIF(L197:M197,"כן")+COUNTIF(L197:M197,"לא")),""))</f>
      </c>
      <c r="AG197" s="27">
        <f>IF($A197="","",IFERROR(COUNTIF(N197:O197,"כן")/(COUNTIF(N197:O197,"כן")+COUNTIF(N197:O197,"לא")),""))</f>
      </c>
      <c r="AH197" s="27">
        <f>IF($A197="","",IFERROR(COUNTIF(P197,"כן")/(COUNTIF(P197,"כן")+COUNTIF(P197,"לא")),""))</f>
      </c>
      <c r="AI197" s="27">
        <f>IF($A197="","",IFERROR(COUNTIF(Q197:R197,"כן")/(COUNTIF(Q197:R197,"כן")+COUNTIF(Q197:R197,"לא")),""))</f>
      </c>
      <c r="AJ197" s="27">
        <f>IF($A197="","",IFERROR(COUNTIF(S197:T197,"כן")/(COUNTIF(S197:T197,"כן")+COUNTIF(S197:T197,"לא")),""))</f>
      </c>
      <c r="AK197" s="27">
        <f>IF($A197="","",IFERROR(COUNTIF(L197:T197,"כן")/(COUNTIF(L197:T197,"כן")+COUNTIF(L197:T197,"לא")),""))</f>
      </c>
      <c r="AL197" s="28">
        <f>IF($A197="","",IFERROR(AVERAGE(U197:V197),""))</f>
      </c>
      <c r="AM197" s="28">
        <f>IF($A197="","",IFERROR(AVERAGE(W197:X197),""))</f>
      </c>
      <c r="AN197" s="28">
        <f>IF($A197="","",IFERROR(AVERAGE(Y197:Z197),""))</f>
      </c>
      <c r="AO197" s="28">
        <f>IF($A197="","",IFERROR(AVERAGE(AA197:AB197),""))</f>
      </c>
      <c r="AP197" s="28">
        <f>IF($A197="","",IFERROR(AVERAGE(AC197),""))</f>
      </c>
      <c r="AQ197" s="28">
        <f>IF($A197="","",IFERROR(AVERAGE(U197:AC197),""))</f>
      </c>
      <c r="AR197" s="26">
        <f>IF($A197="","",IF(AND(H197="",J197=""),"לא נבדק",IF(AND(OR(H197="",H197=I197),OR(J197="",J197=K197)),"תואם","לא תואם")))</f>
      </c>
      <c r="AS197" s="26">
        <f>IF($A197="","",IF(AND(AR197&lt;&gt;"לא תואם",G197&lt;&gt;"לא ברור"),"אמין","לפרש בזהירות"))</f>
      </c>
    </row>
    <row r="198" ht="15" customHeight="1" spans="1:45" x14ac:dyDescent="0.2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6">
        <f>IF($A198="","",$A198&amp;"|"&amp;$C198)</f>
      </c>
      <c r="AF198" s="27">
        <f>IF($A198="","",IFERROR(COUNTIF(L198:M198,"כן")/(COUNTIF(L198:M198,"כן")+COUNTIF(L198:M198,"לא")),""))</f>
      </c>
      <c r="AG198" s="27">
        <f>IF($A198="","",IFERROR(COUNTIF(N198:O198,"כן")/(COUNTIF(N198:O198,"כן")+COUNTIF(N198:O198,"לא")),""))</f>
      </c>
      <c r="AH198" s="27">
        <f>IF($A198="","",IFERROR(COUNTIF(P198,"כן")/(COUNTIF(P198,"כן")+COUNTIF(P198,"לא")),""))</f>
      </c>
      <c r="AI198" s="27">
        <f>IF($A198="","",IFERROR(COUNTIF(Q198:R198,"כן")/(COUNTIF(Q198:R198,"כן")+COUNTIF(Q198:R198,"לא")),""))</f>
      </c>
      <c r="AJ198" s="27">
        <f>IF($A198="","",IFERROR(COUNTIF(S198:T198,"כן")/(COUNTIF(S198:T198,"כן")+COUNTIF(S198:T198,"לא")),""))</f>
      </c>
      <c r="AK198" s="27">
        <f>IF($A198="","",IFERROR(COUNTIF(L198:T198,"כן")/(COUNTIF(L198:T198,"כן")+COUNTIF(L198:T198,"לא")),""))</f>
      </c>
      <c r="AL198" s="28">
        <f>IF($A198="","",IFERROR(AVERAGE(U198:V198),""))</f>
      </c>
      <c r="AM198" s="28">
        <f>IF($A198="","",IFERROR(AVERAGE(W198:X198),""))</f>
      </c>
      <c r="AN198" s="28">
        <f>IF($A198="","",IFERROR(AVERAGE(Y198:Z198),""))</f>
      </c>
      <c r="AO198" s="28">
        <f>IF($A198="","",IFERROR(AVERAGE(AA198:AB198),""))</f>
      </c>
      <c r="AP198" s="28">
        <f>IF($A198="","",IFERROR(AVERAGE(AC198),""))</f>
      </c>
      <c r="AQ198" s="28">
        <f>IF($A198="","",IFERROR(AVERAGE(U198:AC198),""))</f>
      </c>
      <c r="AR198" s="26">
        <f>IF($A198="","",IF(AND(H198="",J198=""),"לא נבדק",IF(AND(OR(H198="",H198=I198),OR(J198="",J198=K198)),"תואם","לא תואם")))</f>
      </c>
      <c r="AS198" s="26">
        <f>IF($A198="","",IF(AND(AR198&lt;&gt;"לא תואם",G198&lt;&gt;"לא ברור"),"אמין","לפרש בזהירות"))</f>
      </c>
    </row>
    <row r="199" ht="15" customHeight="1" spans="1:45" x14ac:dyDescent="0.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6">
        <f>IF($A199="","",$A199&amp;"|"&amp;$C199)</f>
      </c>
      <c r="AF199" s="27">
        <f>IF($A199="","",IFERROR(COUNTIF(L199:M199,"כן")/(COUNTIF(L199:M199,"כן")+COUNTIF(L199:M199,"לא")),""))</f>
      </c>
      <c r="AG199" s="27">
        <f>IF($A199="","",IFERROR(COUNTIF(N199:O199,"כן")/(COUNTIF(N199:O199,"כן")+COUNTIF(N199:O199,"לא")),""))</f>
      </c>
      <c r="AH199" s="27">
        <f>IF($A199="","",IFERROR(COUNTIF(P199,"כן")/(COUNTIF(P199,"כן")+COUNTIF(P199,"לא")),""))</f>
      </c>
      <c r="AI199" s="27">
        <f>IF($A199="","",IFERROR(COUNTIF(Q199:R199,"כן")/(COUNTIF(Q199:R199,"כן")+COUNTIF(Q199:R199,"לא")),""))</f>
      </c>
      <c r="AJ199" s="27">
        <f>IF($A199="","",IFERROR(COUNTIF(S199:T199,"כן")/(COUNTIF(S199:T199,"כן")+COUNTIF(S199:T199,"לא")),""))</f>
      </c>
      <c r="AK199" s="27">
        <f>IF($A199="","",IFERROR(COUNTIF(L199:T199,"כן")/(COUNTIF(L199:T199,"כן")+COUNTIF(L199:T199,"לא")),""))</f>
      </c>
      <c r="AL199" s="28">
        <f>IF($A199="","",IFERROR(AVERAGE(U199:V199),""))</f>
      </c>
      <c r="AM199" s="28">
        <f>IF($A199="","",IFERROR(AVERAGE(W199:X199),""))</f>
      </c>
      <c r="AN199" s="28">
        <f>IF($A199="","",IFERROR(AVERAGE(Y199:Z199),""))</f>
      </c>
      <c r="AO199" s="28">
        <f>IF($A199="","",IFERROR(AVERAGE(AA199:AB199),""))</f>
      </c>
      <c r="AP199" s="28">
        <f>IF($A199="","",IFERROR(AVERAGE(AC199),""))</f>
      </c>
      <c r="AQ199" s="28">
        <f>IF($A199="","",IFERROR(AVERAGE(U199:AC199),""))</f>
      </c>
      <c r="AR199" s="26">
        <f>IF($A199="","",IF(AND(H199="",J199=""),"לא נבדק",IF(AND(OR(H199="",H199=I199),OR(J199="",J199=K199)),"תואם","לא תואם")))</f>
      </c>
      <c r="AS199" s="26">
        <f>IF($A199="","",IF(AND(AR199&lt;&gt;"לא תואם",G199&lt;&gt;"לא ברור"),"אמין","לפרש בזהירות"))</f>
      </c>
    </row>
    <row r="200" ht="15" customHeight="1" spans="1:45" x14ac:dyDescent="0.2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6">
        <f>IF($A200="","",$A200&amp;"|"&amp;$C200)</f>
      </c>
      <c r="AF200" s="27">
        <f>IF($A200="","",IFERROR(COUNTIF(L200:M200,"כן")/(COUNTIF(L200:M200,"כן")+COUNTIF(L200:M200,"לא")),""))</f>
      </c>
      <c r="AG200" s="27">
        <f>IF($A200="","",IFERROR(COUNTIF(N200:O200,"כן")/(COUNTIF(N200:O200,"כן")+COUNTIF(N200:O200,"לא")),""))</f>
      </c>
      <c r="AH200" s="27">
        <f>IF($A200="","",IFERROR(COUNTIF(P200,"כן")/(COUNTIF(P200,"כן")+COUNTIF(P200,"לא")),""))</f>
      </c>
      <c r="AI200" s="27">
        <f>IF($A200="","",IFERROR(COUNTIF(Q200:R200,"כן")/(COUNTIF(Q200:R200,"כן")+COUNTIF(Q200:R200,"לא")),""))</f>
      </c>
      <c r="AJ200" s="27">
        <f>IF($A200="","",IFERROR(COUNTIF(S200:T200,"כן")/(COUNTIF(S200:T200,"כן")+COUNTIF(S200:T200,"לא")),""))</f>
      </c>
      <c r="AK200" s="27">
        <f>IF($A200="","",IFERROR(COUNTIF(L200:T200,"כן")/(COUNTIF(L200:T200,"כן")+COUNTIF(L200:T200,"לא")),""))</f>
      </c>
      <c r="AL200" s="28">
        <f>IF($A200="","",IFERROR(AVERAGE(U200:V200),""))</f>
      </c>
      <c r="AM200" s="28">
        <f>IF($A200="","",IFERROR(AVERAGE(W200:X200),""))</f>
      </c>
      <c r="AN200" s="28">
        <f>IF($A200="","",IFERROR(AVERAGE(Y200:Z200),""))</f>
      </c>
      <c r="AO200" s="28">
        <f>IF($A200="","",IFERROR(AVERAGE(AA200:AB200),""))</f>
      </c>
      <c r="AP200" s="28">
        <f>IF($A200="","",IFERROR(AVERAGE(AC200),""))</f>
      </c>
      <c r="AQ200" s="28">
        <f>IF($A200="","",IFERROR(AVERAGE(U200:AC200),""))</f>
      </c>
      <c r="AR200" s="26">
        <f>IF($A200="","",IF(AND(H200="",J200=""),"לא נבדק",IF(AND(OR(H200="",H200=I200),OR(J200="",J200=K200)),"תואם","לא תואם")))</f>
      </c>
      <c r="AS200" s="26">
        <f>IF($A200="","",IF(AND(AR200&lt;&gt;"לא תואם",G200&lt;&gt;"לא ברור"),"אמין","לפרש בזהירות"))</f>
      </c>
    </row>
    <row r="201" ht="15" customHeight="1" spans="1:45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6">
        <f>IF($A201="","",$A201&amp;"|"&amp;$C201)</f>
      </c>
      <c r="AF201" s="27">
        <f>IF($A201="","",IFERROR(COUNTIF(L201:M201,"כן")/(COUNTIF(L201:M201,"כן")+COUNTIF(L201:M201,"לא")),""))</f>
      </c>
      <c r="AG201" s="27">
        <f>IF($A201="","",IFERROR(COUNTIF(N201:O201,"כן")/(COUNTIF(N201:O201,"כן")+COUNTIF(N201:O201,"לא")),""))</f>
      </c>
      <c r="AH201" s="27">
        <f>IF($A201="","",IFERROR(COUNTIF(P201,"כן")/(COUNTIF(P201,"כן")+COUNTIF(P201,"לא")),""))</f>
      </c>
      <c r="AI201" s="27">
        <f>IF($A201="","",IFERROR(COUNTIF(Q201:R201,"כן")/(COUNTIF(Q201:R201,"כן")+COUNTIF(Q201:R201,"לא")),""))</f>
      </c>
      <c r="AJ201" s="27">
        <f>IF($A201="","",IFERROR(COUNTIF(S201:T201,"כן")/(COUNTIF(S201:T201,"כן")+COUNTIF(S201:T201,"לא")),""))</f>
      </c>
      <c r="AK201" s="27">
        <f>IF($A201="","",IFERROR(COUNTIF(L201:T201,"כן")/(COUNTIF(L201:T201,"כן")+COUNTIF(L201:T201,"לא")),""))</f>
      </c>
      <c r="AL201" s="28">
        <f>IF($A201="","",IFERROR(AVERAGE(U201:V201),""))</f>
      </c>
      <c r="AM201" s="28">
        <f>IF($A201="","",IFERROR(AVERAGE(W201:X201),""))</f>
      </c>
      <c r="AN201" s="28">
        <f>IF($A201="","",IFERROR(AVERAGE(Y201:Z201),""))</f>
      </c>
      <c r="AO201" s="28">
        <f>IF($A201="","",IFERROR(AVERAGE(AA201:AB201),""))</f>
      </c>
      <c r="AP201" s="28">
        <f>IF($A201="","",IFERROR(AVERAGE(AC201),""))</f>
      </c>
      <c r="AQ201" s="28">
        <f>IF($A201="","",IFERROR(AVERAGE(U201:AC201),""))</f>
      </c>
      <c r="AR201" s="26">
        <f>IF($A201="","",IF(AND(H201="",J201=""),"לא נבדק",IF(AND(OR(H201="",H201=I201),OR(J201="",J201=K201)),"תואם","לא תואם")))</f>
      </c>
      <c r="AS201" s="26">
        <f>IF($A201="","",IF(AND(AR201&lt;&gt;"לא תואם",G201&lt;&gt;"לא ברור"),"אמין","לפרש בזהירות"))</f>
      </c>
    </row>
    <row r="202" ht="15" customHeight="1" spans="1:45" x14ac:dyDescent="0.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6">
        <f>IF($A202="","",$A202&amp;"|"&amp;$C202)</f>
      </c>
      <c r="AF202" s="27">
        <f>IF($A202="","",IFERROR(COUNTIF(L202:M202,"כן")/(COUNTIF(L202:M202,"כן")+COUNTIF(L202:M202,"לא")),""))</f>
      </c>
      <c r="AG202" s="27">
        <f>IF($A202="","",IFERROR(COUNTIF(N202:O202,"כן")/(COUNTIF(N202:O202,"כן")+COUNTIF(N202:O202,"לא")),""))</f>
      </c>
      <c r="AH202" s="27">
        <f>IF($A202="","",IFERROR(COUNTIF(P202,"כן")/(COUNTIF(P202,"כן")+COUNTIF(P202,"לא")),""))</f>
      </c>
      <c r="AI202" s="27">
        <f>IF($A202="","",IFERROR(COUNTIF(Q202:R202,"כן")/(COUNTIF(Q202:R202,"כן")+COUNTIF(Q202:R202,"לא")),""))</f>
      </c>
      <c r="AJ202" s="27">
        <f>IF($A202="","",IFERROR(COUNTIF(S202:T202,"כן")/(COUNTIF(S202:T202,"כן")+COUNTIF(S202:T202,"לא")),""))</f>
      </c>
      <c r="AK202" s="27">
        <f>IF($A202="","",IFERROR(COUNTIF(L202:T202,"כן")/(COUNTIF(L202:T202,"כן")+COUNTIF(L202:T202,"לא")),""))</f>
      </c>
      <c r="AL202" s="28">
        <f>IF($A202="","",IFERROR(AVERAGE(U202:V202),""))</f>
      </c>
      <c r="AM202" s="28">
        <f>IF($A202="","",IFERROR(AVERAGE(W202:X202),""))</f>
      </c>
      <c r="AN202" s="28">
        <f>IF($A202="","",IFERROR(AVERAGE(Y202:Z202),""))</f>
      </c>
      <c r="AO202" s="28">
        <f>IF($A202="","",IFERROR(AVERAGE(AA202:AB202),""))</f>
      </c>
      <c r="AP202" s="28">
        <f>IF($A202="","",IFERROR(AVERAGE(AC202),""))</f>
      </c>
      <c r="AQ202" s="28">
        <f>IF($A202="","",IFERROR(AVERAGE(U202:AC202),""))</f>
      </c>
      <c r="AR202" s="26">
        <f>IF($A202="","",IF(AND(H202="",J202=""),"לא נבדק",IF(AND(OR(H202="",H202=I202),OR(J202="",J202=K202)),"תואם","לא תואם")))</f>
      </c>
      <c r="AS202" s="26">
        <f>IF($A202="","",IF(AND(AR202&lt;&gt;"לא תואם",G202&lt;&gt;"לא ברור"),"אמין","לפרש בזהירות"))</f>
      </c>
    </row>
    <row r="203" ht="15" customHeight="1" spans="1:45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6">
        <f>IF($A203="","",$A203&amp;"|"&amp;$C203)</f>
      </c>
      <c r="AF203" s="27">
        <f>IF($A203="","",IFERROR(COUNTIF(L203:M203,"כן")/(COUNTIF(L203:M203,"כן")+COUNTIF(L203:M203,"לא")),""))</f>
      </c>
      <c r="AG203" s="27">
        <f>IF($A203="","",IFERROR(COUNTIF(N203:O203,"כן")/(COUNTIF(N203:O203,"כן")+COUNTIF(N203:O203,"לא")),""))</f>
      </c>
      <c r="AH203" s="27">
        <f>IF($A203="","",IFERROR(COUNTIF(P203,"כן")/(COUNTIF(P203,"כן")+COUNTIF(P203,"לא")),""))</f>
      </c>
      <c r="AI203" s="27">
        <f>IF($A203="","",IFERROR(COUNTIF(Q203:R203,"כן")/(COUNTIF(Q203:R203,"כן")+COUNTIF(Q203:R203,"לא")),""))</f>
      </c>
      <c r="AJ203" s="27">
        <f>IF($A203="","",IFERROR(COUNTIF(S203:T203,"כן")/(COUNTIF(S203:T203,"כן")+COUNTIF(S203:T203,"לא")),""))</f>
      </c>
      <c r="AK203" s="27">
        <f>IF($A203="","",IFERROR(COUNTIF(L203:T203,"כן")/(COUNTIF(L203:T203,"כן")+COUNTIF(L203:T203,"לא")),""))</f>
      </c>
      <c r="AL203" s="28">
        <f>IF($A203="","",IFERROR(AVERAGE(U203:V203),""))</f>
      </c>
      <c r="AM203" s="28">
        <f>IF($A203="","",IFERROR(AVERAGE(W203:X203),""))</f>
      </c>
      <c r="AN203" s="28">
        <f>IF($A203="","",IFERROR(AVERAGE(Y203:Z203),""))</f>
      </c>
      <c r="AO203" s="28">
        <f>IF($A203="","",IFERROR(AVERAGE(AA203:AB203),""))</f>
      </c>
      <c r="AP203" s="28">
        <f>IF($A203="","",IFERROR(AVERAGE(AC203),""))</f>
      </c>
      <c r="AQ203" s="28">
        <f>IF($A203="","",IFERROR(AVERAGE(U203:AC203),""))</f>
      </c>
      <c r="AR203" s="26">
        <f>IF($A203="","",IF(AND(H203="",J203=""),"לא נבדק",IF(AND(OR(H203="",H203=I203),OR(J203="",J203=K203)),"תואם","לא תואם")))</f>
      </c>
      <c r="AS203" s="26">
        <f>IF($A203="","",IF(AND(AR203&lt;&gt;"לא תואם",G203&lt;&gt;"לא ברור"),"אמין","לפרש בזהירות"))</f>
      </c>
    </row>
    <row r="204" ht="15" customHeight="1" spans="1:45" x14ac:dyDescent="0.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6">
        <f>IF($A204="","",$A204&amp;"|"&amp;$C204)</f>
      </c>
      <c r="AF204" s="27">
        <f>IF($A204="","",IFERROR(COUNTIF(L204:M204,"כן")/(COUNTIF(L204:M204,"כן")+COUNTIF(L204:M204,"לא")),""))</f>
      </c>
      <c r="AG204" s="27">
        <f>IF($A204="","",IFERROR(COUNTIF(N204:O204,"כן")/(COUNTIF(N204:O204,"כן")+COUNTIF(N204:O204,"לא")),""))</f>
      </c>
      <c r="AH204" s="27">
        <f>IF($A204="","",IFERROR(COUNTIF(P204,"כן")/(COUNTIF(P204,"כן")+COUNTIF(P204,"לא")),""))</f>
      </c>
      <c r="AI204" s="27">
        <f>IF($A204="","",IFERROR(COUNTIF(Q204:R204,"כן")/(COUNTIF(Q204:R204,"כן")+COUNTIF(Q204:R204,"לא")),""))</f>
      </c>
      <c r="AJ204" s="27">
        <f>IF($A204="","",IFERROR(COUNTIF(S204:T204,"כן")/(COUNTIF(S204:T204,"כן")+COUNTIF(S204:T204,"לא")),""))</f>
      </c>
      <c r="AK204" s="27">
        <f>IF($A204="","",IFERROR(COUNTIF(L204:T204,"כן")/(COUNTIF(L204:T204,"כן")+COUNTIF(L204:T204,"לא")),""))</f>
      </c>
      <c r="AL204" s="28">
        <f>IF($A204="","",IFERROR(AVERAGE(U204:V204),""))</f>
      </c>
      <c r="AM204" s="28">
        <f>IF($A204="","",IFERROR(AVERAGE(W204:X204),""))</f>
      </c>
      <c r="AN204" s="28">
        <f>IF($A204="","",IFERROR(AVERAGE(Y204:Z204),""))</f>
      </c>
      <c r="AO204" s="28">
        <f>IF($A204="","",IFERROR(AVERAGE(AA204:AB204),""))</f>
      </c>
      <c r="AP204" s="28">
        <f>IF($A204="","",IFERROR(AVERAGE(AC204),""))</f>
      </c>
      <c r="AQ204" s="28">
        <f>IF($A204="","",IFERROR(AVERAGE(U204:AC204),""))</f>
      </c>
      <c r="AR204" s="26">
        <f>IF($A204="","",IF(AND(H204="",J204=""),"לא נבדק",IF(AND(OR(H204="",H204=I204),OR(J204="",J204=K204)),"תואם","לא תואם")))</f>
      </c>
      <c r="AS204" s="26">
        <f>IF($A204="","",IF(AND(AR204&lt;&gt;"לא תואם",G204&lt;&gt;"לא ברור"),"אמין","לפרש בזהירות"))</f>
      </c>
    </row>
  </sheetData>
  <mergeCells count="5">
    <mergeCell ref="A3:G3"/>
    <mergeCell ref="H3:K3"/>
    <mergeCell ref="L3:T3"/>
    <mergeCell ref="U3:AC3"/>
    <mergeCell ref="AE3:AS3"/>
  </mergeCells>
  <conditionalFormatting sqref="AL5:AQ204">
    <cfRule type="colorScale" priority="2">
      <colorScale>
        <cfvo type="num" val="1"/>
        <cfvo type="num" val="2"/>
        <cfvo type="num" val="3"/>
        <color rgb="FFF9B5B8"/>
        <color rgb="FFFFE07A"/>
        <color rgb="FF8FD19E"/>
      </colorScale>
    </cfRule>
  </conditionalFormatting>
  <conditionalFormatting sqref="AF5:AK204">
    <cfRule type="colorScale" priority="3">
      <colorScale>
        <cfvo type="num" val="0"/>
        <cfvo type="num" val="0.5"/>
        <cfvo type="num" val="1"/>
        <color rgb="FFF9B5B8"/>
        <color rgb="FFFFE07A"/>
        <color rgb="FF8FD19E"/>
      </colorScale>
    </cfRule>
  </conditionalFormatting>
  <conditionalFormatting sqref="AS5:AS204">
    <cfRule type="cellIs" dxfId="0" priority="4" operator="equal">
      <formula>"לפרש בזהירות"</formula>
    </cfRule>
  </conditionalFormatting>
  <conditionalFormatting sqref="AR5:AR204">
    <cfRule type="cellIs" dxfId="1" priority="5" operator="equal">
      <formula>"לא תואם"</formula>
    </cfRule>
  </conditionalFormatting>
  <dataValidations count="18">
    <dataValidation type="list" allowBlank="1" showInputMessage="1" prompt="3 = הרבה · 2 = לפעמים · 1 = כמעט לא" errorStyle="stop" errorTitle="ערך לא תקין" error="בחרו מהרשימה" sqref="AA10:AC204">
      <formula1>"3,2,1"</formula1>
      <formula2>0</formula2>
    </dataValidation>
    <dataValidation type="list" allowBlank="1" showInputMessage="1" prompt="3 = הרבה · 2 = לפעמים · 1 = כמעט לא" errorStyle="stop" errorTitle="ערך לא תקין" error="בחרו מהרשימה" sqref="AA5:AC204">
      <formula1>"3,2,1"</formula1>
      <formula2>0</formula2>
    </dataValidation>
    <dataValidation type="list" allowBlank="1" errorStyle="stop" errorTitle="ערך לא תקין" error="בחרו מהרשימה" sqref="C10:C204">
      <formula1>"תחילת שנה,אמצע שנה,סוף שנה"</formula1>
      <formula2>0</formula2>
    </dataValidation>
    <dataValidation type="list" allowBlank="1" errorStyle="stop" errorTitle="ערך לא תקין" error="בחרו מהרשימה" sqref="C5:C204">
      <formula1>"תחילת שנה,אמצע שנה,סוף שנה"</formula1>
      <formula2>0</formula2>
    </dataValidation>
    <dataValidation type="list" allowBlank="1" errorStyle="stop" errorTitle="ערך לא תקין" error="בחרו מהרשימה" sqref="F10:F204">
      <formula1>"מגע או לחיצה,מבט,מתג,תיווך מבוגר/ת"</formula1>
      <formula2>0</formula2>
    </dataValidation>
    <dataValidation type="list" allowBlank="1" errorStyle="stop" errorTitle="ערך לא תקין" error="בחרו מהרשימה" sqref="F5:F204">
      <formula1>"מגע או לחיצה,מבט,מתג,תיווך מבוגר/ת"</formula1>
      <formula2>0</formula2>
    </dataValidation>
    <dataValidation type="list" allowBlank="1" errorStyle="stop" errorTitle="ערך לא תקין" error="בחרו מהרשימה" sqref="G10:G204">
      <formula1>"הבין/ה,חלקית,לא ברור"</formula1>
      <formula2>0</formula2>
    </dataValidation>
    <dataValidation type="list" allowBlank="1" errorStyle="stop" errorTitle="ערך לא תקין" error="בחרו מהרשימה" sqref="G5:G204">
      <formula1>"הבין/ה,חלקית,לא ברור"</formula1>
      <formula2>0</formula2>
    </dataValidation>
    <dataValidation type="list" allowBlank="1" showInputMessage="1" prompt="ריק = לא ידוע" errorStyle="stop" errorTitle="ערך לא תקין" error="בחרו מהרשימה" sqref="H10:H204">
      <formula1>"כן,לא"</formula1>
      <formula2>0</formula2>
    </dataValidation>
    <dataValidation type="list" allowBlank="1" showInputMessage="1" prompt="ריק = לא ידוע" errorStyle="stop" errorTitle="ערך לא תקין" error="בחרו מהרשימה" sqref="H5:H204">
      <formula1>"כן,לא"</formula1>
      <formula2>0</formula2>
    </dataValidation>
    <dataValidation type="list" allowBlank="1" errorStyle="stop" errorTitle="ערך לא תקין" error="בחרו מהרשימה" sqref="I10:I204">
      <formula1>"כן,לא,לא ענה"</formula1>
      <formula2>0</formula2>
    </dataValidation>
    <dataValidation type="list" allowBlank="1" errorStyle="stop" errorTitle="ערך לא תקין" error="בחרו מהרשימה" sqref="I5:I204">
      <formula1>"כן,לא,לא ענה"</formula1>
      <formula2>0</formula2>
    </dataValidation>
    <dataValidation type="list" allowBlank="1" showInputMessage="1" prompt="ריק = לא ידוע" errorStyle="stop" errorTitle="ערך לא תקין" error="בחרו מהרשימה" sqref="J10:J204">
      <formula1>"כן,לא"</formula1>
      <formula2>0</formula2>
    </dataValidation>
    <dataValidation type="list" allowBlank="1" showInputMessage="1" prompt="ריק = לא ידוע" errorStyle="stop" errorTitle="ערך לא תקין" error="בחרו מהרשימה" sqref="J5:J204">
      <formula1>"כן,לא"</formula1>
      <formula2>0</formula2>
    </dataValidation>
    <dataValidation type="list" allowBlank="1" errorStyle="stop" errorTitle="ערך לא תקין" error="בחרו מהרשימה" sqref="K10:T204">
      <formula1>"כן,לא,לא ענה"</formula1>
      <formula2>0</formula2>
    </dataValidation>
    <dataValidation type="list" allowBlank="1" errorStyle="stop" errorTitle="ערך לא תקין" error="בחרו מהרשימה" sqref="K5:T204">
      <formula1>"כן,לא,לא ענה"</formula1>
      <formula2>0</formula2>
    </dataValidation>
    <dataValidation type="list" allowBlank="1" showInputMessage="1" prompt="3 = הרבה · 2 = לפעמים · 1 = כמעט לא" errorStyle="stop" errorTitle="ערך לא תקין" error="בחרו מהרשימה" sqref="U10:AC204">
      <formula1>"3,2,1"</formula1>
      <formula2>0</formula2>
    </dataValidation>
    <dataValidation type="list" allowBlank="1" showInputMessage="1" prompt="3 = הרבה · 2 = לפעמים · 1 = כמעט לא" errorStyle="stop" errorTitle="ערך לא תקין" error="בחרו מהרשימה" sqref="U5:AC204">
      <formula1>"3,2,1"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41A"/>
  </sheetPr>
  <dimension ref="A1:AG204"/>
  <sheetViews>
    <sheetView workbookViewId="0" zoomScale="100" zoomScaleNormal="100" view="normal">
      <pane xSplit="1" ySplit="4" topLeftCell="B5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1" width="16" customWidth="1"/>
    <col min="2" max="7" width="13" customWidth="1"/>
    <col min="8" max="10" width="14" customWidth="1"/>
    <col min="11" max="24" width="12" customWidth="1"/>
    <col min="25" max="25" width="26" customWidth="1"/>
    <col min="26" max="26" width="18" customWidth="1"/>
    <col min="27" max="33" width="13" customWidth="1"/>
  </cols>
  <sheetData>
    <row r="1" ht="19.7" customHeight="1" spans="1:1" x14ac:dyDescent="0.25">
      <c r="A1" s="10" t="s">
        <v>102</v>
      </c>
    </row>
    <row r="2" ht="15" customHeight="1" spans="1:1" x14ac:dyDescent="0.25">
      <c r="A2" s="11" t="s">
        <v>42</v>
      </c>
    </row>
    <row r="3" ht="15" customHeight="1" spans="1:33" x14ac:dyDescent="0.25">
      <c r="A3" s="12" t="s">
        <v>43</v>
      </c>
      <c r="B3" s="12"/>
      <c r="C3" s="12"/>
      <c r="D3" s="12"/>
      <c r="E3" s="12"/>
      <c r="F3" s="12"/>
      <c r="G3" s="12"/>
      <c r="H3" s="30" t="s">
        <v>103</v>
      </c>
      <c r="I3" s="30"/>
      <c r="J3" s="30"/>
      <c r="K3" s="15" t="s">
        <v>104</v>
      </c>
      <c r="L3" s="15"/>
      <c r="M3" s="15"/>
      <c r="N3" s="15"/>
      <c r="O3" s="15"/>
      <c r="P3" s="31" t="s">
        <v>105</v>
      </c>
      <c r="Q3" s="31"/>
      <c r="R3" s="31"/>
      <c r="S3" s="31"/>
      <c r="T3" s="31"/>
      <c r="U3" s="32" t="s">
        <v>106</v>
      </c>
      <c r="V3" s="32"/>
      <c r="W3" s="32"/>
      <c r="X3" s="32"/>
      <c r="Z3" s="16" t="s">
        <v>47</v>
      </c>
      <c r="AA3" s="16"/>
      <c r="AB3" s="16"/>
      <c r="AC3" s="16"/>
      <c r="AD3" s="16"/>
      <c r="AE3" s="16"/>
      <c r="AF3" s="16"/>
      <c r="AG3" s="16"/>
    </row>
    <row r="4" ht="57.75" customHeight="1" spans="1:33" x14ac:dyDescent="0.25">
      <c r="A4" s="17" t="s">
        <v>48</v>
      </c>
      <c r="B4" s="17" t="s">
        <v>49</v>
      </c>
      <c r="C4" s="17" t="s">
        <v>50</v>
      </c>
      <c r="D4" s="17" t="s">
        <v>51</v>
      </c>
      <c r="E4" s="17" t="s">
        <v>52</v>
      </c>
      <c r="F4" s="17" t="s">
        <v>53</v>
      </c>
      <c r="G4" s="17" t="s">
        <v>54</v>
      </c>
      <c r="H4" s="33" t="s">
        <v>107</v>
      </c>
      <c r="I4" s="33" t="s">
        <v>108</v>
      </c>
      <c r="J4" s="33" t="s">
        <v>109</v>
      </c>
      <c r="K4" s="20" t="s">
        <v>110</v>
      </c>
      <c r="L4" s="20" t="s">
        <v>111</v>
      </c>
      <c r="M4" s="20" t="s">
        <v>112</v>
      </c>
      <c r="N4" s="20" t="s">
        <v>113</v>
      </c>
      <c r="O4" s="20" t="s">
        <v>114</v>
      </c>
      <c r="P4" s="34" t="s">
        <v>115</v>
      </c>
      <c r="Q4" s="34" t="s">
        <v>116</v>
      </c>
      <c r="R4" s="34" t="s">
        <v>117</v>
      </c>
      <c r="S4" s="34" t="s">
        <v>118</v>
      </c>
      <c r="T4" s="34" t="s">
        <v>119</v>
      </c>
      <c r="U4" s="21" t="s">
        <v>120</v>
      </c>
      <c r="V4" s="21" t="s">
        <v>121</v>
      </c>
      <c r="W4" s="21" t="s">
        <v>122</v>
      </c>
      <c r="X4" s="21" t="s">
        <v>123</v>
      </c>
      <c r="Y4" s="17" t="s">
        <v>77</v>
      </c>
      <c r="Z4" s="24" t="s">
        <v>78</v>
      </c>
      <c r="AA4" s="24" t="s">
        <v>103</v>
      </c>
      <c r="AB4" s="24" t="s">
        <v>124</v>
      </c>
      <c r="AC4" s="24" t="s">
        <v>28</v>
      </c>
      <c r="AD4" s="24" t="s">
        <v>125</v>
      </c>
      <c r="AE4" s="24" t="s">
        <v>126</v>
      </c>
      <c r="AF4" s="24" t="s">
        <v>127</v>
      </c>
      <c r="AG4" s="24" t="s">
        <v>32</v>
      </c>
    </row>
    <row r="5" ht="15" customHeight="1" spans="1:33" x14ac:dyDescent="0.25">
      <c r="A5" s="25" t="s">
        <v>91</v>
      </c>
      <c r="B5" s="25" t="s">
        <v>92</v>
      </c>
      <c r="C5" s="25" t="s">
        <v>93</v>
      </c>
      <c r="D5" s="25" t="s">
        <v>94</v>
      </c>
      <c r="E5" s="25" t="s">
        <v>95</v>
      </c>
      <c r="F5" s="25" t="s">
        <v>128</v>
      </c>
      <c r="G5" s="25" t="s">
        <v>129</v>
      </c>
      <c r="H5" s="25" t="s">
        <v>130</v>
      </c>
      <c r="I5" s="25" t="s">
        <v>98</v>
      </c>
      <c r="J5" s="25" t="s">
        <v>99</v>
      </c>
      <c r="K5" s="25" t="s">
        <v>98</v>
      </c>
      <c r="L5" s="25" t="s">
        <v>98</v>
      </c>
      <c r="M5" s="25" t="s">
        <v>99</v>
      </c>
      <c r="N5" s="25" t="s">
        <v>98</v>
      </c>
      <c r="O5" s="25" t="s">
        <v>98</v>
      </c>
      <c r="P5" s="25" t="s">
        <v>98</v>
      </c>
      <c r="Q5" s="25" t="s">
        <v>129</v>
      </c>
      <c r="R5" s="25" t="s">
        <v>98</v>
      </c>
      <c r="S5" s="25" t="s">
        <v>99</v>
      </c>
      <c r="T5" s="25" t="s">
        <v>98</v>
      </c>
      <c r="U5" s="25" t="s">
        <v>98</v>
      </c>
      <c r="V5" s="25" t="s">
        <v>98</v>
      </c>
      <c r="W5" s="25" t="s">
        <v>100</v>
      </c>
      <c r="X5" s="25">
        <v>2</v>
      </c>
      <c r="Y5" s="25" t="s">
        <v>101</v>
      </c>
      <c r="Z5" s="26" t="str">
        <f>IF($A5="","",$A5&amp;"|"&amp;$C5)</f>
        <v>תלמיד לדוגמה|תחילת שנה</v>
      </c>
      <c r="AA5" s="26" t="str">
        <f>IF($A5="","",IF(OR(H5="לא נבדק",H5=""),"לא נבדק",IF(AND(H5="בחר/ה בעצמו/ה",I5="כן",J5="לא"),"מלא",IF(OR(H5="בחר/ה בעצמו/ה",I5="כן"),"חלקי","עדיין לא"))))</f>
        <v>מלא</v>
      </c>
      <c r="AB5" s="26">
        <f>IF($A5="","",COUNTIF(K5:O5,"כן"))</f>
        <v>4</v>
      </c>
      <c r="AC5" s="27">
        <f>IF($A5="","",IFERROR(SUMPRODUCT((K5:O5="כן")*(P5:T5="כן")+(K5:O5="לא")*(P5:T5="לא")+0.5*(P5:T5="חלקית")*((K5:O5="כן")+(K5:O5="לא")))/SUMPRODUCT(((K5:O5="כן")+(K5:O5="לא"))*(P5:T5&lt;&gt;"")),""))</f>
        <v>0.5</v>
      </c>
      <c r="AD5" s="26">
        <f>IF($A5="","",SUMPRODUCT((K5:O5="כן")*(P5:T5="לא")))</f>
        <v>1</v>
      </c>
      <c r="AE5" s="26">
        <f>IF($A5="","",SUMPRODUCT((K5:O5="לא")*(P5:T5="כן")))</f>
        <v>1</v>
      </c>
      <c r="AF5" s="26">
        <f>IF($A5="","",COUNTIF(U5:W5,"כן"))</f>
        <v>2</v>
      </c>
      <c r="AG5" s="26">
        <f>IF($A5="","",IF(AA5&lt;&gt;"מלא",0,IF(OR(AC5="",N(AC5)&lt;0.6),1,IF(AND(AF5&gt;=2,N(X5)&gt;=2),3,2))))</f>
        <v>1</v>
      </c>
    </row>
    <row r="6" ht="15" customHeight="1" spans="1:33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6">
        <f>IF($A6="","",$A6&amp;"|"&amp;$C6)</f>
      </c>
      <c r="AA6" s="26">
        <f>IF($A6="","",IF(OR(H6="לא נבדק",H6=""),"לא נבדק",IF(AND(H6="בחר/ה בעצמו/ה",I6="כן",J6="לא"),"מלא",IF(OR(H6="בחר/ה בעצמו/ה",I6="כן"),"חלקי","עדיין לא"))))</f>
      </c>
      <c r="AB6" s="26">
        <f>IF($A6="","",COUNTIF(K6:O6,"כן"))</f>
      </c>
      <c r="AC6" s="27">
        <f>IF($A6="","",IFERROR(SUMPRODUCT((K6:O6="כן")*(P6:T6="כן")+(K6:O6="לא")*(P6:T6="לא")+0.5*(P6:T6="חלקית")*((K6:O6="כן")+(K6:O6="לא")))/SUMPRODUCT(((K6:O6="כן")+(K6:O6="לא"))*(P6:T6&lt;&gt;"")),""))</f>
      </c>
      <c r="AD6" s="26">
        <f>IF($A6="","",SUMPRODUCT((K6:O6="כן")*(P6:T6="לא")))</f>
      </c>
      <c r="AE6" s="26">
        <f>IF($A6="","",SUMPRODUCT((K6:O6="לא")*(P6:T6="כן")))</f>
      </c>
      <c r="AF6" s="26">
        <f>IF($A6="","",COUNTIF(U6:W6,"כן"))</f>
      </c>
      <c r="AG6" s="26">
        <f>IF($A6="","",IF(AA6&lt;&gt;"מלא",0,IF(OR(AC6="",N(AC6)&lt;0.6),1,IF(AND(AF6&gt;=2,N(X6)&gt;=2),3,2))))</f>
      </c>
    </row>
    <row r="7" ht="15" customHeight="1" spans="1:33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6">
        <f>IF($A7="","",$A7&amp;"|"&amp;$C7)</f>
      </c>
      <c r="AA7" s="26">
        <f>IF($A7="","",IF(OR(H7="לא נבדק",H7=""),"לא נבדק",IF(AND(H7="בחר/ה בעצמו/ה",I7="כן",J7="לא"),"מלא",IF(OR(H7="בחר/ה בעצמו/ה",I7="כן"),"חלקי","עדיין לא"))))</f>
      </c>
      <c r="AB7" s="26">
        <f>IF($A7="","",COUNTIF(K7:O7,"כן"))</f>
      </c>
      <c r="AC7" s="27">
        <f>IF($A7="","",IFERROR(SUMPRODUCT((K7:O7="כן")*(P7:T7="כן")+(K7:O7="לא")*(P7:T7="לא")+0.5*(P7:T7="חלקית")*((K7:O7="כן")+(K7:O7="לא")))/SUMPRODUCT(((K7:O7="כן")+(K7:O7="לא"))*(P7:T7&lt;&gt;"")),""))</f>
      </c>
      <c r="AD7" s="26">
        <f>IF($A7="","",SUMPRODUCT((K7:O7="כן")*(P7:T7="לא")))</f>
      </c>
      <c r="AE7" s="26">
        <f>IF($A7="","",SUMPRODUCT((K7:O7="לא")*(P7:T7="כן")))</f>
      </c>
      <c r="AF7" s="26">
        <f>IF($A7="","",COUNTIF(U7:W7,"כן"))</f>
      </c>
      <c r="AG7" s="26">
        <f>IF($A7="","",IF(AA7&lt;&gt;"מלא",0,IF(OR(AC7="",N(AC7)&lt;0.6),1,IF(AND(AF7&gt;=2,N(X7)&gt;=2),3,2))))</f>
      </c>
    </row>
    <row r="8" ht="15" customHeight="1" spans="1:33" x14ac:dyDescent="0.2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6">
        <f>IF($A8="","",$A8&amp;"|"&amp;$C8)</f>
      </c>
      <c r="AA8" s="26">
        <f>IF($A8="","",IF(OR(H8="לא נבדק",H8=""),"לא נבדק",IF(AND(H8="בחר/ה בעצמו/ה",I8="כן",J8="לא"),"מלא",IF(OR(H8="בחר/ה בעצמו/ה",I8="כן"),"חלקי","עדיין לא"))))</f>
      </c>
      <c r="AB8" s="26">
        <f>IF($A8="","",COUNTIF(K8:O8,"כן"))</f>
      </c>
      <c r="AC8" s="27">
        <f>IF($A8="","",IFERROR(SUMPRODUCT((K8:O8="כן")*(P8:T8="כן")+(K8:O8="לא")*(P8:T8="לא")+0.5*(P8:T8="חלקית")*((K8:O8="כן")+(K8:O8="לא")))/SUMPRODUCT(((K8:O8="כן")+(K8:O8="לא"))*(P8:T8&lt;&gt;"")),""))</f>
      </c>
      <c r="AD8" s="26">
        <f>IF($A8="","",SUMPRODUCT((K8:O8="כן")*(P8:T8="לא")))</f>
      </c>
      <c r="AE8" s="26">
        <f>IF($A8="","",SUMPRODUCT((K8:O8="לא")*(P8:T8="כן")))</f>
      </c>
      <c r="AF8" s="26">
        <f>IF($A8="","",COUNTIF(U8:W8,"כן"))</f>
      </c>
      <c r="AG8" s="26">
        <f>IF($A8="","",IF(AA8&lt;&gt;"מלא",0,IF(OR(AC8="",N(AC8)&lt;0.6),1,IF(AND(AF8&gt;=2,N(X8)&gt;=2),3,2))))</f>
      </c>
    </row>
    <row r="9" ht="15" customHeight="1" spans="1:33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6">
        <f>IF($A9="","",$A9&amp;"|"&amp;$C9)</f>
      </c>
      <c r="AA9" s="26">
        <f>IF($A9="","",IF(OR(H9="לא נבדק",H9=""),"לא נבדק",IF(AND(H9="בחר/ה בעצמו/ה",I9="כן",J9="לא"),"מלא",IF(OR(H9="בחר/ה בעצמו/ה",I9="כן"),"חלקי","עדיין לא"))))</f>
      </c>
      <c r="AB9" s="26">
        <f>IF($A9="","",COUNTIF(K9:O9,"כן"))</f>
      </c>
      <c r="AC9" s="27">
        <f>IF($A9="","",IFERROR(SUMPRODUCT((K9:O9="כן")*(P9:T9="כן")+(K9:O9="לא")*(P9:T9="לא")+0.5*(P9:T9="חלקית")*((K9:O9="כן")+(K9:O9="לא")))/SUMPRODUCT(((K9:O9="כן")+(K9:O9="לא"))*(P9:T9&lt;&gt;"")),""))</f>
      </c>
      <c r="AD9" s="26">
        <f>IF($A9="","",SUMPRODUCT((K9:O9="כן")*(P9:T9="לא")))</f>
      </c>
      <c r="AE9" s="26">
        <f>IF($A9="","",SUMPRODUCT((K9:O9="לא")*(P9:T9="כן")))</f>
      </c>
      <c r="AF9" s="26">
        <f>IF($A9="","",COUNTIF(U9:W9,"כן"))</f>
      </c>
      <c r="AG9" s="26">
        <f>IF($A9="","",IF(AA9&lt;&gt;"מלא",0,IF(OR(AC9="",N(AC9)&lt;0.6),1,IF(AND(AF9&gt;=2,N(X9)&gt;=2),3,2))))</f>
      </c>
    </row>
    <row r="10" ht="15" customHeight="1" spans="1:33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6">
        <f>IF($A10="","",$A10&amp;"|"&amp;$C10)</f>
      </c>
      <c r="AA10" s="26">
        <f>IF($A10="","",IF(OR(H10="לא נבדק",H10=""),"לא נבדק",IF(AND(H10="בחר/ה בעצמו/ה",I10="כן",J10="לא"),"מלא",IF(OR(H10="בחר/ה בעצמו/ה",I10="כן"),"חלקי","עדיין לא"))))</f>
      </c>
      <c r="AB10" s="26">
        <f>IF($A10="","",COUNTIF(K10:O10,"כן"))</f>
      </c>
      <c r="AC10" s="27">
        <f>IF($A10="","",IFERROR(SUMPRODUCT((K10:O10="כן")*(P10:T10="כן")+(K10:O10="לא")*(P10:T10="לא")+0.5*(P10:T10="חלקית")*((K10:O10="כן")+(K10:O10="לא")))/SUMPRODUCT(((K10:O10="כן")+(K10:O10="לא"))*(P10:T10&lt;&gt;"")),""))</f>
      </c>
      <c r="AD10" s="26">
        <f>IF($A10="","",SUMPRODUCT((K10:O10="כן")*(P10:T10="לא")))</f>
      </c>
      <c r="AE10" s="26">
        <f>IF($A10="","",SUMPRODUCT((K10:O10="לא")*(P10:T10="כן")))</f>
      </c>
      <c r="AF10" s="26">
        <f>IF($A10="","",COUNTIF(U10:W10,"כן"))</f>
      </c>
      <c r="AG10" s="26">
        <f>IF($A10="","",IF(AA10&lt;&gt;"מלא",0,IF(OR(AC10="",N(AC10)&lt;0.6),1,IF(AND(AF10&gt;=2,N(X10)&gt;=2),3,2))))</f>
      </c>
    </row>
    <row r="11" ht="15" customHeight="1" spans="1:33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6">
        <f>IF($A11="","",$A11&amp;"|"&amp;$C11)</f>
      </c>
      <c r="AA11" s="26">
        <f>IF($A11="","",IF(OR(H11="לא נבדק",H11=""),"לא נבדק",IF(AND(H11="בחר/ה בעצמו/ה",I11="כן",J11="לא"),"מלא",IF(OR(H11="בחר/ה בעצמו/ה",I11="כן"),"חלקי","עדיין לא"))))</f>
      </c>
      <c r="AB11" s="26">
        <f>IF($A11="","",COUNTIF(K11:O11,"כן"))</f>
      </c>
      <c r="AC11" s="27">
        <f>IF($A11="","",IFERROR(SUMPRODUCT((K11:O11="כן")*(P11:T11="כן")+(K11:O11="לא")*(P11:T11="לא")+0.5*(P11:T11="חלקית")*((K11:O11="כן")+(K11:O11="לא")))/SUMPRODUCT(((K11:O11="כן")+(K11:O11="לא"))*(P11:T11&lt;&gt;"")),""))</f>
      </c>
      <c r="AD11" s="26">
        <f>IF($A11="","",SUMPRODUCT((K11:O11="כן")*(P11:T11="לא")))</f>
      </c>
      <c r="AE11" s="26">
        <f>IF($A11="","",SUMPRODUCT((K11:O11="לא")*(P11:T11="כן")))</f>
      </c>
      <c r="AF11" s="26">
        <f>IF($A11="","",COUNTIF(U11:W11,"כן"))</f>
      </c>
      <c r="AG11" s="26">
        <f>IF($A11="","",IF(AA11&lt;&gt;"מלא",0,IF(OR(AC11="",N(AC11)&lt;0.6),1,IF(AND(AF11&gt;=2,N(X11)&gt;=2),3,2))))</f>
      </c>
    </row>
    <row r="12" ht="15" customHeight="1" spans="1:33" x14ac:dyDescent="0.2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6">
        <f>IF($A12="","",$A12&amp;"|"&amp;$C12)</f>
      </c>
      <c r="AA12" s="26">
        <f>IF($A12="","",IF(OR(H12="לא נבדק",H12=""),"לא נבדק",IF(AND(H12="בחר/ה בעצמו/ה",I12="כן",J12="לא"),"מלא",IF(OR(H12="בחר/ה בעצמו/ה",I12="כן"),"חלקי","עדיין לא"))))</f>
      </c>
      <c r="AB12" s="26">
        <f>IF($A12="","",COUNTIF(K12:O12,"כן"))</f>
      </c>
      <c r="AC12" s="27">
        <f>IF($A12="","",IFERROR(SUMPRODUCT((K12:O12="כן")*(P12:T12="כן")+(K12:O12="לא")*(P12:T12="לא")+0.5*(P12:T12="חלקית")*((K12:O12="כן")+(K12:O12="לא")))/SUMPRODUCT(((K12:O12="כן")+(K12:O12="לא"))*(P12:T12&lt;&gt;"")),""))</f>
      </c>
      <c r="AD12" s="26">
        <f>IF($A12="","",SUMPRODUCT((K12:O12="כן")*(P12:T12="לא")))</f>
      </c>
      <c r="AE12" s="26">
        <f>IF($A12="","",SUMPRODUCT((K12:O12="לא")*(P12:T12="כן")))</f>
      </c>
      <c r="AF12" s="26">
        <f>IF($A12="","",COUNTIF(U12:W12,"כן"))</f>
      </c>
      <c r="AG12" s="26">
        <f>IF($A12="","",IF(AA12&lt;&gt;"מלא",0,IF(OR(AC12="",N(AC12)&lt;0.6),1,IF(AND(AF12&gt;=2,N(X12)&gt;=2),3,2))))</f>
      </c>
    </row>
    <row r="13" ht="15" customHeight="1" spans="1:33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6">
        <f>IF($A13="","",$A13&amp;"|"&amp;$C13)</f>
      </c>
      <c r="AA13" s="26">
        <f>IF($A13="","",IF(OR(H13="לא נבדק",H13=""),"לא נבדק",IF(AND(H13="בחר/ה בעצמו/ה",I13="כן",J13="לא"),"מלא",IF(OR(H13="בחר/ה בעצמו/ה",I13="כן"),"חלקי","עדיין לא"))))</f>
      </c>
      <c r="AB13" s="26">
        <f>IF($A13="","",COUNTIF(K13:O13,"כן"))</f>
      </c>
      <c r="AC13" s="27">
        <f>IF($A13="","",IFERROR(SUMPRODUCT((K13:O13="כן")*(P13:T13="כן")+(K13:O13="לא")*(P13:T13="לא")+0.5*(P13:T13="חלקית")*((K13:O13="כן")+(K13:O13="לא")))/SUMPRODUCT(((K13:O13="כן")+(K13:O13="לא"))*(P13:T13&lt;&gt;"")),""))</f>
      </c>
      <c r="AD13" s="26">
        <f>IF($A13="","",SUMPRODUCT((K13:O13="כן")*(P13:T13="לא")))</f>
      </c>
      <c r="AE13" s="26">
        <f>IF($A13="","",SUMPRODUCT((K13:O13="לא")*(P13:T13="כן")))</f>
      </c>
      <c r="AF13" s="26">
        <f>IF($A13="","",COUNTIF(U13:W13,"כן"))</f>
      </c>
      <c r="AG13" s="26">
        <f>IF($A13="","",IF(AA13&lt;&gt;"מלא",0,IF(OR(AC13="",N(AC13)&lt;0.6),1,IF(AND(AF13&gt;=2,N(X13)&gt;=2),3,2))))</f>
      </c>
    </row>
    <row r="14" ht="15" customHeight="1" spans="1:33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6">
        <f>IF($A14="","",$A14&amp;"|"&amp;$C14)</f>
      </c>
      <c r="AA14" s="26">
        <f>IF($A14="","",IF(OR(H14="לא נבדק",H14=""),"לא נבדק",IF(AND(H14="בחר/ה בעצמו/ה",I14="כן",J14="לא"),"מלא",IF(OR(H14="בחר/ה בעצמו/ה",I14="כן"),"חלקי","עדיין לא"))))</f>
      </c>
      <c r="AB14" s="26">
        <f>IF($A14="","",COUNTIF(K14:O14,"כן"))</f>
      </c>
      <c r="AC14" s="27">
        <f>IF($A14="","",IFERROR(SUMPRODUCT((K14:O14="כן")*(P14:T14="כן")+(K14:O14="לא")*(P14:T14="לא")+0.5*(P14:T14="חלקית")*((K14:O14="כן")+(K14:O14="לא")))/SUMPRODUCT(((K14:O14="כן")+(K14:O14="לא"))*(P14:T14&lt;&gt;"")),""))</f>
      </c>
      <c r="AD14" s="26">
        <f>IF($A14="","",SUMPRODUCT((K14:O14="כן")*(P14:T14="לא")))</f>
      </c>
      <c r="AE14" s="26">
        <f>IF($A14="","",SUMPRODUCT((K14:O14="לא")*(P14:T14="כן")))</f>
      </c>
      <c r="AF14" s="26">
        <f>IF($A14="","",COUNTIF(U14:W14,"כן"))</f>
      </c>
      <c r="AG14" s="26">
        <f>IF($A14="","",IF(AA14&lt;&gt;"מלא",0,IF(OR(AC14="",N(AC14)&lt;0.6),1,IF(AND(AF14&gt;=2,N(X14)&gt;=2),3,2))))</f>
      </c>
    </row>
    <row r="15" ht="15" customHeight="1" spans="1:33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6">
        <f>IF($A15="","",$A15&amp;"|"&amp;$C15)</f>
      </c>
      <c r="AA15" s="26">
        <f>IF($A15="","",IF(OR(H15="לא נבדק",H15=""),"לא נבדק",IF(AND(H15="בחר/ה בעצמו/ה",I15="כן",J15="לא"),"מלא",IF(OR(H15="בחר/ה בעצמו/ה",I15="כן"),"חלקי","עדיין לא"))))</f>
      </c>
      <c r="AB15" s="26">
        <f>IF($A15="","",COUNTIF(K15:O15,"כן"))</f>
      </c>
      <c r="AC15" s="27">
        <f>IF($A15="","",IFERROR(SUMPRODUCT((K15:O15="כן")*(P15:T15="כן")+(K15:O15="לא")*(P15:T15="לא")+0.5*(P15:T15="חלקית")*((K15:O15="כן")+(K15:O15="לא")))/SUMPRODUCT(((K15:O15="כן")+(K15:O15="לא"))*(P15:T15&lt;&gt;"")),""))</f>
      </c>
      <c r="AD15" s="26">
        <f>IF($A15="","",SUMPRODUCT((K15:O15="כן")*(P15:T15="לא")))</f>
      </c>
      <c r="AE15" s="26">
        <f>IF($A15="","",SUMPRODUCT((K15:O15="לא")*(P15:T15="כן")))</f>
      </c>
      <c r="AF15" s="26">
        <f>IF($A15="","",COUNTIF(U15:W15,"כן"))</f>
      </c>
      <c r="AG15" s="26">
        <f>IF($A15="","",IF(AA15&lt;&gt;"מלא",0,IF(OR(AC15="",N(AC15)&lt;0.6),1,IF(AND(AF15&gt;=2,N(X15)&gt;=2),3,2))))</f>
      </c>
    </row>
    <row r="16" ht="15" customHeight="1" spans="1:33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6">
        <f>IF($A16="","",$A16&amp;"|"&amp;$C16)</f>
      </c>
      <c r="AA16" s="26">
        <f>IF($A16="","",IF(OR(H16="לא נבדק",H16=""),"לא נבדק",IF(AND(H16="בחר/ה בעצמו/ה",I16="כן",J16="לא"),"מלא",IF(OR(H16="בחר/ה בעצמו/ה",I16="כן"),"חלקי","עדיין לא"))))</f>
      </c>
      <c r="AB16" s="26">
        <f>IF($A16="","",COUNTIF(K16:O16,"כן"))</f>
      </c>
      <c r="AC16" s="27">
        <f>IF($A16="","",IFERROR(SUMPRODUCT((K16:O16="כן")*(P16:T16="כן")+(K16:O16="לא")*(P16:T16="לא")+0.5*(P16:T16="חלקית")*((K16:O16="כן")+(K16:O16="לא")))/SUMPRODUCT(((K16:O16="כן")+(K16:O16="לא"))*(P16:T16&lt;&gt;"")),""))</f>
      </c>
      <c r="AD16" s="26">
        <f>IF($A16="","",SUMPRODUCT((K16:O16="כן")*(P16:T16="לא")))</f>
      </c>
      <c r="AE16" s="26">
        <f>IF($A16="","",SUMPRODUCT((K16:O16="לא")*(P16:T16="כן")))</f>
      </c>
      <c r="AF16" s="26">
        <f>IF($A16="","",COUNTIF(U16:W16,"כן"))</f>
      </c>
      <c r="AG16" s="26">
        <f>IF($A16="","",IF(AA16&lt;&gt;"מלא",0,IF(OR(AC16="",N(AC16)&lt;0.6),1,IF(AND(AF16&gt;=2,N(X16)&gt;=2),3,2))))</f>
      </c>
    </row>
    <row r="17" ht="15" customHeight="1" spans="1:33" x14ac:dyDescent="0.2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6">
        <f>IF($A17="","",$A17&amp;"|"&amp;$C17)</f>
      </c>
      <c r="AA17" s="26">
        <f>IF($A17="","",IF(OR(H17="לא נבדק",H17=""),"לא נבדק",IF(AND(H17="בחר/ה בעצמו/ה",I17="כן",J17="לא"),"מלא",IF(OR(H17="בחר/ה בעצמו/ה",I17="כן"),"חלקי","עדיין לא"))))</f>
      </c>
      <c r="AB17" s="26">
        <f>IF($A17="","",COUNTIF(K17:O17,"כן"))</f>
      </c>
      <c r="AC17" s="27">
        <f>IF($A17="","",IFERROR(SUMPRODUCT((K17:O17="כן")*(P17:T17="כן")+(K17:O17="לא")*(P17:T17="לא")+0.5*(P17:T17="חלקית")*((K17:O17="כן")+(K17:O17="לא")))/SUMPRODUCT(((K17:O17="כן")+(K17:O17="לא"))*(P17:T17&lt;&gt;"")),""))</f>
      </c>
      <c r="AD17" s="26">
        <f>IF($A17="","",SUMPRODUCT((K17:O17="כן")*(P17:T17="לא")))</f>
      </c>
      <c r="AE17" s="26">
        <f>IF($A17="","",SUMPRODUCT((K17:O17="לא")*(P17:T17="כן")))</f>
      </c>
      <c r="AF17" s="26">
        <f>IF($A17="","",COUNTIF(U17:W17,"כן"))</f>
      </c>
      <c r="AG17" s="26">
        <f>IF($A17="","",IF(AA17&lt;&gt;"מלא",0,IF(OR(AC17="",N(AC17)&lt;0.6),1,IF(AND(AF17&gt;=2,N(X17)&gt;=2),3,2))))</f>
      </c>
    </row>
    <row r="18" ht="15" customHeight="1" spans="1:33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6">
        <f>IF($A18="","",$A18&amp;"|"&amp;$C18)</f>
      </c>
      <c r="AA18" s="26">
        <f>IF($A18="","",IF(OR(H18="לא נבדק",H18=""),"לא נבדק",IF(AND(H18="בחר/ה בעצמו/ה",I18="כן",J18="לא"),"מלא",IF(OR(H18="בחר/ה בעצמו/ה",I18="כן"),"חלקי","עדיין לא"))))</f>
      </c>
      <c r="AB18" s="26">
        <f>IF($A18="","",COUNTIF(K18:O18,"כן"))</f>
      </c>
      <c r="AC18" s="27">
        <f>IF($A18="","",IFERROR(SUMPRODUCT((K18:O18="כן")*(P18:T18="כן")+(K18:O18="לא")*(P18:T18="לא")+0.5*(P18:T18="חלקית")*((K18:O18="כן")+(K18:O18="לא")))/SUMPRODUCT(((K18:O18="כן")+(K18:O18="לא"))*(P18:T18&lt;&gt;"")),""))</f>
      </c>
      <c r="AD18" s="26">
        <f>IF($A18="","",SUMPRODUCT((K18:O18="כן")*(P18:T18="לא")))</f>
      </c>
      <c r="AE18" s="26">
        <f>IF($A18="","",SUMPRODUCT((K18:O18="לא")*(P18:T18="כן")))</f>
      </c>
      <c r="AF18" s="26">
        <f>IF($A18="","",COUNTIF(U18:W18,"כן"))</f>
      </c>
      <c r="AG18" s="26">
        <f>IF($A18="","",IF(AA18&lt;&gt;"מלא",0,IF(OR(AC18="",N(AC18)&lt;0.6),1,IF(AND(AF18&gt;=2,N(X18)&gt;=2),3,2))))</f>
      </c>
    </row>
    <row r="19" ht="15" customHeight="1" spans="1:33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6">
        <f>IF($A19="","",$A19&amp;"|"&amp;$C19)</f>
      </c>
      <c r="AA19" s="26">
        <f>IF($A19="","",IF(OR(H19="לא נבדק",H19=""),"לא נבדק",IF(AND(H19="בחר/ה בעצמו/ה",I19="כן",J19="לא"),"מלא",IF(OR(H19="בחר/ה בעצמו/ה",I19="כן"),"חלקי","עדיין לא"))))</f>
      </c>
      <c r="AB19" s="26">
        <f>IF($A19="","",COUNTIF(K19:O19,"כן"))</f>
      </c>
      <c r="AC19" s="27">
        <f>IF($A19="","",IFERROR(SUMPRODUCT((K19:O19="כן")*(P19:T19="כן")+(K19:O19="לא")*(P19:T19="לא")+0.5*(P19:T19="חלקית")*((K19:O19="כן")+(K19:O19="לא")))/SUMPRODUCT(((K19:O19="כן")+(K19:O19="לא"))*(P19:T19&lt;&gt;"")),""))</f>
      </c>
      <c r="AD19" s="26">
        <f>IF($A19="","",SUMPRODUCT((K19:O19="כן")*(P19:T19="לא")))</f>
      </c>
      <c r="AE19" s="26">
        <f>IF($A19="","",SUMPRODUCT((K19:O19="לא")*(P19:T19="כן")))</f>
      </c>
      <c r="AF19" s="26">
        <f>IF($A19="","",COUNTIF(U19:W19,"כן"))</f>
      </c>
      <c r="AG19" s="26">
        <f>IF($A19="","",IF(AA19&lt;&gt;"מלא",0,IF(OR(AC19="",N(AC19)&lt;0.6),1,IF(AND(AF19&gt;=2,N(X19)&gt;=2),3,2))))</f>
      </c>
    </row>
    <row r="20" ht="15" customHeight="1" spans="1:33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6">
        <f>IF($A20="","",$A20&amp;"|"&amp;$C20)</f>
      </c>
      <c r="AA20" s="26">
        <f>IF($A20="","",IF(OR(H20="לא נבדק",H20=""),"לא נבדק",IF(AND(H20="בחר/ה בעצמו/ה",I20="כן",J20="לא"),"מלא",IF(OR(H20="בחר/ה בעצמו/ה",I20="כן"),"חלקי","עדיין לא"))))</f>
      </c>
      <c r="AB20" s="26">
        <f>IF($A20="","",COUNTIF(K20:O20,"כן"))</f>
      </c>
      <c r="AC20" s="27">
        <f>IF($A20="","",IFERROR(SUMPRODUCT((K20:O20="כן")*(P20:T20="כן")+(K20:O20="לא")*(P20:T20="לא")+0.5*(P20:T20="חלקית")*((K20:O20="כן")+(K20:O20="לא")))/SUMPRODUCT(((K20:O20="כן")+(K20:O20="לא"))*(P20:T20&lt;&gt;"")),""))</f>
      </c>
      <c r="AD20" s="26">
        <f>IF($A20="","",SUMPRODUCT((K20:O20="כן")*(P20:T20="לא")))</f>
      </c>
      <c r="AE20" s="26">
        <f>IF($A20="","",SUMPRODUCT((K20:O20="לא")*(P20:T20="כן")))</f>
      </c>
      <c r="AF20" s="26">
        <f>IF($A20="","",COUNTIF(U20:W20,"כן"))</f>
      </c>
      <c r="AG20" s="26">
        <f>IF($A20="","",IF(AA20&lt;&gt;"מלא",0,IF(OR(AC20="",N(AC20)&lt;0.6),1,IF(AND(AF20&gt;=2,N(X20)&gt;=2),3,2))))</f>
      </c>
    </row>
    <row r="21" ht="15" customHeight="1" spans="1:33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6">
        <f>IF($A21="","",$A21&amp;"|"&amp;$C21)</f>
      </c>
      <c r="AA21" s="26">
        <f>IF($A21="","",IF(OR(H21="לא נבדק",H21=""),"לא נבדק",IF(AND(H21="בחר/ה בעצמו/ה",I21="כן",J21="לא"),"מלא",IF(OR(H21="בחר/ה בעצמו/ה",I21="כן"),"חלקי","עדיין לא"))))</f>
      </c>
      <c r="AB21" s="26">
        <f>IF($A21="","",COUNTIF(K21:O21,"כן"))</f>
      </c>
      <c r="AC21" s="27">
        <f>IF($A21="","",IFERROR(SUMPRODUCT((K21:O21="כן")*(P21:T21="כן")+(K21:O21="לא")*(P21:T21="לא")+0.5*(P21:T21="חלקית")*((K21:O21="כן")+(K21:O21="לא")))/SUMPRODUCT(((K21:O21="כן")+(K21:O21="לא"))*(P21:T21&lt;&gt;"")),""))</f>
      </c>
      <c r="AD21" s="26">
        <f>IF($A21="","",SUMPRODUCT((K21:O21="כן")*(P21:T21="לא")))</f>
      </c>
      <c r="AE21" s="26">
        <f>IF($A21="","",SUMPRODUCT((K21:O21="לא")*(P21:T21="כן")))</f>
      </c>
      <c r="AF21" s="26">
        <f>IF($A21="","",COUNTIF(U21:W21,"כן"))</f>
      </c>
      <c r="AG21" s="26">
        <f>IF($A21="","",IF(AA21&lt;&gt;"מלא",0,IF(OR(AC21="",N(AC21)&lt;0.6),1,IF(AND(AF21&gt;=2,N(X21)&gt;=2),3,2))))</f>
      </c>
    </row>
    <row r="22" ht="15" customHeight="1" spans="1:33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6">
        <f>IF($A22="","",$A22&amp;"|"&amp;$C22)</f>
      </c>
      <c r="AA22" s="26">
        <f>IF($A22="","",IF(OR(H22="לא נבדק",H22=""),"לא נבדק",IF(AND(H22="בחר/ה בעצמו/ה",I22="כן",J22="לא"),"מלא",IF(OR(H22="בחר/ה בעצמו/ה",I22="כן"),"חלקי","עדיין לא"))))</f>
      </c>
      <c r="AB22" s="26">
        <f>IF($A22="","",COUNTIF(K22:O22,"כן"))</f>
      </c>
      <c r="AC22" s="27">
        <f>IF($A22="","",IFERROR(SUMPRODUCT((K22:O22="כן")*(P22:T22="כן")+(K22:O22="לא")*(P22:T22="לא")+0.5*(P22:T22="חלקית")*((K22:O22="כן")+(K22:O22="לא")))/SUMPRODUCT(((K22:O22="כן")+(K22:O22="לא"))*(P22:T22&lt;&gt;"")),""))</f>
      </c>
      <c r="AD22" s="26">
        <f>IF($A22="","",SUMPRODUCT((K22:O22="כן")*(P22:T22="לא")))</f>
      </c>
      <c r="AE22" s="26">
        <f>IF($A22="","",SUMPRODUCT((K22:O22="לא")*(P22:T22="כן")))</f>
      </c>
      <c r="AF22" s="26">
        <f>IF($A22="","",COUNTIF(U22:W22,"כן"))</f>
      </c>
      <c r="AG22" s="26">
        <f>IF($A22="","",IF(AA22&lt;&gt;"מלא",0,IF(OR(AC22="",N(AC22)&lt;0.6),1,IF(AND(AF22&gt;=2,N(X22)&gt;=2),3,2))))</f>
      </c>
    </row>
    <row r="23" ht="15" customHeight="1" spans="1:33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6">
        <f>IF($A23="","",$A23&amp;"|"&amp;$C23)</f>
      </c>
      <c r="AA23" s="26">
        <f>IF($A23="","",IF(OR(H23="לא נבדק",H23=""),"לא נבדק",IF(AND(H23="בחר/ה בעצמו/ה",I23="כן",J23="לא"),"מלא",IF(OR(H23="בחר/ה בעצמו/ה",I23="כן"),"חלקי","עדיין לא"))))</f>
      </c>
      <c r="AB23" s="26">
        <f>IF($A23="","",COUNTIF(K23:O23,"כן"))</f>
      </c>
      <c r="AC23" s="27">
        <f>IF($A23="","",IFERROR(SUMPRODUCT((K23:O23="כן")*(P23:T23="כן")+(K23:O23="לא")*(P23:T23="לא")+0.5*(P23:T23="חלקית")*((K23:O23="כן")+(K23:O23="לא")))/SUMPRODUCT(((K23:O23="כן")+(K23:O23="לא"))*(P23:T23&lt;&gt;"")),""))</f>
      </c>
      <c r="AD23" s="26">
        <f>IF($A23="","",SUMPRODUCT((K23:O23="כן")*(P23:T23="לא")))</f>
      </c>
      <c r="AE23" s="26">
        <f>IF($A23="","",SUMPRODUCT((K23:O23="לא")*(P23:T23="כן")))</f>
      </c>
      <c r="AF23" s="26">
        <f>IF($A23="","",COUNTIF(U23:W23,"כן"))</f>
      </c>
      <c r="AG23" s="26">
        <f>IF($A23="","",IF(AA23&lt;&gt;"מלא",0,IF(OR(AC23="",N(AC23)&lt;0.6),1,IF(AND(AF23&gt;=2,N(X23)&gt;=2),3,2))))</f>
      </c>
    </row>
    <row r="24" ht="15" customHeight="1" spans="1:33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6">
        <f>IF($A24="","",$A24&amp;"|"&amp;$C24)</f>
      </c>
      <c r="AA24" s="26">
        <f>IF($A24="","",IF(OR(H24="לא נבדק",H24=""),"לא נבדק",IF(AND(H24="בחר/ה בעצמו/ה",I24="כן",J24="לא"),"מלא",IF(OR(H24="בחר/ה בעצמו/ה",I24="כן"),"חלקי","עדיין לא"))))</f>
      </c>
      <c r="AB24" s="26">
        <f>IF($A24="","",COUNTIF(K24:O24,"כן"))</f>
      </c>
      <c r="AC24" s="27">
        <f>IF($A24="","",IFERROR(SUMPRODUCT((K24:O24="כן")*(P24:T24="כן")+(K24:O24="לא")*(P24:T24="לא")+0.5*(P24:T24="חלקית")*((K24:O24="כן")+(K24:O24="לא")))/SUMPRODUCT(((K24:O24="כן")+(K24:O24="לא"))*(P24:T24&lt;&gt;"")),""))</f>
      </c>
      <c r="AD24" s="26">
        <f>IF($A24="","",SUMPRODUCT((K24:O24="כן")*(P24:T24="לא")))</f>
      </c>
      <c r="AE24" s="26">
        <f>IF($A24="","",SUMPRODUCT((K24:O24="לא")*(P24:T24="כן")))</f>
      </c>
      <c r="AF24" s="26">
        <f>IF($A24="","",COUNTIF(U24:W24,"כן"))</f>
      </c>
      <c r="AG24" s="26">
        <f>IF($A24="","",IF(AA24&lt;&gt;"מלא",0,IF(OR(AC24="",N(AC24)&lt;0.6),1,IF(AND(AF24&gt;=2,N(X24)&gt;=2),3,2))))</f>
      </c>
    </row>
    <row r="25" ht="15" customHeight="1" spans="1:33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6">
        <f>IF($A25="","",$A25&amp;"|"&amp;$C25)</f>
      </c>
      <c r="AA25" s="26">
        <f>IF($A25="","",IF(OR(H25="לא נבדק",H25=""),"לא נבדק",IF(AND(H25="בחר/ה בעצמו/ה",I25="כן",J25="לא"),"מלא",IF(OR(H25="בחר/ה בעצמו/ה",I25="כן"),"חלקי","עדיין לא"))))</f>
      </c>
      <c r="AB25" s="26">
        <f>IF($A25="","",COUNTIF(K25:O25,"כן"))</f>
      </c>
      <c r="AC25" s="27">
        <f>IF($A25="","",IFERROR(SUMPRODUCT((K25:O25="כן")*(P25:T25="כן")+(K25:O25="לא")*(P25:T25="לא")+0.5*(P25:T25="חלקית")*((K25:O25="כן")+(K25:O25="לא")))/SUMPRODUCT(((K25:O25="כן")+(K25:O25="לא"))*(P25:T25&lt;&gt;"")),""))</f>
      </c>
      <c r="AD25" s="26">
        <f>IF($A25="","",SUMPRODUCT((K25:O25="כן")*(P25:T25="לא")))</f>
      </c>
      <c r="AE25" s="26">
        <f>IF($A25="","",SUMPRODUCT((K25:O25="לא")*(P25:T25="כן")))</f>
      </c>
      <c r="AF25" s="26">
        <f>IF($A25="","",COUNTIF(U25:W25,"כן"))</f>
      </c>
      <c r="AG25" s="26">
        <f>IF($A25="","",IF(AA25&lt;&gt;"מלא",0,IF(OR(AC25="",N(AC25)&lt;0.6),1,IF(AND(AF25&gt;=2,N(X25)&gt;=2),3,2))))</f>
      </c>
    </row>
    <row r="26" ht="15" customHeight="1" spans="1:33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6">
        <f>IF($A26="","",$A26&amp;"|"&amp;$C26)</f>
      </c>
      <c r="AA26" s="26">
        <f>IF($A26="","",IF(OR(H26="לא נבדק",H26=""),"לא נבדק",IF(AND(H26="בחר/ה בעצמו/ה",I26="כן",J26="לא"),"מלא",IF(OR(H26="בחר/ה בעצמו/ה",I26="כן"),"חלקי","עדיין לא"))))</f>
      </c>
      <c r="AB26" s="26">
        <f>IF($A26="","",COUNTIF(K26:O26,"כן"))</f>
      </c>
      <c r="AC26" s="27">
        <f>IF($A26="","",IFERROR(SUMPRODUCT((K26:O26="כן")*(P26:T26="כן")+(K26:O26="לא")*(P26:T26="לא")+0.5*(P26:T26="חלקית")*((K26:O26="כן")+(K26:O26="לא")))/SUMPRODUCT(((K26:O26="כן")+(K26:O26="לא"))*(P26:T26&lt;&gt;"")),""))</f>
      </c>
      <c r="AD26" s="26">
        <f>IF($A26="","",SUMPRODUCT((K26:O26="כן")*(P26:T26="לא")))</f>
      </c>
      <c r="AE26" s="26">
        <f>IF($A26="","",SUMPRODUCT((K26:O26="לא")*(P26:T26="כן")))</f>
      </c>
      <c r="AF26" s="26">
        <f>IF($A26="","",COUNTIF(U26:W26,"כן"))</f>
      </c>
      <c r="AG26" s="26">
        <f>IF($A26="","",IF(AA26&lt;&gt;"מלא",0,IF(OR(AC26="",N(AC26)&lt;0.6),1,IF(AND(AF26&gt;=2,N(X26)&gt;=2),3,2))))</f>
      </c>
    </row>
    <row r="27" ht="15" customHeight="1" spans="1:33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6">
        <f>IF($A27="","",$A27&amp;"|"&amp;$C27)</f>
      </c>
      <c r="AA27" s="26">
        <f>IF($A27="","",IF(OR(H27="לא נבדק",H27=""),"לא נבדק",IF(AND(H27="בחר/ה בעצמו/ה",I27="כן",J27="לא"),"מלא",IF(OR(H27="בחר/ה בעצמו/ה",I27="כן"),"חלקי","עדיין לא"))))</f>
      </c>
      <c r="AB27" s="26">
        <f>IF($A27="","",COUNTIF(K27:O27,"כן"))</f>
      </c>
      <c r="AC27" s="27">
        <f>IF($A27="","",IFERROR(SUMPRODUCT((K27:O27="כן")*(P27:T27="כן")+(K27:O27="לא")*(P27:T27="לא")+0.5*(P27:T27="חלקית")*((K27:O27="כן")+(K27:O27="לא")))/SUMPRODUCT(((K27:O27="כן")+(K27:O27="לא"))*(P27:T27&lt;&gt;"")),""))</f>
      </c>
      <c r="AD27" s="26">
        <f>IF($A27="","",SUMPRODUCT((K27:O27="כן")*(P27:T27="לא")))</f>
      </c>
      <c r="AE27" s="26">
        <f>IF($A27="","",SUMPRODUCT((K27:O27="לא")*(P27:T27="כן")))</f>
      </c>
      <c r="AF27" s="26">
        <f>IF($A27="","",COUNTIF(U27:W27,"כן"))</f>
      </c>
      <c r="AG27" s="26">
        <f>IF($A27="","",IF(AA27&lt;&gt;"מלא",0,IF(OR(AC27="",N(AC27)&lt;0.6),1,IF(AND(AF27&gt;=2,N(X27)&gt;=2),3,2))))</f>
      </c>
    </row>
    <row r="28" ht="15" customHeight="1" spans="1:33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6">
        <f>IF($A28="","",$A28&amp;"|"&amp;$C28)</f>
      </c>
      <c r="AA28" s="26">
        <f>IF($A28="","",IF(OR(H28="לא נבדק",H28=""),"לא נבדק",IF(AND(H28="בחר/ה בעצמו/ה",I28="כן",J28="לא"),"מלא",IF(OR(H28="בחר/ה בעצמו/ה",I28="כן"),"חלקי","עדיין לא"))))</f>
      </c>
      <c r="AB28" s="26">
        <f>IF($A28="","",COUNTIF(K28:O28,"כן"))</f>
      </c>
      <c r="AC28" s="27">
        <f>IF($A28="","",IFERROR(SUMPRODUCT((K28:O28="כן")*(P28:T28="כן")+(K28:O28="לא")*(P28:T28="לא")+0.5*(P28:T28="חלקית")*((K28:O28="כן")+(K28:O28="לא")))/SUMPRODUCT(((K28:O28="כן")+(K28:O28="לא"))*(P28:T28&lt;&gt;"")),""))</f>
      </c>
      <c r="AD28" s="26">
        <f>IF($A28="","",SUMPRODUCT((K28:O28="כן")*(P28:T28="לא")))</f>
      </c>
      <c r="AE28" s="26">
        <f>IF($A28="","",SUMPRODUCT((K28:O28="לא")*(P28:T28="כן")))</f>
      </c>
      <c r="AF28" s="26">
        <f>IF($A28="","",COUNTIF(U28:W28,"כן"))</f>
      </c>
      <c r="AG28" s="26">
        <f>IF($A28="","",IF(AA28&lt;&gt;"מלא",0,IF(OR(AC28="",N(AC28)&lt;0.6),1,IF(AND(AF28&gt;=2,N(X28)&gt;=2),3,2))))</f>
      </c>
    </row>
    <row r="29" ht="15" customHeight="1" spans="1:33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6">
        <f>IF($A29="","",$A29&amp;"|"&amp;$C29)</f>
      </c>
      <c r="AA29" s="26">
        <f>IF($A29="","",IF(OR(H29="לא נבדק",H29=""),"לא נבדק",IF(AND(H29="בחר/ה בעצמו/ה",I29="כן",J29="לא"),"מלא",IF(OR(H29="בחר/ה בעצמו/ה",I29="כן"),"חלקי","עדיין לא"))))</f>
      </c>
      <c r="AB29" s="26">
        <f>IF($A29="","",COUNTIF(K29:O29,"כן"))</f>
      </c>
      <c r="AC29" s="27">
        <f>IF($A29="","",IFERROR(SUMPRODUCT((K29:O29="כן")*(P29:T29="כן")+(K29:O29="לא")*(P29:T29="לא")+0.5*(P29:T29="חלקית")*((K29:O29="כן")+(K29:O29="לא")))/SUMPRODUCT(((K29:O29="כן")+(K29:O29="לא"))*(P29:T29&lt;&gt;"")),""))</f>
      </c>
      <c r="AD29" s="26">
        <f>IF($A29="","",SUMPRODUCT((K29:O29="כן")*(P29:T29="לא")))</f>
      </c>
      <c r="AE29" s="26">
        <f>IF($A29="","",SUMPRODUCT((K29:O29="לא")*(P29:T29="כן")))</f>
      </c>
      <c r="AF29" s="26">
        <f>IF($A29="","",COUNTIF(U29:W29,"כן"))</f>
      </c>
      <c r="AG29" s="26">
        <f>IF($A29="","",IF(AA29&lt;&gt;"מלא",0,IF(OR(AC29="",N(AC29)&lt;0.6),1,IF(AND(AF29&gt;=2,N(X29)&gt;=2),3,2))))</f>
      </c>
    </row>
    <row r="30" ht="15" customHeight="1" spans="1:33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6">
        <f>IF($A30="","",$A30&amp;"|"&amp;$C30)</f>
      </c>
      <c r="AA30" s="26">
        <f>IF($A30="","",IF(OR(H30="לא נבדק",H30=""),"לא נבדק",IF(AND(H30="בחר/ה בעצמו/ה",I30="כן",J30="לא"),"מלא",IF(OR(H30="בחר/ה בעצמו/ה",I30="כן"),"חלקי","עדיין לא"))))</f>
      </c>
      <c r="AB30" s="26">
        <f>IF($A30="","",COUNTIF(K30:O30,"כן"))</f>
      </c>
      <c r="AC30" s="27">
        <f>IF($A30="","",IFERROR(SUMPRODUCT((K30:O30="כן")*(P30:T30="כן")+(K30:O30="לא")*(P30:T30="לא")+0.5*(P30:T30="חלקית")*((K30:O30="כן")+(K30:O30="לא")))/SUMPRODUCT(((K30:O30="כן")+(K30:O30="לא"))*(P30:T30&lt;&gt;"")),""))</f>
      </c>
      <c r="AD30" s="26">
        <f>IF($A30="","",SUMPRODUCT((K30:O30="כן")*(P30:T30="לא")))</f>
      </c>
      <c r="AE30" s="26">
        <f>IF($A30="","",SUMPRODUCT((K30:O30="לא")*(P30:T30="כן")))</f>
      </c>
      <c r="AF30" s="26">
        <f>IF($A30="","",COUNTIF(U30:W30,"כן"))</f>
      </c>
      <c r="AG30" s="26">
        <f>IF($A30="","",IF(AA30&lt;&gt;"מלא",0,IF(OR(AC30="",N(AC30)&lt;0.6),1,IF(AND(AF30&gt;=2,N(X30)&gt;=2),3,2))))</f>
      </c>
    </row>
    <row r="31" ht="15" customHeight="1" spans="1:33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6">
        <f>IF($A31="","",$A31&amp;"|"&amp;$C31)</f>
      </c>
      <c r="AA31" s="26">
        <f>IF($A31="","",IF(OR(H31="לא נבדק",H31=""),"לא נבדק",IF(AND(H31="בחר/ה בעצמו/ה",I31="כן",J31="לא"),"מלא",IF(OR(H31="בחר/ה בעצמו/ה",I31="כן"),"חלקי","עדיין לא"))))</f>
      </c>
      <c r="AB31" s="26">
        <f>IF($A31="","",COUNTIF(K31:O31,"כן"))</f>
      </c>
      <c r="AC31" s="27">
        <f>IF($A31="","",IFERROR(SUMPRODUCT((K31:O31="כן")*(P31:T31="כן")+(K31:O31="לא")*(P31:T31="לא")+0.5*(P31:T31="חלקית")*((K31:O31="כן")+(K31:O31="לא")))/SUMPRODUCT(((K31:O31="כן")+(K31:O31="לא"))*(P31:T31&lt;&gt;"")),""))</f>
      </c>
      <c r="AD31" s="26">
        <f>IF($A31="","",SUMPRODUCT((K31:O31="כן")*(P31:T31="לא")))</f>
      </c>
      <c r="AE31" s="26">
        <f>IF($A31="","",SUMPRODUCT((K31:O31="לא")*(P31:T31="כן")))</f>
      </c>
      <c r="AF31" s="26">
        <f>IF($A31="","",COUNTIF(U31:W31,"כן"))</f>
      </c>
      <c r="AG31" s="26">
        <f>IF($A31="","",IF(AA31&lt;&gt;"מלא",0,IF(OR(AC31="",N(AC31)&lt;0.6),1,IF(AND(AF31&gt;=2,N(X31)&gt;=2),3,2))))</f>
      </c>
    </row>
    <row r="32" ht="15" customHeight="1" spans="1:33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6">
        <f>IF($A32="","",$A32&amp;"|"&amp;$C32)</f>
      </c>
      <c r="AA32" s="26">
        <f>IF($A32="","",IF(OR(H32="לא נבדק",H32=""),"לא נבדק",IF(AND(H32="בחר/ה בעצמו/ה",I32="כן",J32="לא"),"מלא",IF(OR(H32="בחר/ה בעצמו/ה",I32="כן"),"חלקי","עדיין לא"))))</f>
      </c>
      <c r="AB32" s="26">
        <f>IF($A32="","",COUNTIF(K32:O32,"כן"))</f>
      </c>
      <c r="AC32" s="27">
        <f>IF($A32="","",IFERROR(SUMPRODUCT((K32:O32="כן")*(P32:T32="כן")+(K32:O32="לא")*(P32:T32="לא")+0.5*(P32:T32="חלקית")*((K32:O32="כן")+(K32:O32="לא")))/SUMPRODUCT(((K32:O32="כן")+(K32:O32="לא"))*(P32:T32&lt;&gt;"")),""))</f>
      </c>
      <c r="AD32" s="26">
        <f>IF($A32="","",SUMPRODUCT((K32:O32="כן")*(P32:T32="לא")))</f>
      </c>
      <c r="AE32" s="26">
        <f>IF($A32="","",SUMPRODUCT((K32:O32="לא")*(P32:T32="כן")))</f>
      </c>
      <c r="AF32" s="26">
        <f>IF($A32="","",COUNTIF(U32:W32,"כן"))</f>
      </c>
      <c r="AG32" s="26">
        <f>IF($A32="","",IF(AA32&lt;&gt;"מלא",0,IF(OR(AC32="",N(AC32)&lt;0.6),1,IF(AND(AF32&gt;=2,N(X32)&gt;=2),3,2))))</f>
      </c>
    </row>
    <row r="33" ht="15" customHeight="1" spans="1:33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6">
        <f>IF($A33="","",$A33&amp;"|"&amp;$C33)</f>
      </c>
      <c r="AA33" s="26">
        <f>IF($A33="","",IF(OR(H33="לא נבדק",H33=""),"לא נבדק",IF(AND(H33="בחר/ה בעצמו/ה",I33="כן",J33="לא"),"מלא",IF(OR(H33="בחר/ה בעצמו/ה",I33="כן"),"חלקי","עדיין לא"))))</f>
      </c>
      <c r="AB33" s="26">
        <f>IF($A33="","",COUNTIF(K33:O33,"כן"))</f>
      </c>
      <c r="AC33" s="27">
        <f>IF($A33="","",IFERROR(SUMPRODUCT((K33:O33="כן")*(P33:T33="כן")+(K33:O33="לא")*(P33:T33="לא")+0.5*(P33:T33="חלקית")*((K33:O33="כן")+(K33:O33="לא")))/SUMPRODUCT(((K33:O33="כן")+(K33:O33="לא"))*(P33:T33&lt;&gt;"")),""))</f>
      </c>
      <c r="AD33" s="26">
        <f>IF($A33="","",SUMPRODUCT((K33:O33="כן")*(P33:T33="לא")))</f>
      </c>
      <c r="AE33" s="26">
        <f>IF($A33="","",SUMPRODUCT((K33:O33="לא")*(P33:T33="כן")))</f>
      </c>
      <c r="AF33" s="26">
        <f>IF($A33="","",COUNTIF(U33:W33,"כן"))</f>
      </c>
      <c r="AG33" s="26">
        <f>IF($A33="","",IF(AA33&lt;&gt;"מלא",0,IF(OR(AC33="",N(AC33)&lt;0.6),1,IF(AND(AF33&gt;=2,N(X33)&gt;=2),3,2))))</f>
      </c>
    </row>
    <row r="34" ht="15" customHeight="1" spans="1:33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6">
        <f>IF($A34="","",$A34&amp;"|"&amp;$C34)</f>
      </c>
      <c r="AA34" s="26">
        <f>IF($A34="","",IF(OR(H34="לא נבדק",H34=""),"לא נבדק",IF(AND(H34="בחר/ה בעצמו/ה",I34="כן",J34="לא"),"מלא",IF(OR(H34="בחר/ה בעצמו/ה",I34="כן"),"חלקי","עדיין לא"))))</f>
      </c>
      <c r="AB34" s="26">
        <f>IF($A34="","",COUNTIF(K34:O34,"כן"))</f>
      </c>
      <c r="AC34" s="27">
        <f>IF($A34="","",IFERROR(SUMPRODUCT((K34:O34="כן")*(P34:T34="כן")+(K34:O34="לא")*(P34:T34="לא")+0.5*(P34:T34="חלקית")*((K34:O34="כן")+(K34:O34="לא")))/SUMPRODUCT(((K34:O34="כן")+(K34:O34="לא"))*(P34:T34&lt;&gt;"")),""))</f>
      </c>
      <c r="AD34" s="26">
        <f>IF($A34="","",SUMPRODUCT((K34:O34="כן")*(P34:T34="לא")))</f>
      </c>
      <c r="AE34" s="26">
        <f>IF($A34="","",SUMPRODUCT((K34:O34="לא")*(P34:T34="כן")))</f>
      </c>
      <c r="AF34" s="26">
        <f>IF($A34="","",COUNTIF(U34:W34,"כן"))</f>
      </c>
      <c r="AG34" s="26">
        <f>IF($A34="","",IF(AA34&lt;&gt;"מלא",0,IF(OR(AC34="",N(AC34)&lt;0.6),1,IF(AND(AF34&gt;=2,N(X34)&gt;=2),3,2))))</f>
      </c>
    </row>
    <row r="35" ht="15" customHeight="1" spans="1:33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6">
        <f>IF($A35="","",$A35&amp;"|"&amp;$C35)</f>
      </c>
      <c r="AA35" s="26">
        <f>IF($A35="","",IF(OR(H35="לא נבדק",H35=""),"לא נבדק",IF(AND(H35="בחר/ה בעצמו/ה",I35="כן",J35="לא"),"מלא",IF(OR(H35="בחר/ה בעצמו/ה",I35="כן"),"חלקי","עדיין לא"))))</f>
      </c>
      <c r="AB35" s="26">
        <f>IF($A35="","",COUNTIF(K35:O35,"כן"))</f>
      </c>
      <c r="AC35" s="27">
        <f>IF($A35="","",IFERROR(SUMPRODUCT((K35:O35="כן")*(P35:T35="כן")+(K35:O35="לא")*(P35:T35="לא")+0.5*(P35:T35="חלקית")*((K35:O35="כן")+(K35:O35="לא")))/SUMPRODUCT(((K35:O35="כן")+(K35:O35="לא"))*(P35:T35&lt;&gt;"")),""))</f>
      </c>
      <c r="AD35" s="26">
        <f>IF($A35="","",SUMPRODUCT((K35:O35="כן")*(P35:T35="לא")))</f>
      </c>
      <c r="AE35" s="26">
        <f>IF($A35="","",SUMPRODUCT((K35:O35="לא")*(P35:T35="כן")))</f>
      </c>
      <c r="AF35" s="26">
        <f>IF($A35="","",COUNTIF(U35:W35,"כן"))</f>
      </c>
      <c r="AG35" s="26">
        <f>IF($A35="","",IF(AA35&lt;&gt;"מלא",0,IF(OR(AC35="",N(AC35)&lt;0.6),1,IF(AND(AF35&gt;=2,N(X35)&gt;=2),3,2))))</f>
      </c>
    </row>
    <row r="36" ht="15" customHeight="1" spans="1:33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6">
        <f>IF($A36="","",$A36&amp;"|"&amp;$C36)</f>
      </c>
      <c r="AA36" s="26">
        <f>IF($A36="","",IF(OR(H36="לא נבדק",H36=""),"לא נבדק",IF(AND(H36="בחר/ה בעצמו/ה",I36="כן",J36="לא"),"מלא",IF(OR(H36="בחר/ה בעצמו/ה",I36="כן"),"חלקי","עדיין לא"))))</f>
      </c>
      <c r="AB36" s="26">
        <f>IF($A36="","",COUNTIF(K36:O36,"כן"))</f>
      </c>
      <c r="AC36" s="27">
        <f>IF($A36="","",IFERROR(SUMPRODUCT((K36:O36="כן")*(P36:T36="כן")+(K36:O36="לא")*(P36:T36="לא")+0.5*(P36:T36="חלקית")*((K36:O36="כן")+(K36:O36="לא")))/SUMPRODUCT(((K36:O36="כן")+(K36:O36="לא"))*(P36:T36&lt;&gt;"")),""))</f>
      </c>
      <c r="AD36" s="26">
        <f>IF($A36="","",SUMPRODUCT((K36:O36="כן")*(P36:T36="לא")))</f>
      </c>
      <c r="AE36" s="26">
        <f>IF($A36="","",SUMPRODUCT((K36:O36="לא")*(P36:T36="כן")))</f>
      </c>
      <c r="AF36" s="26">
        <f>IF($A36="","",COUNTIF(U36:W36,"כן"))</f>
      </c>
      <c r="AG36" s="26">
        <f>IF($A36="","",IF(AA36&lt;&gt;"מלא",0,IF(OR(AC36="",N(AC36)&lt;0.6),1,IF(AND(AF36&gt;=2,N(X36)&gt;=2),3,2))))</f>
      </c>
    </row>
    <row r="37" ht="15" customHeight="1" spans="1:33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6">
        <f>IF($A37="","",$A37&amp;"|"&amp;$C37)</f>
      </c>
      <c r="AA37" s="26">
        <f>IF($A37="","",IF(OR(H37="לא נבדק",H37=""),"לא נבדק",IF(AND(H37="בחר/ה בעצמו/ה",I37="כן",J37="לא"),"מלא",IF(OR(H37="בחר/ה בעצמו/ה",I37="כן"),"חלקי","עדיין לא"))))</f>
      </c>
      <c r="AB37" s="26">
        <f>IF($A37="","",COUNTIF(K37:O37,"כן"))</f>
      </c>
      <c r="AC37" s="27">
        <f>IF($A37="","",IFERROR(SUMPRODUCT((K37:O37="כן")*(P37:T37="כן")+(K37:O37="לא")*(P37:T37="לא")+0.5*(P37:T37="חלקית")*((K37:O37="כן")+(K37:O37="לא")))/SUMPRODUCT(((K37:O37="כן")+(K37:O37="לא"))*(P37:T37&lt;&gt;"")),""))</f>
      </c>
      <c r="AD37" s="26">
        <f>IF($A37="","",SUMPRODUCT((K37:O37="כן")*(P37:T37="לא")))</f>
      </c>
      <c r="AE37" s="26">
        <f>IF($A37="","",SUMPRODUCT((K37:O37="לא")*(P37:T37="כן")))</f>
      </c>
      <c r="AF37" s="26">
        <f>IF($A37="","",COUNTIF(U37:W37,"כן"))</f>
      </c>
      <c r="AG37" s="26">
        <f>IF($A37="","",IF(AA37&lt;&gt;"מלא",0,IF(OR(AC37="",N(AC37)&lt;0.6),1,IF(AND(AF37&gt;=2,N(X37)&gt;=2),3,2))))</f>
      </c>
    </row>
    <row r="38" ht="15" customHeight="1" spans="1:33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6">
        <f>IF($A38="","",$A38&amp;"|"&amp;$C38)</f>
      </c>
      <c r="AA38" s="26">
        <f>IF($A38="","",IF(OR(H38="לא נבדק",H38=""),"לא נבדק",IF(AND(H38="בחר/ה בעצמו/ה",I38="כן",J38="לא"),"מלא",IF(OR(H38="בחר/ה בעצמו/ה",I38="כן"),"חלקי","עדיין לא"))))</f>
      </c>
      <c r="AB38" s="26">
        <f>IF($A38="","",COUNTIF(K38:O38,"כן"))</f>
      </c>
      <c r="AC38" s="27">
        <f>IF($A38="","",IFERROR(SUMPRODUCT((K38:O38="כן")*(P38:T38="כן")+(K38:O38="לא")*(P38:T38="לא")+0.5*(P38:T38="חלקית")*((K38:O38="כן")+(K38:O38="לא")))/SUMPRODUCT(((K38:O38="כן")+(K38:O38="לא"))*(P38:T38&lt;&gt;"")),""))</f>
      </c>
      <c r="AD38" s="26">
        <f>IF($A38="","",SUMPRODUCT((K38:O38="כן")*(P38:T38="לא")))</f>
      </c>
      <c r="AE38" s="26">
        <f>IF($A38="","",SUMPRODUCT((K38:O38="לא")*(P38:T38="כן")))</f>
      </c>
      <c r="AF38" s="26">
        <f>IF($A38="","",COUNTIF(U38:W38,"כן"))</f>
      </c>
      <c r="AG38" s="26">
        <f>IF($A38="","",IF(AA38&lt;&gt;"מלא",0,IF(OR(AC38="",N(AC38)&lt;0.6),1,IF(AND(AF38&gt;=2,N(X38)&gt;=2),3,2))))</f>
      </c>
    </row>
    <row r="39" ht="15" customHeight="1" spans="1:33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6">
        <f>IF($A39="","",$A39&amp;"|"&amp;$C39)</f>
      </c>
      <c r="AA39" s="26">
        <f>IF($A39="","",IF(OR(H39="לא נבדק",H39=""),"לא נבדק",IF(AND(H39="בחר/ה בעצמו/ה",I39="כן",J39="לא"),"מלא",IF(OR(H39="בחר/ה בעצמו/ה",I39="כן"),"חלקי","עדיין לא"))))</f>
      </c>
      <c r="AB39" s="26">
        <f>IF($A39="","",COUNTIF(K39:O39,"כן"))</f>
      </c>
      <c r="AC39" s="27">
        <f>IF($A39="","",IFERROR(SUMPRODUCT((K39:O39="כן")*(P39:T39="כן")+(K39:O39="לא")*(P39:T39="לא")+0.5*(P39:T39="חלקית")*((K39:O39="כן")+(K39:O39="לא")))/SUMPRODUCT(((K39:O39="כן")+(K39:O39="לא"))*(P39:T39&lt;&gt;"")),""))</f>
      </c>
      <c r="AD39" s="26">
        <f>IF($A39="","",SUMPRODUCT((K39:O39="כן")*(P39:T39="לא")))</f>
      </c>
      <c r="AE39" s="26">
        <f>IF($A39="","",SUMPRODUCT((K39:O39="לא")*(P39:T39="כן")))</f>
      </c>
      <c r="AF39" s="26">
        <f>IF($A39="","",COUNTIF(U39:W39,"כן"))</f>
      </c>
      <c r="AG39" s="26">
        <f>IF($A39="","",IF(AA39&lt;&gt;"מלא",0,IF(OR(AC39="",N(AC39)&lt;0.6),1,IF(AND(AF39&gt;=2,N(X39)&gt;=2),3,2))))</f>
      </c>
    </row>
    <row r="40" ht="15" customHeight="1" spans="1:33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6">
        <f>IF($A40="","",$A40&amp;"|"&amp;$C40)</f>
      </c>
      <c r="AA40" s="26">
        <f>IF($A40="","",IF(OR(H40="לא נבדק",H40=""),"לא נבדק",IF(AND(H40="בחר/ה בעצמו/ה",I40="כן",J40="לא"),"מלא",IF(OR(H40="בחר/ה בעצמו/ה",I40="כן"),"חלקי","עדיין לא"))))</f>
      </c>
      <c r="AB40" s="26">
        <f>IF($A40="","",COUNTIF(K40:O40,"כן"))</f>
      </c>
      <c r="AC40" s="27">
        <f>IF($A40="","",IFERROR(SUMPRODUCT((K40:O40="כן")*(P40:T40="כן")+(K40:O40="לא")*(P40:T40="לא")+0.5*(P40:T40="חלקית")*((K40:O40="כן")+(K40:O40="לא")))/SUMPRODUCT(((K40:O40="כן")+(K40:O40="לא"))*(P40:T40&lt;&gt;"")),""))</f>
      </c>
      <c r="AD40" s="26">
        <f>IF($A40="","",SUMPRODUCT((K40:O40="כן")*(P40:T40="לא")))</f>
      </c>
      <c r="AE40" s="26">
        <f>IF($A40="","",SUMPRODUCT((K40:O40="לא")*(P40:T40="כן")))</f>
      </c>
      <c r="AF40" s="26">
        <f>IF($A40="","",COUNTIF(U40:W40,"כן"))</f>
      </c>
      <c r="AG40" s="26">
        <f>IF($A40="","",IF(AA40&lt;&gt;"מלא",0,IF(OR(AC40="",N(AC40)&lt;0.6),1,IF(AND(AF40&gt;=2,N(X40)&gt;=2),3,2))))</f>
      </c>
    </row>
    <row r="41" ht="15" customHeight="1" spans="1:33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6">
        <f>IF($A41="","",$A41&amp;"|"&amp;$C41)</f>
      </c>
      <c r="AA41" s="26">
        <f>IF($A41="","",IF(OR(H41="לא נבדק",H41=""),"לא נבדק",IF(AND(H41="בחר/ה בעצמו/ה",I41="כן",J41="לא"),"מלא",IF(OR(H41="בחר/ה בעצמו/ה",I41="כן"),"חלקי","עדיין לא"))))</f>
      </c>
      <c r="AB41" s="26">
        <f>IF($A41="","",COUNTIF(K41:O41,"כן"))</f>
      </c>
      <c r="AC41" s="27">
        <f>IF($A41="","",IFERROR(SUMPRODUCT((K41:O41="כן")*(P41:T41="כן")+(K41:O41="לא")*(P41:T41="לא")+0.5*(P41:T41="חלקית")*((K41:O41="כן")+(K41:O41="לא")))/SUMPRODUCT(((K41:O41="כן")+(K41:O41="לא"))*(P41:T41&lt;&gt;"")),""))</f>
      </c>
      <c r="AD41" s="26">
        <f>IF($A41="","",SUMPRODUCT((K41:O41="כן")*(P41:T41="לא")))</f>
      </c>
      <c r="AE41" s="26">
        <f>IF($A41="","",SUMPRODUCT((K41:O41="לא")*(P41:T41="כן")))</f>
      </c>
      <c r="AF41" s="26">
        <f>IF($A41="","",COUNTIF(U41:W41,"כן"))</f>
      </c>
      <c r="AG41" s="26">
        <f>IF($A41="","",IF(AA41&lt;&gt;"מלא",0,IF(OR(AC41="",N(AC41)&lt;0.6),1,IF(AND(AF41&gt;=2,N(X41)&gt;=2),3,2))))</f>
      </c>
    </row>
    <row r="42" ht="15" customHeight="1" spans="1:33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6">
        <f>IF($A42="","",$A42&amp;"|"&amp;$C42)</f>
      </c>
      <c r="AA42" s="26">
        <f>IF($A42="","",IF(OR(H42="לא נבדק",H42=""),"לא נבדק",IF(AND(H42="בחר/ה בעצמו/ה",I42="כן",J42="לא"),"מלא",IF(OR(H42="בחר/ה בעצמו/ה",I42="כן"),"חלקי","עדיין לא"))))</f>
      </c>
      <c r="AB42" s="26">
        <f>IF($A42="","",COUNTIF(K42:O42,"כן"))</f>
      </c>
      <c r="AC42" s="27">
        <f>IF($A42="","",IFERROR(SUMPRODUCT((K42:O42="כן")*(P42:T42="כן")+(K42:O42="לא")*(P42:T42="לא")+0.5*(P42:T42="חלקית")*((K42:O42="כן")+(K42:O42="לא")))/SUMPRODUCT(((K42:O42="כן")+(K42:O42="לא"))*(P42:T42&lt;&gt;"")),""))</f>
      </c>
      <c r="AD42" s="26">
        <f>IF($A42="","",SUMPRODUCT((K42:O42="כן")*(P42:T42="לא")))</f>
      </c>
      <c r="AE42" s="26">
        <f>IF($A42="","",SUMPRODUCT((K42:O42="לא")*(P42:T42="כן")))</f>
      </c>
      <c r="AF42" s="26">
        <f>IF($A42="","",COUNTIF(U42:W42,"כן"))</f>
      </c>
      <c r="AG42" s="26">
        <f>IF($A42="","",IF(AA42&lt;&gt;"מלא",0,IF(OR(AC42="",N(AC42)&lt;0.6),1,IF(AND(AF42&gt;=2,N(X42)&gt;=2),3,2))))</f>
      </c>
    </row>
    <row r="43" ht="15" customHeight="1" spans="1:33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6">
        <f>IF($A43="","",$A43&amp;"|"&amp;$C43)</f>
      </c>
      <c r="AA43" s="26">
        <f>IF($A43="","",IF(OR(H43="לא נבדק",H43=""),"לא נבדק",IF(AND(H43="בחר/ה בעצמו/ה",I43="כן",J43="לא"),"מלא",IF(OR(H43="בחר/ה בעצמו/ה",I43="כן"),"חלקי","עדיין לא"))))</f>
      </c>
      <c r="AB43" s="26">
        <f>IF($A43="","",COUNTIF(K43:O43,"כן"))</f>
      </c>
      <c r="AC43" s="27">
        <f>IF($A43="","",IFERROR(SUMPRODUCT((K43:O43="כן")*(P43:T43="כן")+(K43:O43="לא")*(P43:T43="לא")+0.5*(P43:T43="חלקית")*((K43:O43="כן")+(K43:O43="לא")))/SUMPRODUCT(((K43:O43="כן")+(K43:O43="לא"))*(P43:T43&lt;&gt;"")),""))</f>
      </c>
      <c r="AD43" s="26">
        <f>IF($A43="","",SUMPRODUCT((K43:O43="כן")*(P43:T43="לא")))</f>
      </c>
      <c r="AE43" s="26">
        <f>IF($A43="","",SUMPRODUCT((K43:O43="לא")*(P43:T43="כן")))</f>
      </c>
      <c r="AF43" s="26">
        <f>IF($A43="","",COUNTIF(U43:W43,"כן"))</f>
      </c>
      <c r="AG43" s="26">
        <f>IF($A43="","",IF(AA43&lt;&gt;"מלא",0,IF(OR(AC43="",N(AC43)&lt;0.6),1,IF(AND(AF43&gt;=2,N(X43)&gt;=2),3,2))))</f>
      </c>
    </row>
    <row r="44" ht="15" customHeight="1" spans="1:33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6">
        <f>IF($A44="","",$A44&amp;"|"&amp;$C44)</f>
      </c>
      <c r="AA44" s="26">
        <f>IF($A44="","",IF(OR(H44="לא נבדק",H44=""),"לא נבדק",IF(AND(H44="בחר/ה בעצמו/ה",I44="כן",J44="לא"),"מלא",IF(OR(H44="בחר/ה בעצמו/ה",I44="כן"),"חלקי","עדיין לא"))))</f>
      </c>
      <c r="AB44" s="26">
        <f>IF($A44="","",COUNTIF(K44:O44,"כן"))</f>
      </c>
      <c r="AC44" s="27">
        <f>IF($A44="","",IFERROR(SUMPRODUCT((K44:O44="כן")*(P44:T44="כן")+(K44:O44="לא")*(P44:T44="לא")+0.5*(P44:T44="חלקית")*((K44:O44="כן")+(K44:O44="לא")))/SUMPRODUCT(((K44:O44="כן")+(K44:O44="לא"))*(P44:T44&lt;&gt;"")),""))</f>
      </c>
      <c r="AD44" s="26">
        <f>IF($A44="","",SUMPRODUCT((K44:O44="כן")*(P44:T44="לא")))</f>
      </c>
      <c r="AE44" s="26">
        <f>IF($A44="","",SUMPRODUCT((K44:O44="לא")*(P44:T44="כן")))</f>
      </c>
      <c r="AF44" s="26">
        <f>IF($A44="","",COUNTIF(U44:W44,"כן"))</f>
      </c>
      <c r="AG44" s="26">
        <f>IF($A44="","",IF(AA44&lt;&gt;"מלא",0,IF(OR(AC44="",N(AC44)&lt;0.6),1,IF(AND(AF44&gt;=2,N(X44)&gt;=2),3,2))))</f>
      </c>
    </row>
    <row r="45" ht="15" customHeight="1" spans="1:33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6">
        <f>IF($A45="","",$A45&amp;"|"&amp;$C45)</f>
      </c>
      <c r="AA45" s="26">
        <f>IF($A45="","",IF(OR(H45="לא נבדק",H45=""),"לא נבדק",IF(AND(H45="בחר/ה בעצמו/ה",I45="כן",J45="לא"),"מלא",IF(OR(H45="בחר/ה בעצמו/ה",I45="כן"),"חלקי","עדיין לא"))))</f>
      </c>
      <c r="AB45" s="26">
        <f>IF($A45="","",COUNTIF(K45:O45,"כן"))</f>
      </c>
      <c r="AC45" s="27">
        <f>IF($A45="","",IFERROR(SUMPRODUCT((K45:O45="כן")*(P45:T45="כן")+(K45:O45="לא")*(P45:T45="לא")+0.5*(P45:T45="חלקית")*((K45:O45="כן")+(K45:O45="לא")))/SUMPRODUCT(((K45:O45="כן")+(K45:O45="לא"))*(P45:T45&lt;&gt;"")),""))</f>
      </c>
      <c r="AD45" s="26">
        <f>IF($A45="","",SUMPRODUCT((K45:O45="כן")*(P45:T45="לא")))</f>
      </c>
      <c r="AE45" s="26">
        <f>IF($A45="","",SUMPRODUCT((K45:O45="לא")*(P45:T45="כן")))</f>
      </c>
      <c r="AF45" s="26">
        <f>IF($A45="","",COUNTIF(U45:W45,"כן"))</f>
      </c>
      <c r="AG45" s="26">
        <f>IF($A45="","",IF(AA45&lt;&gt;"מלא",0,IF(OR(AC45="",N(AC45)&lt;0.6),1,IF(AND(AF45&gt;=2,N(X45)&gt;=2),3,2))))</f>
      </c>
    </row>
    <row r="46" ht="15" customHeight="1" spans="1:33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6">
        <f>IF($A46="","",$A46&amp;"|"&amp;$C46)</f>
      </c>
      <c r="AA46" s="26">
        <f>IF($A46="","",IF(OR(H46="לא נבדק",H46=""),"לא נבדק",IF(AND(H46="בחר/ה בעצמו/ה",I46="כן",J46="לא"),"מלא",IF(OR(H46="בחר/ה בעצמו/ה",I46="כן"),"חלקי","עדיין לא"))))</f>
      </c>
      <c r="AB46" s="26">
        <f>IF($A46="","",COUNTIF(K46:O46,"כן"))</f>
      </c>
      <c r="AC46" s="27">
        <f>IF($A46="","",IFERROR(SUMPRODUCT((K46:O46="כן")*(P46:T46="כן")+(K46:O46="לא")*(P46:T46="לא")+0.5*(P46:T46="חלקית")*((K46:O46="כן")+(K46:O46="לא")))/SUMPRODUCT(((K46:O46="כן")+(K46:O46="לא"))*(P46:T46&lt;&gt;"")),""))</f>
      </c>
      <c r="AD46" s="26">
        <f>IF($A46="","",SUMPRODUCT((K46:O46="כן")*(P46:T46="לא")))</f>
      </c>
      <c r="AE46" s="26">
        <f>IF($A46="","",SUMPRODUCT((K46:O46="לא")*(P46:T46="כן")))</f>
      </c>
      <c r="AF46" s="26">
        <f>IF($A46="","",COUNTIF(U46:W46,"כן"))</f>
      </c>
      <c r="AG46" s="26">
        <f>IF($A46="","",IF(AA46&lt;&gt;"מלא",0,IF(OR(AC46="",N(AC46)&lt;0.6),1,IF(AND(AF46&gt;=2,N(X46)&gt;=2),3,2))))</f>
      </c>
    </row>
    <row r="47" ht="15" customHeight="1" spans="1:33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6">
        <f>IF($A47="","",$A47&amp;"|"&amp;$C47)</f>
      </c>
      <c r="AA47" s="26">
        <f>IF($A47="","",IF(OR(H47="לא נבדק",H47=""),"לא נבדק",IF(AND(H47="בחר/ה בעצמו/ה",I47="כן",J47="לא"),"מלא",IF(OR(H47="בחר/ה בעצמו/ה",I47="כן"),"חלקי","עדיין לא"))))</f>
      </c>
      <c r="AB47" s="26">
        <f>IF($A47="","",COUNTIF(K47:O47,"כן"))</f>
      </c>
      <c r="AC47" s="27">
        <f>IF($A47="","",IFERROR(SUMPRODUCT((K47:O47="כן")*(P47:T47="כן")+(K47:O47="לא")*(P47:T47="לא")+0.5*(P47:T47="חלקית")*((K47:O47="כן")+(K47:O47="לא")))/SUMPRODUCT(((K47:O47="כן")+(K47:O47="לא"))*(P47:T47&lt;&gt;"")),""))</f>
      </c>
      <c r="AD47" s="26">
        <f>IF($A47="","",SUMPRODUCT((K47:O47="כן")*(P47:T47="לא")))</f>
      </c>
      <c r="AE47" s="26">
        <f>IF($A47="","",SUMPRODUCT((K47:O47="לא")*(P47:T47="כן")))</f>
      </c>
      <c r="AF47" s="26">
        <f>IF($A47="","",COUNTIF(U47:W47,"כן"))</f>
      </c>
      <c r="AG47" s="26">
        <f>IF($A47="","",IF(AA47&lt;&gt;"מלא",0,IF(OR(AC47="",N(AC47)&lt;0.6),1,IF(AND(AF47&gt;=2,N(X47)&gt;=2),3,2))))</f>
      </c>
    </row>
    <row r="48" ht="15" customHeight="1" spans="1:33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6">
        <f>IF($A48="","",$A48&amp;"|"&amp;$C48)</f>
      </c>
      <c r="AA48" s="26">
        <f>IF($A48="","",IF(OR(H48="לא נבדק",H48=""),"לא נבדק",IF(AND(H48="בחר/ה בעצמו/ה",I48="כן",J48="לא"),"מלא",IF(OR(H48="בחר/ה בעצמו/ה",I48="כן"),"חלקי","עדיין לא"))))</f>
      </c>
      <c r="AB48" s="26">
        <f>IF($A48="","",COUNTIF(K48:O48,"כן"))</f>
      </c>
      <c r="AC48" s="27">
        <f>IF($A48="","",IFERROR(SUMPRODUCT((K48:O48="כן")*(P48:T48="כן")+(K48:O48="לא")*(P48:T48="לא")+0.5*(P48:T48="חלקית")*((K48:O48="כן")+(K48:O48="לא")))/SUMPRODUCT(((K48:O48="כן")+(K48:O48="לא"))*(P48:T48&lt;&gt;"")),""))</f>
      </c>
      <c r="AD48" s="26">
        <f>IF($A48="","",SUMPRODUCT((K48:O48="כן")*(P48:T48="לא")))</f>
      </c>
      <c r="AE48" s="26">
        <f>IF($A48="","",SUMPRODUCT((K48:O48="לא")*(P48:T48="כן")))</f>
      </c>
      <c r="AF48" s="26">
        <f>IF($A48="","",COUNTIF(U48:W48,"כן"))</f>
      </c>
      <c r="AG48" s="26">
        <f>IF($A48="","",IF(AA48&lt;&gt;"מלא",0,IF(OR(AC48="",N(AC48)&lt;0.6),1,IF(AND(AF48&gt;=2,N(X48)&gt;=2),3,2))))</f>
      </c>
    </row>
    <row r="49" ht="15" customHeight="1" spans="1:33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6">
        <f>IF($A49="","",$A49&amp;"|"&amp;$C49)</f>
      </c>
      <c r="AA49" s="26">
        <f>IF($A49="","",IF(OR(H49="לא נבדק",H49=""),"לא נבדק",IF(AND(H49="בחר/ה בעצמו/ה",I49="כן",J49="לא"),"מלא",IF(OR(H49="בחר/ה בעצמו/ה",I49="כן"),"חלקי","עדיין לא"))))</f>
      </c>
      <c r="AB49" s="26">
        <f>IF($A49="","",COUNTIF(K49:O49,"כן"))</f>
      </c>
      <c r="AC49" s="27">
        <f>IF($A49="","",IFERROR(SUMPRODUCT((K49:O49="כן")*(P49:T49="כן")+(K49:O49="לא")*(P49:T49="לא")+0.5*(P49:T49="חלקית")*((K49:O49="כן")+(K49:O49="לא")))/SUMPRODUCT(((K49:O49="כן")+(K49:O49="לא"))*(P49:T49&lt;&gt;"")),""))</f>
      </c>
      <c r="AD49" s="26">
        <f>IF($A49="","",SUMPRODUCT((K49:O49="כן")*(P49:T49="לא")))</f>
      </c>
      <c r="AE49" s="26">
        <f>IF($A49="","",SUMPRODUCT((K49:O49="לא")*(P49:T49="כן")))</f>
      </c>
      <c r="AF49" s="26">
        <f>IF($A49="","",COUNTIF(U49:W49,"כן"))</f>
      </c>
      <c r="AG49" s="26">
        <f>IF($A49="","",IF(AA49&lt;&gt;"מלא",0,IF(OR(AC49="",N(AC49)&lt;0.6),1,IF(AND(AF49&gt;=2,N(X49)&gt;=2),3,2))))</f>
      </c>
    </row>
    <row r="50" ht="15" customHeight="1" spans="1:33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6">
        <f>IF($A50="","",$A50&amp;"|"&amp;$C50)</f>
      </c>
      <c r="AA50" s="26">
        <f>IF($A50="","",IF(OR(H50="לא נבדק",H50=""),"לא נבדק",IF(AND(H50="בחר/ה בעצמו/ה",I50="כן",J50="לא"),"מלא",IF(OR(H50="בחר/ה בעצמו/ה",I50="כן"),"חלקי","עדיין לא"))))</f>
      </c>
      <c r="AB50" s="26">
        <f>IF($A50="","",COUNTIF(K50:O50,"כן"))</f>
      </c>
      <c r="AC50" s="27">
        <f>IF($A50="","",IFERROR(SUMPRODUCT((K50:O50="כן")*(P50:T50="כן")+(K50:O50="לא")*(P50:T50="לא")+0.5*(P50:T50="חלקית")*((K50:O50="כן")+(K50:O50="לא")))/SUMPRODUCT(((K50:O50="כן")+(K50:O50="לא"))*(P50:T50&lt;&gt;"")),""))</f>
      </c>
      <c r="AD50" s="26">
        <f>IF($A50="","",SUMPRODUCT((K50:O50="כן")*(P50:T50="לא")))</f>
      </c>
      <c r="AE50" s="26">
        <f>IF($A50="","",SUMPRODUCT((K50:O50="לא")*(P50:T50="כן")))</f>
      </c>
      <c r="AF50" s="26">
        <f>IF($A50="","",COUNTIF(U50:W50,"כן"))</f>
      </c>
      <c r="AG50" s="26">
        <f>IF($A50="","",IF(AA50&lt;&gt;"מלא",0,IF(OR(AC50="",N(AC50)&lt;0.6),1,IF(AND(AF50&gt;=2,N(X50)&gt;=2),3,2))))</f>
      </c>
    </row>
    <row r="51" ht="15" customHeight="1" spans="1:33" x14ac:dyDescent="0.2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6">
        <f>IF($A51="","",$A51&amp;"|"&amp;$C51)</f>
      </c>
      <c r="AA51" s="26">
        <f>IF($A51="","",IF(OR(H51="לא נבדק",H51=""),"לא נבדק",IF(AND(H51="בחר/ה בעצמו/ה",I51="כן",J51="לא"),"מלא",IF(OR(H51="בחר/ה בעצמו/ה",I51="כן"),"חלקי","עדיין לא"))))</f>
      </c>
      <c r="AB51" s="26">
        <f>IF($A51="","",COUNTIF(K51:O51,"כן"))</f>
      </c>
      <c r="AC51" s="27">
        <f>IF($A51="","",IFERROR(SUMPRODUCT((K51:O51="כן")*(P51:T51="כן")+(K51:O51="לא")*(P51:T51="לא")+0.5*(P51:T51="חלקית")*((K51:O51="כן")+(K51:O51="לא")))/SUMPRODUCT(((K51:O51="כן")+(K51:O51="לא"))*(P51:T51&lt;&gt;"")),""))</f>
      </c>
      <c r="AD51" s="26">
        <f>IF($A51="","",SUMPRODUCT((K51:O51="כן")*(P51:T51="לא")))</f>
      </c>
      <c r="AE51" s="26">
        <f>IF($A51="","",SUMPRODUCT((K51:O51="לא")*(P51:T51="כן")))</f>
      </c>
      <c r="AF51" s="26">
        <f>IF($A51="","",COUNTIF(U51:W51,"כן"))</f>
      </c>
      <c r="AG51" s="26">
        <f>IF($A51="","",IF(AA51&lt;&gt;"מלא",0,IF(OR(AC51="",N(AC51)&lt;0.6),1,IF(AND(AF51&gt;=2,N(X51)&gt;=2),3,2))))</f>
      </c>
    </row>
    <row r="52" ht="15" customHeight="1" spans="1:33" x14ac:dyDescent="0.2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6">
        <f>IF($A52="","",$A52&amp;"|"&amp;$C52)</f>
      </c>
      <c r="AA52" s="26">
        <f>IF($A52="","",IF(OR(H52="לא נבדק",H52=""),"לא נבדק",IF(AND(H52="בחר/ה בעצמו/ה",I52="כן",J52="לא"),"מלא",IF(OR(H52="בחר/ה בעצמו/ה",I52="כן"),"חלקי","עדיין לא"))))</f>
      </c>
      <c r="AB52" s="26">
        <f>IF($A52="","",COUNTIF(K52:O52,"כן"))</f>
      </c>
      <c r="AC52" s="27">
        <f>IF($A52="","",IFERROR(SUMPRODUCT((K52:O52="כן")*(P52:T52="כן")+(K52:O52="לא")*(P52:T52="לא")+0.5*(P52:T52="חלקית")*((K52:O52="כן")+(K52:O52="לא")))/SUMPRODUCT(((K52:O52="כן")+(K52:O52="לא"))*(P52:T52&lt;&gt;"")),""))</f>
      </c>
      <c r="AD52" s="26">
        <f>IF($A52="","",SUMPRODUCT((K52:O52="כן")*(P52:T52="לא")))</f>
      </c>
      <c r="AE52" s="26">
        <f>IF($A52="","",SUMPRODUCT((K52:O52="לא")*(P52:T52="כן")))</f>
      </c>
      <c r="AF52" s="26">
        <f>IF($A52="","",COUNTIF(U52:W52,"כן"))</f>
      </c>
      <c r="AG52" s="26">
        <f>IF($A52="","",IF(AA52&lt;&gt;"מלא",0,IF(OR(AC52="",N(AC52)&lt;0.6),1,IF(AND(AF52&gt;=2,N(X52)&gt;=2),3,2))))</f>
      </c>
    </row>
    <row r="53" ht="15" customHeight="1" spans="1:33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6">
        <f>IF($A53="","",$A53&amp;"|"&amp;$C53)</f>
      </c>
      <c r="AA53" s="26">
        <f>IF($A53="","",IF(OR(H53="לא נבדק",H53=""),"לא נבדק",IF(AND(H53="בחר/ה בעצמו/ה",I53="כן",J53="לא"),"מלא",IF(OR(H53="בחר/ה בעצמו/ה",I53="כן"),"חלקי","עדיין לא"))))</f>
      </c>
      <c r="AB53" s="26">
        <f>IF($A53="","",COUNTIF(K53:O53,"כן"))</f>
      </c>
      <c r="AC53" s="27">
        <f>IF($A53="","",IFERROR(SUMPRODUCT((K53:O53="כן")*(P53:T53="כן")+(K53:O53="לא")*(P53:T53="לא")+0.5*(P53:T53="חלקית")*((K53:O53="כן")+(K53:O53="לא")))/SUMPRODUCT(((K53:O53="כן")+(K53:O53="לא"))*(P53:T53&lt;&gt;"")),""))</f>
      </c>
      <c r="AD53" s="26">
        <f>IF($A53="","",SUMPRODUCT((K53:O53="כן")*(P53:T53="לא")))</f>
      </c>
      <c r="AE53" s="26">
        <f>IF($A53="","",SUMPRODUCT((K53:O53="לא")*(P53:T53="כן")))</f>
      </c>
      <c r="AF53" s="26">
        <f>IF($A53="","",COUNTIF(U53:W53,"כן"))</f>
      </c>
      <c r="AG53" s="26">
        <f>IF($A53="","",IF(AA53&lt;&gt;"מלא",0,IF(OR(AC53="",N(AC53)&lt;0.6),1,IF(AND(AF53&gt;=2,N(X53)&gt;=2),3,2))))</f>
      </c>
    </row>
    <row r="54" ht="15" customHeight="1" spans="1:33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6">
        <f>IF($A54="","",$A54&amp;"|"&amp;$C54)</f>
      </c>
      <c r="AA54" s="26">
        <f>IF($A54="","",IF(OR(H54="לא נבדק",H54=""),"לא נבדק",IF(AND(H54="בחר/ה בעצמו/ה",I54="כן",J54="לא"),"מלא",IF(OR(H54="בחר/ה בעצמו/ה",I54="כן"),"חלקי","עדיין לא"))))</f>
      </c>
      <c r="AB54" s="26">
        <f>IF($A54="","",COUNTIF(K54:O54,"כן"))</f>
      </c>
      <c r="AC54" s="27">
        <f>IF($A54="","",IFERROR(SUMPRODUCT((K54:O54="כן")*(P54:T54="כן")+(K54:O54="לא")*(P54:T54="לא")+0.5*(P54:T54="חלקית")*((K54:O54="כן")+(K54:O54="לא")))/SUMPRODUCT(((K54:O54="כן")+(K54:O54="לא"))*(P54:T54&lt;&gt;"")),""))</f>
      </c>
      <c r="AD54" s="26">
        <f>IF($A54="","",SUMPRODUCT((K54:O54="כן")*(P54:T54="לא")))</f>
      </c>
      <c r="AE54" s="26">
        <f>IF($A54="","",SUMPRODUCT((K54:O54="לא")*(P54:T54="כן")))</f>
      </c>
      <c r="AF54" s="26">
        <f>IF($A54="","",COUNTIF(U54:W54,"כן"))</f>
      </c>
      <c r="AG54" s="26">
        <f>IF($A54="","",IF(AA54&lt;&gt;"מלא",0,IF(OR(AC54="",N(AC54)&lt;0.6),1,IF(AND(AF54&gt;=2,N(X54)&gt;=2),3,2))))</f>
      </c>
    </row>
    <row r="55" ht="15" customHeight="1" spans="1:33" x14ac:dyDescent="0.2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6">
        <f>IF($A55="","",$A55&amp;"|"&amp;$C55)</f>
      </c>
      <c r="AA55" s="26">
        <f>IF($A55="","",IF(OR(H55="לא נבדק",H55=""),"לא נבדק",IF(AND(H55="בחר/ה בעצמו/ה",I55="כן",J55="לא"),"מלא",IF(OR(H55="בחר/ה בעצמו/ה",I55="כן"),"חלקי","עדיין לא"))))</f>
      </c>
      <c r="AB55" s="26">
        <f>IF($A55="","",COUNTIF(K55:O55,"כן"))</f>
      </c>
      <c r="AC55" s="27">
        <f>IF($A55="","",IFERROR(SUMPRODUCT((K55:O55="כן")*(P55:T55="כן")+(K55:O55="לא")*(P55:T55="לא")+0.5*(P55:T55="חלקית")*((K55:O55="כן")+(K55:O55="לא")))/SUMPRODUCT(((K55:O55="כן")+(K55:O55="לא"))*(P55:T55&lt;&gt;"")),""))</f>
      </c>
      <c r="AD55" s="26">
        <f>IF($A55="","",SUMPRODUCT((K55:O55="כן")*(P55:T55="לא")))</f>
      </c>
      <c r="AE55" s="26">
        <f>IF($A55="","",SUMPRODUCT((K55:O55="לא")*(P55:T55="כן")))</f>
      </c>
      <c r="AF55" s="26">
        <f>IF($A55="","",COUNTIF(U55:W55,"כן"))</f>
      </c>
      <c r="AG55" s="26">
        <f>IF($A55="","",IF(AA55&lt;&gt;"מלא",0,IF(OR(AC55="",N(AC55)&lt;0.6),1,IF(AND(AF55&gt;=2,N(X55)&gt;=2),3,2))))</f>
      </c>
    </row>
    <row r="56" ht="15" customHeight="1" spans="1:33" x14ac:dyDescent="0.2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6">
        <f>IF($A56="","",$A56&amp;"|"&amp;$C56)</f>
      </c>
      <c r="AA56" s="26">
        <f>IF($A56="","",IF(OR(H56="לא נבדק",H56=""),"לא נבדק",IF(AND(H56="בחר/ה בעצמו/ה",I56="כן",J56="לא"),"מלא",IF(OR(H56="בחר/ה בעצמו/ה",I56="כן"),"חלקי","עדיין לא"))))</f>
      </c>
      <c r="AB56" s="26">
        <f>IF($A56="","",COUNTIF(K56:O56,"כן"))</f>
      </c>
      <c r="AC56" s="27">
        <f>IF($A56="","",IFERROR(SUMPRODUCT((K56:O56="כן")*(P56:T56="כן")+(K56:O56="לא")*(P56:T56="לא")+0.5*(P56:T56="חלקית")*((K56:O56="כן")+(K56:O56="לא")))/SUMPRODUCT(((K56:O56="כן")+(K56:O56="לא"))*(P56:T56&lt;&gt;"")),""))</f>
      </c>
      <c r="AD56" s="26">
        <f>IF($A56="","",SUMPRODUCT((K56:O56="כן")*(P56:T56="לא")))</f>
      </c>
      <c r="AE56" s="26">
        <f>IF($A56="","",SUMPRODUCT((K56:O56="לא")*(P56:T56="כן")))</f>
      </c>
      <c r="AF56" s="26">
        <f>IF($A56="","",COUNTIF(U56:W56,"כן"))</f>
      </c>
      <c r="AG56" s="26">
        <f>IF($A56="","",IF(AA56&lt;&gt;"מלא",0,IF(OR(AC56="",N(AC56)&lt;0.6),1,IF(AND(AF56&gt;=2,N(X56)&gt;=2),3,2))))</f>
      </c>
    </row>
    <row r="57" ht="15" customHeight="1" spans="1:33" x14ac:dyDescent="0.2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6">
        <f>IF($A57="","",$A57&amp;"|"&amp;$C57)</f>
      </c>
      <c r="AA57" s="26">
        <f>IF($A57="","",IF(OR(H57="לא נבדק",H57=""),"לא נבדק",IF(AND(H57="בחר/ה בעצמו/ה",I57="כן",J57="לא"),"מלא",IF(OR(H57="בחר/ה בעצמו/ה",I57="כן"),"חלקי","עדיין לא"))))</f>
      </c>
      <c r="AB57" s="26">
        <f>IF($A57="","",COUNTIF(K57:O57,"כן"))</f>
      </c>
      <c r="AC57" s="27">
        <f>IF($A57="","",IFERROR(SUMPRODUCT((K57:O57="כן")*(P57:T57="כן")+(K57:O57="לא")*(P57:T57="לא")+0.5*(P57:T57="חלקית")*((K57:O57="כן")+(K57:O57="לא")))/SUMPRODUCT(((K57:O57="כן")+(K57:O57="לא"))*(P57:T57&lt;&gt;"")),""))</f>
      </c>
      <c r="AD57" s="26">
        <f>IF($A57="","",SUMPRODUCT((K57:O57="כן")*(P57:T57="לא")))</f>
      </c>
      <c r="AE57" s="26">
        <f>IF($A57="","",SUMPRODUCT((K57:O57="לא")*(P57:T57="כן")))</f>
      </c>
      <c r="AF57" s="26">
        <f>IF($A57="","",COUNTIF(U57:W57,"כן"))</f>
      </c>
      <c r="AG57" s="26">
        <f>IF($A57="","",IF(AA57&lt;&gt;"מלא",0,IF(OR(AC57="",N(AC57)&lt;0.6),1,IF(AND(AF57&gt;=2,N(X57)&gt;=2),3,2))))</f>
      </c>
    </row>
    <row r="58" ht="15" customHeight="1" spans="1:33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6">
        <f>IF($A58="","",$A58&amp;"|"&amp;$C58)</f>
      </c>
      <c r="AA58" s="26">
        <f>IF($A58="","",IF(OR(H58="לא נבדק",H58=""),"לא נבדק",IF(AND(H58="בחר/ה בעצמו/ה",I58="כן",J58="לא"),"מלא",IF(OR(H58="בחר/ה בעצמו/ה",I58="כן"),"חלקי","עדיין לא"))))</f>
      </c>
      <c r="AB58" s="26">
        <f>IF($A58="","",COUNTIF(K58:O58,"כן"))</f>
      </c>
      <c r="AC58" s="27">
        <f>IF($A58="","",IFERROR(SUMPRODUCT((K58:O58="כן")*(P58:T58="כן")+(K58:O58="לא")*(P58:T58="לא")+0.5*(P58:T58="חלקית")*((K58:O58="כן")+(K58:O58="לא")))/SUMPRODUCT(((K58:O58="כן")+(K58:O58="לא"))*(P58:T58&lt;&gt;"")),""))</f>
      </c>
      <c r="AD58" s="26">
        <f>IF($A58="","",SUMPRODUCT((K58:O58="כן")*(P58:T58="לא")))</f>
      </c>
      <c r="AE58" s="26">
        <f>IF($A58="","",SUMPRODUCT((K58:O58="לא")*(P58:T58="כן")))</f>
      </c>
      <c r="AF58" s="26">
        <f>IF($A58="","",COUNTIF(U58:W58,"כן"))</f>
      </c>
      <c r="AG58" s="26">
        <f>IF($A58="","",IF(AA58&lt;&gt;"מלא",0,IF(OR(AC58="",N(AC58)&lt;0.6),1,IF(AND(AF58&gt;=2,N(X58)&gt;=2),3,2))))</f>
      </c>
    </row>
    <row r="59" ht="15" customHeight="1" spans="1:33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6">
        <f>IF($A59="","",$A59&amp;"|"&amp;$C59)</f>
      </c>
      <c r="AA59" s="26">
        <f>IF($A59="","",IF(OR(H59="לא נבדק",H59=""),"לא נבדק",IF(AND(H59="בחר/ה בעצמו/ה",I59="כן",J59="לא"),"מלא",IF(OR(H59="בחר/ה בעצמו/ה",I59="כן"),"חלקי","עדיין לא"))))</f>
      </c>
      <c r="AB59" s="26">
        <f>IF($A59="","",COUNTIF(K59:O59,"כן"))</f>
      </c>
      <c r="AC59" s="27">
        <f>IF($A59="","",IFERROR(SUMPRODUCT((K59:O59="כן")*(P59:T59="כן")+(K59:O59="לא")*(P59:T59="לא")+0.5*(P59:T59="חלקית")*((K59:O59="כן")+(K59:O59="לא")))/SUMPRODUCT(((K59:O59="כן")+(K59:O59="לא"))*(P59:T59&lt;&gt;"")),""))</f>
      </c>
      <c r="AD59" s="26">
        <f>IF($A59="","",SUMPRODUCT((K59:O59="כן")*(P59:T59="לא")))</f>
      </c>
      <c r="AE59" s="26">
        <f>IF($A59="","",SUMPRODUCT((K59:O59="לא")*(P59:T59="כן")))</f>
      </c>
      <c r="AF59" s="26">
        <f>IF($A59="","",COUNTIF(U59:W59,"כן"))</f>
      </c>
      <c r="AG59" s="26">
        <f>IF($A59="","",IF(AA59&lt;&gt;"מלא",0,IF(OR(AC59="",N(AC59)&lt;0.6),1,IF(AND(AF59&gt;=2,N(X59)&gt;=2),3,2))))</f>
      </c>
    </row>
    <row r="60" ht="15" customHeight="1" spans="1:33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6">
        <f>IF($A60="","",$A60&amp;"|"&amp;$C60)</f>
      </c>
      <c r="AA60" s="26">
        <f>IF($A60="","",IF(OR(H60="לא נבדק",H60=""),"לא נבדק",IF(AND(H60="בחר/ה בעצמו/ה",I60="כן",J60="לא"),"מלא",IF(OR(H60="בחר/ה בעצמו/ה",I60="כן"),"חלקי","עדיין לא"))))</f>
      </c>
      <c r="AB60" s="26">
        <f>IF($A60="","",COUNTIF(K60:O60,"כן"))</f>
      </c>
      <c r="AC60" s="27">
        <f>IF($A60="","",IFERROR(SUMPRODUCT((K60:O60="כן")*(P60:T60="כן")+(K60:O60="לא")*(P60:T60="לא")+0.5*(P60:T60="חלקית")*((K60:O60="כן")+(K60:O60="לא")))/SUMPRODUCT(((K60:O60="כן")+(K60:O60="לא"))*(P60:T60&lt;&gt;"")),""))</f>
      </c>
      <c r="AD60" s="26">
        <f>IF($A60="","",SUMPRODUCT((K60:O60="כן")*(P60:T60="לא")))</f>
      </c>
      <c r="AE60" s="26">
        <f>IF($A60="","",SUMPRODUCT((K60:O60="לא")*(P60:T60="כן")))</f>
      </c>
      <c r="AF60" s="26">
        <f>IF($A60="","",COUNTIF(U60:W60,"כן"))</f>
      </c>
      <c r="AG60" s="26">
        <f>IF($A60="","",IF(AA60&lt;&gt;"מלא",0,IF(OR(AC60="",N(AC60)&lt;0.6),1,IF(AND(AF60&gt;=2,N(X60)&gt;=2),3,2))))</f>
      </c>
    </row>
    <row r="61" ht="15" customHeight="1" spans="1:33" x14ac:dyDescent="0.2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6">
        <f>IF($A61="","",$A61&amp;"|"&amp;$C61)</f>
      </c>
      <c r="AA61" s="26">
        <f>IF($A61="","",IF(OR(H61="לא נבדק",H61=""),"לא נבדק",IF(AND(H61="בחר/ה בעצמו/ה",I61="כן",J61="לא"),"מלא",IF(OR(H61="בחר/ה בעצמו/ה",I61="כן"),"חלקי","עדיין לא"))))</f>
      </c>
      <c r="AB61" s="26">
        <f>IF($A61="","",COUNTIF(K61:O61,"כן"))</f>
      </c>
      <c r="AC61" s="27">
        <f>IF($A61="","",IFERROR(SUMPRODUCT((K61:O61="כן")*(P61:T61="כן")+(K61:O61="לא")*(P61:T61="לא")+0.5*(P61:T61="חלקית")*((K61:O61="כן")+(K61:O61="לא")))/SUMPRODUCT(((K61:O61="כן")+(K61:O61="לא"))*(P61:T61&lt;&gt;"")),""))</f>
      </c>
      <c r="AD61" s="26">
        <f>IF($A61="","",SUMPRODUCT((K61:O61="כן")*(P61:T61="לא")))</f>
      </c>
      <c r="AE61" s="26">
        <f>IF($A61="","",SUMPRODUCT((K61:O61="לא")*(P61:T61="כן")))</f>
      </c>
      <c r="AF61" s="26">
        <f>IF($A61="","",COUNTIF(U61:W61,"כן"))</f>
      </c>
      <c r="AG61" s="26">
        <f>IF($A61="","",IF(AA61&lt;&gt;"מלא",0,IF(OR(AC61="",N(AC61)&lt;0.6),1,IF(AND(AF61&gt;=2,N(X61)&gt;=2),3,2))))</f>
      </c>
    </row>
    <row r="62" ht="15" customHeight="1" spans="1:33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6">
        <f>IF($A62="","",$A62&amp;"|"&amp;$C62)</f>
      </c>
      <c r="AA62" s="26">
        <f>IF($A62="","",IF(OR(H62="לא נבדק",H62=""),"לא נבדק",IF(AND(H62="בחר/ה בעצמו/ה",I62="כן",J62="לא"),"מלא",IF(OR(H62="בחר/ה בעצמו/ה",I62="כן"),"חלקי","עדיין לא"))))</f>
      </c>
      <c r="AB62" s="26">
        <f>IF($A62="","",COUNTIF(K62:O62,"כן"))</f>
      </c>
      <c r="AC62" s="27">
        <f>IF($A62="","",IFERROR(SUMPRODUCT((K62:O62="כן")*(P62:T62="כן")+(K62:O62="לא")*(P62:T62="לא")+0.5*(P62:T62="חלקית")*((K62:O62="כן")+(K62:O62="לא")))/SUMPRODUCT(((K62:O62="כן")+(K62:O62="לא"))*(P62:T62&lt;&gt;"")),""))</f>
      </c>
      <c r="AD62" s="26">
        <f>IF($A62="","",SUMPRODUCT((K62:O62="כן")*(P62:T62="לא")))</f>
      </c>
      <c r="AE62" s="26">
        <f>IF($A62="","",SUMPRODUCT((K62:O62="לא")*(P62:T62="כן")))</f>
      </c>
      <c r="AF62" s="26">
        <f>IF($A62="","",COUNTIF(U62:W62,"כן"))</f>
      </c>
      <c r="AG62" s="26">
        <f>IF($A62="","",IF(AA62&lt;&gt;"מלא",0,IF(OR(AC62="",N(AC62)&lt;0.6),1,IF(AND(AF62&gt;=2,N(X62)&gt;=2),3,2))))</f>
      </c>
    </row>
    <row r="63" ht="15" customHeight="1" spans="1:33" x14ac:dyDescent="0.2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6">
        <f>IF($A63="","",$A63&amp;"|"&amp;$C63)</f>
      </c>
      <c r="AA63" s="26">
        <f>IF($A63="","",IF(OR(H63="לא נבדק",H63=""),"לא נבדק",IF(AND(H63="בחר/ה בעצמו/ה",I63="כן",J63="לא"),"מלא",IF(OR(H63="בחר/ה בעצמו/ה",I63="כן"),"חלקי","עדיין לא"))))</f>
      </c>
      <c r="AB63" s="26">
        <f>IF($A63="","",COUNTIF(K63:O63,"כן"))</f>
      </c>
      <c r="AC63" s="27">
        <f>IF($A63="","",IFERROR(SUMPRODUCT((K63:O63="כן")*(P63:T63="כן")+(K63:O63="לא")*(P63:T63="לא")+0.5*(P63:T63="חלקית")*((K63:O63="כן")+(K63:O63="לא")))/SUMPRODUCT(((K63:O63="כן")+(K63:O63="לא"))*(P63:T63&lt;&gt;"")),""))</f>
      </c>
      <c r="AD63" s="26">
        <f>IF($A63="","",SUMPRODUCT((K63:O63="כן")*(P63:T63="לא")))</f>
      </c>
      <c r="AE63" s="26">
        <f>IF($A63="","",SUMPRODUCT((K63:O63="לא")*(P63:T63="כן")))</f>
      </c>
      <c r="AF63" s="26">
        <f>IF($A63="","",COUNTIF(U63:W63,"כן"))</f>
      </c>
      <c r="AG63" s="26">
        <f>IF($A63="","",IF(AA63&lt;&gt;"מלא",0,IF(OR(AC63="",N(AC63)&lt;0.6),1,IF(AND(AF63&gt;=2,N(X63)&gt;=2),3,2))))</f>
      </c>
    </row>
    <row r="64" ht="15" customHeight="1" spans="1:33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6">
        <f>IF($A64="","",$A64&amp;"|"&amp;$C64)</f>
      </c>
      <c r="AA64" s="26">
        <f>IF($A64="","",IF(OR(H64="לא נבדק",H64=""),"לא נבדק",IF(AND(H64="בחר/ה בעצמו/ה",I64="כן",J64="לא"),"מלא",IF(OR(H64="בחר/ה בעצמו/ה",I64="כן"),"חלקי","עדיין לא"))))</f>
      </c>
      <c r="AB64" s="26">
        <f>IF($A64="","",COUNTIF(K64:O64,"כן"))</f>
      </c>
      <c r="AC64" s="27">
        <f>IF($A64="","",IFERROR(SUMPRODUCT((K64:O64="כן")*(P64:T64="כן")+(K64:O64="לא")*(P64:T64="לא")+0.5*(P64:T64="חלקית")*((K64:O64="כן")+(K64:O64="לא")))/SUMPRODUCT(((K64:O64="כן")+(K64:O64="לא"))*(P64:T64&lt;&gt;"")),""))</f>
      </c>
      <c r="AD64" s="26">
        <f>IF($A64="","",SUMPRODUCT((K64:O64="כן")*(P64:T64="לא")))</f>
      </c>
      <c r="AE64" s="26">
        <f>IF($A64="","",SUMPRODUCT((K64:O64="לא")*(P64:T64="כן")))</f>
      </c>
      <c r="AF64" s="26">
        <f>IF($A64="","",COUNTIF(U64:W64,"כן"))</f>
      </c>
      <c r="AG64" s="26">
        <f>IF($A64="","",IF(AA64&lt;&gt;"מלא",0,IF(OR(AC64="",N(AC64)&lt;0.6),1,IF(AND(AF64&gt;=2,N(X64)&gt;=2),3,2))))</f>
      </c>
    </row>
    <row r="65" ht="15" customHeight="1" spans="1:33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6">
        <f>IF($A65="","",$A65&amp;"|"&amp;$C65)</f>
      </c>
      <c r="AA65" s="26">
        <f>IF($A65="","",IF(OR(H65="לא נבדק",H65=""),"לא נבדק",IF(AND(H65="בחר/ה בעצמו/ה",I65="כן",J65="לא"),"מלא",IF(OR(H65="בחר/ה בעצמו/ה",I65="כן"),"חלקי","עדיין לא"))))</f>
      </c>
      <c r="AB65" s="26">
        <f>IF($A65="","",COUNTIF(K65:O65,"כן"))</f>
      </c>
      <c r="AC65" s="27">
        <f>IF($A65="","",IFERROR(SUMPRODUCT((K65:O65="כן")*(P65:T65="כן")+(K65:O65="לא")*(P65:T65="לא")+0.5*(P65:T65="חלקית")*((K65:O65="כן")+(K65:O65="לא")))/SUMPRODUCT(((K65:O65="כן")+(K65:O65="לא"))*(P65:T65&lt;&gt;"")),""))</f>
      </c>
      <c r="AD65" s="26">
        <f>IF($A65="","",SUMPRODUCT((K65:O65="כן")*(P65:T65="לא")))</f>
      </c>
      <c r="AE65" s="26">
        <f>IF($A65="","",SUMPRODUCT((K65:O65="לא")*(P65:T65="כן")))</f>
      </c>
      <c r="AF65" s="26">
        <f>IF($A65="","",COUNTIF(U65:W65,"כן"))</f>
      </c>
      <c r="AG65" s="26">
        <f>IF($A65="","",IF(AA65&lt;&gt;"מלא",0,IF(OR(AC65="",N(AC65)&lt;0.6),1,IF(AND(AF65&gt;=2,N(X65)&gt;=2),3,2))))</f>
      </c>
    </row>
    <row r="66" ht="15" customHeight="1" spans="1:33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6">
        <f>IF($A66="","",$A66&amp;"|"&amp;$C66)</f>
      </c>
      <c r="AA66" s="26">
        <f>IF($A66="","",IF(OR(H66="לא נבדק",H66=""),"לא נבדק",IF(AND(H66="בחר/ה בעצמו/ה",I66="כן",J66="לא"),"מלא",IF(OR(H66="בחר/ה בעצמו/ה",I66="כן"),"חלקי","עדיין לא"))))</f>
      </c>
      <c r="AB66" s="26">
        <f>IF($A66="","",COUNTIF(K66:O66,"כן"))</f>
      </c>
      <c r="AC66" s="27">
        <f>IF($A66="","",IFERROR(SUMPRODUCT((K66:O66="כן")*(P66:T66="כן")+(K66:O66="לא")*(P66:T66="לא")+0.5*(P66:T66="חלקית")*((K66:O66="כן")+(K66:O66="לא")))/SUMPRODUCT(((K66:O66="כן")+(K66:O66="לא"))*(P66:T66&lt;&gt;"")),""))</f>
      </c>
      <c r="AD66" s="26">
        <f>IF($A66="","",SUMPRODUCT((K66:O66="כן")*(P66:T66="לא")))</f>
      </c>
      <c r="AE66" s="26">
        <f>IF($A66="","",SUMPRODUCT((K66:O66="לא")*(P66:T66="כן")))</f>
      </c>
      <c r="AF66" s="26">
        <f>IF($A66="","",COUNTIF(U66:W66,"כן"))</f>
      </c>
      <c r="AG66" s="26">
        <f>IF($A66="","",IF(AA66&lt;&gt;"מלא",0,IF(OR(AC66="",N(AC66)&lt;0.6),1,IF(AND(AF66&gt;=2,N(X66)&gt;=2),3,2))))</f>
      </c>
    </row>
    <row r="67" ht="15" customHeight="1" spans="1:33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6">
        <f>IF($A67="","",$A67&amp;"|"&amp;$C67)</f>
      </c>
      <c r="AA67" s="26">
        <f>IF($A67="","",IF(OR(H67="לא נבדק",H67=""),"לא נבדק",IF(AND(H67="בחר/ה בעצמו/ה",I67="כן",J67="לא"),"מלא",IF(OR(H67="בחר/ה בעצמו/ה",I67="כן"),"חלקי","עדיין לא"))))</f>
      </c>
      <c r="AB67" s="26">
        <f>IF($A67="","",COUNTIF(K67:O67,"כן"))</f>
      </c>
      <c r="AC67" s="27">
        <f>IF($A67="","",IFERROR(SUMPRODUCT((K67:O67="כן")*(P67:T67="כן")+(K67:O67="לא")*(P67:T67="לא")+0.5*(P67:T67="חלקית")*((K67:O67="כן")+(K67:O67="לא")))/SUMPRODUCT(((K67:O67="כן")+(K67:O67="לא"))*(P67:T67&lt;&gt;"")),""))</f>
      </c>
      <c r="AD67" s="26">
        <f>IF($A67="","",SUMPRODUCT((K67:O67="כן")*(P67:T67="לא")))</f>
      </c>
      <c r="AE67" s="26">
        <f>IF($A67="","",SUMPRODUCT((K67:O67="לא")*(P67:T67="כן")))</f>
      </c>
      <c r="AF67" s="26">
        <f>IF($A67="","",COUNTIF(U67:W67,"כן"))</f>
      </c>
      <c r="AG67" s="26">
        <f>IF($A67="","",IF(AA67&lt;&gt;"מלא",0,IF(OR(AC67="",N(AC67)&lt;0.6),1,IF(AND(AF67&gt;=2,N(X67)&gt;=2),3,2))))</f>
      </c>
    </row>
    <row r="68" ht="15" customHeight="1" spans="1:33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6">
        <f>IF($A68="","",$A68&amp;"|"&amp;$C68)</f>
      </c>
      <c r="AA68" s="26">
        <f>IF($A68="","",IF(OR(H68="לא נבדק",H68=""),"לא נבדק",IF(AND(H68="בחר/ה בעצמו/ה",I68="כן",J68="לא"),"מלא",IF(OR(H68="בחר/ה בעצמו/ה",I68="כן"),"חלקי","עדיין לא"))))</f>
      </c>
      <c r="AB68" s="26">
        <f>IF($A68="","",COUNTIF(K68:O68,"כן"))</f>
      </c>
      <c r="AC68" s="27">
        <f>IF($A68="","",IFERROR(SUMPRODUCT((K68:O68="כן")*(P68:T68="כן")+(K68:O68="לא")*(P68:T68="לא")+0.5*(P68:T68="חלקית")*((K68:O68="כן")+(K68:O68="לא")))/SUMPRODUCT(((K68:O68="כן")+(K68:O68="לא"))*(P68:T68&lt;&gt;"")),""))</f>
      </c>
      <c r="AD68" s="26">
        <f>IF($A68="","",SUMPRODUCT((K68:O68="כן")*(P68:T68="לא")))</f>
      </c>
      <c r="AE68" s="26">
        <f>IF($A68="","",SUMPRODUCT((K68:O68="לא")*(P68:T68="כן")))</f>
      </c>
      <c r="AF68" s="26">
        <f>IF($A68="","",COUNTIF(U68:W68,"כן"))</f>
      </c>
      <c r="AG68" s="26">
        <f>IF($A68="","",IF(AA68&lt;&gt;"מלא",0,IF(OR(AC68="",N(AC68)&lt;0.6),1,IF(AND(AF68&gt;=2,N(X68)&gt;=2),3,2))))</f>
      </c>
    </row>
    <row r="69" ht="15" customHeight="1" spans="1:33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6">
        <f>IF($A69="","",$A69&amp;"|"&amp;$C69)</f>
      </c>
      <c r="AA69" s="26">
        <f>IF($A69="","",IF(OR(H69="לא נבדק",H69=""),"לא נבדק",IF(AND(H69="בחר/ה בעצמו/ה",I69="כן",J69="לא"),"מלא",IF(OR(H69="בחר/ה בעצמו/ה",I69="כן"),"חלקי","עדיין לא"))))</f>
      </c>
      <c r="AB69" s="26">
        <f>IF($A69="","",COUNTIF(K69:O69,"כן"))</f>
      </c>
      <c r="AC69" s="27">
        <f>IF($A69="","",IFERROR(SUMPRODUCT((K69:O69="כן")*(P69:T69="כן")+(K69:O69="לא")*(P69:T69="לא")+0.5*(P69:T69="חלקית")*((K69:O69="כן")+(K69:O69="לא")))/SUMPRODUCT(((K69:O69="כן")+(K69:O69="לא"))*(P69:T69&lt;&gt;"")),""))</f>
      </c>
      <c r="AD69" s="26">
        <f>IF($A69="","",SUMPRODUCT((K69:O69="כן")*(P69:T69="לא")))</f>
      </c>
      <c r="AE69" s="26">
        <f>IF($A69="","",SUMPRODUCT((K69:O69="לא")*(P69:T69="כן")))</f>
      </c>
      <c r="AF69" s="26">
        <f>IF($A69="","",COUNTIF(U69:W69,"כן"))</f>
      </c>
      <c r="AG69" s="26">
        <f>IF($A69="","",IF(AA69&lt;&gt;"מלא",0,IF(OR(AC69="",N(AC69)&lt;0.6),1,IF(AND(AF69&gt;=2,N(X69)&gt;=2),3,2))))</f>
      </c>
    </row>
    <row r="70" ht="15" customHeight="1" spans="1:33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6">
        <f>IF($A70="","",$A70&amp;"|"&amp;$C70)</f>
      </c>
      <c r="AA70" s="26">
        <f>IF($A70="","",IF(OR(H70="לא נבדק",H70=""),"לא נבדק",IF(AND(H70="בחר/ה בעצמו/ה",I70="כן",J70="לא"),"מלא",IF(OR(H70="בחר/ה בעצמו/ה",I70="כן"),"חלקי","עדיין לא"))))</f>
      </c>
      <c r="AB70" s="26">
        <f>IF($A70="","",COUNTIF(K70:O70,"כן"))</f>
      </c>
      <c r="AC70" s="27">
        <f>IF($A70="","",IFERROR(SUMPRODUCT((K70:O70="כן")*(P70:T70="כן")+(K70:O70="לא")*(P70:T70="לא")+0.5*(P70:T70="חלקית")*((K70:O70="כן")+(K70:O70="לא")))/SUMPRODUCT(((K70:O70="כן")+(K70:O70="לא"))*(P70:T70&lt;&gt;"")),""))</f>
      </c>
      <c r="AD70" s="26">
        <f>IF($A70="","",SUMPRODUCT((K70:O70="כן")*(P70:T70="לא")))</f>
      </c>
      <c r="AE70" s="26">
        <f>IF($A70="","",SUMPRODUCT((K70:O70="לא")*(P70:T70="כן")))</f>
      </c>
      <c r="AF70" s="26">
        <f>IF($A70="","",COUNTIF(U70:W70,"כן"))</f>
      </c>
      <c r="AG70" s="26">
        <f>IF($A70="","",IF(AA70&lt;&gt;"מלא",0,IF(OR(AC70="",N(AC70)&lt;0.6),1,IF(AND(AF70&gt;=2,N(X70)&gt;=2),3,2))))</f>
      </c>
    </row>
    <row r="71" ht="15" customHeight="1" spans="1:33" x14ac:dyDescent="0.2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6">
        <f>IF($A71="","",$A71&amp;"|"&amp;$C71)</f>
      </c>
      <c r="AA71" s="26">
        <f>IF($A71="","",IF(OR(H71="לא נבדק",H71=""),"לא נבדק",IF(AND(H71="בחר/ה בעצמו/ה",I71="כן",J71="לא"),"מלא",IF(OR(H71="בחר/ה בעצמו/ה",I71="כן"),"חלקי","עדיין לא"))))</f>
      </c>
      <c r="AB71" s="26">
        <f>IF($A71="","",COUNTIF(K71:O71,"כן"))</f>
      </c>
      <c r="AC71" s="27">
        <f>IF($A71="","",IFERROR(SUMPRODUCT((K71:O71="כן")*(P71:T71="כן")+(K71:O71="לא")*(P71:T71="לא")+0.5*(P71:T71="חלקית")*((K71:O71="כן")+(K71:O71="לא")))/SUMPRODUCT(((K71:O71="כן")+(K71:O71="לא"))*(P71:T71&lt;&gt;"")),""))</f>
      </c>
      <c r="AD71" s="26">
        <f>IF($A71="","",SUMPRODUCT((K71:O71="כן")*(P71:T71="לא")))</f>
      </c>
      <c r="AE71" s="26">
        <f>IF($A71="","",SUMPRODUCT((K71:O71="לא")*(P71:T71="כן")))</f>
      </c>
      <c r="AF71" s="26">
        <f>IF($A71="","",COUNTIF(U71:W71,"כן"))</f>
      </c>
      <c r="AG71" s="26">
        <f>IF($A71="","",IF(AA71&lt;&gt;"מלא",0,IF(OR(AC71="",N(AC71)&lt;0.6),1,IF(AND(AF71&gt;=2,N(X71)&gt;=2),3,2))))</f>
      </c>
    </row>
    <row r="72" ht="15" customHeight="1" spans="1:33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6">
        <f>IF($A72="","",$A72&amp;"|"&amp;$C72)</f>
      </c>
      <c r="AA72" s="26">
        <f>IF($A72="","",IF(OR(H72="לא נבדק",H72=""),"לא נבדק",IF(AND(H72="בחר/ה בעצמו/ה",I72="כן",J72="לא"),"מלא",IF(OR(H72="בחר/ה בעצמו/ה",I72="כן"),"חלקי","עדיין לא"))))</f>
      </c>
      <c r="AB72" s="26">
        <f>IF($A72="","",COUNTIF(K72:O72,"כן"))</f>
      </c>
      <c r="AC72" s="27">
        <f>IF($A72="","",IFERROR(SUMPRODUCT((K72:O72="כן")*(P72:T72="כן")+(K72:O72="לא")*(P72:T72="לא")+0.5*(P72:T72="חלקית")*((K72:O72="כן")+(K72:O72="לא")))/SUMPRODUCT(((K72:O72="כן")+(K72:O72="לא"))*(P72:T72&lt;&gt;"")),""))</f>
      </c>
      <c r="AD72" s="26">
        <f>IF($A72="","",SUMPRODUCT((K72:O72="כן")*(P72:T72="לא")))</f>
      </c>
      <c r="AE72" s="26">
        <f>IF($A72="","",SUMPRODUCT((K72:O72="לא")*(P72:T72="כן")))</f>
      </c>
      <c r="AF72" s="26">
        <f>IF($A72="","",COUNTIF(U72:W72,"כן"))</f>
      </c>
      <c r="AG72" s="26">
        <f>IF($A72="","",IF(AA72&lt;&gt;"מלא",0,IF(OR(AC72="",N(AC72)&lt;0.6),1,IF(AND(AF72&gt;=2,N(X72)&gt;=2),3,2))))</f>
      </c>
    </row>
    <row r="73" ht="15" customHeight="1" spans="1:33" x14ac:dyDescent="0.2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6">
        <f>IF($A73="","",$A73&amp;"|"&amp;$C73)</f>
      </c>
      <c r="AA73" s="26">
        <f>IF($A73="","",IF(OR(H73="לא נבדק",H73=""),"לא נבדק",IF(AND(H73="בחר/ה בעצמו/ה",I73="כן",J73="לא"),"מלא",IF(OR(H73="בחר/ה בעצמו/ה",I73="כן"),"חלקי","עדיין לא"))))</f>
      </c>
      <c r="AB73" s="26">
        <f>IF($A73="","",COUNTIF(K73:O73,"כן"))</f>
      </c>
      <c r="AC73" s="27">
        <f>IF($A73="","",IFERROR(SUMPRODUCT((K73:O73="כן")*(P73:T73="כן")+(K73:O73="לא")*(P73:T73="לא")+0.5*(P73:T73="חלקית")*((K73:O73="כן")+(K73:O73="לא")))/SUMPRODUCT(((K73:O73="כן")+(K73:O73="לא"))*(P73:T73&lt;&gt;"")),""))</f>
      </c>
      <c r="AD73" s="26">
        <f>IF($A73="","",SUMPRODUCT((K73:O73="כן")*(P73:T73="לא")))</f>
      </c>
      <c r="AE73" s="26">
        <f>IF($A73="","",SUMPRODUCT((K73:O73="לא")*(P73:T73="כן")))</f>
      </c>
      <c r="AF73" s="26">
        <f>IF($A73="","",COUNTIF(U73:W73,"כן"))</f>
      </c>
      <c r="AG73" s="26">
        <f>IF($A73="","",IF(AA73&lt;&gt;"מלא",0,IF(OR(AC73="",N(AC73)&lt;0.6),1,IF(AND(AF73&gt;=2,N(X73)&gt;=2),3,2))))</f>
      </c>
    </row>
    <row r="74" ht="15" customHeight="1" spans="1:33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6">
        <f>IF($A74="","",$A74&amp;"|"&amp;$C74)</f>
      </c>
      <c r="AA74" s="26">
        <f>IF($A74="","",IF(OR(H74="לא נבדק",H74=""),"לא נבדק",IF(AND(H74="בחר/ה בעצמו/ה",I74="כן",J74="לא"),"מלא",IF(OR(H74="בחר/ה בעצמו/ה",I74="כן"),"חלקי","עדיין לא"))))</f>
      </c>
      <c r="AB74" s="26">
        <f>IF($A74="","",COUNTIF(K74:O74,"כן"))</f>
      </c>
      <c r="AC74" s="27">
        <f>IF($A74="","",IFERROR(SUMPRODUCT((K74:O74="כן")*(P74:T74="כן")+(K74:O74="לא")*(P74:T74="לא")+0.5*(P74:T74="חלקית")*((K74:O74="כן")+(K74:O74="לא")))/SUMPRODUCT(((K74:O74="כן")+(K74:O74="לא"))*(P74:T74&lt;&gt;"")),""))</f>
      </c>
      <c r="AD74" s="26">
        <f>IF($A74="","",SUMPRODUCT((K74:O74="כן")*(P74:T74="לא")))</f>
      </c>
      <c r="AE74" s="26">
        <f>IF($A74="","",SUMPRODUCT((K74:O74="לא")*(P74:T74="כן")))</f>
      </c>
      <c r="AF74" s="26">
        <f>IF($A74="","",COUNTIF(U74:W74,"כן"))</f>
      </c>
      <c r="AG74" s="26">
        <f>IF($A74="","",IF(AA74&lt;&gt;"מלא",0,IF(OR(AC74="",N(AC74)&lt;0.6),1,IF(AND(AF74&gt;=2,N(X74)&gt;=2),3,2))))</f>
      </c>
    </row>
    <row r="75" ht="15" customHeight="1" spans="1:33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6">
        <f>IF($A75="","",$A75&amp;"|"&amp;$C75)</f>
      </c>
      <c r="AA75" s="26">
        <f>IF($A75="","",IF(OR(H75="לא נבדק",H75=""),"לא נבדק",IF(AND(H75="בחר/ה בעצמו/ה",I75="כן",J75="לא"),"מלא",IF(OR(H75="בחר/ה בעצמו/ה",I75="כן"),"חלקי","עדיין לא"))))</f>
      </c>
      <c r="AB75" s="26">
        <f>IF($A75="","",COUNTIF(K75:O75,"כן"))</f>
      </c>
      <c r="AC75" s="27">
        <f>IF($A75="","",IFERROR(SUMPRODUCT((K75:O75="כן")*(P75:T75="כן")+(K75:O75="לא")*(P75:T75="לא")+0.5*(P75:T75="חלקית")*((K75:O75="כן")+(K75:O75="לא")))/SUMPRODUCT(((K75:O75="כן")+(K75:O75="לא"))*(P75:T75&lt;&gt;"")),""))</f>
      </c>
      <c r="AD75" s="26">
        <f>IF($A75="","",SUMPRODUCT((K75:O75="כן")*(P75:T75="לא")))</f>
      </c>
      <c r="AE75" s="26">
        <f>IF($A75="","",SUMPRODUCT((K75:O75="לא")*(P75:T75="כן")))</f>
      </c>
      <c r="AF75" s="26">
        <f>IF($A75="","",COUNTIF(U75:W75,"כן"))</f>
      </c>
      <c r="AG75" s="26">
        <f>IF($A75="","",IF(AA75&lt;&gt;"מלא",0,IF(OR(AC75="",N(AC75)&lt;0.6),1,IF(AND(AF75&gt;=2,N(X75)&gt;=2),3,2))))</f>
      </c>
    </row>
    <row r="76" ht="15" customHeight="1" spans="1:33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6">
        <f>IF($A76="","",$A76&amp;"|"&amp;$C76)</f>
      </c>
      <c r="AA76" s="26">
        <f>IF($A76="","",IF(OR(H76="לא נבדק",H76=""),"לא נבדק",IF(AND(H76="בחר/ה בעצמו/ה",I76="כן",J76="לא"),"מלא",IF(OR(H76="בחר/ה בעצמו/ה",I76="כן"),"חלקי","עדיין לא"))))</f>
      </c>
      <c r="AB76" s="26">
        <f>IF($A76="","",COUNTIF(K76:O76,"כן"))</f>
      </c>
      <c r="AC76" s="27">
        <f>IF($A76="","",IFERROR(SUMPRODUCT((K76:O76="כן")*(P76:T76="כן")+(K76:O76="לא")*(P76:T76="לא")+0.5*(P76:T76="חלקית")*((K76:O76="כן")+(K76:O76="לא")))/SUMPRODUCT(((K76:O76="כן")+(K76:O76="לא"))*(P76:T76&lt;&gt;"")),""))</f>
      </c>
      <c r="AD76" s="26">
        <f>IF($A76="","",SUMPRODUCT((K76:O76="כן")*(P76:T76="לא")))</f>
      </c>
      <c r="AE76" s="26">
        <f>IF($A76="","",SUMPRODUCT((K76:O76="לא")*(P76:T76="כן")))</f>
      </c>
      <c r="AF76" s="26">
        <f>IF($A76="","",COUNTIF(U76:W76,"כן"))</f>
      </c>
      <c r="AG76" s="26">
        <f>IF($A76="","",IF(AA76&lt;&gt;"מלא",0,IF(OR(AC76="",N(AC76)&lt;0.6),1,IF(AND(AF76&gt;=2,N(X76)&gt;=2),3,2))))</f>
      </c>
    </row>
    <row r="77" ht="15" customHeight="1" spans="1:33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6">
        <f>IF($A77="","",$A77&amp;"|"&amp;$C77)</f>
      </c>
      <c r="AA77" s="26">
        <f>IF($A77="","",IF(OR(H77="לא נבדק",H77=""),"לא נבדק",IF(AND(H77="בחר/ה בעצמו/ה",I77="כן",J77="לא"),"מלא",IF(OR(H77="בחר/ה בעצמו/ה",I77="כן"),"חלקי","עדיין לא"))))</f>
      </c>
      <c r="AB77" s="26">
        <f>IF($A77="","",COUNTIF(K77:O77,"כן"))</f>
      </c>
      <c r="AC77" s="27">
        <f>IF($A77="","",IFERROR(SUMPRODUCT((K77:O77="כן")*(P77:T77="כן")+(K77:O77="לא")*(P77:T77="לא")+0.5*(P77:T77="חלקית")*((K77:O77="כן")+(K77:O77="לא")))/SUMPRODUCT(((K77:O77="כן")+(K77:O77="לא"))*(P77:T77&lt;&gt;"")),""))</f>
      </c>
      <c r="AD77" s="26">
        <f>IF($A77="","",SUMPRODUCT((K77:O77="כן")*(P77:T77="לא")))</f>
      </c>
      <c r="AE77" s="26">
        <f>IF($A77="","",SUMPRODUCT((K77:O77="לא")*(P77:T77="כן")))</f>
      </c>
      <c r="AF77" s="26">
        <f>IF($A77="","",COUNTIF(U77:W77,"כן"))</f>
      </c>
      <c r="AG77" s="26">
        <f>IF($A77="","",IF(AA77&lt;&gt;"מלא",0,IF(OR(AC77="",N(AC77)&lt;0.6),1,IF(AND(AF77&gt;=2,N(X77)&gt;=2),3,2))))</f>
      </c>
    </row>
    <row r="78" ht="15" customHeight="1" spans="1:33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6">
        <f>IF($A78="","",$A78&amp;"|"&amp;$C78)</f>
      </c>
      <c r="AA78" s="26">
        <f>IF($A78="","",IF(OR(H78="לא נבדק",H78=""),"לא נבדק",IF(AND(H78="בחר/ה בעצמו/ה",I78="כן",J78="לא"),"מלא",IF(OR(H78="בחר/ה בעצמו/ה",I78="כן"),"חלקי","עדיין לא"))))</f>
      </c>
      <c r="AB78" s="26">
        <f>IF($A78="","",COUNTIF(K78:O78,"כן"))</f>
      </c>
      <c r="AC78" s="27">
        <f>IF($A78="","",IFERROR(SUMPRODUCT((K78:O78="כן")*(P78:T78="כן")+(K78:O78="לא")*(P78:T78="לא")+0.5*(P78:T78="חלקית")*((K78:O78="כן")+(K78:O78="לא")))/SUMPRODUCT(((K78:O78="כן")+(K78:O78="לא"))*(P78:T78&lt;&gt;"")),""))</f>
      </c>
      <c r="AD78" s="26">
        <f>IF($A78="","",SUMPRODUCT((K78:O78="כן")*(P78:T78="לא")))</f>
      </c>
      <c r="AE78" s="26">
        <f>IF($A78="","",SUMPRODUCT((K78:O78="לא")*(P78:T78="כן")))</f>
      </c>
      <c r="AF78" s="26">
        <f>IF($A78="","",COUNTIF(U78:W78,"כן"))</f>
      </c>
      <c r="AG78" s="26">
        <f>IF($A78="","",IF(AA78&lt;&gt;"מלא",0,IF(OR(AC78="",N(AC78)&lt;0.6),1,IF(AND(AF78&gt;=2,N(X78)&gt;=2),3,2))))</f>
      </c>
    </row>
    <row r="79" ht="15" customHeight="1" spans="1:33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6">
        <f>IF($A79="","",$A79&amp;"|"&amp;$C79)</f>
      </c>
      <c r="AA79" s="26">
        <f>IF($A79="","",IF(OR(H79="לא נבדק",H79=""),"לא נבדק",IF(AND(H79="בחר/ה בעצמו/ה",I79="כן",J79="לא"),"מלא",IF(OR(H79="בחר/ה בעצמו/ה",I79="כן"),"חלקי","עדיין לא"))))</f>
      </c>
      <c r="AB79" s="26">
        <f>IF($A79="","",COUNTIF(K79:O79,"כן"))</f>
      </c>
      <c r="AC79" s="27">
        <f>IF($A79="","",IFERROR(SUMPRODUCT((K79:O79="כן")*(P79:T79="כן")+(K79:O79="לא")*(P79:T79="לא")+0.5*(P79:T79="חלקית")*((K79:O79="כן")+(K79:O79="לא")))/SUMPRODUCT(((K79:O79="כן")+(K79:O79="לא"))*(P79:T79&lt;&gt;"")),""))</f>
      </c>
      <c r="AD79" s="26">
        <f>IF($A79="","",SUMPRODUCT((K79:O79="כן")*(P79:T79="לא")))</f>
      </c>
      <c r="AE79" s="26">
        <f>IF($A79="","",SUMPRODUCT((K79:O79="לא")*(P79:T79="כן")))</f>
      </c>
      <c r="AF79" s="26">
        <f>IF($A79="","",COUNTIF(U79:W79,"כן"))</f>
      </c>
      <c r="AG79" s="26">
        <f>IF($A79="","",IF(AA79&lt;&gt;"מלא",0,IF(OR(AC79="",N(AC79)&lt;0.6),1,IF(AND(AF79&gt;=2,N(X79)&gt;=2),3,2))))</f>
      </c>
    </row>
    <row r="80" ht="15" customHeight="1" spans="1:33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6">
        <f>IF($A80="","",$A80&amp;"|"&amp;$C80)</f>
      </c>
      <c r="AA80" s="26">
        <f>IF($A80="","",IF(OR(H80="לא נבדק",H80=""),"לא נבדק",IF(AND(H80="בחר/ה בעצמו/ה",I80="כן",J80="לא"),"מלא",IF(OR(H80="בחר/ה בעצמו/ה",I80="כן"),"חלקי","עדיין לא"))))</f>
      </c>
      <c r="AB80" s="26">
        <f>IF($A80="","",COUNTIF(K80:O80,"כן"))</f>
      </c>
      <c r="AC80" s="27">
        <f>IF($A80="","",IFERROR(SUMPRODUCT((K80:O80="כן")*(P80:T80="כן")+(K80:O80="לא")*(P80:T80="לא")+0.5*(P80:T80="חלקית")*((K80:O80="כן")+(K80:O80="לא")))/SUMPRODUCT(((K80:O80="כן")+(K80:O80="לא"))*(P80:T80&lt;&gt;"")),""))</f>
      </c>
      <c r="AD80" s="26">
        <f>IF($A80="","",SUMPRODUCT((K80:O80="כן")*(P80:T80="לא")))</f>
      </c>
      <c r="AE80" s="26">
        <f>IF($A80="","",SUMPRODUCT((K80:O80="לא")*(P80:T80="כן")))</f>
      </c>
      <c r="AF80" s="26">
        <f>IF($A80="","",COUNTIF(U80:W80,"כן"))</f>
      </c>
      <c r="AG80" s="26">
        <f>IF($A80="","",IF(AA80&lt;&gt;"מלא",0,IF(OR(AC80="",N(AC80)&lt;0.6),1,IF(AND(AF80&gt;=2,N(X80)&gt;=2),3,2))))</f>
      </c>
    </row>
    <row r="81" ht="15" customHeight="1" spans="1:33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6">
        <f>IF($A81="","",$A81&amp;"|"&amp;$C81)</f>
      </c>
      <c r="AA81" s="26">
        <f>IF($A81="","",IF(OR(H81="לא נבדק",H81=""),"לא נבדק",IF(AND(H81="בחר/ה בעצמו/ה",I81="כן",J81="לא"),"מלא",IF(OR(H81="בחר/ה בעצמו/ה",I81="כן"),"חלקי","עדיין לא"))))</f>
      </c>
      <c r="AB81" s="26">
        <f>IF($A81="","",COUNTIF(K81:O81,"כן"))</f>
      </c>
      <c r="AC81" s="27">
        <f>IF($A81="","",IFERROR(SUMPRODUCT((K81:O81="כן")*(P81:T81="כן")+(K81:O81="לא")*(P81:T81="לא")+0.5*(P81:T81="חלקית")*((K81:O81="כן")+(K81:O81="לא")))/SUMPRODUCT(((K81:O81="כן")+(K81:O81="לא"))*(P81:T81&lt;&gt;"")),""))</f>
      </c>
      <c r="AD81" s="26">
        <f>IF($A81="","",SUMPRODUCT((K81:O81="כן")*(P81:T81="לא")))</f>
      </c>
      <c r="AE81" s="26">
        <f>IF($A81="","",SUMPRODUCT((K81:O81="לא")*(P81:T81="כן")))</f>
      </c>
      <c r="AF81" s="26">
        <f>IF($A81="","",COUNTIF(U81:W81,"כן"))</f>
      </c>
      <c r="AG81" s="26">
        <f>IF($A81="","",IF(AA81&lt;&gt;"מלא",0,IF(OR(AC81="",N(AC81)&lt;0.6),1,IF(AND(AF81&gt;=2,N(X81)&gt;=2),3,2))))</f>
      </c>
    </row>
    <row r="82" ht="15" customHeight="1" spans="1:33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6">
        <f>IF($A82="","",$A82&amp;"|"&amp;$C82)</f>
      </c>
      <c r="AA82" s="26">
        <f>IF($A82="","",IF(OR(H82="לא נבדק",H82=""),"לא נבדק",IF(AND(H82="בחר/ה בעצמו/ה",I82="כן",J82="לא"),"מלא",IF(OR(H82="בחר/ה בעצמו/ה",I82="כן"),"חלקי","עדיין לא"))))</f>
      </c>
      <c r="AB82" s="26">
        <f>IF($A82="","",COUNTIF(K82:O82,"כן"))</f>
      </c>
      <c r="AC82" s="27">
        <f>IF($A82="","",IFERROR(SUMPRODUCT((K82:O82="כן")*(P82:T82="כן")+(K82:O82="לא")*(P82:T82="לא")+0.5*(P82:T82="חלקית")*((K82:O82="כן")+(K82:O82="לא")))/SUMPRODUCT(((K82:O82="כן")+(K82:O82="לא"))*(P82:T82&lt;&gt;"")),""))</f>
      </c>
      <c r="AD82" s="26">
        <f>IF($A82="","",SUMPRODUCT((K82:O82="כן")*(P82:T82="לא")))</f>
      </c>
      <c r="AE82" s="26">
        <f>IF($A82="","",SUMPRODUCT((K82:O82="לא")*(P82:T82="כן")))</f>
      </c>
      <c r="AF82" s="26">
        <f>IF($A82="","",COUNTIF(U82:W82,"כן"))</f>
      </c>
      <c r="AG82" s="26">
        <f>IF($A82="","",IF(AA82&lt;&gt;"מלא",0,IF(OR(AC82="",N(AC82)&lt;0.6),1,IF(AND(AF82&gt;=2,N(X82)&gt;=2),3,2))))</f>
      </c>
    </row>
    <row r="83" ht="15" customHeight="1" spans="1:33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6">
        <f>IF($A83="","",$A83&amp;"|"&amp;$C83)</f>
      </c>
      <c r="AA83" s="26">
        <f>IF($A83="","",IF(OR(H83="לא נבדק",H83=""),"לא נבדק",IF(AND(H83="בחר/ה בעצמו/ה",I83="כן",J83="לא"),"מלא",IF(OR(H83="בחר/ה בעצמו/ה",I83="כן"),"חלקי","עדיין לא"))))</f>
      </c>
      <c r="AB83" s="26">
        <f>IF($A83="","",COUNTIF(K83:O83,"כן"))</f>
      </c>
      <c r="AC83" s="27">
        <f>IF($A83="","",IFERROR(SUMPRODUCT((K83:O83="כן")*(P83:T83="כן")+(K83:O83="לא")*(P83:T83="לא")+0.5*(P83:T83="חלקית")*((K83:O83="כן")+(K83:O83="לא")))/SUMPRODUCT(((K83:O83="כן")+(K83:O83="לא"))*(P83:T83&lt;&gt;"")),""))</f>
      </c>
      <c r="AD83" s="26">
        <f>IF($A83="","",SUMPRODUCT((K83:O83="כן")*(P83:T83="לא")))</f>
      </c>
      <c r="AE83" s="26">
        <f>IF($A83="","",SUMPRODUCT((K83:O83="לא")*(P83:T83="כן")))</f>
      </c>
      <c r="AF83" s="26">
        <f>IF($A83="","",COUNTIF(U83:W83,"כן"))</f>
      </c>
      <c r="AG83" s="26">
        <f>IF($A83="","",IF(AA83&lt;&gt;"מלא",0,IF(OR(AC83="",N(AC83)&lt;0.6),1,IF(AND(AF83&gt;=2,N(X83)&gt;=2),3,2))))</f>
      </c>
    </row>
    <row r="84" ht="15" customHeight="1" spans="1:33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6">
        <f>IF($A84="","",$A84&amp;"|"&amp;$C84)</f>
      </c>
      <c r="AA84" s="26">
        <f>IF($A84="","",IF(OR(H84="לא נבדק",H84=""),"לא נבדק",IF(AND(H84="בחר/ה בעצמו/ה",I84="כן",J84="לא"),"מלא",IF(OR(H84="בחר/ה בעצמו/ה",I84="כן"),"חלקי","עדיין לא"))))</f>
      </c>
      <c r="AB84" s="26">
        <f>IF($A84="","",COUNTIF(K84:O84,"כן"))</f>
      </c>
      <c r="AC84" s="27">
        <f>IF($A84="","",IFERROR(SUMPRODUCT((K84:O84="כן")*(P84:T84="כן")+(K84:O84="לא")*(P84:T84="לא")+0.5*(P84:T84="חלקית")*((K84:O84="כן")+(K84:O84="לא")))/SUMPRODUCT(((K84:O84="כן")+(K84:O84="לא"))*(P84:T84&lt;&gt;"")),""))</f>
      </c>
      <c r="AD84" s="26">
        <f>IF($A84="","",SUMPRODUCT((K84:O84="כן")*(P84:T84="לא")))</f>
      </c>
      <c r="AE84" s="26">
        <f>IF($A84="","",SUMPRODUCT((K84:O84="לא")*(P84:T84="כן")))</f>
      </c>
      <c r="AF84" s="26">
        <f>IF($A84="","",COUNTIF(U84:W84,"כן"))</f>
      </c>
      <c r="AG84" s="26">
        <f>IF($A84="","",IF(AA84&lt;&gt;"מלא",0,IF(OR(AC84="",N(AC84)&lt;0.6),1,IF(AND(AF84&gt;=2,N(X84)&gt;=2),3,2))))</f>
      </c>
    </row>
    <row r="85" ht="15" customHeight="1" spans="1:33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6">
        <f>IF($A85="","",$A85&amp;"|"&amp;$C85)</f>
      </c>
      <c r="AA85" s="26">
        <f>IF($A85="","",IF(OR(H85="לא נבדק",H85=""),"לא נבדק",IF(AND(H85="בחר/ה בעצמו/ה",I85="כן",J85="לא"),"מלא",IF(OR(H85="בחר/ה בעצמו/ה",I85="כן"),"חלקי","עדיין לא"))))</f>
      </c>
      <c r="AB85" s="26">
        <f>IF($A85="","",COUNTIF(K85:O85,"כן"))</f>
      </c>
      <c r="AC85" s="27">
        <f>IF($A85="","",IFERROR(SUMPRODUCT((K85:O85="כן")*(P85:T85="כן")+(K85:O85="לא")*(P85:T85="לא")+0.5*(P85:T85="חלקית")*((K85:O85="כן")+(K85:O85="לא")))/SUMPRODUCT(((K85:O85="כן")+(K85:O85="לא"))*(P85:T85&lt;&gt;"")),""))</f>
      </c>
      <c r="AD85" s="26">
        <f>IF($A85="","",SUMPRODUCT((K85:O85="כן")*(P85:T85="לא")))</f>
      </c>
      <c r="AE85" s="26">
        <f>IF($A85="","",SUMPRODUCT((K85:O85="לא")*(P85:T85="כן")))</f>
      </c>
      <c r="AF85" s="26">
        <f>IF($A85="","",COUNTIF(U85:W85,"כן"))</f>
      </c>
      <c r="AG85" s="26">
        <f>IF($A85="","",IF(AA85&lt;&gt;"מלא",0,IF(OR(AC85="",N(AC85)&lt;0.6),1,IF(AND(AF85&gt;=2,N(X85)&gt;=2),3,2))))</f>
      </c>
    </row>
    <row r="86" ht="15" customHeight="1" spans="1:33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6">
        <f>IF($A86="","",$A86&amp;"|"&amp;$C86)</f>
      </c>
      <c r="AA86" s="26">
        <f>IF($A86="","",IF(OR(H86="לא נבדק",H86=""),"לא נבדק",IF(AND(H86="בחר/ה בעצמו/ה",I86="כן",J86="לא"),"מלא",IF(OR(H86="בחר/ה בעצמו/ה",I86="כן"),"חלקי","עדיין לא"))))</f>
      </c>
      <c r="AB86" s="26">
        <f>IF($A86="","",COUNTIF(K86:O86,"כן"))</f>
      </c>
      <c r="AC86" s="27">
        <f>IF($A86="","",IFERROR(SUMPRODUCT((K86:O86="כן")*(P86:T86="כן")+(K86:O86="לא")*(P86:T86="לא")+0.5*(P86:T86="חלקית")*((K86:O86="כן")+(K86:O86="לא")))/SUMPRODUCT(((K86:O86="כן")+(K86:O86="לא"))*(P86:T86&lt;&gt;"")),""))</f>
      </c>
      <c r="AD86" s="26">
        <f>IF($A86="","",SUMPRODUCT((K86:O86="כן")*(P86:T86="לא")))</f>
      </c>
      <c r="AE86" s="26">
        <f>IF($A86="","",SUMPRODUCT((K86:O86="לא")*(P86:T86="כן")))</f>
      </c>
      <c r="AF86" s="26">
        <f>IF($A86="","",COUNTIF(U86:W86,"כן"))</f>
      </c>
      <c r="AG86" s="26">
        <f>IF($A86="","",IF(AA86&lt;&gt;"מלא",0,IF(OR(AC86="",N(AC86)&lt;0.6),1,IF(AND(AF86&gt;=2,N(X86)&gt;=2),3,2))))</f>
      </c>
    </row>
    <row r="87" ht="15" customHeight="1" spans="1:33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6">
        <f>IF($A87="","",$A87&amp;"|"&amp;$C87)</f>
      </c>
      <c r="AA87" s="26">
        <f>IF($A87="","",IF(OR(H87="לא נבדק",H87=""),"לא נבדק",IF(AND(H87="בחר/ה בעצמו/ה",I87="כן",J87="לא"),"מלא",IF(OR(H87="בחר/ה בעצמו/ה",I87="כן"),"חלקי","עדיין לא"))))</f>
      </c>
      <c r="AB87" s="26">
        <f>IF($A87="","",COUNTIF(K87:O87,"כן"))</f>
      </c>
      <c r="AC87" s="27">
        <f>IF($A87="","",IFERROR(SUMPRODUCT((K87:O87="כן")*(P87:T87="כן")+(K87:O87="לא")*(P87:T87="לא")+0.5*(P87:T87="חלקית")*((K87:O87="כן")+(K87:O87="לא")))/SUMPRODUCT(((K87:O87="כן")+(K87:O87="לא"))*(P87:T87&lt;&gt;"")),""))</f>
      </c>
      <c r="AD87" s="26">
        <f>IF($A87="","",SUMPRODUCT((K87:O87="כן")*(P87:T87="לא")))</f>
      </c>
      <c r="AE87" s="26">
        <f>IF($A87="","",SUMPRODUCT((K87:O87="לא")*(P87:T87="כן")))</f>
      </c>
      <c r="AF87" s="26">
        <f>IF($A87="","",COUNTIF(U87:W87,"כן"))</f>
      </c>
      <c r="AG87" s="26">
        <f>IF($A87="","",IF(AA87&lt;&gt;"מלא",0,IF(OR(AC87="",N(AC87)&lt;0.6),1,IF(AND(AF87&gt;=2,N(X87)&gt;=2),3,2))))</f>
      </c>
    </row>
    <row r="88" ht="15" customHeight="1" spans="1:33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6">
        <f>IF($A88="","",$A88&amp;"|"&amp;$C88)</f>
      </c>
      <c r="AA88" s="26">
        <f>IF($A88="","",IF(OR(H88="לא נבדק",H88=""),"לא נבדק",IF(AND(H88="בחר/ה בעצמו/ה",I88="כן",J88="לא"),"מלא",IF(OR(H88="בחר/ה בעצמו/ה",I88="כן"),"חלקי","עדיין לא"))))</f>
      </c>
      <c r="AB88" s="26">
        <f>IF($A88="","",COUNTIF(K88:O88,"כן"))</f>
      </c>
      <c r="AC88" s="27">
        <f>IF($A88="","",IFERROR(SUMPRODUCT((K88:O88="כן")*(P88:T88="כן")+(K88:O88="לא")*(P88:T88="לא")+0.5*(P88:T88="חלקית")*((K88:O88="כן")+(K88:O88="לא")))/SUMPRODUCT(((K88:O88="כן")+(K88:O88="לא"))*(P88:T88&lt;&gt;"")),""))</f>
      </c>
      <c r="AD88" s="26">
        <f>IF($A88="","",SUMPRODUCT((K88:O88="כן")*(P88:T88="לא")))</f>
      </c>
      <c r="AE88" s="26">
        <f>IF($A88="","",SUMPRODUCT((K88:O88="לא")*(P88:T88="כן")))</f>
      </c>
      <c r="AF88" s="26">
        <f>IF($A88="","",COUNTIF(U88:W88,"כן"))</f>
      </c>
      <c r="AG88" s="26">
        <f>IF($A88="","",IF(AA88&lt;&gt;"מלא",0,IF(OR(AC88="",N(AC88)&lt;0.6),1,IF(AND(AF88&gt;=2,N(X88)&gt;=2),3,2))))</f>
      </c>
    </row>
    <row r="89" ht="15" customHeight="1" spans="1:33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6">
        <f>IF($A89="","",$A89&amp;"|"&amp;$C89)</f>
      </c>
      <c r="AA89" s="26">
        <f>IF($A89="","",IF(OR(H89="לא נבדק",H89=""),"לא נבדק",IF(AND(H89="בחר/ה בעצמו/ה",I89="כן",J89="לא"),"מלא",IF(OR(H89="בחר/ה בעצמו/ה",I89="כן"),"חלקי","עדיין לא"))))</f>
      </c>
      <c r="AB89" s="26">
        <f>IF($A89="","",COUNTIF(K89:O89,"כן"))</f>
      </c>
      <c r="AC89" s="27">
        <f>IF($A89="","",IFERROR(SUMPRODUCT((K89:O89="כן")*(P89:T89="כן")+(K89:O89="לא")*(P89:T89="לא")+0.5*(P89:T89="חלקית")*((K89:O89="כן")+(K89:O89="לא")))/SUMPRODUCT(((K89:O89="כן")+(K89:O89="לא"))*(P89:T89&lt;&gt;"")),""))</f>
      </c>
      <c r="AD89" s="26">
        <f>IF($A89="","",SUMPRODUCT((K89:O89="כן")*(P89:T89="לא")))</f>
      </c>
      <c r="AE89" s="26">
        <f>IF($A89="","",SUMPRODUCT((K89:O89="לא")*(P89:T89="כן")))</f>
      </c>
      <c r="AF89" s="26">
        <f>IF($A89="","",COUNTIF(U89:W89,"כן"))</f>
      </c>
      <c r="AG89" s="26">
        <f>IF($A89="","",IF(AA89&lt;&gt;"מלא",0,IF(OR(AC89="",N(AC89)&lt;0.6),1,IF(AND(AF89&gt;=2,N(X89)&gt;=2),3,2))))</f>
      </c>
    </row>
    <row r="90" ht="15" customHeight="1" spans="1:33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6">
        <f>IF($A90="","",$A90&amp;"|"&amp;$C90)</f>
      </c>
      <c r="AA90" s="26">
        <f>IF($A90="","",IF(OR(H90="לא נבדק",H90=""),"לא נבדק",IF(AND(H90="בחר/ה בעצמו/ה",I90="כן",J90="לא"),"מלא",IF(OR(H90="בחר/ה בעצמו/ה",I90="כן"),"חלקי","עדיין לא"))))</f>
      </c>
      <c r="AB90" s="26">
        <f>IF($A90="","",COUNTIF(K90:O90,"כן"))</f>
      </c>
      <c r="AC90" s="27">
        <f>IF($A90="","",IFERROR(SUMPRODUCT((K90:O90="כן")*(P90:T90="כן")+(K90:O90="לא")*(P90:T90="לא")+0.5*(P90:T90="חלקית")*((K90:O90="כן")+(K90:O90="לא")))/SUMPRODUCT(((K90:O90="כן")+(K90:O90="לא"))*(P90:T90&lt;&gt;"")),""))</f>
      </c>
      <c r="AD90" s="26">
        <f>IF($A90="","",SUMPRODUCT((K90:O90="כן")*(P90:T90="לא")))</f>
      </c>
      <c r="AE90" s="26">
        <f>IF($A90="","",SUMPRODUCT((K90:O90="לא")*(P90:T90="כן")))</f>
      </c>
      <c r="AF90" s="26">
        <f>IF($A90="","",COUNTIF(U90:W90,"כן"))</f>
      </c>
      <c r="AG90" s="26">
        <f>IF($A90="","",IF(AA90&lt;&gt;"מלא",0,IF(OR(AC90="",N(AC90)&lt;0.6),1,IF(AND(AF90&gt;=2,N(X90)&gt;=2),3,2))))</f>
      </c>
    </row>
    <row r="91" ht="15" customHeight="1" spans="1:33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6">
        <f>IF($A91="","",$A91&amp;"|"&amp;$C91)</f>
      </c>
      <c r="AA91" s="26">
        <f>IF($A91="","",IF(OR(H91="לא נבדק",H91=""),"לא נבדק",IF(AND(H91="בחר/ה בעצמו/ה",I91="כן",J91="לא"),"מלא",IF(OR(H91="בחר/ה בעצמו/ה",I91="כן"),"חלקי","עדיין לא"))))</f>
      </c>
      <c r="AB91" s="26">
        <f>IF($A91="","",COUNTIF(K91:O91,"כן"))</f>
      </c>
      <c r="AC91" s="27">
        <f>IF($A91="","",IFERROR(SUMPRODUCT((K91:O91="כן")*(P91:T91="כן")+(K91:O91="לא")*(P91:T91="לא")+0.5*(P91:T91="חלקית")*((K91:O91="כן")+(K91:O91="לא")))/SUMPRODUCT(((K91:O91="כן")+(K91:O91="לא"))*(P91:T91&lt;&gt;"")),""))</f>
      </c>
      <c r="AD91" s="26">
        <f>IF($A91="","",SUMPRODUCT((K91:O91="כן")*(P91:T91="לא")))</f>
      </c>
      <c r="AE91" s="26">
        <f>IF($A91="","",SUMPRODUCT((K91:O91="לא")*(P91:T91="כן")))</f>
      </c>
      <c r="AF91" s="26">
        <f>IF($A91="","",COUNTIF(U91:W91,"כן"))</f>
      </c>
      <c r="AG91" s="26">
        <f>IF($A91="","",IF(AA91&lt;&gt;"מלא",0,IF(OR(AC91="",N(AC91)&lt;0.6),1,IF(AND(AF91&gt;=2,N(X91)&gt;=2),3,2))))</f>
      </c>
    </row>
    <row r="92" ht="15" customHeight="1" spans="1:33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6">
        <f>IF($A92="","",$A92&amp;"|"&amp;$C92)</f>
      </c>
      <c r="AA92" s="26">
        <f>IF($A92="","",IF(OR(H92="לא נבדק",H92=""),"לא נבדק",IF(AND(H92="בחר/ה בעצמו/ה",I92="כן",J92="לא"),"מלא",IF(OR(H92="בחר/ה בעצמו/ה",I92="כן"),"חלקי","עדיין לא"))))</f>
      </c>
      <c r="AB92" s="26">
        <f>IF($A92="","",COUNTIF(K92:O92,"כן"))</f>
      </c>
      <c r="AC92" s="27">
        <f>IF($A92="","",IFERROR(SUMPRODUCT((K92:O92="כן")*(P92:T92="כן")+(K92:O92="לא")*(P92:T92="לא")+0.5*(P92:T92="חלקית")*((K92:O92="כן")+(K92:O92="לא")))/SUMPRODUCT(((K92:O92="כן")+(K92:O92="לא"))*(P92:T92&lt;&gt;"")),""))</f>
      </c>
      <c r="AD92" s="26">
        <f>IF($A92="","",SUMPRODUCT((K92:O92="כן")*(P92:T92="לא")))</f>
      </c>
      <c r="AE92" s="26">
        <f>IF($A92="","",SUMPRODUCT((K92:O92="לא")*(P92:T92="כן")))</f>
      </c>
      <c r="AF92" s="26">
        <f>IF($A92="","",COUNTIF(U92:W92,"כן"))</f>
      </c>
      <c r="AG92" s="26">
        <f>IF($A92="","",IF(AA92&lt;&gt;"מלא",0,IF(OR(AC92="",N(AC92)&lt;0.6),1,IF(AND(AF92&gt;=2,N(X92)&gt;=2),3,2))))</f>
      </c>
    </row>
    <row r="93" ht="15" customHeight="1" spans="1:33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6">
        <f>IF($A93="","",$A93&amp;"|"&amp;$C93)</f>
      </c>
      <c r="AA93" s="26">
        <f>IF($A93="","",IF(OR(H93="לא נבדק",H93=""),"לא נבדק",IF(AND(H93="בחר/ה בעצמו/ה",I93="כן",J93="לא"),"מלא",IF(OR(H93="בחר/ה בעצמו/ה",I93="כן"),"חלקי","עדיין לא"))))</f>
      </c>
      <c r="AB93" s="26">
        <f>IF($A93="","",COUNTIF(K93:O93,"כן"))</f>
      </c>
      <c r="AC93" s="27">
        <f>IF($A93="","",IFERROR(SUMPRODUCT((K93:O93="כן")*(P93:T93="כן")+(K93:O93="לא")*(P93:T93="לא")+0.5*(P93:T93="חלקית")*((K93:O93="כן")+(K93:O93="לא")))/SUMPRODUCT(((K93:O93="כן")+(K93:O93="לא"))*(P93:T93&lt;&gt;"")),""))</f>
      </c>
      <c r="AD93" s="26">
        <f>IF($A93="","",SUMPRODUCT((K93:O93="כן")*(P93:T93="לא")))</f>
      </c>
      <c r="AE93" s="26">
        <f>IF($A93="","",SUMPRODUCT((K93:O93="לא")*(P93:T93="כן")))</f>
      </c>
      <c r="AF93" s="26">
        <f>IF($A93="","",COUNTIF(U93:W93,"כן"))</f>
      </c>
      <c r="AG93" s="26">
        <f>IF($A93="","",IF(AA93&lt;&gt;"מלא",0,IF(OR(AC93="",N(AC93)&lt;0.6),1,IF(AND(AF93&gt;=2,N(X93)&gt;=2),3,2))))</f>
      </c>
    </row>
    <row r="94" ht="15" customHeight="1" spans="1:33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6">
        <f>IF($A94="","",$A94&amp;"|"&amp;$C94)</f>
      </c>
      <c r="AA94" s="26">
        <f>IF($A94="","",IF(OR(H94="לא נבדק",H94=""),"לא נבדק",IF(AND(H94="בחר/ה בעצמו/ה",I94="כן",J94="לא"),"מלא",IF(OR(H94="בחר/ה בעצמו/ה",I94="כן"),"חלקי","עדיין לא"))))</f>
      </c>
      <c r="AB94" s="26">
        <f>IF($A94="","",COUNTIF(K94:O94,"כן"))</f>
      </c>
      <c r="AC94" s="27">
        <f>IF($A94="","",IFERROR(SUMPRODUCT((K94:O94="כן")*(P94:T94="כן")+(K94:O94="לא")*(P94:T94="לא")+0.5*(P94:T94="חלקית")*((K94:O94="כן")+(K94:O94="לא")))/SUMPRODUCT(((K94:O94="כן")+(K94:O94="לא"))*(P94:T94&lt;&gt;"")),""))</f>
      </c>
      <c r="AD94" s="26">
        <f>IF($A94="","",SUMPRODUCT((K94:O94="כן")*(P94:T94="לא")))</f>
      </c>
      <c r="AE94" s="26">
        <f>IF($A94="","",SUMPRODUCT((K94:O94="לא")*(P94:T94="כן")))</f>
      </c>
      <c r="AF94" s="26">
        <f>IF($A94="","",COUNTIF(U94:W94,"כן"))</f>
      </c>
      <c r="AG94" s="26">
        <f>IF($A94="","",IF(AA94&lt;&gt;"מלא",0,IF(OR(AC94="",N(AC94)&lt;0.6),1,IF(AND(AF94&gt;=2,N(X94)&gt;=2),3,2))))</f>
      </c>
    </row>
    <row r="95" ht="15" customHeight="1" spans="1:33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6">
        <f>IF($A95="","",$A95&amp;"|"&amp;$C95)</f>
      </c>
      <c r="AA95" s="26">
        <f>IF($A95="","",IF(OR(H95="לא נבדק",H95=""),"לא נבדק",IF(AND(H95="בחר/ה בעצמו/ה",I95="כן",J95="לא"),"מלא",IF(OR(H95="בחר/ה בעצמו/ה",I95="כן"),"חלקי","עדיין לא"))))</f>
      </c>
      <c r="AB95" s="26">
        <f>IF($A95="","",COUNTIF(K95:O95,"כן"))</f>
      </c>
      <c r="AC95" s="27">
        <f>IF($A95="","",IFERROR(SUMPRODUCT((K95:O95="כן")*(P95:T95="כן")+(K95:O95="לא")*(P95:T95="לא")+0.5*(P95:T95="חלקית")*((K95:O95="כן")+(K95:O95="לא")))/SUMPRODUCT(((K95:O95="כן")+(K95:O95="לא"))*(P95:T95&lt;&gt;"")),""))</f>
      </c>
      <c r="AD95" s="26">
        <f>IF($A95="","",SUMPRODUCT((K95:O95="כן")*(P95:T95="לא")))</f>
      </c>
      <c r="AE95" s="26">
        <f>IF($A95="","",SUMPRODUCT((K95:O95="לא")*(P95:T95="כן")))</f>
      </c>
      <c r="AF95" s="26">
        <f>IF($A95="","",COUNTIF(U95:W95,"כן"))</f>
      </c>
      <c r="AG95" s="26">
        <f>IF($A95="","",IF(AA95&lt;&gt;"מלא",0,IF(OR(AC95="",N(AC95)&lt;0.6),1,IF(AND(AF95&gt;=2,N(X95)&gt;=2),3,2))))</f>
      </c>
    </row>
    <row r="96" ht="15" customHeight="1" spans="1:33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6">
        <f>IF($A96="","",$A96&amp;"|"&amp;$C96)</f>
      </c>
      <c r="AA96" s="26">
        <f>IF($A96="","",IF(OR(H96="לא נבדק",H96=""),"לא נבדק",IF(AND(H96="בחר/ה בעצמו/ה",I96="כן",J96="לא"),"מלא",IF(OR(H96="בחר/ה בעצמו/ה",I96="כן"),"חלקי","עדיין לא"))))</f>
      </c>
      <c r="AB96" s="26">
        <f>IF($A96="","",COUNTIF(K96:O96,"כן"))</f>
      </c>
      <c r="AC96" s="27">
        <f>IF($A96="","",IFERROR(SUMPRODUCT((K96:O96="כן")*(P96:T96="כן")+(K96:O96="לא")*(P96:T96="לא")+0.5*(P96:T96="חלקית")*((K96:O96="כן")+(K96:O96="לא")))/SUMPRODUCT(((K96:O96="כן")+(K96:O96="לא"))*(P96:T96&lt;&gt;"")),""))</f>
      </c>
      <c r="AD96" s="26">
        <f>IF($A96="","",SUMPRODUCT((K96:O96="כן")*(P96:T96="לא")))</f>
      </c>
      <c r="AE96" s="26">
        <f>IF($A96="","",SUMPRODUCT((K96:O96="לא")*(P96:T96="כן")))</f>
      </c>
      <c r="AF96" s="26">
        <f>IF($A96="","",COUNTIF(U96:W96,"כן"))</f>
      </c>
      <c r="AG96" s="26">
        <f>IF($A96="","",IF(AA96&lt;&gt;"מלא",0,IF(OR(AC96="",N(AC96)&lt;0.6),1,IF(AND(AF96&gt;=2,N(X96)&gt;=2),3,2))))</f>
      </c>
    </row>
    <row r="97" ht="15" customHeight="1" spans="1:33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6">
        <f>IF($A97="","",$A97&amp;"|"&amp;$C97)</f>
      </c>
      <c r="AA97" s="26">
        <f>IF($A97="","",IF(OR(H97="לא נבדק",H97=""),"לא נבדק",IF(AND(H97="בחר/ה בעצמו/ה",I97="כן",J97="לא"),"מלא",IF(OR(H97="בחר/ה בעצמו/ה",I97="כן"),"חלקי","עדיין לא"))))</f>
      </c>
      <c r="AB97" s="26">
        <f>IF($A97="","",COUNTIF(K97:O97,"כן"))</f>
      </c>
      <c r="AC97" s="27">
        <f>IF($A97="","",IFERROR(SUMPRODUCT((K97:O97="כן")*(P97:T97="כן")+(K97:O97="לא")*(P97:T97="לא")+0.5*(P97:T97="חלקית")*((K97:O97="כן")+(K97:O97="לא")))/SUMPRODUCT(((K97:O97="כן")+(K97:O97="לא"))*(P97:T97&lt;&gt;"")),""))</f>
      </c>
      <c r="AD97" s="26">
        <f>IF($A97="","",SUMPRODUCT((K97:O97="כן")*(P97:T97="לא")))</f>
      </c>
      <c r="AE97" s="26">
        <f>IF($A97="","",SUMPRODUCT((K97:O97="לא")*(P97:T97="כן")))</f>
      </c>
      <c r="AF97" s="26">
        <f>IF($A97="","",COUNTIF(U97:W97,"כן"))</f>
      </c>
      <c r="AG97" s="26">
        <f>IF($A97="","",IF(AA97&lt;&gt;"מלא",0,IF(OR(AC97="",N(AC97)&lt;0.6),1,IF(AND(AF97&gt;=2,N(X97)&gt;=2),3,2))))</f>
      </c>
    </row>
    <row r="98" ht="15" customHeight="1" spans="1:33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6">
        <f>IF($A98="","",$A98&amp;"|"&amp;$C98)</f>
      </c>
      <c r="AA98" s="26">
        <f>IF($A98="","",IF(OR(H98="לא נבדק",H98=""),"לא נבדק",IF(AND(H98="בחר/ה בעצמו/ה",I98="כן",J98="לא"),"מלא",IF(OR(H98="בחר/ה בעצמו/ה",I98="כן"),"חלקי","עדיין לא"))))</f>
      </c>
      <c r="AB98" s="26">
        <f>IF($A98="","",COUNTIF(K98:O98,"כן"))</f>
      </c>
      <c r="AC98" s="27">
        <f>IF($A98="","",IFERROR(SUMPRODUCT((K98:O98="כן")*(P98:T98="כן")+(K98:O98="לא")*(P98:T98="לא")+0.5*(P98:T98="חלקית")*((K98:O98="כן")+(K98:O98="לא")))/SUMPRODUCT(((K98:O98="כן")+(K98:O98="לא"))*(P98:T98&lt;&gt;"")),""))</f>
      </c>
      <c r="AD98" s="26">
        <f>IF($A98="","",SUMPRODUCT((K98:O98="כן")*(P98:T98="לא")))</f>
      </c>
      <c r="AE98" s="26">
        <f>IF($A98="","",SUMPRODUCT((K98:O98="לא")*(P98:T98="כן")))</f>
      </c>
      <c r="AF98" s="26">
        <f>IF($A98="","",COUNTIF(U98:W98,"כן"))</f>
      </c>
      <c r="AG98" s="26">
        <f>IF($A98="","",IF(AA98&lt;&gt;"מלא",0,IF(OR(AC98="",N(AC98)&lt;0.6),1,IF(AND(AF98&gt;=2,N(X98)&gt;=2),3,2))))</f>
      </c>
    </row>
    <row r="99" ht="15" customHeight="1" spans="1:33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6">
        <f>IF($A99="","",$A99&amp;"|"&amp;$C99)</f>
      </c>
      <c r="AA99" s="26">
        <f>IF($A99="","",IF(OR(H99="לא נבדק",H99=""),"לא נבדק",IF(AND(H99="בחר/ה בעצמו/ה",I99="כן",J99="לא"),"מלא",IF(OR(H99="בחר/ה בעצמו/ה",I99="כן"),"חלקי","עדיין לא"))))</f>
      </c>
      <c r="AB99" s="26">
        <f>IF($A99="","",COUNTIF(K99:O99,"כן"))</f>
      </c>
      <c r="AC99" s="27">
        <f>IF($A99="","",IFERROR(SUMPRODUCT((K99:O99="כן")*(P99:T99="כן")+(K99:O99="לא")*(P99:T99="לא")+0.5*(P99:T99="חלקית")*((K99:O99="כן")+(K99:O99="לא")))/SUMPRODUCT(((K99:O99="כן")+(K99:O99="לא"))*(P99:T99&lt;&gt;"")),""))</f>
      </c>
      <c r="AD99" s="26">
        <f>IF($A99="","",SUMPRODUCT((K99:O99="כן")*(P99:T99="לא")))</f>
      </c>
      <c r="AE99" s="26">
        <f>IF($A99="","",SUMPRODUCT((K99:O99="לא")*(P99:T99="כן")))</f>
      </c>
      <c r="AF99" s="26">
        <f>IF($A99="","",COUNTIF(U99:W99,"כן"))</f>
      </c>
      <c r="AG99" s="26">
        <f>IF($A99="","",IF(AA99&lt;&gt;"מלא",0,IF(OR(AC99="",N(AC99)&lt;0.6),1,IF(AND(AF99&gt;=2,N(X99)&gt;=2),3,2))))</f>
      </c>
    </row>
    <row r="100" ht="15" customHeight="1" spans="1:33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6">
        <f>IF($A100="","",$A100&amp;"|"&amp;$C100)</f>
      </c>
      <c r="AA100" s="26">
        <f>IF($A100="","",IF(OR(H100="לא נבדק",H100=""),"לא נבדק",IF(AND(H100="בחר/ה בעצמו/ה",I100="כן",J100="לא"),"מלא",IF(OR(H100="בחר/ה בעצמו/ה",I100="כן"),"חלקי","עדיין לא"))))</f>
      </c>
      <c r="AB100" s="26">
        <f>IF($A100="","",COUNTIF(K100:O100,"כן"))</f>
      </c>
      <c r="AC100" s="27">
        <f>IF($A100="","",IFERROR(SUMPRODUCT((K100:O100="כן")*(P100:T100="כן")+(K100:O100="לא")*(P100:T100="לא")+0.5*(P100:T100="חלקית")*((K100:O100="כן")+(K100:O100="לא")))/SUMPRODUCT(((K100:O100="כן")+(K100:O100="לא"))*(P100:T100&lt;&gt;"")),""))</f>
      </c>
      <c r="AD100" s="26">
        <f>IF($A100="","",SUMPRODUCT((K100:O100="כן")*(P100:T100="לא")))</f>
      </c>
      <c r="AE100" s="26">
        <f>IF($A100="","",SUMPRODUCT((K100:O100="לא")*(P100:T100="כן")))</f>
      </c>
      <c r="AF100" s="26">
        <f>IF($A100="","",COUNTIF(U100:W100,"כן"))</f>
      </c>
      <c r="AG100" s="26">
        <f>IF($A100="","",IF(AA100&lt;&gt;"מלא",0,IF(OR(AC100="",N(AC100)&lt;0.6),1,IF(AND(AF100&gt;=2,N(X100)&gt;=2),3,2))))</f>
      </c>
    </row>
    <row r="101" ht="15" customHeight="1" spans="1:33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6">
        <f>IF($A101="","",$A101&amp;"|"&amp;$C101)</f>
      </c>
      <c r="AA101" s="26">
        <f>IF($A101="","",IF(OR(H101="לא נבדק",H101=""),"לא נבדק",IF(AND(H101="בחר/ה בעצמו/ה",I101="כן",J101="לא"),"מלא",IF(OR(H101="בחר/ה בעצמו/ה",I101="כן"),"חלקי","עדיין לא"))))</f>
      </c>
      <c r="AB101" s="26">
        <f>IF($A101="","",COUNTIF(K101:O101,"כן"))</f>
      </c>
      <c r="AC101" s="27">
        <f>IF($A101="","",IFERROR(SUMPRODUCT((K101:O101="כן")*(P101:T101="כן")+(K101:O101="לא")*(P101:T101="לא")+0.5*(P101:T101="חלקית")*((K101:O101="כן")+(K101:O101="לא")))/SUMPRODUCT(((K101:O101="כן")+(K101:O101="לא"))*(P101:T101&lt;&gt;"")),""))</f>
      </c>
      <c r="AD101" s="26">
        <f>IF($A101="","",SUMPRODUCT((K101:O101="כן")*(P101:T101="לא")))</f>
      </c>
      <c r="AE101" s="26">
        <f>IF($A101="","",SUMPRODUCT((K101:O101="לא")*(P101:T101="כן")))</f>
      </c>
      <c r="AF101" s="26">
        <f>IF($A101="","",COUNTIF(U101:W101,"כן"))</f>
      </c>
      <c r="AG101" s="26">
        <f>IF($A101="","",IF(AA101&lt;&gt;"מלא",0,IF(OR(AC101="",N(AC101)&lt;0.6),1,IF(AND(AF101&gt;=2,N(X101)&gt;=2),3,2))))</f>
      </c>
    </row>
    <row r="102" ht="15" customHeight="1" spans="1:33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6">
        <f>IF($A102="","",$A102&amp;"|"&amp;$C102)</f>
      </c>
      <c r="AA102" s="26">
        <f>IF($A102="","",IF(OR(H102="לא נבדק",H102=""),"לא נבדק",IF(AND(H102="בחר/ה בעצמו/ה",I102="כן",J102="לא"),"מלא",IF(OR(H102="בחר/ה בעצמו/ה",I102="כן"),"חלקי","עדיין לא"))))</f>
      </c>
      <c r="AB102" s="26">
        <f>IF($A102="","",COUNTIF(K102:O102,"כן"))</f>
      </c>
      <c r="AC102" s="27">
        <f>IF($A102="","",IFERROR(SUMPRODUCT((K102:O102="כן")*(P102:T102="כן")+(K102:O102="לא")*(P102:T102="לא")+0.5*(P102:T102="חלקית")*((K102:O102="כן")+(K102:O102="לא")))/SUMPRODUCT(((K102:O102="כן")+(K102:O102="לא"))*(P102:T102&lt;&gt;"")),""))</f>
      </c>
      <c r="AD102" s="26">
        <f>IF($A102="","",SUMPRODUCT((K102:O102="כן")*(P102:T102="לא")))</f>
      </c>
      <c r="AE102" s="26">
        <f>IF($A102="","",SUMPRODUCT((K102:O102="לא")*(P102:T102="כן")))</f>
      </c>
      <c r="AF102" s="26">
        <f>IF($A102="","",COUNTIF(U102:W102,"כן"))</f>
      </c>
      <c r="AG102" s="26">
        <f>IF($A102="","",IF(AA102&lt;&gt;"מלא",0,IF(OR(AC102="",N(AC102)&lt;0.6),1,IF(AND(AF102&gt;=2,N(X102)&gt;=2),3,2))))</f>
      </c>
    </row>
    <row r="103" ht="15" customHeight="1" spans="1:33" x14ac:dyDescent="0.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6">
        <f>IF($A103="","",$A103&amp;"|"&amp;$C103)</f>
      </c>
      <c r="AA103" s="26">
        <f>IF($A103="","",IF(OR(H103="לא נבדק",H103=""),"לא נבדק",IF(AND(H103="בחר/ה בעצמו/ה",I103="כן",J103="לא"),"מלא",IF(OR(H103="בחר/ה בעצמו/ה",I103="כן"),"חלקי","עדיין לא"))))</f>
      </c>
      <c r="AB103" s="26">
        <f>IF($A103="","",COUNTIF(K103:O103,"כן"))</f>
      </c>
      <c r="AC103" s="27">
        <f>IF($A103="","",IFERROR(SUMPRODUCT((K103:O103="כן")*(P103:T103="כן")+(K103:O103="לא")*(P103:T103="לא")+0.5*(P103:T103="חלקית")*((K103:O103="כן")+(K103:O103="לא")))/SUMPRODUCT(((K103:O103="כן")+(K103:O103="לא"))*(P103:T103&lt;&gt;"")),""))</f>
      </c>
      <c r="AD103" s="26">
        <f>IF($A103="","",SUMPRODUCT((K103:O103="כן")*(P103:T103="לא")))</f>
      </c>
      <c r="AE103" s="26">
        <f>IF($A103="","",SUMPRODUCT((K103:O103="לא")*(P103:T103="כן")))</f>
      </c>
      <c r="AF103" s="26">
        <f>IF($A103="","",COUNTIF(U103:W103,"כן"))</f>
      </c>
      <c r="AG103" s="26">
        <f>IF($A103="","",IF(AA103&lt;&gt;"מלא",0,IF(OR(AC103="",N(AC103)&lt;0.6),1,IF(AND(AF103&gt;=2,N(X103)&gt;=2),3,2))))</f>
      </c>
    </row>
    <row r="104" ht="15" customHeight="1" spans="1:33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6">
        <f>IF($A104="","",$A104&amp;"|"&amp;$C104)</f>
      </c>
      <c r="AA104" s="26">
        <f>IF($A104="","",IF(OR(H104="לא נבדק",H104=""),"לא נבדק",IF(AND(H104="בחר/ה בעצמו/ה",I104="כן",J104="לא"),"מלא",IF(OR(H104="בחר/ה בעצמו/ה",I104="כן"),"חלקי","עדיין לא"))))</f>
      </c>
      <c r="AB104" s="26">
        <f>IF($A104="","",COUNTIF(K104:O104,"כן"))</f>
      </c>
      <c r="AC104" s="27">
        <f>IF($A104="","",IFERROR(SUMPRODUCT((K104:O104="כן")*(P104:T104="כן")+(K104:O104="לא")*(P104:T104="לא")+0.5*(P104:T104="חלקית")*((K104:O104="כן")+(K104:O104="לא")))/SUMPRODUCT(((K104:O104="כן")+(K104:O104="לא"))*(P104:T104&lt;&gt;"")),""))</f>
      </c>
      <c r="AD104" s="26">
        <f>IF($A104="","",SUMPRODUCT((K104:O104="כן")*(P104:T104="לא")))</f>
      </c>
      <c r="AE104" s="26">
        <f>IF($A104="","",SUMPRODUCT((K104:O104="לא")*(P104:T104="כן")))</f>
      </c>
      <c r="AF104" s="26">
        <f>IF($A104="","",COUNTIF(U104:W104,"כן"))</f>
      </c>
      <c r="AG104" s="26">
        <f>IF($A104="","",IF(AA104&lt;&gt;"מלא",0,IF(OR(AC104="",N(AC104)&lt;0.6),1,IF(AND(AF104&gt;=2,N(X104)&gt;=2),3,2))))</f>
      </c>
    </row>
    <row r="105" ht="15" customHeight="1" spans="1:33" x14ac:dyDescent="0.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6">
        <f>IF($A105="","",$A105&amp;"|"&amp;$C105)</f>
      </c>
      <c r="AA105" s="26">
        <f>IF($A105="","",IF(OR(H105="לא נבדק",H105=""),"לא נבדק",IF(AND(H105="בחר/ה בעצמו/ה",I105="כן",J105="לא"),"מלא",IF(OR(H105="בחר/ה בעצמו/ה",I105="כן"),"חלקי","עדיין לא"))))</f>
      </c>
      <c r="AB105" s="26">
        <f>IF($A105="","",COUNTIF(K105:O105,"כן"))</f>
      </c>
      <c r="AC105" s="27">
        <f>IF($A105="","",IFERROR(SUMPRODUCT((K105:O105="כן")*(P105:T105="כן")+(K105:O105="לא")*(P105:T105="לא")+0.5*(P105:T105="חלקית")*((K105:O105="כן")+(K105:O105="לא")))/SUMPRODUCT(((K105:O105="כן")+(K105:O105="לא"))*(P105:T105&lt;&gt;"")),""))</f>
      </c>
      <c r="AD105" s="26">
        <f>IF($A105="","",SUMPRODUCT((K105:O105="כן")*(P105:T105="לא")))</f>
      </c>
      <c r="AE105" s="26">
        <f>IF($A105="","",SUMPRODUCT((K105:O105="לא")*(P105:T105="כן")))</f>
      </c>
      <c r="AF105" s="26">
        <f>IF($A105="","",COUNTIF(U105:W105,"כן"))</f>
      </c>
      <c r="AG105" s="26">
        <f>IF($A105="","",IF(AA105&lt;&gt;"מלא",0,IF(OR(AC105="",N(AC105)&lt;0.6),1,IF(AND(AF105&gt;=2,N(X105)&gt;=2),3,2))))</f>
      </c>
    </row>
    <row r="106" ht="15" customHeight="1" spans="1:33" x14ac:dyDescent="0.2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6">
        <f>IF($A106="","",$A106&amp;"|"&amp;$C106)</f>
      </c>
      <c r="AA106" s="26">
        <f>IF($A106="","",IF(OR(H106="לא נבדק",H106=""),"לא נבדק",IF(AND(H106="בחר/ה בעצמו/ה",I106="כן",J106="לא"),"מלא",IF(OR(H106="בחר/ה בעצמו/ה",I106="כן"),"חלקי","עדיין לא"))))</f>
      </c>
      <c r="AB106" s="26">
        <f>IF($A106="","",COUNTIF(K106:O106,"כן"))</f>
      </c>
      <c r="AC106" s="27">
        <f>IF($A106="","",IFERROR(SUMPRODUCT((K106:O106="כן")*(P106:T106="כן")+(K106:O106="לא")*(P106:T106="לא")+0.5*(P106:T106="חלקית")*((K106:O106="כן")+(K106:O106="לא")))/SUMPRODUCT(((K106:O106="כן")+(K106:O106="לא"))*(P106:T106&lt;&gt;"")),""))</f>
      </c>
      <c r="AD106" s="26">
        <f>IF($A106="","",SUMPRODUCT((K106:O106="כן")*(P106:T106="לא")))</f>
      </c>
      <c r="AE106" s="26">
        <f>IF($A106="","",SUMPRODUCT((K106:O106="לא")*(P106:T106="כן")))</f>
      </c>
      <c r="AF106" s="26">
        <f>IF($A106="","",COUNTIF(U106:W106,"כן"))</f>
      </c>
      <c r="AG106" s="26">
        <f>IF($A106="","",IF(AA106&lt;&gt;"מלא",0,IF(OR(AC106="",N(AC106)&lt;0.6),1,IF(AND(AF106&gt;=2,N(X106)&gt;=2),3,2))))</f>
      </c>
    </row>
    <row r="107" ht="15" customHeight="1" spans="1:33" x14ac:dyDescent="0.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6">
        <f>IF($A107="","",$A107&amp;"|"&amp;$C107)</f>
      </c>
      <c r="AA107" s="26">
        <f>IF($A107="","",IF(OR(H107="לא נבדק",H107=""),"לא נבדק",IF(AND(H107="בחר/ה בעצמו/ה",I107="כן",J107="לא"),"מלא",IF(OR(H107="בחר/ה בעצמו/ה",I107="כן"),"חלקי","עדיין לא"))))</f>
      </c>
      <c r="AB107" s="26">
        <f>IF($A107="","",COUNTIF(K107:O107,"כן"))</f>
      </c>
      <c r="AC107" s="27">
        <f>IF($A107="","",IFERROR(SUMPRODUCT((K107:O107="כן")*(P107:T107="כן")+(K107:O107="לא")*(P107:T107="לא")+0.5*(P107:T107="חלקית")*((K107:O107="כן")+(K107:O107="לא")))/SUMPRODUCT(((K107:O107="כן")+(K107:O107="לא"))*(P107:T107&lt;&gt;"")),""))</f>
      </c>
      <c r="AD107" s="26">
        <f>IF($A107="","",SUMPRODUCT((K107:O107="כן")*(P107:T107="לא")))</f>
      </c>
      <c r="AE107" s="26">
        <f>IF($A107="","",SUMPRODUCT((K107:O107="לא")*(P107:T107="כן")))</f>
      </c>
      <c r="AF107" s="26">
        <f>IF($A107="","",COUNTIF(U107:W107,"כן"))</f>
      </c>
      <c r="AG107" s="26">
        <f>IF($A107="","",IF(AA107&lt;&gt;"מלא",0,IF(OR(AC107="",N(AC107)&lt;0.6),1,IF(AND(AF107&gt;=2,N(X107)&gt;=2),3,2))))</f>
      </c>
    </row>
    <row r="108" ht="15" customHeight="1" spans="1:33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6">
        <f>IF($A108="","",$A108&amp;"|"&amp;$C108)</f>
      </c>
      <c r="AA108" s="26">
        <f>IF($A108="","",IF(OR(H108="לא נבדק",H108=""),"לא נבדק",IF(AND(H108="בחר/ה בעצמו/ה",I108="כן",J108="לא"),"מלא",IF(OR(H108="בחר/ה בעצמו/ה",I108="כן"),"חלקי","עדיין לא"))))</f>
      </c>
      <c r="AB108" s="26">
        <f>IF($A108="","",COUNTIF(K108:O108,"כן"))</f>
      </c>
      <c r="AC108" s="27">
        <f>IF($A108="","",IFERROR(SUMPRODUCT((K108:O108="כן")*(P108:T108="כן")+(K108:O108="לא")*(P108:T108="לא")+0.5*(P108:T108="חלקית")*((K108:O108="כן")+(K108:O108="לא")))/SUMPRODUCT(((K108:O108="כן")+(K108:O108="לא"))*(P108:T108&lt;&gt;"")),""))</f>
      </c>
      <c r="AD108" s="26">
        <f>IF($A108="","",SUMPRODUCT((K108:O108="כן")*(P108:T108="לא")))</f>
      </c>
      <c r="AE108" s="26">
        <f>IF($A108="","",SUMPRODUCT((K108:O108="לא")*(P108:T108="כן")))</f>
      </c>
      <c r="AF108" s="26">
        <f>IF($A108="","",COUNTIF(U108:W108,"כן"))</f>
      </c>
      <c r="AG108" s="26">
        <f>IF($A108="","",IF(AA108&lt;&gt;"מלא",0,IF(OR(AC108="",N(AC108)&lt;0.6),1,IF(AND(AF108&gt;=2,N(X108)&gt;=2),3,2))))</f>
      </c>
    </row>
    <row r="109" ht="15" customHeight="1" spans="1:33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6">
        <f>IF($A109="","",$A109&amp;"|"&amp;$C109)</f>
      </c>
      <c r="AA109" s="26">
        <f>IF($A109="","",IF(OR(H109="לא נבדק",H109=""),"לא נבדק",IF(AND(H109="בחר/ה בעצמו/ה",I109="כן",J109="לא"),"מלא",IF(OR(H109="בחר/ה בעצמו/ה",I109="כן"),"חלקי","עדיין לא"))))</f>
      </c>
      <c r="AB109" s="26">
        <f>IF($A109="","",COUNTIF(K109:O109,"כן"))</f>
      </c>
      <c r="AC109" s="27">
        <f>IF($A109="","",IFERROR(SUMPRODUCT((K109:O109="כן")*(P109:T109="כן")+(K109:O109="לא")*(P109:T109="לא")+0.5*(P109:T109="חלקית")*((K109:O109="כן")+(K109:O109="לא")))/SUMPRODUCT(((K109:O109="כן")+(K109:O109="לא"))*(P109:T109&lt;&gt;"")),""))</f>
      </c>
      <c r="AD109" s="26">
        <f>IF($A109="","",SUMPRODUCT((K109:O109="כן")*(P109:T109="לא")))</f>
      </c>
      <c r="AE109" s="26">
        <f>IF($A109="","",SUMPRODUCT((K109:O109="לא")*(P109:T109="כן")))</f>
      </c>
      <c r="AF109" s="26">
        <f>IF($A109="","",COUNTIF(U109:W109,"כן"))</f>
      </c>
      <c r="AG109" s="26">
        <f>IF($A109="","",IF(AA109&lt;&gt;"מלא",0,IF(OR(AC109="",N(AC109)&lt;0.6),1,IF(AND(AF109&gt;=2,N(X109)&gt;=2),3,2))))</f>
      </c>
    </row>
    <row r="110" ht="15" customHeight="1" spans="1:33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6">
        <f>IF($A110="","",$A110&amp;"|"&amp;$C110)</f>
      </c>
      <c r="AA110" s="26">
        <f>IF($A110="","",IF(OR(H110="לא נבדק",H110=""),"לא נבדק",IF(AND(H110="בחר/ה בעצמו/ה",I110="כן",J110="לא"),"מלא",IF(OR(H110="בחר/ה בעצמו/ה",I110="כן"),"חלקי","עדיין לא"))))</f>
      </c>
      <c r="AB110" s="26">
        <f>IF($A110="","",COUNTIF(K110:O110,"כן"))</f>
      </c>
      <c r="AC110" s="27">
        <f>IF($A110="","",IFERROR(SUMPRODUCT((K110:O110="כן")*(P110:T110="כן")+(K110:O110="לא")*(P110:T110="לא")+0.5*(P110:T110="חלקית")*((K110:O110="כן")+(K110:O110="לא")))/SUMPRODUCT(((K110:O110="כן")+(K110:O110="לא"))*(P110:T110&lt;&gt;"")),""))</f>
      </c>
      <c r="AD110" s="26">
        <f>IF($A110="","",SUMPRODUCT((K110:O110="כן")*(P110:T110="לא")))</f>
      </c>
      <c r="AE110" s="26">
        <f>IF($A110="","",SUMPRODUCT((K110:O110="לא")*(P110:T110="כן")))</f>
      </c>
      <c r="AF110" s="26">
        <f>IF($A110="","",COUNTIF(U110:W110,"כן"))</f>
      </c>
      <c r="AG110" s="26">
        <f>IF($A110="","",IF(AA110&lt;&gt;"מלא",0,IF(OR(AC110="",N(AC110)&lt;0.6),1,IF(AND(AF110&gt;=2,N(X110)&gt;=2),3,2))))</f>
      </c>
    </row>
    <row r="111" ht="15" customHeight="1" spans="1:33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6">
        <f>IF($A111="","",$A111&amp;"|"&amp;$C111)</f>
      </c>
      <c r="AA111" s="26">
        <f>IF($A111="","",IF(OR(H111="לא נבדק",H111=""),"לא נבדק",IF(AND(H111="בחר/ה בעצמו/ה",I111="כן",J111="לא"),"מלא",IF(OR(H111="בחר/ה בעצמו/ה",I111="כן"),"חלקי","עדיין לא"))))</f>
      </c>
      <c r="AB111" s="26">
        <f>IF($A111="","",COUNTIF(K111:O111,"כן"))</f>
      </c>
      <c r="AC111" s="27">
        <f>IF($A111="","",IFERROR(SUMPRODUCT((K111:O111="כן")*(P111:T111="כן")+(K111:O111="לא")*(P111:T111="לא")+0.5*(P111:T111="חלקית")*((K111:O111="כן")+(K111:O111="לא")))/SUMPRODUCT(((K111:O111="כן")+(K111:O111="לא"))*(P111:T111&lt;&gt;"")),""))</f>
      </c>
      <c r="AD111" s="26">
        <f>IF($A111="","",SUMPRODUCT((K111:O111="כן")*(P111:T111="לא")))</f>
      </c>
      <c r="AE111" s="26">
        <f>IF($A111="","",SUMPRODUCT((K111:O111="לא")*(P111:T111="כן")))</f>
      </c>
      <c r="AF111" s="26">
        <f>IF($A111="","",COUNTIF(U111:W111,"כן"))</f>
      </c>
      <c r="AG111" s="26">
        <f>IF($A111="","",IF(AA111&lt;&gt;"מלא",0,IF(OR(AC111="",N(AC111)&lt;0.6),1,IF(AND(AF111&gt;=2,N(X111)&gt;=2),3,2))))</f>
      </c>
    </row>
    <row r="112" ht="15" customHeight="1" spans="1:33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6">
        <f>IF($A112="","",$A112&amp;"|"&amp;$C112)</f>
      </c>
      <c r="AA112" s="26">
        <f>IF($A112="","",IF(OR(H112="לא נבדק",H112=""),"לא נבדק",IF(AND(H112="בחר/ה בעצמו/ה",I112="כן",J112="לא"),"מלא",IF(OR(H112="בחר/ה בעצמו/ה",I112="כן"),"חלקי","עדיין לא"))))</f>
      </c>
      <c r="AB112" s="26">
        <f>IF($A112="","",COUNTIF(K112:O112,"כן"))</f>
      </c>
      <c r="AC112" s="27">
        <f>IF($A112="","",IFERROR(SUMPRODUCT((K112:O112="כן")*(P112:T112="כן")+(K112:O112="לא")*(P112:T112="לא")+0.5*(P112:T112="חלקית")*((K112:O112="כן")+(K112:O112="לא")))/SUMPRODUCT(((K112:O112="כן")+(K112:O112="לא"))*(P112:T112&lt;&gt;"")),""))</f>
      </c>
      <c r="AD112" s="26">
        <f>IF($A112="","",SUMPRODUCT((K112:O112="כן")*(P112:T112="לא")))</f>
      </c>
      <c r="AE112" s="26">
        <f>IF($A112="","",SUMPRODUCT((K112:O112="לא")*(P112:T112="כן")))</f>
      </c>
      <c r="AF112" s="26">
        <f>IF($A112="","",COUNTIF(U112:W112,"כן"))</f>
      </c>
      <c r="AG112" s="26">
        <f>IF($A112="","",IF(AA112&lt;&gt;"מלא",0,IF(OR(AC112="",N(AC112)&lt;0.6),1,IF(AND(AF112&gt;=2,N(X112)&gt;=2),3,2))))</f>
      </c>
    </row>
    <row r="113" ht="15" customHeight="1" spans="1:33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6">
        <f>IF($A113="","",$A113&amp;"|"&amp;$C113)</f>
      </c>
      <c r="AA113" s="26">
        <f>IF($A113="","",IF(OR(H113="לא נבדק",H113=""),"לא נבדק",IF(AND(H113="בחר/ה בעצמו/ה",I113="כן",J113="לא"),"מלא",IF(OR(H113="בחר/ה בעצמו/ה",I113="כן"),"חלקי","עדיין לא"))))</f>
      </c>
      <c r="AB113" s="26">
        <f>IF($A113="","",COUNTIF(K113:O113,"כן"))</f>
      </c>
      <c r="AC113" s="27">
        <f>IF($A113="","",IFERROR(SUMPRODUCT((K113:O113="כן")*(P113:T113="כן")+(K113:O113="לא")*(P113:T113="לא")+0.5*(P113:T113="חלקית")*((K113:O113="כן")+(K113:O113="לא")))/SUMPRODUCT(((K113:O113="כן")+(K113:O113="לא"))*(P113:T113&lt;&gt;"")),""))</f>
      </c>
      <c r="AD113" s="26">
        <f>IF($A113="","",SUMPRODUCT((K113:O113="כן")*(P113:T113="לא")))</f>
      </c>
      <c r="AE113" s="26">
        <f>IF($A113="","",SUMPRODUCT((K113:O113="לא")*(P113:T113="כן")))</f>
      </c>
      <c r="AF113" s="26">
        <f>IF($A113="","",COUNTIF(U113:W113,"כן"))</f>
      </c>
      <c r="AG113" s="26">
        <f>IF($A113="","",IF(AA113&lt;&gt;"מלא",0,IF(OR(AC113="",N(AC113)&lt;0.6),1,IF(AND(AF113&gt;=2,N(X113)&gt;=2),3,2))))</f>
      </c>
    </row>
    <row r="114" ht="15" customHeight="1" spans="1:33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6">
        <f>IF($A114="","",$A114&amp;"|"&amp;$C114)</f>
      </c>
      <c r="AA114" s="26">
        <f>IF($A114="","",IF(OR(H114="לא נבדק",H114=""),"לא נבדק",IF(AND(H114="בחר/ה בעצמו/ה",I114="כן",J114="לא"),"מלא",IF(OR(H114="בחר/ה בעצמו/ה",I114="כן"),"חלקי","עדיין לא"))))</f>
      </c>
      <c r="AB114" s="26">
        <f>IF($A114="","",COUNTIF(K114:O114,"כן"))</f>
      </c>
      <c r="AC114" s="27">
        <f>IF($A114="","",IFERROR(SUMPRODUCT((K114:O114="כן")*(P114:T114="כן")+(K114:O114="לא")*(P114:T114="לא")+0.5*(P114:T114="חלקית")*((K114:O114="כן")+(K114:O114="לא")))/SUMPRODUCT(((K114:O114="כן")+(K114:O114="לא"))*(P114:T114&lt;&gt;"")),""))</f>
      </c>
      <c r="AD114" s="26">
        <f>IF($A114="","",SUMPRODUCT((K114:O114="כן")*(P114:T114="לא")))</f>
      </c>
      <c r="AE114" s="26">
        <f>IF($A114="","",SUMPRODUCT((K114:O114="לא")*(P114:T114="כן")))</f>
      </c>
      <c r="AF114" s="26">
        <f>IF($A114="","",COUNTIF(U114:W114,"כן"))</f>
      </c>
      <c r="AG114" s="26">
        <f>IF($A114="","",IF(AA114&lt;&gt;"מלא",0,IF(OR(AC114="",N(AC114)&lt;0.6),1,IF(AND(AF114&gt;=2,N(X114)&gt;=2),3,2))))</f>
      </c>
    </row>
    <row r="115" ht="15" customHeight="1" spans="1:33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6">
        <f>IF($A115="","",$A115&amp;"|"&amp;$C115)</f>
      </c>
      <c r="AA115" s="26">
        <f>IF($A115="","",IF(OR(H115="לא נבדק",H115=""),"לא נבדק",IF(AND(H115="בחר/ה בעצמו/ה",I115="כן",J115="לא"),"מלא",IF(OR(H115="בחר/ה בעצמו/ה",I115="כן"),"חלקי","עדיין לא"))))</f>
      </c>
      <c r="AB115" s="26">
        <f>IF($A115="","",COUNTIF(K115:O115,"כן"))</f>
      </c>
      <c r="AC115" s="27">
        <f>IF($A115="","",IFERROR(SUMPRODUCT((K115:O115="כן")*(P115:T115="כן")+(K115:O115="לא")*(P115:T115="לא")+0.5*(P115:T115="חלקית")*((K115:O115="כן")+(K115:O115="לא")))/SUMPRODUCT(((K115:O115="כן")+(K115:O115="לא"))*(P115:T115&lt;&gt;"")),""))</f>
      </c>
      <c r="AD115" s="26">
        <f>IF($A115="","",SUMPRODUCT((K115:O115="כן")*(P115:T115="לא")))</f>
      </c>
      <c r="AE115" s="26">
        <f>IF($A115="","",SUMPRODUCT((K115:O115="לא")*(P115:T115="כן")))</f>
      </c>
      <c r="AF115" s="26">
        <f>IF($A115="","",COUNTIF(U115:W115,"כן"))</f>
      </c>
      <c r="AG115" s="26">
        <f>IF($A115="","",IF(AA115&lt;&gt;"מלא",0,IF(OR(AC115="",N(AC115)&lt;0.6),1,IF(AND(AF115&gt;=2,N(X115)&gt;=2),3,2))))</f>
      </c>
    </row>
    <row r="116" ht="15" customHeight="1" spans="1:33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6">
        <f>IF($A116="","",$A116&amp;"|"&amp;$C116)</f>
      </c>
      <c r="AA116" s="26">
        <f>IF($A116="","",IF(OR(H116="לא נבדק",H116=""),"לא נבדק",IF(AND(H116="בחר/ה בעצמו/ה",I116="כן",J116="לא"),"מלא",IF(OR(H116="בחר/ה בעצמו/ה",I116="כן"),"חלקי","עדיין לא"))))</f>
      </c>
      <c r="AB116" s="26">
        <f>IF($A116="","",COUNTIF(K116:O116,"כן"))</f>
      </c>
      <c r="AC116" s="27">
        <f>IF($A116="","",IFERROR(SUMPRODUCT((K116:O116="כן")*(P116:T116="כן")+(K116:O116="לא")*(P116:T116="לא")+0.5*(P116:T116="חלקית")*((K116:O116="כן")+(K116:O116="לא")))/SUMPRODUCT(((K116:O116="כן")+(K116:O116="לא"))*(P116:T116&lt;&gt;"")),""))</f>
      </c>
      <c r="AD116" s="26">
        <f>IF($A116="","",SUMPRODUCT((K116:O116="כן")*(P116:T116="לא")))</f>
      </c>
      <c r="AE116" s="26">
        <f>IF($A116="","",SUMPRODUCT((K116:O116="לא")*(P116:T116="כן")))</f>
      </c>
      <c r="AF116" s="26">
        <f>IF($A116="","",COUNTIF(U116:W116,"כן"))</f>
      </c>
      <c r="AG116" s="26">
        <f>IF($A116="","",IF(AA116&lt;&gt;"מלא",0,IF(OR(AC116="",N(AC116)&lt;0.6),1,IF(AND(AF116&gt;=2,N(X116)&gt;=2),3,2))))</f>
      </c>
    </row>
    <row r="117" ht="15" customHeight="1" spans="1:33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6">
        <f>IF($A117="","",$A117&amp;"|"&amp;$C117)</f>
      </c>
      <c r="AA117" s="26">
        <f>IF($A117="","",IF(OR(H117="לא נבדק",H117=""),"לא נבדק",IF(AND(H117="בחר/ה בעצמו/ה",I117="כן",J117="לא"),"מלא",IF(OR(H117="בחר/ה בעצמו/ה",I117="כן"),"חלקי","עדיין לא"))))</f>
      </c>
      <c r="AB117" s="26">
        <f>IF($A117="","",COUNTIF(K117:O117,"כן"))</f>
      </c>
      <c r="AC117" s="27">
        <f>IF($A117="","",IFERROR(SUMPRODUCT((K117:O117="כן")*(P117:T117="כן")+(K117:O117="לא")*(P117:T117="לא")+0.5*(P117:T117="חלקית")*((K117:O117="כן")+(K117:O117="לא")))/SUMPRODUCT(((K117:O117="כן")+(K117:O117="לא"))*(P117:T117&lt;&gt;"")),""))</f>
      </c>
      <c r="AD117" s="26">
        <f>IF($A117="","",SUMPRODUCT((K117:O117="כן")*(P117:T117="לא")))</f>
      </c>
      <c r="AE117" s="26">
        <f>IF($A117="","",SUMPRODUCT((K117:O117="לא")*(P117:T117="כן")))</f>
      </c>
      <c r="AF117" s="26">
        <f>IF($A117="","",COUNTIF(U117:W117,"כן"))</f>
      </c>
      <c r="AG117" s="26">
        <f>IF($A117="","",IF(AA117&lt;&gt;"מלא",0,IF(OR(AC117="",N(AC117)&lt;0.6),1,IF(AND(AF117&gt;=2,N(X117)&gt;=2),3,2))))</f>
      </c>
    </row>
    <row r="118" ht="15" customHeight="1" spans="1:33" x14ac:dyDescent="0.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6">
        <f>IF($A118="","",$A118&amp;"|"&amp;$C118)</f>
      </c>
      <c r="AA118" s="26">
        <f>IF($A118="","",IF(OR(H118="לא נבדק",H118=""),"לא נבדק",IF(AND(H118="בחר/ה בעצמו/ה",I118="כן",J118="לא"),"מלא",IF(OR(H118="בחר/ה בעצמו/ה",I118="כן"),"חלקי","עדיין לא"))))</f>
      </c>
      <c r="AB118" s="26">
        <f>IF($A118="","",COUNTIF(K118:O118,"כן"))</f>
      </c>
      <c r="AC118" s="27">
        <f>IF($A118="","",IFERROR(SUMPRODUCT((K118:O118="כן")*(P118:T118="כן")+(K118:O118="לא")*(P118:T118="לא")+0.5*(P118:T118="חלקית")*((K118:O118="כן")+(K118:O118="לא")))/SUMPRODUCT(((K118:O118="כן")+(K118:O118="לא"))*(P118:T118&lt;&gt;"")),""))</f>
      </c>
      <c r="AD118" s="26">
        <f>IF($A118="","",SUMPRODUCT((K118:O118="כן")*(P118:T118="לא")))</f>
      </c>
      <c r="AE118" s="26">
        <f>IF($A118="","",SUMPRODUCT((K118:O118="לא")*(P118:T118="כן")))</f>
      </c>
      <c r="AF118" s="26">
        <f>IF($A118="","",COUNTIF(U118:W118,"כן"))</f>
      </c>
      <c r="AG118" s="26">
        <f>IF($A118="","",IF(AA118&lt;&gt;"מלא",0,IF(OR(AC118="",N(AC118)&lt;0.6),1,IF(AND(AF118&gt;=2,N(X118)&gt;=2),3,2))))</f>
      </c>
    </row>
    <row r="119" ht="15" customHeight="1" spans="1:33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6">
        <f>IF($A119="","",$A119&amp;"|"&amp;$C119)</f>
      </c>
      <c r="AA119" s="26">
        <f>IF($A119="","",IF(OR(H119="לא נבדק",H119=""),"לא נבדק",IF(AND(H119="בחר/ה בעצמו/ה",I119="כן",J119="לא"),"מלא",IF(OR(H119="בחר/ה בעצמו/ה",I119="כן"),"חלקי","עדיין לא"))))</f>
      </c>
      <c r="AB119" s="26">
        <f>IF($A119="","",COUNTIF(K119:O119,"כן"))</f>
      </c>
      <c r="AC119" s="27">
        <f>IF($A119="","",IFERROR(SUMPRODUCT((K119:O119="כן")*(P119:T119="כן")+(K119:O119="לא")*(P119:T119="לא")+0.5*(P119:T119="חלקית")*((K119:O119="כן")+(K119:O119="לא")))/SUMPRODUCT(((K119:O119="כן")+(K119:O119="לא"))*(P119:T119&lt;&gt;"")),""))</f>
      </c>
      <c r="AD119" s="26">
        <f>IF($A119="","",SUMPRODUCT((K119:O119="כן")*(P119:T119="לא")))</f>
      </c>
      <c r="AE119" s="26">
        <f>IF($A119="","",SUMPRODUCT((K119:O119="לא")*(P119:T119="כן")))</f>
      </c>
      <c r="AF119" s="26">
        <f>IF($A119="","",COUNTIF(U119:W119,"כן"))</f>
      </c>
      <c r="AG119" s="26">
        <f>IF($A119="","",IF(AA119&lt;&gt;"מלא",0,IF(OR(AC119="",N(AC119)&lt;0.6),1,IF(AND(AF119&gt;=2,N(X119)&gt;=2),3,2))))</f>
      </c>
    </row>
    <row r="120" ht="15" customHeight="1" spans="1:33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6">
        <f>IF($A120="","",$A120&amp;"|"&amp;$C120)</f>
      </c>
      <c r="AA120" s="26">
        <f>IF($A120="","",IF(OR(H120="לא נבדק",H120=""),"לא נבדק",IF(AND(H120="בחר/ה בעצמו/ה",I120="כן",J120="לא"),"מלא",IF(OR(H120="בחר/ה בעצמו/ה",I120="כן"),"חלקי","עדיין לא"))))</f>
      </c>
      <c r="AB120" s="26">
        <f>IF($A120="","",COUNTIF(K120:O120,"כן"))</f>
      </c>
      <c r="AC120" s="27">
        <f>IF($A120="","",IFERROR(SUMPRODUCT((K120:O120="כן")*(P120:T120="כן")+(K120:O120="לא")*(P120:T120="לא")+0.5*(P120:T120="חלקית")*((K120:O120="כן")+(K120:O120="לא")))/SUMPRODUCT(((K120:O120="כן")+(K120:O120="לא"))*(P120:T120&lt;&gt;"")),""))</f>
      </c>
      <c r="AD120" s="26">
        <f>IF($A120="","",SUMPRODUCT((K120:O120="כן")*(P120:T120="לא")))</f>
      </c>
      <c r="AE120" s="26">
        <f>IF($A120="","",SUMPRODUCT((K120:O120="לא")*(P120:T120="כן")))</f>
      </c>
      <c r="AF120" s="26">
        <f>IF($A120="","",COUNTIF(U120:W120,"כן"))</f>
      </c>
      <c r="AG120" s="26">
        <f>IF($A120="","",IF(AA120&lt;&gt;"מלא",0,IF(OR(AC120="",N(AC120)&lt;0.6),1,IF(AND(AF120&gt;=2,N(X120)&gt;=2),3,2))))</f>
      </c>
    </row>
    <row r="121" ht="15" customHeight="1" spans="1:33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6">
        <f>IF($A121="","",$A121&amp;"|"&amp;$C121)</f>
      </c>
      <c r="AA121" s="26">
        <f>IF($A121="","",IF(OR(H121="לא נבדק",H121=""),"לא נבדק",IF(AND(H121="בחר/ה בעצמו/ה",I121="כן",J121="לא"),"מלא",IF(OR(H121="בחר/ה בעצמו/ה",I121="כן"),"חלקי","עדיין לא"))))</f>
      </c>
      <c r="AB121" s="26">
        <f>IF($A121="","",COUNTIF(K121:O121,"כן"))</f>
      </c>
      <c r="AC121" s="27">
        <f>IF($A121="","",IFERROR(SUMPRODUCT((K121:O121="כן")*(P121:T121="כן")+(K121:O121="לא")*(P121:T121="לא")+0.5*(P121:T121="חלקית")*((K121:O121="כן")+(K121:O121="לא")))/SUMPRODUCT(((K121:O121="כן")+(K121:O121="לא"))*(P121:T121&lt;&gt;"")),""))</f>
      </c>
      <c r="AD121" s="26">
        <f>IF($A121="","",SUMPRODUCT((K121:O121="כן")*(P121:T121="לא")))</f>
      </c>
      <c r="AE121" s="26">
        <f>IF($A121="","",SUMPRODUCT((K121:O121="לא")*(P121:T121="כן")))</f>
      </c>
      <c r="AF121" s="26">
        <f>IF($A121="","",COUNTIF(U121:W121,"כן"))</f>
      </c>
      <c r="AG121" s="26">
        <f>IF($A121="","",IF(AA121&lt;&gt;"מלא",0,IF(OR(AC121="",N(AC121)&lt;0.6),1,IF(AND(AF121&gt;=2,N(X121)&gt;=2),3,2))))</f>
      </c>
    </row>
    <row r="122" ht="15" customHeight="1" spans="1:33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6">
        <f>IF($A122="","",$A122&amp;"|"&amp;$C122)</f>
      </c>
      <c r="AA122" s="26">
        <f>IF($A122="","",IF(OR(H122="לא נבדק",H122=""),"לא נבדק",IF(AND(H122="בחר/ה בעצמו/ה",I122="כן",J122="לא"),"מלא",IF(OR(H122="בחר/ה בעצמו/ה",I122="כן"),"חלקי","עדיין לא"))))</f>
      </c>
      <c r="AB122" s="26">
        <f>IF($A122="","",COUNTIF(K122:O122,"כן"))</f>
      </c>
      <c r="AC122" s="27">
        <f>IF($A122="","",IFERROR(SUMPRODUCT((K122:O122="כן")*(P122:T122="כן")+(K122:O122="לא")*(P122:T122="לא")+0.5*(P122:T122="חלקית")*((K122:O122="כן")+(K122:O122="לא")))/SUMPRODUCT(((K122:O122="כן")+(K122:O122="לא"))*(P122:T122&lt;&gt;"")),""))</f>
      </c>
      <c r="AD122" s="26">
        <f>IF($A122="","",SUMPRODUCT((K122:O122="כן")*(P122:T122="לא")))</f>
      </c>
      <c r="AE122" s="26">
        <f>IF($A122="","",SUMPRODUCT((K122:O122="לא")*(P122:T122="כן")))</f>
      </c>
      <c r="AF122" s="26">
        <f>IF($A122="","",COUNTIF(U122:W122,"כן"))</f>
      </c>
      <c r="AG122" s="26">
        <f>IF($A122="","",IF(AA122&lt;&gt;"מלא",0,IF(OR(AC122="",N(AC122)&lt;0.6),1,IF(AND(AF122&gt;=2,N(X122)&gt;=2),3,2))))</f>
      </c>
    </row>
    <row r="123" ht="15" customHeight="1" spans="1:33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6">
        <f>IF($A123="","",$A123&amp;"|"&amp;$C123)</f>
      </c>
      <c r="AA123" s="26">
        <f>IF($A123="","",IF(OR(H123="לא נבדק",H123=""),"לא נבדק",IF(AND(H123="בחר/ה בעצמו/ה",I123="כן",J123="לא"),"מלא",IF(OR(H123="בחר/ה בעצמו/ה",I123="כן"),"חלקי","עדיין לא"))))</f>
      </c>
      <c r="AB123" s="26">
        <f>IF($A123="","",COUNTIF(K123:O123,"כן"))</f>
      </c>
      <c r="AC123" s="27">
        <f>IF($A123="","",IFERROR(SUMPRODUCT((K123:O123="כן")*(P123:T123="כן")+(K123:O123="לא")*(P123:T123="לא")+0.5*(P123:T123="חלקית")*((K123:O123="כן")+(K123:O123="לא")))/SUMPRODUCT(((K123:O123="כן")+(K123:O123="לא"))*(P123:T123&lt;&gt;"")),""))</f>
      </c>
      <c r="AD123" s="26">
        <f>IF($A123="","",SUMPRODUCT((K123:O123="כן")*(P123:T123="לא")))</f>
      </c>
      <c r="AE123" s="26">
        <f>IF($A123="","",SUMPRODUCT((K123:O123="לא")*(P123:T123="כן")))</f>
      </c>
      <c r="AF123" s="26">
        <f>IF($A123="","",COUNTIF(U123:W123,"כן"))</f>
      </c>
      <c r="AG123" s="26">
        <f>IF($A123="","",IF(AA123&lt;&gt;"מלא",0,IF(OR(AC123="",N(AC123)&lt;0.6),1,IF(AND(AF123&gt;=2,N(X123)&gt;=2),3,2))))</f>
      </c>
    </row>
    <row r="124" ht="15" customHeight="1" spans="1:33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6">
        <f>IF($A124="","",$A124&amp;"|"&amp;$C124)</f>
      </c>
      <c r="AA124" s="26">
        <f>IF($A124="","",IF(OR(H124="לא נבדק",H124=""),"לא נבדק",IF(AND(H124="בחר/ה בעצמו/ה",I124="כן",J124="לא"),"מלא",IF(OR(H124="בחר/ה בעצמו/ה",I124="כן"),"חלקי","עדיין לא"))))</f>
      </c>
      <c r="AB124" s="26">
        <f>IF($A124="","",COUNTIF(K124:O124,"כן"))</f>
      </c>
      <c r="AC124" s="27">
        <f>IF($A124="","",IFERROR(SUMPRODUCT((K124:O124="כן")*(P124:T124="כן")+(K124:O124="לא")*(P124:T124="לא")+0.5*(P124:T124="חלקית")*((K124:O124="כן")+(K124:O124="לא")))/SUMPRODUCT(((K124:O124="כן")+(K124:O124="לא"))*(P124:T124&lt;&gt;"")),""))</f>
      </c>
      <c r="AD124" s="26">
        <f>IF($A124="","",SUMPRODUCT((K124:O124="כן")*(P124:T124="לא")))</f>
      </c>
      <c r="AE124" s="26">
        <f>IF($A124="","",SUMPRODUCT((K124:O124="לא")*(P124:T124="כן")))</f>
      </c>
      <c r="AF124" s="26">
        <f>IF($A124="","",COUNTIF(U124:W124,"כן"))</f>
      </c>
      <c r="AG124" s="26">
        <f>IF($A124="","",IF(AA124&lt;&gt;"מלא",0,IF(OR(AC124="",N(AC124)&lt;0.6),1,IF(AND(AF124&gt;=2,N(X124)&gt;=2),3,2))))</f>
      </c>
    </row>
    <row r="125" ht="15" customHeight="1" spans="1:33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6">
        <f>IF($A125="","",$A125&amp;"|"&amp;$C125)</f>
      </c>
      <c r="AA125" s="26">
        <f>IF($A125="","",IF(OR(H125="לא נבדק",H125=""),"לא נבדק",IF(AND(H125="בחר/ה בעצמו/ה",I125="כן",J125="לא"),"מלא",IF(OR(H125="בחר/ה בעצמו/ה",I125="כן"),"חלקי","עדיין לא"))))</f>
      </c>
      <c r="AB125" s="26">
        <f>IF($A125="","",COUNTIF(K125:O125,"כן"))</f>
      </c>
      <c r="AC125" s="27">
        <f>IF($A125="","",IFERROR(SUMPRODUCT((K125:O125="כן")*(P125:T125="כן")+(K125:O125="לא")*(P125:T125="לא")+0.5*(P125:T125="חלקית")*((K125:O125="כן")+(K125:O125="לא")))/SUMPRODUCT(((K125:O125="כן")+(K125:O125="לא"))*(P125:T125&lt;&gt;"")),""))</f>
      </c>
      <c r="AD125" s="26">
        <f>IF($A125="","",SUMPRODUCT((K125:O125="כן")*(P125:T125="לא")))</f>
      </c>
      <c r="AE125" s="26">
        <f>IF($A125="","",SUMPRODUCT((K125:O125="לא")*(P125:T125="כן")))</f>
      </c>
      <c r="AF125" s="26">
        <f>IF($A125="","",COUNTIF(U125:W125,"כן"))</f>
      </c>
      <c r="AG125" s="26">
        <f>IF($A125="","",IF(AA125&lt;&gt;"מלא",0,IF(OR(AC125="",N(AC125)&lt;0.6),1,IF(AND(AF125&gt;=2,N(X125)&gt;=2),3,2))))</f>
      </c>
    </row>
    <row r="126" ht="15" customHeight="1" spans="1:33" x14ac:dyDescent="0.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6">
        <f>IF($A126="","",$A126&amp;"|"&amp;$C126)</f>
      </c>
      <c r="AA126" s="26">
        <f>IF($A126="","",IF(OR(H126="לא נבדק",H126=""),"לא נבדק",IF(AND(H126="בחר/ה בעצמו/ה",I126="כן",J126="לא"),"מלא",IF(OR(H126="בחר/ה בעצמו/ה",I126="כן"),"חלקי","עדיין לא"))))</f>
      </c>
      <c r="AB126" s="26">
        <f>IF($A126="","",COUNTIF(K126:O126,"כן"))</f>
      </c>
      <c r="AC126" s="27">
        <f>IF($A126="","",IFERROR(SUMPRODUCT((K126:O126="כן")*(P126:T126="כן")+(K126:O126="לא")*(P126:T126="לא")+0.5*(P126:T126="חלקית")*((K126:O126="כן")+(K126:O126="לא")))/SUMPRODUCT(((K126:O126="כן")+(K126:O126="לא"))*(P126:T126&lt;&gt;"")),""))</f>
      </c>
      <c r="AD126" s="26">
        <f>IF($A126="","",SUMPRODUCT((K126:O126="כן")*(P126:T126="לא")))</f>
      </c>
      <c r="AE126" s="26">
        <f>IF($A126="","",SUMPRODUCT((K126:O126="לא")*(P126:T126="כן")))</f>
      </c>
      <c r="AF126" s="26">
        <f>IF($A126="","",COUNTIF(U126:W126,"כן"))</f>
      </c>
      <c r="AG126" s="26">
        <f>IF($A126="","",IF(AA126&lt;&gt;"מלא",0,IF(OR(AC126="",N(AC126)&lt;0.6),1,IF(AND(AF126&gt;=2,N(X126)&gt;=2),3,2))))</f>
      </c>
    </row>
    <row r="127" ht="15" customHeight="1" spans="1:33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6">
        <f>IF($A127="","",$A127&amp;"|"&amp;$C127)</f>
      </c>
      <c r="AA127" s="26">
        <f>IF($A127="","",IF(OR(H127="לא נבדק",H127=""),"לא נבדק",IF(AND(H127="בחר/ה בעצמו/ה",I127="כן",J127="לא"),"מלא",IF(OR(H127="בחר/ה בעצמו/ה",I127="כן"),"חלקי","עדיין לא"))))</f>
      </c>
      <c r="AB127" s="26">
        <f>IF($A127="","",COUNTIF(K127:O127,"כן"))</f>
      </c>
      <c r="AC127" s="27">
        <f>IF($A127="","",IFERROR(SUMPRODUCT((K127:O127="כן")*(P127:T127="כן")+(K127:O127="לא")*(P127:T127="לא")+0.5*(P127:T127="חלקית")*((K127:O127="כן")+(K127:O127="לא")))/SUMPRODUCT(((K127:O127="כן")+(K127:O127="לא"))*(P127:T127&lt;&gt;"")),""))</f>
      </c>
      <c r="AD127" s="26">
        <f>IF($A127="","",SUMPRODUCT((K127:O127="כן")*(P127:T127="לא")))</f>
      </c>
      <c r="AE127" s="26">
        <f>IF($A127="","",SUMPRODUCT((K127:O127="לא")*(P127:T127="כן")))</f>
      </c>
      <c r="AF127" s="26">
        <f>IF($A127="","",COUNTIF(U127:W127,"כן"))</f>
      </c>
      <c r="AG127" s="26">
        <f>IF($A127="","",IF(AA127&lt;&gt;"מלא",0,IF(OR(AC127="",N(AC127)&lt;0.6),1,IF(AND(AF127&gt;=2,N(X127)&gt;=2),3,2))))</f>
      </c>
    </row>
    <row r="128" ht="15" customHeight="1" spans="1:33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6">
        <f>IF($A128="","",$A128&amp;"|"&amp;$C128)</f>
      </c>
      <c r="AA128" s="26">
        <f>IF($A128="","",IF(OR(H128="לא נבדק",H128=""),"לא נבדק",IF(AND(H128="בחר/ה בעצמו/ה",I128="כן",J128="לא"),"מלא",IF(OR(H128="בחר/ה בעצמו/ה",I128="כן"),"חלקי","עדיין לא"))))</f>
      </c>
      <c r="AB128" s="26">
        <f>IF($A128="","",COUNTIF(K128:O128,"כן"))</f>
      </c>
      <c r="AC128" s="27">
        <f>IF($A128="","",IFERROR(SUMPRODUCT((K128:O128="כן")*(P128:T128="כן")+(K128:O128="לא")*(P128:T128="לא")+0.5*(P128:T128="חלקית")*((K128:O128="כן")+(K128:O128="לא")))/SUMPRODUCT(((K128:O128="כן")+(K128:O128="לא"))*(P128:T128&lt;&gt;"")),""))</f>
      </c>
      <c r="AD128" s="26">
        <f>IF($A128="","",SUMPRODUCT((K128:O128="כן")*(P128:T128="לא")))</f>
      </c>
      <c r="AE128" s="26">
        <f>IF($A128="","",SUMPRODUCT((K128:O128="לא")*(P128:T128="כן")))</f>
      </c>
      <c r="AF128" s="26">
        <f>IF($A128="","",COUNTIF(U128:W128,"כן"))</f>
      </c>
      <c r="AG128" s="26">
        <f>IF($A128="","",IF(AA128&lt;&gt;"מלא",0,IF(OR(AC128="",N(AC128)&lt;0.6),1,IF(AND(AF128&gt;=2,N(X128)&gt;=2),3,2))))</f>
      </c>
    </row>
    <row r="129" ht="15" customHeight="1" spans="1:33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6">
        <f>IF($A129="","",$A129&amp;"|"&amp;$C129)</f>
      </c>
      <c r="AA129" s="26">
        <f>IF($A129="","",IF(OR(H129="לא נבדק",H129=""),"לא נבדק",IF(AND(H129="בחר/ה בעצמו/ה",I129="כן",J129="לא"),"מלא",IF(OR(H129="בחר/ה בעצמו/ה",I129="כן"),"חלקי","עדיין לא"))))</f>
      </c>
      <c r="AB129" s="26">
        <f>IF($A129="","",COUNTIF(K129:O129,"כן"))</f>
      </c>
      <c r="AC129" s="27">
        <f>IF($A129="","",IFERROR(SUMPRODUCT((K129:O129="כן")*(P129:T129="כן")+(K129:O129="לא")*(P129:T129="לא")+0.5*(P129:T129="חלקית")*((K129:O129="כן")+(K129:O129="לא")))/SUMPRODUCT(((K129:O129="כן")+(K129:O129="לא"))*(P129:T129&lt;&gt;"")),""))</f>
      </c>
      <c r="AD129" s="26">
        <f>IF($A129="","",SUMPRODUCT((K129:O129="כן")*(P129:T129="לא")))</f>
      </c>
      <c r="AE129" s="26">
        <f>IF($A129="","",SUMPRODUCT((K129:O129="לא")*(P129:T129="כן")))</f>
      </c>
      <c r="AF129" s="26">
        <f>IF($A129="","",COUNTIF(U129:W129,"כן"))</f>
      </c>
      <c r="AG129" s="26">
        <f>IF($A129="","",IF(AA129&lt;&gt;"מלא",0,IF(OR(AC129="",N(AC129)&lt;0.6),1,IF(AND(AF129&gt;=2,N(X129)&gt;=2),3,2))))</f>
      </c>
    </row>
    <row r="130" ht="15" customHeight="1" spans="1:33" x14ac:dyDescent="0.2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6">
        <f>IF($A130="","",$A130&amp;"|"&amp;$C130)</f>
      </c>
      <c r="AA130" s="26">
        <f>IF($A130="","",IF(OR(H130="לא נבדק",H130=""),"לא נבדק",IF(AND(H130="בחר/ה בעצמו/ה",I130="כן",J130="לא"),"מלא",IF(OR(H130="בחר/ה בעצמו/ה",I130="כן"),"חלקי","עדיין לא"))))</f>
      </c>
      <c r="AB130" s="26">
        <f>IF($A130="","",COUNTIF(K130:O130,"כן"))</f>
      </c>
      <c r="AC130" s="27">
        <f>IF($A130="","",IFERROR(SUMPRODUCT((K130:O130="כן")*(P130:T130="כן")+(K130:O130="לא")*(P130:T130="לא")+0.5*(P130:T130="חלקית")*((K130:O130="כן")+(K130:O130="לא")))/SUMPRODUCT(((K130:O130="כן")+(K130:O130="לא"))*(P130:T130&lt;&gt;"")),""))</f>
      </c>
      <c r="AD130" s="26">
        <f>IF($A130="","",SUMPRODUCT((K130:O130="כן")*(P130:T130="לא")))</f>
      </c>
      <c r="AE130" s="26">
        <f>IF($A130="","",SUMPRODUCT((K130:O130="לא")*(P130:T130="כן")))</f>
      </c>
      <c r="AF130" s="26">
        <f>IF($A130="","",COUNTIF(U130:W130,"כן"))</f>
      </c>
      <c r="AG130" s="26">
        <f>IF($A130="","",IF(AA130&lt;&gt;"מלא",0,IF(OR(AC130="",N(AC130)&lt;0.6),1,IF(AND(AF130&gt;=2,N(X130)&gt;=2),3,2))))</f>
      </c>
    </row>
    <row r="131" ht="15" customHeight="1" spans="1:33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6">
        <f>IF($A131="","",$A131&amp;"|"&amp;$C131)</f>
      </c>
      <c r="AA131" s="26">
        <f>IF($A131="","",IF(OR(H131="לא נבדק",H131=""),"לא נבדק",IF(AND(H131="בחר/ה בעצמו/ה",I131="כן",J131="לא"),"מלא",IF(OR(H131="בחר/ה בעצמו/ה",I131="כן"),"חלקי","עדיין לא"))))</f>
      </c>
      <c r="AB131" s="26">
        <f>IF($A131="","",COUNTIF(K131:O131,"כן"))</f>
      </c>
      <c r="AC131" s="27">
        <f>IF($A131="","",IFERROR(SUMPRODUCT((K131:O131="כן")*(P131:T131="כן")+(K131:O131="לא")*(P131:T131="לא")+0.5*(P131:T131="חלקית")*((K131:O131="כן")+(K131:O131="לא")))/SUMPRODUCT(((K131:O131="כן")+(K131:O131="לא"))*(P131:T131&lt;&gt;"")),""))</f>
      </c>
      <c r="AD131" s="26">
        <f>IF($A131="","",SUMPRODUCT((K131:O131="כן")*(P131:T131="לא")))</f>
      </c>
      <c r="AE131" s="26">
        <f>IF($A131="","",SUMPRODUCT((K131:O131="לא")*(P131:T131="כן")))</f>
      </c>
      <c r="AF131" s="26">
        <f>IF($A131="","",COUNTIF(U131:W131,"כן"))</f>
      </c>
      <c r="AG131" s="26">
        <f>IF($A131="","",IF(AA131&lt;&gt;"מלא",0,IF(OR(AC131="",N(AC131)&lt;0.6),1,IF(AND(AF131&gt;=2,N(X131)&gt;=2),3,2))))</f>
      </c>
    </row>
    <row r="132" ht="15" customHeight="1" spans="1:33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6">
        <f>IF($A132="","",$A132&amp;"|"&amp;$C132)</f>
      </c>
      <c r="AA132" s="26">
        <f>IF($A132="","",IF(OR(H132="לא נבדק",H132=""),"לא נבדק",IF(AND(H132="בחר/ה בעצמו/ה",I132="כן",J132="לא"),"מלא",IF(OR(H132="בחר/ה בעצמו/ה",I132="כן"),"חלקי","עדיין לא"))))</f>
      </c>
      <c r="AB132" s="26">
        <f>IF($A132="","",COUNTIF(K132:O132,"כן"))</f>
      </c>
      <c r="AC132" s="27">
        <f>IF($A132="","",IFERROR(SUMPRODUCT((K132:O132="כן")*(P132:T132="כן")+(K132:O132="לא")*(P132:T132="לא")+0.5*(P132:T132="חלקית")*((K132:O132="כן")+(K132:O132="לא")))/SUMPRODUCT(((K132:O132="כן")+(K132:O132="לא"))*(P132:T132&lt;&gt;"")),""))</f>
      </c>
      <c r="AD132" s="26">
        <f>IF($A132="","",SUMPRODUCT((K132:O132="כן")*(P132:T132="לא")))</f>
      </c>
      <c r="AE132" s="26">
        <f>IF($A132="","",SUMPRODUCT((K132:O132="לא")*(P132:T132="כן")))</f>
      </c>
      <c r="AF132" s="26">
        <f>IF($A132="","",COUNTIF(U132:W132,"כן"))</f>
      </c>
      <c r="AG132" s="26">
        <f>IF($A132="","",IF(AA132&lt;&gt;"מלא",0,IF(OR(AC132="",N(AC132)&lt;0.6),1,IF(AND(AF132&gt;=2,N(X132)&gt;=2),3,2))))</f>
      </c>
    </row>
    <row r="133" ht="15" customHeight="1" spans="1:33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6">
        <f>IF($A133="","",$A133&amp;"|"&amp;$C133)</f>
      </c>
      <c r="AA133" s="26">
        <f>IF($A133="","",IF(OR(H133="לא נבדק",H133=""),"לא נבדק",IF(AND(H133="בחר/ה בעצמו/ה",I133="כן",J133="לא"),"מלא",IF(OR(H133="בחר/ה בעצמו/ה",I133="כן"),"חלקי","עדיין לא"))))</f>
      </c>
      <c r="AB133" s="26">
        <f>IF($A133="","",COUNTIF(K133:O133,"כן"))</f>
      </c>
      <c r="AC133" s="27">
        <f>IF($A133="","",IFERROR(SUMPRODUCT((K133:O133="כן")*(P133:T133="כן")+(K133:O133="לא")*(P133:T133="לא")+0.5*(P133:T133="חלקית")*((K133:O133="כן")+(K133:O133="לא")))/SUMPRODUCT(((K133:O133="כן")+(K133:O133="לא"))*(P133:T133&lt;&gt;"")),""))</f>
      </c>
      <c r="AD133" s="26">
        <f>IF($A133="","",SUMPRODUCT((K133:O133="כן")*(P133:T133="לא")))</f>
      </c>
      <c r="AE133" s="26">
        <f>IF($A133="","",SUMPRODUCT((K133:O133="לא")*(P133:T133="כן")))</f>
      </c>
      <c r="AF133" s="26">
        <f>IF($A133="","",COUNTIF(U133:W133,"כן"))</f>
      </c>
      <c r="AG133" s="26">
        <f>IF($A133="","",IF(AA133&lt;&gt;"מלא",0,IF(OR(AC133="",N(AC133)&lt;0.6),1,IF(AND(AF133&gt;=2,N(X133)&gt;=2),3,2))))</f>
      </c>
    </row>
    <row r="134" ht="15" customHeight="1" spans="1:33" x14ac:dyDescent="0.2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6">
        <f>IF($A134="","",$A134&amp;"|"&amp;$C134)</f>
      </c>
      <c r="AA134" s="26">
        <f>IF($A134="","",IF(OR(H134="לא נבדק",H134=""),"לא נבדק",IF(AND(H134="בחר/ה בעצמו/ה",I134="כן",J134="לא"),"מלא",IF(OR(H134="בחר/ה בעצמו/ה",I134="כן"),"חלקי","עדיין לא"))))</f>
      </c>
      <c r="AB134" s="26">
        <f>IF($A134="","",COUNTIF(K134:O134,"כן"))</f>
      </c>
      <c r="AC134" s="27">
        <f>IF($A134="","",IFERROR(SUMPRODUCT((K134:O134="כן")*(P134:T134="כן")+(K134:O134="לא")*(P134:T134="לא")+0.5*(P134:T134="חלקית")*((K134:O134="כן")+(K134:O134="לא")))/SUMPRODUCT(((K134:O134="כן")+(K134:O134="לא"))*(P134:T134&lt;&gt;"")),""))</f>
      </c>
      <c r="AD134" s="26">
        <f>IF($A134="","",SUMPRODUCT((K134:O134="כן")*(P134:T134="לא")))</f>
      </c>
      <c r="AE134" s="26">
        <f>IF($A134="","",SUMPRODUCT((K134:O134="לא")*(P134:T134="כן")))</f>
      </c>
      <c r="AF134" s="26">
        <f>IF($A134="","",COUNTIF(U134:W134,"כן"))</f>
      </c>
      <c r="AG134" s="26">
        <f>IF($A134="","",IF(AA134&lt;&gt;"מלא",0,IF(OR(AC134="",N(AC134)&lt;0.6),1,IF(AND(AF134&gt;=2,N(X134)&gt;=2),3,2))))</f>
      </c>
    </row>
    <row r="135" ht="15" customHeight="1" spans="1:33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6">
        <f>IF($A135="","",$A135&amp;"|"&amp;$C135)</f>
      </c>
      <c r="AA135" s="26">
        <f>IF($A135="","",IF(OR(H135="לא נבדק",H135=""),"לא נבדק",IF(AND(H135="בחר/ה בעצמו/ה",I135="כן",J135="לא"),"מלא",IF(OR(H135="בחר/ה בעצמו/ה",I135="כן"),"חלקי","עדיין לא"))))</f>
      </c>
      <c r="AB135" s="26">
        <f>IF($A135="","",COUNTIF(K135:O135,"כן"))</f>
      </c>
      <c r="AC135" s="27">
        <f>IF($A135="","",IFERROR(SUMPRODUCT((K135:O135="כן")*(P135:T135="כן")+(K135:O135="לא")*(P135:T135="לא")+0.5*(P135:T135="חלקית")*((K135:O135="כן")+(K135:O135="לא")))/SUMPRODUCT(((K135:O135="כן")+(K135:O135="לא"))*(P135:T135&lt;&gt;"")),""))</f>
      </c>
      <c r="AD135" s="26">
        <f>IF($A135="","",SUMPRODUCT((K135:O135="כן")*(P135:T135="לא")))</f>
      </c>
      <c r="AE135" s="26">
        <f>IF($A135="","",SUMPRODUCT((K135:O135="לא")*(P135:T135="כן")))</f>
      </c>
      <c r="AF135" s="26">
        <f>IF($A135="","",COUNTIF(U135:W135,"כן"))</f>
      </c>
      <c r="AG135" s="26">
        <f>IF($A135="","",IF(AA135&lt;&gt;"מלא",0,IF(OR(AC135="",N(AC135)&lt;0.6),1,IF(AND(AF135&gt;=2,N(X135)&gt;=2),3,2))))</f>
      </c>
    </row>
    <row r="136" ht="15" customHeight="1" spans="1:33" x14ac:dyDescent="0.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6">
        <f>IF($A136="","",$A136&amp;"|"&amp;$C136)</f>
      </c>
      <c r="AA136" s="26">
        <f>IF($A136="","",IF(OR(H136="לא נבדק",H136=""),"לא נבדק",IF(AND(H136="בחר/ה בעצמו/ה",I136="כן",J136="לא"),"מלא",IF(OR(H136="בחר/ה בעצמו/ה",I136="כן"),"חלקי","עדיין לא"))))</f>
      </c>
      <c r="AB136" s="26">
        <f>IF($A136="","",COUNTIF(K136:O136,"כן"))</f>
      </c>
      <c r="AC136" s="27">
        <f>IF($A136="","",IFERROR(SUMPRODUCT((K136:O136="כן")*(P136:T136="כן")+(K136:O136="לא")*(P136:T136="לא")+0.5*(P136:T136="חלקית")*((K136:O136="כן")+(K136:O136="לא")))/SUMPRODUCT(((K136:O136="כן")+(K136:O136="לא"))*(P136:T136&lt;&gt;"")),""))</f>
      </c>
      <c r="AD136" s="26">
        <f>IF($A136="","",SUMPRODUCT((K136:O136="כן")*(P136:T136="לא")))</f>
      </c>
      <c r="AE136" s="26">
        <f>IF($A136="","",SUMPRODUCT((K136:O136="לא")*(P136:T136="כן")))</f>
      </c>
      <c r="AF136" s="26">
        <f>IF($A136="","",COUNTIF(U136:W136,"כן"))</f>
      </c>
      <c r="AG136" s="26">
        <f>IF($A136="","",IF(AA136&lt;&gt;"מלא",0,IF(OR(AC136="",N(AC136)&lt;0.6),1,IF(AND(AF136&gt;=2,N(X136)&gt;=2),3,2))))</f>
      </c>
    </row>
    <row r="137" ht="15" customHeight="1" spans="1:33" x14ac:dyDescent="0.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6">
        <f>IF($A137="","",$A137&amp;"|"&amp;$C137)</f>
      </c>
      <c r="AA137" s="26">
        <f>IF($A137="","",IF(OR(H137="לא נבדק",H137=""),"לא נבדק",IF(AND(H137="בחר/ה בעצמו/ה",I137="כן",J137="לא"),"מלא",IF(OR(H137="בחר/ה בעצמו/ה",I137="כן"),"חלקי","עדיין לא"))))</f>
      </c>
      <c r="AB137" s="26">
        <f>IF($A137="","",COUNTIF(K137:O137,"כן"))</f>
      </c>
      <c r="AC137" s="27">
        <f>IF($A137="","",IFERROR(SUMPRODUCT((K137:O137="כן")*(P137:T137="כן")+(K137:O137="לא")*(P137:T137="לא")+0.5*(P137:T137="חלקית")*((K137:O137="כן")+(K137:O137="לא")))/SUMPRODUCT(((K137:O137="כן")+(K137:O137="לא"))*(P137:T137&lt;&gt;"")),""))</f>
      </c>
      <c r="AD137" s="26">
        <f>IF($A137="","",SUMPRODUCT((K137:O137="כן")*(P137:T137="לא")))</f>
      </c>
      <c r="AE137" s="26">
        <f>IF($A137="","",SUMPRODUCT((K137:O137="לא")*(P137:T137="כן")))</f>
      </c>
      <c r="AF137" s="26">
        <f>IF($A137="","",COUNTIF(U137:W137,"כן"))</f>
      </c>
      <c r="AG137" s="26">
        <f>IF($A137="","",IF(AA137&lt;&gt;"מלא",0,IF(OR(AC137="",N(AC137)&lt;0.6),1,IF(AND(AF137&gt;=2,N(X137)&gt;=2),3,2))))</f>
      </c>
    </row>
    <row r="138" ht="15" customHeight="1" spans="1:33" x14ac:dyDescent="0.2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6">
        <f>IF($A138="","",$A138&amp;"|"&amp;$C138)</f>
      </c>
      <c r="AA138" s="26">
        <f>IF($A138="","",IF(OR(H138="לא נבדק",H138=""),"לא נבדק",IF(AND(H138="בחר/ה בעצמו/ה",I138="כן",J138="לא"),"מלא",IF(OR(H138="בחר/ה בעצמו/ה",I138="כן"),"חלקי","עדיין לא"))))</f>
      </c>
      <c r="AB138" s="26">
        <f>IF($A138="","",COUNTIF(K138:O138,"כן"))</f>
      </c>
      <c r="AC138" s="27">
        <f>IF($A138="","",IFERROR(SUMPRODUCT((K138:O138="כן")*(P138:T138="כן")+(K138:O138="לא")*(P138:T138="לא")+0.5*(P138:T138="חלקית")*((K138:O138="כן")+(K138:O138="לא")))/SUMPRODUCT(((K138:O138="כן")+(K138:O138="לא"))*(P138:T138&lt;&gt;"")),""))</f>
      </c>
      <c r="AD138" s="26">
        <f>IF($A138="","",SUMPRODUCT((K138:O138="כן")*(P138:T138="לא")))</f>
      </c>
      <c r="AE138" s="26">
        <f>IF($A138="","",SUMPRODUCT((K138:O138="לא")*(P138:T138="כן")))</f>
      </c>
      <c r="AF138" s="26">
        <f>IF($A138="","",COUNTIF(U138:W138,"כן"))</f>
      </c>
      <c r="AG138" s="26">
        <f>IF($A138="","",IF(AA138&lt;&gt;"מלא",0,IF(OR(AC138="",N(AC138)&lt;0.6),1,IF(AND(AF138&gt;=2,N(X138)&gt;=2),3,2))))</f>
      </c>
    </row>
    <row r="139" ht="15" customHeight="1" spans="1:33" x14ac:dyDescent="0.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6">
        <f>IF($A139="","",$A139&amp;"|"&amp;$C139)</f>
      </c>
      <c r="AA139" s="26">
        <f>IF($A139="","",IF(OR(H139="לא נבדק",H139=""),"לא נבדק",IF(AND(H139="בחר/ה בעצמו/ה",I139="כן",J139="לא"),"מלא",IF(OR(H139="בחר/ה בעצמו/ה",I139="כן"),"חלקי","עדיין לא"))))</f>
      </c>
      <c r="AB139" s="26">
        <f>IF($A139="","",COUNTIF(K139:O139,"כן"))</f>
      </c>
      <c r="AC139" s="27">
        <f>IF($A139="","",IFERROR(SUMPRODUCT((K139:O139="כן")*(P139:T139="כן")+(K139:O139="לא")*(P139:T139="לא")+0.5*(P139:T139="חלקית")*((K139:O139="כן")+(K139:O139="לא")))/SUMPRODUCT(((K139:O139="כן")+(K139:O139="לא"))*(P139:T139&lt;&gt;"")),""))</f>
      </c>
      <c r="AD139" s="26">
        <f>IF($A139="","",SUMPRODUCT((K139:O139="כן")*(P139:T139="לא")))</f>
      </c>
      <c r="AE139" s="26">
        <f>IF($A139="","",SUMPRODUCT((K139:O139="לא")*(P139:T139="כן")))</f>
      </c>
      <c r="AF139" s="26">
        <f>IF($A139="","",COUNTIF(U139:W139,"כן"))</f>
      </c>
      <c r="AG139" s="26">
        <f>IF($A139="","",IF(AA139&lt;&gt;"מלא",0,IF(OR(AC139="",N(AC139)&lt;0.6),1,IF(AND(AF139&gt;=2,N(X139)&gt;=2),3,2))))</f>
      </c>
    </row>
    <row r="140" ht="15" customHeight="1" spans="1:33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6">
        <f>IF($A140="","",$A140&amp;"|"&amp;$C140)</f>
      </c>
      <c r="AA140" s="26">
        <f>IF($A140="","",IF(OR(H140="לא נבדק",H140=""),"לא נבדק",IF(AND(H140="בחר/ה בעצמו/ה",I140="כן",J140="לא"),"מלא",IF(OR(H140="בחר/ה בעצמו/ה",I140="כן"),"חלקי","עדיין לא"))))</f>
      </c>
      <c r="AB140" s="26">
        <f>IF($A140="","",COUNTIF(K140:O140,"כן"))</f>
      </c>
      <c r="AC140" s="27">
        <f>IF($A140="","",IFERROR(SUMPRODUCT((K140:O140="כן")*(P140:T140="כן")+(K140:O140="לא")*(P140:T140="לא")+0.5*(P140:T140="חלקית")*((K140:O140="כן")+(K140:O140="לא")))/SUMPRODUCT(((K140:O140="כן")+(K140:O140="לא"))*(P140:T140&lt;&gt;"")),""))</f>
      </c>
      <c r="AD140" s="26">
        <f>IF($A140="","",SUMPRODUCT((K140:O140="כן")*(P140:T140="לא")))</f>
      </c>
      <c r="AE140" s="26">
        <f>IF($A140="","",SUMPRODUCT((K140:O140="לא")*(P140:T140="כן")))</f>
      </c>
      <c r="AF140" s="26">
        <f>IF($A140="","",COUNTIF(U140:W140,"כן"))</f>
      </c>
      <c r="AG140" s="26">
        <f>IF($A140="","",IF(AA140&lt;&gt;"מלא",0,IF(OR(AC140="",N(AC140)&lt;0.6),1,IF(AND(AF140&gt;=2,N(X140)&gt;=2),3,2))))</f>
      </c>
    </row>
    <row r="141" ht="15" customHeight="1" spans="1:33" x14ac:dyDescent="0.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6">
        <f>IF($A141="","",$A141&amp;"|"&amp;$C141)</f>
      </c>
      <c r="AA141" s="26">
        <f>IF($A141="","",IF(OR(H141="לא נבדק",H141=""),"לא נבדק",IF(AND(H141="בחר/ה בעצמו/ה",I141="כן",J141="לא"),"מלא",IF(OR(H141="בחר/ה בעצמו/ה",I141="כן"),"חלקי","עדיין לא"))))</f>
      </c>
      <c r="AB141" s="26">
        <f>IF($A141="","",COUNTIF(K141:O141,"כן"))</f>
      </c>
      <c r="AC141" s="27">
        <f>IF($A141="","",IFERROR(SUMPRODUCT((K141:O141="כן")*(P141:T141="כן")+(K141:O141="לא")*(P141:T141="לא")+0.5*(P141:T141="חלקית")*((K141:O141="כן")+(K141:O141="לא")))/SUMPRODUCT(((K141:O141="כן")+(K141:O141="לא"))*(P141:T141&lt;&gt;"")),""))</f>
      </c>
      <c r="AD141" s="26">
        <f>IF($A141="","",SUMPRODUCT((K141:O141="כן")*(P141:T141="לא")))</f>
      </c>
      <c r="AE141" s="26">
        <f>IF($A141="","",SUMPRODUCT((K141:O141="לא")*(P141:T141="כן")))</f>
      </c>
      <c r="AF141" s="26">
        <f>IF($A141="","",COUNTIF(U141:W141,"כן"))</f>
      </c>
      <c r="AG141" s="26">
        <f>IF($A141="","",IF(AA141&lt;&gt;"מלא",0,IF(OR(AC141="",N(AC141)&lt;0.6),1,IF(AND(AF141&gt;=2,N(X141)&gt;=2),3,2))))</f>
      </c>
    </row>
    <row r="142" ht="15" customHeight="1" spans="1:33" x14ac:dyDescent="0.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6">
        <f>IF($A142="","",$A142&amp;"|"&amp;$C142)</f>
      </c>
      <c r="AA142" s="26">
        <f>IF($A142="","",IF(OR(H142="לא נבדק",H142=""),"לא נבדק",IF(AND(H142="בחר/ה בעצמו/ה",I142="כן",J142="לא"),"מלא",IF(OR(H142="בחר/ה בעצמו/ה",I142="כן"),"חלקי","עדיין לא"))))</f>
      </c>
      <c r="AB142" s="26">
        <f>IF($A142="","",COUNTIF(K142:O142,"כן"))</f>
      </c>
      <c r="AC142" s="27">
        <f>IF($A142="","",IFERROR(SUMPRODUCT((K142:O142="כן")*(P142:T142="כן")+(K142:O142="לא")*(P142:T142="לא")+0.5*(P142:T142="חלקית")*((K142:O142="כן")+(K142:O142="לא")))/SUMPRODUCT(((K142:O142="כן")+(K142:O142="לא"))*(P142:T142&lt;&gt;"")),""))</f>
      </c>
      <c r="AD142" s="26">
        <f>IF($A142="","",SUMPRODUCT((K142:O142="כן")*(P142:T142="לא")))</f>
      </c>
      <c r="AE142" s="26">
        <f>IF($A142="","",SUMPRODUCT((K142:O142="לא")*(P142:T142="כן")))</f>
      </c>
      <c r="AF142" s="26">
        <f>IF($A142="","",COUNTIF(U142:W142,"כן"))</f>
      </c>
      <c r="AG142" s="26">
        <f>IF($A142="","",IF(AA142&lt;&gt;"מלא",0,IF(OR(AC142="",N(AC142)&lt;0.6),1,IF(AND(AF142&gt;=2,N(X142)&gt;=2),3,2))))</f>
      </c>
    </row>
    <row r="143" ht="15" customHeight="1" spans="1:33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6">
        <f>IF($A143="","",$A143&amp;"|"&amp;$C143)</f>
      </c>
      <c r="AA143" s="26">
        <f>IF($A143="","",IF(OR(H143="לא נבדק",H143=""),"לא נבדק",IF(AND(H143="בחר/ה בעצמו/ה",I143="כן",J143="לא"),"מלא",IF(OR(H143="בחר/ה בעצמו/ה",I143="כן"),"חלקי","עדיין לא"))))</f>
      </c>
      <c r="AB143" s="26">
        <f>IF($A143="","",COUNTIF(K143:O143,"כן"))</f>
      </c>
      <c r="AC143" s="27">
        <f>IF($A143="","",IFERROR(SUMPRODUCT((K143:O143="כן")*(P143:T143="כן")+(K143:O143="לא")*(P143:T143="לא")+0.5*(P143:T143="חלקית")*((K143:O143="כן")+(K143:O143="לא")))/SUMPRODUCT(((K143:O143="כן")+(K143:O143="לא"))*(P143:T143&lt;&gt;"")),""))</f>
      </c>
      <c r="AD143" s="26">
        <f>IF($A143="","",SUMPRODUCT((K143:O143="כן")*(P143:T143="לא")))</f>
      </c>
      <c r="AE143" s="26">
        <f>IF($A143="","",SUMPRODUCT((K143:O143="לא")*(P143:T143="כן")))</f>
      </c>
      <c r="AF143" s="26">
        <f>IF($A143="","",COUNTIF(U143:W143,"כן"))</f>
      </c>
      <c r="AG143" s="26">
        <f>IF($A143="","",IF(AA143&lt;&gt;"מלא",0,IF(OR(AC143="",N(AC143)&lt;0.6),1,IF(AND(AF143&gt;=2,N(X143)&gt;=2),3,2))))</f>
      </c>
    </row>
    <row r="144" ht="15" customHeight="1" spans="1:33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6">
        <f>IF($A144="","",$A144&amp;"|"&amp;$C144)</f>
      </c>
      <c r="AA144" s="26">
        <f>IF($A144="","",IF(OR(H144="לא נבדק",H144=""),"לא נבדק",IF(AND(H144="בחר/ה בעצמו/ה",I144="כן",J144="לא"),"מלא",IF(OR(H144="בחר/ה בעצמו/ה",I144="כן"),"חלקי","עדיין לא"))))</f>
      </c>
      <c r="AB144" s="26">
        <f>IF($A144="","",COUNTIF(K144:O144,"כן"))</f>
      </c>
      <c r="AC144" s="27">
        <f>IF($A144="","",IFERROR(SUMPRODUCT((K144:O144="כן")*(P144:T144="כן")+(K144:O144="לא")*(P144:T144="לא")+0.5*(P144:T144="חלקית")*((K144:O144="כן")+(K144:O144="לא")))/SUMPRODUCT(((K144:O144="כן")+(K144:O144="לא"))*(P144:T144&lt;&gt;"")),""))</f>
      </c>
      <c r="AD144" s="26">
        <f>IF($A144="","",SUMPRODUCT((K144:O144="כן")*(P144:T144="לא")))</f>
      </c>
      <c r="AE144" s="26">
        <f>IF($A144="","",SUMPRODUCT((K144:O144="לא")*(P144:T144="כן")))</f>
      </c>
      <c r="AF144" s="26">
        <f>IF($A144="","",COUNTIF(U144:W144,"כן"))</f>
      </c>
      <c r="AG144" s="26">
        <f>IF($A144="","",IF(AA144&lt;&gt;"מלא",0,IF(OR(AC144="",N(AC144)&lt;0.6),1,IF(AND(AF144&gt;=2,N(X144)&gt;=2),3,2))))</f>
      </c>
    </row>
    <row r="145" ht="15" customHeight="1" spans="1:33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6">
        <f>IF($A145="","",$A145&amp;"|"&amp;$C145)</f>
      </c>
      <c r="AA145" s="26">
        <f>IF($A145="","",IF(OR(H145="לא נבדק",H145=""),"לא נבדק",IF(AND(H145="בחר/ה בעצמו/ה",I145="כן",J145="לא"),"מלא",IF(OR(H145="בחר/ה בעצמו/ה",I145="כן"),"חלקי","עדיין לא"))))</f>
      </c>
      <c r="AB145" s="26">
        <f>IF($A145="","",COUNTIF(K145:O145,"כן"))</f>
      </c>
      <c r="AC145" s="27">
        <f>IF($A145="","",IFERROR(SUMPRODUCT((K145:O145="כן")*(P145:T145="כן")+(K145:O145="לא")*(P145:T145="לא")+0.5*(P145:T145="חלקית")*((K145:O145="כן")+(K145:O145="לא")))/SUMPRODUCT(((K145:O145="כן")+(K145:O145="לא"))*(P145:T145&lt;&gt;"")),""))</f>
      </c>
      <c r="AD145" s="26">
        <f>IF($A145="","",SUMPRODUCT((K145:O145="כן")*(P145:T145="לא")))</f>
      </c>
      <c r="AE145" s="26">
        <f>IF($A145="","",SUMPRODUCT((K145:O145="לא")*(P145:T145="כן")))</f>
      </c>
      <c r="AF145" s="26">
        <f>IF($A145="","",COUNTIF(U145:W145,"כן"))</f>
      </c>
      <c r="AG145" s="26">
        <f>IF($A145="","",IF(AA145&lt;&gt;"מלא",0,IF(OR(AC145="",N(AC145)&lt;0.6),1,IF(AND(AF145&gt;=2,N(X145)&gt;=2),3,2))))</f>
      </c>
    </row>
    <row r="146" ht="15" customHeight="1" spans="1:33" x14ac:dyDescent="0.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6">
        <f>IF($A146="","",$A146&amp;"|"&amp;$C146)</f>
      </c>
      <c r="AA146" s="26">
        <f>IF($A146="","",IF(OR(H146="לא נבדק",H146=""),"לא נבדק",IF(AND(H146="בחר/ה בעצמו/ה",I146="כן",J146="לא"),"מלא",IF(OR(H146="בחר/ה בעצמו/ה",I146="כן"),"חלקי","עדיין לא"))))</f>
      </c>
      <c r="AB146" s="26">
        <f>IF($A146="","",COUNTIF(K146:O146,"כן"))</f>
      </c>
      <c r="AC146" s="27">
        <f>IF($A146="","",IFERROR(SUMPRODUCT((K146:O146="כן")*(P146:T146="כן")+(K146:O146="לא")*(P146:T146="לא")+0.5*(P146:T146="חלקית")*((K146:O146="כן")+(K146:O146="לא")))/SUMPRODUCT(((K146:O146="כן")+(K146:O146="לא"))*(P146:T146&lt;&gt;"")),""))</f>
      </c>
      <c r="AD146" s="26">
        <f>IF($A146="","",SUMPRODUCT((K146:O146="כן")*(P146:T146="לא")))</f>
      </c>
      <c r="AE146" s="26">
        <f>IF($A146="","",SUMPRODUCT((K146:O146="לא")*(P146:T146="כן")))</f>
      </c>
      <c r="AF146" s="26">
        <f>IF($A146="","",COUNTIF(U146:W146,"כן"))</f>
      </c>
      <c r="AG146" s="26">
        <f>IF($A146="","",IF(AA146&lt;&gt;"מלא",0,IF(OR(AC146="",N(AC146)&lt;0.6),1,IF(AND(AF146&gt;=2,N(X146)&gt;=2),3,2))))</f>
      </c>
    </row>
    <row r="147" ht="15" customHeight="1" spans="1:33" x14ac:dyDescent="0.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6">
        <f>IF($A147="","",$A147&amp;"|"&amp;$C147)</f>
      </c>
      <c r="AA147" s="26">
        <f>IF($A147="","",IF(OR(H147="לא נבדק",H147=""),"לא נבדק",IF(AND(H147="בחר/ה בעצמו/ה",I147="כן",J147="לא"),"מלא",IF(OR(H147="בחר/ה בעצמו/ה",I147="כן"),"חלקי","עדיין לא"))))</f>
      </c>
      <c r="AB147" s="26">
        <f>IF($A147="","",COUNTIF(K147:O147,"כן"))</f>
      </c>
      <c r="AC147" s="27">
        <f>IF($A147="","",IFERROR(SUMPRODUCT((K147:O147="כן")*(P147:T147="כן")+(K147:O147="לא")*(P147:T147="לא")+0.5*(P147:T147="חלקית")*((K147:O147="כן")+(K147:O147="לא")))/SUMPRODUCT(((K147:O147="כן")+(K147:O147="לא"))*(P147:T147&lt;&gt;"")),""))</f>
      </c>
      <c r="AD147" s="26">
        <f>IF($A147="","",SUMPRODUCT((K147:O147="כן")*(P147:T147="לא")))</f>
      </c>
      <c r="AE147" s="26">
        <f>IF($A147="","",SUMPRODUCT((K147:O147="לא")*(P147:T147="כן")))</f>
      </c>
      <c r="AF147" s="26">
        <f>IF($A147="","",COUNTIF(U147:W147,"כן"))</f>
      </c>
      <c r="AG147" s="26">
        <f>IF($A147="","",IF(AA147&lt;&gt;"מלא",0,IF(OR(AC147="",N(AC147)&lt;0.6),1,IF(AND(AF147&gt;=2,N(X147)&gt;=2),3,2))))</f>
      </c>
    </row>
    <row r="148" ht="15" customHeight="1" spans="1:33" x14ac:dyDescent="0.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6">
        <f>IF($A148="","",$A148&amp;"|"&amp;$C148)</f>
      </c>
      <c r="AA148" s="26">
        <f>IF($A148="","",IF(OR(H148="לא נבדק",H148=""),"לא נבדק",IF(AND(H148="בחר/ה בעצמו/ה",I148="כן",J148="לא"),"מלא",IF(OR(H148="בחר/ה בעצמו/ה",I148="כן"),"חלקי","עדיין לא"))))</f>
      </c>
      <c r="AB148" s="26">
        <f>IF($A148="","",COUNTIF(K148:O148,"כן"))</f>
      </c>
      <c r="AC148" s="27">
        <f>IF($A148="","",IFERROR(SUMPRODUCT((K148:O148="כן")*(P148:T148="כן")+(K148:O148="לא")*(P148:T148="לא")+0.5*(P148:T148="חלקית")*((K148:O148="כן")+(K148:O148="לא")))/SUMPRODUCT(((K148:O148="כן")+(K148:O148="לא"))*(P148:T148&lt;&gt;"")),""))</f>
      </c>
      <c r="AD148" s="26">
        <f>IF($A148="","",SUMPRODUCT((K148:O148="כן")*(P148:T148="לא")))</f>
      </c>
      <c r="AE148" s="26">
        <f>IF($A148="","",SUMPRODUCT((K148:O148="לא")*(P148:T148="כן")))</f>
      </c>
      <c r="AF148" s="26">
        <f>IF($A148="","",COUNTIF(U148:W148,"כן"))</f>
      </c>
      <c r="AG148" s="26">
        <f>IF($A148="","",IF(AA148&lt;&gt;"מלא",0,IF(OR(AC148="",N(AC148)&lt;0.6),1,IF(AND(AF148&gt;=2,N(X148)&gt;=2),3,2))))</f>
      </c>
    </row>
    <row r="149" ht="15" customHeight="1" spans="1:33" x14ac:dyDescent="0.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6">
        <f>IF($A149="","",$A149&amp;"|"&amp;$C149)</f>
      </c>
      <c r="AA149" s="26">
        <f>IF($A149="","",IF(OR(H149="לא נבדק",H149=""),"לא נבדק",IF(AND(H149="בחר/ה בעצמו/ה",I149="כן",J149="לא"),"מלא",IF(OR(H149="בחר/ה בעצמו/ה",I149="כן"),"חלקי","עדיין לא"))))</f>
      </c>
      <c r="AB149" s="26">
        <f>IF($A149="","",COUNTIF(K149:O149,"כן"))</f>
      </c>
      <c r="AC149" s="27">
        <f>IF($A149="","",IFERROR(SUMPRODUCT((K149:O149="כן")*(P149:T149="כן")+(K149:O149="לא")*(P149:T149="לא")+0.5*(P149:T149="חלקית")*((K149:O149="כן")+(K149:O149="לא")))/SUMPRODUCT(((K149:O149="כן")+(K149:O149="לא"))*(P149:T149&lt;&gt;"")),""))</f>
      </c>
      <c r="AD149" s="26">
        <f>IF($A149="","",SUMPRODUCT((K149:O149="כן")*(P149:T149="לא")))</f>
      </c>
      <c r="AE149" s="26">
        <f>IF($A149="","",SUMPRODUCT((K149:O149="לא")*(P149:T149="כן")))</f>
      </c>
      <c r="AF149" s="26">
        <f>IF($A149="","",COUNTIF(U149:W149,"כן"))</f>
      </c>
      <c r="AG149" s="26">
        <f>IF($A149="","",IF(AA149&lt;&gt;"מלא",0,IF(OR(AC149="",N(AC149)&lt;0.6),1,IF(AND(AF149&gt;=2,N(X149)&gt;=2),3,2))))</f>
      </c>
    </row>
    <row r="150" ht="15" customHeight="1" spans="1:33" x14ac:dyDescent="0.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6">
        <f>IF($A150="","",$A150&amp;"|"&amp;$C150)</f>
      </c>
      <c r="AA150" s="26">
        <f>IF($A150="","",IF(OR(H150="לא נבדק",H150=""),"לא נבדק",IF(AND(H150="בחר/ה בעצמו/ה",I150="כן",J150="לא"),"מלא",IF(OR(H150="בחר/ה בעצמו/ה",I150="כן"),"חלקי","עדיין לא"))))</f>
      </c>
      <c r="AB150" s="26">
        <f>IF($A150="","",COUNTIF(K150:O150,"כן"))</f>
      </c>
      <c r="AC150" s="27">
        <f>IF($A150="","",IFERROR(SUMPRODUCT((K150:O150="כן")*(P150:T150="כן")+(K150:O150="לא")*(P150:T150="לא")+0.5*(P150:T150="חלקית")*((K150:O150="כן")+(K150:O150="לא")))/SUMPRODUCT(((K150:O150="כן")+(K150:O150="לא"))*(P150:T150&lt;&gt;"")),""))</f>
      </c>
      <c r="AD150" s="26">
        <f>IF($A150="","",SUMPRODUCT((K150:O150="כן")*(P150:T150="לא")))</f>
      </c>
      <c r="AE150" s="26">
        <f>IF($A150="","",SUMPRODUCT((K150:O150="לא")*(P150:T150="כן")))</f>
      </c>
      <c r="AF150" s="26">
        <f>IF($A150="","",COUNTIF(U150:W150,"כן"))</f>
      </c>
      <c r="AG150" s="26">
        <f>IF($A150="","",IF(AA150&lt;&gt;"מלא",0,IF(OR(AC150="",N(AC150)&lt;0.6),1,IF(AND(AF150&gt;=2,N(X150)&gt;=2),3,2))))</f>
      </c>
    </row>
    <row r="151" ht="15" customHeight="1" spans="1:33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6">
        <f>IF($A151="","",$A151&amp;"|"&amp;$C151)</f>
      </c>
      <c r="AA151" s="26">
        <f>IF($A151="","",IF(OR(H151="לא נבדק",H151=""),"לא נבדק",IF(AND(H151="בחר/ה בעצמו/ה",I151="כן",J151="לא"),"מלא",IF(OR(H151="בחר/ה בעצמו/ה",I151="כן"),"חלקי","עדיין לא"))))</f>
      </c>
      <c r="AB151" s="26">
        <f>IF($A151="","",COUNTIF(K151:O151,"כן"))</f>
      </c>
      <c r="AC151" s="27">
        <f>IF($A151="","",IFERROR(SUMPRODUCT((K151:O151="כן")*(P151:T151="כן")+(K151:O151="לא")*(P151:T151="לא")+0.5*(P151:T151="חלקית")*((K151:O151="כן")+(K151:O151="לא")))/SUMPRODUCT(((K151:O151="כן")+(K151:O151="לא"))*(P151:T151&lt;&gt;"")),""))</f>
      </c>
      <c r="AD151" s="26">
        <f>IF($A151="","",SUMPRODUCT((K151:O151="כן")*(P151:T151="לא")))</f>
      </c>
      <c r="AE151" s="26">
        <f>IF($A151="","",SUMPRODUCT((K151:O151="לא")*(P151:T151="כן")))</f>
      </c>
      <c r="AF151" s="26">
        <f>IF($A151="","",COUNTIF(U151:W151,"כן"))</f>
      </c>
      <c r="AG151" s="26">
        <f>IF($A151="","",IF(AA151&lt;&gt;"מלא",0,IF(OR(AC151="",N(AC151)&lt;0.6),1,IF(AND(AF151&gt;=2,N(X151)&gt;=2),3,2))))</f>
      </c>
    </row>
    <row r="152" ht="15" customHeight="1" spans="1:33" x14ac:dyDescent="0.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6">
        <f>IF($A152="","",$A152&amp;"|"&amp;$C152)</f>
      </c>
      <c r="AA152" s="26">
        <f>IF($A152="","",IF(OR(H152="לא נבדק",H152=""),"לא נבדק",IF(AND(H152="בחר/ה בעצמו/ה",I152="כן",J152="לא"),"מלא",IF(OR(H152="בחר/ה בעצמו/ה",I152="כן"),"חלקי","עדיין לא"))))</f>
      </c>
      <c r="AB152" s="26">
        <f>IF($A152="","",COUNTIF(K152:O152,"כן"))</f>
      </c>
      <c r="AC152" s="27">
        <f>IF($A152="","",IFERROR(SUMPRODUCT((K152:O152="כן")*(P152:T152="כן")+(K152:O152="לא")*(P152:T152="לא")+0.5*(P152:T152="חלקית")*((K152:O152="כן")+(K152:O152="לא")))/SUMPRODUCT(((K152:O152="כן")+(K152:O152="לא"))*(P152:T152&lt;&gt;"")),""))</f>
      </c>
      <c r="AD152" s="26">
        <f>IF($A152="","",SUMPRODUCT((K152:O152="כן")*(P152:T152="לא")))</f>
      </c>
      <c r="AE152" s="26">
        <f>IF($A152="","",SUMPRODUCT((K152:O152="לא")*(P152:T152="כן")))</f>
      </c>
      <c r="AF152" s="26">
        <f>IF($A152="","",COUNTIF(U152:W152,"כן"))</f>
      </c>
      <c r="AG152" s="26">
        <f>IF($A152="","",IF(AA152&lt;&gt;"מלא",0,IF(OR(AC152="",N(AC152)&lt;0.6),1,IF(AND(AF152&gt;=2,N(X152)&gt;=2),3,2))))</f>
      </c>
    </row>
    <row r="153" ht="15" customHeight="1" spans="1:33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6">
        <f>IF($A153="","",$A153&amp;"|"&amp;$C153)</f>
      </c>
      <c r="AA153" s="26">
        <f>IF($A153="","",IF(OR(H153="לא נבדק",H153=""),"לא נבדק",IF(AND(H153="בחר/ה בעצמו/ה",I153="כן",J153="לא"),"מלא",IF(OR(H153="בחר/ה בעצמו/ה",I153="כן"),"חלקי","עדיין לא"))))</f>
      </c>
      <c r="AB153" s="26">
        <f>IF($A153="","",COUNTIF(K153:O153,"כן"))</f>
      </c>
      <c r="AC153" s="27">
        <f>IF($A153="","",IFERROR(SUMPRODUCT((K153:O153="כן")*(P153:T153="כן")+(K153:O153="לא")*(P153:T153="לא")+0.5*(P153:T153="חלקית")*((K153:O153="כן")+(K153:O153="לא")))/SUMPRODUCT(((K153:O153="כן")+(K153:O153="לא"))*(P153:T153&lt;&gt;"")),""))</f>
      </c>
      <c r="AD153" s="26">
        <f>IF($A153="","",SUMPRODUCT((K153:O153="כן")*(P153:T153="לא")))</f>
      </c>
      <c r="AE153" s="26">
        <f>IF($A153="","",SUMPRODUCT((K153:O153="לא")*(P153:T153="כן")))</f>
      </c>
      <c r="AF153" s="26">
        <f>IF($A153="","",COUNTIF(U153:W153,"כן"))</f>
      </c>
      <c r="AG153" s="26">
        <f>IF($A153="","",IF(AA153&lt;&gt;"מלא",0,IF(OR(AC153="",N(AC153)&lt;0.6),1,IF(AND(AF153&gt;=2,N(X153)&gt;=2),3,2))))</f>
      </c>
    </row>
    <row r="154" ht="15" customHeight="1" spans="1:33" x14ac:dyDescent="0.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6">
        <f>IF($A154="","",$A154&amp;"|"&amp;$C154)</f>
      </c>
      <c r="AA154" s="26">
        <f>IF($A154="","",IF(OR(H154="לא נבדק",H154=""),"לא נבדק",IF(AND(H154="בחר/ה בעצמו/ה",I154="כן",J154="לא"),"מלא",IF(OR(H154="בחר/ה בעצמו/ה",I154="כן"),"חלקי","עדיין לא"))))</f>
      </c>
      <c r="AB154" s="26">
        <f>IF($A154="","",COUNTIF(K154:O154,"כן"))</f>
      </c>
      <c r="AC154" s="27">
        <f>IF($A154="","",IFERROR(SUMPRODUCT((K154:O154="כן")*(P154:T154="כן")+(K154:O154="לא")*(P154:T154="לא")+0.5*(P154:T154="חלקית")*((K154:O154="כן")+(K154:O154="לא")))/SUMPRODUCT(((K154:O154="כן")+(K154:O154="לא"))*(P154:T154&lt;&gt;"")),""))</f>
      </c>
      <c r="AD154" s="26">
        <f>IF($A154="","",SUMPRODUCT((K154:O154="כן")*(P154:T154="לא")))</f>
      </c>
      <c r="AE154" s="26">
        <f>IF($A154="","",SUMPRODUCT((K154:O154="לא")*(P154:T154="כן")))</f>
      </c>
      <c r="AF154" s="26">
        <f>IF($A154="","",COUNTIF(U154:W154,"כן"))</f>
      </c>
      <c r="AG154" s="26">
        <f>IF($A154="","",IF(AA154&lt;&gt;"מלא",0,IF(OR(AC154="",N(AC154)&lt;0.6),1,IF(AND(AF154&gt;=2,N(X154)&gt;=2),3,2))))</f>
      </c>
    </row>
    <row r="155" ht="15" customHeight="1" spans="1:33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6">
        <f>IF($A155="","",$A155&amp;"|"&amp;$C155)</f>
      </c>
      <c r="AA155" s="26">
        <f>IF($A155="","",IF(OR(H155="לא נבדק",H155=""),"לא נבדק",IF(AND(H155="בחר/ה בעצמו/ה",I155="כן",J155="לא"),"מלא",IF(OR(H155="בחר/ה בעצמו/ה",I155="כן"),"חלקי","עדיין לא"))))</f>
      </c>
      <c r="AB155" s="26">
        <f>IF($A155="","",COUNTIF(K155:O155,"כן"))</f>
      </c>
      <c r="AC155" s="27">
        <f>IF($A155="","",IFERROR(SUMPRODUCT((K155:O155="כן")*(P155:T155="כן")+(K155:O155="לא")*(P155:T155="לא")+0.5*(P155:T155="חלקית")*((K155:O155="כן")+(K155:O155="לא")))/SUMPRODUCT(((K155:O155="כן")+(K155:O155="לא"))*(P155:T155&lt;&gt;"")),""))</f>
      </c>
      <c r="AD155" s="26">
        <f>IF($A155="","",SUMPRODUCT((K155:O155="כן")*(P155:T155="לא")))</f>
      </c>
      <c r="AE155" s="26">
        <f>IF($A155="","",SUMPRODUCT((K155:O155="לא")*(P155:T155="כן")))</f>
      </c>
      <c r="AF155" s="26">
        <f>IF($A155="","",COUNTIF(U155:W155,"כן"))</f>
      </c>
      <c r="AG155" s="26">
        <f>IF($A155="","",IF(AA155&lt;&gt;"מלא",0,IF(OR(AC155="",N(AC155)&lt;0.6),1,IF(AND(AF155&gt;=2,N(X155)&gt;=2),3,2))))</f>
      </c>
    </row>
    <row r="156" ht="15" customHeight="1" spans="1:33" x14ac:dyDescent="0.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6">
        <f>IF($A156="","",$A156&amp;"|"&amp;$C156)</f>
      </c>
      <c r="AA156" s="26">
        <f>IF($A156="","",IF(OR(H156="לא נבדק",H156=""),"לא נבדק",IF(AND(H156="בחר/ה בעצמו/ה",I156="כן",J156="לא"),"מלא",IF(OR(H156="בחר/ה בעצמו/ה",I156="כן"),"חלקי","עדיין לא"))))</f>
      </c>
      <c r="AB156" s="26">
        <f>IF($A156="","",COUNTIF(K156:O156,"כן"))</f>
      </c>
      <c r="AC156" s="27">
        <f>IF($A156="","",IFERROR(SUMPRODUCT((K156:O156="כן")*(P156:T156="כן")+(K156:O156="לא")*(P156:T156="לא")+0.5*(P156:T156="חלקית")*((K156:O156="כן")+(K156:O156="לא")))/SUMPRODUCT(((K156:O156="כן")+(K156:O156="לא"))*(P156:T156&lt;&gt;"")),""))</f>
      </c>
      <c r="AD156" s="26">
        <f>IF($A156="","",SUMPRODUCT((K156:O156="כן")*(P156:T156="לא")))</f>
      </c>
      <c r="AE156" s="26">
        <f>IF($A156="","",SUMPRODUCT((K156:O156="לא")*(P156:T156="כן")))</f>
      </c>
      <c r="AF156" s="26">
        <f>IF($A156="","",COUNTIF(U156:W156,"כן"))</f>
      </c>
      <c r="AG156" s="26">
        <f>IF($A156="","",IF(AA156&lt;&gt;"מלא",0,IF(OR(AC156="",N(AC156)&lt;0.6),1,IF(AND(AF156&gt;=2,N(X156)&gt;=2),3,2))))</f>
      </c>
    </row>
    <row r="157" ht="15" customHeight="1" spans="1:33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6">
        <f>IF($A157="","",$A157&amp;"|"&amp;$C157)</f>
      </c>
      <c r="AA157" s="26">
        <f>IF($A157="","",IF(OR(H157="לא נבדק",H157=""),"לא נבדק",IF(AND(H157="בחר/ה בעצמו/ה",I157="כן",J157="לא"),"מלא",IF(OR(H157="בחר/ה בעצמו/ה",I157="כן"),"חלקי","עדיין לא"))))</f>
      </c>
      <c r="AB157" s="26">
        <f>IF($A157="","",COUNTIF(K157:O157,"כן"))</f>
      </c>
      <c r="AC157" s="27">
        <f>IF($A157="","",IFERROR(SUMPRODUCT((K157:O157="כן")*(P157:T157="כן")+(K157:O157="לא")*(P157:T157="לא")+0.5*(P157:T157="חלקית")*((K157:O157="כן")+(K157:O157="לא")))/SUMPRODUCT(((K157:O157="כן")+(K157:O157="לא"))*(P157:T157&lt;&gt;"")),""))</f>
      </c>
      <c r="AD157" s="26">
        <f>IF($A157="","",SUMPRODUCT((K157:O157="כן")*(P157:T157="לא")))</f>
      </c>
      <c r="AE157" s="26">
        <f>IF($A157="","",SUMPRODUCT((K157:O157="לא")*(P157:T157="כן")))</f>
      </c>
      <c r="AF157" s="26">
        <f>IF($A157="","",COUNTIF(U157:W157,"כן"))</f>
      </c>
      <c r="AG157" s="26">
        <f>IF($A157="","",IF(AA157&lt;&gt;"מלא",0,IF(OR(AC157="",N(AC157)&lt;0.6),1,IF(AND(AF157&gt;=2,N(X157)&gt;=2),3,2))))</f>
      </c>
    </row>
    <row r="158" ht="15" customHeight="1" spans="1:33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6">
        <f>IF($A158="","",$A158&amp;"|"&amp;$C158)</f>
      </c>
      <c r="AA158" s="26">
        <f>IF($A158="","",IF(OR(H158="לא נבדק",H158=""),"לא נבדק",IF(AND(H158="בחר/ה בעצמו/ה",I158="כן",J158="לא"),"מלא",IF(OR(H158="בחר/ה בעצמו/ה",I158="כן"),"חלקי","עדיין לא"))))</f>
      </c>
      <c r="AB158" s="26">
        <f>IF($A158="","",COUNTIF(K158:O158,"כן"))</f>
      </c>
      <c r="AC158" s="27">
        <f>IF($A158="","",IFERROR(SUMPRODUCT((K158:O158="כן")*(P158:T158="כן")+(K158:O158="לא")*(P158:T158="לא")+0.5*(P158:T158="חלקית")*((K158:O158="כן")+(K158:O158="לא")))/SUMPRODUCT(((K158:O158="כן")+(K158:O158="לא"))*(P158:T158&lt;&gt;"")),""))</f>
      </c>
      <c r="AD158" s="26">
        <f>IF($A158="","",SUMPRODUCT((K158:O158="כן")*(P158:T158="לא")))</f>
      </c>
      <c r="AE158" s="26">
        <f>IF($A158="","",SUMPRODUCT((K158:O158="לא")*(P158:T158="כן")))</f>
      </c>
      <c r="AF158" s="26">
        <f>IF($A158="","",COUNTIF(U158:W158,"כן"))</f>
      </c>
      <c r="AG158" s="26">
        <f>IF($A158="","",IF(AA158&lt;&gt;"מלא",0,IF(OR(AC158="",N(AC158)&lt;0.6),1,IF(AND(AF158&gt;=2,N(X158)&gt;=2),3,2))))</f>
      </c>
    </row>
    <row r="159" ht="15" customHeight="1" spans="1:33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6">
        <f>IF($A159="","",$A159&amp;"|"&amp;$C159)</f>
      </c>
      <c r="AA159" s="26">
        <f>IF($A159="","",IF(OR(H159="לא נבדק",H159=""),"לא נבדק",IF(AND(H159="בחר/ה בעצמו/ה",I159="כן",J159="לא"),"מלא",IF(OR(H159="בחר/ה בעצמו/ה",I159="כן"),"חלקי","עדיין לא"))))</f>
      </c>
      <c r="AB159" s="26">
        <f>IF($A159="","",COUNTIF(K159:O159,"כן"))</f>
      </c>
      <c r="AC159" s="27">
        <f>IF($A159="","",IFERROR(SUMPRODUCT((K159:O159="כן")*(P159:T159="כן")+(K159:O159="לא")*(P159:T159="לא")+0.5*(P159:T159="חלקית")*((K159:O159="כן")+(K159:O159="לא")))/SUMPRODUCT(((K159:O159="כן")+(K159:O159="לא"))*(P159:T159&lt;&gt;"")),""))</f>
      </c>
      <c r="AD159" s="26">
        <f>IF($A159="","",SUMPRODUCT((K159:O159="כן")*(P159:T159="לא")))</f>
      </c>
      <c r="AE159" s="26">
        <f>IF($A159="","",SUMPRODUCT((K159:O159="לא")*(P159:T159="כן")))</f>
      </c>
      <c r="AF159" s="26">
        <f>IF($A159="","",COUNTIF(U159:W159,"כן"))</f>
      </c>
      <c r="AG159" s="26">
        <f>IF($A159="","",IF(AA159&lt;&gt;"מלא",0,IF(OR(AC159="",N(AC159)&lt;0.6),1,IF(AND(AF159&gt;=2,N(X159)&gt;=2),3,2))))</f>
      </c>
    </row>
    <row r="160" ht="15" customHeight="1" spans="1:33" x14ac:dyDescent="0.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6">
        <f>IF($A160="","",$A160&amp;"|"&amp;$C160)</f>
      </c>
      <c r="AA160" s="26">
        <f>IF($A160="","",IF(OR(H160="לא נבדק",H160=""),"לא נבדק",IF(AND(H160="בחר/ה בעצמו/ה",I160="כן",J160="לא"),"מלא",IF(OR(H160="בחר/ה בעצמו/ה",I160="כן"),"חלקי","עדיין לא"))))</f>
      </c>
      <c r="AB160" s="26">
        <f>IF($A160="","",COUNTIF(K160:O160,"כן"))</f>
      </c>
      <c r="AC160" s="27">
        <f>IF($A160="","",IFERROR(SUMPRODUCT((K160:O160="כן")*(P160:T160="כן")+(K160:O160="לא")*(P160:T160="לא")+0.5*(P160:T160="חלקית")*((K160:O160="כן")+(K160:O160="לא")))/SUMPRODUCT(((K160:O160="כן")+(K160:O160="לא"))*(P160:T160&lt;&gt;"")),""))</f>
      </c>
      <c r="AD160" s="26">
        <f>IF($A160="","",SUMPRODUCT((K160:O160="כן")*(P160:T160="לא")))</f>
      </c>
      <c r="AE160" s="26">
        <f>IF($A160="","",SUMPRODUCT((K160:O160="לא")*(P160:T160="כן")))</f>
      </c>
      <c r="AF160" s="26">
        <f>IF($A160="","",COUNTIF(U160:W160,"כן"))</f>
      </c>
      <c r="AG160" s="26">
        <f>IF($A160="","",IF(AA160&lt;&gt;"מלא",0,IF(OR(AC160="",N(AC160)&lt;0.6),1,IF(AND(AF160&gt;=2,N(X160)&gt;=2),3,2))))</f>
      </c>
    </row>
    <row r="161" ht="15" customHeight="1" spans="1:33" x14ac:dyDescent="0.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6">
        <f>IF($A161="","",$A161&amp;"|"&amp;$C161)</f>
      </c>
      <c r="AA161" s="26">
        <f>IF($A161="","",IF(OR(H161="לא נבדק",H161=""),"לא נבדק",IF(AND(H161="בחר/ה בעצמו/ה",I161="כן",J161="לא"),"מלא",IF(OR(H161="בחר/ה בעצמו/ה",I161="כן"),"חלקי","עדיין לא"))))</f>
      </c>
      <c r="AB161" s="26">
        <f>IF($A161="","",COUNTIF(K161:O161,"כן"))</f>
      </c>
      <c r="AC161" s="27">
        <f>IF($A161="","",IFERROR(SUMPRODUCT((K161:O161="כן")*(P161:T161="כן")+(K161:O161="לא")*(P161:T161="לא")+0.5*(P161:T161="חלקית")*((K161:O161="כן")+(K161:O161="לא")))/SUMPRODUCT(((K161:O161="כן")+(K161:O161="לא"))*(P161:T161&lt;&gt;"")),""))</f>
      </c>
      <c r="AD161" s="26">
        <f>IF($A161="","",SUMPRODUCT((K161:O161="כן")*(P161:T161="לא")))</f>
      </c>
      <c r="AE161" s="26">
        <f>IF($A161="","",SUMPRODUCT((K161:O161="לא")*(P161:T161="כן")))</f>
      </c>
      <c r="AF161" s="26">
        <f>IF($A161="","",COUNTIF(U161:W161,"כן"))</f>
      </c>
      <c r="AG161" s="26">
        <f>IF($A161="","",IF(AA161&lt;&gt;"מלא",0,IF(OR(AC161="",N(AC161)&lt;0.6),1,IF(AND(AF161&gt;=2,N(X161)&gt;=2),3,2))))</f>
      </c>
    </row>
    <row r="162" ht="15" customHeight="1" spans="1:33" x14ac:dyDescent="0.2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6">
        <f>IF($A162="","",$A162&amp;"|"&amp;$C162)</f>
      </c>
      <c r="AA162" s="26">
        <f>IF($A162="","",IF(OR(H162="לא נבדק",H162=""),"לא נבדק",IF(AND(H162="בחר/ה בעצמו/ה",I162="כן",J162="לא"),"מלא",IF(OR(H162="בחר/ה בעצמו/ה",I162="כן"),"חלקי","עדיין לא"))))</f>
      </c>
      <c r="AB162" s="26">
        <f>IF($A162="","",COUNTIF(K162:O162,"כן"))</f>
      </c>
      <c r="AC162" s="27">
        <f>IF($A162="","",IFERROR(SUMPRODUCT((K162:O162="כן")*(P162:T162="כן")+(K162:O162="לא")*(P162:T162="לא")+0.5*(P162:T162="חלקית")*((K162:O162="כן")+(K162:O162="לא")))/SUMPRODUCT(((K162:O162="כן")+(K162:O162="לא"))*(P162:T162&lt;&gt;"")),""))</f>
      </c>
      <c r="AD162" s="26">
        <f>IF($A162="","",SUMPRODUCT((K162:O162="כן")*(P162:T162="לא")))</f>
      </c>
      <c r="AE162" s="26">
        <f>IF($A162="","",SUMPRODUCT((K162:O162="לא")*(P162:T162="כן")))</f>
      </c>
      <c r="AF162" s="26">
        <f>IF($A162="","",COUNTIF(U162:W162,"כן"))</f>
      </c>
      <c r="AG162" s="26">
        <f>IF($A162="","",IF(AA162&lt;&gt;"מלא",0,IF(OR(AC162="",N(AC162)&lt;0.6),1,IF(AND(AF162&gt;=2,N(X162)&gt;=2),3,2))))</f>
      </c>
    </row>
    <row r="163" ht="15" customHeight="1" spans="1:33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6">
        <f>IF($A163="","",$A163&amp;"|"&amp;$C163)</f>
      </c>
      <c r="AA163" s="26">
        <f>IF($A163="","",IF(OR(H163="לא נבדק",H163=""),"לא נבדק",IF(AND(H163="בחר/ה בעצמו/ה",I163="כן",J163="לא"),"מלא",IF(OR(H163="בחר/ה בעצמו/ה",I163="כן"),"חלקי","עדיין לא"))))</f>
      </c>
      <c r="AB163" s="26">
        <f>IF($A163="","",COUNTIF(K163:O163,"כן"))</f>
      </c>
      <c r="AC163" s="27">
        <f>IF($A163="","",IFERROR(SUMPRODUCT((K163:O163="כן")*(P163:T163="כן")+(K163:O163="לא")*(P163:T163="לא")+0.5*(P163:T163="חלקית")*((K163:O163="כן")+(K163:O163="לא")))/SUMPRODUCT(((K163:O163="כן")+(K163:O163="לא"))*(P163:T163&lt;&gt;"")),""))</f>
      </c>
      <c r="AD163" s="26">
        <f>IF($A163="","",SUMPRODUCT((K163:O163="כן")*(P163:T163="לא")))</f>
      </c>
      <c r="AE163" s="26">
        <f>IF($A163="","",SUMPRODUCT((K163:O163="לא")*(P163:T163="כן")))</f>
      </c>
      <c r="AF163" s="26">
        <f>IF($A163="","",COUNTIF(U163:W163,"כן"))</f>
      </c>
      <c r="AG163" s="26">
        <f>IF($A163="","",IF(AA163&lt;&gt;"מלא",0,IF(OR(AC163="",N(AC163)&lt;0.6),1,IF(AND(AF163&gt;=2,N(X163)&gt;=2),3,2))))</f>
      </c>
    </row>
    <row r="164" ht="15" customHeight="1" spans="1:33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6">
        <f>IF($A164="","",$A164&amp;"|"&amp;$C164)</f>
      </c>
      <c r="AA164" s="26">
        <f>IF($A164="","",IF(OR(H164="לא נבדק",H164=""),"לא נבדק",IF(AND(H164="בחר/ה בעצמו/ה",I164="כן",J164="לא"),"מלא",IF(OR(H164="בחר/ה בעצמו/ה",I164="כן"),"חלקי","עדיין לא"))))</f>
      </c>
      <c r="AB164" s="26">
        <f>IF($A164="","",COUNTIF(K164:O164,"כן"))</f>
      </c>
      <c r="AC164" s="27">
        <f>IF($A164="","",IFERROR(SUMPRODUCT((K164:O164="כן")*(P164:T164="כן")+(K164:O164="לא")*(P164:T164="לא")+0.5*(P164:T164="חלקית")*((K164:O164="כן")+(K164:O164="לא")))/SUMPRODUCT(((K164:O164="כן")+(K164:O164="לא"))*(P164:T164&lt;&gt;"")),""))</f>
      </c>
      <c r="AD164" s="26">
        <f>IF($A164="","",SUMPRODUCT((K164:O164="כן")*(P164:T164="לא")))</f>
      </c>
      <c r="AE164" s="26">
        <f>IF($A164="","",SUMPRODUCT((K164:O164="לא")*(P164:T164="כן")))</f>
      </c>
      <c r="AF164" s="26">
        <f>IF($A164="","",COUNTIF(U164:W164,"כן"))</f>
      </c>
      <c r="AG164" s="26">
        <f>IF($A164="","",IF(AA164&lt;&gt;"מלא",0,IF(OR(AC164="",N(AC164)&lt;0.6),1,IF(AND(AF164&gt;=2,N(X164)&gt;=2),3,2))))</f>
      </c>
    </row>
    <row r="165" ht="15" customHeight="1" spans="1:33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6">
        <f>IF($A165="","",$A165&amp;"|"&amp;$C165)</f>
      </c>
      <c r="AA165" s="26">
        <f>IF($A165="","",IF(OR(H165="לא נבדק",H165=""),"לא נבדק",IF(AND(H165="בחר/ה בעצמו/ה",I165="כן",J165="לא"),"מלא",IF(OR(H165="בחר/ה בעצמו/ה",I165="כן"),"חלקי","עדיין לא"))))</f>
      </c>
      <c r="AB165" s="26">
        <f>IF($A165="","",COUNTIF(K165:O165,"כן"))</f>
      </c>
      <c r="AC165" s="27">
        <f>IF($A165="","",IFERROR(SUMPRODUCT((K165:O165="כן")*(P165:T165="כן")+(K165:O165="לא")*(P165:T165="לא")+0.5*(P165:T165="חלקית")*((K165:O165="כן")+(K165:O165="לא")))/SUMPRODUCT(((K165:O165="כן")+(K165:O165="לא"))*(P165:T165&lt;&gt;"")),""))</f>
      </c>
      <c r="AD165" s="26">
        <f>IF($A165="","",SUMPRODUCT((K165:O165="כן")*(P165:T165="לא")))</f>
      </c>
      <c r="AE165" s="26">
        <f>IF($A165="","",SUMPRODUCT((K165:O165="לא")*(P165:T165="כן")))</f>
      </c>
      <c r="AF165" s="26">
        <f>IF($A165="","",COUNTIF(U165:W165,"כן"))</f>
      </c>
      <c r="AG165" s="26">
        <f>IF($A165="","",IF(AA165&lt;&gt;"מלא",0,IF(OR(AC165="",N(AC165)&lt;0.6),1,IF(AND(AF165&gt;=2,N(X165)&gt;=2),3,2))))</f>
      </c>
    </row>
    <row r="166" ht="15" customHeight="1" spans="1:33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6">
        <f>IF($A166="","",$A166&amp;"|"&amp;$C166)</f>
      </c>
      <c r="AA166" s="26">
        <f>IF($A166="","",IF(OR(H166="לא נבדק",H166=""),"לא נבדק",IF(AND(H166="בחר/ה בעצמו/ה",I166="כן",J166="לא"),"מלא",IF(OR(H166="בחר/ה בעצמו/ה",I166="כן"),"חלקי","עדיין לא"))))</f>
      </c>
      <c r="AB166" s="26">
        <f>IF($A166="","",COUNTIF(K166:O166,"כן"))</f>
      </c>
      <c r="AC166" s="27">
        <f>IF($A166="","",IFERROR(SUMPRODUCT((K166:O166="כן")*(P166:T166="כן")+(K166:O166="לא")*(P166:T166="לא")+0.5*(P166:T166="חלקית")*((K166:O166="כן")+(K166:O166="לא")))/SUMPRODUCT(((K166:O166="כן")+(K166:O166="לא"))*(P166:T166&lt;&gt;"")),""))</f>
      </c>
      <c r="AD166" s="26">
        <f>IF($A166="","",SUMPRODUCT((K166:O166="כן")*(P166:T166="לא")))</f>
      </c>
      <c r="AE166" s="26">
        <f>IF($A166="","",SUMPRODUCT((K166:O166="לא")*(P166:T166="כן")))</f>
      </c>
      <c r="AF166" s="26">
        <f>IF($A166="","",COUNTIF(U166:W166,"כן"))</f>
      </c>
      <c r="AG166" s="26">
        <f>IF($A166="","",IF(AA166&lt;&gt;"מלא",0,IF(OR(AC166="",N(AC166)&lt;0.6),1,IF(AND(AF166&gt;=2,N(X166)&gt;=2),3,2))))</f>
      </c>
    </row>
    <row r="167" ht="15" customHeight="1" spans="1:33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6">
        <f>IF($A167="","",$A167&amp;"|"&amp;$C167)</f>
      </c>
      <c r="AA167" s="26">
        <f>IF($A167="","",IF(OR(H167="לא נבדק",H167=""),"לא נבדק",IF(AND(H167="בחר/ה בעצמו/ה",I167="כן",J167="לא"),"מלא",IF(OR(H167="בחר/ה בעצמו/ה",I167="כן"),"חלקי","עדיין לא"))))</f>
      </c>
      <c r="AB167" s="26">
        <f>IF($A167="","",COUNTIF(K167:O167,"כן"))</f>
      </c>
      <c r="AC167" s="27">
        <f>IF($A167="","",IFERROR(SUMPRODUCT((K167:O167="כן")*(P167:T167="כן")+(K167:O167="לא")*(P167:T167="לא")+0.5*(P167:T167="חלקית")*((K167:O167="כן")+(K167:O167="לא")))/SUMPRODUCT(((K167:O167="כן")+(K167:O167="לא"))*(P167:T167&lt;&gt;"")),""))</f>
      </c>
      <c r="AD167" s="26">
        <f>IF($A167="","",SUMPRODUCT((K167:O167="כן")*(P167:T167="לא")))</f>
      </c>
      <c r="AE167" s="26">
        <f>IF($A167="","",SUMPRODUCT((K167:O167="לא")*(P167:T167="כן")))</f>
      </c>
      <c r="AF167" s="26">
        <f>IF($A167="","",COUNTIF(U167:W167,"כן"))</f>
      </c>
      <c r="AG167" s="26">
        <f>IF($A167="","",IF(AA167&lt;&gt;"מלא",0,IF(OR(AC167="",N(AC167)&lt;0.6),1,IF(AND(AF167&gt;=2,N(X167)&gt;=2),3,2))))</f>
      </c>
    </row>
    <row r="168" ht="15" customHeight="1" spans="1:33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6">
        <f>IF($A168="","",$A168&amp;"|"&amp;$C168)</f>
      </c>
      <c r="AA168" s="26">
        <f>IF($A168="","",IF(OR(H168="לא נבדק",H168=""),"לא נבדק",IF(AND(H168="בחר/ה בעצמו/ה",I168="כן",J168="לא"),"מלא",IF(OR(H168="בחר/ה בעצמו/ה",I168="כן"),"חלקי","עדיין לא"))))</f>
      </c>
      <c r="AB168" s="26">
        <f>IF($A168="","",COUNTIF(K168:O168,"כן"))</f>
      </c>
      <c r="AC168" s="27">
        <f>IF($A168="","",IFERROR(SUMPRODUCT((K168:O168="כן")*(P168:T168="כן")+(K168:O168="לא")*(P168:T168="לא")+0.5*(P168:T168="חלקית")*((K168:O168="כן")+(K168:O168="לא")))/SUMPRODUCT(((K168:O168="כן")+(K168:O168="לא"))*(P168:T168&lt;&gt;"")),""))</f>
      </c>
      <c r="AD168" s="26">
        <f>IF($A168="","",SUMPRODUCT((K168:O168="כן")*(P168:T168="לא")))</f>
      </c>
      <c r="AE168" s="26">
        <f>IF($A168="","",SUMPRODUCT((K168:O168="לא")*(P168:T168="כן")))</f>
      </c>
      <c r="AF168" s="26">
        <f>IF($A168="","",COUNTIF(U168:W168,"כן"))</f>
      </c>
      <c r="AG168" s="26">
        <f>IF($A168="","",IF(AA168&lt;&gt;"מלא",0,IF(OR(AC168="",N(AC168)&lt;0.6),1,IF(AND(AF168&gt;=2,N(X168)&gt;=2),3,2))))</f>
      </c>
    </row>
    <row r="169" ht="15" customHeight="1" spans="1:33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6">
        <f>IF($A169="","",$A169&amp;"|"&amp;$C169)</f>
      </c>
      <c r="AA169" s="26">
        <f>IF($A169="","",IF(OR(H169="לא נבדק",H169=""),"לא נבדק",IF(AND(H169="בחר/ה בעצמו/ה",I169="כן",J169="לא"),"מלא",IF(OR(H169="בחר/ה בעצמו/ה",I169="כן"),"חלקי","עדיין לא"))))</f>
      </c>
      <c r="AB169" s="26">
        <f>IF($A169="","",COUNTIF(K169:O169,"כן"))</f>
      </c>
      <c r="AC169" s="27">
        <f>IF($A169="","",IFERROR(SUMPRODUCT((K169:O169="כן")*(P169:T169="כן")+(K169:O169="לא")*(P169:T169="לא")+0.5*(P169:T169="חלקית")*((K169:O169="כן")+(K169:O169="לא")))/SUMPRODUCT(((K169:O169="כן")+(K169:O169="לא"))*(P169:T169&lt;&gt;"")),""))</f>
      </c>
      <c r="AD169" s="26">
        <f>IF($A169="","",SUMPRODUCT((K169:O169="כן")*(P169:T169="לא")))</f>
      </c>
      <c r="AE169" s="26">
        <f>IF($A169="","",SUMPRODUCT((K169:O169="לא")*(P169:T169="כן")))</f>
      </c>
      <c r="AF169" s="26">
        <f>IF($A169="","",COUNTIF(U169:W169,"כן"))</f>
      </c>
      <c r="AG169" s="26">
        <f>IF($A169="","",IF(AA169&lt;&gt;"מלא",0,IF(OR(AC169="",N(AC169)&lt;0.6),1,IF(AND(AF169&gt;=2,N(X169)&gt;=2),3,2))))</f>
      </c>
    </row>
    <row r="170" ht="15" customHeight="1" spans="1:33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6">
        <f>IF($A170="","",$A170&amp;"|"&amp;$C170)</f>
      </c>
      <c r="AA170" s="26">
        <f>IF($A170="","",IF(OR(H170="לא נבדק",H170=""),"לא נבדק",IF(AND(H170="בחר/ה בעצמו/ה",I170="כן",J170="לא"),"מלא",IF(OR(H170="בחר/ה בעצמו/ה",I170="כן"),"חלקי","עדיין לא"))))</f>
      </c>
      <c r="AB170" s="26">
        <f>IF($A170="","",COUNTIF(K170:O170,"כן"))</f>
      </c>
      <c r="AC170" s="27">
        <f>IF($A170="","",IFERROR(SUMPRODUCT((K170:O170="כן")*(P170:T170="כן")+(K170:O170="לא")*(P170:T170="לא")+0.5*(P170:T170="חלקית")*((K170:O170="כן")+(K170:O170="לא")))/SUMPRODUCT(((K170:O170="כן")+(K170:O170="לא"))*(P170:T170&lt;&gt;"")),""))</f>
      </c>
      <c r="AD170" s="26">
        <f>IF($A170="","",SUMPRODUCT((K170:O170="כן")*(P170:T170="לא")))</f>
      </c>
      <c r="AE170" s="26">
        <f>IF($A170="","",SUMPRODUCT((K170:O170="לא")*(P170:T170="כן")))</f>
      </c>
      <c r="AF170" s="26">
        <f>IF($A170="","",COUNTIF(U170:W170,"כן"))</f>
      </c>
      <c r="AG170" s="26">
        <f>IF($A170="","",IF(AA170&lt;&gt;"מלא",0,IF(OR(AC170="",N(AC170)&lt;0.6),1,IF(AND(AF170&gt;=2,N(X170)&gt;=2),3,2))))</f>
      </c>
    </row>
    <row r="171" ht="15" customHeight="1" spans="1:33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6">
        <f>IF($A171="","",$A171&amp;"|"&amp;$C171)</f>
      </c>
      <c r="AA171" s="26">
        <f>IF($A171="","",IF(OR(H171="לא נבדק",H171=""),"לא נבדק",IF(AND(H171="בחר/ה בעצמו/ה",I171="כן",J171="לא"),"מלא",IF(OR(H171="בחר/ה בעצמו/ה",I171="כן"),"חלקי","עדיין לא"))))</f>
      </c>
      <c r="AB171" s="26">
        <f>IF($A171="","",COUNTIF(K171:O171,"כן"))</f>
      </c>
      <c r="AC171" s="27">
        <f>IF($A171="","",IFERROR(SUMPRODUCT((K171:O171="כן")*(P171:T171="כן")+(K171:O171="לא")*(P171:T171="לא")+0.5*(P171:T171="חלקית")*((K171:O171="כן")+(K171:O171="לא")))/SUMPRODUCT(((K171:O171="כן")+(K171:O171="לא"))*(P171:T171&lt;&gt;"")),""))</f>
      </c>
      <c r="AD171" s="26">
        <f>IF($A171="","",SUMPRODUCT((K171:O171="כן")*(P171:T171="לא")))</f>
      </c>
      <c r="AE171" s="26">
        <f>IF($A171="","",SUMPRODUCT((K171:O171="לא")*(P171:T171="כן")))</f>
      </c>
      <c r="AF171" s="26">
        <f>IF($A171="","",COUNTIF(U171:W171,"כן"))</f>
      </c>
      <c r="AG171" s="26">
        <f>IF($A171="","",IF(AA171&lt;&gt;"מלא",0,IF(OR(AC171="",N(AC171)&lt;0.6),1,IF(AND(AF171&gt;=2,N(X171)&gt;=2),3,2))))</f>
      </c>
    </row>
    <row r="172" ht="15" customHeight="1" spans="1:33" x14ac:dyDescent="0.2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6">
        <f>IF($A172="","",$A172&amp;"|"&amp;$C172)</f>
      </c>
      <c r="AA172" s="26">
        <f>IF($A172="","",IF(OR(H172="לא נבדק",H172=""),"לא נבדק",IF(AND(H172="בחר/ה בעצמו/ה",I172="כן",J172="לא"),"מלא",IF(OR(H172="בחר/ה בעצמו/ה",I172="כן"),"חלקי","עדיין לא"))))</f>
      </c>
      <c r="AB172" s="26">
        <f>IF($A172="","",COUNTIF(K172:O172,"כן"))</f>
      </c>
      <c r="AC172" s="27">
        <f>IF($A172="","",IFERROR(SUMPRODUCT((K172:O172="כן")*(P172:T172="כן")+(K172:O172="לא")*(P172:T172="לא")+0.5*(P172:T172="חלקית")*((K172:O172="כן")+(K172:O172="לא")))/SUMPRODUCT(((K172:O172="כן")+(K172:O172="לא"))*(P172:T172&lt;&gt;"")),""))</f>
      </c>
      <c r="AD172" s="26">
        <f>IF($A172="","",SUMPRODUCT((K172:O172="כן")*(P172:T172="לא")))</f>
      </c>
      <c r="AE172" s="26">
        <f>IF($A172="","",SUMPRODUCT((K172:O172="לא")*(P172:T172="כן")))</f>
      </c>
      <c r="AF172" s="26">
        <f>IF($A172="","",COUNTIF(U172:W172,"כן"))</f>
      </c>
      <c r="AG172" s="26">
        <f>IF($A172="","",IF(AA172&lt;&gt;"מלא",0,IF(OR(AC172="",N(AC172)&lt;0.6),1,IF(AND(AF172&gt;=2,N(X172)&gt;=2),3,2))))</f>
      </c>
    </row>
    <row r="173" ht="15" customHeight="1" spans="1:33" x14ac:dyDescent="0.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6">
        <f>IF($A173="","",$A173&amp;"|"&amp;$C173)</f>
      </c>
      <c r="AA173" s="26">
        <f>IF($A173="","",IF(OR(H173="לא נבדק",H173=""),"לא נבדק",IF(AND(H173="בחר/ה בעצמו/ה",I173="כן",J173="לא"),"מלא",IF(OR(H173="בחר/ה בעצמו/ה",I173="כן"),"חלקי","עדיין לא"))))</f>
      </c>
      <c r="AB173" s="26">
        <f>IF($A173="","",COUNTIF(K173:O173,"כן"))</f>
      </c>
      <c r="AC173" s="27">
        <f>IF($A173="","",IFERROR(SUMPRODUCT((K173:O173="כן")*(P173:T173="כן")+(K173:O173="לא")*(P173:T173="לא")+0.5*(P173:T173="חלקית")*((K173:O173="כן")+(K173:O173="לא")))/SUMPRODUCT(((K173:O173="כן")+(K173:O173="לא"))*(P173:T173&lt;&gt;"")),""))</f>
      </c>
      <c r="AD173" s="26">
        <f>IF($A173="","",SUMPRODUCT((K173:O173="כן")*(P173:T173="לא")))</f>
      </c>
      <c r="AE173" s="26">
        <f>IF($A173="","",SUMPRODUCT((K173:O173="לא")*(P173:T173="כן")))</f>
      </c>
      <c r="AF173" s="26">
        <f>IF($A173="","",COUNTIF(U173:W173,"כן"))</f>
      </c>
      <c r="AG173" s="26">
        <f>IF($A173="","",IF(AA173&lt;&gt;"מלא",0,IF(OR(AC173="",N(AC173)&lt;0.6),1,IF(AND(AF173&gt;=2,N(X173)&gt;=2),3,2))))</f>
      </c>
    </row>
    <row r="174" ht="15" customHeight="1" spans="1:33" x14ac:dyDescent="0.2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6">
        <f>IF($A174="","",$A174&amp;"|"&amp;$C174)</f>
      </c>
      <c r="AA174" s="26">
        <f>IF($A174="","",IF(OR(H174="לא נבדק",H174=""),"לא נבדק",IF(AND(H174="בחר/ה בעצמו/ה",I174="כן",J174="לא"),"מלא",IF(OR(H174="בחר/ה בעצמו/ה",I174="כן"),"חלקי","עדיין לא"))))</f>
      </c>
      <c r="AB174" s="26">
        <f>IF($A174="","",COUNTIF(K174:O174,"כן"))</f>
      </c>
      <c r="AC174" s="27">
        <f>IF($A174="","",IFERROR(SUMPRODUCT((K174:O174="כן")*(P174:T174="כן")+(K174:O174="לא")*(P174:T174="לא")+0.5*(P174:T174="חלקית")*((K174:O174="כן")+(K174:O174="לא")))/SUMPRODUCT(((K174:O174="כן")+(K174:O174="לא"))*(P174:T174&lt;&gt;"")),""))</f>
      </c>
      <c r="AD174" s="26">
        <f>IF($A174="","",SUMPRODUCT((K174:O174="כן")*(P174:T174="לא")))</f>
      </c>
      <c r="AE174" s="26">
        <f>IF($A174="","",SUMPRODUCT((K174:O174="לא")*(P174:T174="כן")))</f>
      </c>
      <c r="AF174" s="26">
        <f>IF($A174="","",COUNTIF(U174:W174,"כן"))</f>
      </c>
      <c r="AG174" s="26">
        <f>IF($A174="","",IF(AA174&lt;&gt;"מלא",0,IF(OR(AC174="",N(AC174)&lt;0.6),1,IF(AND(AF174&gt;=2,N(X174)&gt;=2),3,2))))</f>
      </c>
    </row>
    <row r="175" ht="15" customHeight="1" spans="1:33" x14ac:dyDescent="0.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6">
        <f>IF($A175="","",$A175&amp;"|"&amp;$C175)</f>
      </c>
      <c r="AA175" s="26">
        <f>IF($A175="","",IF(OR(H175="לא נבדק",H175=""),"לא נבדק",IF(AND(H175="בחר/ה בעצמו/ה",I175="כן",J175="לא"),"מלא",IF(OR(H175="בחר/ה בעצמו/ה",I175="כן"),"חלקי","עדיין לא"))))</f>
      </c>
      <c r="AB175" s="26">
        <f>IF($A175="","",COUNTIF(K175:O175,"כן"))</f>
      </c>
      <c r="AC175" s="27">
        <f>IF($A175="","",IFERROR(SUMPRODUCT((K175:O175="כן")*(P175:T175="כן")+(K175:O175="לא")*(P175:T175="לא")+0.5*(P175:T175="חלקית")*((K175:O175="כן")+(K175:O175="לא")))/SUMPRODUCT(((K175:O175="כן")+(K175:O175="לא"))*(P175:T175&lt;&gt;"")),""))</f>
      </c>
      <c r="AD175" s="26">
        <f>IF($A175="","",SUMPRODUCT((K175:O175="כן")*(P175:T175="לא")))</f>
      </c>
      <c r="AE175" s="26">
        <f>IF($A175="","",SUMPRODUCT((K175:O175="לא")*(P175:T175="כן")))</f>
      </c>
      <c r="AF175" s="26">
        <f>IF($A175="","",COUNTIF(U175:W175,"כן"))</f>
      </c>
      <c r="AG175" s="26">
        <f>IF($A175="","",IF(AA175&lt;&gt;"מלא",0,IF(OR(AC175="",N(AC175)&lt;0.6),1,IF(AND(AF175&gt;=2,N(X175)&gt;=2),3,2))))</f>
      </c>
    </row>
    <row r="176" ht="15" customHeight="1" spans="1:33" x14ac:dyDescent="0.2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6">
        <f>IF($A176="","",$A176&amp;"|"&amp;$C176)</f>
      </c>
      <c r="AA176" s="26">
        <f>IF($A176="","",IF(OR(H176="לא נבדק",H176=""),"לא נבדק",IF(AND(H176="בחר/ה בעצמו/ה",I176="כן",J176="לא"),"מלא",IF(OR(H176="בחר/ה בעצמו/ה",I176="כן"),"חלקי","עדיין לא"))))</f>
      </c>
      <c r="AB176" s="26">
        <f>IF($A176="","",COUNTIF(K176:O176,"כן"))</f>
      </c>
      <c r="AC176" s="27">
        <f>IF($A176="","",IFERROR(SUMPRODUCT((K176:O176="כן")*(P176:T176="כן")+(K176:O176="לא")*(P176:T176="לא")+0.5*(P176:T176="חלקית")*((K176:O176="כן")+(K176:O176="לא")))/SUMPRODUCT(((K176:O176="כן")+(K176:O176="לא"))*(P176:T176&lt;&gt;"")),""))</f>
      </c>
      <c r="AD176" s="26">
        <f>IF($A176="","",SUMPRODUCT((K176:O176="כן")*(P176:T176="לא")))</f>
      </c>
      <c r="AE176" s="26">
        <f>IF($A176="","",SUMPRODUCT((K176:O176="לא")*(P176:T176="כן")))</f>
      </c>
      <c r="AF176" s="26">
        <f>IF($A176="","",COUNTIF(U176:W176,"כן"))</f>
      </c>
      <c r="AG176" s="26">
        <f>IF($A176="","",IF(AA176&lt;&gt;"מלא",0,IF(OR(AC176="",N(AC176)&lt;0.6),1,IF(AND(AF176&gt;=2,N(X176)&gt;=2),3,2))))</f>
      </c>
    </row>
    <row r="177" ht="15" customHeight="1" spans="1:33" x14ac:dyDescent="0.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6">
        <f>IF($A177="","",$A177&amp;"|"&amp;$C177)</f>
      </c>
      <c r="AA177" s="26">
        <f>IF($A177="","",IF(OR(H177="לא נבדק",H177=""),"לא נבדק",IF(AND(H177="בחר/ה בעצמו/ה",I177="כן",J177="לא"),"מלא",IF(OR(H177="בחר/ה בעצמו/ה",I177="כן"),"חלקי","עדיין לא"))))</f>
      </c>
      <c r="AB177" s="26">
        <f>IF($A177="","",COUNTIF(K177:O177,"כן"))</f>
      </c>
      <c r="AC177" s="27">
        <f>IF($A177="","",IFERROR(SUMPRODUCT((K177:O177="כן")*(P177:T177="כן")+(K177:O177="לא")*(P177:T177="לא")+0.5*(P177:T177="חלקית")*((K177:O177="כן")+(K177:O177="לא")))/SUMPRODUCT(((K177:O177="כן")+(K177:O177="לא"))*(P177:T177&lt;&gt;"")),""))</f>
      </c>
      <c r="AD177" s="26">
        <f>IF($A177="","",SUMPRODUCT((K177:O177="כן")*(P177:T177="לא")))</f>
      </c>
      <c r="AE177" s="26">
        <f>IF($A177="","",SUMPRODUCT((K177:O177="לא")*(P177:T177="כן")))</f>
      </c>
      <c r="AF177" s="26">
        <f>IF($A177="","",COUNTIF(U177:W177,"כן"))</f>
      </c>
      <c r="AG177" s="26">
        <f>IF($A177="","",IF(AA177&lt;&gt;"מלא",0,IF(OR(AC177="",N(AC177)&lt;0.6),1,IF(AND(AF177&gt;=2,N(X177)&gt;=2),3,2))))</f>
      </c>
    </row>
    <row r="178" ht="15" customHeight="1" spans="1:33" x14ac:dyDescent="0.2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6">
        <f>IF($A178="","",$A178&amp;"|"&amp;$C178)</f>
      </c>
      <c r="AA178" s="26">
        <f>IF($A178="","",IF(OR(H178="לא נבדק",H178=""),"לא נבדק",IF(AND(H178="בחר/ה בעצמו/ה",I178="כן",J178="לא"),"מלא",IF(OR(H178="בחר/ה בעצמו/ה",I178="כן"),"חלקי","עדיין לא"))))</f>
      </c>
      <c r="AB178" s="26">
        <f>IF($A178="","",COUNTIF(K178:O178,"כן"))</f>
      </c>
      <c r="AC178" s="27">
        <f>IF($A178="","",IFERROR(SUMPRODUCT((K178:O178="כן")*(P178:T178="כן")+(K178:O178="לא")*(P178:T178="לא")+0.5*(P178:T178="חלקית")*((K178:O178="כן")+(K178:O178="לא")))/SUMPRODUCT(((K178:O178="כן")+(K178:O178="לא"))*(P178:T178&lt;&gt;"")),""))</f>
      </c>
      <c r="AD178" s="26">
        <f>IF($A178="","",SUMPRODUCT((K178:O178="כן")*(P178:T178="לא")))</f>
      </c>
      <c r="AE178" s="26">
        <f>IF($A178="","",SUMPRODUCT((K178:O178="לא")*(P178:T178="כן")))</f>
      </c>
      <c r="AF178" s="26">
        <f>IF($A178="","",COUNTIF(U178:W178,"כן"))</f>
      </c>
      <c r="AG178" s="26">
        <f>IF($A178="","",IF(AA178&lt;&gt;"מלא",0,IF(OR(AC178="",N(AC178)&lt;0.6),1,IF(AND(AF178&gt;=2,N(X178)&gt;=2),3,2))))</f>
      </c>
    </row>
    <row r="179" ht="15" customHeight="1" spans="1:33" x14ac:dyDescent="0.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6">
        <f>IF($A179="","",$A179&amp;"|"&amp;$C179)</f>
      </c>
      <c r="AA179" s="26">
        <f>IF($A179="","",IF(OR(H179="לא נבדק",H179=""),"לא נבדק",IF(AND(H179="בחר/ה בעצמו/ה",I179="כן",J179="לא"),"מלא",IF(OR(H179="בחר/ה בעצמו/ה",I179="כן"),"חלקי","עדיין לא"))))</f>
      </c>
      <c r="AB179" s="26">
        <f>IF($A179="","",COUNTIF(K179:O179,"כן"))</f>
      </c>
      <c r="AC179" s="27">
        <f>IF($A179="","",IFERROR(SUMPRODUCT((K179:O179="כן")*(P179:T179="כן")+(K179:O179="לא")*(P179:T179="לא")+0.5*(P179:T179="חלקית")*((K179:O179="כן")+(K179:O179="לא")))/SUMPRODUCT(((K179:O179="כן")+(K179:O179="לא"))*(P179:T179&lt;&gt;"")),""))</f>
      </c>
      <c r="AD179" s="26">
        <f>IF($A179="","",SUMPRODUCT((K179:O179="כן")*(P179:T179="לא")))</f>
      </c>
      <c r="AE179" s="26">
        <f>IF($A179="","",SUMPRODUCT((K179:O179="לא")*(P179:T179="כן")))</f>
      </c>
      <c r="AF179" s="26">
        <f>IF($A179="","",COUNTIF(U179:W179,"כן"))</f>
      </c>
      <c r="AG179" s="26">
        <f>IF($A179="","",IF(AA179&lt;&gt;"מלא",0,IF(OR(AC179="",N(AC179)&lt;0.6),1,IF(AND(AF179&gt;=2,N(X179)&gt;=2),3,2))))</f>
      </c>
    </row>
    <row r="180" ht="15" customHeight="1" spans="1:33" x14ac:dyDescent="0.2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6">
        <f>IF($A180="","",$A180&amp;"|"&amp;$C180)</f>
      </c>
      <c r="AA180" s="26">
        <f>IF($A180="","",IF(OR(H180="לא נבדק",H180=""),"לא נבדק",IF(AND(H180="בחר/ה בעצמו/ה",I180="כן",J180="לא"),"מלא",IF(OR(H180="בחר/ה בעצמו/ה",I180="כן"),"חלקי","עדיין לא"))))</f>
      </c>
      <c r="AB180" s="26">
        <f>IF($A180="","",COUNTIF(K180:O180,"כן"))</f>
      </c>
      <c r="AC180" s="27">
        <f>IF($A180="","",IFERROR(SUMPRODUCT((K180:O180="כן")*(P180:T180="כן")+(K180:O180="לא")*(P180:T180="לא")+0.5*(P180:T180="חלקית")*((K180:O180="כן")+(K180:O180="לא")))/SUMPRODUCT(((K180:O180="כן")+(K180:O180="לא"))*(P180:T180&lt;&gt;"")),""))</f>
      </c>
      <c r="AD180" s="26">
        <f>IF($A180="","",SUMPRODUCT((K180:O180="כן")*(P180:T180="לא")))</f>
      </c>
      <c r="AE180" s="26">
        <f>IF($A180="","",SUMPRODUCT((K180:O180="לא")*(P180:T180="כן")))</f>
      </c>
      <c r="AF180" s="26">
        <f>IF($A180="","",COUNTIF(U180:W180,"כן"))</f>
      </c>
      <c r="AG180" s="26">
        <f>IF($A180="","",IF(AA180&lt;&gt;"מלא",0,IF(OR(AC180="",N(AC180)&lt;0.6),1,IF(AND(AF180&gt;=2,N(X180)&gt;=2),3,2))))</f>
      </c>
    </row>
    <row r="181" ht="15" customHeight="1" spans="1:33" x14ac:dyDescent="0.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6">
        <f>IF($A181="","",$A181&amp;"|"&amp;$C181)</f>
      </c>
      <c r="AA181" s="26">
        <f>IF($A181="","",IF(OR(H181="לא נבדק",H181=""),"לא נבדק",IF(AND(H181="בחר/ה בעצמו/ה",I181="כן",J181="לא"),"מלא",IF(OR(H181="בחר/ה בעצמו/ה",I181="כן"),"חלקי","עדיין לא"))))</f>
      </c>
      <c r="AB181" s="26">
        <f>IF($A181="","",COUNTIF(K181:O181,"כן"))</f>
      </c>
      <c r="AC181" s="27">
        <f>IF($A181="","",IFERROR(SUMPRODUCT((K181:O181="כן")*(P181:T181="כן")+(K181:O181="לא")*(P181:T181="לא")+0.5*(P181:T181="חלקית")*((K181:O181="כן")+(K181:O181="לא")))/SUMPRODUCT(((K181:O181="כן")+(K181:O181="לא"))*(P181:T181&lt;&gt;"")),""))</f>
      </c>
      <c r="AD181" s="26">
        <f>IF($A181="","",SUMPRODUCT((K181:O181="כן")*(P181:T181="לא")))</f>
      </c>
      <c r="AE181" s="26">
        <f>IF($A181="","",SUMPRODUCT((K181:O181="לא")*(P181:T181="כן")))</f>
      </c>
      <c r="AF181" s="26">
        <f>IF($A181="","",COUNTIF(U181:W181,"כן"))</f>
      </c>
      <c r="AG181" s="26">
        <f>IF($A181="","",IF(AA181&lt;&gt;"מלא",0,IF(OR(AC181="",N(AC181)&lt;0.6),1,IF(AND(AF181&gt;=2,N(X181)&gt;=2),3,2))))</f>
      </c>
    </row>
    <row r="182" ht="15" customHeight="1" spans="1:33" x14ac:dyDescent="0.2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6">
        <f>IF($A182="","",$A182&amp;"|"&amp;$C182)</f>
      </c>
      <c r="AA182" s="26">
        <f>IF($A182="","",IF(OR(H182="לא נבדק",H182=""),"לא נבדק",IF(AND(H182="בחר/ה בעצמו/ה",I182="כן",J182="לא"),"מלא",IF(OR(H182="בחר/ה בעצמו/ה",I182="כן"),"חלקי","עדיין לא"))))</f>
      </c>
      <c r="AB182" s="26">
        <f>IF($A182="","",COUNTIF(K182:O182,"כן"))</f>
      </c>
      <c r="AC182" s="27">
        <f>IF($A182="","",IFERROR(SUMPRODUCT((K182:O182="כן")*(P182:T182="כן")+(K182:O182="לא")*(P182:T182="לא")+0.5*(P182:T182="חלקית")*((K182:O182="כן")+(K182:O182="לא")))/SUMPRODUCT(((K182:O182="כן")+(K182:O182="לא"))*(P182:T182&lt;&gt;"")),""))</f>
      </c>
      <c r="AD182" s="26">
        <f>IF($A182="","",SUMPRODUCT((K182:O182="כן")*(P182:T182="לא")))</f>
      </c>
      <c r="AE182" s="26">
        <f>IF($A182="","",SUMPRODUCT((K182:O182="לא")*(P182:T182="כן")))</f>
      </c>
      <c r="AF182" s="26">
        <f>IF($A182="","",COUNTIF(U182:W182,"כן"))</f>
      </c>
      <c r="AG182" s="26">
        <f>IF($A182="","",IF(AA182&lt;&gt;"מלא",0,IF(OR(AC182="",N(AC182)&lt;0.6),1,IF(AND(AF182&gt;=2,N(X182)&gt;=2),3,2))))</f>
      </c>
    </row>
    <row r="183" ht="15" customHeight="1" spans="1:33" x14ac:dyDescent="0.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6">
        <f>IF($A183="","",$A183&amp;"|"&amp;$C183)</f>
      </c>
      <c r="AA183" s="26">
        <f>IF($A183="","",IF(OR(H183="לא נבדק",H183=""),"לא נבדק",IF(AND(H183="בחר/ה בעצמו/ה",I183="כן",J183="לא"),"מלא",IF(OR(H183="בחר/ה בעצמו/ה",I183="כן"),"חלקי","עדיין לא"))))</f>
      </c>
      <c r="AB183" s="26">
        <f>IF($A183="","",COUNTIF(K183:O183,"כן"))</f>
      </c>
      <c r="AC183" s="27">
        <f>IF($A183="","",IFERROR(SUMPRODUCT((K183:O183="כן")*(P183:T183="כן")+(K183:O183="לא")*(P183:T183="לא")+0.5*(P183:T183="חלקית")*((K183:O183="כן")+(K183:O183="לא")))/SUMPRODUCT(((K183:O183="כן")+(K183:O183="לא"))*(P183:T183&lt;&gt;"")),""))</f>
      </c>
      <c r="AD183" s="26">
        <f>IF($A183="","",SUMPRODUCT((K183:O183="כן")*(P183:T183="לא")))</f>
      </c>
      <c r="AE183" s="26">
        <f>IF($A183="","",SUMPRODUCT((K183:O183="לא")*(P183:T183="כן")))</f>
      </c>
      <c r="AF183" s="26">
        <f>IF($A183="","",COUNTIF(U183:W183,"כן"))</f>
      </c>
      <c r="AG183" s="26">
        <f>IF($A183="","",IF(AA183&lt;&gt;"מלא",0,IF(OR(AC183="",N(AC183)&lt;0.6),1,IF(AND(AF183&gt;=2,N(X183)&gt;=2),3,2))))</f>
      </c>
    </row>
    <row r="184" ht="15" customHeight="1" spans="1:33" x14ac:dyDescent="0.2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6">
        <f>IF($A184="","",$A184&amp;"|"&amp;$C184)</f>
      </c>
      <c r="AA184" s="26">
        <f>IF($A184="","",IF(OR(H184="לא נבדק",H184=""),"לא נבדק",IF(AND(H184="בחר/ה בעצמו/ה",I184="כן",J184="לא"),"מלא",IF(OR(H184="בחר/ה בעצמו/ה",I184="כן"),"חלקי","עדיין לא"))))</f>
      </c>
      <c r="AB184" s="26">
        <f>IF($A184="","",COUNTIF(K184:O184,"כן"))</f>
      </c>
      <c r="AC184" s="27">
        <f>IF($A184="","",IFERROR(SUMPRODUCT((K184:O184="כן")*(P184:T184="כן")+(K184:O184="לא")*(P184:T184="לא")+0.5*(P184:T184="חלקית")*((K184:O184="כן")+(K184:O184="לא")))/SUMPRODUCT(((K184:O184="כן")+(K184:O184="לא"))*(P184:T184&lt;&gt;"")),""))</f>
      </c>
      <c r="AD184" s="26">
        <f>IF($A184="","",SUMPRODUCT((K184:O184="כן")*(P184:T184="לא")))</f>
      </c>
      <c r="AE184" s="26">
        <f>IF($A184="","",SUMPRODUCT((K184:O184="לא")*(P184:T184="כן")))</f>
      </c>
      <c r="AF184" s="26">
        <f>IF($A184="","",COUNTIF(U184:W184,"כן"))</f>
      </c>
      <c r="AG184" s="26">
        <f>IF($A184="","",IF(AA184&lt;&gt;"מלא",0,IF(OR(AC184="",N(AC184)&lt;0.6),1,IF(AND(AF184&gt;=2,N(X184)&gt;=2),3,2))))</f>
      </c>
    </row>
    <row r="185" ht="15" customHeight="1" spans="1:33" x14ac:dyDescent="0.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6">
        <f>IF($A185="","",$A185&amp;"|"&amp;$C185)</f>
      </c>
      <c r="AA185" s="26">
        <f>IF($A185="","",IF(OR(H185="לא נבדק",H185=""),"לא נבדק",IF(AND(H185="בחר/ה בעצמו/ה",I185="כן",J185="לא"),"מלא",IF(OR(H185="בחר/ה בעצמו/ה",I185="כן"),"חלקי","עדיין לא"))))</f>
      </c>
      <c r="AB185" s="26">
        <f>IF($A185="","",COUNTIF(K185:O185,"כן"))</f>
      </c>
      <c r="AC185" s="27">
        <f>IF($A185="","",IFERROR(SUMPRODUCT((K185:O185="כן")*(P185:T185="כן")+(K185:O185="לא")*(P185:T185="לא")+0.5*(P185:T185="חלקית")*((K185:O185="כן")+(K185:O185="לא")))/SUMPRODUCT(((K185:O185="כן")+(K185:O185="לא"))*(P185:T185&lt;&gt;"")),""))</f>
      </c>
      <c r="AD185" s="26">
        <f>IF($A185="","",SUMPRODUCT((K185:O185="כן")*(P185:T185="לא")))</f>
      </c>
      <c r="AE185" s="26">
        <f>IF($A185="","",SUMPRODUCT((K185:O185="לא")*(P185:T185="כן")))</f>
      </c>
      <c r="AF185" s="26">
        <f>IF($A185="","",COUNTIF(U185:W185,"כן"))</f>
      </c>
      <c r="AG185" s="26">
        <f>IF($A185="","",IF(AA185&lt;&gt;"מלא",0,IF(OR(AC185="",N(AC185)&lt;0.6),1,IF(AND(AF185&gt;=2,N(X185)&gt;=2),3,2))))</f>
      </c>
    </row>
    <row r="186" ht="15" customHeight="1" spans="1:33" x14ac:dyDescent="0.2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6">
        <f>IF($A186="","",$A186&amp;"|"&amp;$C186)</f>
      </c>
      <c r="AA186" s="26">
        <f>IF($A186="","",IF(OR(H186="לא נבדק",H186=""),"לא נבדק",IF(AND(H186="בחר/ה בעצמו/ה",I186="כן",J186="לא"),"מלא",IF(OR(H186="בחר/ה בעצמו/ה",I186="כן"),"חלקי","עדיין לא"))))</f>
      </c>
      <c r="AB186" s="26">
        <f>IF($A186="","",COUNTIF(K186:O186,"כן"))</f>
      </c>
      <c r="AC186" s="27">
        <f>IF($A186="","",IFERROR(SUMPRODUCT((K186:O186="כן")*(P186:T186="כן")+(K186:O186="לא")*(P186:T186="לא")+0.5*(P186:T186="חלקית")*((K186:O186="כן")+(K186:O186="לא")))/SUMPRODUCT(((K186:O186="כן")+(K186:O186="לא"))*(P186:T186&lt;&gt;"")),""))</f>
      </c>
      <c r="AD186" s="26">
        <f>IF($A186="","",SUMPRODUCT((K186:O186="כן")*(P186:T186="לא")))</f>
      </c>
      <c r="AE186" s="26">
        <f>IF($A186="","",SUMPRODUCT((K186:O186="לא")*(P186:T186="כן")))</f>
      </c>
      <c r="AF186" s="26">
        <f>IF($A186="","",COUNTIF(U186:W186,"כן"))</f>
      </c>
      <c r="AG186" s="26">
        <f>IF($A186="","",IF(AA186&lt;&gt;"מלא",0,IF(OR(AC186="",N(AC186)&lt;0.6),1,IF(AND(AF186&gt;=2,N(X186)&gt;=2),3,2))))</f>
      </c>
    </row>
    <row r="187" ht="15" customHeight="1" spans="1:33" x14ac:dyDescent="0.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6">
        <f>IF($A187="","",$A187&amp;"|"&amp;$C187)</f>
      </c>
      <c r="AA187" s="26">
        <f>IF($A187="","",IF(OR(H187="לא נבדק",H187=""),"לא נבדק",IF(AND(H187="בחר/ה בעצמו/ה",I187="כן",J187="לא"),"מלא",IF(OR(H187="בחר/ה בעצמו/ה",I187="כן"),"חלקי","עדיין לא"))))</f>
      </c>
      <c r="AB187" s="26">
        <f>IF($A187="","",COUNTIF(K187:O187,"כן"))</f>
      </c>
      <c r="AC187" s="27">
        <f>IF($A187="","",IFERROR(SUMPRODUCT((K187:O187="כן")*(P187:T187="כן")+(K187:O187="לא")*(P187:T187="לא")+0.5*(P187:T187="חלקית")*((K187:O187="כן")+(K187:O187="לא")))/SUMPRODUCT(((K187:O187="כן")+(K187:O187="לא"))*(P187:T187&lt;&gt;"")),""))</f>
      </c>
      <c r="AD187" s="26">
        <f>IF($A187="","",SUMPRODUCT((K187:O187="כן")*(P187:T187="לא")))</f>
      </c>
      <c r="AE187" s="26">
        <f>IF($A187="","",SUMPRODUCT((K187:O187="לא")*(P187:T187="כן")))</f>
      </c>
      <c r="AF187" s="26">
        <f>IF($A187="","",COUNTIF(U187:W187,"כן"))</f>
      </c>
      <c r="AG187" s="26">
        <f>IF($A187="","",IF(AA187&lt;&gt;"מלא",0,IF(OR(AC187="",N(AC187)&lt;0.6),1,IF(AND(AF187&gt;=2,N(X187)&gt;=2),3,2))))</f>
      </c>
    </row>
    <row r="188" ht="15" customHeight="1" spans="1:33" x14ac:dyDescent="0.2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6">
        <f>IF($A188="","",$A188&amp;"|"&amp;$C188)</f>
      </c>
      <c r="AA188" s="26">
        <f>IF($A188="","",IF(OR(H188="לא נבדק",H188=""),"לא נבדק",IF(AND(H188="בחר/ה בעצמו/ה",I188="כן",J188="לא"),"מלא",IF(OR(H188="בחר/ה בעצמו/ה",I188="כן"),"חלקי","עדיין לא"))))</f>
      </c>
      <c r="AB188" s="26">
        <f>IF($A188="","",COUNTIF(K188:O188,"כן"))</f>
      </c>
      <c r="AC188" s="27">
        <f>IF($A188="","",IFERROR(SUMPRODUCT((K188:O188="כן")*(P188:T188="כן")+(K188:O188="לא")*(P188:T188="לא")+0.5*(P188:T188="חלקית")*((K188:O188="כן")+(K188:O188="לא")))/SUMPRODUCT(((K188:O188="כן")+(K188:O188="לא"))*(P188:T188&lt;&gt;"")),""))</f>
      </c>
      <c r="AD188" s="26">
        <f>IF($A188="","",SUMPRODUCT((K188:O188="כן")*(P188:T188="לא")))</f>
      </c>
      <c r="AE188" s="26">
        <f>IF($A188="","",SUMPRODUCT((K188:O188="לא")*(P188:T188="כן")))</f>
      </c>
      <c r="AF188" s="26">
        <f>IF($A188="","",COUNTIF(U188:W188,"כן"))</f>
      </c>
      <c r="AG188" s="26">
        <f>IF($A188="","",IF(AA188&lt;&gt;"מלא",0,IF(OR(AC188="",N(AC188)&lt;0.6),1,IF(AND(AF188&gt;=2,N(X188)&gt;=2),3,2))))</f>
      </c>
    </row>
    <row r="189" ht="15" customHeight="1" spans="1:33" x14ac:dyDescent="0.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6">
        <f>IF($A189="","",$A189&amp;"|"&amp;$C189)</f>
      </c>
      <c r="AA189" s="26">
        <f>IF($A189="","",IF(OR(H189="לא נבדק",H189=""),"לא נבדק",IF(AND(H189="בחר/ה בעצמו/ה",I189="כן",J189="לא"),"מלא",IF(OR(H189="בחר/ה בעצמו/ה",I189="כן"),"חלקי","עדיין לא"))))</f>
      </c>
      <c r="AB189" s="26">
        <f>IF($A189="","",COUNTIF(K189:O189,"כן"))</f>
      </c>
      <c r="AC189" s="27">
        <f>IF($A189="","",IFERROR(SUMPRODUCT((K189:O189="כן")*(P189:T189="כן")+(K189:O189="לא")*(P189:T189="לא")+0.5*(P189:T189="חלקית")*((K189:O189="כן")+(K189:O189="לא")))/SUMPRODUCT(((K189:O189="כן")+(K189:O189="לא"))*(P189:T189&lt;&gt;"")),""))</f>
      </c>
      <c r="AD189" s="26">
        <f>IF($A189="","",SUMPRODUCT((K189:O189="כן")*(P189:T189="לא")))</f>
      </c>
      <c r="AE189" s="26">
        <f>IF($A189="","",SUMPRODUCT((K189:O189="לא")*(P189:T189="כן")))</f>
      </c>
      <c r="AF189" s="26">
        <f>IF($A189="","",COUNTIF(U189:W189,"כן"))</f>
      </c>
      <c r="AG189" s="26">
        <f>IF($A189="","",IF(AA189&lt;&gt;"מלא",0,IF(OR(AC189="",N(AC189)&lt;0.6),1,IF(AND(AF189&gt;=2,N(X189)&gt;=2),3,2))))</f>
      </c>
    </row>
    <row r="190" ht="15" customHeight="1" spans="1:33" x14ac:dyDescent="0.2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6">
        <f>IF($A190="","",$A190&amp;"|"&amp;$C190)</f>
      </c>
      <c r="AA190" s="26">
        <f>IF($A190="","",IF(OR(H190="לא נבדק",H190=""),"לא נבדק",IF(AND(H190="בחר/ה בעצמו/ה",I190="כן",J190="לא"),"מלא",IF(OR(H190="בחר/ה בעצמו/ה",I190="כן"),"חלקי","עדיין לא"))))</f>
      </c>
      <c r="AB190" s="26">
        <f>IF($A190="","",COUNTIF(K190:O190,"כן"))</f>
      </c>
      <c r="AC190" s="27">
        <f>IF($A190="","",IFERROR(SUMPRODUCT((K190:O190="כן")*(P190:T190="כן")+(K190:O190="לא")*(P190:T190="לא")+0.5*(P190:T190="חלקית")*((K190:O190="כן")+(K190:O190="לא")))/SUMPRODUCT(((K190:O190="כן")+(K190:O190="לא"))*(P190:T190&lt;&gt;"")),""))</f>
      </c>
      <c r="AD190" s="26">
        <f>IF($A190="","",SUMPRODUCT((K190:O190="כן")*(P190:T190="לא")))</f>
      </c>
      <c r="AE190" s="26">
        <f>IF($A190="","",SUMPRODUCT((K190:O190="לא")*(P190:T190="כן")))</f>
      </c>
      <c r="AF190" s="26">
        <f>IF($A190="","",COUNTIF(U190:W190,"כן"))</f>
      </c>
      <c r="AG190" s="26">
        <f>IF($A190="","",IF(AA190&lt;&gt;"מלא",0,IF(OR(AC190="",N(AC190)&lt;0.6),1,IF(AND(AF190&gt;=2,N(X190)&gt;=2),3,2))))</f>
      </c>
    </row>
    <row r="191" ht="15" customHeight="1" spans="1:33" x14ac:dyDescent="0.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6">
        <f>IF($A191="","",$A191&amp;"|"&amp;$C191)</f>
      </c>
      <c r="AA191" s="26">
        <f>IF($A191="","",IF(OR(H191="לא נבדק",H191=""),"לא נבדק",IF(AND(H191="בחר/ה בעצמו/ה",I191="כן",J191="לא"),"מלא",IF(OR(H191="בחר/ה בעצמו/ה",I191="כן"),"חלקי","עדיין לא"))))</f>
      </c>
      <c r="AB191" s="26">
        <f>IF($A191="","",COUNTIF(K191:O191,"כן"))</f>
      </c>
      <c r="AC191" s="27">
        <f>IF($A191="","",IFERROR(SUMPRODUCT((K191:O191="כן")*(P191:T191="כן")+(K191:O191="לא")*(P191:T191="לא")+0.5*(P191:T191="חלקית")*((K191:O191="כן")+(K191:O191="לא")))/SUMPRODUCT(((K191:O191="כן")+(K191:O191="לא"))*(P191:T191&lt;&gt;"")),""))</f>
      </c>
      <c r="AD191" s="26">
        <f>IF($A191="","",SUMPRODUCT((K191:O191="כן")*(P191:T191="לא")))</f>
      </c>
      <c r="AE191" s="26">
        <f>IF($A191="","",SUMPRODUCT((K191:O191="לא")*(P191:T191="כן")))</f>
      </c>
      <c r="AF191" s="26">
        <f>IF($A191="","",COUNTIF(U191:W191,"כן"))</f>
      </c>
      <c r="AG191" s="26">
        <f>IF($A191="","",IF(AA191&lt;&gt;"מלא",0,IF(OR(AC191="",N(AC191)&lt;0.6),1,IF(AND(AF191&gt;=2,N(X191)&gt;=2),3,2))))</f>
      </c>
    </row>
    <row r="192" ht="15" customHeight="1" spans="1:33" x14ac:dyDescent="0.2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6">
        <f>IF($A192="","",$A192&amp;"|"&amp;$C192)</f>
      </c>
      <c r="AA192" s="26">
        <f>IF($A192="","",IF(OR(H192="לא נבדק",H192=""),"לא נבדק",IF(AND(H192="בחר/ה בעצמו/ה",I192="כן",J192="לא"),"מלא",IF(OR(H192="בחר/ה בעצמו/ה",I192="כן"),"חלקי","עדיין לא"))))</f>
      </c>
      <c r="AB192" s="26">
        <f>IF($A192="","",COUNTIF(K192:O192,"כן"))</f>
      </c>
      <c r="AC192" s="27">
        <f>IF($A192="","",IFERROR(SUMPRODUCT((K192:O192="כן")*(P192:T192="כן")+(K192:O192="לא")*(P192:T192="לא")+0.5*(P192:T192="חלקית")*((K192:O192="כן")+(K192:O192="לא")))/SUMPRODUCT(((K192:O192="כן")+(K192:O192="לא"))*(P192:T192&lt;&gt;"")),""))</f>
      </c>
      <c r="AD192" s="26">
        <f>IF($A192="","",SUMPRODUCT((K192:O192="כן")*(P192:T192="לא")))</f>
      </c>
      <c r="AE192" s="26">
        <f>IF($A192="","",SUMPRODUCT((K192:O192="לא")*(P192:T192="כן")))</f>
      </c>
      <c r="AF192" s="26">
        <f>IF($A192="","",COUNTIF(U192:W192,"כן"))</f>
      </c>
      <c r="AG192" s="26">
        <f>IF($A192="","",IF(AA192&lt;&gt;"מלא",0,IF(OR(AC192="",N(AC192)&lt;0.6),1,IF(AND(AF192&gt;=2,N(X192)&gt;=2),3,2))))</f>
      </c>
    </row>
    <row r="193" ht="15" customHeight="1" spans="1:33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6">
        <f>IF($A193="","",$A193&amp;"|"&amp;$C193)</f>
      </c>
      <c r="AA193" s="26">
        <f>IF($A193="","",IF(OR(H193="לא נבדק",H193=""),"לא נבדק",IF(AND(H193="בחר/ה בעצמו/ה",I193="כן",J193="לא"),"מלא",IF(OR(H193="בחר/ה בעצמו/ה",I193="כן"),"חלקי","עדיין לא"))))</f>
      </c>
      <c r="AB193" s="26">
        <f>IF($A193="","",COUNTIF(K193:O193,"כן"))</f>
      </c>
      <c r="AC193" s="27">
        <f>IF($A193="","",IFERROR(SUMPRODUCT((K193:O193="כן")*(P193:T193="כן")+(K193:O193="לא")*(P193:T193="לא")+0.5*(P193:T193="חלקית")*((K193:O193="כן")+(K193:O193="לא")))/SUMPRODUCT(((K193:O193="כן")+(K193:O193="לא"))*(P193:T193&lt;&gt;"")),""))</f>
      </c>
      <c r="AD193" s="26">
        <f>IF($A193="","",SUMPRODUCT((K193:O193="כן")*(P193:T193="לא")))</f>
      </c>
      <c r="AE193" s="26">
        <f>IF($A193="","",SUMPRODUCT((K193:O193="לא")*(P193:T193="כן")))</f>
      </c>
      <c r="AF193" s="26">
        <f>IF($A193="","",COUNTIF(U193:W193,"כן"))</f>
      </c>
      <c r="AG193" s="26">
        <f>IF($A193="","",IF(AA193&lt;&gt;"מלא",0,IF(OR(AC193="",N(AC193)&lt;0.6),1,IF(AND(AF193&gt;=2,N(X193)&gt;=2),3,2))))</f>
      </c>
    </row>
    <row r="194" ht="15" customHeight="1" spans="1:33" x14ac:dyDescent="0.2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6">
        <f>IF($A194="","",$A194&amp;"|"&amp;$C194)</f>
      </c>
      <c r="AA194" s="26">
        <f>IF($A194="","",IF(OR(H194="לא נבדק",H194=""),"לא נבדק",IF(AND(H194="בחר/ה בעצמו/ה",I194="כן",J194="לא"),"מלא",IF(OR(H194="בחר/ה בעצמו/ה",I194="כן"),"חלקי","עדיין לא"))))</f>
      </c>
      <c r="AB194" s="26">
        <f>IF($A194="","",COUNTIF(K194:O194,"כן"))</f>
      </c>
      <c r="AC194" s="27">
        <f>IF($A194="","",IFERROR(SUMPRODUCT((K194:O194="כן")*(P194:T194="כן")+(K194:O194="לא")*(P194:T194="לא")+0.5*(P194:T194="חלקית")*((K194:O194="כן")+(K194:O194="לא")))/SUMPRODUCT(((K194:O194="כן")+(K194:O194="לא"))*(P194:T194&lt;&gt;"")),""))</f>
      </c>
      <c r="AD194" s="26">
        <f>IF($A194="","",SUMPRODUCT((K194:O194="כן")*(P194:T194="לא")))</f>
      </c>
      <c r="AE194" s="26">
        <f>IF($A194="","",SUMPRODUCT((K194:O194="לא")*(P194:T194="כן")))</f>
      </c>
      <c r="AF194" s="26">
        <f>IF($A194="","",COUNTIF(U194:W194,"כן"))</f>
      </c>
      <c r="AG194" s="26">
        <f>IF($A194="","",IF(AA194&lt;&gt;"מלא",0,IF(OR(AC194="",N(AC194)&lt;0.6),1,IF(AND(AF194&gt;=2,N(X194)&gt;=2),3,2))))</f>
      </c>
    </row>
    <row r="195" ht="15" customHeight="1" spans="1:33" x14ac:dyDescent="0.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6">
        <f>IF($A195="","",$A195&amp;"|"&amp;$C195)</f>
      </c>
      <c r="AA195" s="26">
        <f>IF($A195="","",IF(OR(H195="לא נבדק",H195=""),"לא נבדק",IF(AND(H195="בחר/ה בעצמו/ה",I195="כן",J195="לא"),"מלא",IF(OR(H195="בחר/ה בעצמו/ה",I195="כן"),"חלקי","עדיין לא"))))</f>
      </c>
      <c r="AB195" s="26">
        <f>IF($A195="","",COUNTIF(K195:O195,"כן"))</f>
      </c>
      <c r="AC195" s="27">
        <f>IF($A195="","",IFERROR(SUMPRODUCT((K195:O195="כן")*(P195:T195="כן")+(K195:O195="לא")*(P195:T195="לא")+0.5*(P195:T195="חלקית")*((K195:O195="כן")+(K195:O195="לא")))/SUMPRODUCT(((K195:O195="כן")+(K195:O195="לא"))*(P195:T195&lt;&gt;"")),""))</f>
      </c>
      <c r="AD195" s="26">
        <f>IF($A195="","",SUMPRODUCT((K195:O195="כן")*(P195:T195="לא")))</f>
      </c>
      <c r="AE195" s="26">
        <f>IF($A195="","",SUMPRODUCT((K195:O195="לא")*(P195:T195="כן")))</f>
      </c>
      <c r="AF195" s="26">
        <f>IF($A195="","",COUNTIF(U195:W195,"כן"))</f>
      </c>
      <c r="AG195" s="26">
        <f>IF($A195="","",IF(AA195&lt;&gt;"מלא",0,IF(OR(AC195="",N(AC195)&lt;0.6),1,IF(AND(AF195&gt;=2,N(X195)&gt;=2),3,2))))</f>
      </c>
    </row>
    <row r="196" ht="15" customHeight="1" spans="1:33" x14ac:dyDescent="0.2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6">
        <f>IF($A196="","",$A196&amp;"|"&amp;$C196)</f>
      </c>
      <c r="AA196" s="26">
        <f>IF($A196="","",IF(OR(H196="לא נבדק",H196=""),"לא נבדק",IF(AND(H196="בחר/ה בעצמו/ה",I196="כן",J196="לא"),"מלא",IF(OR(H196="בחר/ה בעצמו/ה",I196="כן"),"חלקי","עדיין לא"))))</f>
      </c>
      <c r="AB196" s="26">
        <f>IF($A196="","",COUNTIF(K196:O196,"כן"))</f>
      </c>
      <c r="AC196" s="27">
        <f>IF($A196="","",IFERROR(SUMPRODUCT((K196:O196="כן")*(P196:T196="כן")+(K196:O196="לא")*(P196:T196="לא")+0.5*(P196:T196="חלקית")*((K196:O196="כן")+(K196:O196="לא")))/SUMPRODUCT(((K196:O196="כן")+(K196:O196="לא"))*(P196:T196&lt;&gt;"")),""))</f>
      </c>
      <c r="AD196" s="26">
        <f>IF($A196="","",SUMPRODUCT((K196:O196="כן")*(P196:T196="לא")))</f>
      </c>
      <c r="AE196" s="26">
        <f>IF($A196="","",SUMPRODUCT((K196:O196="לא")*(P196:T196="כן")))</f>
      </c>
      <c r="AF196" s="26">
        <f>IF($A196="","",COUNTIF(U196:W196,"כן"))</f>
      </c>
      <c r="AG196" s="26">
        <f>IF($A196="","",IF(AA196&lt;&gt;"מלא",0,IF(OR(AC196="",N(AC196)&lt;0.6),1,IF(AND(AF196&gt;=2,N(X196)&gt;=2),3,2))))</f>
      </c>
    </row>
    <row r="197" ht="15" customHeight="1" spans="1:33" x14ac:dyDescent="0.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6">
        <f>IF($A197="","",$A197&amp;"|"&amp;$C197)</f>
      </c>
      <c r="AA197" s="26">
        <f>IF($A197="","",IF(OR(H197="לא נבדק",H197=""),"לא נבדק",IF(AND(H197="בחר/ה בעצמו/ה",I197="כן",J197="לא"),"מלא",IF(OR(H197="בחר/ה בעצמו/ה",I197="כן"),"חלקי","עדיין לא"))))</f>
      </c>
      <c r="AB197" s="26">
        <f>IF($A197="","",COUNTIF(K197:O197,"כן"))</f>
      </c>
      <c r="AC197" s="27">
        <f>IF($A197="","",IFERROR(SUMPRODUCT((K197:O197="כן")*(P197:T197="כן")+(K197:O197="לא")*(P197:T197="לא")+0.5*(P197:T197="חלקית")*((K197:O197="כן")+(K197:O197="לא")))/SUMPRODUCT(((K197:O197="כן")+(K197:O197="לא"))*(P197:T197&lt;&gt;"")),""))</f>
      </c>
      <c r="AD197" s="26">
        <f>IF($A197="","",SUMPRODUCT((K197:O197="כן")*(P197:T197="לא")))</f>
      </c>
      <c r="AE197" s="26">
        <f>IF($A197="","",SUMPRODUCT((K197:O197="לא")*(P197:T197="כן")))</f>
      </c>
      <c r="AF197" s="26">
        <f>IF($A197="","",COUNTIF(U197:W197,"כן"))</f>
      </c>
      <c r="AG197" s="26">
        <f>IF($A197="","",IF(AA197&lt;&gt;"מלא",0,IF(OR(AC197="",N(AC197)&lt;0.6),1,IF(AND(AF197&gt;=2,N(X197)&gt;=2),3,2))))</f>
      </c>
    </row>
    <row r="198" ht="15" customHeight="1" spans="1:33" x14ac:dyDescent="0.2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6">
        <f>IF($A198="","",$A198&amp;"|"&amp;$C198)</f>
      </c>
      <c r="AA198" s="26">
        <f>IF($A198="","",IF(OR(H198="לא נבדק",H198=""),"לא נבדק",IF(AND(H198="בחר/ה בעצמו/ה",I198="כן",J198="לא"),"מלא",IF(OR(H198="בחר/ה בעצמו/ה",I198="כן"),"חלקי","עדיין לא"))))</f>
      </c>
      <c r="AB198" s="26">
        <f>IF($A198="","",COUNTIF(K198:O198,"כן"))</f>
      </c>
      <c r="AC198" s="27">
        <f>IF($A198="","",IFERROR(SUMPRODUCT((K198:O198="כן")*(P198:T198="כן")+(K198:O198="לא")*(P198:T198="לא")+0.5*(P198:T198="חלקית")*((K198:O198="כן")+(K198:O198="לא")))/SUMPRODUCT(((K198:O198="כן")+(K198:O198="לא"))*(P198:T198&lt;&gt;"")),""))</f>
      </c>
      <c r="AD198" s="26">
        <f>IF($A198="","",SUMPRODUCT((K198:O198="כן")*(P198:T198="לא")))</f>
      </c>
      <c r="AE198" s="26">
        <f>IF($A198="","",SUMPRODUCT((K198:O198="לא")*(P198:T198="כן")))</f>
      </c>
      <c r="AF198" s="26">
        <f>IF($A198="","",COUNTIF(U198:W198,"כן"))</f>
      </c>
      <c r="AG198" s="26">
        <f>IF($A198="","",IF(AA198&lt;&gt;"מלא",0,IF(OR(AC198="",N(AC198)&lt;0.6),1,IF(AND(AF198&gt;=2,N(X198)&gt;=2),3,2))))</f>
      </c>
    </row>
    <row r="199" ht="15" customHeight="1" spans="1:33" x14ac:dyDescent="0.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6">
        <f>IF($A199="","",$A199&amp;"|"&amp;$C199)</f>
      </c>
      <c r="AA199" s="26">
        <f>IF($A199="","",IF(OR(H199="לא נבדק",H199=""),"לא נבדק",IF(AND(H199="בחר/ה בעצמו/ה",I199="כן",J199="לא"),"מלא",IF(OR(H199="בחר/ה בעצמו/ה",I199="כן"),"חלקי","עדיין לא"))))</f>
      </c>
      <c r="AB199" s="26">
        <f>IF($A199="","",COUNTIF(K199:O199,"כן"))</f>
      </c>
      <c r="AC199" s="27">
        <f>IF($A199="","",IFERROR(SUMPRODUCT((K199:O199="כן")*(P199:T199="כן")+(K199:O199="לא")*(P199:T199="לא")+0.5*(P199:T199="חלקית")*((K199:O199="כן")+(K199:O199="לא")))/SUMPRODUCT(((K199:O199="כן")+(K199:O199="לא"))*(P199:T199&lt;&gt;"")),""))</f>
      </c>
      <c r="AD199" s="26">
        <f>IF($A199="","",SUMPRODUCT((K199:O199="כן")*(P199:T199="לא")))</f>
      </c>
      <c r="AE199" s="26">
        <f>IF($A199="","",SUMPRODUCT((K199:O199="לא")*(P199:T199="כן")))</f>
      </c>
      <c r="AF199" s="26">
        <f>IF($A199="","",COUNTIF(U199:W199,"כן"))</f>
      </c>
      <c r="AG199" s="26">
        <f>IF($A199="","",IF(AA199&lt;&gt;"מלא",0,IF(OR(AC199="",N(AC199)&lt;0.6),1,IF(AND(AF199&gt;=2,N(X199)&gt;=2),3,2))))</f>
      </c>
    </row>
    <row r="200" ht="15" customHeight="1" spans="1:33" x14ac:dyDescent="0.2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6">
        <f>IF($A200="","",$A200&amp;"|"&amp;$C200)</f>
      </c>
      <c r="AA200" s="26">
        <f>IF($A200="","",IF(OR(H200="לא נבדק",H200=""),"לא נבדק",IF(AND(H200="בחר/ה בעצמו/ה",I200="כן",J200="לא"),"מלא",IF(OR(H200="בחר/ה בעצמו/ה",I200="כן"),"חלקי","עדיין לא"))))</f>
      </c>
      <c r="AB200" s="26">
        <f>IF($A200="","",COUNTIF(K200:O200,"כן"))</f>
      </c>
      <c r="AC200" s="27">
        <f>IF($A200="","",IFERROR(SUMPRODUCT((K200:O200="כן")*(P200:T200="כן")+(K200:O200="לא")*(P200:T200="לא")+0.5*(P200:T200="חלקית")*((K200:O200="כן")+(K200:O200="לא")))/SUMPRODUCT(((K200:O200="כן")+(K200:O200="לא"))*(P200:T200&lt;&gt;"")),""))</f>
      </c>
      <c r="AD200" s="26">
        <f>IF($A200="","",SUMPRODUCT((K200:O200="כן")*(P200:T200="לא")))</f>
      </c>
      <c r="AE200" s="26">
        <f>IF($A200="","",SUMPRODUCT((K200:O200="לא")*(P200:T200="כן")))</f>
      </c>
      <c r="AF200" s="26">
        <f>IF($A200="","",COUNTIF(U200:W200,"כן"))</f>
      </c>
      <c r="AG200" s="26">
        <f>IF($A200="","",IF(AA200&lt;&gt;"מלא",0,IF(OR(AC200="",N(AC200)&lt;0.6),1,IF(AND(AF200&gt;=2,N(X200)&gt;=2),3,2))))</f>
      </c>
    </row>
    <row r="201" ht="15" customHeight="1" spans="1:33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6">
        <f>IF($A201="","",$A201&amp;"|"&amp;$C201)</f>
      </c>
      <c r="AA201" s="26">
        <f>IF($A201="","",IF(OR(H201="לא נבדק",H201=""),"לא נבדק",IF(AND(H201="בחר/ה בעצמו/ה",I201="כן",J201="לא"),"מלא",IF(OR(H201="בחר/ה בעצמו/ה",I201="כן"),"חלקי","עדיין לא"))))</f>
      </c>
      <c r="AB201" s="26">
        <f>IF($A201="","",COUNTIF(K201:O201,"כן"))</f>
      </c>
      <c r="AC201" s="27">
        <f>IF($A201="","",IFERROR(SUMPRODUCT((K201:O201="כן")*(P201:T201="כן")+(K201:O201="לא")*(P201:T201="לא")+0.5*(P201:T201="חלקית")*((K201:O201="כן")+(K201:O201="לא")))/SUMPRODUCT(((K201:O201="כן")+(K201:O201="לא"))*(P201:T201&lt;&gt;"")),""))</f>
      </c>
      <c r="AD201" s="26">
        <f>IF($A201="","",SUMPRODUCT((K201:O201="כן")*(P201:T201="לא")))</f>
      </c>
      <c r="AE201" s="26">
        <f>IF($A201="","",SUMPRODUCT((K201:O201="לא")*(P201:T201="כן")))</f>
      </c>
      <c r="AF201" s="26">
        <f>IF($A201="","",COUNTIF(U201:W201,"כן"))</f>
      </c>
      <c r="AG201" s="26">
        <f>IF($A201="","",IF(AA201&lt;&gt;"מלא",0,IF(OR(AC201="",N(AC201)&lt;0.6),1,IF(AND(AF201&gt;=2,N(X201)&gt;=2),3,2))))</f>
      </c>
    </row>
    <row r="202" ht="15" customHeight="1" spans="1:33" x14ac:dyDescent="0.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6">
        <f>IF($A202="","",$A202&amp;"|"&amp;$C202)</f>
      </c>
      <c r="AA202" s="26">
        <f>IF($A202="","",IF(OR(H202="לא נבדק",H202=""),"לא נבדק",IF(AND(H202="בחר/ה בעצמו/ה",I202="כן",J202="לא"),"מלא",IF(OR(H202="בחר/ה בעצמו/ה",I202="כן"),"חלקי","עדיין לא"))))</f>
      </c>
      <c r="AB202" s="26">
        <f>IF($A202="","",COUNTIF(K202:O202,"כן"))</f>
      </c>
      <c r="AC202" s="27">
        <f>IF($A202="","",IFERROR(SUMPRODUCT((K202:O202="כן")*(P202:T202="כן")+(K202:O202="לא")*(P202:T202="לא")+0.5*(P202:T202="חלקית")*((K202:O202="כן")+(K202:O202="לא")))/SUMPRODUCT(((K202:O202="כן")+(K202:O202="לא"))*(P202:T202&lt;&gt;"")),""))</f>
      </c>
      <c r="AD202" s="26">
        <f>IF($A202="","",SUMPRODUCT((K202:O202="כן")*(P202:T202="לא")))</f>
      </c>
      <c r="AE202" s="26">
        <f>IF($A202="","",SUMPRODUCT((K202:O202="לא")*(P202:T202="כן")))</f>
      </c>
      <c r="AF202" s="26">
        <f>IF($A202="","",COUNTIF(U202:W202,"כן"))</f>
      </c>
      <c r="AG202" s="26">
        <f>IF($A202="","",IF(AA202&lt;&gt;"מלא",0,IF(OR(AC202="",N(AC202)&lt;0.6),1,IF(AND(AF202&gt;=2,N(X202)&gt;=2),3,2))))</f>
      </c>
    </row>
    <row r="203" ht="15" customHeight="1" spans="1:33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6">
        <f>IF($A203="","",$A203&amp;"|"&amp;$C203)</f>
      </c>
      <c r="AA203" s="26">
        <f>IF($A203="","",IF(OR(H203="לא נבדק",H203=""),"לא נבדק",IF(AND(H203="בחר/ה בעצמו/ה",I203="כן",J203="לא"),"מלא",IF(OR(H203="בחר/ה בעצמו/ה",I203="כן"),"חלקי","עדיין לא"))))</f>
      </c>
      <c r="AB203" s="26">
        <f>IF($A203="","",COUNTIF(K203:O203,"כן"))</f>
      </c>
      <c r="AC203" s="27">
        <f>IF($A203="","",IFERROR(SUMPRODUCT((K203:O203="כן")*(P203:T203="כן")+(K203:O203="לא")*(P203:T203="לא")+0.5*(P203:T203="חלקית")*((K203:O203="כן")+(K203:O203="לא")))/SUMPRODUCT(((K203:O203="כן")+(K203:O203="לא"))*(P203:T203&lt;&gt;"")),""))</f>
      </c>
      <c r="AD203" s="26">
        <f>IF($A203="","",SUMPRODUCT((K203:O203="כן")*(P203:T203="לא")))</f>
      </c>
      <c r="AE203" s="26">
        <f>IF($A203="","",SUMPRODUCT((K203:O203="לא")*(P203:T203="כן")))</f>
      </c>
      <c r="AF203" s="26">
        <f>IF($A203="","",COUNTIF(U203:W203,"כן"))</f>
      </c>
      <c r="AG203" s="26">
        <f>IF($A203="","",IF(AA203&lt;&gt;"מלא",0,IF(OR(AC203="",N(AC203)&lt;0.6),1,IF(AND(AF203&gt;=2,N(X203)&gt;=2),3,2))))</f>
      </c>
    </row>
    <row r="204" ht="15" customHeight="1" spans="1:33" x14ac:dyDescent="0.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6">
        <f>IF($A204="","",$A204&amp;"|"&amp;$C204)</f>
      </c>
      <c r="AA204" s="26">
        <f>IF($A204="","",IF(OR(H204="לא נבדק",H204=""),"לא נבדק",IF(AND(H204="בחר/ה בעצמו/ה",I204="כן",J204="לא"),"מלא",IF(OR(H204="בחר/ה בעצמו/ה",I204="כן"),"חלקי","עדיין לא"))))</f>
      </c>
      <c r="AB204" s="26">
        <f>IF($A204="","",COUNTIF(K204:O204,"כן"))</f>
      </c>
      <c r="AC204" s="27">
        <f>IF($A204="","",IFERROR(SUMPRODUCT((K204:O204="כן")*(P204:T204="כן")+(K204:O204="לא")*(P204:T204="לא")+0.5*(P204:T204="חלקית")*((K204:O204="כן")+(K204:O204="לא")))/SUMPRODUCT(((K204:O204="כן")+(K204:O204="לא"))*(P204:T204&lt;&gt;"")),""))</f>
      </c>
      <c r="AD204" s="26">
        <f>IF($A204="","",SUMPRODUCT((K204:O204="כן")*(P204:T204="לא")))</f>
      </c>
      <c r="AE204" s="26">
        <f>IF($A204="","",SUMPRODUCT((K204:O204="לא")*(P204:T204="כן")))</f>
      </c>
      <c r="AF204" s="26">
        <f>IF($A204="","",COUNTIF(U204:W204,"כן"))</f>
      </c>
      <c r="AG204" s="26">
        <f>IF($A204="","",IF(AA204&lt;&gt;"מלא",0,IF(OR(AC204="",N(AC204)&lt;0.6),1,IF(AND(AF204&gt;=2,N(X204)&gt;=2),3,2))))</f>
      </c>
    </row>
  </sheetData>
  <mergeCells count="6">
    <mergeCell ref="A3:G3"/>
    <mergeCell ref="H3:J3"/>
    <mergeCell ref="K3:O3"/>
    <mergeCell ref="P3:T3"/>
    <mergeCell ref="U3:X3"/>
    <mergeCell ref="Z3:AG3"/>
  </mergeCells>
  <conditionalFormatting sqref="AC5:AC204">
    <cfRule type="colorScale" priority="2">
      <colorScale>
        <cfvo type="num" val="0"/>
        <cfvo type="num" val="0.6"/>
        <cfvo type="num" val="1"/>
        <color rgb="FFF9B5B8"/>
        <color rgb="FFFFE07A"/>
        <color rgb="FF8FD19E"/>
      </colorScale>
    </cfRule>
  </conditionalFormatting>
  <conditionalFormatting sqref="AG5:AG204">
    <cfRule type="colorScale" priority="3">
      <colorScale>
        <cfvo type="num" val="0"/>
        <cfvo type="num" val="1.5"/>
        <cfvo type="num" val="3"/>
        <color rgb="FFF9B5B8"/>
        <color rgb="FFFFE07A"/>
        <color rgb="FF8FD19E"/>
      </colorScale>
    </cfRule>
  </conditionalFormatting>
  <dataValidations count="16">
    <dataValidation type="list" allowBlank="1" errorStyle="stop" errorTitle="ערך לא תקין" error="בחרו מהרשימה" sqref="C10:C204">
      <formula1>"תחילת שנה,אמצע שנה,סוף שנה"</formula1>
      <formula2>0</formula2>
    </dataValidation>
    <dataValidation type="list" allowBlank="1" errorStyle="stop" errorTitle="ערך לא תקין" error="בחרו מהרשימה" sqref="C5:C204">
      <formula1>"תחילת שנה,אמצע שנה,סוף שנה"</formula1>
      <formula2>0</formula2>
    </dataValidation>
    <dataValidation type="list" allowBlank="1" errorStyle="stop" errorTitle="ערך לא תקין" error="בחרו מהרשימה" sqref="F10:F204">
      <formula1>"מגע או לחיצה,מבט,מתג,תיווך מבוגר/ת"</formula1>
      <formula2>0</formula2>
    </dataValidation>
    <dataValidation type="list" allowBlank="1" errorStyle="stop" errorTitle="ערך לא תקין" error="בחרו מהרשימה" sqref="F5:F204">
      <formula1>"מגע או לחיצה,מבט,מתג,תיווך מבוגר/ת"</formula1>
      <formula2>0</formula2>
    </dataValidation>
    <dataValidation type="list" allowBlank="1" errorStyle="stop" errorTitle="ערך לא תקין" error="בחרו מהרשימה" sqref="G10:G204">
      <formula1>"הבין/ה,חלקית,לא ברור"</formula1>
      <formula2>0</formula2>
    </dataValidation>
    <dataValidation type="list" allowBlank="1" errorStyle="stop" errorTitle="ערך לא תקין" error="בחרו מהרשימה" sqref="G5:G204">
      <formula1>"הבין/ה,חלקית,לא ברור"</formula1>
      <formula2>0</formula2>
    </dataValidation>
    <dataValidation type="list" allowBlank="1" errorStyle="stop" errorTitle="ערך לא תקין" error="בחרו מהרשימה" sqref="H10:H204">
      <formula1>"בחר/ה בעצמו/ה,בחר/ה באחר/ת,לא נבדק"</formula1>
      <formula2>0</formula2>
    </dataValidation>
    <dataValidation type="list" allowBlank="1" errorStyle="stop" errorTitle="ערך לא תקין" error="בחרו מהרשימה" sqref="H5:H204">
      <formula1>"בחר/ה בעצמו/ה,בחר/ה באחר/ת,לא נבדק"</formula1>
      <formula2>0</formula2>
    </dataValidation>
    <dataValidation type="list" allowBlank="1" errorStyle="stop" errorTitle="ערך לא תקין" error="בחרו מהרשימה" sqref="I10:O204">
      <formula1>"כן,לא,לא ענה"</formula1>
      <formula2>0</formula2>
    </dataValidation>
    <dataValidation type="list" allowBlank="1" errorStyle="stop" errorTitle="ערך לא תקין" error="בחרו מהרשימה" sqref="I5:O204">
      <formula1>"כן,לא,לא ענה"</formula1>
      <formula2>0</formula2>
    </dataValidation>
    <dataValidation type="list" allowBlank="1" errorStyle="stop" errorTitle="ערך לא תקין" error="בחרו מהרשימה" sqref="P10:T204">
      <formula1>"כן,חלקית,לא"</formula1>
      <formula2>0</formula2>
    </dataValidation>
    <dataValidation type="list" allowBlank="1" errorStyle="stop" errorTitle="ערך לא תקין" error="בחרו מהרשימה" sqref="P5:T204">
      <formula1>"כן,חלקית,לא"</formula1>
      <formula2>0</formula2>
    </dataValidation>
    <dataValidation type="list" allowBlank="1" errorStyle="stop" errorTitle="ערך לא תקין" error="בחרו מהרשימה" sqref="U10:W204">
      <formula1>"כן,לא,לא ענה"</formula1>
      <formula2>0</formula2>
    </dataValidation>
    <dataValidation type="list" allowBlank="1" errorStyle="stop" errorTitle="ערך לא תקין" error="בחרו מהרשימה" sqref="U5:W204">
      <formula1>"כן,לא,לא ענה"</formula1>
      <formula2>0</formula2>
    </dataValidation>
    <dataValidation type="list" allowBlank="1" showInputMessage="1" prompt="3 = הרבה · 2 = לפעמים · 1 = כמעט לא" errorStyle="stop" errorTitle="ערך לא תקין" error="בחרו מהרשימה" sqref="X10:X204">
      <formula1>"3,2,1"</formula1>
      <formula2>0</formula2>
    </dataValidation>
    <dataValidation type="list" allowBlank="1" showInputMessage="1" prompt="3 = הרבה · 2 = לפעמים · 1 = כמעט לא" errorStyle="stop" errorTitle="ערך לא תקין" error="בחרו מהרשימה" sqref="X5:X204">
      <formula1>"3,2,1"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775A"/>
  </sheetPr>
  <dimension ref="A1:L204"/>
  <sheetViews>
    <sheetView workbookViewId="0" zoomScale="100" zoomScaleNormal="100" view="normal">
      <pane xSplit="1" ySplit="4" topLeftCell="B5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1" width="18" customWidth="1"/>
    <col min="2" max="10" width="13" customWidth="1"/>
    <col min="11" max="11" width="14" customWidth="1"/>
    <col min="12" max="12" width="12" customWidth="1"/>
  </cols>
  <sheetData>
    <row r="1" ht="19.7" customHeight="1" spans="1:1" x14ac:dyDescent="0.25">
      <c r="A1" s="10" t="s">
        <v>131</v>
      </c>
    </row>
    <row r="2" ht="15" customHeight="1" spans="1:1" x14ac:dyDescent="0.25">
      <c r="A2" s="11" t="s">
        <v>132</v>
      </c>
    </row>
    <row r="3" ht="15" customHeight="1" spans="2:12" x14ac:dyDescent="0.25">
      <c r="B3" s="14" t="s">
        <v>93</v>
      </c>
      <c r="C3" s="14"/>
      <c r="D3" s="14"/>
      <c r="E3" s="15" t="s">
        <v>133</v>
      </c>
      <c r="F3" s="15"/>
      <c r="G3" s="15"/>
      <c r="H3" s="35" t="s">
        <v>134</v>
      </c>
      <c r="I3" s="35"/>
      <c r="J3" s="35"/>
      <c r="K3" s="16" t="s">
        <v>135</v>
      </c>
      <c r="L3" s="16"/>
    </row>
    <row r="4" ht="57.75" customHeight="1" spans="1:12" x14ac:dyDescent="0.25">
      <c r="A4" s="17" t="s">
        <v>48</v>
      </c>
      <c r="B4" s="19" t="s">
        <v>16</v>
      </c>
      <c r="C4" s="19" t="s">
        <v>136</v>
      </c>
      <c r="D4" s="19" t="s">
        <v>137</v>
      </c>
      <c r="E4" s="20" t="s">
        <v>16</v>
      </c>
      <c r="F4" s="20" t="s">
        <v>136</v>
      </c>
      <c r="G4" s="20" t="s">
        <v>137</v>
      </c>
      <c r="H4" s="22" t="s">
        <v>16</v>
      </c>
      <c r="I4" s="22" t="s">
        <v>136</v>
      </c>
      <c r="J4" s="22" t="s">
        <v>137</v>
      </c>
      <c r="K4" s="24" t="s">
        <v>138</v>
      </c>
      <c r="L4" s="24" t="s">
        <v>139</v>
      </c>
    </row>
    <row r="5" ht="15" customHeight="1" spans="1:12" x14ac:dyDescent="0.25">
      <c r="A5" s="25" t="s">
        <v>91</v>
      </c>
      <c r="B5" s="28">
        <f>IF($A5="","",IFERROR(AVERAGEIFS('רווחה - קליטה'!$AQ$5:$AQ$204,'רווחה - קליטה'!$A$5:$A$204,$A5,'רווחה - קליטה'!$C$5:$C$204,"תחילת שנה"),""))</f>
        <v>2.11111111111111</v>
      </c>
      <c r="C5" s="27">
        <f>IF($A5="","",IFERROR(AVERAGEIFS('רווחה - קליטה'!$AK$5:$AK$204,'רווחה - קליטה'!$A$5:$A$204,$A5,'רווחה - קליטה'!$C$5:$C$204,"תחילת שנה"),""))</f>
        <v>0.75</v>
      </c>
      <c r="D5" s="26" t="str">
        <f>IF($A5="","",IFERROR(INDEX('רווחה - קליטה'!$AS$5:$AS$204,MATCH($A5&amp;"|תחילת שנה",'רווחה - קליטה'!$AE$5:$AE$204,0)),""))</f>
        <v>אמין</v>
      </c>
      <c r="E5" s="28">
        <f>IF($A5="","",IFERROR(AVERAGEIFS('רווחה - קליטה'!$AQ$5:$AQ$204,'רווחה - קליטה'!$A$5:$A$204,$A5,'רווחה - קליטה'!$C$5:$C$204,"אמצע שנה"),""))</f>
      </c>
      <c r="F5" s="27">
        <f>IF($A5="","",IFERROR(AVERAGEIFS('רווחה - קליטה'!$AK$5:$AK$204,'רווחה - קליטה'!$A$5:$A$204,$A5,'רווחה - קליטה'!$C$5:$C$204,"אמצע שנה"),""))</f>
      </c>
      <c r="G5" s="26">
        <f>IF($A5="","",IFERROR(INDEX('רווחה - קליטה'!$AS$5:$AS$204,MATCH($A5&amp;"|אמצע שנה",'רווחה - קליטה'!$AE$5:$AE$204,0)),""))</f>
      </c>
      <c r="H5" s="28">
        <f>IF($A5="","",IFERROR(AVERAGEIFS('רווחה - קליטה'!$AQ$5:$AQ$204,'רווחה - קליטה'!$A$5:$A$204,$A5,'רווחה - קליטה'!$C$5:$C$204,"סוף שנה"),""))</f>
      </c>
      <c r="I5" s="27">
        <f>IF($A5="","",IFERROR(AVERAGEIFS('רווחה - קליטה'!$AK$5:$AK$204,'רווחה - קליטה'!$A$5:$A$204,$A5,'רווחה - קליטה'!$C$5:$C$204,"סוף שנה"),""))</f>
      </c>
      <c r="J5" s="26">
        <f>IF($A5="","",IFERROR(INDEX('רווחה - קליטה'!$AS$5:$AS$204,MATCH($A5&amp;"|סוף שנה",'רווחה - קליטה'!$AE$5:$AE$204,0)),""))</f>
      </c>
      <c r="K5" s="36">
        <f>IF(AND(ISNUMBER(B5),ISNUMBER(H5)),H5-B5,"")</f>
      </c>
      <c r="L5" s="26">
        <f>IF(K5="","",IF(K5&gt;=0.5,"עלייה",IF(K5&lt;=-0.5,"ירידה","יציב")))</f>
      </c>
    </row>
    <row r="6" ht="15" customHeight="1" spans="1:12" x14ac:dyDescent="0.25">
      <c r="A6" s="29"/>
      <c r="B6" s="28">
        <f>IF($A6="","",IFERROR(AVERAGEIFS('רווחה - קליטה'!$AQ$5:$AQ$204,'רווחה - קליטה'!$A$5:$A$204,$A6,'רווחה - קליטה'!$C$5:$C$204,"תחילת שנה"),""))</f>
      </c>
      <c r="C6" s="27">
        <f>IF($A6="","",IFERROR(AVERAGEIFS('רווחה - קליטה'!$AK$5:$AK$204,'רווחה - קליטה'!$A$5:$A$204,$A6,'רווחה - קליטה'!$C$5:$C$204,"תחילת שנה"),""))</f>
      </c>
      <c r="D6" s="26">
        <f>IF($A6="","",IFERROR(INDEX('רווחה - קליטה'!$AS$5:$AS$204,MATCH($A6&amp;"|תחילת שנה",'רווחה - קליטה'!$AE$5:$AE$204,0)),""))</f>
      </c>
      <c r="E6" s="28">
        <f>IF($A6="","",IFERROR(AVERAGEIFS('רווחה - קליטה'!$AQ$5:$AQ$204,'רווחה - קליטה'!$A$5:$A$204,$A6,'רווחה - קליטה'!$C$5:$C$204,"אמצע שנה"),""))</f>
      </c>
      <c r="F6" s="27">
        <f>IF($A6="","",IFERROR(AVERAGEIFS('רווחה - קליטה'!$AK$5:$AK$204,'רווחה - קליטה'!$A$5:$A$204,$A6,'רווחה - קליטה'!$C$5:$C$204,"אמצע שנה"),""))</f>
      </c>
      <c r="G6" s="26">
        <f>IF($A6="","",IFERROR(INDEX('רווחה - קליטה'!$AS$5:$AS$204,MATCH($A6&amp;"|אמצע שנה",'רווחה - קליטה'!$AE$5:$AE$204,0)),""))</f>
      </c>
      <c r="H6" s="28">
        <f>IF($A6="","",IFERROR(AVERAGEIFS('רווחה - קליטה'!$AQ$5:$AQ$204,'רווחה - קליטה'!$A$5:$A$204,$A6,'רווחה - קליטה'!$C$5:$C$204,"סוף שנה"),""))</f>
      </c>
      <c r="I6" s="27">
        <f>IF($A6="","",IFERROR(AVERAGEIFS('רווחה - קליטה'!$AK$5:$AK$204,'רווחה - קליטה'!$A$5:$A$204,$A6,'רווחה - קליטה'!$C$5:$C$204,"סוף שנה"),""))</f>
      </c>
      <c r="J6" s="26">
        <f>IF($A6="","",IFERROR(INDEX('רווחה - קליטה'!$AS$5:$AS$204,MATCH($A6&amp;"|סוף שנה",'רווחה - קליטה'!$AE$5:$AE$204,0)),""))</f>
      </c>
      <c r="K6" s="36">
        <f>IF(AND(ISNUMBER(B6),ISNUMBER(H6)),H6-B6,"")</f>
      </c>
      <c r="L6" s="26">
        <f>IF(K6="","",IF(K6&gt;=0.5,"עלייה",IF(K6&lt;=-0.5,"ירידה","יציב")))</f>
      </c>
    </row>
    <row r="7" ht="15" customHeight="1" spans="1:12" x14ac:dyDescent="0.25">
      <c r="A7" s="29"/>
      <c r="B7" s="28">
        <f>IF($A7="","",IFERROR(AVERAGEIFS('רווחה - קליטה'!$AQ$5:$AQ$204,'רווחה - קליטה'!$A$5:$A$204,$A7,'רווחה - קליטה'!$C$5:$C$204,"תחילת שנה"),""))</f>
      </c>
      <c r="C7" s="27">
        <f>IF($A7="","",IFERROR(AVERAGEIFS('רווחה - קליטה'!$AK$5:$AK$204,'רווחה - קליטה'!$A$5:$A$204,$A7,'רווחה - קליטה'!$C$5:$C$204,"תחילת שנה"),""))</f>
      </c>
      <c r="D7" s="26">
        <f>IF($A7="","",IFERROR(INDEX('רווחה - קליטה'!$AS$5:$AS$204,MATCH($A7&amp;"|תחילת שנה",'רווחה - קליטה'!$AE$5:$AE$204,0)),""))</f>
      </c>
      <c r="E7" s="28">
        <f>IF($A7="","",IFERROR(AVERAGEIFS('רווחה - קליטה'!$AQ$5:$AQ$204,'רווחה - קליטה'!$A$5:$A$204,$A7,'רווחה - קליטה'!$C$5:$C$204,"אמצע שנה"),""))</f>
      </c>
      <c r="F7" s="27">
        <f>IF($A7="","",IFERROR(AVERAGEIFS('רווחה - קליטה'!$AK$5:$AK$204,'רווחה - קליטה'!$A$5:$A$204,$A7,'רווחה - קליטה'!$C$5:$C$204,"אמצע שנה"),""))</f>
      </c>
      <c r="G7" s="26">
        <f>IF($A7="","",IFERROR(INDEX('רווחה - קליטה'!$AS$5:$AS$204,MATCH($A7&amp;"|אמצע שנה",'רווחה - קליטה'!$AE$5:$AE$204,0)),""))</f>
      </c>
      <c r="H7" s="28">
        <f>IF($A7="","",IFERROR(AVERAGEIFS('רווחה - קליטה'!$AQ$5:$AQ$204,'רווחה - קליטה'!$A$5:$A$204,$A7,'רווחה - קליטה'!$C$5:$C$204,"סוף שנה"),""))</f>
      </c>
      <c r="I7" s="27">
        <f>IF($A7="","",IFERROR(AVERAGEIFS('רווחה - קליטה'!$AK$5:$AK$204,'רווחה - קליטה'!$A$5:$A$204,$A7,'רווחה - קליטה'!$C$5:$C$204,"סוף שנה"),""))</f>
      </c>
      <c r="J7" s="26">
        <f>IF($A7="","",IFERROR(INDEX('רווחה - קליטה'!$AS$5:$AS$204,MATCH($A7&amp;"|סוף שנה",'רווחה - קליטה'!$AE$5:$AE$204,0)),""))</f>
      </c>
      <c r="K7" s="36">
        <f>IF(AND(ISNUMBER(B7),ISNUMBER(H7)),H7-B7,"")</f>
      </c>
      <c r="L7" s="26">
        <f>IF(K7="","",IF(K7&gt;=0.5,"עלייה",IF(K7&lt;=-0.5,"ירידה","יציב")))</f>
      </c>
    </row>
    <row r="8" ht="15" customHeight="1" spans="1:12" x14ac:dyDescent="0.25">
      <c r="A8" s="29"/>
      <c r="B8" s="28">
        <f>IF($A8="","",IFERROR(AVERAGEIFS('רווחה - קליטה'!$AQ$5:$AQ$204,'רווחה - קליטה'!$A$5:$A$204,$A8,'רווחה - קליטה'!$C$5:$C$204,"תחילת שנה"),""))</f>
      </c>
      <c r="C8" s="27">
        <f>IF($A8="","",IFERROR(AVERAGEIFS('רווחה - קליטה'!$AK$5:$AK$204,'רווחה - קליטה'!$A$5:$A$204,$A8,'רווחה - קליטה'!$C$5:$C$204,"תחילת שנה"),""))</f>
      </c>
      <c r="D8" s="26">
        <f>IF($A8="","",IFERROR(INDEX('רווחה - קליטה'!$AS$5:$AS$204,MATCH($A8&amp;"|תחילת שנה",'רווחה - קליטה'!$AE$5:$AE$204,0)),""))</f>
      </c>
      <c r="E8" s="28">
        <f>IF($A8="","",IFERROR(AVERAGEIFS('רווחה - קליטה'!$AQ$5:$AQ$204,'רווחה - קליטה'!$A$5:$A$204,$A8,'רווחה - קליטה'!$C$5:$C$204,"אמצע שנה"),""))</f>
      </c>
      <c r="F8" s="27">
        <f>IF($A8="","",IFERROR(AVERAGEIFS('רווחה - קליטה'!$AK$5:$AK$204,'רווחה - קליטה'!$A$5:$A$204,$A8,'רווחה - קליטה'!$C$5:$C$204,"אמצע שנה"),""))</f>
      </c>
      <c r="G8" s="26">
        <f>IF($A8="","",IFERROR(INDEX('רווחה - קליטה'!$AS$5:$AS$204,MATCH($A8&amp;"|אמצע שנה",'רווחה - קליטה'!$AE$5:$AE$204,0)),""))</f>
      </c>
      <c r="H8" s="28">
        <f>IF($A8="","",IFERROR(AVERAGEIFS('רווחה - קליטה'!$AQ$5:$AQ$204,'רווחה - קליטה'!$A$5:$A$204,$A8,'רווחה - קליטה'!$C$5:$C$204,"סוף שנה"),""))</f>
      </c>
      <c r="I8" s="27">
        <f>IF($A8="","",IFERROR(AVERAGEIFS('רווחה - קליטה'!$AK$5:$AK$204,'רווחה - קליטה'!$A$5:$A$204,$A8,'רווחה - קליטה'!$C$5:$C$204,"סוף שנה"),""))</f>
      </c>
      <c r="J8" s="26">
        <f>IF($A8="","",IFERROR(INDEX('רווחה - קליטה'!$AS$5:$AS$204,MATCH($A8&amp;"|סוף שנה",'רווחה - קליטה'!$AE$5:$AE$204,0)),""))</f>
      </c>
      <c r="K8" s="36">
        <f>IF(AND(ISNUMBER(B8),ISNUMBER(H8)),H8-B8,"")</f>
      </c>
      <c r="L8" s="26">
        <f>IF(K8="","",IF(K8&gt;=0.5,"עלייה",IF(K8&lt;=-0.5,"ירידה","יציב")))</f>
      </c>
    </row>
    <row r="9" ht="15" customHeight="1" spans="1:12" x14ac:dyDescent="0.25">
      <c r="A9" s="29"/>
      <c r="B9" s="28">
        <f>IF($A9="","",IFERROR(AVERAGEIFS('רווחה - קליטה'!$AQ$5:$AQ$204,'רווחה - קליטה'!$A$5:$A$204,$A9,'רווחה - קליטה'!$C$5:$C$204,"תחילת שנה"),""))</f>
      </c>
      <c r="C9" s="27">
        <f>IF($A9="","",IFERROR(AVERAGEIFS('רווחה - קליטה'!$AK$5:$AK$204,'רווחה - קליטה'!$A$5:$A$204,$A9,'רווחה - קליטה'!$C$5:$C$204,"תחילת שנה"),""))</f>
      </c>
      <c r="D9" s="26">
        <f>IF($A9="","",IFERROR(INDEX('רווחה - קליטה'!$AS$5:$AS$204,MATCH($A9&amp;"|תחילת שנה",'רווחה - קליטה'!$AE$5:$AE$204,0)),""))</f>
      </c>
      <c r="E9" s="28">
        <f>IF($A9="","",IFERROR(AVERAGEIFS('רווחה - קליטה'!$AQ$5:$AQ$204,'רווחה - קליטה'!$A$5:$A$204,$A9,'רווחה - קליטה'!$C$5:$C$204,"אמצע שנה"),""))</f>
      </c>
      <c r="F9" s="27">
        <f>IF($A9="","",IFERROR(AVERAGEIFS('רווחה - קליטה'!$AK$5:$AK$204,'רווחה - קליטה'!$A$5:$A$204,$A9,'רווחה - קליטה'!$C$5:$C$204,"אמצע שנה"),""))</f>
      </c>
      <c r="G9" s="26">
        <f>IF($A9="","",IFERROR(INDEX('רווחה - קליטה'!$AS$5:$AS$204,MATCH($A9&amp;"|אמצע שנה",'רווחה - קליטה'!$AE$5:$AE$204,0)),""))</f>
      </c>
      <c r="H9" s="28">
        <f>IF($A9="","",IFERROR(AVERAGEIFS('רווחה - קליטה'!$AQ$5:$AQ$204,'רווחה - קליטה'!$A$5:$A$204,$A9,'רווחה - קליטה'!$C$5:$C$204,"סוף שנה"),""))</f>
      </c>
      <c r="I9" s="27">
        <f>IF($A9="","",IFERROR(AVERAGEIFS('רווחה - קליטה'!$AK$5:$AK$204,'רווחה - קליטה'!$A$5:$A$204,$A9,'רווחה - קליטה'!$C$5:$C$204,"סוף שנה"),""))</f>
      </c>
      <c r="J9" s="26">
        <f>IF($A9="","",IFERROR(INDEX('רווחה - קליטה'!$AS$5:$AS$204,MATCH($A9&amp;"|סוף שנה",'רווחה - קליטה'!$AE$5:$AE$204,0)),""))</f>
      </c>
      <c r="K9" s="36">
        <f>IF(AND(ISNUMBER(B9),ISNUMBER(H9)),H9-B9,"")</f>
      </c>
      <c r="L9" s="26">
        <f>IF(K9="","",IF(K9&gt;=0.5,"עלייה",IF(K9&lt;=-0.5,"ירידה","יציב")))</f>
      </c>
    </row>
    <row r="10" ht="15" customHeight="1" spans="1:12" x14ac:dyDescent="0.25">
      <c r="A10" s="29"/>
      <c r="B10" s="28">
        <f>IF($A10="","",IFERROR(AVERAGEIFS('רווחה - קליטה'!$AQ$5:$AQ$204,'רווחה - קליטה'!$A$5:$A$204,$A10,'רווחה - קליטה'!$C$5:$C$204,"תחילת שנה"),""))</f>
      </c>
      <c r="C10" s="27">
        <f>IF($A10="","",IFERROR(AVERAGEIFS('רווחה - קליטה'!$AK$5:$AK$204,'רווחה - קליטה'!$A$5:$A$204,$A10,'רווחה - קליטה'!$C$5:$C$204,"תחילת שנה"),""))</f>
      </c>
      <c r="D10" s="26">
        <f>IF($A10="","",IFERROR(INDEX('רווחה - קליטה'!$AS$5:$AS$204,MATCH($A10&amp;"|תחילת שנה",'רווחה - קליטה'!$AE$5:$AE$204,0)),""))</f>
      </c>
      <c r="E10" s="28">
        <f>IF($A10="","",IFERROR(AVERAGEIFS('רווחה - קליטה'!$AQ$5:$AQ$204,'רווחה - קליטה'!$A$5:$A$204,$A10,'רווחה - קליטה'!$C$5:$C$204,"אמצע שנה"),""))</f>
      </c>
      <c r="F10" s="27">
        <f>IF($A10="","",IFERROR(AVERAGEIFS('רווחה - קליטה'!$AK$5:$AK$204,'רווחה - קליטה'!$A$5:$A$204,$A10,'רווחה - קליטה'!$C$5:$C$204,"אמצע שנה"),""))</f>
      </c>
      <c r="G10" s="26">
        <f>IF($A10="","",IFERROR(INDEX('רווחה - קליטה'!$AS$5:$AS$204,MATCH($A10&amp;"|אמצע שנה",'רווחה - קליטה'!$AE$5:$AE$204,0)),""))</f>
      </c>
      <c r="H10" s="28">
        <f>IF($A10="","",IFERROR(AVERAGEIFS('רווחה - קליטה'!$AQ$5:$AQ$204,'רווחה - קליטה'!$A$5:$A$204,$A10,'רווחה - קליטה'!$C$5:$C$204,"סוף שנה"),""))</f>
      </c>
      <c r="I10" s="27">
        <f>IF($A10="","",IFERROR(AVERAGEIFS('רווחה - קליטה'!$AK$5:$AK$204,'רווחה - קליטה'!$A$5:$A$204,$A10,'רווחה - קליטה'!$C$5:$C$204,"סוף שנה"),""))</f>
      </c>
      <c r="J10" s="26">
        <f>IF($A10="","",IFERROR(INDEX('רווחה - קליטה'!$AS$5:$AS$204,MATCH($A10&amp;"|סוף שנה",'רווחה - קליטה'!$AE$5:$AE$204,0)),""))</f>
      </c>
      <c r="K10" s="36">
        <f>IF(AND(ISNUMBER(B10),ISNUMBER(H10)),H10-B10,"")</f>
      </c>
      <c r="L10" s="26">
        <f>IF(K10="","",IF(K10&gt;=0.5,"עלייה",IF(K10&lt;=-0.5,"ירידה","יציב")))</f>
      </c>
    </row>
    <row r="11" ht="15" customHeight="1" spans="1:12" x14ac:dyDescent="0.25">
      <c r="A11" s="29"/>
      <c r="B11" s="28">
        <f>IF($A11="","",IFERROR(AVERAGEIFS('רווחה - קליטה'!$AQ$5:$AQ$204,'רווחה - קליטה'!$A$5:$A$204,$A11,'רווחה - קליטה'!$C$5:$C$204,"תחילת שנה"),""))</f>
      </c>
      <c r="C11" s="27">
        <f>IF($A11="","",IFERROR(AVERAGEIFS('רווחה - קליטה'!$AK$5:$AK$204,'רווחה - קליטה'!$A$5:$A$204,$A11,'רווחה - קליטה'!$C$5:$C$204,"תחילת שנה"),""))</f>
      </c>
      <c r="D11" s="26">
        <f>IF($A11="","",IFERROR(INDEX('רווחה - קליטה'!$AS$5:$AS$204,MATCH($A11&amp;"|תחילת שנה",'רווחה - קליטה'!$AE$5:$AE$204,0)),""))</f>
      </c>
      <c r="E11" s="28">
        <f>IF($A11="","",IFERROR(AVERAGEIFS('רווחה - קליטה'!$AQ$5:$AQ$204,'רווחה - קליטה'!$A$5:$A$204,$A11,'רווחה - קליטה'!$C$5:$C$204,"אמצע שנה"),""))</f>
      </c>
      <c r="F11" s="27">
        <f>IF($A11="","",IFERROR(AVERAGEIFS('רווחה - קליטה'!$AK$5:$AK$204,'רווחה - קליטה'!$A$5:$A$204,$A11,'רווחה - קליטה'!$C$5:$C$204,"אמצע שנה"),""))</f>
      </c>
      <c r="G11" s="26">
        <f>IF($A11="","",IFERROR(INDEX('רווחה - קליטה'!$AS$5:$AS$204,MATCH($A11&amp;"|אמצע שנה",'רווחה - קליטה'!$AE$5:$AE$204,0)),""))</f>
      </c>
      <c r="H11" s="28">
        <f>IF($A11="","",IFERROR(AVERAGEIFS('רווחה - קליטה'!$AQ$5:$AQ$204,'רווחה - קליטה'!$A$5:$A$204,$A11,'רווחה - קליטה'!$C$5:$C$204,"סוף שנה"),""))</f>
      </c>
      <c r="I11" s="27">
        <f>IF($A11="","",IFERROR(AVERAGEIFS('רווחה - קליטה'!$AK$5:$AK$204,'רווחה - קליטה'!$A$5:$A$204,$A11,'רווחה - קליטה'!$C$5:$C$204,"סוף שנה"),""))</f>
      </c>
      <c r="J11" s="26">
        <f>IF($A11="","",IFERROR(INDEX('רווחה - קליטה'!$AS$5:$AS$204,MATCH($A11&amp;"|סוף שנה",'רווחה - קליטה'!$AE$5:$AE$204,0)),""))</f>
      </c>
      <c r="K11" s="36">
        <f>IF(AND(ISNUMBER(B11),ISNUMBER(H11)),H11-B11,"")</f>
      </c>
      <c r="L11" s="26">
        <f>IF(K11="","",IF(K11&gt;=0.5,"עלייה",IF(K11&lt;=-0.5,"ירידה","יציב")))</f>
      </c>
    </row>
    <row r="12" ht="15" customHeight="1" spans="1:12" x14ac:dyDescent="0.25">
      <c r="A12" s="29"/>
      <c r="B12" s="28">
        <f>IF($A12="","",IFERROR(AVERAGEIFS('רווחה - קליטה'!$AQ$5:$AQ$204,'רווחה - קליטה'!$A$5:$A$204,$A12,'רווחה - קליטה'!$C$5:$C$204,"תחילת שנה"),""))</f>
      </c>
      <c r="C12" s="27">
        <f>IF($A12="","",IFERROR(AVERAGEIFS('רווחה - קליטה'!$AK$5:$AK$204,'רווחה - קליטה'!$A$5:$A$204,$A12,'רווחה - קליטה'!$C$5:$C$204,"תחילת שנה"),""))</f>
      </c>
      <c r="D12" s="26">
        <f>IF($A12="","",IFERROR(INDEX('רווחה - קליטה'!$AS$5:$AS$204,MATCH($A12&amp;"|תחילת שנה",'רווחה - קליטה'!$AE$5:$AE$204,0)),""))</f>
      </c>
      <c r="E12" s="28">
        <f>IF($A12="","",IFERROR(AVERAGEIFS('רווחה - קליטה'!$AQ$5:$AQ$204,'רווחה - קליטה'!$A$5:$A$204,$A12,'רווחה - קליטה'!$C$5:$C$204,"אמצע שנה"),""))</f>
      </c>
      <c r="F12" s="27">
        <f>IF($A12="","",IFERROR(AVERAGEIFS('רווחה - קליטה'!$AK$5:$AK$204,'רווחה - קליטה'!$A$5:$A$204,$A12,'רווחה - קליטה'!$C$5:$C$204,"אמצע שנה"),""))</f>
      </c>
      <c r="G12" s="26">
        <f>IF($A12="","",IFERROR(INDEX('רווחה - קליטה'!$AS$5:$AS$204,MATCH($A12&amp;"|אמצע שנה",'רווחה - קליטה'!$AE$5:$AE$204,0)),""))</f>
      </c>
      <c r="H12" s="28">
        <f>IF($A12="","",IFERROR(AVERAGEIFS('רווחה - קליטה'!$AQ$5:$AQ$204,'רווחה - קליטה'!$A$5:$A$204,$A12,'רווחה - קליטה'!$C$5:$C$204,"סוף שנה"),""))</f>
      </c>
      <c r="I12" s="27">
        <f>IF($A12="","",IFERROR(AVERAGEIFS('רווחה - קליטה'!$AK$5:$AK$204,'רווחה - קליטה'!$A$5:$A$204,$A12,'רווחה - קליטה'!$C$5:$C$204,"סוף שנה"),""))</f>
      </c>
      <c r="J12" s="26">
        <f>IF($A12="","",IFERROR(INDEX('רווחה - קליטה'!$AS$5:$AS$204,MATCH($A12&amp;"|סוף שנה",'רווחה - קליטה'!$AE$5:$AE$204,0)),""))</f>
      </c>
      <c r="K12" s="36">
        <f>IF(AND(ISNUMBER(B12),ISNUMBER(H12)),H12-B12,"")</f>
      </c>
      <c r="L12" s="26">
        <f>IF(K12="","",IF(K12&gt;=0.5,"עלייה",IF(K12&lt;=-0.5,"ירידה","יציב")))</f>
      </c>
    </row>
    <row r="13" ht="15" customHeight="1" spans="1:12" x14ac:dyDescent="0.25">
      <c r="A13" s="29"/>
      <c r="B13" s="28">
        <f>IF($A13="","",IFERROR(AVERAGEIFS('רווחה - קליטה'!$AQ$5:$AQ$204,'רווחה - קליטה'!$A$5:$A$204,$A13,'רווחה - קליטה'!$C$5:$C$204,"תחילת שנה"),""))</f>
      </c>
      <c r="C13" s="27">
        <f>IF($A13="","",IFERROR(AVERAGEIFS('רווחה - קליטה'!$AK$5:$AK$204,'רווחה - קליטה'!$A$5:$A$204,$A13,'רווחה - קליטה'!$C$5:$C$204,"תחילת שנה"),""))</f>
      </c>
      <c r="D13" s="26">
        <f>IF($A13="","",IFERROR(INDEX('רווחה - קליטה'!$AS$5:$AS$204,MATCH($A13&amp;"|תחילת שנה",'רווחה - קליטה'!$AE$5:$AE$204,0)),""))</f>
      </c>
      <c r="E13" s="28">
        <f>IF($A13="","",IFERROR(AVERAGEIFS('רווחה - קליטה'!$AQ$5:$AQ$204,'רווחה - קליטה'!$A$5:$A$204,$A13,'רווחה - קליטה'!$C$5:$C$204,"אמצע שנה"),""))</f>
      </c>
      <c r="F13" s="27">
        <f>IF($A13="","",IFERROR(AVERAGEIFS('רווחה - קליטה'!$AK$5:$AK$204,'רווחה - קליטה'!$A$5:$A$204,$A13,'רווחה - קליטה'!$C$5:$C$204,"אמצע שנה"),""))</f>
      </c>
      <c r="G13" s="26">
        <f>IF($A13="","",IFERROR(INDEX('רווחה - קליטה'!$AS$5:$AS$204,MATCH($A13&amp;"|אמצע שנה",'רווחה - קליטה'!$AE$5:$AE$204,0)),""))</f>
      </c>
      <c r="H13" s="28">
        <f>IF($A13="","",IFERROR(AVERAGEIFS('רווחה - קליטה'!$AQ$5:$AQ$204,'רווחה - קליטה'!$A$5:$A$204,$A13,'רווחה - קליטה'!$C$5:$C$204,"סוף שנה"),""))</f>
      </c>
      <c r="I13" s="27">
        <f>IF($A13="","",IFERROR(AVERAGEIFS('רווחה - קליטה'!$AK$5:$AK$204,'רווחה - קליטה'!$A$5:$A$204,$A13,'רווחה - קליטה'!$C$5:$C$204,"סוף שנה"),""))</f>
      </c>
      <c r="J13" s="26">
        <f>IF($A13="","",IFERROR(INDEX('רווחה - קליטה'!$AS$5:$AS$204,MATCH($A13&amp;"|סוף שנה",'רווחה - קליטה'!$AE$5:$AE$204,0)),""))</f>
      </c>
      <c r="K13" s="36">
        <f>IF(AND(ISNUMBER(B13),ISNUMBER(H13)),H13-B13,"")</f>
      </c>
      <c r="L13" s="26">
        <f>IF(K13="","",IF(K13&gt;=0.5,"עלייה",IF(K13&lt;=-0.5,"ירידה","יציב")))</f>
      </c>
    </row>
    <row r="14" ht="15" customHeight="1" spans="1:12" x14ac:dyDescent="0.25">
      <c r="A14" s="29"/>
      <c r="B14" s="28">
        <f>IF($A14="","",IFERROR(AVERAGEIFS('רווחה - קליטה'!$AQ$5:$AQ$204,'רווחה - קליטה'!$A$5:$A$204,$A14,'רווחה - קליטה'!$C$5:$C$204,"תחילת שנה"),""))</f>
      </c>
      <c r="C14" s="27">
        <f>IF($A14="","",IFERROR(AVERAGEIFS('רווחה - קליטה'!$AK$5:$AK$204,'רווחה - קליטה'!$A$5:$A$204,$A14,'רווחה - קליטה'!$C$5:$C$204,"תחילת שנה"),""))</f>
      </c>
      <c r="D14" s="26">
        <f>IF($A14="","",IFERROR(INDEX('רווחה - קליטה'!$AS$5:$AS$204,MATCH($A14&amp;"|תחילת שנה",'רווחה - קליטה'!$AE$5:$AE$204,0)),""))</f>
      </c>
      <c r="E14" s="28">
        <f>IF($A14="","",IFERROR(AVERAGEIFS('רווחה - קליטה'!$AQ$5:$AQ$204,'רווחה - קליטה'!$A$5:$A$204,$A14,'רווחה - קליטה'!$C$5:$C$204,"אמצע שנה"),""))</f>
      </c>
      <c r="F14" s="27">
        <f>IF($A14="","",IFERROR(AVERAGEIFS('רווחה - קליטה'!$AK$5:$AK$204,'רווחה - קליטה'!$A$5:$A$204,$A14,'רווחה - קליטה'!$C$5:$C$204,"אמצע שנה"),""))</f>
      </c>
      <c r="G14" s="26">
        <f>IF($A14="","",IFERROR(INDEX('רווחה - קליטה'!$AS$5:$AS$204,MATCH($A14&amp;"|אמצע שנה",'רווחה - קליטה'!$AE$5:$AE$204,0)),""))</f>
      </c>
      <c r="H14" s="28">
        <f>IF($A14="","",IFERROR(AVERAGEIFS('רווחה - קליטה'!$AQ$5:$AQ$204,'רווחה - קליטה'!$A$5:$A$204,$A14,'רווחה - קליטה'!$C$5:$C$204,"סוף שנה"),""))</f>
      </c>
      <c r="I14" s="27">
        <f>IF($A14="","",IFERROR(AVERAGEIFS('רווחה - קליטה'!$AK$5:$AK$204,'רווחה - קליטה'!$A$5:$A$204,$A14,'רווחה - קליטה'!$C$5:$C$204,"סוף שנה"),""))</f>
      </c>
      <c r="J14" s="26">
        <f>IF($A14="","",IFERROR(INDEX('רווחה - קליטה'!$AS$5:$AS$204,MATCH($A14&amp;"|סוף שנה",'רווחה - קליטה'!$AE$5:$AE$204,0)),""))</f>
      </c>
      <c r="K14" s="36">
        <f>IF(AND(ISNUMBER(B14),ISNUMBER(H14)),H14-B14,"")</f>
      </c>
      <c r="L14" s="26">
        <f>IF(K14="","",IF(K14&gt;=0.5,"עלייה",IF(K14&lt;=-0.5,"ירידה","יציב")))</f>
      </c>
    </row>
    <row r="15" ht="15" customHeight="1" spans="1:12" x14ac:dyDescent="0.25">
      <c r="A15" s="29"/>
      <c r="B15" s="28">
        <f>IF($A15="","",IFERROR(AVERAGEIFS('רווחה - קליטה'!$AQ$5:$AQ$204,'רווחה - קליטה'!$A$5:$A$204,$A15,'רווחה - קליטה'!$C$5:$C$204,"תחילת שנה"),""))</f>
      </c>
      <c r="C15" s="27">
        <f>IF($A15="","",IFERROR(AVERAGEIFS('רווחה - קליטה'!$AK$5:$AK$204,'רווחה - קליטה'!$A$5:$A$204,$A15,'רווחה - קליטה'!$C$5:$C$204,"תחילת שנה"),""))</f>
      </c>
      <c r="D15" s="26">
        <f>IF($A15="","",IFERROR(INDEX('רווחה - קליטה'!$AS$5:$AS$204,MATCH($A15&amp;"|תחילת שנה",'רווחה - קליטה'!$AE$5:$AE$204,0)),""))</f>
      </c>
      <c r="E15" s="28">
        <f>IF($A15="","",IFERROR(AVERAGEIFS('רווחה - קליטה'!$AQ$5:$AQ$204,'רווחה - קליטה'!$A$5:$A$204,$A15,'רווחה - קליטה'!$C$5:$C$204,"אמצע שנה"),""))</f>
      </c>
      <c r="F15" s="27">
        <f>IF($A15="","",IFERROR(AVERAGEIFS('רווחה - קליטה'!$AK$5:$AK$204,'רווחה - קליטה'!$A$5:$A$204,$A15,'רווחה - קליטה'!$C$5:$C$204,"אמצע שנה"),""))</f>
      </c>
      <c r="G15" s="26">
        <f>IF($A15="","",IFERROR(INDEX('רווחה - קליטה'!$AS$5:$AS$204,MATCH($A15&amp;"|אמצע שנה",'רווחה - קליטה'!$AE$5:$AE$204,0)),""))</f>
      </c>
      <c r="H15" s="28">
        <f>IF($A15="","",IFERROR(AVERAGEIFS('רווחה - קליטה'!$AQ$5:$AQ$204,'רווחה - קליטה'!$A$5:$A$204,$A15,'רווחה - קליטה'!$C$5:$C$204,"סוף שנה"),""))</f>
      </c>
      <c r="I15" s="27">
        <f>IF($A15="","",IFERROR(AVERAGEIFS('רווחה - קליטה'!$AK$5:$AK$204,'רווחה - קליטה'!$A$5:$A$204,$A15,'רווחה - קליטה'!$C$5:$C$204,"סוף שנה"),""))</f>
      </c>
      <c r="J15" s="26">
        <f>IF($A15="","",IFERROR(INDEX('רווחה - קליטה'!$AS$5:$AS$204,MATCH($A15&amp;"|סוף שנה",'רווחה - קליטה'!$AE$5:$AE$204,0)),""))</f>
      </c>
      <c r="K15" s="36">
        <f>IF(AND(ISNUMBER(B15),ISNUMBER(H15)),H15-B15,"")</f>
      </c>
      <c r="L15" s="26">
        <f>IF(K15="","",IF(K15&gt;=0.5,"עלייה",IF(K15&lt;=-0.5,"ירידה","יציב")))</f>
      </c>
    </row>
    <row r="16" ht="15" customHeight="1" spans="1:12" x14ac:dyDescent="0.25">
      <c r="A16" s="29"/>
      <c r="B16" s="28">
        <f>IF($A16="","",IFERROR(AVERAGEIFS('רווחה - קליטה'!$AQ$5:$AQ$204,'רווחה - קליטה'!$A$5:$A$204,$A16,'רווחה - קליטה'!$C$5:$C$204,"תחילת שנה"),""))</f>
      </c>
      <c r="C16" s="27">
        <f>IF($A16="","",IFERROR(AVERAGEIFS('רווחה - קליטה'!$AK$5:$AK$204,'רווחה - קליטה'!$A$5:$A$204,$A16,'רווחה - קליטה'!$C$5:$C$204,"תחילת שנה"),""))</f>
      </c>
      <c r="D16" s="26">
        <f>IF($A16="","",IFERROR(INDEX('רווחה - קליטה'!$AS$5:$AS$204,MATCH($A16&amp;"|תחילת שנה",'רווחה - קליטה'!$AE$5:$AE$204,0)),""))</f>
      </c>
      <c r="E16" s="28">
        <f>IF($A16="","",IFERROR(AVERAGEIFS('רווחה - קליטה'!$AQ$5:$AQ$204,'רווחה - קליטה'!$A$5:$A$204,$A16,'רווחה - קליטה'!$C$5:$C$204,"אמצע שנה"),""))</f>
      </c>
      <c r="F16" s="27">
        <f>IF($A16="","",IFERROR(AVERAGEIFS('רווחה - קליטה'!$AK$5:$AK$204,'רווחה - קליטה'!$A$5:$A$204,$A16,'רווחה - קליטה'!$C$5:$C$204,"אמצע שנה"),""))</f>
      </c>
      <c r="G16" s="26">
        <f>IF($A16="","",IFERROR(INDEX('רווחה - קליטה'!$AS$5:$AS$204,MATCH($A16&amp;"|אמצע שנה",'רווחה - קליטה'!$AE$5:$AE$204,0)),""))</f>
      </c>
      <c r="H16" s="28">
        <f>IF($A16="","",IFERROR(AVERAGEIFS('רווחה - קליטה'!$AQ$5:$AQ$204,'רווחה - קליטה'!$A$5:$A$204,$A16,'רווחה - קליטה'!$C$5:$C$204,"סוף שנה"),""))</f>
      </c>
      <c r="I16" s="27">
        <f>IF($A16="","",IFERROR(AVERAGEIFS('רווחה - קליטה'!$AK$5:$AK$204,'רווחה - קליטה'!$A$5:$A$204,$A16,'רווחה - קליטה'!$C$5:$C$204,"סוף שנה"),""))</f>
      </c>
      <c r="J16" s="26">
        <f>IF($A16="","",IFERROR(INDEX('רווחה - קליטה'!$AS$5:$AS$204,MATCH($A16&amp;"|סוף שנה",'רווחה - קליטה'!$AE$5:$AE$204,0)),""))</f>
      </c>
      <c r="K16" s="36">
        <f>IF(AND(ISNUMBER(B16),ISNUMBER(H16)),H16-B16,"")</f>
      </c>
      <c r="L16" s="26">
        <f>IF(K16="","",IF(K16&gt;=0.5,"עלייה",IF(K16&lt;=-0.5,"ירידה","יציב")))</f>
      </c>
    </row>
    <row r="17" ht="15" customHeight="1" spans="1:12" x14ac:dyDescent="0.25">
      <c r="A17" s="29"/>
      <c r="B17" s="28">
        <f>IF($A17="","",IFERROR(AVERAGEIFS('רווחה - קליטה'!$AQ$5:$AQ$204,'רווחה - קליטה'!$A$5:$A$204,$A17,'רווחה - קליטה'!$C$5:$C$204,"תחילת שנה"),""))</f>
      </c>
      <c r="C17" s="27">
        <f>IF($A17="","",IFERROR(AVERAGEIFS('רווחה - קליטה'!$AK$5:$AK$204,'רווחה - קליטה'!$A$5:$A$204,$A17,'רווחה - קליטה'!$C$5:$C$204,"תחילת שנה"),""))</f>
      </c>
      <c r="D17" s="26">
        <f>IF($A17="","",IFERROR(INDEX('רווחה - קליטה'!$AS$5:$AS$204,MATCH($A17&amp;"|תחילת שנה",'רווחה - קליטה'!$AE$5:$AE$204,0)),""))</f>
      </c>
      <c r="E17" s="28">
        <f>IF($A17="","",IFERROR(AVERAGEIFS('רווחה - קליטה'!$AQ$5:$AQ$204,'רווחה - קליטה'!$A$5:$A$204,$A17,'רווחה - קליטה'!$C$5:$C$204,"אמצע שנה"),""))</f>
      </c>
      <c r="F17" s="27">
        <f>IF($A17="","",IFERROR(AVERAGEIFS('רווחה - קליטה'!$AK$5:$AK$204,'רווחה - קליטה'!$A$5:$A$204,$A17,'רווחה - קליטה'!$C$5:$C$204,"אמצע שנה"),""))</f>
      </c>
      <c r="G17" s="26">
        <f>IF($A17="","",IFERROR(INDEX('רווחה - קליטה'!$AS$5:$AS$204,MATCH($A17&amp;"|אמצע שנה",'רווחה - קליטה'!$AE$5:$AE$204,0)),""))</f>
      </c>
      <c r="H17" s="28">
        <f>IF($A17="","",IFERROR(AVERAGEIFS('רווחה - קליטה'!$AQ$5:$AQ$204,'רווחה - קליטה'!$A$5:$A$204,$A17,'רווחה - קליטה'!$C$5:$C$204,"סוף שנה"),""))</f>
      </c>
      <c r="I17" s="27">
        <f>IF($A17="","",IFERROR(AVERAGEIFS('רווחה - קליטה'!$AK$5:$AK$204,'רווחה - קליטה'!$A$5:$A$204,$A17,'רווחה - קליטה'!$C$5:$C$204,"סוף שנה"),""))</f>
      </c>
      <c r="J17" s="26">
        <f>IF($A17="","",IFERROR(INDEX('רווחה - קליטה'!$AS$5:$AS$204,MATCH($A17&amp;"|סוף שנה",'רווחה - קליטה'!$AE$5:$AE$204,0)),""))</f>
      </c>
      <c r="K17" s="36">
        <f>IF(AND(ISNUMBER(B17),ISNUMBER(H17)),H17-B17,"")</f>
      </c>
      <c r="L17" s="26">
        <f>IF(K17="","",IF(K17&gt;=0.5,"עלייה",IF(K17&lt;=-0.5,"ירידה","יציב")))</f>
      </c>
    </row>
    <row r="18" ht="15" customHeight="1" spans="1:12" x14ac:dyDescent="0.25">
      <c r="A18" s="29"/>
      <c r="B18" s="28">
        <f>IF($A18="","",IFERROR(AVERAGEIFS('רווחה - קליטה'!$AQ$5:$AQ$204,'רווחה - קליטה'!$A$5:$A$204,$A18,'רווחה - קליטה'!$C$5:$C$204,"תחילת שנה"),""))</f>
      </c>
      <c r="C18" s="27">
        <f>IF($A18="","",IFERROR(AVERAGEIFS('רווחה - קליטה'!$AK$5:$AK$204,'רווחה - קליטה'!$A$5:$A$204,$A18,'רווחה - קליטה'!$C$5:$C$204,"תחילת שנה"),""))</f>
      </c>
      <c r="D18" s="26">
        <f>IF($A18="","",IFERROR(INDEX('רווחה - קליטה'!$AS$5:$AS$204,MATCH($A18&amp;"|תחילת שנה",'רווחה - קליטה'!$AE$5:$AE$204,0)),""))</f>
      </c>
      <c r="E18" s="28">
        <f>IF($A18="","",IFERROR(AVERAGEIFS('רווחה - קליטה'!$AQ$5:$AQ$204,'רווחה - קליטה'!$A$5:$A$204,$A18,'רווחה - קליטה'!$C$5:$C$204,"אמצע שנה"),""))</f>
      </c>
      <c r="F18" s="27">
        <f>IF($A18="","",IFERROR(AVERAGEIFS('רווחה - קליטה'!$AK$5:$AK$204,'רווחה - קליטה'!$A$5:$A$204,$A18,'רווחה - קליטה'!$C$5:$C$204,"אמצע שנה"),""))</f>
      </c>
      <c r="G18" s="26">
        <f>IF($A18="","",IFERROR(INDEX('רווחה - קליטה'!$AS$5:$AS$204,MATCH($A18&amp;"|אמצע שנה",'רווחה - קליטה'!$AE$5:$AE$204,0)),""))</f>
      </c>
      <c r="H18" s="28">
        <f>IF($A18="","",IFERROR(AVERAGEIFS('רווחה - קליטה'!$AQ$5:$AQ$204,'רווחה - קליטה'!$A$5:$A$204,$A18,'רווחה - קליטה'!$C$5:$C$204,"סוף שנה"),""))</f>
      </c>
      <c r="I18" s="27">
        <f>IF($A18="","",IFERROR(AVERAGEIFS('רווחה - קליטה'!$AK$5:$AK$204,'רווחה - קליטה'!$A$5:$A$204,$A18,'רווחה - קליטה'!$C$5:$C$204,"סוף שנה"),""))</f>
      </c>
      <c r="J18" s="26">
        <f>IF($A18="","",IFERROR(INDEX('רווחה - קליטה'!$AS$5:$AS$204,MATCH($A18&amp;"|סוף שנה",'רווחה - קליטה'!$AE$5:$AE$204,0)),""))</f>
      </c>
      <c r="K18" s="36">
        <f>IF(AND(ISNUMBER(B18),ISNUMBER(H18)),H18-B18,"")</f>
      </c>
      <c r="L18" s="26">
        <f>IF(K18="","",IF(K18&gt;=0.5,"עלייה",IF(K18&lt;=-0.5,"ירידה","יציב")))</f>
      </c>
    </row>
    <row r="19" ht="15" customHeight="1" spans="1:12" x14ac:dyDescent="0.25">
      <c r="A19" s="29"/>
      <c r="B19" s="28">
        <f>IF($A19="","",IFERROR(AVERAGEIFS('רווחה - קליטה'!$AQ$5:$AQ$204,'רווחה - קליטה'!$A$5:$A$204,$A19,'רווחה - קליטה'!$C$5:$C$204,"תחילת שנה"),""))</f>
      </c>
      <c r="C19" s="27">
        <f>IF($A19="","",IFERROR(AVERAGEIFS('רווחה - קליטה'!$AK$5:$AK$204,'רווחה - קליטה'!$A$5:$A$204,$A19,'רווחה - קליטה'!$C$5:$C$204,"תחילת שנה"),""))</f>
      </c>
      <c r="D19" s="26">
        <f>IF($A19="","",IFERROR(INDEX('רווחה - קליטה'!$AS$5:$AS$204,MATCH($A19&amp;"|תחילת שנה",'רווחה - קליטה'!$AE$5:$AE$204,0)),""))</f>
      </c>
      <c r="E19" s="28">
        <f>IF($A19="","",IFERROR(AVERAGEIFS('רווחה - קליטה'!$AQ$5:$AQ$204,'רווחה - קליטה'!$A$5:$A$204,$A19,'רווחה - קליטה'!$C$5:$C$204,"אמצע שנה"),""))</f>
      </c>
      <c r="F19" s="27">
        <f>IF($A19="","",IFERROR(AVERAGEIFS('רווחה - קליטה'!$AK$5:$AK$204,'רווחה - קליטה'!$A$5:$A$204,$A19,'רווחה - קליטה'!$C$5:$C$204,"אמצע שנה"),""))</f>
      </c>
      <c r="G19" s="26">
        <f>IF($A19="","",IFERROR(INDEX('רווחה - קליטה'!$AS$5:$AS$204,MATCH($A19&amp;"|אמצע שנה",'רווחה - קליטה'!$AE$5:$AE$204,0)),""))</f>
      </c>
      <c r="H19" s="28">
        <f>IF($A19="","",IFERROR(AVERAGEIFS('רווחה - קליטה'!$AQ$5:$AQ$204,'רווחה - קליטה'!$A$5:$A$204,$A19,'רווחה - קליטה'!$C$5:$C$204,"סוף שנה"),""))</f>
      </c>
      <c r="I19" s="27">
        <f>IF($A19="","",IFERROR(AVERAGEIFS('רווחה - קליטה'!$AK$5:$AK$204,'רווחה - קליטה'!$A$5:$A$204,$A19,'רווחה - קליטה'!$C$5:$C$204,"סוף שנה"),""))</f>
      </c>
      <c r="J19" s="26">
        <f>IF($A19="","",IFERROR(INDEX('רווחה - קליטה'!$AS$5:$AS$204,MATCH($A19&amp;"|סוף שנה",'רווחה - קליטה'!$AE$5:$AE$204,0)),""))</f>
      </c>
      <c r="K19" s="36">
        <f>IF(AND(ISNUMBER(B19),ISNUMBER(H19)),H19-B19,"")</f>
      </c>
      <c r="L19" s="26">
        <f>IF(K19="","",IF(K19&gt;=0.5,"עלייה",IF(K19&lt;=-0.5,"ירידה","יציב")))</f>
      </c>
    </row>
    <row r="20" ht="15" customHeight="1" spans="1:12" x14ac:dyDescent="0.25">
      <c r="A20" s="29"/>
      <c r="B20" s="28">
        <f>IF($A20="","",IFERROR(AVERAGEIFS('רווחה - קליטה'!$AQ$5:$AQ$204,'רווחה - קליטה'!$A$5:$A$204,$A20,'רווחה - קליטה'!$C$5:$C$204,"תחילת שנה"),""))</f>
      </c>
      <c r="C20" s="27">
        <f>IF($A20="","",IFERROR(AVERAGEIFS('רווחה - קליטה'!$AK$5:$AK$204,'רווחה - קליטה'!$A$5:$A$204,$A20,'רווחה - קליטה'!$C$5:$C$204,"תחילת שנה"),""))</f>
      </c>
      <c r="D20" s="26">
        <f>IF($A20="","",IFERROR(INDEX('רווחה - קליטה'!$AS$5:$AS$204,MATCH($A20&amp;"|תחילת שנה",'רווחה - קליטה'!$AE$5:$AE$204,0)),""))</f>
      </c>
      <c r="E20" s="28">
        <f>IF($A20="","",IFERROR(AVERAGEIFS('רווחה - קליטה'!$AQ$5:$AQ$204,'רווחה - קליטה'!$A$5:$A$204,$A20,'רווחה - קליטה'!$C$5:$C$204,"אמצע שנה"),""))</f>
      </c>
      <c r="F20" s="27">
        <f>IF($A20="","",IFERROR(AVERAGEIFS('רווחה - קליטה'!$AK$5:$AK$204,'רווחה - קליטה'!$A$5:$A$204,$A20,'רווחה - קליטה'!$C$5:$C$204,"אמצע שנה"),""))</f>
      </c>
      <c r="G20" s="26">
        <f>IF($A20="","",IFERROR(INDEX('רווחה - קליטה'!$AS$5:$AS$204,MATCH($A20&amp;"|אמצע שנה",'רווחה - קליטה'!$AE$5:$AE$204,0)),""))</f>
      </c>
      <c r="H20" s="28">
        <f>IF($A20="","",IFERROR(AVERAGEIFS('רווחה - קליטה'!$AQ$5:$AQ$204,'רווחה - קליטה'!$A$5:$A$204,$A20,'רווחה - קליטה'!$C$5:$C$204,"סוף שנה"),""))</f>
      </c>
      <c r="I20" s="27">
        <f>IF($A20="","",IFERROR(AVERAGEIFS('רווחה - קליטה'!$AK$5:$AK$204,'רווחה - קליטה'!$A$5:$A$204,$A20,'רווחה - קליטה'!$C$5:$C$204,"סוף שנה"),""))</f>
      </c>
      <c r="J20" s="26">
        <f>IF($A20="","",IFERROR(INDEX('רווחה - קליטה'!$AS$5:$AS$204,MATCH($A20&amp;"|סוף שנה",'רווחה - קליטה'!$AE$5:$AE$204,0)),""))</f>
      </c>
      <c r="K20" s="36">
        <f>IF(AND(ISNUMBER(B20),ISNUMBER(H20)),H20-B20,"")</f>
      </c>
      <c r="L20" s="26">
        <f>IF(K20="","",IF(K20&gt;=0.5,"עלייה",IF(K20&lt;=-0.5,"ירידה","יציב")))</f>
      </c>
    </row>
    <row r="21" ht="15" customHeight="1" spans="1:12" x14ac:dyDescent="0.25">
      <c r="A21" s="29"/>
      <c r="B21" s="28">
        <f>IF($A21="","",IFERROR(AVERAGEIFS('רווחה - קליטה'!$AQ$5:$AQ$204,'רווחה - קליטה'!$A$5:$A$204,$A21,'רווחה - קליטה'!$C$5:$C$204,"תחילת שנה"),""))</f>
      </c>
      <c r="C21" s="27">
        <f>IF($A21="","",IFERROR(AVERAGEIFS('רווחה - קליטה'!$AK$5:$AK$204,'רווחה - קליטה'!$A$5:$A$204,$A21,'רווחה - קליטה'!$C$5:$C$204,"תחילת שנה"),""))</f>
      </c>
      <c r="D21" s="26">
        <f>IF($A21="","",IFERROR(INDEX('רווחה - קליטה'!$AS$5:$AS$204,MATCH($A21&amp;"|תחילת שנה",'רווחה - קליטה'!$AE$5:$AE$204,0)),""))</f>
      </c>
      <c r="E21" s="28">
        <f>IF($A21="","",IFERROR(AVERAGEIFS('רווחה - קליטה'!$AQ$5:$AQ$204,'רווחה - קליטה'!$A$5:$A$204,$A21,'רווחה - קליטה'!$C$5:$C$204,"אמצע שנה"),""))</f>
      </c>
      <c r="F21" s="27">
        <f>IF($A21="","",IFERROR(AVERAGEIFS('רווחה - קליטה'!$AK$5:$AK$204,'רווחה - קליטה'!$A$5:$A$204,$A21,'רווחה - קליטה'!$C$5:$C$204,"אמצע שנה"),""))</f>
      </c>
      <c r="G21" s="26">
        <f>IF($A21="","",IFERROR(INDEX('רווחה - קליטה'!$AS$5:$AS$204,MATCH($A21&amp;"|אמצע שנה",'רווחה - קליטה'!$AE$5:$AE$204,0)),""))</f>
      </c>
      <c r="H21" s="28">
        <f>IF($A21="","",IFERROR(AVERAGEIFS('רווחה - קליטה'!$AQ$5:$AQ$204,'רווחה - קליטה'!$A$5:$A$204,$A21,'רווחה - קליטה'!$C$5:$C$204,"סוף שנה"),""))</f>
      </c>
      <c r="I21" s="27">
        <f>IF($A21="","",IFERROR(AVERAGEIFS('רווחה - קליטה'!$AK$5:$AK$204,'רווחה - קליטה'!$A$5:$A$204,$A21,'רווחה - קליטה'!$C$5:$C$204,"סוף שנה"),""))</f>
      </c>
      <c r="J21" s="26">
        <f>IF($A21="","",IFERROR(INDEX('רווחה - קליטה'!$AS$5:$AS$204,MATCH($A21&amp;"|סוף שנה",'רווחה - קליטה'!$AE$5:$AE$204,0)),""))</f>
      </c>
      <c r="K21" s="36">
        <f>IF(AND(ISNUMBER(B21),ISNUMBER(H21)),H21-B21,"")</f>
      </c>
      <c r="L21" s="26">
        <f>IF(K21="","",IF(K21&gt;=0.5,"עלייה",IF(K21&lt;=-0.5,"ירידה","יציב")))</f>
      </c>
    </row>
    <row r="22" ht="15" customHeight="1" spans="1:12" x14ac:dyDescent="0.25">
      <c r="A22" s="29"/>
      <c r="B22" s="28">
        <f>IF($A22="","",IFERROR(AVERAGEIFS('רווחה - קליטה'!$AQ$5:$AQ$204,'רווחה - קליטה'!$A$5:$A$204,$A22,'רווחה - קליטה'!$C$5:$C$204,"תחילת שנה"),""))</f>
      </c>
      <c r="C22" s="27">
        <f>IF($A22="","",IFERROR(AVERAGEIFS('רווחה - קליטה'!$AK$5:$AK$204,'רווחה - קליטה'!$A$5:$A$204,$A22,'רווחה - קליטה'!$C$5:$C$204,"תחילת שנה"),""))</f>
      </c>
      <c r="D22" s="26">
        <f>IF($A22="","",IFERROR(INDEX('רווחה - קליטה'!$AS$5:$AS$204,MATCH($A22&amp;"|תחילת שנה",'רווחה - קליטה'!$AE$5:$AE$204,0)),""))</f>
      </c>
      <c r="E22" s="28">
        <f>IF($A22="","",IFERROR(AVERAGEIFS('רווחה - קליטה'!$AQ$5:$AQ$204,'רווחה - קליטה'!$A$5:$A$204,$A22,'רווחה - קליטה'!$C$5:$C$204,"אמצע שנה"),""))</f>
      </c>
      <c r="F22" s="27">
        <f>IF($A22="","",IFERROR(AVERAGEIFS('רווחה - קליטה'!$AK$5:$AK$204,'רווחה - קליטה'!$A$5:$A$204,$A22,'רווחה - קליטה'!$C$5:$C$204,"אמצע שנה"),""))</f>
      </c>
      <c r="G22" s="26">
        <f>IF($A22="","",IFERROR(INDEX('רווחה - קליטה'!$AS$5:$AS$204,MATCH($A22&amp;"|אמצע שנה",'רווחה - קליטה'!$AE$5:$AE$204,0)),""))</f>
      </c>
      <c r="H22" s="28">
        <f>IF($A22="","",IFERROR(AVERAGEIFS('רווחה - קליטה'!$AQ$5:$AQ$204,'רווחה - קליטה'!$A$5:$A$204,$A22,'רווחה - קליטה'!$C$5:$C$204,"סוף שנה"),""))</f>
      </c>
      <c r="I22" s="27">
        <f>IF($A22="","",IFERROR(AVERAGEIFS('רווחה - קליטה'!$AK$5:$AK$204,'רווחה - קליטה'!$A$5:$A$204,$A22,'רווחה - קליטה'!$C$5:$C$204,"סוף שנה"),""))</f>
      </c>
      <c r="J22" s="26">
        <f>IF($A22="","",IFERROR(INDEX('רווחה - קליטה'!$AS$5:$AS$204,MATCH($A22&amp;"|סוף שנה",'רווחה - קליטה'!$AE$5:$AE$204,0)),""))</f>
      </c>
      <c r="K22" s="36">
        <f>IF(AND(ISNUMBER(B22),ISNUMBER(H22)),H22-B22,"")</f>
      </c>
      <c r="L22" s="26">
        <f>IF(K22="","",IF(K22&gt;=0.5,"עלייה",IF(K22&lt;=-0.5,"ירידה","יציב")))</f>
      </c>
    </row>
    <row r="23" ht="15" customHeight="1" spans="1:12" x14ac:dyDescent="0.25">
      <c r="A23" s="29"/>
      <c r="B23" s="28">
        <f>IF($A23="","",IFERROR(AVERAGEIFS('רווחה - קליטה'!$AQ$5:$AQ$204,'רווחה - קליטה'!$A$5:$A$204,$A23,'רווחה - קליטה'!$C$5:$C$204,"תחילת שנה"),""))</f>
      </c>
      <c r="C23" s="27">
        <f>IF($A23="","",IFERROR(AVERAGEIFS('רווחה - קליטה'!$AK$5:$AK$204,'רווחה - קליטה'!$A$5:$A$204,$A23,'רווחה - קליטה'!$C$5:$C$204,"תחילת שנה"),""))</f>
      </c>
      <c r="D23" s="26">
        <f>IF($A23="","",IFERROR(INDEX('רווחה - קליטה'!$AS$5:$AS$204,MATCH($A23&amp;"|תחילת שנה",'רווחה - קליטה'!$AE$5:$AE$204,0)),""))</f>
      </c>
      <c r="E23" s="28">
        <f>IF($A23="","",IFERROR(AVERAGEIFS('רווחה - קליטה'!$AQ$5:$AQ$204,'רווחה - קליטה'!$A$5:$A$204,$A23,'רווחה - קליטה'!$C$5:$C$204,"אמצע שנה"),""))</f>
      </c>
      <c r="F23" s="27">
        <f>IF($A23="","",IFERROR(AVERAGEIFS('רווחה - קליטה'!$AK$5:$AK$204,'רווחה - קליטה'!$A$5:$A$204,$A23,'רווחה - קליטה'!$C$5:$C$204,"אמצע שנה"),""))</f>
      </c>
      <c r="G23" s="26">
        <f>IF($A23="","",IFERROR(INDEX('רווחה - קליטה'!$AS$5:$AS$204,MATCH($A23&amp;"|אמצע שנה",'רווחה - קליטה'!$AE$5:$AE$204,0)),""))</f>
      </c>
      <c r="H23" s="28">
        <f>IF($A23="","",IFERROR(AVERAGEIFS('רווחה - קליטה'!$AQ$5:$AQ$204,'רווחה - קליטה'!$A$5:$A$204,$A23,'רווחה - קליטה'!$C$5:$C$204,"סוף שנה"),""))</f>
      </c>
      <c r="I23" s="27">
        <f>IF($A23="","",IFERROR(AVERAGEIFS('רווחה - קליטה'!$AK$5:$AK$204,'רווחה - קליטה'!$A$5:$A$204,$A23,'רווחה - קליטה'!$C$5:$C$204,"סוף שנה"),""))</f>
      </c>
      <c r="J23" s="26">
        <f>IF($A23="","",IFERROR(INDEX('רווחה - קליטה'!$AS$5:$AS$204,MATCH($A23&amp;"|סוף שנה",'רווחה - קליטה'!$AE$5:$AE$204,0)),""))</f>
      </c>
      <c r="K23" s="36">
        <f>IF(AND(ISNUMBER(B23),ISNUMBER(H23)),H23-B23,"")</f>
      </c>
      <c r="L23" s="26">
        <f>IF(K23="","",IF(K23&gt;=0.5,"עלייה",IF(K23&lt;=-0.5,"ירידה","יציב")))</f>
      </c>
    </row>
    <row r="24" ht="15" customHeight="1" spans="1:12" x14ac:dyDescent="0.25">
      <c r="A24" s="29"/>
      <c r="B24" s="28">
        <f>IF($A24="","",IFERROR(AVERAGEIFS('רווחה - קליטה'!$AQ$5:$AQ$204,'רווחה - קליטה'!$A$5:$A$204,$A24,'רווחה - קליטה'!$C$5:$C$204,"תחילת שנה"),""))</f>
      </c>
      <c r="C24" s="27">
        <f>IF($A24="","",IFERROR(AVERAGEIFS('רווחה - קליטה'!$AK$5:$AK$204,'רווחה - קליטה'!$A$5:$A$204,$A24,'רווחה - קליטה'!$C$5:$C$204,"תחילת שנה"),""))</f>
      </c>
      <c r="D24" s="26">
        <f>IF($A24="","",IFERROR(INDEX('רווחה - קליטה'!$AS$5:$AS$204,MATCH($A24&amp;"|תחילת שנה",'רווחה - קליטה'!$AE$5:$AE$204,0)),""))</f>
      </c>
      <c r="E24" s="28">
        <f>IF($A24="","",IFERROR(AVERAGEIFS('רווחה - קליטה'!$AQ$5:$AQ$204,'רווחה - קליטה'!$A$5:$A$204,$A24,'רווחה - קליטה'!$C$5:$C$204,"אמצע שנה"),""))</f>
      </c>
      <c r="F24" s="27">
        <f>IF($A24="","",IFERROR(AVERAGEIFS('רווחה - קליטה'!$AK$5:$AK$204,'רווחה - קליטה'!$A$5:$A$204,$A24,'רווחה - קליטה'!$C$5:$C$204,"אמצע שנה"),""))</f>
      </c>
      <c r="G24" s="26">
        <f>IF($A24="","",IFERROR(INDEX('רווחה - קליטה'!$AS$5:$AS$204,MATCH($A24&amp;"|אמצע שנה",'רווחה - קליטה'!$AE$5:$AE$204,0)),""))</f>
      </c>
      <c r="H24" s="28">
        <f>IF($A24="","",IFERROR(AVERAGEIFS('רווחה - קליטה'!$AQ$5:$AQ$204,'רווחה - קליטה'!$A$5:$A$204,$A24,'רווחה - קליטה'!$C$5:$C$204,"סוף שנה"),""))</f>
      </c>
      <c r="I24" s="27">
        <f>IF($A24="","",IFERROR(AVERAGEIFS('רווחה - קליטה'!$AK$5:$AK$204,'רווחה - קליטה'!$A$5:$A$204,$A24,'רווחה - קליטה'!$C$5:$C$204,"סוף שנה"),""))</f>
      </c>
      <c r="J24" s="26">
        <f>IF($A24="","",IFERROR(INDEX('רווחה - קליטה'!$AS$5:$AS$204,MATCH($A24&amp;"|סוף שנה",'רווחה - קליטה'!$AE$5:$AE$204,0)),""))</f>
      </c>
      <c r="K24" s="36">
        <f>IF(AND(ISNUMBER(B24),ISNUMBER(H24)),H24-B24,"")</f>
      </c>
      <c r="L24" s="26">
        <f>IF(K24="","",IF(K24&gt;=0.5,"עלייה",IF(K24&lt;=-0.5,"ירידה","יציב")))</f>
      </c>
    </row>
    <row r="25" ht="15" customHeight="1" spans="1:12" x14ac:dyDescent="0.25">
      <c r="A25" s="29"/>
      <c r="B25" s="28">
        <f>IF($A25="","",IFERROR(AVERAGEIFS('רווחה - קליטה'!$AQ$5:$AQ$204,'רווחה - קליטה'!$A$5:$A$204,$A25,'רווחה - קליטה'!$C$5:$C$204,"תחילת שנה"),""))</f>
      </c>
      <c r="C25" s="27">
        <f>IF($A25="","",IFERROR(AVERAGEIFS('רווחה - קליטה'!$AK$5:$AK$204,'רווחה - קליטה'!$A$5:$A$204,$A25,'רווחה - קליטה'!$C$5:$C$204,"תחילת שנה"),""))</f>
      </c>
      <c r="D25" s="26">
        <f>IF($A25="","",IFERROR(INDEX('רווחה - קליטה'!$AS$5:$AS$204,MATCH($A25&amp;"|תחילת שנה",'רווחה - קליטה'!$AE$5:$AE$204,0)),""))</f>
      </c>
      <c r="E25" s="28">
        <f>IF($A25="","",IFERROR(AVERAGEIFS('רווחה - קליטה'!$AQ$5:$AQ$204,'רווחה - קליטה'!$A$5:$A$204,$A25,'רווחה - קליטה'!$C$5:$C$204,"אמצע שנה"),""))</f>
      </c>
      <c r="F25" s="27">
        <f>IF($A25="","",IFERROR(AVERAGEIFS('רווחה - קליטה'!$AK$5:$AK$204,'רווחה - קליטה'!$A$5:$A$204,$A25,'רווחה - קליטה'!$C$5:$C$204,"אמצע שנה"),""))</f>
      </c>
      <c r="G25" s="26">
        <f>IF($A25="","",IFERROR(INDEX('רווחה - קליטה'!$AS$5:$AS$204,MATCH($A25&amp;"|אמצע שנה",'רווחה - קליטה'!$AE$5:$AE$204,0)),""))</f>
      </c>
      <c r="H25" s="28">
        <f>IF($A25="","",IFERROR(AVERAGEIFS('רווחה - קליטה'!$AQ$5:$AQ$204,'רווחה - קליטה'!$A$5:$A$204,$A25,'רווחה - קליטה'!$C$5:$C$204,"סוף שנה"),""))</f>
      </c>
      <c r="I25" s="27">
        <f>IF($A25="","",IFERROR(AVERAGEIFS('רווחה - קליטה'!$AK$5:$AK$204,'רווחה - קליטה'!$A$5:$A$204,$A25,'רווחה - קליטה'!$C$5:$C$204,"סוף שנה"),""))</f>
      </c>
      <c r="J25" s="26">
        <f>IF($A25="","",IFERROR(INDEX('רווחה - קליטה'!$AS$5:$AS$204,MATCH($A25&amp;"|סוף שנה",'רווחה - קליטה'!$AE$5:$AE$204,0)),""))</f>
      </c>
      <c r="K25" s="36">
        <f>IF(AND(ISNUMBER(B25),ISNUMBER(H25)),H25-B25,"")</f>
      </c>
      <c r="L25" s="26">
        <f>IF(K25="","",IF(K25&gt;=0.5,"עלייה",IF(K25&lt;=-0.5,"ירידה","יציב")))</f>
      </c>
    </row>
    <row r="26" ht="15" customHeight="1" spans="1:12" x14ac:dyDescent="0.25">
      <c r="A26" s="29"/>
      <c r="B26" s="28">
        <f>IF($A26="","",IFERROR(AVERAGEIFS('רווחה - קליטה'!$AQ$5:$AQ$204,'רווחה - קליטה'!$A$5:$A$204,$A26,'רווחה - קליטה'!$C$5:$C$204,"תחילת שנה"),""))</f>
      </c>
      <c r="C26" s="27">
        <f>IF($A26="","",IFERROR(AVERAGEIFS('רווחה - קליטה'!$AK$5:$AK$204,'רווחה - קליטה'!$A$5:$A$204,$A26,'רווחה - קליטה'!$C$5:$C$204,"תחילת שנה"),""))</f>
      </c>
      <c r="D26" s="26">
        <f>IF($A26="","",IFERROR(INDEX('רווחה - קליטה'!$AS$5:$AS$204,MATCH($A26&amp;"|תחילת שנה",'רווחה - קליטה'!$AE$5:$AE$204,0)),""))</f>
      </c>
      <c r="E26" s="28">
        <f>IF($A26="","",IFERROR(AVERAGEIFS('רווחה - קליטה'!$AQ$5:$AQ$204,'רווחה - קליטה'!$A$5:$A$204,$A26,'רווחה - קליטה'!$C$5:$C$204,"אמצע שנה"),""))</f>
      </c>
      <c r="F26" s="27">
        <f>IF($A26="","",IFERROR(AVERAGEIFS('רווחה - קליטה'!$AK$5:$AK$204,'רווחה - קליטה'!$A$5:$A$204,$A26,'רווחה - קליטה'!$C$5:$C$204,"אמצע שנה"),""))</f>
      </c>
      <c r="G26" s="26">
        <f>IF($A26="","",IFERROR(INDEX('רווחה - קליטה'!$AS$5:$AS$204,MATCH($A26&amp;"|אמצע שנה",'רווחה - קליטה'!$AE$5:$AE$204,0)),""))</f>
      </c>
      <c r="H26" s="28">
        <f>IF($A26="","",IFERROR(AVERAGEIFS('רווחה - קליטה'!$AQ$5:$AQ$204,'רווחה - קליטה'!$A$5:$A$204,$A26,'רווחה - קליטה'!$C$5:$C$204,"סוף שנה"),""))</f>
      </c>
      <c r="I26" s="27">
        <f>IF($A26="","",IFERROR(AVERAGEIFS('רווחה - קליטה'!$AK$5:$AK$204,'רווחה - קליטה'!$A$5:$A$204,$A26,'רווחה - קליטה'!$C$5:$C$204,"סוף שנה"),""))</f>
      </c>
      <c r="J26" s="26">
        <f>IF($A26="","",IFERROR(INDEX('רווחה - קליטה'!$AS$5:$AS$204,MATCH($A26&amp;"|סוף שנה",'רווחה - קליטה'!$AE$5:$AE$204,0)),""))</f>
      </c>
      <c r="K26" s="36">
        <f>IF(AND(ISNUMBER(B26),ISNUMBER(H26)),H26-B26,"")</f>
      </c>
      <c r="L26" s="26">
        <f>IF(K26="","",IF(K26&gt;=0.5,"עלייה",IF(K26&lt;=-0.5,"ירידה","יציב")))</f>
      </c>
    </row>
    <row r="27" ht="15" customHeight="1" spans="1:12" x14ac:dyDescent="0.25">
      <c r="A27" s="29"/>
      <c r="B27" s="28">
        <f>IF($A27="","",IFERROR(AVERAGEIFS('רווחה - קליטה'!$AQ$5:$AQ$204,'רווחה - קליטה'!$A$5:$A$204,$A27,'רווחה - קליטה'!$C$5:$C$204,"תחילת שנה"),""))</f>
      </c>
      <c r="C27" s="27">
        <f>IF($A27="","",IFERROR(AVERAGEIFS('רווחה - קליטה'!$AK$5:$AK$204,'רווחה - קליטה'!$A$5:$A$204,$A27,'רווחה - קליטה'!$C$5:$C$204,"תחילת שנה"),""))</f>
      </c>
      <c r="D27" s="26">
        <f>IF($A27="","",IFERROR(INDEX('רווחה - קליטה'!$AS$5:$AS$204,MATCH($A27&amp;"|תחילת שנה",'רווחה - קליטה'!$AE$5:$AE$204,0)),""))</f>
      </c>
      <c r="E27" s="28">
        <f>IF($A27="","",IFERROR(AVERAGEIFS('רווחה - קליטה'!$AQ$5:$AQ$204,'רווחה - קליטה'!$A$5:$A$204,$A27,'רווחה - קליטה'!$C$5:$C$204,"אמצע שנה"),""))</f>
      </c>
      <c r="F27" s="27">
        <f>IF($A27="","",IFERROR(AVERAGEIFS('רווחה - קליטה'!$AK$5:$AK$204,'רווחה - קליטה'!$A$5:$A$204,$A27,'רווחה - קליטה'!$C$5:$C$204,"אמצע שנה"),""))</f>
      </c>
      <c r="G27" s="26">
        <f>IF($A27="","",IFERROR(INDEX('רווחה - קליטה'!$AS$5:$AS$204,MATCH($A27&amp;"|אמצע שנה",'רווחה - קליטה'!$AE$5:$AE$204,0)),""))</f>
      </c>
      <c r="H27" s="28">
        <f>IF($A27="","",IFERROR(AVERAGEIFS('רווחה - קליטה'!$AQ$5:$AQ$204,'רווחה - קליטה'!$A$5:$A$204,$A27,'רווחה - קליטה'!$C$5:$C$204,"סוף שנה"),""))</f>
      </c>
      <c r="I27" s="27">
        <f>IF($A27="","",IFERROR(AVERAGEIFS('רווחה - קליטה'!$AK$5:$AK$204,'רווחה - קליטה'!$A$5:$A$204,$A27,'רווחה - קליטה'!$C$5:$C$204,"סוף שנה"),""))</f>
      </c>
      <c r="J27" s="26">
        <f>IF($A27="","",IFERROR(INDEX('רווחה - קליטה'!$AS$5:$AS$204,MATCH($A27&amp;"|סוף שנה",'רווחה - קליטה'!$AE$5:$AE$204,0)),""))</f>
      </c>
      <c r="K27" s="36">
        <f>IF(AND(ISNUMBER(B27),ISNUMBER(H27)),H27-B27,"")</f>
      </c>
      <c r="L27" s="26">
        <f>IF(K27="","",IF(K27&gt;=0.5,"עלייה",IF(K27&lt;=-0.5,"ירידה","יציב")))</f>
      </c>
    </row>
    <row r="28" ht="15" customHeight="1" spans="1:12" x14ac:dyDescent="0.25">
      <c r="A28" s="29"/>
      <c r="B28" s="28">
        <f>IF($A28="","",IFERROR(AVERAGEIFS('רווחה - קליטה'!$AQ$5:$AQ$204,'רווחה - קליטה'!$A$5:$A$204,$A28,'רווחה - קליטה'!$C$5:$C$204,"תחילת שנה"),""))</f>
      </c>
      <c r="C28" s="27">
        <f>IF($A28="","",IFERROR(AVERAGEIFS('רווחה - קליטה'!$AK$5:$AK$204,'רווחה - קליטה'!$A$5:$A$204,$A28,'רווחה - קליטה'!$C$5:$C$204,"תחילת שנה"),""))</f>
      </c>
      <c r="D28" s="26">
        <f>IF($A28="","",IFERROR(INDEX('רווחה - קליטה'!$AS$5:$AS$204,MATCH($A28&amp;"|תחילת שנה",'רווחה - קליטה'!$AE$5:$AE$204,0)),""))</f>
      </c>
      <c r="E28" s="28">
        <f>IF($A28="","",IFERROR(AVERAGEIFS('רווחה - קליטה'!$AQ$5:$AQ$204,'רווחה - קליטה'!$A$5:$A$204,$A28,'רווחה - קליטה'!$C$5:$C$204,"אמצע שנה"),""))</f>
      </c>
      <c r="F28" s="27">
        <f>IF($A28="","",IFERROR(AVERAGEIFS('רווחה - קליטה'!$AK$5:$AK$204,'רווחה - קליטה'!$A$5:$A$204,$A28,'רווחה - קליטה'!$C$5:$C$204,"אמצע שנה"),""))</f>
      </c>
      <c r="G28" s="26">
        <f>IF($A28="","",IFERROR(INDEX('רווחה - קליטה'!$AS$5:$AS$204,MATCH($A28&amp;"|אמצע שנה",'רווחה - קליטה'!$AE$5:$AE$204,0)),""))</f>
      </c>
      <c r="H28" s="28">
        <f>IF($A28="","",IFERROR(AVERAGEIFS('רווחה - קליטה'!$AQ$5:$AQ$204,'רווחה - קליטה'!$A$5:$A$204,$A28,'רווחה - קליטה'!$C$5:$C$204,"סוף שנה"),""))</f>
      </c>
      <c r="I28" s="27">
        <f>IF($A28="","",IFERROR(AVERAGEIFS('רווחה - קליטה'!$AK$5:$AK$204,'רווחה - קליטה'!$A$5:$A$204,$A28,'רווחה - קליטה'!$C$5:$C$204,"סוף שנה"),""))</f>
      </c>
      <c r="J28" s="26">
        <f>IF($A28="","",IFERROR(INDEX('רווחה - קליטה'!$AS$5:$AS$204,MATCH($A28&amp;"|סוף שנה",'רווחה - קליטה'!$AE$5:$AE$204,0)),""))</f>
      </c>
      <c r="K28" s="36">
        <f>IF(AND(ISNUMBER(B28),ISNUMBER(H28)),H28-B28,"")</f>
      </c>
      <c r="L28" s="26">
        <f>IF(K28="","",IF(K28&gt;=0.5,"עלייה",IF(K28&lt;=-0.5,"ירידה","יציב")))</f>
      </c>
    </row>
    <row r="29" ht="15" customHeight="1" spans="1:12" x14ac:dyDescent="0.25">
      <c r="A29" s="29"/>
      <c r="B29" s="28">
        <f>IF($A29="","",IFERROR(AVERAGEIFS('רווחה - קליטה'!$AQ$5:$AQ$204,'רווחה - קליטה'!$A$5:$A$204,$A29,'רווחה - קליטה'!$C$5:$C$204,"תחילת שנה"),""))</f>
      </c>
      <c r="C29" s="27">
        <f>IF($A29="","",IFERROR(AVERAGEIFS('רווחה - קליטה'!$AK$5:$AK$204,'רווחה - קליטה'!$A$5:$A$204,$A29,'רווחה - קליטה'!$C$5:$C$204,"תחילת שנה"),""))</f>
      </c>
      <c r="D29" s="26">
        <f>IF($A29="","",IFERROR(INDEX('רווחה - קליטה'!$AS$5:$AS$204,MATCH($A29&amp;"|תחילת שנה",'רווחה - קליטה'!$AE$5:$AE$204,0)),""))</f>
      </c>
      <c r="E29" s="28">
        <f>IF($A29="","",IFERROR(AVERAGEIFS('רווחה - קליטה'!$AQ$5:$AQ$204,'רווחה - קליטה'!$A$5:$A$204,$A29,'רווחה - קליטה'!$C$5:$C$204,"אמצע שנה"),""))</f>
      </c>
      <c r="F29" s="27">
        <f>IF($A29="","",IFERROR(AVERAGEIFS('רווחה - קליטה'!$AK$5:$AK$204,'רווחה - קליטה'!$A$5:$A$204,$A29,'רווחה - קליטה'!$C$5:$C$204,"אמצע שנה"),""))</f>
      </c>
      <c r="G29" s="26">
        <f>IF($A29="","",IFERROR(INDEX('רווחה - קליטה'!$AS$5:$AS$204,MATCH($A29&amp;"|אמצע שנה",'רווחה - קליטה'!$AE$5:$AE$204,0)),""))</f>
      </c>
      <c r="H29" s="28">
        <f>IF($A29="","",IFERROR(AVERAGEIFS('רווחה - קליטה'!$AQ$5:$AQ$204,'רווחה - קליטה'!$A$5:$A$204,$A29,'רווחה - קליטה'!$C$5:$C$204,"סוף שנה"),""))</f>
      </c>
      <c r="I29" s="27">
        <f>IF($A29="","",IFERROR(AVERAGEIFS('רווחה - קליטה'!$AK$5:$AK$204,'רווחה - קליטה'!$A$5:$A$204,$A29,'רווחה - קליטה'!$C$5:$C$204,"סוף שנה"),""))</f>
      </c>
      <c r="J29" s="26">
        <f>IF($A29="","",IFERROR(INDEX('רווחה - קליטה'!$AS$5:$AS$204,MATCH($A29&amp;"|סוף שנה",'רווחה - קליטה'!$AE$5:$AE$204,0)),""))</f>
      </c>
      <c r="K29" s="36">
        <f>IF(AND(ISNUMBER(B29),ISNUMBER(H29)),H29-B29,"")</f>
      </c>
      <c r="L29" s="26">
        <f>IF(K29="","",IF(K29&gt;=0.5,"עלייה",IF(K29&lt;=-0.5,"ירידה","יציב")))</f>
      </c>
    </row>
    <row r="30" ht="15" customHeight="1" spans="1:12" x14ac:dyDescent="0.25">
      <c r="A30" s="29"/>
      <c r="B30" s="28">
        <f>IF($A30="","",IFERROR(AVERAGEIFS('רווחה - קליטה'!$AQ$5:$AQ$204,'רווחה - קליטה'!$A$5:$A$204,$A30,'רווחה - קליטה'!$C$5:$C$204,"תחילת שנה"),""))</f>
      </c>
      <c r="C30" s="27">
        <f>IF($A30="","",IFERROR(AVERAGEIFS('רווחה - קליטה'!$AK$5:$AK$204,'רווחה - קליטה'!$A$5:$A$204,$A30,'רווחה - קליטה'!$C$5:$C$204,"תחילת שנה"),""))</f>
      </c>
      <c r="D30" s="26">
        <f>IF($A30="","",IFERROR(INDEX('רווחה - קליטה'!$AS$5:$AS$204,MATCH($A30&amp;"|תחילת שנה",'רווחה - קליטה'!$AE$5:$AE$204,0)),""))</f>
      </c>
      <c r="E30" s="28">
        <f>IF($A30="","",IFERROR(AVERAGEIFS('רווחה - קליטה'!$AQ$5:$AQ$204,'רווחה - קליטה'!$A$5:$A$204,$A30,'רווחה - קליטה'!$C$5:$C$204,"אמצע שנה"),""))</f>
      </c>
      <c r="F30" s="27">
        <f>IF($A30="","",IFERROR(AVERAGEIFS('רווחה - קליטה'!$AK$5:$AK$204,'רווחה - קליטה'!$A$5:$A$204,$A30,'רווחה - קליטה'!$C$5:$C$204,"אמצע שנה"),""))</f>
      </c>
      <c r="G30" s="26">
        <f>IF($A30="","",IFERROR(INDEX('רווחה - קליטה'!$AS$5:$AS$204,MATCH($A30&amp;"|אמצע שנה",'רווחה - קליטה'!$AE$5:$AE$204,0)),""))</f>
      </c>
      <c r="H30" s="28">
        <f>IF($A30="","",IFERROR(AVERAGEIFS('רווחה - קליטה'!$AQ$5:$AQ$204,'רווחה - קליטה'!$A$5:$A$204,$A30,'רווחה - קליטה'!$C$5:$C$204,"סוף שנה"),""))</f>
      </c>
      <c r="I30" s="27">
        <f>IF($A30="","",IFERROR(AVERAGEIFS('רווחה - קליטה'!$AK$5:$AK$204,'רווחה - קליטה'!$A$5:$A$204,$A30,'רווחה - קליטה'!$C$5:$C$204,"סוף שנה"),""))</f>
      </c>
      <c r="J30" s="26">
        <f>IF($A30="","",IFERROR(INDEX('רווחה - קליטה'!$AS$5:$AS$204,MATCH($A30&amp;"|סוף שנה",'רווחה - קליטה'!$AE$5:$AE$204,0)),""))</f>
      </c>
      <c r="K30" s="36">
        <f>IF(AND(ISNUMBER(B30),ISNUMBER(H30)),H30-B30,"")</f>
      </c>
      <c r="L30" s="26">
        <f>IF(K30="","",IF(K30&gt;=0.5,"עלייה",IF(K30&lt;=-0.5,"ירידה","יציב")))</f>
      </c>
    </row>
    <row r="31" ht="15" customHeight="1" spans="1:12" x14ac:dyDescent="0.25">
      <c r="A31" s="29"/>
      <c r="B31" s="28">
        <f>IF($A31="","",IFERROR(AVERAGEIFS('רווחה - קליטה'!$AQ$5:$AQ$204,'רווחה - קליטה'!$A$5:$A$204,$A31,'רווחה - קליטה'!$C$5:$C$204,"תחילת שנה"),""))</f>
      </c>
      <c r="C31" s="27">
        <f>IF($A31="","",IFERROR(AVERAGEIFS('רווחה - קליטה'!$AK$5:$AK$204,'רווחה - קליטה'!$A$5:$A$204,$A31,'רווחה - קליטה'!$C$5:$C$204,"תחילת שנה"),""))</f>
      </c>
      <c r="D31" s="26">
        <f>IF($A31="","",IFERROR(INDEX('רווחה - קליטה'!$AS$5:$AS$204,MATCH($A31&amp;"|תחילת שנה",'רווחה - קליטה'!$AE$5:$AE$204,0)),""))</f>
      </c>
      <c r="E31" s="28">
        <f>IF($A31="","",IFERROR(AVERAGEIFS('רווחה - קליטה'!$AQ$5:$AQ$204,'רווחה - קליטה'!$A$5:$A$204,$A31,'רווחה - קליטה'!$C$5:$C$204,"אמצע שנה"),""))</f>
      </c>
      <c r="F31" s="27">
        <f>IF($A31="","",IFERROR(AVERAGEIFS('רווחה - קליטה'!$AK$5:$AK$204,'רווחה - קליטה'!$A$5:$A$204,$A31,'רווחה - קליטה'!$C$5:$C$204,"אמצע שנה"),""))</f>
      </c>
      <c r="G31" s="26">
        <f>IF($A31="","",IFERROR(INDEX('רווחה - קליטה'!$AS$5:$AS$204,MATCH($A31&amp;"|אמצע שנה",'רווחה - קליטה'!$AE$5:$AE$204,0)),""))</f>
      </c>
      <c r="H31" s="28">
        <f>IF($A31="","",IFERROR(AVERAGEIFS('רווחה - קליטה'!$AQ$5:$AQ$204,'רווחה - קליטה'!$A$5:$A$204,$A31,'רווחה - קליטה'!$C$5:$C$204,"סוף שנה"),""))</f>
      </c>
      <c r="I31" s="27">
        <f>IF($A31="","",IFERROR(AVERAGEIFS('רווחה - קליטה'!$AK$5:$AK$204,'רווחה - קליטה'!$A$5:$A$204,$A31,'רווחה - קליטה'!$C$5:$C$204,"סוף שנה"),""))</f>
      </c>
      <c r="J31" s="26">
        <f>IF($A31="","",IFERROR(INDEX('רווחה - קליטה'!$AS$5:$AS$204,MATCH($A31&amp;"|סוף שנה",'רווחה - קליטה'!$AE$5:$AE$204,0)),""))</f>
      </c>
      <c r="K31" s="36">
        <f>IF(AND(ISNUMBER(B31),ISNUMBER(H31)),H31-B31,"")</f>
      </c>
      <c r="L31" s="26">
        <f>IF(K31="","",IF(K31&gt;=0.5,"עלייה",IF(K31&lt;=-0.5,"ירידה","יציב")))</f>
      </c>
    </row>
    <row r="32" ht="15" customHeight="1" spans="1:12" x14ac:dyDescent="0.25">
      <c r="A32" s="29"/>
      <c r="B32" s="28">
        <f>IF($A32="","",IFERROR(AVERAGEIFS('רווחה - קליטה'!$AQ$5:$AQ$204,'רווחה - קליטה'!$A$5:$A$204,$A32,'רווחה - קליטה'!$C$5:$C$204,"תחילת שנה"),""))</f>
      </c>
      <c r="C32" s="27">
        <f>IF($A32="","",IFERROR(AVERAGEIFS('רווחה - קליטה'!$AK$5:$AK$204,'רווחה - קליטה'!$A$5:$A$204,$A32,'רווחה - קליטה'!$C$5:$C$204,"תחילת שנה"),""))</f>
      </c>
      <c r="D32" s="26">
        <f>IF($A32="","",IFERROR(INDEX('רווחה - קליטה'!$AS$5:$AS$204,MATCH($A32&amp;"|תחילת שנה",'רווחה - קליטה'!$AE$5:$AE$204,0)),""))</f>
      </c>
      <c r="E32" s="28">
        <f>IF($A32="","",IFERROR(AVERAGEIFS('רווחה - קליטה'!$AQ$5:$AQ$204,'רווחה - קליטה'!$A$5:$A$204,$A32,'רווחה - קליטה'!$C$5:$C$204,"אמצע שנה"),""))</f>
      </c>
      <c r="F32" s="27">
        <f>IF($A32="","",IFERROR(AVERAGEIFS('רווחה - קליטה'!$AK$5:$AK$204,'רווחה - קליטה'!$A$5:$A$204,$A32,'רווחה - קליטה'!$C$5:$C$204,"אמצע שנה"),""))</f>
      </c>
      <c r="G32" s="26">
        <f>IF($A32="","",IFERROR(INDEX('רווחה - קליטה'!$AS$5:$AS$204,MATCH($A32&amp;"|אמצע שנה",'רווחה - קליטה'!$AE$5:$AE$204,0)),""))</f>
      </c>
      <c r="H32" s="28">
        <f>IF($A32="","",IFERROR(AVERAGEIFS('רווחה - קליטה'!$AQ$5:$AQ$204,'רווחה - קליטה'!$A$5:$A$204,$A32,'רווחה - קליטה'!$C$5:$C$204,"סוף שנה"),""))</f>
      </c>
      <c r="I32" s="27">
        <f>IF($A32="","",IFERROR(AVERAGEIFS('רווחה - קליטה'!$AK$5:$AK$204,'רווחה - קליטה'!$A$5:$A$204,$A32,'רווחה - קליטה'!$C$5:$C$204,"סוף שנה"),""))</f>
      </c>
      <c r="J32" s="26">
        <f>IF($A32="","",IFERROR(INDEX('רווחה - קליטה'!$AS$5:$AS$204,MATCH($A32&amp;"|סוף שנה",'רווחה - קליטה'!$AE$5:$AE$204,0)),""))</f>
      </c>
      <c r="K32" s="36">
        <f>IF(AND(ISNUMBER(B32),ISNUMBER(H32)),H32-B32,"")</f>
      </c>
      <c r="L32" s="26">
        <f>IF(K32="","",IF(K32&gt;=0.5,"עלייה",IF(K32&lt;=-0.5,"ירידה","יציב")))</f>
      </c>
    </row>
    <row r="33" ht="15" customHeight="1" spans="1:12" x14ac:dyDescent="0.25">
      <c r="A33" s="29"/>
      <c r="B33" s="28">
        <f>IF($A33="","",IFERROR(AVERAGEIFS('רווחה - קליטה'!$AQ$5:$AQ$204,'רווחה - קליטה'!$A$5:$A$204,$A33,'רווחה - קליטה'!$C$5:$C$204,"תחילת שנה"),""))</f>
      </c>
      <c r="C33" s="27">
        <f>IF($A33="","",IFERROR(AVERAGEIFS('רווחה - קליטה'!$AK$5:$AK$204,'רווחה - קליטה'!$A$5:$A$204,$A33,'רווחה - קליטה'!$C$5:$C$204,"תחילת שנה"),""))</f>
      </c>
      <c r="D33" s="26">
        <f>IF($A33="","",IFERROR(INDEX('רווחה - קליטה'!$AS$5:$AS$204,MATCH($A33&amp;"|תחילת שנה",'רווחה - קליטה'!$AE$5:$AE$204,0)),""))</f>
      </c>
      <c r="E33" s="28">
        <f>IF($A33="","",IFERROR(AVERAGEIFS('רווחה - קליטה'!$AQ$5:$AQ$204,'רווחה - קליטה'!$A$5:$A$204,$A33,'רווחה - קליטה'!$C$5:$C$204,"אמצע שנה"),""))</f>
      </c>
      <c r="F33" s="27">
        <f>IF($A33="","",IFERROR(AVERAGEIFS('רווחה - קליטה'!$AK$5:$AK$204,'רווחה - קליטה'!$A$5:$A$204,$A33,'רווחה - קליטה'!$C$5:$C$204,"אמצע שנה"),""))</f>
      </c>
      <c r="G33" s="26">
        <f>IF($A33="","",IFERROR(INDEX('רווחה - קליטה'!$AS$5:$AS$204,MATCH($A33&amp;"|אמצע שנה",'רווחה - קליטה'!$AE$5:$AE$204,0)),""))</f>
      </c>
      <c r="H33" s="28">
        <f>IF($A33="","",IFERROR(AVERAGEIFS('רווחה - קליטה'!$AQ$5:$AQ$204,'רווחה - קליטה'!$A$5:$A$204,$A33,'רווחה - קליטה'!$C$5:$C$204,"סוף שנה"),""))</f>
      </c>
      <c r="I33" s="27">
        <f>IF($A33="","",IFERROR(AVERAGEIFS('רווחה - קליטה'!$AK$5:$AK$204,'רווחה - קליטה'!$A$5:$A$204,$A33,'רווחה - קליטה'!$C$5:$C$204,"סוף שנה"),""))</f>
      </c>
      <c r="J33" s="26">
        <f>IF($A33="","",IFERROR(INDEX('רווחה - קליטה'!$AS$5:$AS$204,MATCH($A33&amp;"|סוף שנה",'רווחה - קליטה'!$AE$5:$AE$204,0)),""))</f>
      </c>
      <c r="K33" s="36">
        <f>IF(AND(ISNUMBER(B33),ISNUMBER(H33)),H33-B33,"")</f>
      </c>
      <c r="L33" s="26">
        <f>IF(K33="","",IF(K33&gt;=0.5,"עלייה",IF(K33&lt;=-0.5,"ירידה","יציב")))</f>
      </c>
    </row>
    <row r="34" ht="15" customHeight="1" spans="1:12" x14ac:dyDescent="0.25">
      <c r="A34" s="29"/>
      <c r="B34" s="28">
        <f>IF($A34="","",IFERROR(AVERAGEIFS('רווחה - קליטה'!$AQ$5:$AQ$204,'רווחה - קליטה'!$A$5:$A$204,$A34,'רווחה - קליטה'!$C$5:$C$204,"תחילת שנה"),""))</f>
      </c>
      <c r="C34" s="27">
        <f>IF($A34="","",IFERROR(AVERAGEIFS('רווחה - קליטה'!$AK$5:$AK$204,'רווחה - קליטה'!$A$5:$A$204,$A34,'רווחה - קליטה'!$C$5:$C$204,"תחילת שנה"),""))</f>
      </c>
      <c r="D34" s="26">
        <f>IF($A34="","",IFERROR(INDEX('רווחה - קליטה'!$AS$5:$AS$204,MATCH($A34&amp;"|תחילת שנה",'רווחה - קליטה'!$AE$5:$AE$204,0)),""))</f>
      </c>
      <c r="E34" s="28">
        <f>IF($A34="","",IFERROR(AVERAGEIFS('רווחה - קליטה'!$AQ$5:$AQ$204,'רווחה - קליטה'!$A$5:$A$204,$A34,'רווחה - קליטה'!$C$5:$C$204,"אמצע שנה"),""))</f>
      </c>
      <c r="F34" s="27">
        <f>IF($A34="","",IFERROR(AVERAGEIFS('רווחה - קליטה'!$AK$5:$AK$204,'רווחה - קליטה'!$A$5:$A$204,$A34,'רווחה - קליטה'!$C$5:$C$204,"אמצע שנה"),""))</f>
      </c>
      <c r="G34" s="26">
        <f>IF($A34="","",IFERROR(INDEX('רווחה - קליטה'!$AS$5:$AS$204,MATCH($A34&amp;"|אמצע שנה",'רווחה - קליטה'!$AE$5:$AE$204,0)),""))</f>
      </c>
      <c r="H34" s="28">
        <f>IF($A34="","",IFERROR(AVERAGEIFS('רווחה - קליטה'!$AQ$5:$AQ$204,'רווחה - קליטה'!$A$5:$A$204,$A34,'רווחה - קליטה'!$C$5:$C$204,"סוף שנה"),""))</f>
      </c>
      <c r="I34" s="27">
        <f>IF($A34="","",IFERROR(AVERAGEIFS('רווחה - קליטה'!$AK$5:$AK$204,'רווחה - קליטה'!$A$5:$A$204,$A34,'רווחה - קליטה'!$C$5:$C$204,"סוף שנה"),""))</f>
      </c>
      <c r="J34" s="26">
        <f>IF($A34="","",IFERROR(INDEX('רווחה - קליטה'!$AS$5:$AS$204,MATCH($A34&amp;"|סוף שנה",'רווחה - קליטה'!$AE$5:$AE$204,0)),""))</f>
      </c>
      <c r="K34" s="36">
        <f>IF(AND(ISNUMBER(B34),ISNUMBER(H34)),H34-B34,"")</f>
      </c>
      <c r="L34" s="26">
        <f>IF(K34="","",IF(K34&gt;=0.5,"עלייה",IF(K34&lt;=-0.5,"ירידה","יציב")))</f>
      </c>
    </row>
    <row r="35" ht="15" customHeight="1" spans="1:12" x14ac:dyDescent="0.25">
      <c r="A35" s="29"/>
      <c r="B35" s="28">
        <f>IF($A35="","",IFERROR(AVERAGEIFS('רווחה - קליטה'!$AQ$5:$AQ$204,'רווחה - קליטה'!$A$5:$A$204,$A35,'רווחה - קליטה'!$C$5:$C$204,"תחילת שנה"),""))</f>
      </c>
      <c r="C35" s="27">
        <f>IF($A35="","",IFERROR(AVERAGEIFS('רווחה - קליטה'!$AK$5:$AK$204,'רווחה - קליטה'!$A$5:$A$204,$A35,'רווחה - קליטה'!$C$5:$C$204,"תחילת שנה"),""))</f>
      </c>
      <c r="D35" s="26">
        <f>IF($A35="","",IFERROR(INDEX('רווחה - קליטה'!$AS$5:$AS$204,MATCH($A35&amp;"|תחילת שנה",'רווחה - קליטה'!$AE$5:$AE$204,0)),""))</f>
      </c>
      <c r="E35" s="28">
        <f>IF($A35="","",IFERROR(AVERAGEIFS('רווחה - קליטה'!$AQ$5:$AQ$204,'רווחה - קליטה'!$A$5:$A$204,$A35,'רווחה - קליטה'!$C$5:$C$204,"אמצע שנה"),""))</f>
      </c>
      <c r="F35" s="27">
        <f>IF($A35="","",IFERROR(AVERAGEIFS('רווחה - קליטה'!$AK$5:$AK$204,'רווחה - קליטה'!$A$5:$A$204,$A35,'רווחה - קליטה'!$C$5:$C$204,"אמצע שנה"),""))</f>
      </c>
      <c r="G35" s="26">
        <f>IF($A35="","",IFERROR(INDEX('רווחה - קליטה'!$AS$5:$AS$204,MATCH($A35&amp;"|אמצע שנה",'רווחה - קליטה'!$AE$5:$AE$204,0)),""))</f>
      </c>
      <c r="H35" s="28">
        <f>IF($A35="","",IFERROR(AVERAGEIFS('רווחה - קליטה'!$AQ$5:$AQ$204,'רווחה - קליטה'!$A$5:$A$204,$A35,'רווחה - קליטה'!$C$5:$C$204,"סוף שנה"),""))</f>
      </c>
      <c r="I35" s="27">
        <f>IF($A35="","",IFERROR(AVERAGEIFS('רווחה - קליטה'!$AK$5:$AK$204,'רווחה - קליטה'!$A$5:$A$204,$A35,'רווחה - קליטה'!$C$5:$C$204,"סוף שנה"),""))</f>
      </c>
      <c r="J35" s="26">
        <f>IF($A35="","",IFERROR(INDEX('רווחה - קליטה'!$AS$5:$AS$204,MATCH($A35&amp;"|סוף שנה",'רווחה - קליטה'!$AE$5:$AE$204,0)),""))</f>
      </c>
      <c r="K35" s="36">
        <f>IF(AND(ISNUMBER(B35),ISNUMBER(H35)),H35-B35,"")</f>
      </c>
      <c r="L35" s="26">
        <f>IF(K35="","",IF(K35&gt;=0.5,"עלייה",IF(K35&lt;=-0.5,"ירידה","יציב")))</f>
      </c>
    </row>
    <row r="36" ht="15" customHeight="1" spans="1:12" x14ac:dyDescent="0.25">
      <c r="A36" s="29"/>
      <c r="B36" s="28">
        <f>IF($A36="","",IFERROR(AVERAGEIFS('רווחה - קליטה'!$AQ$5:$AQ$204,'רווחה - קליטה'!$A$5:$A$204,$A36,'רווחה - קליטה'!$C$5:$C$204,"תחילת שנה"),""))</f>
      </c>
      <c r="C36" s="27">
        <f>IF($A36="","",IFERROR(AVERAGEIFS('רווחה - קליטה'!$AK$5:$AK$204,'רווחה - קליטה'!$A$5:$A$204,$A36,'רווחה - קליטה'!$C$5:$C$204,"תחילת שנה"),""))</f>
      </c>
      <c r="D36" s="26">
        <f>IF($A36="","",IFERROR(INDEX('רווחה - קליטה'!$AS$5:$AS$204,MATCH($A36&amp;"|תחילת שנה",'רווחה - קליטה'!$AE$5:$AE$204,0)),""))</f>
      </c>
      <c r="E36" s="28">
        <f>IF($A36="","",IFERROR(AVERAGEIFS('רווחה - קליטה'!$AQ$5:$AQ$204,'רווחה - קליטה'!$A$5:$A$204,$A36,'רווחה - קליטה'!$C$5:$C$204,"אמצע שנה"),""))</f>
      </c>
      <c r="F36" s="27">
        <f>IF($A36="","",IFERROR(AVERAGEIFS('רווחה - קליטה'!$AK$5:$AK$204,'רווחה - קליטה'!$A$5:$A$204,$A36,'רווחה - קליטה'!$C$5:$C$204,"אמצע שנה"),""))</f>
      </c>
      <c r="G36" s="26">
        <f>IF($A36="","",IFERROR(INDEX('רווחה - קליטה'!$AS$5:$AS$204,MATCH($A36&amp;"|אמצע שנה",'רווחה - קליטה'!$AE$5:$AE$204,0)),""))</f>
      </c>
      <c r="H36" s="28">
        <f>IF($A36="","",IFERROR(AVERAGEIFS('רווחה - קליטה'!$AQ$5:$AQ$204,'רווחה - קליטה'!$A$5:$A$204,$A36,'רווחה - קליטה'!$C$5:$C$204,"סוף שנה"),""))</f>
      </c>
      <c r="I36" s="27">
        <f>IF($A36="","",IFERROR(AVERAGEIFS('רווחה - קליטה'!$AK$5:$AK$204,'רווחה - קליטה'!$A$5:$A$204,$A36,'רווחה - קליטה'!$C$5:$C$204,"סוף שנה"),""))</f>
      </c>
      <c r="J36" s="26">
        <f>IF($A36="","",IFERROR(INDEX('רווחה - קליטה'!$AS$5:$AS$204,MATCH($A36&amp;"|סוף שנה",'רווחה - קליטה'!$AE$5:$AE$204,0)),""))</f>
      </c>
      <c r="K36" s="36">
        <f>IF(AND(ISNUMBER(B36),ISNUMBER(H36)),H36-B36,"")</f>
      </c>
      <c r="L36" s="26">
        <f>IF(K36="","",IF(K36&gt;=0.5,"עלייה",IF(K36&lt;=-0.5,"ירידה","יציב")))</f>
      </c>
    </row>
    <row r="37" ht="15" customHeight="1" spans="1:12" x14ac:dyDescent="0.25">
      <c r="A37" s="29"/>
      <c r="B37" s="28">
        <f>IF($A37="","",IFERROR(AVERAGEIFS('רווחה - קליטה'!$AQ$5:$AQ$204,'רווחה - קליטה'!$A$5:$A$204,$A37,'רווחה - קליטה'!$C$5:$C$204,"תחילת שנה"),""))</f>
      </c>
      <c r="C37" s="27">
        <f>IF($A37="","",IFERROR(AVERAGEIFS('רווחה - קליטה'!$AK$5:$AK$204,'רווחה - קליטה'!$A$5:$A$204,$A37,'רווחה - קליטה'!$C$5:$C$204,"תחילת שנה"),""))</f>
      </c>
      <c r="D37" s="26">
        <f>IF($A37="","",IFERROR(INDEX('רווחה - קליטה'!$AS$5:$AS$204,MATCH($A37&amp;"|תחילת שנה",'רווחה - קליטה'!$AE$5:$AE$204,0)),""))</f>
      </c>
      <c r="E37" s="28">
        <f>IF($A37="","",IFERROR(AVERAGEIFS('רווחה - קליטה'!$AQ$5:$AQ$204,'רווחה - קליטה'!$A$5:$A$204,$A37,'רווחה - קליטה'!$C$5:$C$204,"אמצע שנה"),""))</f>
      </c>
      <c r="F37" s="27">
        <f>IF($A37="","",IFERROR(AVERAGEIFS('רווחה - קליטה'!$AK$5:$AK$204,'רווחה - קליטה'!$A$5:$A$204,$A37,'רווחה - קליטה'!$C$5:$C$204,"אמצע שנה"),""))</f>
      </c>
      <c r="G37" s="26">
        <f>IF($A37="","",IFERROR(INDEX('רווחה - קליטה'!$AS$5:$AS$204,MATCH($A37&amp;"|אמצע שנה",'רווחה - קליטה'!$AE$5:$AE$204,0)),""))</f>
      </c>
      <c r="H37" s="28">
        <f>IF($A37="","",IFERROR(AVERAGEIFS('רווחה - קליטה'!$AQ$5:$AQ$204,'רווחה - קליטה'!$A$5:$A$204,$A37,'רווחה - קליטה'!$C$5:$C$204,"סוף שנה"),""))</f>
      </c>
      <c r="I37" s="27">
        <f>IF($A37="","",IFERROR(AVERAGEIFS('רווחה - קליטה'!$AK$5:$AK$204,'רווחה - קליטה'!$A$5:$A$204,$A37,'רווחה - קליטה'!$C$5:$C$204,"סוף שנה"),""))</f>
      </c>
      <c r="J37" s="26">
        <f>IF($A37="","",IFERROR(INDEX('רווחה - קליטה'!$AS$5:$AS$204,MATCH($A37&amp;"|סוף שנה",'רווחה - קליטה'!$AE$5:$AE$204,0)),""))</f>
      </c>
      <c r="K37" s="36">
        <f>IF(AND(ISNUMBER(B37),ISNUMBER(H37)),H37-B37,"")</f>
      </c>
      <c r="L37" s="26">
        <f>IF(K37="","",IF(K37&gt;=0.5,"עלייה",IF(K37&lt;=-0.5,"ירידה","יציב")))</f>
      </c>
    </row>
    <row r="38" ht="15" customHeight="1" spans="1:12" x14ac:dyDescent="0.25">
      <c r="A38" s="29"/>
      <c r="B38" s="28">
        <f>IF($A38="","",IFERROR(AVERAGEIFS('רווחה - קליטה'!$AQ$5:$AQ$204,'רווחה - קליטה'!$A$5:$A$204,$A38,'רווחה - קליטה'!$C$5:$C$204,"תחילת שנה"),""))</f>
      </c>
      <c r="C38" s="27">
        <f>IF($A38="","",IFERROR(AVERAGEIFS('רווחה - קליטה'!$AK$5:$AK$204,'רווחה - קליטה'!$A$5:$A$204,$A38,'רווחה - קליטה'!$C$5:$C$204,"תחילת שנה"),""))</f>
      </c>
      <c r="D38" s="26">
        <f>IF($A38="","",IFERROR(INDEX('רווחה - קליטה'!$AS$5:$AS$204,MATCH($A38&amp;"|תחילת שנה",'רווחה - קליטה'!$AE$5:$AE$204,0)),""))</f>
      </c>
      <c r="E38" s="28">
        <f>IF($A38="","",IFERROR(AVERAGEIFS('רווחה - קליטה'!$AQ$5:$AQ$204,'רווחה - קליטה'!$A$5:$A$204,$A38,'רווחה - קליטה'!$C$5:$C$204,"אמצע שנה"),""))</f>
      </c>
      <c r="F38" s="27">
        <f>IF($A38="","",IFERROR(AVERAGEIFS('רווחה - קליטה'!$AK$5:$AK$204,'רווחה - קליטה'!$A$5:$A$204,$A38,'רווחה - קליטה'!$C$5:$C$204,"אמצע שנה"),""))</f>
      </c>
      <c r="G38" s="26">
        <f>IF($A38="","",IFERROR(INDEX('רווחה - קליטה'!$AS$5:$AS$204,MATCH($A38&amp;"|אמצע שנה",'רווחה - קליטה'!$AE$5:$AE$204,0)),""))</f>
      </c>
      <c r="H38" s="28">
        <f>IF($A38="","",IFERROR(AVERAGEIFS('רווחה - קליטה'!$AQ$5:$AQ$204,'רווחה - קליטה'!$A$5:$A$204,$A38,'רווחה - קליטה'!$C$5:$C$204,"סוף שנה"),""))</f>
      </c>
      <c r="I38" s="27">
        <f>IF($A38="","",IFERROR(AVERAGEIFS('רווחה - קליטה'!$AK$5:$AK$204,'רווחה - קליטה'!$A$5:$A$204,$A38,'רווחה - קליטה'!$C$5:$C$204,"סוף שנה"),""))</f>
      </c>
      <c r="J38" s="26">
        <f>IF($A38="","",IFERROR(INDEX('רווחה - קליטה'!$AS$5:$AS$204,MATCH($A38&amp;"|סוף שנה",'רווחה - קליטה'!$AE$5:$AE$204,0)),""))</f>
      </c>
      <c r="K38" s="36">
        <f>IF(AND(ISNUMBER(B38),ISNUMBER(H38)),H38-B38,"")</f>
      </c>
      <c r="L38" s="26">
        <f>IF(K38="","",IF(K38&gt;=0.5,"עלייה",IF(K38&lt;=-0.5,"ירידה","יציב")))</f>
      </c>
    </row>
    <row r="39" ht="15" customHeight="1" spans="1:12" x14ac:dyDescent="0.25">
      <c r="A39" s="29"/>
      <c r="B39" s="28">
        <f>IF($A39="","",IFERROR(AVERAGEIFS('רווחה - קליטה'!$AQ$5:$AQ$204,'רווחה - קליטה'!$A$5:$A$204,$A39,'רווחה - קליטה'!$C$5:$C$204,"תחילת שנה"),""))</f>
      </c>
      <c r="C39" s="27">
        <f>IF($A39="","",IFERROR(AVERAGEIFS('רווחה - קליטה'!$AK$5:$AK$204,'רווחה - קליטה'!$A$5:$A$204,$A39,'רווחה - קליטה'!$C$5:$C$204,"תחילת שנה"),""))</f>
      </c>
      <c r="D39" s="26">
        <f>IF($A39="","",IFERROR(INDEX('רווחה - קליטה'!$AS$5:$AS$204,MATCH($A39&amp;"|תחילת שנה",'רווחה - קליטה'!$AE$5:$AE$204,0)),""))</f>
      </c>
      <c r="E39" s="28">
        <f>IF($A39="","",IFERROR(AVERAGEIFS('רווחה - קליטה'!$AQ$5:$AQ$204,'רווחה - קליטה'!$A$5:$A$204,$A39,'רווחה - קליטה'!$C$5:$C$204,"אמצע שנה"),""))</f>
      </c>
      <c r="F39" s="27">
        <f>IF($A39="","",IFERROR(AVERAGEIFS('רווחה - קליטה'!$AK$5:$AK$204,'רווחה - קליטה'!$A$5:$A$204,$A39,'רווחה - קליטה'!$C$5:$C$204,"אמצע שנה"),""))</f>
      </c>
      <c r="G39" s="26">
        <f>IF($A39="","",IFERROR(INDEX('רווחה - קליטה'!$AS$5:$AS$204,MATCH($A39&amp;"|אמצע שנה",'רווחה - קליטה'!$AE$5:$AE$204,0)),""))</f>
      </c>
      <c r="H39" s="28">
        <f>IF($A39="","",IFERROR(AVERAGEIFS('רווחה - קליטה'!$AQ$5:$AQ$204,'רווחה - קליטה'!$A$5:$A$204,$A39,'רווחה - קליטה'!$C$5:$C$204,"סוף שנה"),""))</f>
      </c>
      <c r="I39" s="27">
        <f>IF($A39="","",IFERROR(AVERAGEIFS('רווחה - קליטה'!$AK$5:$AK$204,'רווחה - קליטה'!$A$5:$A$204,$A39,'רווחה - קליטה'!$C$5:$C$204,"סוף שנה"),""))</f>
      </c>
      <c r="J39" s="26">
        <f>IF($A39="","",IFERROR(INDEX('רווחה - קליטה'!$AS$5:$AS$204,MATCH($A39&amp;"|סוף שנה",'רווחה - קליטה'!$AE$5:$AE$204,0)),""))</f>
      </c>
      <c r="K39" s="36">
        <f>IF(AND(ISNUMBER(B39),ISNUMBER(H39)),H39-B39,"")</f>
      </c>
      <c r="L39" s="26">
        <f>IF(K39="","",IF(K39&gt;=0.5,"עלייה",IF(K39&lt;=-0.5,"ירידה","יציב")))</f>
      </c>
    </row>
    <row r="40" ht="15" customHeight="1" spans="1:12" x14ac:dyDescent="0.25">
      <c r="A40" s="29"/>
      <c r="B40" s="28">
        <f>IF($A40="","",IFERROR(AVERAGEIFS('רווחה - קליטה'!$AQ$5:$AQ$204,'רווחה - קליטה'!$A$5:$A$204,$A40,'רווחה - קליטה'!$C$5:$C$204,"תחילת שנה"),""))</f>
      </c>
      <c r="C40" s="27">
        <f>IF($A40="","",IFERROR(AVERAGEIFS('רווחה - קליטה'!$AK$5:$AK$204,'רווחה - קליטה'!$A$5:$A$204,$A40,'רווחה - קליטה'!$C$5:$C$204,"תחילת שנה"),""))</f>
      </c>
      <c r="D40" s="26">
        <f>IF($A40="","",IFERROR(INDEX('רווחה - קליטה'!$AS$5:$AS$204,MATCH($A40&amp;"|תחילת שנה",'רווחה - קליטה'!$AE$5:$AE$204,0)),""))</f>
      </c>
      <c r="E40" s="28">
        <f>IF($A40="","",IFERROR(AVERAGEIFS('רווחה - קליטה'!$AQ$5:$AQ$204,'רווחה - קליטה'!$A$5:$A$204,$A40,'רווחה - קליטה'!$C$5:$C$204,"אמצע שנה"),""))</f>
      </c>
      <c r="F40" s="27">
        <f>IF($A40="","",IFERROR(AVERAGEIFS('רווחה - קליטה'!$AK$5:$AK$204,'רווחה - קליטה'!$A$5:$A$204,$A40,'רווחה - קליטה'!$C$5:$C$204,"אמצע שנה"),""))</f>
      </c>
      <c r="G40" s="26">
        <f>IF($A40="","",IFERROR(INDEX('רווחה - קליטה'!$AS$5:$AS$204,MATCH($A40&amp;"|אמצע שנה",'רווחה - קליטה'!$AE$5:$AE$204,0)),""))</f>
      </c>
      <c r="H40" s="28">
        <f>IF($A40="","",IFERROR(AVERAGEIFS('רווחה - קליטה'!$AQ$5:$AQ$204,'רווחה - קליטה'!$A$5:$A$204,$A40,'רווחה - קליטה'!$C$5:$C$204,"סוף שנה"),""))</f>
      </c>
      <c r="I40" s="27">
        <f>IF($A40="","",IFERROR(AVERAGEIFS('רווחה - קליטה'!$AK$5:$AK$204,'רווחה - קליטה'!$A$5:$A$204,$A40,'רווחה - קליטה'!$C$5:$C$204,"סוף שנה"),""))</f>
      </c>
      <c r="J40" s="26">
        <f>IF($A40="","",IFERROR(INDEX('רווחה - קליטה'!$AS$5:$AS$204,MATCH($A40&amp;"|סוף שנה",'רווחה - קליטה'!$AE$5:$AE$204,0)),""))</f>
      </c>
      <c r="K40" s="36">
        <f>IF(AND(ISNUMBER(B40),ISNUMBER(H40)),H40-B40,"")</f>
      </c>
      <c r="L40" s="26">
        <f>IF(K40="","",IF(K40&gt;=0.5,"עלייה",IF(K40&lt;=-0.5,"ירידה","יציב")))</f>
      </c>
    </row>
    <row r="41" ht="15" customHeight="1" spans="1:12" x14ac:dyDescent="0.25">
      <c r="A41" s="29"/>
      <c r="B41" s="28">
        <f>IF($A41="","",IFERROR(AVERAGEIFS('רווחה - קליטה'!$AQ$5:$AQ$204,'רווחה - קליטה'!$A$5:$A$204,$A41,'רווחה - קליטה'!$C$5:$C$204,"תחילת שנה"),""))</f>
      </c>
      <c r="C41" s="27">
        <f>IF($A41="","",IFERROR(AVERAGEIFS('רווחה - קליטה'!$AK$5:$AK$204,'רווחה - קליטה'!$A$5:$A$204,$A41,'רווחה - קליטה'!$C$5:$C$204,"תחילת שנה"),""))</f>
      </c>
      <c r="D41" s="26">
        <f>IF($A41="","",IFERROR(INDEX('רווחה - קליטה'!$AS$5:$AS$204,MATCH($A41&amp;"|תחילת שנה",'רווחה - קליטה'!$AE$5:$AE$204,0)),""))</f>
      </c>
      <c r="E41" s="28">
        <f>IF($A41="","",IFERROR(AVERAGEIFS('רווחה - קליטה'!$AQ$5:$AQ$204,'רווחה - קליטה'!$A$5:$A$204,$A41,'רווחה - קליטה'!$C$5:$C$204,"אמצע שנה"),""))</f>
      </c>
      <c r="F41" s="27">
        <f>IF($A41="","",IFERROR(AVERAGEIFS('רווחה - קליטה'!$AK$5:$AK$204,'רווחה - קליטה'!$A$5:$A$204,$A41,'רווחה - קליטה'!$C$5:$C$204,"אמצע שנה"),""))</f>
      </c>
      <c r="G41" s="26">
        <f>IF($A41="","",IFERROR(INDEX('רווחה - קליטה'!$AS$5:$AS$204,MATCH($A41&amp;"|אמצע שנה",'רווחה - קליטה'!$AE$5:$AE$204,0)),""))</f>
      </c>
      <c r="H41" s="28">
        <f>IF($A41="","",IFERROR(AVERAGEIFS('רווחה - קליטה'!$AQ$5:$AQ$204,'רווחה - קליטה'!$A$5:$A$204,$A41,'רווחה - קליטה'!$C$5:$C$204,"סוף שנה"),""))</f>
      </c>
      <c r="I41" s="27">
        <f>IF($A41="","",IFERROR(AVERAGEIFS('רווחה - קליטה'!$AK$5:$AK$204,'רווחה - קליטה'!$A$5:$A$204,$A41,'רווחה - קליטה'!$C$5:$C$204,"סוף שנה"),""))</f>
      </c>
      <c r="J41" s="26">
        <f>IF($A41="","",IFERROR(INDEX('רווחה - קליטה'!$AS$5:$AS$204,MATCH($A41&amp;"|סוף שנה",'רווחה - קליטה'!$AE$5:$AE$204,0)),""))</f>
      </c>
      <c r="K41" s="36">
        <f>IF(AND(ISNUMBER(B41),ISNUMBER(H41)),H41-B41,"")</f>
      </c>
      <c r="L41" s="26">
        <f>IF(K41="","",IF(K41&gt;=0.5,"עלייה",IF(K41&lt;=-0.5,"ירידה","יציב")))</f>
      </c>
    </row>
    <row r="42" ht="15" customHeight="1" spans="1:12" x14ac:dyDescent="0.25">
      <c r="A42" s="29"/>
      <c r="B42" s="28">
        <f>IF($A42="","",IFERROR(AVERAGEIFS('רווחה - קליטה'!$AQ$5:$AQ$204,'רווחה - קליטה'!$A$5:$A$204,$A42,'רווחה - קליטה'!$C$5:$C$204,"תחילת שנה"),""))</f>
      </c>
      <c r="C42" s="27">
        <f>IF($A42="","",IFERROR(AVERAGEIFS('רווחה - קליטה'!$AK$5:$AK$204,'רווחה - קליטה'!$A$5:$A$204,$A42,'רווחה - קליטה'!$C$5:$C$204,"תחילת שנה"),""))</f>
      </c>
      <c r="D42" s="26">
        <f>IF($A42="","",IFERROR(INDEX('רווחה - קליטה'!$AS$5:$AS$204,MATCH($A42&amp;"|תחילת שנה",'רווחה - קליטה'!$AE$5:$AE$204,0)),""))</f>
      </c>
      <c r="E42" s="28">
        <f>IF($A42="","",IFERROR(AVERAGEIFS('רווחה - קליטה'!$AQ$5:$AQ$204,'רווחה - קליטה'!$A$5:$A$204,$A42,'רווחה - קליטה'!$C$5:$C$204,"אמצע שנה"),""))</f>
      </c>
      <c r="F42" s="27">
        <f>IF($A42="","",IFERROR(AVERAGEIFS('רווחה - קליטה'!$AK$5:$AK$204,'רווחה - קליטה'!$A$5:$A$204,$A42,'רווחה - קליטה'!$C$5:$C$204,"אמצע שנה"),""))</f>
      </c>
      <c r="G42" s="26">
        <f>IF($A42="","",IFERROR(INDEX('רווחה - קליטה'!$AS$5:$AS$204,MATCH($A42&amp;"|אמצע שנה",'רווחה - קליטה'!$AE$5:$AE$204,0)),""))</f>
      </c>
      <c r="H42" s="28">
        <f>IF($A42="","",IFERROR(AVERAGEIFS('רווחה - קליטה'!$AQ$5:$AQ$204,'רווחה - קליטה'!$A$5:$A$204,$A42,'רווחה - קליטה'!$C$5:$C$204,"סוף שנה"),""))</f>
      </c>
      <c r="I42" s="27">
        <f>IF($A42="","",IFERROR(AVERAGEIFS('רווחה - קליטה'!$AK$5:$AK$204,'רווחה - קליטה'!$A$5:$A$204,$A42,'רווחה - קליטה'!$C$5:$C$204,"סוף שנה"),""))</f>
      </c>
      <c r="J42" s="26">
        <f>IF($A42="","",IFERROR(INDEX('רווחה - קליטה'!$AS$5:$AS$204,MATCH($A42&amp;"|סוף שנה",'רווחה - קליטה'!$AE$5:$AE$204,0)),""))</f>
      </c>
      <c r="K42" s="36">
        <f>IF(AND(ISNUMBER(B42),ISNUMBER(H42)),H42-B42,"")</f>
      </c>
      <c r="L42" s="26">
        <f>IF(K42="","",IF(K42&gt;=0.5,"עלייה",IF(K42&lt;=-0.5,"ירידה","יציב")))</f>
      </c>
    </row>
    <row r="43" ht="15" customHeight="1" spans="1:12" x14ac:dyDescent="0.25">
      <c r="A43" s="29"/>
      <c r="B43" s="28">
        <f>IF($A43="","",IFERROR(AVERAGEIFS('רווחה - קליטה'!$AQ$5:$AQ$204,'רווחה - קליטה'!$A$5:$A$204,$A43,'רווחה - קליטה'!$C$5:$C$204,"תחילת שנה"),""))</f>
      </c>
      <c r="C43" s="27">
        <f>IF($A43="","",IFERROR(AVERAGEIFS('רווחה - קליטה'!$AK$5:$AK$204,'רווחה - קליטה'!$A$5:$A$204,$A43,'רווחה - קליטה'!$C$5:$C$204,"תחילת שנה"),""))</f>
      </c>
      <c r="D43" s="26">
        <f>IF($A43="","",IFERROR(INDEX('רווחה - קליטה'!$AS$5:$AS$204,MATCH($A43&amp;"|תחילת שנה",'רווחה - קליטה'!$AE$5:$AE$204,0)),""))</f>
      </c>
      <c r="E43" s="28">
        <f>IF($A43="","",IFERROR(AVERAGEIFS('רווחה - קליטה'!$AQ$5:$AQ$204,'רווחה - קליטה'!$A$5:$A$204,$A43,'רווחה - קליטה'!$C$5:$C$204,"אמצע שנה"),""))</f>
      </c>
      <c r="F43" s="27">
        <f>IF($A43="","",IFERROR(AVERAGEIFS('רווחה - קליטה'!$AK$5:$AK$204,'רווחה - קליטה'!$A$5:$A$204,$A43,'רווחה - קליטה'!$C$5:$C$204,"אמצע שנה"),""))</f>
      </c>
      <c r="G43" s="26">
        <f>IF($A43="","",IFERROR(INDEX('רווחה - קליטה'!$AS$5:$AS$204,MATCH($A43&amp;"|אמצע שנה",'רווחה - קליטה'!$AE$5:$AE$204,0)),""))</f>
      </c>
      <c r="H43" s="28">
        <f>IF($A43="","",IFERROR(AVERAGEIFS('רווחה - קליטה'!$AQ$5:$AQ$204,'רווחה - קליטה'!$A$5:$A$204,$A43,'רווחה - קליטה'!$C$5:$C$204,"סוף שנה"),""))</f>
      </c>
      <c r="I43" s="27">
        <f>IF($A43="","",IFERROR(AVERAGEIFS('רווחה - קליטה'!$AK$5:$AK$204,'רווחה - קליטה'!$A$5:$A$204,$A43,'רווחה - קליטה'!$C$5:$C$204,"סוף שנה"),""))</f>
      </c>
      <c r="J43" s="26">
        <f>IF($A43="","",IFERROR(INDEX('רווחה - קליטה'!$AS$5:$AS$204,MATCH($A43&amp;"|סוף שנה",'רווחה - קליטה'!$AE$5:$AE$204,0)),""))</f>
      </c>
      <c r="K43" s="36">
        <f>IF(AND(ISNUMBER(B43),ISNUMBER(H43)),H43-B43,"")</f>
      </c>
      <c r="L43" s="26">
        <f>IF(K43="","",IF(K43&gt;=0.5,"עלייה",IF(K43&lt;=-0.5,"ירידה","יציב")))</f>
      </c>
    </row>
    <row r="44" ht="15" customHeight="1" spans="1:12" x14ac:dyDescent="0.25">
      <c r="A44" s="29"/>
      <c r="B44" s="28">
        <f>IF($A44="","",IFERROR(AVERAGEIFS('רווחה - קליטה'!$AQ$5:$AQ$204,'רווחה - קליטה'!$A$5:$A$204,$A44,'רווחה - קליטה'!$C$5:$C$204,"תחילת שנה"),""))</f>
      </c>
      <c r="C44" s="27">
        <f>IF($A44="","",IFERROR(AVERAGEIFS('רווחה - קליטה'!$AK$5:$AK$204,'רווחה - קליטה'!$A$5:$A$204,$A44,'רווחה - קליטה'!$C$5:$C$204,"תחילת שנה"),""))</f>
      </c>
      <c r="D44" s="26">
        <f>IF($A44="","",IFERROR(INDEX('רווחה - קליטה'!$AS$5:$AS$204,MATCH($A44&amp;"|תחילת שנה",'רווחה - קליטה'!$AE$5:$AE$204,0)),""))</f>
      </c>
      <c r="E44" s="28">
        <f>IF($A44="","",IFERROR(AVERAGEIFS('רווחה - קליטה'!$AQ$5:$AQ$204,'רווחה - קליטה'!$A$5:$A$204,$A44,'רווחה - קליטה'!$C$5:$C$204,"אמצע שנה"),""))</f>
      </c>
      <c r="F44" s="27">
        <f>IF($A44="","",IFERROR(AVERAGEIFS('רווחה - קליטה'!$AK$5:$AK$204,'רווחה - קליטה'!$A$5:$A$204,$A44,'רווחה - קליטה'!$C$5:$C$204,"אמצע שנה"),""))</f>
      </c>
      <c r="G44" s="26">
        <f>IF($A44="","",IFERROR(INDEX('רווחה - קליטה'!$AS$5:$AS$204,MATCH($A44&amp;"|אמצע שנה",'רווחה - קליטה'!$AE$5:$AE$204,0)),""))</f>
      </c>
      <c r="H44" s="28">
        <f>IF($A44="","",IFERROR(AVERAGEIFS('רווחה - קליטה'!$AQ$5:$AQ$204,'רווחה - קליטה'!$A$5:$A$204,$A44,'רווחה - קליטה'!$C$5:$C$204,"סוף שנה"),""))</f>
      </c>
      <c r="I44" s="27">
        <f>IF($A44="","",IFERROR(AVERAGEIFS('רווחה - קליטה'!$AK$5:$AK$204,'רווחה - קליטה'!$A$5:$A$204,$A44,'רווחה - קליטה'!$C$5:$C$204,"סוף שנה"),""))</f>
      </c>
      <c r="J44" s="26">
        <f>IF($A44="","",IFERROR(INDEX('רווחה - קליטה'!$AS$5:$AS$204,MATCH($A44&amp;"|סוף שנה",'רווחה - קליטה'!$AE$5:$AE$204,0)),""))</f>
      </c>
      <c r="K44" s="36">
        <f>IF(AND(ISNUMBER(B44),ISNUMBER(H44)),H44-B44,"")</f>
      </c>
      <c r="L44" s="26">
        <f>IF(K44="","",IF(K44&gt;=0.5,"עלייה",IF(K44&lt;=-0.5,"ירידה","יציב")))</f>
      </c>
    </row>
    <row r="45" ht="15" customHeight="1" spans="1:12" x14ac:dyDescent="0.25">
      <c r="A45" s="29"/>
      <c r="B45" s="28">
        <f>IF($A45="","",IFERROR(AVERAGEIFS('רווחה - קליטה'!$AQ$5:$AQ$204,'רווחה - קליטה'!$A$5:$A$204,$A45,'רווחה - קליטה'!$C$5:$C$204,"תחילת שנה"),""))</f>
      </c>
      <c r="C45" s="27">
        <f>IF($A45="","",IFERROR(AVERAGEIFS('רווחה - קליטה'!$AK$5:$AK$204,'רווחה - קליטה'!$A$5:$A$204,$A45,'רווחה - קליטה'!$C$5:$C$204,"תחילת שנה"),""))</f>
      </c>
      <c r="D45" s="26">
        <f>IF($A45="","",IFERROR(INDEX('רווחה - קליטה'!$AS$5:$AS$204,MATCH($A45&amp;"|תחילת שנה",'רווחה - קליטה'!$AE$5:$AE$204,0)),""))</f>
      </c>
      <c r="E45" s="28">
        <f>IF($A45="","",IFERROR(AVERAGEIFS('רווחה - קליטה'!$AQ$5:$AQ$204,'רווחה - קליטה'!$A$5:$A$204,$A45,'רווחה - קליטה'!$C$5:$C$204,"אמצע שנה"),""))</f>
      </c>
      <c r="F45" s="27">
        <f>IF($A45="","",IFERROR(AVERAGEIFS('רווחה - קליטה'!$AK$5:$AK$204,'רווחה - קליטה'!$A$5:$A$204,$A45,'רווחה - קליטה'!$C$5:$C$204,"אמצע שנה"),""))</f>
      </c>
      <c r="G45" s="26">
        <f>IF($A45="","",IFERROR(INDEX('רווחה - קליטה'!$AS$5:$AS$204,MATCH($A45&amp;"|אמצע שנה",'רווחה - קליטה'!$AE$5:$AE$204,0)),""))</f>
      </c>
      <c r="H45" s="28">
        <f>IF($A45="","",IFERROR(AVERAGEIFS('רווחה - קליטה'!$AQ$5:$AQ$204,'רווחה - קליטה'!$A$5:$A$204,$A45,'רווחה - קליטה'!$C$5:$C$204,"סוף שנה"),""))</f>
      </c>
      <c r="I45" s="27">
        <f>IF($A45="","",IFERROR(AVERAGEIFS('רווחה - קליטה'!$AK$5:$AK$204,'רווחה - קליטה'!$A$5:$A$204,$A45,'רווחה - קליטה'!$C$5:$C$204,"סוף שנה"),""))</f>
      </c>
      <c r="J45" s="26">
        <f>IF($A45="","",IFERROR(INDEX('רווחה - קליטה'!$AS$5:$AS$204,MATCH($A45&amp;"|סוף שנה",'רווחה - קליטה'!$AE$5:$AE$204,0)),""))</f>
      </c>
      <c r="K45" s="36">
        <f>IF(AND(ISNUMBER(B45),ISNUMBER(H45)),H45-B45,"")</f>
      </c>
      <c r="L45" s="26">
        <f>IF(K45="","",IF(K45&gt;=0.5,"עלייה",IF(K45&lt;=-0.5,"ירידה","יציב")))</f>
      </c>
    </row>
    <row r="46" ht="15" customHeight="1" spans="1:12" x14ac:dyDescent="0.25">
      <c r="A46" s="29"/>
      <c r="B46" s="28">
        <f>IF($A46="","",IFERROR(AVERAGEIFS('רווחה - קליטה'!$AQ$5:$AQ$204,'רווחה - קליטה'!$A$5:$A$204,$A46,'רווחה - קליטה'!$C$5:$C$204,"תחילת שנה"),""))</f>
      </c>
      <c r="C46" s="27">
        <f>IF($A46="","",IFERROR(AVERAGEIFS('רווחה - קליטה'!$AK$5:$AK$204,'רווחה - קליטה'!$A$5:$A$204,$A46,'רווחה - קליטה'!$C$5:$C$204,"תחילת שנה"),""))</f>
      </c>
      <c r="D46" s="26">
        <f>IF($A46="","",IFERROR(INDEX('רווחה - קליטה'!$AS$5:$AS$204,MATCH($A46&amp;"|תחילת שנה",'רווחה - קליטה'!$AE$5:$AE$204,0)),""))</f>
      </c>
      <c r="E46" s="28">
        <f>IF($A46="","",IFERROR(AVERAGEIFS('רווחה - קליטה'!$AQ$5:$AQ$204,'רווחה - קליטה'!$A$5:$A$204,$A46,'רווחה - קליטה'!$C$5:$C$204,"אמצע שנה"),""))</f>
      </c>
      <c r="F46" s="27">
        <f>IF($A46="","",IFERROR(AVERAGEIFS('רווחה - קליטה'!$AK$5:$AK$204,'רווחה - קליטה'!$A$5:$A$204,$A46,'רווחה - קליטה'!$C$5:$C$204,"אמצע שנה"),""))</f>
      </c>
      <c r="G46" s="26">
        <f>IF($A46="","",IFERROR(INDEX('רווחה - קליטה'!$AS$5:$AS$204,MATCH($A46&amp;"|אמצע שנה",'רווחה - קליטה'!$AE$5:$AE$204,0)),""))</f>
      </c>
      <c r="H46" s="28">
        <f>IF($A46="","",IFERROR(AVERAGEIFS('רווחה - קליטה'!$AQ$5:$AQ$204,'רווחה - קליטה'!$A$5:$A$204,$A46,'רווחה - קליטה'!$C$5:$C$204,"סוף שנה"),""))</f>
      </c>
      <c r="I46" s="27">
        <f>IF($A46="","",IFERROR(AVERAGEIFS('רווחה - קליטה'!$AK$5:$AK$204,'רווחה - קליטה'!$A$5:$A$204,$A46,'רווחה - קליטה'!$C$5:$C$204,"סוף שנה"),""))</f>
      </c>
      <c r="J46" s="26">
        <f>IF($A46="","",IFERROR(INDEX('רווחה - קליטה'!$AS$5:$AS$204,MATCH($A46&amp;"|סוף שנה",'רווחה - קליטה'!$AE$5:$AE$204,0)),""))</f>
      </c>
      <c r="K46" s="36">
        <f>IF(AND(ISNUMBER(B46),ISNUMBER(H46)),H46-B46,"")</f>
      </c>
      <c r="L46" s="26">
        <f>IF(K46="","",IF(K46&gt;=0.5,"עלייה",IF(K46&lt;=-0.5,"ירידה","יציב")))</f>
      </c>
    </row>
    <row r="47" ht="15" customHeight="1" spans="1:12" x14ac:dyDescent="0.25">
      <c r="A47" s="29"/>
      <c r="B47" s="28">
        <f>IF($A47="","",IFERROR(AVERAGEIFS('רווחה - קליטה'!$AQ$5:$AQ$204,'רווחה - קליטה'!$A$5:$A$204,$A47,'רווחה - קליטה'!$C$5:$C$204,"תחילת שנה"),""))</f>
      </c>
      <c r="C47" s="27">
        <f>IF($A47="","",IFERROR(AVERAGEIFS('רווחה - קליטה'!$AK$5:$AK$204,'רווחה - קליטה'!$A$5:$A$204,$A47,'רווחה - קליטה'!$C$5:$C$204,"תחילת שנה"),""))</f>
      </c>
      <c r="D47" s="26">
        <f>IF($A47="","",IFERROR(INDEX('רווחה - קליטה'!$AS$5:$AS$204,MATCH($A47&amp;"|תחילת שנה",'רווחה - קליטה'!$AE$5:$AE$204,0)),""))</f>
      </c>
      <c r="E47" s="28">
        <f>IF($A47="","",IFERROR(AVERAGEIFS('רווחה - קליטה'!$AQ$5:$AQ$204,'רווחה - קליטה'!$A$5:$A$204,$A47,'רווחה - קליטה'!$C$5:$C$204,"אמצע שנה"),""))</f>
      </c>
      <c r="F47" s="27">
        <f>IF($A47="","",IFERROR(AVERAGEIFS('רווחה - קליטה'!$AK$5:$AK$204,'רווחה - קליטה'!$A$5:$A$204,$A47,'רווחה - קליטה'!$C$5:$C$204,"אמצע שנה"),""))</f>
      </c>
      <c r="G47" s="26">
        <f>IF($A47="","",IFERROR(INDEX('רווחה - קליטה'!$AS$5:$AS$204,MATCH($A47&amp;"|אמצע שנה",'רווחה - קליטה'!$AE$5:$AE$204,0)),""))</f>
      </c>
      <c r="H47" s="28">
        <f>IF($A47="","",IFERROR(AVERAGEIFS('רווחה - קליטה'!$AQ$5:$AQ$204,'רווחה - קליטה'!$A$5:$A$204,$A47,'רווחה - קליטה'!$C$5:$C$204,"סוף שנה"),""))</f>
      </c>
      <c r="I47" s="27">
        <f>IF($A47="","",IFERROR(AVERAGEIFS('רווחה - קליטה'!$AK$5:$AK$204,'רווחה - קליטה'!$A$5:$A$204,$A47,'רווחה - קליטה'!$C$5:$C$204,"סוף שנה"),""))</f>
      </c>
      <c r="J47" s="26">
        <f>IF($A47="","",IFERROR(INDEX('רווחה - קליטה'!$AS$5:$AS$204,MATCH($A47&amp;"|סוף שנה",'רווחה - קליטה'!$AE$5:$AE$204,0)),""))</f>
      </c>
      <c r="K47" s="36">
        <f>IF(AND(ISNUMBER(B47),ISNUMBER(H47)),H47-B47,"")</f>
      </c>
      <c r="L47" s="26">
        <f>IF(K47="","",IF(K47&gt;=0.5,"עלייה",IF(K47&lt;=-0.5,"ירידה","יציב")))</f>
      </c>
    </row>
    <row r="48" ht="15" customHeight="1" spans="1:12" x14ac:dyDescent="0.25">
      <c r="A48" s="29"/>
      <c r="B48" s="28">
        <f>IF($A48="","",IFERROR(AVERAGEIFS('רווחה - קליטה'!$AQ$5:$AQ$204,'רווחה - קליטה'!$A$5:$A$204,$A48,'רווחה - קליטה'!$C$5:$C$204,"תחילת שנה"),""))</f>
      </c>
      <c r="C48" s="27">
        <f>IF($A48="","",IFERROR(AVERAGEIFS('רווחה - קליטה'!$AK$5:$AK$204,'רווחה - קליטה'!$A$5:$A$204,$A48,'רווחה - קליטה'!$C$5:$C$204,"תחילת שנה"),""))</f>
      </c>
      <c r="D48" s="26">
        <f>IF($A48="","",IFERROR(INDEX('רווחה - קליטה'!$AS$5:$AS$204,MATCH($A48&amp;"|תחילת שנה",'רווחה - קליטה'!$AE$5:$AE$204,0)),""))</f>
      </c>
      <c r="E48" s="28">
        <f>IF($A48="","",IFERROR(AVERAGEIFS('רווחה - קליטה'!$AQ$5:$AQ$204,'רווחה - קליטה'!$A$5:$A$204,$A48,'רווחה - קליטה'!$C$5:$C$204,"אמצע שנה"),""))</f>
      </c>
      <c r="F48" s="27">
        <f>IF($A48="","",IFERROR(AVERAGEIFS('רווחה - קליטה'!$AK$5:$AK$204,'רווחה - קליטה'!$A$5:$A$204,$A48,'רווחה - קליטה'!$C$5:$C$204,"אמצע שנה"),""))</f>
      </c>
      <c r="G48" s="26">
        <f>IF($A48="","",IFERROR(INDEX('רווחה - קליטה'!$AS$5:$AS$204,MATCH($A48&amp;"|אמצע שנה",'רווחה - קליטה'!$AE$5:$AE$204,0)),""))</f>
      </c>
      <c r="H48" s="28">
        <f>IF($A48="","",IFERROR(AVERAGEIFS('רווחה - קליטה'!$AQ$5:$AQ$204,'רווחה - קליטה'!$A$5:$A$204,$A48,'רווחה - קליטה'!$C$5:$C$204,"סוף שנה"),""))</f>
      </c>
      <c r="I48" s="27">
        <f>IF($A48="","",IFERROR(AVERAGEIFS('רווחה - קליטה'!$AK$5:$AK$204,'רווחה - קליטה'!$A$5:$A$204,$A48,'רווחה - קליטה'!$C$5:$C$204,"סוף שנה"),""))</f>
      </c>
      <c r="J48" s="26">
        <f>IF($A48="","",IFERROR(INDEX('רווחה - קליטה'!$AS$5:$AS$204,MATCH($A48&amp;"|סוף שנה",'רווחה - קליטה'!$AE$5:$AE$204,0)),""))</f>
      </c>
      <c r="K48" s="36">
        <f>IF(AND(ISNUMBER(B48),ISNUMBER(H48)),H48-B48,"")</f>
      </c>
      <c r="L48" s="26">
        <f>IF(K48="","",IF(K48&gt;=0.5,"עלייה",IF(K48&lt;=-0.5,"ירידה","יציב")))</f>
      </c>
    </row>
    <row r="49" ht="15" customHeight="1" spans="1:12" x14ac:dyDescent="0.25">
      <c r="A49" s="29"/>
      <c r="B49" s="28">
        <f>IF($A49="","",IFERROR(AVERAGEIFS('רווחה - קליטה'!$AQ$5:$AQ$204,'רווחה - קליטה'!$A$5:$A$204,$A49,'רווחה - קליטה'!$C$5:$C$204,"תחילת שנה"),""))</f>
      </c>
      <c r="C49" s="27">
        <f>IF($A49="","",IFERROR(AVERAGEIFS('רווחה - קליטה'!$AK$5:$AK$204,'רווחה - קליטה'!$A$5:$A$204,$A49,'רווחה - קליטה'!$C$5:$C$204,"תחילת שנה"),""))</f>
      </c>
      <c r="D49" s="26">
        <f>IF($A49="","",IFERROR(INDEX('רווחה - קליטה'!$AS$5:$AS$204,MATCH($A49&amp;"|תחילת שנה",'רווחה - קליטה'!$AE$5:$AE$204,0)),""))</f>
      </c>
      <c r="E49" s="28">
        <f>IF($A49="","",IFERROR(AVERAGEIFS('רווחה - קליטה'!$AQ$5:$AQ$204,'רווחה - קליטה'!$A$5:$A$204,$A49,'רווחה - קליטה'!$C$5:$C$204,"אמצע שנה"),""))</f>
      </c>
      <c r="F49" s="27">
        <f>IF($A49="","",IFERROR(AVERAGEIFS('רווחה - קליטה'!$AK$5:$AK$204,'רווחה - קליטה'!$A$5:$A$204,$A49,'רווחה - קליטה'!$C$5:$C$204,"אמצע שנה"),""))</f>
      </c>
      <c r="G49" s="26">
        <f>IF($A49="","",IFERROR(INDEX('רווחה - קליטה'!$AS$5:$AS$204,MATCH($A49&amp;"|אמצע שנה",'רווחה - קליטה'!$AE$5:$AE$204,0)),""))</f>
      </c>
      <c r="H49" s="28">
        <f>IF($A49="","",IFERROR(AVERAGEIFS('רווחה - קליטה'!$AQ$5:$AQ$204,'רווחה - קליטה'!$A$5:$A$204,$A49,'רווחה - קליטה'!$C$5:$C$204,"סוף שנה"),""))</f>
      </c>
      <c r="I49" s="27">
        <f>IF($A49="","",IFERROR(AVERAGEIFS('רווחה - קליטה'!$AK$5:$AK$204,'רווחה - קליטה'!$A$5:$A$204,$A49,'רווחה - קליטה'!$C$5:$C$204,"סוף שנה"),""))</f>
      </c>
      <c r="J49" s="26">
        <f>IF($A49="","",IFERROR(INDEX('רווחה - קליטה'!$AS$5:$AS$204,MATCH($A49&amp;"|סוף שנה",'רווחה - קליטה'!$AE$5:$AE$204,0)),""))</f>
      </c>
      <c r="K49" s="36">
        <f>IF(AND(ISNUMBER(B49),ISNUMBER(H49)),H49-B49,"")</f>
      </c>
      <c r="L49" s="26">
        <f>IF(K49="","",IF(K49&gt;=0.5,"עלייה",IF(K49&lt;=-0.5,"ירידה","יציב")))</f>
      </c>
    </row>
    <row r="50" ht="15" customHeight="1" spans="1:12" x14ac:dyDescent="0.25">
      <c r="A50" s="29"/>
      <c r="B50" s="28">
        <f>IF($A50="","",IFERROR(AVERAGEIFS('רווחה - קליטה'!$AQ$5:$AQ$204,'רווחה - קליטה'!$A$5:$A$204,$A50,'רווחה - קליטה'!$C$5:$C$204,"תחילת שנה"),""))</f>
      </c>
      <c r="C50" s="27">
        <f>IF($A50="","",IFERROR(AVERAGEIFS('רווחה - קליטה'!$AK$5:$AK$204,'רווחה - קליטה'!$A$5:$A$204,$A50,'רווחה - קליטה'!$C$5:$C$204,"תחילת שנה"),""))</f>
      </c>
      <c r="D50" s="26">
        <f>IF($A50="","",IFERROR(INDEX('רווחה - קליטה'!$AS$5:$AS$204,MATCH($A50&amp;"|תחילת שנה",'רווחה - קליטה'!$AE$5:$AE$204,0)),""))</f>
      </c>
      <c r="E50" s="28">
        <f>IF($A50="","",IFERROR(AVERAGEIFS('רווחה - קליטה'!$AQ$5:$AQ$204,'רווחה - קליטה'!$A$5:$A$204,$A50,'רווחה - קליטה'!$C$5:$C$204,"אמצע שנה"),""))</f>
      </c>
      <c r="F50" s="27">
        <f>IF($A50="","",IFERROR(AVERAGEIFS('רווחה - קליטה'!$AK$5:$AK$204,'רווחה - קליטה'!$A$5:$A$204,$A50,'רווחה - קליטה'!$C$5:$C$204,"אמצע שנה"),""))</f>
      </c>
      <c r="G50" s="26">
        <f>IF($A50="","",IFERROR(INDEX('רווחה - קליטה'!$AS$5:$AS$204,MATCH($A50&amp;"|אמצע שנה",'רווחה - קליטה'!$AE$5:$AE$204,0)),""))</f>
      </c>
      <c r="H50" s="28">
        <f>IF($A50="","",IFERROR(AVERAGEIFS('רווחה - קליטה'!$AQ$5:$AQ$204,'רווחה - קליטה'!$A$5:$A$204,$A50,'רווחה - קליטה'!$C$5:$C$204,"סוף שנה"),""))</f>
      </c>
      <c r="I50" s="27">
        <f>IF($A50="","",IFERROR(AVERAGEIFS('רווחה - קליטה'!$AK$5:$AK$204,'רווחה - קליטה'!$A$5:$A$204,$A50,'רווחה - קליטה'!$C$5:$C$204,"סוף שנה"),""))</f>
      </c>
      <c r="J50" s="26">
        <f>IF($A50="","",IFERROR(INDEX('רווחה - קליטה'!$AS$5:$AS$204,MATCH($A50&amp;"|סוף שנה",'רווחה - קליטה'!$AE$5:$AE$204,0)),""))</f>
      </c>
      <c r="K50" s="36">
        <f>IF(AND(ISNUMBER(B50),ISNUMBER(H50)),H50-B50,"")</f>
      </c>
      <c r="L50" s="26">
        <f>IF(K50="","",IF(K50&gt;=0.5,"עלייה",IF(K50&lt;=-0.5,"ירידה","יציב")))</f>
      </c>
    </row>
    <row r="51" ht="15" customHeight="1" spans="1:12" x14ac:dyDescent="0.25">
      <c r="A51" s="29"/>
      <c r="B51" s="28">
        <f>IF($A51="","",IFERROR(AVERAGEIFS('רווחה - קליטה'!$AQ$5:$AQ$204,'רווחה - קליטה'!$A$5:$A$204,$A51,'רווחה - קליטה'!$C$5:$C$204,"תחילת שנה"),""))</f>
      </c>
      <c r="C51" s="27">
        <f>IF($A51="","",IFERROR(AVERAGEIFS('רווחה - קליטה'!$AK$5:$AK$204,'רווחה - קליטה'!$A$5:$A$204,$A51,'רווחה - קליטה'!$C$5:$C$204,"תחילת שנה"),""))</f>
      </c>
      <c r="D51" s="26">
        <f>IF($A51="","",IFERROR(INDEX('רווחה - קליטה'!$AS$5:$AS$204,MATCH($A51&amp;"|תחילת שנה",'רווחה - קליטה'!$AE$5:$AE$204,0)),""))</f>
      </c>
      <c r="E51" s="28">
        <f>IF($A51="","",IFERROR(AVERAGEIFS('רווחה - קליטה'!$AQ$5:$AQ$204,'רווחה - קליטה'!$A$5:$A$204,$A51,'רווחה - קליטה'!$C$5:$C$204,"אמצע שנה"),""))</f>
      </c>
      <c r="F51" s="27">
        <f>IF($A51="","",IFERROR(AVERAGEIFS('רווחה - קליטה'!$AK$5:$AK$204,'רווחה - קליטה'!$A$5:$A$204,$A51,'רווחה - קליטה'!$C$5:$C$204,"אמצע שנה"),""))</f>
      </c>
      <c r="G51" s="26">
        <f>IF($A51="","",IFERROR(INDEX('רווחה - קליטה'!$AS$5:$AS$204,MATCH($A51&amp;"|אמצע שנה",'רווחה - קליטה'!$AE$5:$AE$204,0)),""))</f>
      </c>
      <c r="H51" s="28">
        <f>IF($A51="","",IFERROR(AVERAGEIFS('רווחה - קליטה'!$AQ$5:$AQ$204,'רווחה - קליטה'!$A$5:$A$204,$A51,'רווחה - קליטה'!$C$5:$C$204,"סוף שנה"),""))</f>
      </c>
      <c r="I51" s="27">
        <f>IF($A51="","",IFERROR(AVERAGEIFS('רווחה - קליטה'!$AK$5:$AK$204,'רווחה - קליטה'!$A$5:$A$204,$A51,'רווחה - קליטה'!$C$5:$C$204,"סוף שנה"),""))</f>
      </c>
      <c r="J51" s="26">
        <f>IF($A51="","",IFERROR(INDEX('רווחה - קליטה'!$AS$5:$AS$204,MATCH($A51&amp;"|סוף שנה",'רווחה - קליטה'!$AE$5:$AE$204,0)),""))</f>
      </c>
      <c r="K51" s="36">
        <f>IF(AND(ISNUMBER(B51),ISNUMBER(H51)),H51-B51,"")</f>
      </c>
      <c r="L51" s="26">
        <f>IF(K51="","",IF(K51&gt;=0.5,"עלייה",IF(K51&lt;=-0.5,"ירידה","יציב")))</f>
      </c>
    </row>
    <row r="52" ht="15" customHeight="1" spans="1:12" x14ac:dyDescent="0.25">
      <c r="A52" s="29"/>
      <c r="B52" s="28">
        <f>IF($A52="","",IFERROR(AVERAGEIFS('רווחה - קליטה'!$AQ$5:$AQ$204,'רווחה - קליטה'!$A$5:$A$204,$A52,'רווחה - קליטה'!$C$5:$C$204,"תחילת שנה"),""))</f>
      </c>
      <c r="C52" s="27">
        <f>IF($A52="","",IFERROR(AVERAGEIFS('רווחה - קליטה'!$AK$5:$AK$204,'רווחה - קליטה'!$A$5:$A$204,$A52,'רווחה - קליטה'!$C$5:$C$204,"תחילת שנה"),""))</f>
      </c>
      <c r="D52" s="26">
        <f>IF($A52="","",IFERROR(INDEX('רווחה - קליטה'!$AS$5:$AS$204,MATCH($A52&amp;"|תחילת שנה",'רווחה - קליטה'!$AE$5:$AE$204,0)),""))</f>
      </c>
      <c r="E52" s="28">
        <f>IF($A52="","",IFERROR(AVERAGEIFS('רווחה - קליטה'!$AQ$5:$AQ$204,'רווחה - קליטה'!$A$5:$A$204,$A52,'רווחה - קליטה'!$C$5:$C$204,"אמצע שנה"),""))</f>
      </c>
      <c r="F52" s="27">
        <f>IF($A52="","",IFERROR(AVERAGEIFS('רווחה - קליטה'!$AK$5:$AK$204,'רווחה - קליטה'!$A$5:$A$204,$A52,'רווחה - קליטה'!$C$5:$C$204,"אמצע שנה"),""))</f>
      </c>
      <c r="G52" s="26">
        <f>IF($A52="","",IFERROR(INDEX('רווחה - קליטה'!$AS$5:$AS$204,MATCH($A52&amp;"|אמצע שנה",'רווחה - קליטה'!$AE$5:$AE$204,0)),""))</f>
      </c>
      <c r="H52" s="28">
        <f>IF($A52="","",IFERROR(AVERAGEIFS('רווחה - קליטה'!$AQ$5:$AQ$204,'רווחה - קליטה'!$A$5:$A$204,$A52,'רווחה - קליטה'!$C$5:$C$204,"סוף שנה"),""))</f>
      </c>
      <c r="I52" s="27">
        <f>IF($A52="","",IFERROR(AVERAGEIFS('רווחה - קליטה'!$AK$5:$AK$204,'רווחה - קליטה'!$A$5:$A$204,$A52,'רווחה - קליטה'!$C$5:$C$204,"סוף שנה"),""))</f>
      </c>
      <c r="J52" s="26">
        <f>IF($A52="","",IFERROR(INDEX('רווחה - קליטה'!$AS$5:$AS$204,MATCH($A52&amp;"|סוף שנה",'רווחה - קליטה'!$AE$5:$AE$204,0)),""))</f>
      </c>
      <c r="K52" s="36">
        <f>IF(AND(ISNUMBER(B52),ISNUMBER(H52)),H52-B52,"")</f>
      </c>
      <c r="L52" s="26">
        <f>IF(K52="","",IF(K52&gt;=0.5,"עלייה",IF(K52&lt;=-0.5,"ירידה","יציב")))</f>
      </c>
    </row>
    <row r="53" ht="15" customHeight="1" spans="1:12" x14ac:dyDescent="0.25">
      <c r="A53" s="29"/>
      <c r="B53" s="28">
        <f>IF($A53="","",IFERROR(AVERAGEIFS('רווחה - קליטה'!$AQ$5:$AQ$204,'רווחה - קליטה'!$A$5:$A$204,$A53,'רווחה - קליטה'!$C$5:$C$204,"תחילת שנה"),""))</f>
      </c>
      <c r="C53" s="27">
        <f>IF($A53="","",IFERROR(AVERAGEIFS('רווחה - קליטה'!$AK$5:$AK$204,'רווחה - קליטה'!$A$5:$A$204,$A53,'רווחה - קליטה'!$C$5:$C$204,"תחילת שנה"),""))</f>
      </c>
      <c r="D53" s="26">
        <f>IF($A53="","",IFERROR(INDEX('רווחה - קליטה'!$AS$5:$AS$204,MATCH($A53&amp;"|תחילת שנה",'רווחה - קליטה'!$AE$5:$AE$204,0)),""))</f>
      </c>
      <c r="E53" s="28">
        <f>IF($A53="","",IFERROR(AVERAGEIFS('רווחה - קליטה'!$AQ$5:$AQ$204,'רווחה - קליטה'!$A$5:$A$204,$A53,'רווחה - קליטה'!$C$5:$C$204,"אמצע שנה"),""))</f>
      </c>
      <c r="F53" s="27">
        <f>IF($A53="","",IFERROR(AVERAGEIFS('רווחה - קליטה'!$AK$5:$AK$204,'רווחה - קליטה'!$A$5:$A$204,$A53,'רווחה - קליטה'!$C$5:$C$204,"אמצע שנה"),""))</f>
      </c>
      <c r="G53" s="26">
        <f>IF($A53="","",IFERROR(INDEX('רווחה - קליטה'!$AS$5:$AS$204,MATCH($A53&amp;"|אמצע שנה",'רווחה - קליטה'!$AE$5:$AE$204,0)),""))</f>
      </c>
      <c r="H53" s="28">
        <f>IF($A53="","",IFERROR(AVERAGEIFS('רווחה - קליטה'!$AQ$5:$AQ$204,'רווחה - קליטה'!$A$5:$A$204,$A53,'רווחה - קליטה'!$C$5:$C$204,"סוף שנה"),""))</f>
      </c>
      <c r="I53" s="27">
        <f>IF($A53="","",IFERROR(AVERAGEIFS('רווחה - קליטה'!$AK$5:$AK$204,'רווחה - קליטה'!$A$5:$A$204,$A53,'רווחה - קליטה'!$C$5:$C$204,"סוף שנה"),""))</f>
      </c>
      <c r="J53" s="26">
        <f>IF($A53="","",IFERROR(INDEX('רווחה - קליטה'!$AS$5:$AS$204,MATCH($A53&amp;"|סוף שנה",'רווחה - קליטה'!$AE$5:$AE$204,0)),""))</f>
      </c>
      <c r="K53" s="36">
        <f>IF(AND(ISNUMBER(B53),ISNUMBER(H53)),H53-B53,"")</f>
      </c>
      <c r="L53" s="26">
        <f>IF(K53="","",IF(K53&gt;=0.5,"עלייה",IF(K53&lt;=-0.5,"ירידה","יציב")))</f>
      </c>
    </row>
    <row r="54" ht="15" customHeight="1" spans="1:12" x14ac:dyDescent="0.25">
      <c r="A54" s="29"/>
      <c r="B54" s="28">
        <f>IF($A54="","",IFERROR(AVERAGEIFS('רווחה - קליטה'!$AQ$5:$AQ$204,'רווחה - קליטה'!$A$5:$A$204,$A54,'רווחה - קליטה'!$C$5:$C$204,"תחילת שנה"),""))</f>
      </c>
      <c r="C54" s="27">
        <f>IF($A54="","",IFERROR(AVERAGEIFS('רווחה - קליטה'!$AK$5:$AK$204,'רווחה - קליטה'!$A$5:$A$204,$A54,'רווחה - קליטה'!$C$5:$C$204,"תחילת שנה"),""))</f>
      </c>
      <c r="D54" s="26">
        <f>IF($A54="","",IFERROR(INDEX('רווחה - קליטה'!$AS$5:$AS$204,MATCH($A54&amp;"|תחילת שנה",'רווחה - קליטה'!$AE$5:$AE$204,0)),""))</f>
      </c>
      <c r="E54" s="28">
        <f>IF($A54="","",IFERROR(AVERAGEIFS('רווחה - קליטה'!$AQ$5:$AQ$204,'רווחה - קליטה'!$A$5:$A$204,$A54,'רווחה - קליטה'!$C$5:$C$204,"אמצע שנה"),""))</f>
      </c>
      <c r="F54" s="27">
        <f>IF($A54="","",IFERROR(AVERAGEIFS('רווחה - קליטה'!$AK$5:$AK$204,'רווחה - קליטה'!$A$5:$A$204,$A54,'רווחה - קליטה'!$C$5:$C$204,"אמצע שנה"),""))</f>
      </c>
      <c r="G54" s="26">
        <f>IF($A54="","",IFERROR(INDEX('רווחה - קליטה'!$AS$5:$AS$204,MATCH($A54&amp;"|אמצע שנה",'רווחה - קליטה'!$AE$5:$AE$204,0)),""))</f>
      </c>
      <c r="H54" s="28">
        <f>IF($A54="","",IFERROR(AVERAGEIFS('רווחה - קליטה'!$AQ$5:$AQ$204,'רווחה - קליטה'!$A$5:$A$204,$A54,'רווחה - קליטה'!$C$5:$C$204,"סוף שנה"),""))</f>
      </c>
      <c r="I54" s="27">
        <f>IF($A54="","",IFERROR(AVERAGEIFS('רווחה - קליטה'!$AK$5:$AK$204,'רווחה - קליטה'!$A$5:$A$204,$A54,'רווחה - קליטה'!$C$5:$C$204,"סוף שנה"),""))</f>
      </c>
      <c r="J54" s="26">
        <f>IF($A54="","",IFERROR(INDEX('רווחה - קליטה'!$AS$5:$AS$204,MATCH($A54&amp;"|סוף שנה",'רווחה - קליטה'!$AE$5:$AE$204,0)),""))</f>
      </c>
      <c r="K54" s="36">
        <f>IF(AND(ISNUMBER(B54),ISNUMBER(H54)),H54-B54,"")</f>
      </c>
      <c r="L54" s="26">
        <f>IF(K54="","",IF(K54&gt;=0.5,"עלייה",IF(K54&lt;=-0.5,"ירידה","יציב")))</f>
      </c>
    </row>
    <row r="55" ht="15" customHeight="1" spans="1:12" x14ac:dyDescent="0.25">
      <c r="A55" s="29"/>
      <c r="B55" s="28">
        <f>IF($A55="","",IFERROR(AVERAGEIFS('רווחה - קליטה'!$AQ$5:$AQ$204,'רווחה - קליטה'!$A$5:$A$204,$A55,'רווחה - קליטה'!$C$5:$C$204,"תחילת שנה"),""))</f>
      </c>
      <c r="C55" s="27">
        <f>IF($A55="","",IFERROR(AVERAGEIFS('רווחה - קליטה'!$AK$5:$AK$204,'רווחה - קליטה'!$A$5:$A$204,$A55,'רווחה - קליטה'!$C$5:$C$204,"תחילת שנה"),""))</f>
      </c>
      <c r="D55" s="26">
        <f>IF($A55="","",IFERROR(INDEX('רווחה - קליטה'!$AS$5:$AS$204,MATCH($A55&amp;"|תחילת שנה",'רווחה - קליטה'!$AE$5:$AE$204,0)),""))</f>
      </c>
      <c r="E55" s="28">
        <f>IF($A55="","",IFERROR(AVERAGEIFS('רווחה - קליטה'!$AQ$5:$AQ$204,'רווחה - קליטה'!$A$5:$A$204,$A55,'רווחה - קליטה'!$C$5:$C$204,"אמצע שנה"),""))</f>
      </c>
      <c r="F55" s="27">
        <f>IF($A55="","",IFERROR(AVERAGEIFS('רווחה - קליטה'!$AK$5:$AK$204,'רווחה - קליטה'!$A$5:$A$204,$A55,'רווחה - קליטה'!$C$5:$C$204,"אמצע שנה"),""))</f>
      </c>
      <c r="G55" s="26">
        <f>IF($A55="","",IFERROR(INDEX('רווחה - קליטה'!$AS$5:$AS$204,MATCH($A55&amp;"|אמצע שנה",'רווחה - קליטה'!$AE$5:$AE$204,0)),""))</f>
      </c>
      <c r="H55" s="28">
        <f>IF($A55="","",IFERROR(AVERAGEIFS('רווחה - קליטה'!$AQ$5:$AQ$204,'רווחה - קליטה'!$A$5:$A$204,$A55,'רווחה - קליטה'!$C$5:$C$204,"סוף שנה"),""))</f>
      </c>
      <c r="I55" s="27">
        <f>IF($A55="","",IFERROR(AVERAGEIFS('רווחה - קליטה'!$AK$5:$AK$204,'רווחה - קליטה'!$A$5:$A$204,$A55,'רווחה - קליטה'!$C$5:$C$204,"סוף שנה"),""))</f>
      </c>
      <c r="J55" s="26">
        <f>IF($A55="","",IFERROR(INDEX('רווחה - קליטה'!$AS$5:$AS$204,MATCH($A55&amp;"|סוף שנה",'רווחה - קליטה'!$AE$5:$AE$204,0)),""))</f>
      </c>
      <c r="K55" s="36">
        <f>IF(AND(ISNUMBER(B55),ISNUMBER(H55)),H55-B55,"")</f>
      </c>
      <c r="L55" s="26">
        <f>IF(K55="","",IF(K55&gt;=0.5,"עלייה",IF(K55&lt;=-0.5,"ירידה","יציב")))</f>
      </c>
    </row>
    <row r="56" ht="15" customHeight="1" spans="1:12" x14ac:dyDescent="0.25">
      <c r="A56" s="29"/>
      <c r="B56" s="28">
        <f>IF($A56="","",IFERROR(AVERAGEIFS('רווחה - קליטה'!$AQ$5:$AQ$204,'רווחה - קליטה'!$A$5:$A$204,$A56,'רווחה - קליטה'!$C$5:$C$204,"תחילת שנה"),""))</f>
      </c>
      <c r="C56" s="27">
        <f>IF($A56="","",IFERROR(AVERAGEIFS('רווחה - קליטה'!$AK$5:$AK$204,'רווחה - קליטה'!$A$5:$A$204,$A56,'רווחה - קליטה'!$C$5:$C$204,"תחילת שנה"),""))</f>
      </c>
      <c r="D56" s="26">
        <f>IF($A56="","",IFERROR(INDEX('רווחה - קליטה'!$AS$5:$AS$204,MATCH($A56&amp;"|תחילת שנה",'רווחה - קליטה'!$AE$5:$AE$204,0)),""))</f>
      </c>
      <c r="E56" s="28">
        <f>IF($A56="","",IFERROR(AVERAGEIFS('רווחה - קליטה'!$AQ$5:$AQ$204,'רווחה - קליטה'!$A$5:$A$204,$A56,'רווחה - קליטה'!$C$5:$C$204,"אמצע שנה"),""))</f>
      </c>
      <c r="F56" s="27">
        <f>IF($A56="","",IFERROR(AVERAGEIFS('רווחה - קליטה'!$AK$5:$AK$204,'רווחה - קליטה'!$A$5:$A$204,$A56,'רווחה - קליטה'!$C$5:$C$204,"אמצע שנה"),""))</f>
      </c>
      <c r="G56" s="26">
        <f>IF($A56="","",IFERROR(INDEX('רווחה - קליטה'!$AS$5:$AS$204,MATCH($A56&amp;"|אמצע שנה",'רווחה - קליטה'!$AE$5:$AE$204,0)),""))</f>
      </c>
      <c r="H56" s="28">
        <f>IF($A56="","",IFERROR(AVERAGEIFS('רווחה - קליטה'!$AQ$5:$AQ$204,'רווחה - קליטה'!$A$5:$A$204,$A56,'רווחה - קליטה'!$C$5:$C$204,"סוף שנה"),""))</f>
      </c>
      <c r="I56" s="27">
        <f>IF($A56="","",IFERROR(AVERAGEIFS('רווחה - קליטה'!$AK$5:$AK$204,'רווחה - קליטה'!$A$5:$A$204,$A56,'רווחה - קליטה'!$C$5:$C$204,"סוף שנה"),""))</f>
      </c>
      <c r="J56" s="26">
        <f>IF($A56="","",IFERROR(INDEX('רווחה - קליטה'!$AS$5:$AS$204,MATCH($A56&amp;"|סוף שנה",'רווחה - קליטה'!$AE$5:$AE$204,0)),""))</f>
      </c>
      <c r="K56" s="36">
        <f>IF(AND(ISNUMBER(B56),ISNUMBER(H56)),H56-B56,"")</f>
      </c>
      <c r="L56" s="26">
        <f>IF(K56="","",IF(K56&gt;=0.5,"עלייה",IF(K56&lt;=-0.5,"ירידה","יציב")))</f>
      </c>
    </row>
    <row r="57" ht="15" customHeight="1" spans="1:12" x14ac:dyDescent="0.25">
      <c r="A57" s="29"/>
      <c r="B57" s="28">
        <f>IF($A57="","",IFERROR(AVERAGEIFS('רווחה - קליטה'!$AQ$5:$AQ$204,'רווחה - קליטה'!$A$5:$A$204,$A57,'רווחה - קליטה'!$C$5:$C$204,"תחילת שנה"),""))</f>
      </c>
      <c r="C57" s="27">
        <f>IF($A57="","",IFERROR(AVERAGEIFS('רווחה - קליטה'!$AK$5:$AK$204,'רווחה - קליטה'!$A$5:$A$204,$A57,'רווחה - קליטה'!$C$5:$C$204,"תחילת שנה"),""))</f>
      </c>
      <c r="D57" s="26">
        <f>IF($A57="","",IFERROR(INDEX('רווחה - קליטה'!$AS$5:$AS$204,MATCH($A57&amp;"|תחילת שנה",'רווחה - קליטה'!$AE$5:$AE$204,0)),""))</f>
      </c>
      <c r="E57" s="28">
        <f>IF($A57="","",IFERROR(AVERAGEIFS('רווחה - קליטה'!$AQ$5:$AQ$204,'רווחה - קליטה'!$A$5:$A$204,$A57,'רווחה - קליטה'!$C$5:$C$204,"אמצע שנה"),""))</f>
      </c>
      <c r="F57" s="27">
        <f>IF($A57="","",IFERROR(AVERAGEIFS('רווחה - קליטה'!$AK$5:$AK$204,'רווחה - קליטה'!$A$5:$A$204,$A57,'רווחה - קליטה'!$C$5:$C$204,"אמצע שנה"),""))</f>
      </c>
      <c r="G57" s="26">
        <f>IF($A57="","",IFERROR(INDEX('רווחה - קליטה'!$AS$5:$AS$204,MATCH($A57&amp;"|אמצע שנה",'רווחה - קליטה'!$AE$5:$AE$204,0)),""))</f>
      </c>
      <c r="H57" s="28">
        <f>IF($A57="","",IFERROR(AVERAGEIFS('רווחה - קליטה'!$AQ$5:$AQ$204,'רווחה - קליטה'!$A$5:$A$204,$A57,'רווחה - קליטה'!$C$5:$C$204,"סוף שנה"),""))</f>
      </c>
      <c r="I57" s="27">
        <f>IF($A57="","",IFERROR(AVERAGEIFS('רווחה - קליטה'!$AK$5:$AK$204,'רווחה - קליטה'!$A$5:$A$204,$A57,'רווחה - קליטה'!$C$5:$C$204,"סוף שנה"),""))</f>
      </c>
      <c r="J57" s="26">
        <f>IF($A57="","",IFERROR(INDEX('רווחה - קליטה'!$AS$5:$AS$204,MATCH($A57&amp;"|סוף שנה",'רווחה - קליטה'!$AE$5:$AE$204,0)),""))</f>
      </c>
      <c r="K57" s="36">
        <f>IF(AND(ISNUMBER(B57),ISNUMBER(H57)),H57-B57,"")</f>
      </c>
      <c r="L57" s="26">
        <f>IF(K57="","",IF(K57&gt;=0.5,"עלייה",IF(K57&lt;=-0.5,"ירידה","יציב")))</f>
      </c>
    </row>
    <row r="58" ht="15" customHeight="1" spans="1:12" x14ac:dyDescent="0.25">
      <c r="A58" s="29"/>
      <c r="B58" s="28">
        <f>IF($A58="","",IFERROR(AVERAGEIFS('רווחה - קליטה'!$AQ$5:$AQ$204,'רווחה - קליטה'!$A$5:$A$204,$A58,'רווחה - קליטה'!$C$5:$C$204,"תחילת שנה"),""))</f>
      </c>
      <c r="C58" s="27">
        <f>IF($A58="","",IFERROR(AVERAGEIFS('רווחה - קליטה'!$AK$5:$AK$204,'רווחה - קליטה'!$A$5:$A$204,$A58,'רווחה - קליטה'!$C$5:$C$204,"תחילת שנה"),""))</f>
      </c>
      <c r="D58" s="26">
        <f>IF($A58="","",IFERROR(INDEX('רווחה - קליטה'!$AS$5:$AS$204,MATCH($A58&amp;"|תחילת שנה",'רווחה - קליטה'!$AE$5:$AE$204,0)),""))</f>
      </c>
      <c r="E58" s="28">
        <f>IF($A58="","",IFERROR(AVERAGEIFS('רווחה - קליטה'!$AQ$5:$AQ$204,'רווחה - קליטה'!$A$5:$A$204,$A58,'רווחה - קליטה'!$C$5:$C$204,"אמצע שנה"),""))</f>
      </c>
      <c r="F58" s="27">
        <f>IF($A58="","",IFERROR(AVERAGEIFS('רווחה - קליטה'!$AK$5:$AK$204,'רווחה - קליטה'!$A$5:$A$204,$A58,'רווחה - קליטה'!$C$5:$C$204,"אמצע שנה"),""))</f>
      </c>
      <c r="G58" s="26">
        <f>IF($A58="","",IFERROR(INDEX('רווחה - קליטה'!$AS$5:$AS$204,MATCH($A58&amp;"|אמצע שנה",'רווחה - קליטה'!$AE$5:$AE$204,0)),""))</f>
      </c>
      <c r="H58" s="28">
        <f>IF($A58="","",IFERROR(AVERAGEIFS('רווחה - קליטה'!$AQ$5:$AQ$204,'רווחה - קליטה'!$A$5:$A$204,$A58,'רווחה - קליטה'!$C$5:$C$204,"סוף שנה"),""))</f>
      </c>
      <c r="I58" s="27">
        <f>IF($A58="","",IFERROR(AVERAGEIFS('רווחה - קליטה'!$AK$5:$AK$204,'רווחה - קליטה'!$A$5:$A$204,$A58,'רווחה - קליטה'!$C$5:$C$204,"סוף שנה"),""))</f>
      </c>
      <c r="J58" s="26">
        <f>IF($A58="","",IFERROR(INDEX('רווחה - קליטה'!$AS$5:$AS$204,MATCH($A58&amp;"|סוף שנה",'רווחה - קליטה'!$AE$5:$AE$204,0)),""))</f>
      </c>
      <c r="K58" s="36">
        <f>IF(AND(ISNUMBER(B58),ISNUMBER(H58)),H58-B58,"")</f>
      </c>
      <c r="L58" s="26">
        <f>IF(K58="","",IF(K58&gt;=0.5,"עלייה",IF(K58&lt;=-0.5,"ירידה","יציב")))</f>
      </c>
    </row>
    <row r="59" ht="15" customHeight="1" spans="1:12" x14ac:dyDescent="0.25">
      <c r="A59" s="29"/>
      <c r="B59" s="28">
        <f>IF($A59="","",IFERROR(AVERAGEIFS('רווחה - קליטה'!$AQ$5:$AQ$204,'רווחה - קליטה'!$A$5:$A$204,$A59,'רווחה - קליטה'!$C$5:$C$204,"תחילת שנה"),""))</f>
      </c>
      <c r="C59" s="27">
        <f>IF($A59="","",IFERROR(AVERAGEIFS('רווחה - קליטה'!$AK$5:$AK$204,'רווחה - קליטה'!$A$5:$A$204,$A59,'רווחה - קליטה'!$C$5:$C$204,"תחילת שנה"),""))</f>
      </c>
      <c r="D59" s="26">
        <f>IF($A59="","",IFERROR(INDEX('רווחה - קליטה'!$AS$5:$AS$204,MATCH($A59&amp;"|תחילת שנה",'רווחה - קליטה'!$AE$5:$AE$204,0)),""))</f>
      </c>
      <c r="E59" s="28">
        <f>IF($A59="","",IFERROR(AVERAGEIFS('רווחה - קליטה'!$AQ$5:$AQ$204,'רווחה - קליטה'!$A$5:$A$204,$A59,'רווחה - קליטה'!$C$5:$C$204,"אמצע שנה"),""))</f>
      </c>
      <c r="F59" s="27">
        <f>IF($A59="","",IFERROR(AVERAGEIFS('רווחה - קליטה'!$AK$5:$AK$204,'רווחה - קליטה'!$A$5:$A$204,$A59,'רווחה - קליטה'!$C$5:$C$204,"אמצע שנה"),""))</f>
      </c>
      <c r="G59" s="26">
        <f>IF($A59="","",IFERROR(INDEX('רווחה - קליטה'!$AS$5:$AS$204,MATCH($A59&amp;"|אמצע שנה",'רווחה - קליטה'!$AE$5:$AE$204,0)),""))</f>
      </c>
      <c r="H59" s="28">
        <f>IF($A59="","",IFERROR(AVERAGEIFS('רווחה - קליטה'!$AQ$5:$AQ$204,'רווחה - קליטה'!$A$5:$A$204,$A59,'רווחה - קליטה'!$C$5:$C$204,"סוף שנה"),""))</f>
      </c>
      <c r="I59" s="27">
        <f>IF($A59="","",IFERROR(AVERAGEIFS('רווחה - קליטה'!$AK$5:$AK$204,'רווחה - קליטה'!$A$5:$A$204,$A59,'רווחה - קליטה'!$C$5:$C$204,"סוף שנה"),""))</f>
      </c>
      <c r="J59" s="26">
        <f>IF($A59="","",IFERROR(INDEX('רווחה - קליטה'!$AS$5:$AS$204,MATCH($A59&amp;"|סוף שנה",'רווחה - קליטה'!$AE$5:$AE$204,0)),""))</f>
      </c>
      <c r="K59" s="36">
        <f>IF(AND(ISNUMBER(B59),ISNUMBER(H59)),H59-B59,"")</f>
      </c>
      <c r="L59" s="26">
        <f>IF(K59="","",IF(K59&gt;=0.5,"עלייה",IF(K59&lt;=-0.5,"ירידה","יציב")))</f>
      </c>
    </row>
    <row r="60" ht="15" customHeight="1" spans="1:12" x14ac:dyDescent="0.25">
      <c r="A60" s="29"/>
      <c r="B60" s="28">
        <f>IF($A60="","",IFERROR(AVERAGEIFS('רווחה - קליטה'!$AQ$5:$AQ$204,'רווחה - קליטה'!$A$5:$A$204,$A60,'רווחה - קליטה'!$C$5:$C$204,"תחילת שנה"),""))</f>
      </c>
      <c r="C60" s="27">
        <f>IF($A60="","",IFERROR(AVERAGEIFS('רווחה - קליטה'!$AK$5:$AK$204,'רווחה - קליטה'!$A$5:$A$204,$A60,'רווחה - קליטה'!$C$5:$C$204,"תחילת שנה"),""))</f>
      </c>
      <c r="D60" s="26">
        <f>IF($A60="","",IFERROR(INDEX('רווחה - קליטה'!$AS$5:$AS$204,MATCH($A60&amp;"|תחילת שנה",'רווחה - קליטה'!$AE$5:$AE$204,0)),""))</f>
      </c>
      <c r="E60" s="28">
        <f>IF($A60="","",IFERROR(AVERAGEIFS('רווחה - קליטה'!$AQ$5:$AQ$204,'רווחה - קליטה'!$A$5:$A$204,$A60,'רווחה - קליטה'!$C$5:$C$204,"אמצע שנה"),""))</f>
      </c>
      <c r="F60" s="27">
        <f>IF($A60="","",IFERROR(AVERAGEIFS('רווחה - קליטה'!$AK$5:$AK$204,'רווחה - קליטה'!$A$5:$A$204,$A60,'רווחה - קליטה'!$C$5:$C$204,"אמצע שנה"),""))</f>
      </c>
      <c r="G60" s="26">
        <f>IF($A60="","",IFERROR(INDEX('רווחה - קליטה'!$AS$5:$AS$204,MATCH($A60&amp;"|אמצע שנה",'רווחה - קליטה'!$AE$5:$AE$204,0)),""))</f>
      </c>
      <c r="H60" s="28">
        <f>IF($A60="","",IFERROR(AVERAGEIFS('רווחה - קליטה'!$AQ$5:$AQ$204,'רווחה - קליטה'!$A$5:$A$204,$A60,'רווחה - קליטה'!$C$5:$C$204,"סוף שנה"),""))</f>
      </c>
      <c r="I60" s="27">
        <f>IF($A60="","",IFERROR(AVERAGEIFS('רווחה - קליטה'!$AK$5:$AK$204,'רווחה - קליטה'!$A$5:$A$204,$A60,'רווחה - קליטה'!$C$5:$C$204,"סוף שנה"),""))</f>
      </c>
      <c r="J60" s="26">
        <f>IF($A60="","",IFERROR(INDEX('רווחה - קליטה'!$AS$5:$AS$204,MATCH($A60&amp;"|סוף שנה",'רווחה - קליטה'!$AE$5:$AE$204,0)),""))</f>
      </c>
      <c r="K60" s="36">
        <f>IF(AND(ISNUMBER(B60),ISNUMBER(H60)),H60-B60,"")</f>
      </c>
      <c r="L60" s="26">
        <f>IF(K60="","",IF(K60&gt;=0.5,"עלייה",IF(K60&lt;=-0.5,"ירידה","יציב")))</f>
      </c>
    </row>
    <row r="61" ht="15" customHeight="1" spans="1:12" x14ac:dyDescent="0.25">
      <c r="A61" s="29"/>
      <c r="B61" s="28">
        <f>IF($A61="","",IFERROR(AVERAGEIFS('רווחה - קליטה'!$AQ$5:$AQ$204,'רווחה - קליטה'!$A$5:$A$204,$A61,'רווחה - קליטה'!$C$5:$C$204,"תחילת שנה"),""))</f>
      </c>
      <c r="C61" s="27">
        <f>IF($A61="","",IFERROR(AVERAGEIFS('רווחה - קליטה'!$AK$5:$AK$204,'רווחה - קליטה'!$A$5:$A$204,$A61,'רווחה - קליטה'!$C$5:$C$204,"תחילת שנה"),""))</f>
      </c>
      <c r="D61" s="26">
        <f>IF($A61="","",IFERROR(INDEX('רווחה - קליטה'!$AS$5:$AS$204,MATCH($A61&amp;"|תחילת שנה",'רווחה - קליטה'!$AE$5:$AE$204,0)),""))</f>
      </c>
      <c r="E61" s="28">
        <f>IF($A61="","",IFERROR(AVERAGEIFS('רווחה - קליטה'!$AQ$5:$AQ$204,'רווחה - קליטה'!$A$5:$A$204,$A61,'רווחה - קליטה'!$C$5:$C$204,"אמצע שנה"),""))</f>
      </c>
      <c r="F61" s="27">
        <f>IF($A61="","",IFERROR(AVERAGEIFS('רווחה - קליטה'!$AK$5:$AK$204,'רווחה - קליטה'!$A$5:$A$204,$A61,'רווחה - קליטה'!$C$5:$C$204,"אמצע שנה"),""))</f>
      </c>
      <c r="G61" s="26">
        <f>IF($A61="","",IFERROR(INDEX('רווחה - קליטה'!$AS$5:$AS$204,MATCH($A61&amp;"|אמצע שנה",'רווחה - קליטה'!$AE$5:$AE$204,0)),""))</f>
      </c>
      <c r="H61" s="28">
        <f>IF($A61="","",IFERROR(AVERAGEIFS('רווחה - קליטה'!$AQ$5:$AQ$204,'רווחה - קליטה'!$A$5:$A$204,$A61,'רווחה - קליטה'!$C$5:$C$204,"סוף שנה"),""))</f>
      </c>
      <c r="I61" s="27">
        <f>IF($A61="","",IFERROR(AVERAGEIFS('רווחה - קליטה'!$AK$5:$AK$204,'רווחה - קליטה'!$A$5:$A$204,$A61,'רווחה - קליטה'!$C$5:$C$204,"סוף שנה"),""))</f>
      </c>
      <c r="J61" s="26">
        <f>IF($A61="","",IFERROR(INDEX('רווחה - קליטה'!$AS$5:$AS$204,MATCH($A61&amp;"|סוף שנה",'רווחה - קליטה'!$AE$5:$AE$204,0)),""))</f>
      </c>
      <c r="K61" s="36">
        <f>IF(AND(ISNUMBER(B61),ISNUMBER(H61)),H61-B61,"")</f>
      </c>
      <c r="L61" s="26">
        <f>IF(K61="","",IF(K61&gt;=0.5,"עלייה",IF(K61&lt;=-0.5,"ירידה","יציב")))</f>
      </c>
    </row>
    <row r="62" ht="15" customHeight="1" spans="1:12" x14ac:dyDescent="0.25">
      <c r="A62" s="29"/>
      <c r="B62" s="28">
        <f>IF($A62="","",IFERROR(AVERAGEIFS('רווחה - קליטה'!$AQ$5:$AQ$204,'רווחה - קליטה'!$A$5:$A$204,$A62,'רווחה - קליטה'!$C$5:$C$204,"תחילת שנה"),""))</f>
      </c>
      <c r="C62" s="27">
        <f>IF($A62="","",IFERROR(AVERAGEIFS('רווחה - קליטה'!$AK$5:$AK$204,'רווחה - קליטה'!$A$5:$A$204,$A62,'רווחה - קליטה'!$C$5:$C$204,"תחילת שנה"),""))</f>
      </c>
      <c r="D62" s="26">
        <f>IF($A62="","",IFERROR(INDEX('רווחה - קליטה'!$AS$5:$AS$204,MATCH($A62&amp;"|תחילת שנה",'רווחה - קליטה'!$AE$5:$AE$204,0)),""))</f>
      </c>
      <c r="E62" s="28">
        <f>IF($A62="","",IFERROR(AVERAGEIFS('רווחה - קליטה'!$AQ$5:$AQ$204,'רווחה - קליטה'!$A$5:$A$204,$A62,'רווחה - קליטה'!$C$5:$C$204,"אמצע שנה"),""))</f>
      </c>
      <c r="F62" s="27">
        <f>IF($A62="","",IFERROR(AVERAGEIFS('רווחה - קליטה'!$AK$5:$AK$204,'רווחה - קליטה'!$A$5:$A$204,$A62,'רווחה - קליטה'!$C$5:$C$204,"אמצע שנה"),""))</f>
      </c>
      <c r="G62" s="26">
        <f>IF($A62="","",IFERROR(INDEX('רווחה - קליטה'!$AS$5:$AS$204,MATCH($A62&amp;"|אמצע שנה",'רווחה - קליטה'!$AE$5:$AE$204,0)),""))</f>
      </c>
      <c r="H62" s="28">
        <f>IF($A62="","",IFERROR(AVERAGEIFS('רווחה - קליטה'!$AQ$5:$AQ$204,'רווחה - קליטה'!$A$5:$A$204,$A62,'רווחה - קליטה'!$C$5:$C$204,"סוף שנה"),""))</f>
      </c>
      <c r="I62" s="27">
        <f>IF($A62="","",IFERROR(AVERAGEIFS('רווחה - קליטה'!$AK$5:$AK$204,'רווחה - קליטה'!$A$5:$A$204,$A62,'רווחה - קליטה'!$C$5:$C$204,"סוף שנה"),""))</f>
      </c>
      <c r="J62" s="26">
        <f>IF($A62="","",IFERROR(INDEX('רווחה - קליטה'!$AS$5:$AS$204,MATCH($A62&amp;"|סוף שנה",'רווחה - קליטה'!$AE$5:$AE$204,0)),""))</f>
      </c>
      <c r="K62" s="36">
        <f>IF(AND(ISNUMBER(B62),ISNUMBER(H62)),H62-B62,"")</f>
      </c>
      <c r="L62" s="26">
        <f>IF(K62="","",IF(K62&gt;=0.5,"עלייה",IF(K62&lt;=-0.5,"ירידה","יציב")))</f>
      </c>
    </row>
    <row r="63" ht="15" customHeight="1" spans="1:12" x14ac:dyDescent="0.25">
      <c r="A63" s="29"/>
      <c r="B63" s="28">
        <f>IF($A63="","",IFERROR(AVERAGEIFS('רווחה - קליטה'!$AQ$5:$AQ$204,'רווחה - קליטה'!$A$5:$A$204,$A63,'רווחה - קליטה'!$C$5:$C$204,"תחילת שנה"),""))</f>
      </c>
      <c r="C63" s="27">
        <f>IF($A63="","",IFERROR(AVERAGEIFS('רווחה - קליטה'!$AK$5:$AK$204,'רווחה - קליטה'!$A$5:$A$204,$A63,'רווחה - קליטה'!$C$5:$C$204,"תחילת שנה"),""))</f>
      </c>
      <c r="D63" s="26">
        <f>IF($A63="","",IFERROR(INDEX('רווחה - קליטה'!$AS$5:$AS$204,MATCH($A63&amp;"|תחילת שנה",'רווחה - קליטה'!$AE$5:$AE$204,0)),""))</f>
      </c>
      <c r="E63" s="28">
        <f>IF($A63="","",IFERROR(AVERAGEIFS('רווחה - קליטה'!$AQ$5:$AQ$204,'רווחה - קליטה'!$A$5:$A$204,$A63,'רווחה - קליטה'!$C$5:$C$204,"אמצע שנה"),""))</f>
      </c>
      <c r="F63" s="27">
        <f>IF($A63="","",IFERROR(AVERAGEIFS('רווחה - קליטה'!$AK$5:$AK$204,'רווחה - קליטה'!$A$5:$A$204,$A63,'רווחה - קליטה'!$C$5:$C$204,"אמצע שנה"),""))</f>
      </c>
      <c r="G63" s="26">
        <f>IF($A63="","",IFERROR(INDEX('רווחה - קליטה'!$AS$5:$AS$204,MATCH($A63&amp;"|אמצע שנה",'רווחה - קליטה'!$AE$5:$AE$204,0)),""))</f>
      </c>
      <c r="H63" s="28">
        <f>IF($A63="","",IFERROR(AVERAGEIFS('רווחה - קליטה'!$AQ$5:$AQ$204,'רווחה - קליטה'!$A$5:$A$204,$A63,'רווחה - קליטה'!$C$5:$C$204,"סוף שנה"),""))</f>
      </c>
      <c r="I63" s="27">
        <f>IF($A63="","",IFERROR(AVERAGEIFS('רווחה - קליטה'!$AK$5:$AK$204,'רווחה - קליטה'!$A$5:$A$204,$A63,'רווחה - קליטה'!$C$5:$C$204,"סוף שנה"),""))</f>
      </c>
      <c r="J63" s="26">
        <f>IF($A63="","",IFERROR(INDEX('רווחה - קליטה'!$AS$5:$AS$204,MATCH($A63&amp;"|סוף שנה",'רווחה - קליטה'!$AE$5:$AE$204,0)),""))</f>
      </c>
      <c r="K63" s="36">
        <f>IF(AND(ISNUMBER(B63),ISNUMBER(H63)),H63-B63,"")</f>
      </c>
      <c r="L63" s="26">
        <f>IF(K63="","",IF(K63&gt;=0.5,"עלייה",IF(K63&lt;=-0.5,"ירידה","יציב")))</f>
      </c>
    </row>
    <row r="64" ht="15" customHeight="1" spans="1:12" x14ac:dyDescent="0.25">
      <c r="A64" s="29"/>
      <c r="B64" s="28">
        <f>IF($A64="","",IFERROR(AVERAGEIFS('רווחה - קליטה'!$AQ$5:$AQ$204,'רווחה - קליטה'!$A$5:$A$204,$A64,'רווחה - קליטה'!$C$5:$C$204,"תחילת שנה"),""))</f>
      </c>
      <c r="C64" s="27">
        <f>IF($A64="","",IFERROR(AVERAGEIFS('רווחה - קליטה'!$AK$5:$AK$204,'רווחה - קליטה'!$A$5:$A$204,$A64,'רווחה - קליטה'!$C$5:$C$204,"תחילת שנה"),""))</f>
      </c>
      <c r="D64" s="26">
        <f>IF($A64="","",IFERROR(INDEX('רווחה - קליטה'!$AS$5:$AS$204,MATCH($A64&amp;"|תחילת שנה",'רווחה - קליטה'!$AE$5:$AE$204,0)),""))</f>
      </c>
      <c r="E64" s="28">
        <f>IF($A64="","",IFERROR(AVERAGEIFS('רווחה - קליטה'!$AQ$5:$AQ$204,'רווחה - קליטה'!$A$5:$A$204,$A64,'רווחה - קליטה'!$C$5:$C$204,"אמצע שנה"),""))</f>
      </c>
      <c r="F64" s="27">
        <f>IF($A64="","",IFERROR(AVERAGEIFS('רווחה - קליטה'!$AK$5:$AK$204,'רווחה - קליטה'!$A$5:$A$204,$A64,'רווחה - קליטה'!$C$5:$C$204,"אמצע שנה"),""))</f>
      </c>
      <c r="G64" s="26">
        <f>IF($A64="","",IFERROR(INDEX('רווחה - קליטה'!$AS$5:$AS$204,MATCH($A64&amp;"|אמצע שנה",'רווחה - קליטה'!$AE$5:$AE$204,0)),""))</f>
      </c>
      <c r="H64" s="28">
        <f>IF($A64="","",IFERROR(AVERAGEIFS('רווחה - קליטה'!$AQ$5:$AQ$204,'רווחה - קליטה'!$A$5:$A$204,$A64,'רווחה - קליטה'!$C$5:$C$204,"סוף שנה"),""))</f>
      </c>
      <c r="I64" s="27">
        <f>IF($A64="","",IFERROR(AVERAGEIFS('רווחה - קליטה'!$AK$5:$AK$204,'רווחה - קליטה'!$A$5:$A$204,$A64,'רווחה - קליטה'!$C$5:$C$204,"סוף שנה"),""))</f>
      </c>
      <c r="J64" s="26">
        <f>IF($A64="","",IFERROR(INDEX('רווחה - קליטה'!$AS$5:$AS$204,MATCH($A64&amp;"|סוף שנה",'רווחה - קליטה'!$AE$5:$AE$204,0)),""))</f>
      </c>
      <c r="K64" s="36">
        <f>IF(AND(ISNUMBER(B64),ISNUMBER(H64)),H64-B64,"")</f>
      </c>
      <c r="L64" s="26">
        <f>IF(K64="","",IF(K64&gt;=0.5,"עלייה",IF(K64&lt;=-0.5,"ירידה","יציב")))</f>
      </c>
    </row>
    <row r="65" ht="15" customHeight="1" spans="1:12" x14ac:dyDescent="0.25">
      <c r="A65" s="29"/>
      <c r="B65" s="28">
        <f>IF($A65="","",IFERROR(AVERAGEIFS('רווחה - קליטה'!$AQ$5:$AQ$204,'רווחה - קליטה'!$A$5:$A$204,$A65,'רווחה - קליטה'!$C$5:$C$204,"תחילת שנה"),""))</f>
      </c>
      <c r="C65" s="27">
        <f>IF($A65="","",IFERROR(AVERAGEIFS('רווחה - קליטה'!$AK$5:$AK$204,'רווחה - קליטה'!$A$5:$A$204,$A65,'רווחה - קליטה'!$C$5:$C$204,"תחילת שנה"),""))</f>
      </c>
      <c r="D65" s="26">
        <f>IF($A65="","",IFERROR(INDEX('רווחה - קליטה'!$AS$5:$AS$204,MATCH($A65&amp;"|תחילת שנה",'רווחה - קליטה'!$AE$5:$AE$204,0)),""))</f>
      </c>
      <c r="E65" s="28">
        <f>IF($A65="","",IFERROR(AVERAGEIFS('רווחה - קליטה'!$AQ$5:$AQ$204,'רווחה - קליטה'!$A$5:$A$204,$A65,'רווחה - קליטה'!$C$5:$C$204,"אמצע שנה"),""))</f>
      </c>
      <c r="F65" s="27">
        <f>IF($A65="","",IFERROR(AVERAGEIFS('רווחה - קליטה'!$AK$5:$AK$204,'רווחה - קליטה'!$A$5:$A$204,$A65,'רווחה - קליטה'!$C$5:$C$204,"אמצע שנה"),""))</f>
      </c>
      <c r="G65" s="26">
        <f>IF($A65="","",IFERROR(INDEX('רווחה - קליטה'!$AS$5:$AS$204,MATCH($A65&amp;"|אמצע שנה",'רווחה - קליטה'!$AE$5:$AE$204,0)),""))</f>
      </c>
      <c r="H65" s="28">
        <f>IF($A65="","",IFERROR(AVERAGEIFS('רווחה - קליטה'!$AQ$5:$AQ$204,'רווחה - קליטה'!$A$5:$A$204,$A65,'רווחה - קליטה'!$C$5:$C$204,"סוף שנה"),""))</f>
      </c>
      <c r="I65" s="27">
        <f>IF($A65="","",IFERROR(AVERAGEIFS('רווחה - קליטה'!$AK$5:$AK$204,'רווחה - קליטה'!$A$5:$A$204,$A65,'רווחה - קליטה'!$C$5:$C$204,"סוף שנה"),""))</f>
      </c>
      <c r="J65" s="26">
        <f>IF($A65="","",IFERROR(INDEX('רווחה - קליטה'!$AS$5:$AS$204,MATCH($A65&amp;"|סוף שנה",'רווחה - קליטה'!$AE$5:$AE$204,0)),""))</f>
      </c>
      <c r="K65" s="36">
        <f>IF(AND(ISNUMBER(B65),ISNUMBER(H65)),H65-B65,"")</f>
      </c>
      <c r="L65" s="26">
        <f>IF(K65="","",IF(K65&gt;=0.5,"עלייה",IF(K65&lt;=-0.5,"ירידה","יציב")))</f>
      </c>
    </row>
    <row r="66" ht="15" customHeight="1" spans="1:12" x14ac:dyDescent="0.25">
      <c r="A66" s="29"/>
      <c r="B66" s="28">
        <f>IF($A66="","",IFERROR(AVERAGEIFS('רווחה - קליטה'!$AQ$5:$AQ$204,'רווחה - קליטה'!$A$5:$A$204,$A66,'רווחה - קליטה'!$C$5:$C$204,"תחילת שנה"),""))</f>
      </c>
      <c r="C66" s="27">
        <f>IF($A66="","",IFERROR(AVERAGEIFS('רווחה - קליטה'!$AK$5:$AK$204,'רווחה - קליטה'!$A$5:$A$204,$A66,'רווחה - קליטה'!$C$5:$C$204,"תחילת שנה"),""))</f>
      </c>
      <c r="D66" s="26">
        <f>IF($A66="","",IFERROR(INDEX('רווחה - קליטה'!$AS$5:$AS$204,MATCH($A66&amp;"|תחילת שנה",'רווחה - קליטה'!$AE$5:$AE$204,0)),""))</f>
      </c>
      <c r="E66" s="28">
        <f>IF($A66="","",IFERROR(AVERAGEIFS('רווחה - קליטה'!$AQ$5:$AQ$204,'רווחה - קליטה'!$A$5:$A$204,$A66,'רווחה - קליטה'!$C$5:$C$204,"אמצע שנה"),""))</f>
      </c>
      <c r="F66" s="27">
        <f>IF($A66="","",IFERROR(AVERAGEIFS('רווחה - קליטה'!$AK$5:$AK$204,'רווחה - קליטה'!$A$5:$A$204,$A66,'רווחה - קליטה'!$C$5:$C$204,"אמצע שנה"),""))</f>
      </c>
      <c r="G66" s="26">
        <f>IF($A66="","",IFERROR(INDEX('רווחה - קליטה'!$AS$5:$AS$204,MATCH($A66&amp;"|אמצע שנה",'רווחה - קליטה'!$AE$5:$AE$204,0)),""))</f>
      </c>
      <c r="H66" s="28">
        <f>IF($A66="","",IFERROR(AVERAGEIFS('רווחה - קליטה'!$AQ$5:$AQ$204,'רווחה - קליטה'!$A$5:$A$204,$A66,'רווחה - קליטה'!$C$5:$C$204,"סוף שנה"),""))</f>
      </c>
      <c r="I66" s="27">
        <f>IF($A66="","",IFERROR(AVERAGEIFS('רווחה - קליטה'!$AK$5:$AK$204,'רווחה - קליטה'!$A$5:$A$204,$A66,'רווחה - קליטה'!$C$5:$C$204,"סוף שנה"),""))</f>
      </c>
      <c r="J66" s="26">
        <f>IF($A66="","",IFERROR(INDEX('רווחה - קליטה'!$AS$5:$AS$204,MATCH($A66&amp;"|סוף שנה",'רווחה - קליטה'!$AE$5:$AE$204,0)),""))</f>
      </c>
      <c r="K66" s="36">
        <f>IF(AND(ISNUMBER(B66),ISNUMBER(H66)),H66-B66,"")</f>
      </c>
      <c r="L66" s="26">
        <f>IF(K66="","",IF(K66&gt;=0.5,"עלייה",IF(K66&lt;=-0.5,"ירידה","יציב")))</f>
      </c>
    </row>
    <row r="67" ht="15" customHeight="1" spans="1:12" x14ac:dyDescent="0.25">
      <c r="A67" s="29"/>
      <c r="B67" s="28">
        <f>IF($A67="","",IFERROR(AVERAGEIFS('רווחה - קליטה'!$AQ$5:$AQ$204,'רווחה - קליטה'!$A$5:$A$204,$A67,'רווחה - קליטה'!$C$5:$C$204,"תחילת שנה"),""))</f>
      </c>
      <c r="C67" s="27">
        <f>IF($A67="","",IFERROR(AVERAGEIFS('רווחה - קליטה'!$AK$5:$AK$204,'רווחה - קליטה'!$A$5:$A$204,$A67,'רווחה - קליטה'!$C$5:$C$204,"תחילת שנה"),""))</f>
      </c>
      <c r="D67" s="26">
        <f>IF($A67="","",IFERROR(INDEX('רווחה - קליטה'!$AS$5:$AS$204,MATCH($A67&amp;"|תחילת שנה",'רווחה - קליטה'!$AE$5:$AE$204,0)),""))</f>
      </c>
      <c r="E67" s="28">
        <f>IF($A67="","",IFERROR(AVERAGEIFS('רווחה - קליטה'!$AQ$5:$AQ$204,'רווחה - קליטה'!$A$5:$A$204,$A67,'רווחה - קליטה'!$C$5:$C$204,"אמצע שנה"),""))</f>
      </c>
      <c r="F67" s="27">
        <f>IF($A67="","",IFERROR(AVERAGEIFS('רווחה - קליטה'!$AK$5:$AK$204,'רווחה - קליטה'!$A$5:$A$204,$A67,'רווחה - קליטה'!$C$5:$C$204,"אמצע שנה"),""))</f>
      </c>
      <c r="G67" s="26">
        <f>IF($A67="","",IFERROR(INDEX('רווחה - קליטה'!$AS$5:$AS$204,MATCH($A67&amp;"|אמצע שנה",'רווחה - קליטה'!$AE$5:$AE$204,0)),""))</f>
      </c>
      <c r="H67" s="28">
        <f>IF($A67="","",IFERROR(AVERAGEIFS('רווחה - קליטה'!$AQ$5:$AQ$204,'רווחה - קליטה'!$A$5:$A$204,$A67,'רווחה - קליטה'!$C$5:$C$204,"סוף שנה"),""))</f>
      </c>
      <c r="I67" s="27">
        <f>IF($A67="","",IFERROR(AVERAGEIFS('רווחה - קליטה'!$AK$5:$AK$204,'רווחה - קליטה'!$A$5:$A$204,$A67,'רווחה - קליטה'!$C$5:$C$204,"סוף שנה"),""))</f>
      </c>
      <c r="J67" s="26">
        <f>IF($A67="","",IFERROR(INDEX('רווחה - קליטה'!$AS$5:$AS$204,MATCH($A67&amp;"|סוף שנה",'רווחה - קליטה'!$AE$5:$AE$204,0)),""))</f>
      </c>
      <c r="K67" s="36">
        <f>IF(AND(ISNUMBER(B67),ISNUMBER(H67)),H67-B67,"")</f>
      </c>
      <c r="L67" s="26">
        <f>IF(K67="","",IF(K67&gt;=0.5,"עלייה",IF(K67&lt;=-0.5,"ירידה","יציב")))</f>
      </c>
    </row>
    <row r="68" ht="15" customHeight="1" spans="1:12" x14ac:dyDescent="0.25">
      <c r="A68" s="29"/>
      <c r="B68" s="28">
        <f>IF($A68="","",IFERROR(AVERAGEIFS('רווחה - קליטה'!$AQ$5:$AQ$204,'רווחה - קליטה'!$A$5:$A$204,$A68,'רווחה - קליטה'!$C$5:$C$204,"תחילת שנה"),""))</f>
      </c>
      <c r="C68" s="27">
        <f>IF($A68="","",IFERROR(AVERAGEIFS('רווחה - קליטה'!$AK$5:$AK$204,'רווחה - קליטה'!$A$5:$A$204,$A68,'רווחה - קליטה'!$C$5:$C$204,"תחילת שנה"),""))</f>
      </c>
      <c r="D68" s="26">
        <f>IF($A68="","",IFERROR(INDEX('רווחה - קליטה'!$AS$5:$AS$204,MATCH($A68&amp;"|תחילת שנה",'רווחה - קליטה'!$AE$5:$AE$204,0)),""))</f>
      </c>
      <c r="E68" s="28">
        <f>IF($A68="","",IFERROR(AVERAGEIFS('רווחה - קליטה'!$AQ$5:$AQ$204,'רווחה - קליטה'!$A$5:$A$204,$A68,'רווחה - קליטה'!$C$5:$C$204,"אמצע שנה"),""))</f>
      </c>
      <c r="F68" s="27">
        <f>IF($A68="","",IFERROR(AVERAGEIFS('רווחה - קליטה'!$AK$5:$AK$204,'רווחה - קליטה'!$A$5:$A$204,$A68,'רווחה - קליטה'!$C$5:$C$204,"אמצע שנה"),""))</f>
      </c>
      <c r="G68" s="26">
        <f>IF($A68="","",IFERROR(INDEX('רווחה - קליטה'!$AS$5:$AS$204,MATCH($A68&amp;"|אמצע שנה",'רווחה - קליטה'!$AE$5:$AE$204,0)),""))</f>
      </c>
      <c r="H68" s="28">
        <f>IF($A68="","",IFERROR(AVERAGEIFS('רווחה - קליטה'!$AQ$5:$AQ$204,'רווחה - קליטה'!$A$5:$A$204,$A68,'רווחה - קליטה'!$C$5:$C$204,"סוף שנה"),""))</f>
      </c>
      <c r="I68" s="27">
        <f>IF($A68="","",IFERROR(AVERAGEIFS('רווחה - קליטה'!$AK$5:$AK$204,'רווחה - קליטה'!$A$5:$A$204,$A68,'רווחה - קליטה'!$C$5:$C$204,"סוף שנה"),""))</f>
      </c>
      <c r="J68" s="26">
        <f>IF($A68="","",IFERROR(INDEX('רווחה - קליטה'!$AS$5:$AS$204,MATCH($A68&amp;"|סוף שנה",'רווחה - קליטה'!$AE$5:$AE$204,0)),""))</f>
      </c>
      <c r="K68" s="36">
        <f>IF(AND(ISNUMBER(B68),ISNUMBER(H68)),H68-B68,"")</f>
      </c>
      <c r="L68" s="26">
        <f>IF(K68="","",IF(K68&gt;=0.5,"עלייה",IF(K68&lt;=-0.5,"ירידה","יציב")))</f>
      </c>
    </row>
    <row r="69" ht="15" customHeight="1" spans="1:12" x14ac:dyDescent="0.25">
      <c r="A69" s="29"/>
      <c r="B69" s="28">
        <f>IF($A69="","",IFERROR(AVERAGEIFS('רווחה - קליטה'!$AQ$5:$AQ$204,'רווחה - קליטה'!$A$5:$A$204,$A69,'רווחה - קליטה'!$C$5:$C$204,"תחילת שנה"),""))</f>
      </c>
      <c r="C69" s="27">
        <f>IF($A69="","",IFERROR(AVERAGEIFS('רווחה - קליטה'!$AK$5:$AK$204,'רווחה - קליטה'!$A$5:$A$204,$A69,'רווחה - קליטה'!$C$5:$C$204,"תחילת שנה"),""))</f>
      </c>
      <c r="D69" s="26">
        <f>IF($A69="","",IFERROR(INDEX('רווחה - קליטה'!$AS$5:$AS$204,MATCH($A69&amp;"|תחילת שנה",'רווחה - קליטה'!$AE$5:$AE$204,0)),""))</f>
      </c>
      <c r="E69" s="28">
        <f>IF($A69="","",IFERROR(AVERAGEIFS('רווחה - קליטה'!$AQ$5:$AQ$204,'רווחה - קליטה'!$A$5:$A$204,$A69,'רווחה - קליטה'!$C$5:$C$204,"אמצע שנה"),""))</f>
      </c>
      <c r="F69" s="27">
        <f>IF($A69="","",IFERROR(AVERAGEIFS('רווחה - קליטה'!$AK$5:$AK$204,'רווחה - קליטה'!$A$5:$A$204,$A69,'רווחה - קליטה'!$C$5:$C$204,"אמצע שנה"),""))</f>
      </c>
      <c r="G69" s="26">
        <f>IF($A69="","",IFERROR(INDEX('רווחה - קליטה'!$AS$5:$AS$204,MATCH($A69&amp;"|אמצע שנה",'רווחה - קליטה'!$AE$5:$AE$204,0)),""))</f>
      </c>
      <c r="H69" s="28">
        <f>IF($A69="","",IFERROR(AVERAGEIFS('רווחה - קליטה'!$AQ$5:$AQ$204,'רווחה - קליטה'!$A$5:$A$204,$A69,'רווחה - קליטה'!$C$5:$C$204,"סוף שנה"),""))</f>
      </c>
      <c r="I69" s="27">
        <f>IF($A69="","",IFERROR(AVERAGEIFS('רווחה - קליטה'!$AK$5:$AK$204,'רווחה - קליטה'!$A$5:$A$204,$A69,'רווחה - קליטה'!$C$5:$C$204,"סוף שנה"),""))</f>
      </c>
      <c r="J69" s="26">
        <f>IF($A69="","",IFERROR(INDEX('רווחה - קליטה'!$AS$5:$AS$204,MATCH($A69&amp;"|סוף שנה",'רווחה - קליטה'!$AE$5:$AE$204,0)),""))</f>
      </c>
      <c r="K69" s="36">
        <f>IF(AND(ISNUMBER(B69),ISNUMBER(H69)),H69-B69,"")</f>
      </c>
      <c r="L69" s="26">
        <f>IF(K69="","",IF(K69&gt;=0.5,"עלייה",IF(K69&lt;=-0.5,"ירידה","יציב")))</f>
      </c>
    </row>
    <row r="70" ht="15" customHeight="1" spans="1:12" x14ac:dyDescent="0.25">
      <c r="A70" s="29"/>
      <c r="B70" s="28">
        <f>IF($A70="","",IFERROR(AVERAGEIFS('רווחה - קליטה'!$AQ$5:$AQ$204,'רווחה - קליטה'!$A$5:$A$204,$A70,'רווחה - קליטה'!$C$5:$C$204,"תחילת שנה"),""))</f>
      </c>
      <c r="C70" s="27">
        <f>IF($A70="","",IFERROR(AVERAGEIFS('רווחה - קליטה'!$AK$5:$AK$204,'רווחה - קליטה'!$A$5:$A$204,$A70,'רווחה - קליטה'!$C$5:$C$204,"תחילת שנה"),""))</f>
      </c>
      <c r="D70" s="26">
        <f>IF($A70="","",IFERROR(INDEX('רווחה - קליטה'!$AS$5:$AS$204,MATCH($A70&amp;"|תחילת שנה",'רווחה - קליטה'!$AE$5:$AE$204,0)),""))</f>
      </c>
      <c r="E70" s="28">
        <f>IF($A70="","",IFERROR(AVERAGEIFS('רווחה - קליטה'!$AQ$5:$AQ$204,'רווחה - קליטה'!$A$5:$A$204,$A70,'רווחה - קליטה'!$C$5:$C$204,"אמצע שנה"),""))</f>
      </c>
      <c r="F70" s="27">
        <f>IF($A70="","",IFERROR(AVERAGEIFS('רווחה - קליטה'!$AK$5:$AK$204,'רווחה - קליטה'!$A$5:$A$204,$A70,'רווחה - קליטה'!$C$5:$C$204,"אמצע שנה"),""))</f>
      </c>
      <c r="G70" s="26">
        <f>IF($A70="","",IFERROR(INDEX('רווחה - קליטה'!$AS$5:$AS$204,MATCH($A70&amp;"|אמצע שנה",'רווחה - קליטה'!$AE$5:$AE$204,0)),""))</f>
      </c>
      <c r="H70" s="28">
        <f>IF($A70="","",IFERROR(AVERAGEIFS('רווחה - קליטה'!$AQ$5:$AQ$204,'רווחה - קליטה'!$A$5:$A$204,$A70,'רווחה - קליטה'!$C$5:$C$204,"סוף שנה"),""))</f>
      </c>
      <c r="I70" s="27">
        <f>IF($A70="","",IFERROR(AVERAGEIFS('רווחה - קליטה'!$AK$5:$AK$204,'רווחה - קליטה'!$A$5:$A$204,$A70,'רווחה - קליטה'!$C$5:$C$204,"סוף שנה"),""))</f>
      </c>
      <c r="J70" s="26">
        <f>IF($A70="","",IFERROR(INDEX('רווחה - קליטה'!$AS$5:$AS$204,MATCH($A70&amp;"|סוף שנה",'רווחה - קליטה'!$AE$5:$AE$204,0)),""))</f>
      </c>
      <c r="K70" s="36">
        <f>IF(AND(ISNUMBER(B70),ISNUMBER(H70)),H70-B70,"")</f>
      </c>
      <c r="L70" s="26">
        <f>IF(K70="","",IF(K70&gt;=0.5,"עלייה",IF(K70&lt;=-0.5,"ירידה","יציב")))</f>
      </c>
    </row>
    <row r="71" ht="15" customHeight="1" spans="1:12" x14ac:dyDescent="0.25">
      <c r="A71" s="29"/>
      <c r="B71" s="28">
        <f>IF($A71="","",IFERROR(AVERAGEIFS('רווחה - קליטה'!$AQ$5:$AQ$204,'רווחה - קליטה'!$A$5:$A$204,$A71,'רווחה - קליטה'!$C$5:$C$204,"תחילת שנה"),""))</f>
      </c>
      <c r="C71" s="27">
        <f>IF($A71="","",IFERROR(AVERAGEIFS('רווחה - קליטה'!$AK$5:$AK$204,'רווחה - קליטה'!$A$5:$A$204,$A71,'רווחה - קליטה'!$C$5:$C$204,"תחילת שנה"),""))</f>
      </c>
      <c r="D71" s="26">
        <f>IF($A71="","",IFERROR(INDEX('רווחה - קליטה'!$AS$5:$AS$204,MATCH($A71&amp;"|תחילת שנה",'רווחה - קליטה'!$AE$5:$AE$204,0)),""))</f>
      </c>
      <c r="E71" s="28">
        <f>IF($A71="","",IFERROR(AVERAGEIFS('רווחה - קליטה'!$AQ$5:$AQ$204,'רווחה - קליטה'!$A$5:$A$204,$A71,'רווחה - קליטה'!$C$5:$C$204,"אמצע שנה"),""))</f>
      </c>
      <c r="F71" s="27">
        <f>IF($A71="","",IFERROR(AVERAGEIFS('רווחה - קליטה'!$AK$5:$AK$204,'רווחה - קליטה'!$A$5:$A$204,$A71,'רווחה - קליטה'!$C$5:$C$204,"אמצע שנה"),""))</f>
      </c>
      <c r="G71" s="26">
        <f>IF($A71="","",IFERROR(INDEX('רווחה - קליטה'!$AS$5:$AS$204,MATCH($A71&amp;"|אמצע שנה",'רווחה - קליטה'!$AE$5:$AE$204,0)),""))</f>
      </c>
      <c r="H71" s="28">
        <f>IF($A71="","",IFERROR(AVERAGEIFS('רווחה - קליטה'!$AQ$5:$AQ$204,'רווחה - קליטה'!$A$5:$A$204,$A71,'רווחה - קליטה'!$C$5:$C$204,"סוף שנה"),""))</f>
      </c>
      <c r="I71" s="27">
        <f>IF($A71="","",IFERROR(AVERAGEIFS('רווחה - קליטה'!$AK$5:$AK$204,'רווחה - קליטה'!$A$5:$A$204,$A71,'רווחה - קליטה'!$C$5:$C$204,"סוף שנה"),""))</f>
      </c>
      <c r="J71" s="26">
        <f>IF($A71="","",IFERROR(INDEX('רווחה - קליטה'!$AS$5:$AS$204,MATCH($A71&amp;"|סוף שנה",'רווחה - קליטה'!$AE$5:$AE$204,0)),""))</f>
      </c>
      <c r="K71" s="36">
        <f>IF(AND(ISNUMBER(B71),ISNUMBER(H71)),H71-B71,"")</f>
      </c>
      <c r="L71" s="26">
        <f>IF(K71="","",IF(K71&gt;=0.5,"עלייה",IF(K71&lt;=-0.5,"ירידה","יציב")))</f>
      </c>
    </row>
    <row r="72" ht="15" customHeight="1" spans="1:12" x14ac:dyDescent="0.25">
      <c r="A72" s="29"/>
      <c r="B72" s="28">
        <f>IF($A72="","",IFERROR(AVERAGEIFS('רווחה - קליטה'!$AQ$5:$AQ$204,'רווחה - קליטה'!$A$5:$A$204,$A72,'רווחה - קליטה'!$C$5:$C$204,"תחילת שנה"),""))</f>
      </c>
      <c r="C72" s="27">
        <f>IF($A72="","",IFERROR(AVERAGEIFS('רווחה - קליטה'!$AK$5:$AK$204,'רווחה - קליטה'!$A$5:$A$204,$A72,'רווחה - קליטה'!$C$5:$C$204,"תחילת שנה"),""))</f>
      </c>
      <c r="D72" s="26">
        <f>IF($A72="","",IFERROR(INDEX('רווחה - קליטה'!$AS$5:$AS$204,MATCH($A72&amp;"|תחילת שנה",'רווחה - קליטה'!$AE$5:$AE$204,0)),""))</f>
      </c>
      <c r="E72" s="28">
        <f>IF($A72="","",IFERROR(AVERAGEIFS('רווחה - קליטה'!$AQ$5:$AQ$204,'רווחה - קליטה'!$A$5:$A$204,$A72,'רווחה - קליטה'!$C$5:$C$204,"אמצע שנה"),""))</f>
      </c>
      <c r="F72" s="27">
        <f>IF($A72="","",IFERROR(AVERAGEIFS('רווחה - קליטה'!$AK$5:$AK$204,'רווחה - קליטה'!$A$5:$A$204,$A72,'רווחה - קליטה'!$C$5:$C$204,"אמצע שנה"),""))</f>
      </c>
      <c r="G72" s="26">
        <f>IF($A72="","",IFERROR(INDEX('רווחה - קליטה'!$AS$5:$AS$204,MATCH($A72&amp;"|אמצע שנה",'רווחה - קליטה'!$AE$5:$AE$204,0)),""))</f>
      </c>
      <c r="H72" s="28">
        <f>IF($A72="","",IFERROR(AVERAGEIFS('רווחה - קליטה'!$AQ$5:$AQ$204,'רווחה - קליטה'!$A$5:$A$204,$A72,'רווחה - קליטה'!$C$5:$C$204,"סוף שנה"),""))</f>
      </c>
      <c r="I72" s="27">
        <f>IF($A72="","",IFERROR(AVERAGEIFS('רווחה - קליטה'!$AK$5:$AK$204,'רווחה - קליטה'!$A$5:$A$204,$A72,'רווחה - קליטה'!$C$5:$C$204,"סוף שנה"),""))</f>
      </c>
      <c r="J72" s="26">
        <f>IF($A72="","",IFERROR(INDEX('רווחה - קליטה'!$AS$5:$AS$204,MATCH($A72&amp;"|סוף שנה",'רווחה - קליטה'!$AE$5:$AE$204,0)),""))</f>
      </c>
      <c r="K72" s="36">
        <f>IF(AND(ISNUMBER(B72),ISNUMBER(H72)),H72-B72,"")</f>
      </c>
      <c r="L72" s="26">
        <f>IF(K72="","",IF(K72&gt;=0.5,"עלייה",IF(K72&lt;=-0.5,"ירידה","יציב")))</f>
      </c>
    </row>
    <row r="73" ht="15" customHeight="1" spans="1:12" x14ac:dyDescent="0.25">
      <c r="A73" s="29"/>
      <c r="B73" s="28">
        <f>IF($A73="","",IFERROR(AVERAGEIFS('רווחה - קליטה'!$AQ$5:$AQ$204,'רווחה - קליטה'!$A$5:$A$204,$A73,'רווחה - קליטה'!$C$5:$C$204,"תחילת שנה"),""))</f>
      </c>
      <c r="C73" s="27">
        <f>IF($A73="","",IFERROR(AVERAGEIFS('רווחה - קליטה'!$AK$5:$AK$204,'רווחה - קליטה'!$A$5:$A$204,$A73,'רווחה - קליטה'!$C$5:$C$204,"תחילת שנה"),""))</f>
      </c>
      <c r="D73" s="26">
        <f>IF($A73="","",IFERROR(INDEX('רווחה - קליטה'!$AS$5:$AS$204,MATCH($A73&amp;"|תחילת שנה",'רווחה - קליטה'!$AE$5:$AE$204,0)),""))</f>
      </c>
      <c r="E73" s="28">
        <f>IF($A73="","",IFERROR(AVERAGEIFS('רווחה - קליטה'!$AQ$5:$AQ$204,'רווחה - קליטה'!$A$5:$A$204,$A73,'רווחה - קליטה'!$C$5:$C$204,"אמצע שנה"),""))</f>
      </c>
      <c r="F73" s="27">
        <f>IF($A73="","",IFERROR(AVERAGEIFS('רווחה - קליטה'!$AK$5:$AK$204,'רווחה - קליטה'!$A$5:$A$204,$A73,'רווחה - קליטה'!$C$5:$C$204,"אמצע שנה"),""))</f>
      </c>
      <c r="G73" s="26">
        <f>IF($A73="","",IFERROR(INDEX('רווחה - קליטה'!$AS$5:$AS$204,MATCH($A73&amp;"|אמצע שנה",'רווחה - קליטה'!$AE$5:$AE$204,0)),""))</f>
      </c>
      <c r="H73" s="28">
        <f>IF($A73="","",IFERROR(AVERAGEIFS('רווחה - קליטה'!$AQ$5:$AQ$204,'רווחה - קליטה'!$A$5:$A$204,$A73,'רווחה - קליטה'!$C$5:$C$204,"סוף שנה"),""))</f>
      </c>
      <c r="I73" s="27">
        <f>IF($A73="","",IFERROR(AVERAGEIFS('רווחה - קליטה'!$AK$5:$AK$204,'רווחה - קליטה'!$A$5:$A$204,$A73,'רווחה - קליטה'!$C$5:$C$204,"סוף שנה"),""))</f>
      </c>
      <c r="J73" s="26">
        <f>IF($A73="","",IFERROR(INDEX('רווחה - קליטה'!$AS$5:$AS$204,MATCH($A73&amp;"|סוף שנה",'רווחה - קליטה'!$AE$5:$AE$204,0)),""))</f>
      </c>
      <c r="K73" s="36">
        <f>IF(AND(ISNUMBER(B73),ISNUMBER(H73)),H73-B73,"")</f>
      </c>
      <c r="L73" s="26">
        <f>IF(K73="","",IF(K73&gt;=0.5,"עלייה",IF(K73&lt;=-0.5,"ירידה","יציב")))</f>
      </c>
    </row>
    <row r="74" ht="15" customHeight="1" spans="1:12" x14ac:dyDescent="0.25">
      <c r="A74" s="29"/>
      <c r="B74" s="28">
        <f>IF($A74="","",IFERROR(AVERAGEIFS('רווחה - קליטה'!$AQ$5:$AQ$204,'רווחה - קליטה'!$A$5:$A$204,$A74,'רווחה - קליטה'!$C$5:$C$204,"תחילת שנה"),""))</f>
      </c>
      <c r="C74" s="27">
        <f>IF($A74="","",IFERROR(AVERAGEIFS('רווחה - קליטה'!$AK$5:$AK$204,'רווחה - קליטה'!$A$5:$A$204,$A74,'רווחה - קליטה'!$C$5:$C$204,"תחילת שנה"),""))</f>
      </c>
      <c r="D74" s="26">
        <f>IF($A74="","",IFERROR(INDEX('רווחה - קליטה'!$AS$5:$AS$204,MATCH($A74&amp;"|תחילת שנה",'רווחה - קליטה'!$AE$5:$AE$204,0)),""))</f>
      </c>
      <c r="E74" s="28">
        <f>IF($A74="","",IFERROR(AVERAGEIFS('רווחה - קליטה'!$AQ$5:$AQ$204,'רווחה - קליטה'!$A$5:$A$204,$A74,'רווחה - קליטה'!$C$5:$C$204,"אמצע שנה"),""))</f>
      </c>
      <c r="F74" s="27">
        <f>IF($A74="","",IFERROR(AVERAGEIFS('רווחה - קליטה'!$AK$5:$AK$204,'רווחה - קליטה'!$A$5:$A$204,$A74,'רווחה - קליטה'!$C$5:$C$204,"אמצע שנה"),""))</f>
      </c>
      <c r="G74" s="26">
        <f>IF($A74="","",IFERROR(INDEX('רווחה - קליטה'!$AS$5:$AS$204,MATCH($A74&amp;"|אמצע שנה",'רווחה - קליטה'!$AE$5:$AE$204,0)),""))</f>
      </c>
      <c r="H74" s="28">
        <f>IF($A74="","",IFERROR(AVERAGEIFS('רווחה - קליטה'!$AQ$5:$AQ$204,'רווחה - קליטה'!$A$5:$A$204,$A74,'רווחה - קליטה'!$C$5:$C$204,"סוף שנה"),""))</f>
      </c>
      <c r="I74" s="27">
        <f>IF($A74="","",IFERROR(AVERAGEIFS('רווחה - קליטה'!$AK$5:$AK$204,'רווחה - קליטה'!$A$5:$A$204,$A74,'רווחה - קליטה'!$C$5:$C$204,"סוף שנה"),""))</f>
      </c>
      <c r="J74" s="26">
        <f>IF($A74="","",IFERROR(INDEX('רווחה - קליטה'!$AS$5:$AS$204,MATCH($A74&amp;"|סוף שנה",'רווחה - קליטה'!$AE$5:$AE$204,0)),""))</f>
      </c>
      <c r="K74" s="36">
        <f>IF(AND(ISNUMBER(B74),ISNUMBER(H74)),H74-B74,"")</f>
      </c>
      <c r="L74" s="26">
        <f>IF(K74="","",IF(K74&gt;=0.5,"עלייה",IF(K74&lt;=-0.5,"ירידה","יציב")))</f>
      </c>
    </row>
    <row r="75" ht="15" customHeight="1" spans="1:12" x14ac:dyDescent="0.25">
      <c r="A75" s="29"/>
      <c r="B75" s="28">
        <f>IF($A75="","",IFERROR(AVERAGEIFS('רווחה - קליטה'!$AQ$5:$AQ$204,'רווחה - קליטה'!$A$5:$A$204,$A75,'רווחה - קליטה'!$C$5:$C$204,"תחילת שנה"),""))</f>
      </c>
      <c r="C75" s="27">
        <f>IF($A75="","",IFERROR(AVERAGEIFS('רווחה - קליטה'!$AK$5:$AK$204,'רווחה - קליטה'!$A$5:$A$204,$A75,'רווחה - קליטה'!$C$5:$C$204,"תחילת שנה"),""))</f>
      </c>
      <c r="D75" s="26">
        <f>IF($A75="","",IFERROR(INDEX('רווחה - קליטה'!$AS$5:$AS$204,MATCH($A75&amp;"|תחילת שנה",'רווחה - קליטה'!$AE$5:$AE$204,0)),""))</f>
      </c>
      <c r="E75" s="28">
        <f>IF($A75="","",IFERROR(AVERAGEIFS('רווחה - קליטה'!$AQ$5:$AQ$204,'רווחה - קליטה'!$A$5:$A$204,$A75,'רווחה - קליטה'!$C$5:$C$204,"אמצע שנה"),""))</f>
      </c>
      <c r="F75" s="27">
        <f>IF($A75="","",IFERROR(AVERAGEIFS('רווחה - קליטה'!$AK$5:$AK$204,'רווחה - קליטה'!$A$5:$A$204,$A75,'רווחה - קליטה'!$C$5:$C$204,"אמצע שנה"),""))</f>
      </c>
      <c r="G75" s="26">
        <f>IF($A75="","",IFERROR(INDEX('רווחה - קליטה'!$AS$5:$AS$204,MATCH($A75&amp;"|אמצע שנה",'רווחה - קליטה'!$AE$5:$AE$204,0)),""))</f>
      </c>
      <c r="H75" s="28">
        <f>IF($A75="","",IFERROR(AVERAGEIFS('רווחה - קליטה'!$AQ$5:$AQ$204,'רווחה - קליטה'!$A$5:$A$204,$A75,'רווחה - קליטה'!$C$5:$C$204,"סוף שנה"),""))</f>
      </c>
      <c r="I75" s="27">
        <f>IF($A75="","",IFERROR(AVERAGEIFS('רווחה - קליטה'!$AK$5:$AK$204,'רווחה - קליטה'!$A$5:$A$204,$A75,'רווחה - קליטה'!$C$5:$C$204,"סוף שנה"),""))</f>
      </c>
      <c r="J75" s="26">
        <f>IF($A75="","",IFERROR(INDEX('רווחה - קליטה'!$AS$5:$AS$204,MATCH($A75&amp;"|סוף שנה",'רווחה - קליטה'!$AE$5:$AE$204,0)),""))</f>
      </c>
      <c r="K75" s="36">
        <f>IF(AND(ISNUMBER(B75),ISNUMBER(H75)),H75-B75,"")</f>
      </c>
      <c r="L75" s="26">
        <f>IF(K75="","",IF(K75&gt;=0.5,"עלייה",IF(K75&lt;=-0.5,"ירידה","יציב")))</f>
      </c>
    </row>
    <row r="76" ht="15" customHeight="1" spans="1:12" x14ac:dyDescent="0.25">
      <c r="A76" s="29"/>
      <c r="B76" s="28">
        <f>IF($A76="","",IFERROR(AVERAGEIFS('רווחה - קליטה'!$AQ$5:$AQ$204,'רווחה - קליטה'!$A$5:$A$204,$A76,'רווחה - קליטה'!$C$5:$C$204,"תחילת שנה"),""))</f>
      </c>
      <c r="C76" s="27">
        <f>IF($A76="","",IFERROR(AVERAGEIFS('רווחה - קליטה'!$AK$5:$AK$204,'רווחה - קליטה'!$A$5:$A$204,$A76,'רווחה - קליטה'!$C$5:$C$204,"תחילת שנה"),""))</f>
      </c>
      <c r="D76" s="26">
        <f>IF($A76="","",IFERROR(INDEX('רווחה - קליטה'!$AS$5:$AS$204,MATCH($A76&amp;"|תחילת שנה",'רווחה - קליטה'!$AE$5:$AE$204,0)),""))</f>
      </c>
      <c r="E76" s="28">
        <f>IF($A76="","",IFERROR(AVERAGEIFS('רווחה - קליטה'!$AQ$5:$AQ$204,'רווחה - קליטה'!$A$5:$A$204,$A76,'רווחה - קליטה'!$C$5:$C$204,"אמצע שנה"),""))</f>
      </c>
      <c r="F76" s="27">
        <f>IF($A76="","",IFERROR(AVERAGEIFS('רווחה - קליטה'!$AK$5:$AK$204,'רווחה - קליטה'!$A$5:$A$204,$A76,'רווחה - קליטה'!$C$5:$C$204,"אמצע שנה"),""))</f>
      </c>
      <c r="G76" s="26">
        <f>IF($A76="","",IFERROR(INDEX('רווחה - קליטה'!$AS$5:$AS$204,MATCH($A76&amp;"|אמצע שנה",'רווחה - קליטה'!$AE$5:$AE$204,0)),""))</f>
      </c>
      <c r="H76" s="28">
        <f>IF($A76="","",IFERROR(AVERAGEIFS('רווחה - קליטה'!$AQ$5:$AQ$204,'רווחה - קליטה'!$A$5:$A$204,$A76,'רווחה - קליטה'!$C$5:$C$204,"סוף שנה"),""))</f>
      </c>
      <c r="I76" s="27">
        <f>IF($A76="","",IFERROR(AVERAGEIFS('רווחה - קליטה'!$AK$5:$AK$204,'רווחה - קליטה'!$A$5:$A$204,$A76,'רווחה - קליטה'!$C$5:$C$204,"סוף שנה"),""))</f>
      </c>
      <c r="J76" s="26">
        <f>IF($A76="","",IFERROR(INDEX('רווחה - קליטה'!$AS$5:$AS$204,MATCH($A76&amp;"|סוף שנה",'רווחה - קליטה'!$AE$5:$AE$204,0)),""))</f>
      </c>
      <c r="K76" s="36">
        <f>IF(AND(ISNUMBER(B76),ISNUMBER(H76)),H76-B76,"")</f>
      </c>
      <c r="L76" s="26">
        <f>IF(K76="","",IF(K76&gt;=0.5,"עלייה",IF(K76&lt;=-0.5,"ירידה","יציב")))</f>
      </c>
    </row>
    <row r="77" ht="15" customHeight="1" spans="1:12" x14ac:dyDescent="0.25">
      <c r="A77" s="29"/>
      <c r="B77" s="28">
        <f>IF($A77="","",IFERROR(AVERAGEIFS('רווחה - קליטה'!$AQ$5:$AQ$204,'רווחה - קליטה'!$A$5:$A$204,$A77,'רווחה - קליטה'!$C$5:$C$204,"תחילת שנה"),""))</f>
      </c>
      <c r="C77" s="27">
        <f>IF($A77="","",IFERROR(AVERAGEIFS('רווחה - קליטה'!$AK$5:$AK$204,'רווחה - קליטה'!$A$5:$A$204,$A77,'רווחה - קליטה'!$C$5:$C$204,"תחילת שנה"),""))</f>
      </c>
      <c r="D77" s="26">
        <f>IF($A77="","",IFERROR(INDEX('רווחה - קליטה'!$AS$5:$AS$204,MATCH($A77&amp;"|תחילת שנה",'רווחה - קליטה'!$AE$5:$AE$204,0)),""))</f>
      </c>
      <c r="E77" s="28">
        <f>IF($A77="","",IFERROR(AVERAGEIFS('רווחה - קליטה'!$AQ$5:$AQ$204,'רווחה - קליטה'!$A$5:$A$204,$A77,'רווחה - קליטה'!$C$5:$C$204,"אמצע שנה"),""))</f>
      </c>
      <c r="F77" s="27">
        <f>IF($A77="","",IFERROR(AVERAGEIFS('רווחה - קליטה'!$AK$5:$AK$204,'רווחה - קליטה'!$A$5:$A$204,$A77,'רווחה - קליטה'!$C$5:$C$204,"אמצע שנה"),""))</f>
      </c>
      <c r="G77" s="26">
        <f>IF($A77="","",IFERROR(INDEX('רווחה - קליטה'!$AS$5:$AS$204,MATCH($A77&amp;"|אמצע שנה",'רווחה - קליטה'!$AE$5:$AE$204,0)),""))</f>
      </c>
      <c r="H77" s="28">
        <f>IF($A77="","",IFERROR(AVERAGEIFS('רווחה - קליטה'!$AQ$5:$AQ$204,'רווחה - קליטה'!$A$5:$A$204,$A77,'רווחה - קליטה'!$C$5:$C$204,"סוף שנה"),""))</f>
      </c>
      <c r="I77" s="27">
        <f>IF($A77="","",IFERROR(AVERAGEIFS('רווחה - קליטה'!$AK$5:$AK$204,'רווחה - קליטה'!$A$5:$A$204,$A77,'רווחה - קליטה'!$C$5:$C$204,"סוף שנה"),""))</f>
      </c>
      <c r="J77" s="26">
        <f>IF($A77="","",IFERROR(INDEX('רווחה - קליטה'!$AS$5:$AS$204,MATCH($A77&amp;"|סוף שנה",'רווחה - קליטה'!$AE$5:$AE$204,0)),""))</f>
      </c>
      <c r="K77" s="36">
        <f>IF(AND(ISNUMBER(B77),ISNUMBER(H77)),H77-B77,"")</f>
      </c>
      <c r="L77" s="26">
        <f>IF(K77="","",IF(K77&gt;=0.5,"עלייה",IF(K77&lt;=-0.5,"ירידה","יציב")))</f>
      </c>
    </row>
    <row r="78" ht="15" customHeight="1" spans="1:12" x14ac:dyDescent="0.25">
      <c r="A78" s="29"/>
      <c r="B78" s="28">
        <f>IF($A78="","",IFERROR(AVERAGEIFS('רווחה - קליטה'!$AQ$5:$AQ$204,'רווחה - קליטה'!$A$5:$A$204,$A78,'רווחה - קליטה'!$C$5:$C$204,"תחילת שנה"),""))</f>
      </c>
      <c r="C78" s="27">
        <f>IF($A78="","",IFERROR(AVERAGEIFS('רווחה - קליטה'!$AK$5:$AK$204,'רווחה - קליטה'!$A$5:$A$204,$A78,'רווחה - קליטה'!$C$5:$C$204,"תחילת שנה"),""))</f>
      </c>
      <c r="D78" s="26">
        <f>IF($A78="","",IFERROR(INDEX('רווחה - קליטה'!$AS$5:$AS$204,MATCH($A78&amp;"|תחילת שנה",'רווחה - קליטה'!$AE$5:$AE$204,0)),""))</f>
      </c>
      <c r="E78" s="28">
        <f>IF($A78="","",IFERROR(AVERAGEIFS('רווחה - קליטה'!$AQ$5:$AQ$204,'רווחה - קליטה'!$A$5:$A$204,$A78,'רווחה - קליטה'!$C$5:$C$204,"אמצע שנה"),""))</f>
      </c>
      <c r="F78" s="27">
        <f>IF($A78="","",IFERROR(AVERAGEIFS('רווחה - קליטה'!$AK$5:$AK$204,'רווחה - קליטה'!$A$5:$A$204,$A78,'רווחה - קליטה'!$C$5:$C$204,"אמצע שנה"),""))</f>
      </c>
      <c r="G78" s="26">
        <f>IF($A78="","",IFERROR(INDEX('רווחה - קליטה'!$AS$5:$AS$204,MATCH($A78&amp;"|אמצע שנה",'רווחה - קליטה'!$AE$5:$AE$204,0)),""))</f>
      </c>
      <c r="H78" s="28">
        <f>IF($A78="","",IFERROR(AVERAGEIFS('רווחה - קליטה'!$AQ$5:$AQ$204,'רווחה - קליטה'!$A$5:$A$204,$A78,'רווחה - קליטה'!$C$5:$C$204,"סוף שנה"),""))</f>
      </c>
      <c r="I78" s="27">
        <f>IF($A78="","",IFERROR(AVERAGEIFS('רווחה - קליטה'!$AK$5:$AK$204,'רווחה - קליטה'!$A$5:$A$204,$A78,'רווחה - קליטה'!$C$5:$C$204,"סוף שנה"),""))</f>
      </c>
      <c r="J78" s="26">
        <f>IF($A78="","",IFERROR(INDEX('רווחה - קליטה'!$AS$5:$AS$204,MATCH($A78&amp;"|סוף שנה",'רווחה - קליטה'!$AE$5:$AE$204,0)),""))</f>
      </c>
      <c r="K78" s="36">
        <f>IF(AND(ISNUMBER(B78),ISNUMBER(H78)),H78-B78,"")</f>
      </c>
      <c r="L78" s="26">
        <f>IF(K78="","",IF(K78&gt;=0.5,"עלייה",IF(K78&lt;=-0.5,"ירידה","יציב")))</f>
      </c>
    </row>
    <row r="79" ht="15" customHeight="1" spans="1:12" x14ac:dyDescent="0.25">
      <c r="A79" s="29"/>
      <c r="B79" s="28">
        <f>IF($A79="","",IFERROR(AVERAGEIFS('רווחה - קליטה'!$AQ$5:$AQ$204,'רווחה - קליטה'!$A$5:$A$204,$A79,'רווחה - קליטה'!$C$5:$C$204,"תחילת שנה"),""))</f>
      </c>
      <c r="C79" s="27">
        <f>IF($A79="","",IFERROR(AVERAGEIFS('רווחה - קליטה'!$AK$5:$AK$204,'רווחה - קליטה'!$A$5:$A$204,$A79,'רווחה - קליטה'!$C$5:$C$204,"תחילת שנה"),""))</f>
      </c>
      <c r="D79" s="26">
        <f>IF($A79="","",IFERROR(INDEX('רווחה - קליטה'!$AS$5:$AS$204,MATCH($A79&amp;"|תחילת שנה",'רווחה - קליטה'!$AE$5:$AE$204,0)),""))</f>
      </c>
      <c r="E79" s="28">
        <f>IF($A79="","",IFERROR(AVERAGEIFS('רווחה - קליטה'!$AQ$5:$AQ$204,'רווחה - קליטה'!$A$5:$A$204,$A79,'רווחה - קליטה'!$C$5:$C$204,"אמצע שנה"),""))</f>
      </c>
      <c r="F79" s="27">
        <f>IF($A79="","",IFERROR(AVERAGEIFS('רווחה - קליטה'!$AK$5:$AK$204,'רווחה - קליטה'!$A$5:$A$204,$A79,'רווחה - קליטה'!$C$5:$C$204,"אמצע שנה"),""))</f>
      </c>
      <c r="G79" s="26">
        <f>IF($A79="","",IFERROR(INDEX('רווחה - קליטה'!$AS$5:$AS$204,MATCH($A79&amp;"|אמצע שנה",'רווחה - קליטה'!$AE$5:$AE$204,0)),""))</f>
      </c>
      <c r="H79" s="28">
        <f>IF($A79="","",IFERROR(AVERAGEIFS('רווחה - קליטה'!$AQ$5:$AQ$204,'רווחה - קליטה'!$A$5:$A$204,$A79,'רווחה - קליטה'!$C$5:$C$204,"סוף שנה"),""))</f>
      </c>
      <c r="I79" s="27">
        <f>IF($A79="","",IFERROR(AVERAGEIFS('רווחה - קליטה'!$AK$5:$AK$204,'רווחה - קליטה'!$A$5:$A$204,$A79,'רווחה - קליטה'!$C$5:$C$204,"סוף שנה"),""))</f>
      </c>
      <c r="J79" s="26">
        <f>IF($A79="","",IFERROR(INDEX('רווחה - קליטה'!$AS$5:$AS$204,MATCH($A79&amp;"|סוף שנה",'רווחה - קליטה'!$AE$5:$AE$204,0)),""))</f>
      </c>
      <c r="K79" s="36">
        <f>IF(AND(ISNUMBER(B79),ISNUMBER(H79)),H79-B79,"")</f>
      </c>
      <c r="L79" s="26">
        <f>IF(K79="","",IF(K79&gt;=0.5,"עלייה",IF(K79&lt;=-0.5,"ירידה","יציב")))</f>
      </c>
    </row>
    <row r="80" ht="15" customHeight="1" spans="1:12" x14ac:dyDescent="0.25">
      <c r="A80" s="29"/>
      <c r="B80" s="28">
        <f>IF($A80="","",IFERROR(AVERAGEIFS('רווחה - קליטה'!$AQ$5:$AQ$204,'רווחה - קליטה'!$A$5:$A$204,$A80,'רווחה - קליטה'!$C$5:$C$204,"תחילת שנה"),""))</f>
      </c>
      <c r="C80" s="27">
        <f>IF($A80="","",IFERROR(AVERAGEIFS('רווחה - קליטה'!$AK$5:$AK$204,'רווחה - קליטה'!$A$5:$A$204,$A80,'רווחה - קליטה'!$C$5:$C$204,"תחילת שנה"),""))</f>
      </c>
      <c r="D80" s="26">
        <f>IF($A80="","",IFERROR(INDEX('רווחה - קליטה'!$AS$5:$AS$204,MATCH($A80&amp;"|תחילת שנה",'רווחה - קליטה'!$AE$5:$AE$204,0)),""))</f>
      </c>
      <c r="E80" s="28">
        <f>IF($A80="","",IFERROR(AVERAGEIFS('רווחה - קליטה'!$AQ$5:$AQ$204,'רווחה - קליטה'!$A$5:$A$204,$A80,'רווחה - קליטה'!$C$5:$C$204,"אמצע שנה"),""))</f>
      </c>
      <c r="F80" s="27">
        <f>IF($A80="","",IFERROR(AVERAGEIFS('רווחה - קליטה'!$AK$5:$AK$204,'רווחה - קליטה'!$A$5:$A$204,$A80,'רווחה - קליטה'!$C$5:$C$204,"אמצע שנה"),""))</f>
      </c>
      <c r="G80" s="26">
        <f>IF($A80="","",IFERROR(INDEX('רווחה - קליטה'!$AS$5:$AS$204,MATCH($A80&amp;"|אמצע שנה",'רווחה - קליטה'!$AE$5:$AE$204,0)),""))</f>
      </c>
      <c r="H80" s="28">
        <f>IF($A80="","",IFERROR(AVERAGEIFS('רווחה - קליטה'!$AQ$5:$AQ$204,'רווחה - קליטה'!$A$5:$A$204,$A80,'רווחה - קליטה'!$C$5:$C$204,"סוף שנה"),""))</f>
      </c>
      <c r="I80" s="27">
        <f>IF($A80="","",IFERROR(AVERAGEIFS('רווחה - קליטה'!$AK$5:$AK$204,'רווחה - קליטה'!$A$5:$A$204,$A80,'רווחה - קליטה'!$C$5:$C$204,"סוף שנה"),""))</f>
      </c>
      <c r="J80" s="26">
        <f>IF($A80="","",IFERROR(INDEX('רווחה - קליטה'!$AS$5:$AS$204,MATCH($A80&amp;"|סוף שנה",'רווחה - קליטה'!$AE$5:$AE$204,0)),""))</f>
      </c>
      <c r="K80" s="36">
        <f>IF(AND(ISNUMBER(B80),ISNUMBER(H80)),H80-B80,"")</f>
      </c>
      <c r="L80" s="26">
        <f>IF(K80="","",IF(K80&gt;=0.5,"עלייה",IF(K80&lt;=-0.5,"ירידה","יציב")))</f>
      </c>
    </row>
    <row r="81" ht="15" customHeight="1" spans="1:12" x14ac:dyDescent="0.25">
      <c r="A81" s="29"/>
      <c r="B81" s="28">
        <f>IF($A81="","",IFERROR(AVERAGEIFS('רווחה - קליטה'!$AQ$5:$AQ$204,'רווחה - קליטה'!$A$5:$A$204,$A81,'רווחה - קליטה'!$C$5:$C$204,"תחילת שנה"),""))</f>
      </c>
      <c r="C81" s="27">
        <f>IF($A81="","",IFERROR(AVERAGEIFS('רווחה - קליטה'!$AK$5:$AK$204,'רווחה - קליטה'!$A$5:$A$204,$A81,'רווחה - קליטה'!$C$5:$C$204,"תחילת שנה"),""))</f>
      </c>
      <c r="D81" s="26">
        <f>IF($A81="","",IFERROR(INDEX('רווחה - קליטה'!$AS$5:$AS$204,MATCH($A81&amp;"|תחילת שנה",'רווחה - קליטה'!$AE$5:$AE$204,0)),""))</f>
      </c>
      <c r="E81" s="28">
        <f>IF($A81="","",IFERROR(AVERAGEIFS('רווחה - קליטה'!$AQ$5:$AQ$204,'רווחה - קליטה'!$A$5:$A$204,$A81,'רווחה - קליטה'!$C$5:$C$204,"אמצע שנה"),""))</f>
      </c>
      <c r="F81" s="27">
        <f>IF($A81="","",IFERROR(AVERAGEIFS('רווחה - קליטה'!$AK$5:$AK$204,'רווחה - קליטה'!$A$5:$A$204,$A81,'רווחה - קליטה'!$C$5:$C$204,"אמצע שנה"),""))</f>
      </c>
      <c r="G81" s="26">
        <f>IF($A81="","",IFERROR(INDEX('רווחה - קליטה'!$AS$5:$AS$204,MATCH($A81&amp;"|אמצע שנה",'רווחה - קליטה'!$AE$5:$AE$204,0)),""))</f>
      </c>
      <c r="H81" s="28">
        <f>IF($A81="","",IFERROR(AVERAGEIFS('רווחה - קליטה'!$AQ$5:$AQ$204,'רווחה - קליטה'!$A$5:$A$204,$A81,'רווחה - קליטה'!$C$5:$C$204,"סוף שנה"),""))</f>
      </c>
      <c r="I81" s="27">
        <f>IF($A81="","",IFERROR(AVERAGEIFS('רווחה - קליטה'!$AK$5:$AK$204,'רווחה - קליטה'!$A$5:$A$204,$A81,'רווחה - קליטה'!$C$5:$C$204,"סוף שנה"),""))</f>
      </c>
      <c r="J81" s="26">
        <f>IF($A81="","",IFERROR(INDEX('רווחה - קליטה'!$AS$5:$AS$204,MATCH($A81&amp;"|סוף שנה",'רווחה - קליטה'!$AE$5:$AE$204,0)),""))</f>
      </c>
      <c r="K81" s="36">
        <f>IF(AND(ISNUMBER(B81),ISNUMBER(H81)),H81-B81,"")</f>
      </c>
      <c r="L81" s="26">
        <f>IF(K81="","",IF(K81&gt;=0.5,"עלייה",IF(K81&lt;=-0.5,"ירידה","יציב")))</f>
      </c>
    </row>
    <row r="82" ht="15" customHeight="1" spans="1:12" x14ac:dyDescent="0.25">
      <c r="A82" s="29"/>
      <c r="B82" s="28">
        <f>IF($A82="","",IFERROR(AVERAGEIFS('רווחה - קליטה'!$AQ$5:$AQ$204,'רווחה - קליטה'!$A$5:$A$204,$A82,'רווחה - קליטה'!$C$5:$C$204,"תחילת שנה"),""))</f>
      </c>
      <c r="C82" s="27">
        <f>IF($A82="","",IFERROR(AVERAGEIFS('רווחה - קליטה'!$AK$5:$AK$204,'רווחה - קליטה'!$A$5:$A$204,$A82,'רווחה - קליטה'!$C$5:$C$204,"תחילת שנה"),""))</f>
      </c>
      <c r="D82" s="26">
        <f>IF($A82="","",IFERROR(INDEX('רווחה - קליטה'!$AS$5:$AS$204,MATCH($A82&amp;"|תחילת שנה",'רווחה - קליטה'!$AE$5:$AE$204,0)),""))</f>
      </c>
      <c r="E82" s="28">
        <f>IF($A82="","",IFERROR(AVERAGEIFS('רווחה - קליטה'!$AQ$5:$AQ$204,'רווחה - קליטה'!$A$5:$A$204,$A82,'רווחה - קליטה'!$C$5:$C$204,"אמצע שנה"),""))</f>
      </c>
      <c r="F82" s="27">
        <f>IF($A82="","",IFERROR(AVERAGEIFS('רווחה - קליטה'!$AK$5:$AK$204,'רווחה - קליטה'!$A$5:$A$204,$A82,'רווחה - קליטה'!$C$5:$C$204,"אמצע שנה"),""))</f>
      </c>
      <c r="G82" s="26">
        <f>IF($A82="","",IFERROR(INDEX('רווחה - קליטה'!$AS$5:$AS$204,MATCH($A82&amp;"|אמצע שנה",'רווחה - קליטה'!$AE$5:$AE$204,0)),""))</f>
      </c>
      <c r="H82" s="28">
        <f>IF($A82="","",IFERROR(AVERAGEIFS('רווחה - קליטה'!$AQ$5:$AQ$204,'רווחה - קליטה'!$A$5:$A$204,$A82,'רווחה - קליטה'!$C$5:$C$204,"סוף שנה"),""))</f>
      </c>
      <c r="I82" s="27">
        <f>IF($A82="","",IFERROR(AVERAGEIFS('רווחה - קליטה'!$AK$5:$AK$204,'רווחה - קליטה'!$A$5:$A$204,$A82,'רווחה - קליטה'!$C$5:$C$204,"סוף שנה"),""))</f>
      </c>
      <c r="J82" s="26">
        <f>IF($A82="","",IFERROR(INDEX('רווחה - קליטה'!$AS$5:$AS$204,MATCH($A82&amp;"|סוף שנה",'רווחה - קליטה'!$AE$5:$AE$204,0)),""))</f>
      </c>
      <c r="K82" s="36">
        <f>IF(AND(ISNUMBER(B82),ISNUMBER(H82)),H82-B82,"")</f>
      </c>
      <c r="L82" s="26">
        <f>IF(K82="","",IF(K82&gt;=0.5,"עלייה",IF(K82&lt;=-0.5,"ירידה","יציב")))</f>
      </c>
    </row>
    <row r="83" ht="15" customHeight="1" spans="1:12" x14ac:dyDescent="0.25">
      <c r="A83" s="29"/>
      <c r="B83" s="28">
        <f>IF($A83="","",IFERROR(AVERAGEIFS('רווחה - קליטה'!$AQ$5:$AQ$204,'רווחה - קליטה'!$A$5:$A$204,$A83,'רווחה - קליטה'!$C$5:$C$204,"תחילת שנה"),""))</f>
      </c>
      <c r="C83" s="27">
        <f>IF($A83="","",IFERROR(AVERAGEIFS('רווחה - קליטה'!$AK$5:$AK$204,'רווחה - קליטה'!$A$5:$A$204,$A83,'רווחה - קליטה'!$C$5:$C$204,"תחילת שנה"),""))</f>
      </c>
      <c r="D83" s="26">
        <f>IF($A83="","",IFERROR(INDEX('רווחה - קליטה'!$AS$5:$AS$204,MATCH($A83&amp;"|תחילת שנה",'רווחה - קליטה'!$AE$5:$AE$204,0)),""))</f>
      </c>
      <c r="E83" s="28">
        <f>IF($A83="","",IFERROR(AVERAGEIFS('רווחה - קליטה'!$AQ$5:$AQ$204,'רווחה - קליטה'!$A$5:$A$204,$A83,'רווחה - קליטה'!$C$5:$C$204,"אמצע שנה"),""))</f>
      </c>
      <c r="F83" s="27">
        <f>IF($A83="","",IFERROR(AVERAGEIFS('רווחה - קליטה'!$AK$5:$AK$204,'רווחה - קליטה'!$A$5:$A$204,$A83,'רווחה - קליטה'!$C$5:$C$204,"אמצע שנה"),""))</f>
      </c>
      <c r="G83" s="26">
        <f>IF($A83="","",IFERROR(INDEX('רווחה - קליטה'!$AS$5:$AS$204,MATCH($A83&amp;"|אמצע שנה",'רווחה - קליטה'!$AE$5:$AE$204,0)),""))</f>
      </c>
      <c r="H83" s="28">
        <f>IF($A83="","",IFERROR(AVERAGEIFS('רווחה - קליטה'!$AQ$5:$AQ$204,'רווחה - קליטה'!$A$5:$A$204,$A83,'רווחה - קליטה'!$C$5:$C$204,"סוף שנה"),""))</f>
      </c>
      <c r="I83" s="27">
        <f>IF($A83="","",IFERROR(AVERAGEIFS('רווחה - קליטה'!$AK$5:$AK$204,'רווחה - קליטה'!$A$5:$A$204,$A83,'רווחה - קליטה'!$C$5:$C$204,"סוף שנה"),""))</f>
      </c>
      <c r="J83" s="26">
        <f>IF($A83="","",IFERROR(INDEX('רווחה - קליטה'!$AS$5:$AS$204,MATCH($A83&amp;"|סוף שנה",'רווחה - קליטה'!$AE$5:$AE$204,0)),""))</f>
      </c>
      <c r="K83" s="36">
        <f>IF(AND(ISNUMBER(B83),ISNUMBER(H83)),H83-B83,"")</f>
      </c>
      <c r="L83" s="26">
        <f>IF(K83="","",IF(K83&gt;=0.5,"עלייה",IF(K83&lt;=-0.5,"ירידה","יציב")))</f>
      </c>
    </row>
    <row r="84" ht="15" customHeight="1" spans="1:12" x14ac:dyDescent="0.25">
      <c r="A84" s="29"/>
      <c r="B84" s="28">
        <f>IF($A84="","",IFERROR(AVERAGEIFS('רווחה - קליטה'!$AQ$5:$AQ$204,'רווחה - קליטה'!$A$5:$A$204,$A84,'רווחה - קליטה'!$C$5:$C$204,"תחילת שנה"),""))</f>
      </c>
      <c r="C84" s="27">
        <f>IF($A84="","",IFERROR(AVERAGEIFS('רווחה - קליטה'!$AK$5:$AK$204,'רווחה - קליטה'!$A$5:$A$204,$A84,'רווחה - קליטה'!$C$5:$C$204,"תחילת שנה"),""))</f>
      </c>
      <c r="D84" s="26">
        <f>IF($A84="","",IFERROR(INDEX('רווחה - קליטה'!$AS$5:$AS$204,MATCH($A84&amp;"|תחילת שנה",'רווחה - קליטה'!$AE$5:$AE$204,0)),""))</f>
      </c>
      <c r="E84" s="28">
        <f>IF($A84="","",IFERROR(AVERAGEIFS('רווחה - קליטה'!$AQ$5:$AQ$204,'רווחה - קליטה'!$A$5:$A$204,$A84,'רווחה - קליטה'!$C$5:$C$204,"אמצע שנה"),""))</f>
      </c>
      <c r="F84" s="27">
        <f>IF($A84="","",IFERROR(AVERAGEIFS('רווחה - קליטה'!$AK$5:$AK$204,'רווחה - קליטה'!$A$5:$A$204,$A84,'רווחה - קליטה'!$C$5:$C$204,"אמצע שנה"),""))</f>
      </c>
      <c r="G84" s="26">
        <f>IF($A84="","",IFERROR(INDEX('רווחה - קליטה'!$AS$5:$AS$204,MATCH($A84&amp;"|אמצע שנה",'רווחה - קליטה'!$AE$5:$AE$204,0)),""))</f>
      </c>
      <c r="H84" s="28">
        <f>IF($A84="","",IFERROR(AVERAGEIFS('רווחה - קליטה'!$AQ$5:$AQ$204,'רווחה - קליטה'!$A$5:$A$204,$A84,'רווחה - קליטה'!$C$5:$C$204,"סוף שנה"),""))</f>
      </c>
      <c r="I84" s="27">
        <f>IF($A84="","",IFERROR(AVERAGEIFS('רווחה - קליטה'!$AK$5:$AK$204,'רווחה - קליטה'!$A$5:$A$204,$A84,'רווחה - קליטה'!$C$5:$C$204,"סוף שנה"),""))</f>
      </c>
      <c r="J84" s="26">
        <f>IF($A84="","",IFERROR(INDEX('רווחה - קליטה'!$AS$5:$AS$204,MATCH($A84&amp;"|סוף שנה",'רווחה - קליטה'!$AE$5:$AE$204,0)),""))</f>
      </c>
      <c r="K84" s="36">
        <f>IF(AND(ISNUMBER(B84),ISNUMBER(H84)),H84-B84,"")</f>
      </c>
      <c r="L84" s="26">
        <f>IF(K84="","",IF(K84&gt;=0.5,"עלייה",IF(K84&lt;=-0.5,"ירידה","יציב")))</f>
      </c>
    </row>
    <row r="85" ht="15" customHeight="1" spans="1:12" x14ac:dyDescent="0.25">
      <c r="A85" s="29"/>
      <c r="B85" s="28">
        <f>IF($A85="","",IFERROR(AVERAGEIFS('רווחה - קליטה'!$AQ$5:$AQ$204,'רווחה - קליטה'!$A$5:$A$204,$A85,'רווחה - קליטה'!$C$5:$C$204,"תחילת שנה"),""))</f>
      </c>
      <c r="C85" s="27">
        <f>IF($A85="","",IFERROR(AVERAGEIFS('רווחה - קליטה'!$AK$5:$AK$204,'רווחה - קליטה'!$A$5:$A$204,$A85,'רווחה - קליטה'!$C$5:$C$204,"תחילת שנה"),""))</f>
      </c>
      <c r="D85" s="26">
        <f>IF($A85="","",IFERROR(INDEX('רווחה - קליטה'!$AS$5:$AS$204,MATCH($A85&amp;"|תחילת שנה",'רווחה - קליטה'!$AE$5:$AE$204,0)),""))</f>
      </c>
      <c r="E85" s="28">
        <f>IF($A85="","",IFERROR(AVERAGEIFS('רווחה - קליטה'!$AQ$5:$AQ$204,'רווחה - קליטה'!$A$5:$A$204,$A85,'רווחה - קליטה'!$C$5:$C$204,"אמצע שנה"),""))</f>
      </c>
      <c r="F85" s="27">
        <f>IF($A85="","",IFERROR(AVERAGEIFS('רווחה - קליטה'!$AK$5:$AK$204,'רווחה - קליטה'!$A$5:$A$204,$A85,'רווחה - קליטה'!$C$5:$C$204,"אמצע שנה"),""))</f>
      </c>
      <c r="G85" s="26">
        <f>IF($A85="","",IFERROR(INDEX('רווחה - קליטה'!$AS$5:$AS$204,MATCH($A85&amp;"|אמצע שנה",'רווחה - קליטה'!$AE$5:$AE$204,0)),""))</f>
      </c>
      <c r="H85" s="28">
        <f>IF($A85="","",IFERROR(AVERAGEIFS('רווחה - קליטה'!$AQ$5:$AQ$204,'רווחה - קליטה'!$A$5:$A$204,$A85,'רווחה - קליטה'!$C$5:$C$204,"סוף שנה"),""))</f>
      </c>
      <c r="I85" s="27">
        <f>IF($A85="","",IFERROR(AVERAGEIFS('רווחה - קליטה'!$AK$5:$AK$204,'רווחה - קליטה'!$A$5:$A$204,$A85,'רווחה - קליטה'!$C$5:$C$204,"סוף שנה"),""))</f>
      </c>
      <c r="J85" s="26">
        <f>IF($A85="","",IFERROR(INDEX('רווחה - קליטה'!$AS$5:$AS$204,MATCH($A85&amp;"|סוף שנה",'רווחה - קליטה'!$AE$5:$AE$204,0)),""))</f>
      </c>
      <c r="K85" s="36">
        <f>IF(AND(ISNUMBER(B85),ISNUMBER(H85)),H85-B85,"")</f>
      </c>
      <c r="L85" s="26">
        <f>IF(K85="","",IF(K85&gt;=0.5,"עלייה",IF(K85&lt;=-0.5,"ירידה","יציב")))</f>
      </c>
    </row>
    <row r="86" ht="15" customHeight="1" spans="1:12" x14ac:dyDescent="0.25">
      <c r="A86" s="29"/>
      <c r="B86" s="28">
        <f>IF($A86="","",IFERROR(AVERAGEIFS('רווחה - קליטה'!$AQ$5:$AQ$204,'רווחה - קליטה'!$A$5:$A$204,$A86,'רווחה - קליטה'!$C$5:$C$204,"תחילת שנה"),""))</f>
      </c>
      <c r="C86" s="27">
        <f>IF($A86="","",IFERROR(AVERAGEIFS('רווחה - קליטה'!$AK$5:$AK$204,'רווחה - קליטה'!$A$5:$A$204,$A86,'רווחה - קליטה'!$C$5:$C$204,"תחילת שנה"),""))</f>
      </c>
      <c r="D86" s="26">
        <f>IF($A86="","",IFERROR(INDEX('רווחה - קליטה'!$AS$5:$AS$204,MATCH($A86&amp;"|תחילת שנה",'רווחה - קליטה'!$AE$5:$AE$204,0)),""))</f>
      </c>
      <c r="E86" s="28">
        <f>IF($A86="","",IFERROR(AVERAGEIFS('רווחה - קליטה'!$AQ$5:$AQ$204,'רווחה - קליטה'!$A$5:$A$204,$A86,'רווחה - קליטה'!$C$5:$C$204,"אמצע שנה"),""))</f>
      </c>
      <c r="F86" s="27">
        <f>IF($A86="","",IFERROR(AVERAGEIFS('רווחה - קליטה'!$AK$5:$AK$204,'רווחה - קליטה'!$A$5:$A$204,$A86,'רווחה - קליטה'!$C$5:$C$204,"אמצע שנה"),""))</f>
      </c>
      <c r="G86" s="26">
        <f>IF($A86="","",IFERROR(INDEX('רווחה - קליטה'!$AS$5:$AS$204,MATCH($A86&amp;"|אמצע שנה",'רווחה - קליטה'!$AE$5:$AE$204,0)),""))</f>
      </c>
      <c r="H86" s="28">
        <f>IF($A86="","",IFERROR(AVERAGEIFS('רווחה - קליטה'!$AQ$5:$AQ$204,'רווחה - קליטה'!$A$5:$A$204,$A86,'רווחה - קליטה'!$C$5:$C$204,"סוף שנה"),""))</f>
      </c>
      <c r="I86" s="27">
        <f>IF($A86="","",IFERROR(AVERAGEIFS('רווחה - קליטה'!$AK$5:$AK$204,'רווחה - קליטה'!$A$5:$A$204,$A86,'רווחה - קליטה'!$C$5:$C$204,"סוף שנה"),""))</f>
      </c>
      <c r="J86" s="26">
        <f>IF($A86="","",IFERROR(INDEX('רווחה - קליטה'!$AS$5:$AS$204,MATCH($A86&amp;"|סוף שנה",'רווחה - קליטה'!$AE$5:$AE$204,0)),""))</f>
      </c>
      <c r="K86" s="36">
        <f>IF(AND(ISNUMBER(B86),ISNUMBER(H86)),H86-B86,"")</f>
      </c>
      <c r="L86" s="26">
        <f>IF(K86="","",IF(K86&gt;=0.5,"עלייה",IF(K86&lt;=-0.5,"ירידה","יציב")))</f>
      </c>
    </row>
    <row r="87" ht="15" customHeight="1" spans="1:12" x14ac:dyDescent="0.25">
      <c r="A87" s="29"/>
      <c r="B87" s="28">
        <f>IF($A87="","",IFERROR(AVERAGEIFS('רווחה - קליטה'!$AQ$5:$AQ$204,'רווחה - קליטה'!$A$5:$A$204,$A87,'רווחה - קליטה'!$C$5:$C$204,"תחילת שנה"),""))</f>
      </c>
      <c r="C87" s="27">
        <f>IF($A87="","",IFERROR(AVERAGEIFS('רווחה - קליטה'!$AK$5:$AK$204,'רווחה - קליטה'!$A$5:$A$204,$A87,'רווחה - קליטה'!$C$5:$C$204,"תחילת שנה"),""))</f>
      </c>
      <c r="D87" s="26">
        <f>IF($A87="","",IFERROR(INDEX('רווחה - קליטה'!$AS$5:$AS$204,MATCH($A87&amp;"|תחילת שנה",'רווחה - קליטה'!$AE$5:$AE$204,0)),""))</f>
      </c>
      <c r="E87" s="28">
        <f>IF($A87="","",IFERROR(AVERAGEIFS('רווחה - קליטה'!$AQ$5:$AQ$204,'רווחה - קליטה'!$A$5:$A$204,$A87,'רווחה - קליטה'!$C$5:$C$204,"אמצע שנה"),""))</f>
      </c>
      <c r="F87" s="27">
        <f>IF($A87="","",IFERROR(AVERAGEIFS('רווחה - קליטה'!$AK$5:$AK$204,'רווחה - קליטה'!$A$5:$A$204,$A87,'רווחה - קליטה'!$C$5:$C$204,"אמצע שנה"),""))</f>
      </c>
      <c r="G87" s="26">
        <f>IF($A87="","",IFERROR(INDEX('רווחה - קליטה'!$AS$5:$AS$204,MATCH($A87&amp;"|אמצע שנה",'רווחה - קליטה'!$AE$5:$AE$204,0)),""))</f>
      </c>
      <c r="H87" s="28">
        <f>IF($A87="","",IFERROR(AVERAGEIFS('רווחה - קליטה'!$AQ$5:$AQ$204,'רווחה - קליטה'!$A$5:$A$204,$A87,'רווחה - קליטה'!$C$5:$C$204,"סוף שנה"),""))</f>
      </c>
      <c r="I87" s="27">
        <f>IF($A87="","",IFERROR(AVERAGEIFS('רווחה - קליטה'!$AK$5:$AK$204,'רווחה - קליטה'!$A$5:$A$204,$A87,'רווחה - קליטה'!$C$5:$C$204,"סוף שנה"),""))</f>
      </c>
      <c r="J87" s="26">
        <f>IF($A87="","",IFERROR(INDEX('רווחה - קליטה'!$AS$5:$AS$204,MATCH($A87&amp;"|סוף שנה",'רווחה - קליטה'!$AE$5:$AE$204,0)),""))</f>
      </c>
      <c r="K87" s="36">
        <f>IF(AND(ISNUMBER(B87),ISNUMBER(H87)),H87-B87,"")</f>
      </c>
      <c r="L87" s="26">
        <f>IF(K87="","",IF(K87&gt;=0.5,"עלייה",IF(K87&lt;=-0.5,"ירידה","יציב")))</f>
      </c>
    </row>
    <row r="88" ht="15" customHeight="1" spans="1:12" x14ac:dyDescent="0.25">
      <c r="A88" s="29"/>
      <c r="B88" s="28">
        <f>IF($A88="","",IFERROR(AVERAGEIFS('רווחה - קליטה'!$AQ$5:$AQ$204,'רווחה - קליטה'!$A$5:$A$204,$A88,'רווחה - קליטה'!$C$5:$C$204,"תחילת שנה"),""))</f>
      </c>
      <c r="C88" s="27">
        <f>IF($A88="","",IFERROR(AVERAGEIFS('רווחה - קליטה'!$AK$5:$AK$204,'רווחה - קליטה'!$A$5:$A$204,$A88,'רווחה - קליטה'!$C$5:$C$204,"תחילת שנה"),""))</f>
      </c>
      <c r="D88" s="26">
        <f>IF($A88="","",IFERROR(INDEX('רווחה - קליטה'!$AS$5:$AS$204,MATCH($A88&amp;"|תחילת שנה",'רווחה - קליטה'!$AE$5:$AE$204,0)),""))</f>
      </c>
      <c r="E88" s="28">
        <f>IF($A88="","",IFERROR(AVERAGEIFS('רווחה - קליטה'!$AQ$5:$AQ$204,'רווחה - קליטה'!$A$5:$A$204,$A88,'רווחה - קליטה'!$C$5:$C$204,"אמצע שנה"),""))</f>
      </c>
      <c r="F88" s="27">
        <f>IF($A88="","",IFERROR(AVERAGEIFS('רווחה - קליטה'!$AK$5:$AK$204,'רווחה - קליטה'!$A$5:$A$204,$A88,'רווחה - קליטה'!$C$5:$C$204,"אמצע שנה"),""))</f>
      </c>
      <c r="G88" s="26">
        <f>IF($A88="","",IFERROR(INDEX('רווחה - קליטה'!$AS$5:$AS$204,MATCH($A88&amp;"|אמצע שנה",'רווחה - קליטה'!$AE$5:$AE$204,0)),""))</f>
      </c>
      <c r="H88" s="28">
        <f>IF($A88="","",IFERROR(AVERAGEIFS('רווחה - קליטה'!$AQ$5:$AQ$204,'רווחה - קליטה'!$A$5:$A$204,$A88,'רווחה - קליטה'!$C$5:$C$204,"סוף שנה"),""))</f>
      </c>
      <c r="I88" s="27">
        <f>IF($A88="","",IFERROR(AVERAGEIFS('רווחה - קליטה'!$AK$5:$AK$204,'רווחה - קליטה'!$A$5:$A$204,$A88,'רווחה - קליטה'!$C$5:$C$204,"סוף שנה"),""))</f>
      </c>
      <c r="J88" s="26">
        <f>IF($A88="","",IFERROR(INDEX('רווחה - קליטה'!$AS$5:$AS$204,MATCH($A88&amp;"|סוף שנה",'רווחה - קליטה'!$AE$5:$AE$204,0)),""))</f>
      </c>
      <c r="K88" s="36">
        <f>IF(AND(ISNUMBER(B88),ISNUMBER(H88)),H88-B88,"")</f>
      </c>
      <c r="L88" s="26">
        <f>IF(K88="","",IF(K88&gt;=0.5,"עלייה",IF(K88&lt;=-0.5,"ירידה","יציב")))</f>
      </c>
    </row>
    <row r="89" ht="15" customHeight="1" spans="1:12" x14ac:dyDescent="0.25">
      <c r="A89" s="29"/>
      <c r="B89" s="28">
        <f>IF($A89="","",IFERROR(AVERAGEIFS('רווחה - קליטה'!$AQ$5:$AQ$204,'רווחה - קליטה'!$A$5:$A$204,$A89,'רווחה - קליטה'!$C$5:$C$204,"תחילת שנה"),""))</f>
      </c>
      <c r="C89" s="27">
        <f>IF($A89="","",IFERROR(AVERAGEIFS('רווחה - קליטה'!$AK$5:$AK$204,'רווחה - קליטה'!$A$5:$A$204,$A89,'רווחה - קליטה'!$C$5:$C$204,"תחילת שנה"),""))</f>
      </c>
      <c r="D89" s="26">
        <f>IF($A89="","",IFERROR(INDEX('רווחה - קליטה'!$AS$5:$AS$204,MATCH($A89&amp;"|תחילת שנה",'רווחה - קליטה'!$AE$5:$AE$204,0)),""))</f>
      </c>
      <c r="E89" s="28">
        <f>IF($A89="","",IFERROR(AVERAGEIFS('רווחה - קליטה'!$AQ$5:$AQ$204,'רווחה - קליטה'!$A$5:$A$204,$A89,'רווחה - קליטה'!$C$5:$C$204,"אמצע שנה"),""))</f>
      </c>
      <c r="F89" s="27">
        <f>IF($A89="","",IFERROR(AVERAGEIFS('רווחה - קליטה'!$AK$5:$AK$204,'רווחה - קליטה'!$A$5:$A$204,$A89,'רווחה - קליטה'!$C$5:$C$204,"אמצע שנה"),""))</f>
      </c>
      <c r="G89" s="26">
        <f>IF($A89="","",IFERROR(INDEX('רווחה - קליטה'!$AS$5:$AS$204,MATCH($A89&amp;"|אמצע שנה",'רווחה - קליטה'!$AE$5:$AE$204,0)),""))</f>
      </c>
      <c r="H89" s="28">
        <f>IF($A89="","",IFERROR(AVERAGEIFS('רווחה - קליטה'!$AQ$5:$AQ$204,'רווחה - קליטה'!$A$5:$A$204,$A89,'רווחה - קליטה'!$C$5:$C$204,"סוף שנה"),""))</f>
      </c>
      <c r="I89" s="27">
        <f>IF($A89="","",IFERROR(AVERAGEIFS('רווחה - קליטה'!$AK$5:$AK$204,'רווחה - קליטה'!$A$5:$A$204,$A89,'רווחה - קליטה'!$C$5:$C$204,"סוף שנה"),""))</f>
      </c>
      <c r="J89" s="26">
        <f>IF($A89="","",IFERROR(INDEX('רווחה - קליטה'!$AS$5:$AS$204,MATCH($A89&amp;"|סוף שנה",'רווחה - קליטה'!$AE$5:$AE$204,0)),""))</f>
      </c>
      <c r="K89" s="36">
        <f>IF(AND(ISNUMBER(B89),ISNUMBER(H89)),H89-B89,"")</f>
      </c>
      <c r="L89" s="26">
        <f>IF(K89="","",IF(K89&gt;=0.5,"עלייה",IF(K89&lt;=-0.5,"ירידה","יציב")))</f>
      </c>
    </row>
    <row r="90" ht="15" customHeight="1" spans="1:12" x14ac:dyDescent="0.25">
      <c r="A90" s="29"/>
      <c r="B90" s="28">
        <f>IF($A90="","",IFERROR(AVERAGEIFS('רווחה - קליטה'!$AQ$5:$AQ$204,'רווחה - קליטה'!$A$5:$A$204,$A90,'רווחה - קליטה'!$C$5:$C$204,"תחילת שנה"),""))</f>
      </c>
      <c r="C90" s="27">
        <f>IF($A90="","",IFERROR(AVERAGEIFS('רווחה - קליטה'!$AK$5:$AK$204,'רווחה - קליטה'!$A$5:$A$204,$A90,'רווחה - קליטה'!$C$5:$C$204,"תחילת שנה"),""))</f>
      </c>
      <c r="D90" s="26">
        <f>IF($A90="","",IFERROR(INDEX('רווחה - קליטה'!$AS$5:$AS$204,MATCH($A90&amp;"|תחילת שנה",'רווחה - קליטה'!$AE$5:$AE$204,0)),""))</f>
      </c>
      <c r="E90" s="28">
        <f>IF($A90="","",IFERROR(AVERAGEIFS('רווחה - קליטה'!$AQ$5:$AQ$204,'רווחה - קליטה'!$A$5:$A$204,$A90,'רווחה - קליטה'!$C$5:$C$204,"אמצע שנה"),""))</f>
      </c>
      <c r="F90" s="27">
        <f>IF($A90="","",IFERROR(AVERAGEIFS('רווחה - קליטה'!$AK$5:$AK$204,'רווחה - קליטה'!$A$5:$A$204,$A90,'רווחה - קליטה'!$C$5:$C$204,"אמצע שנה"),""))</f>
      </c>
      <c r="G90" s="26">
        <f>IF($A90="","",IFERROR(INDEX('רווחה - קליטה'!$AS$5:$AS$204,MATCH($A90&amp;"|אמצע שנה",'רווחה - קליטה'!$AE$5:$AE$204,0)),""))</f>
      </c>
      <c r="H90" s="28">
        <f>IF($A90="","",IFERROR(AVERAGEIFS('רווחה - קליטה'!$AQ$5:$AQ$204,'רווחה - קליטה'!$A$5:$A$204,$A90,'רווחה - קליטה'!$C$5:$C$204,"סוף שנה"),""))</f>
      </c>
      <c r="I90" s="27">
        <f>IF($A90="","",IFERROR(AVERAGEIFS('רווחה - קליטה'!$AK$5:$AK$204,'רווחה - קליטה'!$A$5:$A$204,$A90,'רווחה - קליטה'!$C$5:$C$204,"סוף שנה"),""))</f>
      </c>
      <c r="J90" s="26">
        <f>IF($A90="","",IFERROR(INDEX('רווחה - קליטה'!$AS$5:$AS$204,MATCH($A90&amp;"|סוף שנה",'רווחה - קליטה'!$AE$5:$AE$204,0)),""))</f>
      </c>
      <c r="K90" s="36">
        <f>IF(AND(ISNUMBER(B90),ISNUMBER(H90)),H90-B90,"")</f>
      </c>
      <c r="L90" s="26">
        <f>IF(K90="","",IF(K90&gt;=0.5,"עלייה",IF(K90&lt;=-0.5,"ירידה","יציב")))</f>
      </c>
    </row>
    <row r="91" ht="15" customHeight="1" spans="1:12" x14ac:dyDescent="0.25">
      <c r="A91" s="29"/>
      <c r="B91" s="28">
        <f>IF($A91="","",IFERROR(AVERAGEIFS('רווחה - קליטה'!$AQ$5:$AQ$204,'רווחה - קליטה'!$A$5:$A$204,$A91,'רווחה - קליטה'!$C$5:$C$204,"תחילת שנה"),""))</f>
      </c>
      <c r="C91" s="27">
        <f>IF($A91="","",IFERROR(AVERAGEIFS('רווחה - קליטה'!$AK$5:$AK$204,'רווחה - קליטה'!$A$5:$A$204,$A91,'רווחה - קליטה'!$C$5:$C$204,"תחילת שנה"),""))</f>
      </c>
      <c r="D91" s="26">
        <f>IF($A91="","",IFERROR(INDEX('רווחה - קליטה'!$AS$5:$AS$204,MATCH($A91&amp;"|תחילת שנה",'רווחה - קליטה'!$AE$5:$AE$204,0)),""))</f>
      </c>
      <c r="E91" s="28">
        <f>IF($A91="","",IFERROR(AVERAGEIFS('רווחה - קליטה'!$AQ$5:$AQ$204,'רווחה - קליטה'!$A$5:$A$204,$A91,'רווחה - קליטה'!$C$5:$C$204,"אמצע שנה"),""))</f>
      </c>
      <c r="F91" s="27">
        <f>IF($A91="","",IFERROR(AVERAGEIFS('רווחה - קליטה'!$AK$5:$AK$204,'רווחה - קליטה'!$A$5:$A$204,$A91,'רווחה - קליטה'!$C$5:$C$204,"אמצע שנה"),""))</f>
      </c>
      <c r="G91" s="26">
        <f>IF($A91="","",IFERROR(INDEX('רווחה - קליטה'!$AS$5:$AS$204,MATCH($A91&amp;"|אמצע שנה",'רווחה - קליטה'!$AE$5:$AE$204,0)),""))</f>
      </c>
      <c r="H91" s="28">
        <f>IF($A91="","",IFERROR(AVERAGEIFS('רווחה - קליטה'!$AQ$5:$AQ$204,'רווחה - קליטה'!$A$5:$A$204,$A91,'רווחה - קליטה'!$C$5:$C$204,"סוף שנה"),""))</f>
      </c>
      <c r="I91" s="27">
        <f>IF($A91="","",IFERROR(AVERAGEIFS('רווחה - קליטה'!$AK$5:$AK$204,'רווחה - קליטה'!$A$5:$A$204,$A91,'רווחה - קליטה'!$C$5:$C$204,"סוף שנה"),""))</f>
      </c>
      <c r="J91" s="26">
        <f>IF($A91="","",IFERROR(INDEX('רווחה - קליטה'!$AS$5:$AS$204,MATCH($A91&amp;"|סוף שנה",'רווחה - קליטה'!$AE$5:$AE$204,0)),""))</f>
      </c>
      <c r="K91" s="36">
        <f>IF(AND(ISNUMBER(B91),ISNUMBER(H91)),H91-B91,"")</f>
      </c>
      <c r="L91" s="26">
        <f>IF(K91="","",IF(K91&gt;=0.5,"עלייה",IF(K91&lt;=-0.5,"ירידה","יציב")))</f>
      </c>
    </row>
    <row r="92" ht="15" customHeight="1" spans="1:12" x14ac:dyDescent="0.25">
      <c r="A92" s="29"/>
      <c r="B92" s="28">
        <f>IF($A92="","",IFERROR(AVERAGEIFS('רווחה - קליטה'!$AQ$5:$AQ$204,'רווחה - קליטה'!$A$5:$A$204,$A92,'רווחה - קליטה'!$C$5:$C$204,"תחילת שנה"),""))</f>
      </c>
      <c r="C92" s="27">
        <f>IF($A92="","",IFERROR(AVERAGEIFS('רווחה - קליטה'!$AK$5:$AK$204,'רווחה - קליטה'!$A$5:$A$204,$A92,'רווחה - קליטה'!$C$5:$C$204,"תחילת שנה"),""))</f>
      </c>
      <c r="D92" s="26">
        <f>IF($A92="","",IFERROR(INDEX('רווחה - קליטה'!$AS$5:$AS$204,MATCH($A92&amp;"|תחילת שנה",'רווחה - קליטה'!$AE$5:$AE$204,0)),""))</f>
      </c>
      <c r="E92" s="28">
        <f>IF($A92="","",IFERROR(AVERAGEIFS('רווחה - קליטה'!$AQ$5:$AQ$204,'רווחה - קליטה'!$A$5:$A$204,$A92,'רווחה - קליטה'!$C$5:$C$204,"אמצע שנה"),""))</f>
      </c>
      <c r="F92" s="27">
        <f>IF($A92="","",IFERROR(AVERAGEIFS('רווחה - קליטה'!$AK$5:$AK$204,'רווחה - קליטה'!$A$5:$A$204,$A92,'רווחה - קליטה'!$C$5:$C$204,"אמצע שנה"),""))</f>
      </c>
      <c r="G92" s="26">
        <f>IF($A92="","",IFERROR(INDEX('רווחה - קליטה'!$AS$5:$AS$204,MATCH($A92&amp;"|אמצע שנה",'רווחה - קליטה'!$AE$5:$AE$204,0)),""))</f>
      </c>
      <c r="H92" s="28">
        <f>IF($A92="","",IFERROR(AVERAGEIFS('רווחה - קליטה'!$AQ$5:$AQ$204,'רווחה - קליטה'!$A$5:$A$204,$A92,'רווחה - קליטה'!$C$5:$C$204,"סוף שנה"),""))</f>
      </c>
      <c r="I92" s="27">
        <f>IF($A92="","",IFERROR(AVERAGEIFS('רווחה - קליטה'!$AK$5:$AK$204,'רווחה - קליטה'!$A$5:$A$204,$A92,'רווחה - קליטה'!$C$5:$C$204,"סוף שנה"),""))</f>
      </c>
      <c r="J92" s="26">
        <f>IF($A92="","",IFERROR(INDEX('רווחה - קליטה'!$AS$5:$AS$204,MATCH($A92&amp;"|סוף שנה",'רווחה - קליטה'!$AE$5:$AE$204,0)),""))</f>
      </c>
      <c r="K92" s="36">
        <f>IF(AND(ISNUMBER(B92),ISNUMBER(H92)),H92-B92,"")</f>
      </c>
      <c r="L92" s="26">
        <f>IF(K92="","",IF(K92&gt;=0.5,"עלייה",IF(K92&lt;=-0.5,"ירידה","יציב")))</f>
      </c>
    </row>
    <row r="93" ht="15" customHeight="1" spans="1:12" x14ac:dyDescent="0.25">
      <c r="A93" s="29"/>
      <c r="B93" s="28">
        <f>IF($A93="","",IFERROR(AVERAGEIFS('רווחה - קליטה'!$AQ$5:$AQ$204,'רווחה - קליטה'!$A$5:$A$204,$A93,'רווחה - קליטה'!$C$5:$C$204,"תחילת שנה"),""))</f>
      </c>
      <c r="C93" s="27">
        <f>IF($A93="","",IFERROR(AVERAGEIFS('רווחה - קליטה'!$AK$5:$AK$204,'רווחה - קליטה'!$A$5:$A$204,$A93,'רווחה - קליטה'!$C$5:$C$204,"תחילת שנה"),""))</f>
      </c>
      <c r="D93" s="26">
        <f>IF($A93="","",IFERROR(INDEX('רווחה - קליטה'!$AS$5:$AS$204,MATCH($A93&amp;"|תחילת שנה",'רווחה - קליטה'!$AE$5:$AE$204,0)),""))</f>
      </c>
      <c r="E93" s="28">
        <f>IF($A93="","",IFERROR(AVERAGEIFS('רווחה - קליטה'!$AQ$5:$AQ$204,'רווחה - קליטה'!$A$5:$A$204,$A93,'רווחה - קליטה'!$C$5:$C$204,"אמצע שנה"),""))</f>
      </c>
      <c r="F93" s="27">
        <f>IF($A93="","",IFERROR(AVERAGEIFS('רווחה - קליטה'!$AK$5:$AK$204,'רווחה - קליטה'!$A$5:$A$204,$A93,'רווחה - קליטה'!$C$5:$C$204,"אמצע שנה"),""))</f>
      </c>
      <c r="G93" s="26">
        <f>IF($A93="","",IFERROR(INDEX('רווחה - קליטה'!$AS$5:$AS$204,MATCH($A93&amp;"|אמצע שנה",'רווחה - קליטה'!$AE$5:$AE$204,0)),""))</f>
      </c>
      <c r="H93" s="28">
        <f>IF($A93="","",IFERROR(AVERAGEIFS('רווחה - קליטה'!$AQ$5:$AQ$204,'רווחה - קליטה'!$A$5:$A$204,$A93,'רווחה - קליטה'!$C$5:$C$204,"סוף שנה"),""))</f>
      </c>
      <c r="I93" s="27">
        <f>IF($A93="","",IFERROR(AVERAGEIFS('רווחה - קליטה'!$AK$5:$AK$204,'רווחה - קליטה'!$A$5:$A$204,$A93,'רווחה - קליטה'!$C$5:$C$204,"סוף שנה"),""))</f>
      </c>
      <c r="J93" s="26">
        <f>IF($A93="","",IFERROR(INDEX('רווחה - קליטה'!$AS$5:$AS$204,MATCH($A93&amp;"|סוף שנה",'רווחה - קליטה'!$AE$5:$AE$204,0)),""))</f>
      </c>
      <c r="K93" s="36">
        <f>IF(AND(ISNUMBER(B93),ISNUMBER(H93)),H93-B93,"")</f>
      </c>
      <c r="L93" s="26">
        <f>IF(K93="","",IF(K93&gt;=0.5,"עלייה",IF(K93&lt;=-0.5,"ירידה","יציב")))</f>
      </c>
    </row>
    <row r="94" ht="15" customHeight="1" spans="1:12" x14ac:dyDescent="0.25">
      <c r="A94" s="29"/>
      <c r="B94" s="28">
        <f>IF($A94="","",IFERROR(AVERAGEIFS('רווחה - קליטה'!$AQ$5:$AQ$204,'רווחה - קליטה'!$A$5:$A$204,$A94,'רווחה - קליטה'!$C$5:$C$204,"תחילת שנה"),""))</f>
      </c>
      <c r="C94" s="27">
        <f>IF($A94="","",IFERROR(AVERAGEIFS('רווחה - קליטה'!$AK$5:$AK$204,'רווחה - קליטה'!$A$5:$A$204,$A94,'רווחה - קליטה'!$C$5:$C$204,"תחילת שנה"),""))</f>
      </c>
      <c r="D94" s="26">
        <f>IF($A94="","",IFERROR(INDEX('רווחה - קליטה'!$AS$5:$AS$204,MATCH($A94&amp;"|תחילת שנה",'רווחה - קליטה'!$AE$5:$AE$204,0)),""))</f>
      </c>
      <c r="E94" s="28">
        <f>IF($A94="","",IFERROR(AVERAGEIFS('רווחה - קליטה'!$AQ$5:$AQ$204,'רווחה - קליטה'!$A$5:$A$204,$A94,'רווחה - קליטה'!$C$5:$C$204,"אמצע שנה"),""))</f>
      </c>
      <c r="F94" s="27">
        <f>IF($A94="","",IFERROR(AVERAGEIFS('רווחה - קליטה'!$AK$5:$AK$204,'רווחה - קליטה'!$A$5:$A$204,$A94,'רווחה - קליטה'!$C$5:$C$204,"אמצע שנה"),""))</f>
      </c>
      <c r="G94" s="26">
        <f>IF($A94="","",IFERROR(INDEX('רווחה - קליטה'!$AS$5:$AS$204,MATCH($A94&amp;"|אמצע שנה",'רווחה - קליטה'!$AE$5:$AE$204,0)),""))</f>
      </c>
      <c r="H94" s="28">
        <f>IF($A94="","",IFERROR(AVERAGEIFS('רווחה - קליטה'!$AQ$5:$AQ$204,'רווחה - קליטה'!$A$5:$A$204,$A94,'רווחה - קליטה'!$C$5:$C$204,"סוף שנה"),""))</f>
      </c>
      <c r="I94" s="27">
        <f>IF($A94="","",IFERROR(AVERAGEIFS('רווחה - קליטה'!$AK$5:$AK$204,'רווחה - קליטה'!$A$5:$A$204,$A94,'רווחה - קליטה'!$C$5:$C$204,"סוף שנה"),""))</f>
      </c>
      <c r="J94" s="26">
        <f>IF($A94="","",IFERROR(INDEX('רווחה - קליטה'!$AS$5:$AS$204,MATCH($A94&amp;"|סוף שנה",'רווחה - קליטה'!$AE$5:$AE$204,0)),""))</f>
      </c>
      <c r="K94" s="36">
        <f>IF(AND(ISNUMBER(B94),ISNUMBER(H94)),H94-B94,"")</f>
      </c>
      <c r="L94" s="26">
        <f>IF(K94="","",IF(K94&gt;=0.5,"עלייה",IF(K94&lt;=-0.5,"ירידה","יציב")))</f>
      </c>
    </row>
    <row r="95" ht="15" customHeight="1" spans="1:12" x14ac:dyDescent="0.25">
      <c r="A95" s="29"/>
      <c r="B95" s="28">
        <f>IF($A95="","",IFERROR(AVERAGEIFS('רווחה - קליטה'!$AQ$5:$AQ$204,'רווחה - קליטה'!$A$5:$A$204,$A95,'רווחה - קליטה'!$C$5:$C$204,"תחילת שנה"),""))</f>
      </c>
      <c r="C95" s="27">
        <f>IF($A95="","",IFERROR(AVERAGEIFS('רווחה - קליטה'!$AK$5:$AK$204,'רווחה - קליטה'!$A$5:$A$204,$A95,'רווחה - קליטה'!$C$5:$C$204,"תחילת שנה"),""))</f>
      </c>
      <c r="D95" s="26">
        <f>IF($A95="","",IFERROR(INDEX('רווחה - קליטה'!$AS$5:$AS$204,MATCH($A95&amp;"|תחילת שנה",'רווחה - קליטה'!$AE$5:$AE$204,0)),""))</f>
      </c>
      <c r="E95" s="28">
        <f>IF($A95="","",IFERROR(AVERAGEIFS('רווחה - קליטה'!$AQ$5:$AQ$204,'רווחה - קליטה'!$A$5:$A$204,$A95,'רווחה - קליטה'!$C$5:$C$204,"אמצע שנה"),""))</f>
      </c>
      <c r="F95" s="27">
        <f>IF($A95="","",IFERROR(AVERAGEIFS('רווחה - קליטה'!$AK$5:$AK$204,'רווחה - קליטה'!$A$5:$A$204,$A95,'רווחה - קליטה'!$C$5:$C$204,"אמצע שנה"),""))</f>
      </c>
      <c r="G95" s="26">
        <f>IF($A95="","",IFERROR(INDEX('רווחה - קליטה'!$AS$5:$AS$204,MATCH($A95&amp;"|אמצע שנה",'רווחה - קליטה'!$AE$5:$AE$204,0)),""))</f>
      </c>
      <c r="H95" s="28">
        <f>IF($A95="","",IFERROR(AVERAGEIFS('רווחה - קליטה'!$AQ$5:$AQ$204,'רווחה - קליטה'!$A$5:$A$204,$A95,'רווחה - קליטה'!$C$5:$C$204,"סוף שנה"),""))</f>
      </c>
      <c r="I95" s="27">
        <f>IF($A95="","",IFERROR(AVERAGEIFS('רווחה - קליטה'!$AK$5:$AK$204,'רווחה - קליטה'!$A$5:$A$204,$A95,'רווחה - קליטה'!$C$5:$C$204,"סוף שנה"),""))</f>
      </c>
      <c r="J95" s="26">
        <f>IF($A95="","",IFERROR(INDEX('רווחה - קליטה'!$AS$5:$AS$204,MATCH($A95&amp;"|סוף שנה",'רווחה - קליטה'!$AE$5:$AE$204,0)),""))</f>
      </c>
      <c r="K95" s="36">
        <f>IF(AND(ISNUMBER(B95),ISNUMBER(H95)),H95-B95,"")</f>
      </c>
      <c r="L95" s="26">
        <f>IF(K95="","",IF(K95&gt;=0.5,"עלייה",IF(K95&lt;=-0.5,"ירידה","יציב")))</f>
      </c>
    </row>
    <row r="96" ht="15" customHeight="1" spans="1:12" x14ac:dyDescent="0.25">
      <c r="A96" s="29"/>
      <c r="B96" s="28">
        <f>IF($A96="","",IFERROR(AVERAGEIFS('רווחה - קליטה'!$AQ$5:$AQ$204,'רווחה - קליטה'!$A$5:$A$204,$A96,'רווחה - קליטה'!$C$5:$C$204,"תחילת שנה"),""))</f>
      </c>
      <c r="C96" s="27">
        <f>IF($A96="","",IFERROR(AVERAGEIFS('רווחה - קליטה'!$AK$5:$AK$204,'רווחה - קליטה'!$A$5:$A$204,$A96,'רווחה - קליטה'!$C$5:$C$204,"תחילת שנה"),""))</f>
      </c>
      <c r="D96" s="26">
        <f>IF($A96="","",IFERROR(INDEX('רווחה - קליטה'!$AS$5:$AS$204,MATCH($A96&amp;"|תחילת שנה",'רווחה - קליטה'!$AE$5:$AE$204,0)),""))</f>
      </c>
      <c r="E96" s="28">
        <f>IF($A96="","",IFERROR(AVERAGEIFS('רווחה - קליטה'!$AQ$5:$AQ$204,'רווחה - קליטה'!$A$5:$A$204,$A96,'רווחה - קליטה'!$C$5:$C$204,"אמצע שנה"),""))</f>
      </c>
      <c r="F96" s="27">
        <f>IF($A96="","",IFERROR(AVERAGEIFS('רווחה - קליטה'!$AK$5:$AK$204,'רווחה - קליטה'!$A$5:$A$204,$A96,'רווחה - קליטה'!$C$5:$C$204,"אמצע שנה"),""))</f>
      </c>
      <c r="G96" s="26">
        <f>IF($A96="","",IFERROR(INDEX('רווחה - קליטה'!$AS$5:$AS$204,MATCH($A96&amp;"|אמצע שנה",'רווחה - קליטה'!$AE$5:$AE$204,0)),""))</f>
      </c>
      <c r="H96" s="28">
        <f>IF($A96="","",IFERROR(AVERAGEIFS('רווחה - קליטה'!$AQ$5:$AQ$204,'רווחה - קליטה'!$A$5:$A$204,$A96,'רווחה - קליטה'!$C$5:$C$204,"סוף שנה"),""))</f>
      </c>
      <c r="I96" s="27">
        <f>IF($A96="","",IFERROR(AVERAGEIFS('רווחה - קליטה'!$AK$5:$AK$204,'רווחה - קליטה'!$A$5:$A$204,$A96,'רווחה - קליטה'!$C$5:$C$204,"סוף שנה"),""))</f>
      </c>
      <c r="J96" s="26">
        <f>IF($A96="","",IFERROR(INDEX('רווחה - קליטה'!$AS$5:$AS$204,MATCH($A96&amp;"|סוף שנה",'רווחה - קליטה'!$AE$5:$AE$204,0)),""))</f>
      </c>
      <c r="K96" s="36">
        <f>IF(AND(ISNUMBER(B96),ISNUMBER(H96)),H96-B96,"")</f>
      </c>
      <c r="L96" s="26">
        <f>IF(K96="","",IF(K96&gt;=0.5,"עלייה",IF(K96&lt;=-0.5,"ירידה","יציב")))</f>
      </c>
    </row>
    <row r="97" ht="15" customHeight="1" spans="1:12" x14ac:dyDescent="0.25">
      <c r="A97" s="29"/>
      <c r="B97" s="28">
        <f>IF($A97="","",IFERROR(AVERAGEIFS('רווחה - קליטה'!$AQ$5:$AQ$204,'רווחה - קליטה'!$A$5:$A$204,$A97,'רווחה - קליטה'!$C$5:$C$204,"תחילת שנה"),""))</f>
      </c>
      <c r="C97" s="27">
        <f>IF($A97="","",IFERROR(AVERAGEIFS('רווחה - קליטה'!$AK$5:$AK$204,'רווחה - קליטה'!$A$5:$A$204,$A97,'רווחה - קליטה'!$C$5:$C$204,"תחילת שנה"),""))</f>
      </c>
      <c r="D97" s="26">
        <f>IF($A97="","",IFERROR(INDEX('רווחה - קליטה'!$AS$5:$AS$204,MATCH($A97&amp;"|תחילת שנה",'רווחה - קליטה'!$AE$5:$AE$204,0)),""))</f>
      </c>
      <c r="E97" s="28">
        <f>IF($A97="","",IFERROR(AVERAGEIFS('רווחה - קליטה'!$AQ$5:$AQ$204,'רווחה - קליטה'!$A$5:$A$204,$A97,'רווחה - קליטה'!$C$5:$C$204,"אמצע שנה"),""))</f>
      </c>
      <c r="F97" s="27">
        <f>IF($A97="","",IFERROR(AVERAGEIFS('רווחה - קליטה'!$AK$5:$AK$204,'רווחה - קליטה'!$A$5:$A$204,$A97,'רווחה - קליטה'!$C$5:$C$204,"אמצע שנה"),""))</f>
      </c>
      <c r="G97" s="26">
        <f>IF($A97="","",IFERROR(INDEX('רווחה - קליטה'!$AS$5:$AS$204,MATCH($A97&amp;"|אמצע שנה",'רווחה - קליטה'!$AE$5:$AE$204,0)),""))</f>
      </c>
      <c r="H97" s="28">
        <f>IF($A97="","",IFERROR(AVERAGEIFS('רווחה - קליטה'!$AQ$5:$AQ$204,'רווחה - קליטה'!$A$5:$A$204,$A97,'רווחה - קליטה'!$C$5:$C$204,"סוף שנה"),""))</f>
      </c>
      <c r="I97" s="27">
        <f>IF($A97="","",IFERROR(AVERAGEIFS('רווחה - קליטה'!$AK$5:$AK$204,'רווחה - קליטה'!$A$5:$A$204,$A97,'רווחה - קליטה'!$C$5:$C$204,"סוף שנה"),""))</f>
      </c>
      <c r="J97" s="26">
        <f>IF($A97="","",IFERROR(INDEX('רווחה - קליטה'!$AS$5:$AS$204,MATCH($A97&amp;"|סוף שנה",'רווחה - קליטה'!$AE$5:$AE$204,0)),""))</f>
      </c>
      <c r="K97" s="36">
        <f>IF(AND(ISNUMBER(B97),ISNUMBER(H97)),H97-B97,"")</f>
      </c>
      <c r="L97" s="26">
        <f>IF(K97="","",IF(K97&gt;=0.5,"עלייה",IF(K97&lt;=-0.5,"ירידה","יציב")))</f>
      </c>
    </row>
    <row r="98" ht="15" customHeight="1" spans="1:12" x14ac:dyDescent="0.25">
      <c r="A98" s="29"/>
      <c r="B98" s="28">
        <f>IF($A98="","",IFERROR(AVERAGEIFS('רווחה - קליטה'!$AQ$5:$AQ$204,'רווחה - קליטה'!$A$5:$A$204,$A98,'רווחה - קליטה'!$C$5:$C$204,"תחילת שנה"),""))</f>
      </c>
      <c r="C98" s="27">
        <f>IF($A98="","",IFERROR(AVERAGEIFS('רווחה - קליטה'!$AK$5:$AK$204,'רווחה - קליטה'!$A$5:$A$204,$A98,'רווחה - קליטה'!$C$5:$C$204,"תחילת שנה"),""))</f>
      </c>
      <c r="D98" s="26">
        <f>IF($A98="","",IFERROR(INDEX('רווחה - קליטה'!$AS$5:$AS$204,MATCH($A98&amp;"|תחילת שנה",'רווחה - קליטה'!$AE$5:$AE$204,0)),""))</f>
      </c>
      <c r="E98" s="28">
        <f>IF($A98="","",IFERROR(AVERAGEIFS('רווחה - קליטה'!$AQ$5:$AQ$204,'רווחה - קליטה'!$A$5:$A$204,$A98,'רווחה - קליטה'!$C$5:$C$204,"אמצע שנה"),""))</f>
      </c>
      <c r="F98" s="27">
        <f>IF($A98="","",IFERROR(AVERAGEIFS('רווחה - קליטה'!$AK$5:$AK$204,'רווחה - קליטה'!$A$5:$A$204,$A98,'רווחה - קליטה'!$C$5:$C$204,"אמצע שנה"),""))</f>
      </c>
      <c r="G98" s="26">
        <f>IF($A98="","",IFERROR(INDEX('רווחה - קליטה'!$AS$5:$AS$204,MATCH($A98&amp;"|אמצע שנה",'רווחה - קליטה'!$AE$5:$AE$204,0)),""))</f>
      </c>
      <c r="H98" s="28">
        <f>IF($A98="","",IFERROR(AVERAGEIFS('רווחה - קליטה'!$AQ$5:$AQ$204,'רווחה - קליטה'!$A$5:$A$204,$A98,'רווחה - קליטה'!$C$5:$C$204,"סוף שנה"),""))</f>
      </c>
      <c r="I98" s="27">
        <f>IF($A98="","",IFERROR(AVERAGEIFS('רווחה - קליטה'!$AK$5:$AK$204,'רווחה - קליטה'!$A$5:$A$204,$A98,'רווחה - קליטה'!$C$5:$C$204,"סוף שנה"),""))</f>
      </c>
      <c r="J98" s="26">
        <f>IF($A98="","",IFERROR(INDEX('רווחה - קליטה'!$AS$5:$AS$204,MATCH($A98&amp;"|סוף שנה",'רווחה - קליטה'!$AE$5:$AE$204,0)),""))</f>
      </c>
      <c r="K98" s="36">
        <f>IF(AND(ISNUMBER(B98),ISNUMBER(H98)),H98-B98,"")</f>
      </c>
      <c r="L98" s="26">
        <f>IF(K98="","",IF(K98&gt;=0.5,"עלייה",IF(K98&lt;=-0.5,"ירידה","יציב")))</f>
      </c>
    </row>
    <row r="99" ht="15" customHeight="1" spans="1:12" x14ac:dyDescent="0.25">
      <c r="A99" s="29"/>
      <c r="B99" s="28">
        <f>IF($A99="","",IFERROR(AVERAGEIFS('רווחה - קליטה'!$AQ$5:$AQ$204,'רווחה - קליטה'!$A$5:$A$204,$A99,'רווחה - קליטה'!$C$5:$C$204,"תחילת שנה"),""))</f>
      </c>
      <c r="C99" s="27">
        <f>IF($A99="","",IFERROR(AVERAGEIFS('רווחה - קליטה'!$AK$5:$AK$204,'רווחה - קליטה'!$A$5:$A$204,$A99,'רווחה - קליטה'!$C$5:$C$204,"תחילת שנה"),""))</f>
      </c>
      <c r="D99" s="26">
        <f>IF($A99="","",IFERROR(INDEX('רווחה - קליטה'!$AS$5:$AS$204,MATCH($A99&amp;"|תחילת שנה",'רווחה - קליטה'!$AE$5:$AE$204,0)),""))</f>
      </c>
      <c r="E99" s="28">
        <f>IF($A99="","",IFERROR(AVERAGEIFS('רווחה - קליטה'!$AQ$5:$AQ$204,'רווחה - קליטה'!$A$5:$A$204,$A99,'רווחה - קליטה'!$C$5:$C$204,"אמצע שנה"),""))</f>
      </c>
      <c r="F99" s="27">
        <f>IF($A99="","",IFERROR(AVERAGEIFS('רווחה - קליטה'!$AK$5:$AK$204,'רווחה - קליטה'!$A$5:$A$204,$A99,'רווחה - קליטה'!$C$5:$C$204,"אמצע שנה"),""))</f>
      </c>
      <c r="G99" s="26">
        <f>IF($A99="","",IFERROR(INDEX('רווחה - קליטה'!$AS$5:$AS$204,MATCH($A99&amp;"|אמצע שנה",'רווחה - קליטה'!$AE$5:$AE$204,0)),""))</f>
      </c>
      <c r="H99" s="28">
        <f>IF($A99="","",IFERROR(AVERAGEIFS('רווחה - קליטה'!$AQ$5:$AQ$204,'רווחה - קליטה'!$A$5:$A$204,$A99,'רווחה - קליטה'!$C$5:$C$204,"סוף שנה"),""))</f>
      </c>
      <c r="I99" s="27">
        <f>IF($A99="","",IFERROR(AVERAGEIFS('רווחה - קליטה'!$AK$5:$AK$204,'רווחה - קליטה'!$A$5:$A$204,$A99,'רווחה - קליטה'!$C$5:$C$204,"סוף שנה"),""))</f>
      </c>
      <c r="J99" s="26">
        <f>IF($A99="","",IFERROR(INDEX('רווחה - קליטה'!$AS$5:$AS$204,MATCH($A99&amp;"|סוף שנה",'רווחה - קליטה'!$AE$5:$AE$204,0)),""))</f>
      </c>
      <c r="K99" s="36">
        <f>IF(AND(ISNUMBER(B99),ISNUMBER(H99)),H99-B99,"")</f>
      </c>
      <c r="L99" s="26">
        <f>IF(K99="","",IF(K99&gt;=0.5,"עלייה",IF(K99&lt;=-0.5,"ירידה","יציב")))</f>
      </c>
    </row>
    <row r="100" ht="15" customHeight="1" spans="1:12" x14ac:dyDescent="0.25">
      <c r="A100" s="29"/>
      <c r="B100" s="28">
        <f>IF($A100="","",IFERROR(AVERAGEIFS('רווחה - קליטה'!$AQ$5:$AQ$204,'רווחה - קליטה'!$A$5:$A$204,$A100,'רווחה - קליטה'!$C$5:$C$204,"תחילת שנה"),""))</f>
      </c>
      <c r="C100" s="27">
        <f>IF($A100="","",IFERROR(AVERAGEIFS('רווחה - קליטה'!$AK$5:$AK$204,'רווחה - קליטה'!$A$5:$A$204,$A100,'רווחה - קליטה'!$C$5:$C$204,"תחילת שנה"),""))</f>
      </c>
      <c r="D100" s="26">
        <f>IF($A100="","",IFERROR(INDEX('רווחה - קליטה'!$AS$5:$AS$204,MATCH($A100&amp;"|תחילת שנה",'רווחה - קליטה'!$AE$5:$AE$204,0)),""))</f>
      </c>
      <c r="E100" s="28">
        <f>IF($A100="","",IFERROR(AVERAGEIFS('רווחה - קליטה'!$AQ$5:$AQ$204,'רווחה - קליטה'!$A$5:$A$204,$A100,'רווחה - קליטה'!$C$5:$C$204,"אמצע שנה"),""))</f>
      </c>
      <c r="F100" s="27">
        <f>IF($A100="","",IFERROR(AVERAGEIFS('רווחה - קליטה'!$AK$5:$AK$204,'רווחה - קליטה'!$A$5:$A$204,$A100,'רווחה - קליטה'!$C$5:$C$204,"אמצע שנה"),""))</f>
      </c>
      <c r="G100" s="26">
        <f>IF($A100="","",IFERROR(INDEX('רווחה - קליטה'!$AS$5:$AS$204,MATCH($A100&amp;"|אמצע שנה",'רווחה - קליטה'!$AE$5:$AE$204,0)),""))</f>
      </c>
      <c r="H100" s="28">
        <f>IF($A100="","",IFERROR(AVERAGEIFS('רווחה - קליטה'!$AQ$5:$AQ$204,'רווחה - קליטה'!$A$5:$A$204,$A100,'רווחה - קליטה'!$C$5:$C$204,"סוף שנה"),""))</f>
      </c>
      <c r="I100" s="27">
        <f>IF($A100="","",IFERROR(AVERAGEIFS('רווחה - קליטה'!$AK$5:$AK$204,'רווחה - קליטה'!$A$5:$A$204,$A100,'רווחה - קליטה'!$C$5:$C$204,"סוף שנה"),""))</f>
      </c>
      <c r="J100" s="26">
        <f>IF($A100="","",IFERROR(INDEX('רווחה - קליטה'!$AS$5:$AS$204,MATCH($A100&amp;"|סוף שנה",'רווחה - קליטה'!$AE$5:$AE$204,0)),""))</f>
      </c>
      <c r="K100" s="36">
        <f>IF(AND(ISNUMBER(B100),ISNUMBER(H100)),H100-B100,"")</f>
      </c>
      <c r="L100" s="26">
        <f>IF(K100="","",IF(K100&gt;=0.5,"עלייה",IF(K100&lt;=-0.5,"ירידה","יציב")))</f>
      </c>
    </row>
    <row r="101" ht="15" customHeight="1" spans="1:12" x14ac:dyDescent="0.25">
      <c r="A101" s="29"/>
      <c r="B101" s="28">
        <f>IF($A101="","",IFERROR(AVERAGEIFS('רווחה - קליטה'!$AQ$5:$AQ$204,'רווחה - קליטה'!$A$5:$A$204,$A101,'רווחה - קליטה'!$C$5:$C$204,"תחילת שנה"),""))</f>
      </c>
      <c r="C101" s="27">
        <f>IF($A101="","",IFERROR(AVERAGEIFS('רווחה - קליטה'!$AK$5:$AK$204,'רווחה - קליטה'!$A$5:$A$204,$A101,'רווחה - קליטה'!$C$5:$C$204,"תחילת שנה"),""))</f>
      </c>
      <c r="D101" s="26">
        <f>IF($A101="","",IFERROR(INDEX('רווחה - קליטה'!$AS$5:$AS$204,MATCH($A101&amp;"|תחילת שנה",'רווחה - קליטה'!$AE$5:$AE$204,0)),""))</f>
      </c>
      <c r="E101" s="28">
        <f>IF($A101="","",IFERROR(AVERAGEIFS('רווחה - קליטה'!$AQ$5:$AQ$204,'רווחה - קליטה'!$A$5:$A$204,$A101,'רווחה - קליטה'!$C$5:$C$204,"אמצע שנה"),""))</f>
      </c>
      <c r="F101" s="27">
        <f>IF($A101="","",IFERROR(AVERAGEIFS('רווחה - קליטה'!$AK$5:$AK$204,'רווחה - קליטה'!$A$5:$A$204,$A101,'רווחה - קליטה'!$C$5:$C$204,"אמצע שנה"),""))</f>
      </c>
      <c r="G101" s="26">
        <f>IF($A101="","",IFERROR(INDEX('רווחה - קליטה'!$AS$5:$AS$204,MATCH($A101&amp;"|אמצע שנה",'רווחה - קליטה'!$AE$5:$AE$204,0)),""))</f>
      </c>
      <c r="H101" s="28">
        <f>IF($A101="","",IFERROR(AVERAGEIFS('רווחה - קליטה'!$AQ$5:$AQ$204,'רווחה - קליטה'!$A$5:$A$204,$A101,'רווחה - קליטה'!$C$5:$C$204,"סוף שנה"),""))</f>
      </c>
      <c r="I101" s="27">
        <f>IF($A101="","",IFERROR(AVERAGEIFS('רווחה - קליטה'!$AK$5:$AK$204,'רווחה - קליטה'!$A$5:$A$204,$A101,'רווחה - קליטה'!$C$5:$C$204,"סוף שנה"),""))</f>
      </c>
      <c r="J101" s="26">
        <f>IF($A101="","",IFERROR(INDEX('רווחה - קליטה'!$AS$5:$AS$204,MATCH($A101&amp;"|סוף שנה",'רווחה - קליטה'!$AE$5:$AE$204,0)),""))</f>
      </c>
      <c r="K101" s="36">
        <f>IF(AND(ISNUMBER(B101),ISNUMBER(H101)),H101-B101,"")</f>
      </c>
      <c r="L101" s="26">
        <f>IF(K101="","",IF(K101&gt;=0.5,"עלייה",IF(K101&lt;=-0.5,"ירידה","יציב")))</f>
      </c>
    </row>
    <row r="102" ht="15" customHeight="1" spans="1:12" x14ac:dyDescent="0.25">
      <c r="A102" s="29"/>
      <c r="B102" s="28">
        <f>IF($A102="","",IFERROR(AVERAGEIFS('רווחה - קליטה'!$AQ$5:$AQ$204,'רווחה - קליטה'!$A$5:$A$204,$A102,'רווחה - קליטה'!$C$5:$C$204,"תחילת שנה"),""))</f>
      </c>
      <c r="C102" s="27">
        <f>IF($A102="","",IFERROR(AVERAGEIFS('רווחה - קליטה'!$AK$5:$AK$204,'רווחה - קליטה'!$A$5:$A$204,$A102,'רווחה - קליטה'!$C$5:$C$204,"תחילת שנה"),""))</f>
      </c>
      <c r="D102" s="26">
        <f>IF($A102="","",IFERROR(INDEX('רווחה - קליטה'!$AS$5:$AS$204,MATCH($A102&amp;"|תחילת שנה",'רווחה - קליטה'!$AE$5:$AE$204,0)),""))</f>
      </c>
      <c r="E102" s="28">
        <f>IF($A102="","",IFERROR(AVERAGEIFS('רווחה - קליטה'!$AQ$5:$AQ$204,'רווחה - קליטה'!$A$5:$A$204,$A102,'רווחה - קליטה'!$C$5:$C$204,"אמצע שנה"),""))</f>
      </c>
      <c r="F102" s="27">
        <f>IF($A102="","",IFERROR(AVERAGEIFS('רווחה - קליטה'!$AK$5:$AK$204,'רווחה - קליטה'!$A$5:$A$204,$A102,'רווחה - קליטה'!$C$5:$C$204,"אמצע שנה"),""))</f>
      </c>
      <c r="G102" s="26">
        <f>IF($A102="","",IFERROR(INDEX('רווחה - קליטה'!$AS$5:$AS$204,MATCH($A102&amp;"|אמצע שנה",'רווחה - קליטה'!$AE$5:$AE$204,0)),""))</f>
      </c>
      <c r="H102" s="28">
        <f>IF($A102="","",IFERROR(AVERAGEIFS('רווחה - קליטה'!$AQ$5:$AQ$204,'רווחה - קליטה'!$A$5:$A$204,$A102,'רווחה - קליטה'!$C$5:$C$204,"סוף שנה"),""))</f>
      </c>
      <c r="I102" s="27">
        <f>IF($A102="","",IFERROR(AVERAGEIFS('רווחה - קליטה'!$AK$5:$AK$204,'רווחה - קליטה'!$A$5:$A$204,$A102,'רווחה - קליטה'!$C$5:$C$204,"סוף שנה"),""))</f>
      </c>
      <c r="J102" s="26">
        <f>IF($A102="","",IFERROR(INDEX('רווחה - קליטה'!$AS$5:$AS$204,MATCH($A102&amp;"|סוף שנה",'רווחה - קליטה'!$AE$5:$AE$204,0)),""))</f>
      </c>
      <c r="K102" s="36">
        <f>IF(AND(ISNUMBER(B102),ISNUMBER(H102)),H102-B102,"")</f>
      </c>
      <c r="L102" s="26">
        <f>IF(K102="","",IF(K102&gt;=0.5,"עלייה",IF(K102&lt;=-0.5,"ירידה","יציב")))</f>
      </c>
    </row>
    <row r="103" ht="15" customHeight="1" spans="1:12" x14ac:dyDescent="0.25">
      <c r="A103" s="29"/>
      <c r="B103" s="28">
        <f>IF($A103="","",IFERROR(AVERAGEIFS('רווחה - קליטה'!$AQ$5:$AQ$204,'רווחה - קליטה'!$A$5:$A$204,$A103,'רווחה - קליטה'!$C$5:$C$204,"תחילת שנה"),""))</f>
      </c>
      <c r="C103" s="27">
        <f>IF($A103="","",IFERROR(AVERAGEIFS('רווחה - קליטה'!$AK$5:$AK$204,'רווחה - קליטה'!$A$5:$A$204,$A103,'רווחה - קליטה'!$C$5:$C$204,"תחילת שנה"),""))</f>
      </c>
      <c r="D103" s="26">
        <f>IF($A103="","",IFERROR(INDEX('רווחה - קליטה'!$AS$5:$AS$204,MATCH($A103&amp;"|תחילת שנה",'רווחה - קליטה'!$AE$5:$AE$204,0)),""))</f>
      </c>
      <c r="E103" s="28">
        <f>IF($A103="","",IFERROR(AVERAGEIFS('רווחה - קליטה'!$AQ$5:$AQ$204,'רווחה - קליטה'!$A$5:$A$204,$A103,'רווחה - קליטה'!$C$5:$C$204,"אמצע שנה"),""))</f>
      </c>
      <c r="F103" s="27">
        <f>IF($A103="","",IFERROR(AVERAGEIFS('רווחה - קליטה'!$AK$5:$AK$204,'רווחה - קליטה'!$A$5:$A$204,$A103,'רווחה - קליטה'!$C$5:$C$204,"אמצע שנה"),""))</f>
      </c>
      <c r="G103" s="26">
        <f>IF($A103="","",IFERROR(INDEX('רווחה - קליטה'!$AS$5:$AS$204,MATCH($A103&amp;"|אמצע שנה",'רווחה - קליטה'!$AE$5:$AE$204,0)),""))</f>
      </c>
      <c r="H103" s="28">
        <f>IF($A103="","",IFERROR(AVERAGEIFS('רווחה - קליטה'!$AQ$5:$AQ$204,'רווחה - קליטה'!$A$5:$A$204,$A103,'רווחה - קליטה'!$C$5:$C$204,"סוף שנה"),""))</f>
      </c>
      <c r="I103" s="27">
        <f>IF($A103="","",IFERROR(AVERAGEIFS('רווחה - קליטה'!$AK$5:$AK$204,'רווחה - קליטה'!$A$5:$A$204,$A103,'רווחה - קליטה'!$C$5:$C$204,"סוף שנה"),""))</f>
      </c>
      <c r="J103" s="26">
        <f>IF($A103="","",IFERROR(INDEX('רווחה - קליטה'!$AS$5:$AS$204,MATCH($A103&amp;"|סוף שנה",'רווחה - קליטה'!$AE$5:$AE$204,0)),""))</f>
      </c>
      <c r="K103" s="36">
        <f>IF(AND(ISNUMBER(B103),ISNUMBER(H103)),H103-B103,"")</f>
      </c>
      <c r="L103" s="26">
        <f>IF(K103="","",IF(K103&gt;=0.5,"עלייה",IF(K103&lt;=-0.5,"ירידה","יציב")))</f>
      </c>
    </row>
    <row r="104" ht="15" customHeight="1" spans="1:12" x14ac:dyDescent="0.25">
      <c r="A104" s="29"/>
      <c r="B104" s="28">
        <f>IF($A104="","",IFERROR(AVERAGEIFS('רווחה - קליטה'!$AQ$5:$AQ$204,'רווחה - קליטה'!$A$5:$A$204,$A104,'רווחה - קליטה'!$C$5:$C$204,"תחילת שנה"),""))</f>
      </c>
      <c r="C104" s="27">
        <f>IF($A104="","",IFERROR(AVERAGEIFS('רווחה - קליטה'!$AK$5:$AK$204,'רווחה - קליטה'!$A$5:$A$204,$A104,'רווחה - קליטה'!$C$5:$C$204,"תחילת שנה"),""))</f>
      </c>
      <c r="D104" s="26">
        <f>IF($A104="","",IFERROR(INDEX('רווחה - קליטה'!$AS$5:$AS$204,MATCH($A104&amp;"|תחילת שנה",'רווחה - קליטה'!$AE$5:$AE$204,0)),""))</f>
      </c>
      <c r="E104" s="28">
        <f>IF($A104="","",IFERROR(AVERAGEIFS('רווחה - קליטה'!$AQ$5:$AQ$204,'רווחה - קליטה'!$A$5:$A$204,$A104,'רווחה - קליטה'!$C$5:$C$204,"אמצע שנה"),""))</f>
      </c>
      <c r="F104" s="27">
        <f>IF($A104="","",IFERROR(AVERAGEIFS('רווחה - קליטה'!$AK$5:$AK$204,'רווחה - קליטה'!$A$5:$A$204,$A104,'רווחה - קליטה'!$C$5:$C$204,"אמצע שנה"),""))</f>
      </c>
      <c r="G104" s="26">
        <f>IF($A104="","",IFERROR(INDEX('רווחה - קליטה'!$AS$5:$AS$204,MATCH($A104&amp;"|אמצע שנה",'רווחה - קליטה'!$AE$5:$AE$204,0)),""))</f>
      </c>
      <c r="H104" s="28">
        <f>IF($A104="","",IFERROR(AVERAGEIFS('רווחה - קליטה'!$AQ$5:$AQ$204,'רווחה - קליטה'!$A$5:$A$204,$A104,'רווחה - קליטה'!$C$5:$C$204,"סוף שנה"),""))</f>
      </c>
      <c r="I104" s="27">
        <f>IF($A104="","",IFERROR(AVERAGEIFS('רווחה - קליטה'!$AK$5:$AK$204,'רווחה - קליטה'!$A$5:$A$204,$A104,'רווחה - קליטה'!$C$5:$C$204,"סוף שנה"),""))</f>
      </c>
      <c r="J104" s="26">
        <f>IF($A104="","",IFERROR(INDEX('רווחה - קליטה'!$AS$5:$AS$204,MATCH($A104&amp;"|סוף שנה",'רווחה - קליטה'!$AE$5:$AE$204,0)),""))</f>
      </c>
      <c r="K104" s="36">
        <f>IF(AND(ISNUMBER(B104),ISNUMBER(H104)),H104-B104,"")</f>
      </c>
      <c r="L104" s="26">
        <f>IF(K104="","",IF(K104&gt;=0.5,"עלייה",IF(K104&lt;=-0.5,"ירידה","יציב")))</f>
      </c>
    </row>
    <row r="105" ht="15" customHeight="1" spans="1:12" x14ac:dyDescent="0.25">
      <c r="A105" s="29"/>
      <c r="B105" s="28">
        <f>IF($A105="","",IFERROR(AVERAGEIFS('רווחה - קליטה'!$AQ$5:$AQ$204,'רווחה - קליטה'!$A$5:$A$204,$A105,'רווחה - קליטה'!$C$5:$C$204,"תחילת שנה"),""))</f>
      </c>
      <c r="C105" s="27">
        <f>IF($A105="","",IFERROR(AVERAGEIFS('רווחה - קליטה'!$AK$5:$AK$204,'רווחה - קליטה'!$A$5:$A$204,$A105,'רווחה - קליטה'!$C$5:$C$204,"תחילת שנה"),""))</f>
      </c>
      <c r="D105" s="26">
        <f>IF($A105="","",IFERROR(INDEX('רווחה - קליטה'!$AS$5:$AS$204,MATCH($A105&amp;"|תחילת שנה",'רווחה - קליטה'!$AE$5:$AE$204,0)),""))</f>
      </c>
      <c r="E105" s="28">
        <f>IF($A105="","",IFERROR(AVERAGEIFS('רווחה - קליטה'!$AQ$5:$AQ$204,'רווחה - קליטה'!$A$5:$A$204,$A105,'רווחה - קליטה'!$C$5:$C$204,"אמצע שנה"),""))</f>
      </c>
      <c r="F105" s="27">
        <f>IF($A105="","",IFERROR(AVERAGEIFS('רווחה - קליטה'!$AK$5:$AK$204,'רווחה - קליטה'!$A$5:$A$204,$A105,'רווחה - קליטה'!$C$5:$C$204,"אמצע שנה"),""))</f>
      </c>
      <c r="G105" s="26">
        <f>IF($A105="","",IFERROR(INDEX('רווחה - קליטה'!$AS$5:$AS$204,MATCH($A105&amp;"|אמצע שנה",'רווחה - קליטה'!$AE$5:$AE$204,0)),""))</f>
      </c>
      <c r="H105" s="28">
        <f>IF($A105="","",IFERROR(AVERAGEIFS('רווחה - קליטה'!$AQ$5:$AQ$204,'רווחה - קליטה'!$A$5:$A$204,$A105,'רווחה - קליטה'!$C$5:$C$204,"סוף שנה"),""))</f>
      </c>
      <c r="I105" s="27">
        <f>IF($A105="","",IFERROR(AVERAGEIFS('רווחה - קליטה'!$AK$5:$AK$204,'רווחה - קליטה'!$A$5:$A$204,$A105,'רווחה - קליטה'!$C$5:$C$204,"סוף שנה"),""))</f>
      </c>
      <c r="J105" s="26">
        <f>IF($A105="","",IFERROR(INDEX('רווחה - קליטה'!$AS$5:$AS$204,MATCH($A105&amp;"|סוף שנה",'רווחה - קליטה'!$AE$5:$AE$204,0)),""))</f>
      </c>
      <c r="K105" s="36">
        <f>IF(AND(ISNUMBER(B105),ISNUMBER(H105)),H105-B105,"")</f>
      </c>
      <c r="L105" s="26">
        <f>IF(K105="","",IF(K105&gt;=0.5,"עלייה",IF(K105&lt;=-0.5,"ירידה","יציב")))</f>
      </c>
    </row>
    <row r="106" ht="15" customHeight="1" spans="1:12" x14ac:dyDescent="0.25">
      <c r="A106" s="29"/>
      <c r="B106" s="28">
        <f>IF($A106="","",IFERROR(AVERAGEIFS('רווחה - קליטה'!$AQ$5:$AQ$204,'רווחה - קליטה'!$A$5:$A$204,$A106,'רווחה - קליטה'!$C$5:$C$204,"תחילת שנה"),""))</f>
      </c>
      <c r="C106" s="27">
        <f>IF($A106="","",IFERROR(AVERAGEIFS('רווחה - קליטה'!$AK$5:$AK$204,'רווחה - קליטה'!$A$5:$A$204,$A106,'רווחה - קליטה'!$C$5:$C$204,"תחילת שנה"),""))</f>
      </c>
      <c r="D106" s="26">
        <f>IF($A106="","",IFERROR(INDEX('רווחה - קליטה'!$AS$5:$AS$204,MATCH($A106&amp;"|תחילת שנה",'רווחה - קליטה'!$AE$5:$AE$204,0)),""))</f>
      </c>
      <c r="E106" s="28">
        <f>IF($A106="","",IFERROR(AVERAGEIFS('רווחה - קליטה'!$AQ$5:$AQ$204,'רווחה - קליטה'!$A$5:$A$204,$A106,'רווחה - קליטה'!$C$5:$C$204,"אמצע שנה"),""))</f>
      </c>
      <c r="F106" s="27">
        <f>IF($A106="","",IFERROR(AVERAGEIFS('רווחה - קליטה'!$AK$5:$AK$204,'רווחה - קליטה'!$A$5:$A$204,$A106,'רווחה - קליטה'!$C$5:$C$204,"אמצע שנה"),""))</f>
      </c>
      <c r="G106" s="26">
        <f>IF($A106="","",IFERROR(INDEX('רווחה - קליטה'!$AS$5:$AS$204,MATCH($A106&amp;"|אמצע שנה",'רווחה - קליטה'!$AE$5:$AE$204,0)),""))</f>
      </c>
      <c r="H106" s="28">
        <f>IF($A106="","",IFERROR(AVERAGEIFS('רווחה - קליטה'!$AQ$5:$AQ$204,'רווחה - קליטה'!$A$5:$A$204,$A106,'רווחה - קליטה'!$C$5:$C$204,"סוף שנה"),""))</f>
      </c>
      <c r="I106" s="27">
        <f>IF($A106="","",IFERROR(AVERAGEIFS('רווחה - קליטה'!$AK$5:$AK$204,'רווחה - קליטה'!$A$5:$A$204,$A106,'רווחה - קליטה'!$C$5:$C$204,"סוף שנה"),""))</f>
      </c>
      <c r="J106" s="26">
        <f>IF($A106="","",IFERROR(INDEX('רווחה - קליטה'!$AS$5:$AS$204,MATCH($A106&amp;"|סוף שנה",'רווחה - קליטה'!$AE$5:$AE$204,0)),""))</f>
      </c>
      <c r="K106" s="36">
        <f>IF(AND(ISNUMBER(B106),ISNUMBER(H106)),H106-B106,"")</f>
      </c>
      <c r="L106" s="26">
        <f>IF(K106="","",IF(K106&gt;=0.5,"עלייה",IF(K106&lt;=-0.5,"ירידה","יציב")))</f>
      </c>
    </row>
    <row r="107" ht="15" customHeight="1" spans="1:12" x14ac:dyDescent="0.25">
      <c r="A107" s="29"/>
      <c r="B107" s="28">
        <f>IF($A107="","",IFERROR(AVERAGEIFS('רווחה - קליטה'!$AQ$5:$AQ$204,'רווחה - קליטה'!$A$5:$A$204,$A107,'רווחה - קליטה'!$C$5:$C$204,"תחילת שנה"),""))</f>
      </c>
      <c r="C107" s="27">
        <f>IF($A107="","",IFERROR(AVERAGEIFS('רווחה - קליטה'!$AK$5:$AK$204,'רווחה - קליטה'!$A$5:$A$204,$A107,'רווחה - קליטה'!$C$5:$C$204,"תחילת שנה"),""))</f>
      </c>
      <c r="D107" s="26">
        <f>IF($A107="","",IFERROR(INDEX('רווחה - קליטה'!$AS$5:$AS$204,MATCH($A107&amp;"|תחילת שנה",'רווחה - קליטה'!$AE$5:$AE$204,0)),""))</f>
      </c>
      <c r="E107" s="28">
        <f>IF($A107="","",IFERROR(AVERAGEIFS('רווחה - קליטה'!$AQ$5:$AQ$204,'רווחה - קליטה'!$A$5:$A$204,$A107,'רווחה - קליטה'!$C$5:$C$204,"אמצע שנה"),""))</f>
      </c>
      <c r="F107" s="27">
        <f>IF($A107="","",IFERROR(AVERAGEIFS('רווחה - קליטה'!$AK$5:$AK$204,'רווחה - קליטה'!$A$5:$A$204,$A107,'רווחה - קליטה'!$C$5:$C$204,"אמצע שנה"),""))</f>
      </c>
      <c r="G107" s="26">
        <f>IF($A107="","",IFERROR(INDEX('רווחה - קליטה'!$AS$5:$AS$204,MATCH($A107&amp;"|אמצע שנה",'רווחה - קליטה'!$AE$5:$AE$204,0)),""))</f>
      </c>
      <c r="H107" s="28">
        <f>IF($A107="","",IFERROR(AVERAGEIFS('רווחה - קליטה'!$AQ$5:$AQ$204,'רווחה - קליטה'!$A$5:$A$204,$A107,'רווחה - קליטה'!$C$5:$C$204,"סוף שנה"),""))</f>
      </c>
      <c r="I107" s="27">
        <f>IF($A107="","",IFERROR(AVERAGEIFS('רווחה - קליטה'!$AK$5:$AK$204,'רווחה - קליטה'!$A$5:$A$204,$A107,'רווחה - קליטה'!$C$5:$C$204,"סוף שנה"),""))</f>
      </c>
      <c r="J107" s="26">
        <f>IF($A107="","",IFERROR(INDEX('רווחה - קליטה'!$AS$5:$AS$204,MATCH($A107&amp;"|סוף שנה",'רווחה - קליטה'!$AE$5:$AE$204,0)),""))</f>
      </c>
      <c r="K107" s="36">
        <f>IF(AND(ISNUMBER(B107),ISNUMBER(H107)),H107-B107,"")</f>
      </c>
      <c r="L107" s="26">
        <f>IF(K107="","",IF(K107&gt;=0.5,"עלייה",IF(K107&lt;=-0.5,"ירידה","יציב")))</f>
      </c>
    </row>
    <row r="108" ht="15" customHeight="1" spans="1:12" x14ac:dyDescent="0.25">
      <c r="A108" s="29"/>
      <c r="B108" s="28">
        <f>IF($A108="","",IFERROR(AVERAGEIFS('רווחה - קליטה'!$AQ$5:$AQ$204,'רווחה - קליטה'!$A$5:$A$204,$A108,'רווחה - קליטה'!$C$5:$C$204,"תחילת שנה"),""))</f>
      </c>
      <c r="C108" s="27">
        <f>IF($A108="","",IFERROR(AVERAGEIFS('רווחה - קליטה'!$AK$5:$AK$204,'רווחה - קליטה'!$A$5:$A$204,$A108,'רווחה - קליטה'!$C$5:$C$204,"תחילת שנה"),""))</f>
      </c>
      <c r="D108" s="26">
        <f>IF($A108="","",IFERROR(INDEX('רווחה - קליטה'!$AS$5:$AS$204,MATCH($A108&amp;"|תחילת שנה",'רווחה - קליטה'!$AE$5:$AE$204,0)),""))</f>
      </c>
      <c r="E108" s="28">
        <f>IF($A108="","",IFERROR(AVERAGEIFS('רווחה - קליטה'!$AQ$5:$AQ$204,'רווחה - קליטה'!$A$5:$A$204,$A108,'רווחה - קליטה'!$C$5:$C$204,"אמצע שנה"),""))</f>
      </c>
      <c r="F108" s="27">
        <f>IF($A108="","",IFERROR(AVERAGEIFS('רווחה - קליטה'!$AK$5:$AK$204,'רווחה - קליטה'!$A$5:$A$204,$A108,'רווחה - קליטה'!$C$5:$C$204,"אמצע שנה"),""))</f>
      </c>
      <c r="G108" s="26">
        <f>IF($A108="","",IFERROR(INDEX('רווחה - קליטה'!$AS$5:$AS$204,MATCH($A108&amp;"|אמצע שנה",'רווחה - קליטה'!$AE$5:$AE$204,0)),""))</f>
      </c>
      <c r="H108" s="28">
        <f>IF($A108="","",IFERROR(AVERAGEIFS('רווחה - קליטה'!$AQ$5:$AQ$204,'רווחה - קליטה'!$A$5:$A$204,$A108,'רווחה - קליטה'!$C$5:$C$204,"סוף שנה"),""))</f>
      </c>
      <c r="I108" s="27">
        <f>IF($A108="","",IFERROR(AVERAGEIFS('רווחה - קליטה'!$AK$5:$AK$204,'רווחה - קליטה'!$A$5:$A$204,$A108,'רווחה - קליטה'!$C$5:$C$204,"סוף שנה"),""))</f>
      </c>
      <c r="J108" s="26">
        <f>IF($A108="","",IFERROR(INDEX('רווחה - קליטה'!$AS$5:$AS$204,MATCH($A108&amp;"|סוף שנה",'רווחה - קליטה'!$AE$5:$AE$204,0)),""))</f>
      </c>
      <c r="K108" s="36">
        <f>IF(AND(ISNUMBER(B108),ISNUMBER(H108)),H108-B108,"")</f>
      </c>
      <c r="L108" s="26">
        <f>IF(K108="","",IF(K108&gt;=0.5,"עלייה",IF(K108&lt;=-0.5,"ירידה","יציב")))</f>
      </c>
    </row>
    <row r="109" ht="15" customHeight="1" spans="1:12" x14ac:dyDescent="0.25">
      <c r="A109" s="29"/>
      <c r="B109" s="28">
        <f>IF($A109="","",IFERROR(AVERAGEIFS('רווחה - קליטה'!$AQ$5:$AQ$204,'רווחה - קליטה'!$A$5:$A$204,$A109,'רווחה - קליטה'!$C$5:$C$204,"תחילת שנה"),""))</f>
      </c>
      <c r="C109" s="27">
        <f>IF($A109="","",IFERROR(AVERAGEIFS('רווחה - קליטה'!$AK$5:$AK$204,'רווחה - קליטה'!$A$5:$A$204,$A109,'רווחה - קליטה'!$C$5:$C$204,"תחילת שנה"),""))</f>
      </c>
      <c r="D109" s="26">
        <f>IF($A109="","",IFERROR(INDEX('רווחה - קליטה'!$AS$5:$AS$204,MATCH($A109&amp;"|תחילת שנה",'רווחה - קליטה'!$AE$5:$AE$204,0)),""))</f>
      </c>
      <c r="E109" s="28">
        <f>IF($A109="","",IFERROR(AVERAGEIFS('רווחה - קליטה'!$AQ$5:$AQ$204,'רווחה - קליטה'!$A$5:$A$204,$A109,'רווחה - קליטה'!$C$5:$C$204,"אמצע שנה"),""))</f>
      </c>
      <c r="F109" s="27">
        <f>IF($A109="","",IFERROR(AVERAGEIFS('רווחה - קליטה'!$AK$5:$AK$204,'רווחה - קליטה'!$A$5:$A$204,$A109,'רווחה - קליטה'!$C$5:$C$204,"אמצע שנה"),""))</f>
      </c>
      <c r="G109" s="26">
        <f>IF($A109="","",IFERROR(INDEX('רווחה - קליטה'!$AS$5:$AS$204,MATCH($A109&amp;"|אמצע שנה",'רווחה - קליטה'!$AE$5:$AE$204,0)),""))</f>
      </c>
      <c r="H109" s="28">
        <f>IF($A109="","",IFERROR(AVERAGEIFS('רווחה - קליטה'!$AQ$5:$AQ$204,'רווחה - קליטה'!$A$5:$A$204,$A109,'רווחה - קליטה'!$C$5:$C$204,"סוף שנה"),""))</f>
      </c>
      <c r="I109" s="27">
        <f>IF($A109="","",IFERROR(AVERAGEIFS('רווחה - קליטה'!$AK$5:$AK$204,'רווחה - קליטה'!$A$5:$A$204,$A109,'רווחה - קליטה'!$C$5:$C$204,"סוף שנה"),""))</f>
      </c>
      <c r="J109" s="26">
        <f>IF($A109="","",IFERROR(INDEX('רווחה - קליטה'!$AS$5:$AS$204,MATCH($A109&amp;"|סוף שנה",'רווחה - קליטה'!$AE$5:$AE$204,0)),""))</f>
      </c>
      <c r="K109" s="36">
        <f>IF(AND(ISNUMBER(B109),ISNUMBER(H109)),H109-B109,"")</f>
      </c>
      <c r="L109" s="26">
        <f>IF(K109="","",IF(K109&gt;=0.5,"עלייה",IF(K109&lt;=-0.5,"ירידה","יציב")))</f>
      </c>
    </row>
    <row r="110" ht="15" customHeight="1" spans="1:12" x14ac:dyDescent="0.25">
      <c r="A110" s="29"/>
      <c r="B110" s="28">
        <f>IF($A110="","",IFERROR(AVERAGEIFS('רווחה - קליטה'!$AQ$5:$AQ$204,'רווחה - קליטה'!$A$5:$A$204,$A110,'רווחה - קליטה'!$C$5:$C$204,"תחילת שנה"),""))</f>
      </c>
      <c r="C110" s="27">
        <f>IF($A110="","",IFERROR(AVERAGEIFS('רווחה - קליטה'!$AK$5:$AK$204,'רווחה - קליטה'!$A$5:$A$204,$A110,'רווחה - קליטה'!$C$5:$C$204,"תחילת שנה"),""))</f>
      </c>
      <c r="D110" s="26">
        <f>IF($A110="","",IFERROR(INDEX('רווחה - קליטה'!$AS$5:$AS$204,MATCH($A110&amp;"|תחילת שנה",'רווחה - קליטה'!$AE$5:$AE$204,0)),""))</f>
      </c>
      <c r="E110" s="28">
        <f>IF($A110="","",IFERROR(AVERAGEIFS('רווחה - קליטה'!$AQ$5:$AQ$204,'רווחה - קליטה'!$A$5:$A$204,$A110,'רווחה - קליטה'!$C$5:$C$204,"אמצע שנה"),""))</f>
      </c>
      <c r="F110" s="27">
        <f>IF($A110="","",IFERROR(AVERAGEIFS('רווחה - קליטה'!$AK$5:$AK$204,'רווחה - קליטה'!$A$5:$A$204,$A110,'רווחה - קליטה'!$C$5:$C$204,"אמצע שנה"),""))</f>
      </c>
      <c r="G110" s="26">
        <f>IF($A110="","",IFERROR(INDEX('רווחה - קליטה'!$AS$5:$AS$204,MATCH($A110&amp;"|אמצע שנה",'רווחה - קליטה'!$AE$5:$AE$204,0)),""))</f>
      </c>
      <c r="H110" s="28">
        <f>IF($A110="","",IFERROR(AVERAGEIFS('רווחה - קליטה'!$AQ$5:$AQ$204,'רווחה - קליטה'!$A$5:$A$204,$A110,'רווחה - קליטה'!$C$5:$C$204,"סוף שנה"),""))</f>
      </c>
      <c r="I110" s="27">
        <f>IF($A110="","",IFERROR(AVERAGEIFS('רווחה - קליטה'!$AK$5:$AK$204,'רווחה - קליטה'!$A$5:$A$204,$A110,'רווחה - קליטה'!$C$5:$C$204,"סוף שנה"),""))</f>
      </c>
      <c r="J110" s="26">
        <f>IF($A110="","",IFERROR(INDEX('רווחה - קליטה'!$AS$5:$AS$204,MATCH($A110&amp;"|סוף שנה",'רווחה - קליטה'!$AE$5:$AE$204,0)),""))</f>
      </c>
      <c r="K110" s="36">
        <f>IF(AND(ISNUMBER(B110),ISNUMBER(H110)),H110-B110,"")</f>
      </c>
      <c r="L110" s="26">
        <f>IF(K110="","",IF(K110&gt;=0.5,"עלייה",IF(K110&lt;=-0.5,"ירידה","יציב")))</f>
      </c>
    </row>
    <row r="111" ht="15" customHeight="1" spans="1:12" x14ac:dyDescent="0.25">
      <c r="A111" s="29"/>
      <c r="B111" s="28">
        <f>IF($A111="","",IFERROR(AVERAGEIFS('רווחה - קליטה'!$AQ$5:$AQ$204,'רווחה - קליטה'!$A$5:$A$204,$A111,'רווחה - קליטה'!$C$5:$C$204,"תחילת שנה"),""))</f>
      </c>
      <c r="C111" s="27">
        <f>IF($A111="","",IFERROR(AVERAGEIFS('רווחה - קליטה'!$AK$5:$AK$204,'רווחה - קליטה'!$A$5:$A$204,$A111,'רווחה - קליטה'!$C$5:$C$204,"תחילת שנה"),""))</f>
      </c>
      <c r="D111" s="26">
        <f>IF($A111="","",IFERROR(INDEX('רווחה - קליטה'!$AS$5:$AS$204,MATCH($A111&amp;"|תחילת שנה",'רווחה - קליטה'!$AE$5:$AE$204,0)),""))</f>
      </c>
      <c r="E111" s="28">
        <f>IF($A111="","",IFERROR(AVERAGEIFS('רווחה - קליטה'!$AQ$5:$AQ$204,'רווחה - קליטה'!$A$5:$A$204,$A111,'רווחה - קליטה'!$C$5:$C$204,"אמצע שנה"),""))</f>
      </c>
      <c r="F111" s="27">
        <f>IF($A111="","",IFERROR(AVERAGEIFS('רווחה - קליטה'!$AK$5:$AK$204,'רווחה - קליטה'!$A$5:$A$204,$A111,'רווחה - קליטה'!$C$5:$C$204,"אמצע שנה"),""))</f>
      </c>
      <c r="G111" s="26">
        <f>IF($A111="","",IFERROR(INDEX('רווחה - קליטה'!$AS$5:$AS$204,MATCH($A111&amp;"|אמצע שנה",'רווחה - קליטה'!$AE$5:$AE$204,0)),""))</f>
      </c>
      <c r="H111" s="28">
        <f>IF($A111="","",IFERROR(AVERAGEIFS('רווחה - קליטה'!$AQ$5:$AQ$204,'רווחה - קליטה'!$A$5:$A$204,$A111,'רווחה - קליטה'!$C$5:$C$204,"סוף שנה"),""))</f>
      </c>
      <c r="I111" s="27">
        <f>IF($A111="","",IFERROR(AVERAGEIFS('רווחה - קליטה'!$AK$5:$AK$204,'רווחה - קליטה'!$A$5:$A$204,$A111,'רווחה - קליטה'!$C$5:$C$204,"סוף שנה"),""))</f>
      </c>
      <c r="J111" s="26">
        <f>IF($A111="","",IFERROR(INDEX('רווחה - קליטה'!$AS$5:$AS$204,MATCH($A111&amp;"|סוף שנה",'רווחה - קליטה'!$AE$5:$AE$204,0)),""))</f>
      </c>
      <c r="K111" s="36">
        <f>IF(AND(ISNUMBER(B111),ISNUMBER(H111)),H111-B111,"")</f>
      </c>
      <c r="L111" s="26">
        <f>IF(K111="","",IF(K111&gt;=0.5,"עלייה",IF(K111&lt;=-0.5,"ירידה","יציב")))</f>
      </c>
    </row>
    <row r="112" ht="15" customHeight="1" spans="1:12" x14ac:dyDescent="0.25">
      <c r="A112" s="29"/>
      <c r="B112" s="28">
        <f>IF($A112="","",IFERROR(AVERAGEIFS('רווחה - קליטה'!$AQ$5:$AQ$204,'רווחה - קליטה'!$A$5:$A$204,$A112,'רווחה - קליטה'!$C$5:$C$204,"תחילת שנה"),""))</f>
      </c>
      <c r="C112" s="27">
        <f>IF($A112="","",IFERROR(AVERAGEIFS('רווחה - קליטה'!$AK$5:$AK$204,'רווחה - קליטה'!$A$5:$A$204,$A112,'רווחה - קליטה'!$C$5:$C$204,"תחילת שנה"),""))</f>
      </c>
      <c r="D112" s="26">
        <f>IF($A112="","",IFERROR(INDEX('רווחה - קליטה'!$AS$5:$AS$204,MATCH($A112&amp;"|תחילת שנה",'רווחה - קליטה'!$AE$5:$AE$204,0)),""))</f>
      </c>
      <c r="E112" s="28">
        <f>IF($A112="","",IFERROR(AVERAGEIFS('רווחה - קליטה'!$AQ$5:$AQ$204,'רווחה - קליטה'!$A$5:$A$204,$A112,'רווחה - קליטה'!$C$5:$C$204,"אמצע שנה"),""))</f>
      </c>
      <c r="F112" s="27">
        <f>IF($A112="","",IFERROR(AVERAGEIFS('רווחה - קליטה'!$AK$5:$AK$204,'רווחה - קליטה'!$A$5:$A$204,$A112,'רווחה - קליטה'!$C$5:$C$204,"אמצע שנה"),""))</f>
      </c>
      <c r="G112" s="26">
        <f>IF($A112="","",IFERROR(INDEX('רווחה - קליטה'!$AS$5:$AS$204,MATCH($A112&amp;"|אמצע שנה",'רווחה - קליטה'!$AE$5:$AE$204,0)),""))</f>
      </c>
      <c r="H112" s="28">
        <f>IF($A112="","",IFERROR(AVERAGEIFS('רווחה - קליטה'!$AQ$5:$AQ$204,'רווחה - קליטה'!$A$5:$A$204,$A112,'רווחה - קליטה'!$C$5:$C$204,"סוף שנה"),""))</f>
      </c>
      <c r="I112" s="27">
        <f>IF($A112="","",IFERROR(AVERAGEIFS('רווחה - קליטה'!$AK$5:$AK$204,'רווחה - קליטה'!$A$5:$A$204,$A112,'רווחה - קליטה'!$C$5:$C$204,"סוף שנה"),""))</f>
      </c>
      <c r="J112" s="26">
        <f>IF($A112="","",IFERROR(INDEX('רווחה - קליטה'!$AS$5:$AS$204,MATCH($A112&amp;"|סוף שנה",'רווחה - קליטה'!$AE$5:$AE$204,0)),""))</f>
      </c>
      <c r="K112" s="36">
        <f>IF(AND(ISNUMBER(B112),ISNUMBER(H112)),H112-B112,"")</f>
      </c>
      <c r="L112" s="26">
        <f>IF(K112="","",IF(K112&gt;=0.5,"עלייה",IF(K112&lt;=-0.5,"ירידה","יציב")))</f>
      </c>
    </row>
    <row r="113" ht="15" customHeight="1" spans="1:12" x14ac:dyDescent="0.25">
      <c r="A113" s="29"/>
      <c r="B113" s="28">
        <f>IF($A113="","",IFERROR(AVERAGEIFS('רווחה - קליטה'!$AQ$5:$AQ$204,'רווחה - קליטה'!$A$5:$A$204,$A113,'רווחה - קליטה'!$C$5:$C$204,"תחילת שנה"),""))</f>
      </c>
      <c r="C113" s="27">
        <f>IF($A113="","",IFERROR(AVERAGEIFS('רווחה - קליטה'!$AK$5:$AK$204,'רווחה - קליטה'!$A$5:$A$204,$A113,'רווחה - קליטה'!$C$5:$C$204,"תחילת שנה"),""))</f>
      </c>
      <c r="D113" s="26">
        <f>IF($A113="","",IFERROR(INDEX('רווחה - קליטה'!$AS$5:$AS$204,MATCH($A113&amp;"|תחילת שנה",'רווחה - קליטה'!$AE$5:$AE$204,0)),""))</f>
      </c>
      <c r="E113" s="28">
        <f>IF($A113="","",IFERROR(AVERAGEIFS('רווחה - קליטה'!$AQ$5:$AQ$204,'רווחה - קליטה'!$A$5:$A$204,$A113,'רווחה - קליטה'!$C$5:$C$204,"אמצע שנה"),""))</f>
      </c>
      <c r="F113" s="27">
        <f>IF($A113="","",IFERROR(AVERAGEIFS('רווחה - קליטה'!$AK$5:$AK$204,'רווחה - קליטה'!$A$5:$A$204,$A113,'רווחה - קליטה'!$C$5:$C$204,"אמצע שנה"),""))</f>
      </c>
      <c r="G113" s="26">
        <f>IF($A113="","",IFERROR(INDEX('רווחה - קליטה'!$AS$5:$AS$204,MATCH($A113&amp;"|אמצע שנה",'רווחה - קליטה'!$AE$5:$AE$204,0)),""))</f>
      </c>
      <c r="H113" s="28">
        <f>IF($A113="","",IFERROR(AVERAGEIFS('רווחה - קליטה'!$AQ$5:$AQ$204,'רווחה - קליטה'!$A$5:$A$204,$A113,'רווחה - קליטה'!$C$5:$C$204,"סוף שנה"),""))</f>
      </c>
      <c r="I113" s="27">
        <f>IF($A113="","",IFERROR(AVERAGEIFS('רווחה - קליטה'!$AK$5:$AK$204,'רווחה - קליטה'!$A$5:$A$204,$A113,'רווחה - קליטה'!$C$5:$C$204,"סוף שנה"),""))</f>
      </c>
      <c r="J113" s="26">
        <f>IF($A113="","",IFERROR(INDEX('רווחה - קליטה'!$AS$5:$AS$204,MATCH($A113&amp;"|סוף שנה",'רווחה - קליטה'!$AE$5:$AE$204,0)),""))</f>
      </c>
      <c r="K113" s="36">
        <f>IF(AND(ISNUMBER(B113),ISNUMBER(H113)),H113-B113,"")</f>
      </c>
      <c r="L113" s="26">
        <f>IF(K113="","",IF(K113&gt;=0.5,"עלייה",IF(K113&lt;=-0.5,"ירידה","יציב")))</f>
      </c>
    </row>
    <row r="114" ht="15" customHeight="1" spans="1:12" x14ac:dyDescent="0.25">
      <c r="A114" s="29"/>
      <c r="B114" s="28">
        <f>IF($A114="","",IFERROR(AVERAGEIFS('רווחה - קליטה'!$AQ$5:$AQ$204,'רווחה - קליטה'!$A$5:$A$204,$A114,'רווחה - קליטה'!$C$5:$C$204,"תחילת שנה"),""))</f>
      </c>
      <c r="C114" s="27">
        <f>IF($A114="","",IFERROR(AVERAGEIFS('רווחה - קליטה'!$AK$5:$AK$204,'רווחה - קליטה'!$A$5:$A$204,$A114,'רווחה - קליטה'!$C$5:$C$204,"תחילת שנה"),""))</f>
      </c>
      <c r="D114" s="26">
        <f>IF($A114="","",IFERROR(INDEX('רווחה - קליטה'!$AS$5:$AS$204,MATCH($A114&amp;"|תחילת שנה",'רווחה - קליטה'!$AE$5:$AE$204,0)),""))</f>
      </c>
      <c r="E114" s="28">
        <f>IF($A114="","",IFERROR(AVERAGEIFS('רווחה - קליטה'!$AQ$5:$AQ$204,'רווחה - קליטה'!$A$5:$A$204,$A114,'רווחה - קליטה'!$C$5:$C$204,"אמצע שנה"),""))</f>
      </c>
      <c r="F114" s="27">
        <f>IF($A114="","",IFERROR(AVERAGEIFS('רווחה - קליטה'!$AK$5:$AK$204,'רווחה - קליטה'!$A$5:$A$204,$A114,'רווחה - קליטה'!$C$5:$C$204,"אמצע שנה"),""))</f>
      </c>
      <c r="G114" s="26">
        <f>IF($A114="","",IFERROR(INDEX('רווחה - קליטה'!$AS$5:$AS$204,MATCH($A114&amp;"|אמצע שנה",'רווחה - קליטה'!$AE$5:$AE$204,0)),""))</f>
      </c>
      <c r="H114" s="28">
        <f>IF($A114="","",IFERROR(AVERAGEIFS('רווחה - קליטה'!$AQ$5:$AQ$204,'רווחה - קליטה'!$A$5:$A$204,$A114,'רווחה - קליטה'!$C$5:$C$204,"סוף שנה"),""))</f>
      </c>
      <c r="I114" s="27">
        <f>IF($A114="","",IFERROR(AVERAGEIFS('רווחה - קליטה'!$AK$5:$AK$204,'רווחה - קליטה'!$A$5:$A$204,$A114,'רווחה - קליטה'!$C$5:$C$204,"סוף שנה"),""))</f>
      </c>
      <c r="J114" s="26">
        <f>IF($A114="","",IFERROR(INDEX('רווחה - קליטה'!$AS$5:$AS$204,MATCH($A114&amp;"|סוף שנה",'רווחה - קליטה'!$AE$5:$AE$204,0)),""))</f>
      </c>
      <c r="K114" s="36">
        <f>IF(AND(ISNUMBER(B114),ISNUMBER(H114)),H114-B114,"")</f>
      </c>
      <c r="L114" s="26">
        <f>IF(K114="","",IF(K114&gt;=0.5,"עלייה",IF(K114&lt;=-0.5,"ירידה","יציב")))</f>
      </c>
    </row>
    <row r="115" ht="15" customHeight="1" spans="1:12" x14ac:dyDescent="0.25">
      <c r="A115" s="29"/>
      <c r="B115" s="28">
        <f>IF($A115="","",IFERROR(AVERAGEIFS('רווחה - קליטה'!$AQ$5:$AQ$204,'רווחה - קליטה'!$A$5:$A$204,$A115,'רווחה - קליטה'!$C$5:$C$204,"תחילת שנה"),""))</f>
      </c>
      <c r="C115" s="27">
        <f>IF($A115="","",IFERROR(AVERAGEIFS('רווחה - קליטה'!$AK$5:$AK$204,'רווחה - קליטה'!$A$5:$A$204,$A115,'רווחה - קליטה'!$C$5:$C$204,"תחילת שנה"),""))</f>
      </c>
      <c r="D115" s="26">
        <f>IF($A115="","",IFERROR(INDEX('רווחה - קליטה'!$AS$5:$AS$204,MATCH($A115&amp;"|תחילת שנה",'רווחה - קליטה'!$AE$5:$AE$204,0)),""))</f>
      </c>
      <c r="E115" s="28">
        <f>IF($A115="","",IFERROR(AVERAGEIFS('רווחה - קליטה'!$AQ$5:$AQ$204,'רווחה - קליטה'!$A$5:$A$204,$A115,'רווחה - קליטה'!$C$5:$C$204,"אמצע שנה"),""))</f>
      </c>
      <c r="F115" s="27">
        <f>IF($A115="","",IFERROR(AVERAGEIFS('רווחה - קליטה'!$AK$5:$AK$204,'רווחה - קליטה'!$A$5:$A$204,$A115,'רווחה - קליטה'!$C$5:$C$204,"אמצע שנה"),""))</f>
      </c>
      <c r="G115" s="26">
        <f>IF($A115="","",IFERROR(INDEX('רווחה - קליטה'!$AS$5:$AS$204,MATCH($A115&amp;"|אמצע שנה",'רווחה - קליטה'!$AE$5:$AE$204,0)),""))</f>
      </c>
      <c r="H115" s="28">
        <f>IF($A115="","",IFERROR(AVERAGEIFS('רווחה - קליטה'!$AQ$5:$AQ$204,'רווחה - קליטה'!$A$5:$A$204,$A115,'רווחה - קליטה'!$C$5:$C$204,"סוף שנה"),""))</f>
      </c>
      <c r="I115" s="27">
        <f>IF($A115="","",IFERROR(AVERAGEIFS('רווחה - קליטה'!$AK$5:$AK$204,'רווחה - קליטה'!$A$5:$A$204,$A115,'רווחה - קליטה'!$C$5:$C$204,"סוף שנה"),""))</f>
      </c>
      <c r="J115" s="26">
        <f>IF($A115="","",IFERROR(INDEX('רווחה - קליטה'!$AS$5:$AS$204,MATCH($A115&amp;"|סוף שנה",'רווחה - קליטה'!$AE$5:$AE$204,0)),""))</f>
      </c>
      <c r="K115" s="36">
        <f>IF(AND(ISNUMBER(B115),ISNUMBER(H115)),H115-B115,"")</f>
      </c>
      <c r="L115" s="26">
        <f>IF(K115="","",IF(K115&gt;=0.5,"עלייה",IF(K115&lt;=-0.5,"ירידה","יציב")))</f>
      </c>
    </row>
    <row r="116" ht="15" customHeight="1" spans="1:12" x14ac:dyDescent="0.25">
      <c r="A116" s="29"/>
      <c r="B116" s="28">
        <f>IF($A116="","",IFERROR(AVERAGEIFS('רווחה - קליטה'!$AQ$5:$AQ$204,'רווחה - קליטה'!$A$5:$A$204,$A116,'רווחה - קליטה'!$C$5:$C$204,"תחילת שנה"),""))</f>
      </c>
      <c r="C116" s="27">
        <f>IF($A116="","",IFERROR(AVERAGEIFS('רווחה - קליטה'!$AK$5:$AK$204,'רווחה - קליטה'!$A$5:$A$204,$A116,'רווחה - קליטה'!$C$5:$C$204,"תחילת שנה"),""))</f>
      </c>
      <c r="D116" s="26">
        <f>IF($A116="","",IFERROR(INDEX('רווחה - קליטה'!$AS$5:$AS$204,MATCH($A116&amp;"|תחילת שנה",'רווחה - קליטה'!$AE$5:$AE$204,0)),""))</f>
      </c>
      <c r="E116" s="28">
        <f>IF($A116="","",IFERROR(AVERAGEIFS('רווחה - קליטה'!$AQ$5:$AQ$204,'רווחה - קליטה'!$A$5:$A$204,$A116,'רווחה - קליטה'!$C$5:$C$204,"אמצע שנה"),""))</f>
      </c>
      <c r="F116" s="27">
        <f>IF($A116="","",IFERROR(AVERAGEIFS('רווחה - קליטה'!$AK$5:$AK$204,'רווחה - קליטה'!$A$5:$A$204,$A116,'רווחה - קליטה'!$C$5:$C$204,"אמצע שנה"),""))</f>
      </c>
      <c r="G116" s="26">
        <f>IF($A116="","",IFERROR(INDEX('רווחה - קליטה'!$AS$5:$AS$204,MATCH($A116&amp;"|אמצע שנה",'רווחה - קליטה'!$AE$5:$AE$204,0)),""))</f>
      </c>
      <c r="H116" s="28">
        <f>IF($A116="","",IFERROR(AVERAGEIFS('רווחה - קליטה'!$AQ$5:$AQ$204,'רווחה - קליטה'!$A$5:$A$204,$A116,'רווחה - קליטה'!$C$5:$C$204,"סוף שנה"),""))</f>
      </c>
      <c r="I116" s="27">
        <f>IF($A116="","",IFERROR(AVERAGEIFS('רווחה - קליטה'!$AK$5:$AK$204,'רווחה - קליטה'!$A$5:$A$204,$A116,'רווחה - קליטה'!$C$5:$C$204,"סוף שנה"),""))</f>
      </c>
      <c r="J116" s="26">
        <f>IF($A116="","",IFERROR(INDEX('רווחה - קליטה'!$AS$5:$AS$204,MATCH($A116&amp;"|סוף שנה",'רווחה - קליטה'!$AE$5:$AE$204,0)),""))</f>
      </c>
      <c r="K116" s="36">
        <f>IF(AND(ISNUMBER(B116),ISNUMBER(H116)),H116-B116,"")</f>
      </c>
      <c r="L116" s="26">
        <f>IF(K116="","",IF(K116&gt;=0.5,"עלייה",IF(K116&lt;=-0.5,"ירידה","יציב")))</f>
      </c>
    </row>
    <row r="117" ht="15" customHeight="1" spans="1:12" x14ac:dyDescent="0.25">
      <c r="A117" s="29"/>
      <c r="B117" s="28">
        <f>IF($A117="","",IFERROR(AVERAGEIFS('רווחה - קליטה'!$AQ$5:$AQ$204,'רווחה - קליטה'!$A$5:$A$204,$A117,'רווחה - קליטה'!$C$5:$C$204,"תחילת שנה"),""))</f>
      </c>
      <c r="C117" s="27">
        <f>IF($A117="","",IFERROR(AVERAGEIFS('רווחה - קליטה'!$AK$5:$AK$204,'רווחה - קליטה'!$A$5:$A$204,$A117,'רווחה - קליטה'!$C$5:$C$204,"תחילת שנה"),""))</f>
      </c>
      <c r="D117" s="26">
        <f>IF($A117="","",IFERROR(INDEX('רווחה - קליטה'!$AS$5:$AS$204,MATCH($A117&amp;"|תחילת שנה",'רווחה - קליטה'!$AE$5:$AE$204,0)),""))</f>
      </c>
      <c r="E117" s="28">
        <f>IF($A117="","",IFERROR(AVERAGEIFS('רווחה - קליטה'!$AQ$5:$AQ$204,'רווחה - קליטה'!$A$5:$A$204,$A117,'רווחה - קליטה'!$C$5:$C$204,"אמצע שנה"),""))</f>
      </c>
      <c r="F117" s="27">
        <f>IF($A117="","",IFERROR(AVERAGEIFS('רווחה - קליטה'!$AK$5:$AK$204,'רווחה - קליטה'!$A$5:$A$204,$A117,'רווחה - קליטה'!$C$5:$C$204,"אמצע שנה"),""))</f>
      </c>
      <c r="G117" s="26">
        <f>IF($A117="","",IFERROR(INDEX('רווחה - קליטה'!$AS$5:$AS$204,MATCH($A117&amp;"|אמצע שנה",'רווחה - קליטה'!$AE$5:$AE$204,0)),""))</f>
      </c>
      <c r="H117" s="28">
        <f>IF($A117="","",IFERROR(AVERAGEIFS('רווחה - קליטה'!$AQ$5:$AQ$204,'רווחה - קליטה'!$A$5:$A$204,$A117,'רווחה - קליטה'!$C$5:$C$204,"סוף שנה"),""))</f>
      </c>
      <c r="I117" s="27">
        <f>IF($A117="","",IFERROR(AVERAGEIFS('רווחה - קליטה'!$AK$5:$AK$204,'רווחה - קליטה'!$A$5:$A$204,$A117,'רווחה - קליטה'!$C$5:$C$204,"סוף שנה"),""))</f>
      </c>
      <c r="J117" s="26">
        <f>IF($A117="","",IFERROR(INDEX('רווחה - קליטה'!$AS$5:$AS$204,MATCH($A117&amp;"|סוף שנה",'רווחה - קליטה'!$AE$5:$AE$204,0)),""))</f>
      </c>
      <c r="K117" s="36">
        <f>IF(AND(ISNUMBER(B117),ISNUMBER(H117)),H117-B117,"")</f>
      </c>
      <c r="L117" s="26">
        <f>IF(K117="","",IF(K117&gt;=0.5,"עלייה",IF(K117&lt;=-0.5,"ירידה","יציב")))</f>
      </c>
    </row>
    <row r="118" ht="15" customHeight="1" spans="1:12" x14ac:dyDescent="0.25">
      <c r="A118" s="29"/>
      <c r="B118" s="28">
        <f>IF($A118="","",IFERROR(AVERAGEIFS('רווחה - קליטה'!$AQ$5:$AQ$204,'רווחה - קליטה'!$A$5:$A$204,$A118,'רווחה - קליטה'!$C$5:$C$204,"תחילת שנה"),""))</f>
      </c>
      <c r="C118" s="27">
        <f>IF($A118="","",IFERROR(AVERAGEIFS('רווחה - קליטה'!$AK$5:$AK$204,'רווחה - קליטה'!$A$5:$A$204,$A118,'רווחה - קליטה'!$C$5:$C$204,"תחילת שנה"),""))</f>
      </c>
      <c r="D118" s="26">
        <f>IF($A118="","",IFERROR(INDEX('רווחה - קליטה'!$AS$5:$AS$204,MATCH($A118&amp;"|תחילת שנה",'רווחה - קליטה'!$AE$5:$AE$204,0)),""))</f>
      </c>
      <c r="E118" s="28">
        <f>IF($A118="","",IFERROR(AVERAGEIFS('רווחה - קליטה'!$AQ$5:$AQ$204,'רווחה - קליטה'!$A$5:$A$204,$A118,'רווחה - קליטה'!$C$5:$C$204,"אמצע שנה"),""))</f>
      </c>
      <c r="F118" s="27">
        <f>IF($A118="","",IFERROR(AVERAGEIFS('רווחה - קליטה'!$AK$5:$AK$204,'רווחה - קליטה'!$A$5:$A$204,$A118,'רווחה - קליטה'!$C$5:$C$204,"אמצע שנה"),""))</f>
      </c>
      <c r="G118" s="26">
        <f>IF($A118="","",IFERROR(INDEX('רווחה - קליטה'!$AS$5:$AS$204,MATCH($A118&amp;"|אמצע שנה",'רווחה - קליטה'!$AE$5:$AE$204,0)),""))</f>
      </c>
      <c r="H118" s="28">
        <f>IF($A118="","",IFERROR(AVERAGEIFS('רווחה - קליטה'!$AQ$5:$AQ$204,'רווחה - קליטה'!$A$5:$A$204,$A118,'רווחה - קליטה'!$C$5:$C$204,"סוף שנה"),""))</f>
      </c>
      <c r="I118" s="27">
        <f>IF($A118="","",IFERROR(AVERAGEIFS('רווחה - קליטה'!$AK$5:$AK$204,'רווחה - קליטה'!$A$5:$A$204,$A118,'רווחה - קליטה'!$C$5:$C$204,"סוף שנה"),""))</f>
      </c>
      <c r="J118" s="26">
        <f>IF($A118="","",IFERROR(INDEX('רווחה - קליטה'!$AS$5:$AS$204,MATCH($A118&amp;"|סוף שנה",'רווחה - קליטה'!$AE$5:$AE$204,0)),""))</f>
      </c>
      <c r="K118" s="36">
        <f>IF(AND(ISNUMBER(B118),ISNUMBER(H118)),H118-B118,"")</f>
      </c>
      <c r="L118" s="26">
        <f>IF(K118="","",IF(K118&gt;=0.5,"עלייה",IF(K118&lt;=-0.5,"ירידה","יציב")))</f>
      </c>
    </row>
    <row r="119" ht="15" customHeight="1" spans="1:12" x14ac:dyDescent="0.25">
      <c r="A119" s="29"/>
      <c r="B119" s="28">
        <f>IF($A119="","",IFERROR(AVERAGEIFS('רווחה - קליטה'!$AQ$5:$AQ$204,'רווחה - קליטה'!$A$5:$A$204,$A119,'רווחה - קליטה'!$C$5:$C$204,"תחילת שנה"),""))</f>
      </c>
      <c r="C119" s="27">
        <f>IF($A119="","",IFERROR(AVERAGEIFS('רווחה - קליטה'!$AK$5:$AK$204,'רווחה - קליטה'!$A$5:$A$204,$A119,'רווחה - קליטה'!$C$5:$C$204,"תחילת שנה"),""))</f>
      </c>
      <c r="D119" s="26">
        <f>IF($A119="","",IFERROR(INDEX('רווחה - קליטה'!$AS$5:$AS$204,MATCH($A119&amp;"|תחילת שנה",'רווחה - קליטה'!$AE$5:$AE$204,0)),""))</f>
      </c>
      <c r="E119" s="28">
        <f>IF($A119="","",IFERROR(AVERAGEIFS('רווחה - קליטה'!$AQ$5:$AQ$204,'רווחה - קליטה'!$A$5:$A$204,$A119,'רווחה - קליטה'!$C$5:$C$204,"אמצע שנה"),""))</f>
      </c>
      <c r="F119" s="27">
        <f>IF($A119="","",IFERROR(AVERAGEIFS('רווחה - קליטה'!$AK$5:$AK$204,'רווחה - קליטה'!$A$5:$A$204,$A119,'רווחה - קליטה'!$C$5:$C$204,"אמצע שנה"),""))</f>
      </c>
      <c r="G119" s="26">
        <f>IF($A119="","",IFERROR(INDEX('רווחה - קליטה'!$AS$5:$AS$204,MATCH($A119&amp;"|אמצע שנה",'רווחה - קליטה'!$AE$5:$AE$204,0)),""))</f>
      </c>
      <c r="H119" s="28">
        <f>IF($A119="","",IFERROR(AVERAGEIFS('רווחה - קליטה'!$AQ$5:$AQ$204,'רווחה - קליטה'!$A$5:$A$204,$A119,'רווחה - קליטה'!$C$5:$C$204,"סוף שנה"),""))</f>
      </c>
      <c r="I119" s="27">
        <f>IF($A119="","",IFERROR(AVERAGEIFS('רווחה - קליטה'!$AK$5:$AK$204,'רווחה - קליטה'!$A$5:$A$204,$A119,'רווחה - קליטה'!$C$5:$C$204,"סוף שנה"),""))</f>
      </c>
      <c r="J119" s="26">
        <f>IF($A119="","",IFERROR(INDEX('רווחה - קליטה'!$AS$5:$AS$204,MATCH($A119&amp;"|סוף שנה",'רווחה - קליטה'!$AE$5:$AE$204,0)),""))</f>
      </c>
      <c r="K119" s="36">
        <f>IF(AND(ISNUMBER(B119),ISNUMBER(H119)),H119-B119,"")</f>
      </c>
      <c r="L119" s="26">
        <f>IF(K119="","",IF(K119&gt;=0.5,"עלייה",IF(K119&lt;=-0.5,"ירידה","יציב")))</f>
      </c>
    </row>
    <row r="120" ht="15" customHeight="1" spans="1:12" x14ac:dyDescent="0.25">
      <c r="A120" s="29"/>
      <c r="B120" s="28">
        <f>IF($A120="","",IFERROR(AVERAGEIFS('רווחה - קליטה'!$AQ$5:$AQ$204,'רווחה - קליטה'!$A$5:$A$204,$A120,'רווחה - קליטה'!$C$5:$C$204,"תחילת שנה"),""))</f>
      </c>
      <c r="C120" s="27">
        <f>IF($A120="","",IFERROR(AVERAGEIFS('רווחה - קליטה'!$AK$5:$AK$204,'רווחה - קליטה'!$A$5:$A$204,$A120,'רווחה - קליטה'!$C$5:$C$204,"תחילת שנה"),""))</f>
      </c>
      <c r="D120" s="26">
        <f>IF($A120="","",IFERROR(INDEX('רווחה - קליטה'!$AS$5:$AS$204,MATCH($A120&amp;"|תחילת שנה",'רווחה - קליטה'!$AE$5:$AE$204,0)),""))</f>
      </c>
      <c r="E120" s="28">
        <f>IF($A120="","",IFERROR(AVERAGEIFS('רווחה - קליטה'!$AQ$5:$AQ$204,'רווחה - קליטה'!$A$5:$A$204,$A120,'רווחה - קליטה'!$C$5:$C$204,"אמצע שנה"),""))</f>
      </c>
      <c r="F120" s="27">
        <f>IF($A120="","",IFERROR(AVERAGEIFS('רווחה - קליטה'!$AK$5:$AK$204,'רווחה - קליטה'!$A$5:$A$204,$A120,'רווחה - קליטה'!$C$5:$C$204,"אמצע שנה"),""))</f>
      </c>
      <c r="G120" s="26">
        <f>IF($A120="","",IFERROR(INDEX('רווחה - קליטה'!$AS$5:$AS$204,MATCH($A120&amp;"|אמצע שנה",'רווחה - קליטה'!$AE$5:$AE$204,0)),""))</f>
      </c>
      <c r="H120" s="28">
        <f>IF($A120="","",IFERROR(AVERAGEIFS('רווחה - קליטה'!$AQ$5:$AQ$204,'רווחה - קליטה'!$A$5:$A$204,$A120,'רווחה - קליטה'!$C$5:$C$204,"סוף שנה"),""))</f>
      </c>
      <c r="I120" s="27">
        <f>IF($A120="","",IFERROR(AVERAGEIFS('רווחה - קליטה'!$AK$5:$AK$204,'רווחה - קליטה'!$A$5:$A$204,$A120,'רווחה - קליטה'!$C$5:$C$204,"סוף שנה"),""))</f>
      </c>
      <c r="J120" s="26">
        <f>IF($A120="","",IFERROR(INDEX('רווחה - קליטה'!$AS$5:$AS$204,MATCH($A120&amp;"|סוף שנה",'רווחה - קליטה'!$AE$5:$AE$204,0)),""))</f>
      </c>
      <c r="K120" s="36">
        <f>IF(AND(ISNUMBER(B120),ISNUMBER(H120)),H120-B120,"")</f>
      </c>
      <c r="L120" s="26">
        <f>IF(K120="","",IF(K120&gt;=0.5,"עלייה",IF(K120&lt;=-0.5,"ירידה","יציב")))</f>
      </c>
    </row>
    <row r="121" ht="15" customHeight="1" spans="1:12" x14ac:dyDescent="0.25">
      <c r="A121" s="29"/>
      <c r="B121" s="28">
        <f>IF($A121="","",IFERROR(AVERAGEIFS('רווחה - קליטה'!$AQ$5:$AQ$204,'רווחה - קליטה'!$A$5:$A$204,$A121,'רווחה - קליטה'!$C$5:$C$204,"תחילת שנה"),""))</f>
      </c>
      <c r="C121" s="27">
        <f>IF($A121="","",IFERROR(AVERAGEIFS('רווחה - קליטה'!$AK$5:$AK$204,'רווחה - קליטה'!$A$5:$A$204,$A121,'רווחה - קליטה'!$C$5:$C$204,"תחילת שנה"),""))</f>
      </c>
      <c r="D121" s="26">
        <f>IF($A121="","",IFERROR(INDEX('רווחה - קליטה'!$AS$5:$AS$204,MATCH($A121&amp;"|תחילת שנה",'רווחה - קליטה'!$AE$5:$AE$204,0)),""))</f>
      </c>
      <c r="E121" s="28">
        <f>IF($A121="","",IFERROR(AVERAGEIFS('רווחה - קליטה'!$AQ$5:$AQ$204,'רווחה - קליטה'!$A$5:$A$204,$A121,'רווחה - קליטה'!$C$5:$C$204,"אמצע שנה"),""))</f>
      </c>
      <c r="F121" s="27">
        <f>IF($A121="","",IFERROR(AVERAGEIFS('רווחה - קליטה'!$AK$5:$AK$204,'רווחה - קליטה'!$A$5:$A$204,$A121,'רווחה - קליטה'!$C$5:$C$204,"אמצע שנה"),""))</f>
      </c>
      <c r="G121" s="26">
        <f>IF($A121="","",IFERROR(INDEX('רווחה - קליטה'!$AS$5:$AS$204,MATCH($A121&amp;"|אמצע שנה",'רווחה - קליטה'!$AE$5:$AE$204,0)),""))</f>
      </c>
      <c r="H121" s="28">
        <f>IF($A121="","",IFERROR(AVERAGEIFS('רווחה - קליטה'!$AQ$5:$AQ$204,'רווחה - קליטה'!$A$5:$A$204,$A121,'רווחה - קליטה'!$C$5:$C$204,"סוף שנה"),""))</f>
      </c>
      <c r="I121" s="27">
        <f>IF($A121="","",IFERROR(AVERAGEIFS('רווחה - קליטה'!$AK$5:$AK$204,'רווחה - קליטה'!$A$5:$A$204,$A121,'רווחה - קליטה'!$C$5:$C$204,"סוף שנה"),""))</f>
      </c>
      <c r="J121" s="26">
        <f>IF($A121="","",IFERROR(INDEX('רווחה - קליטה'!$AS$5:$AS$204,MATCH($A121&amp;"|סוף שנה",'רווחה - קליטה'!$AE$5:$AE$204,0)),""))</f>
      </c>
      <c r="K121" s="36">
        <f>IF(AND(ISNUMBER(B121),ISNUMBER(H121)),H121-B121,"")</f>
      </c>
      <c r="L121" s="26">
        <f>IF(K121="","",IF(K121&gt;=0.5,"עלייה",IF(K121&lt;=-0.5,"ירידה","יציב")))</f>
      </c>
    </row>
    <row r="122" ht="15" customHeight="1" spans="1:12" x14ac:dyDescent="0.25">
      <c r="A122" s="29"/>
      <c r="B122" s="28">
        <f>IF($A122="","",IFERROR(AVERAGEIFS('רווחה - קליטה'!$AQ$5:$AQ$204,'רווחה - קליטה'!$A$5:$A$204,$A122,'רווחה - קליטה'!$C$5:$C$204,"תחילת שנה"),""))</f>
      </c>
      <c r="C122" s="27">
        <f>IF($A122="","",IFERROR(AVERAGEIFS('רווחה - קליטה'!$AK$5:$AK$204,'רווחה - קליטה'!$A$5:$A$204,$A122,'רווחה - קליטה'!$C$5:$C$204,"תחילת שנה"),""))</f>
      </c>
      <c r="D122" s="26">
        <f>IF($A122="","",IFERROR(INDEX('רווחה - קליטה'!$AS$5:$AS$204,MATCH($A122&amp;"|תחילת שנה",'רווחה - קליטה'!$AE$5:$AE$204,0)),""))</f>
      </c>
      <c r="E122" s="28">
        <f>IF($A122="","",IFERROR(AVERAGEIFS('רווחה - קליטה'!$AQ$5:$AQ$204,'רווחה - קליטה'!$A$5:$A$204,$A122,'רווחה - קליטה'!$C$5:$C$204,"אמצע שנה"),""))</f>
      </c>
      <c r="F122" s="27">
        <f>IF($A122="","",IFERROR(AVERAGEIFS('רווחה - קליטה'!$AK$5:$AK$204,'רווחה - קליטה'!$A$5:$A$204,$A122,'רווחה - קליטה'!$C$5:$C$204,"אמצע שנה"),""))</f>
      </c>
      <c r="G122" s="26">
        <f>IF($A122="","",IFERROR(INDEX('רווחה - קליטה'!$AS$5:$AS$204,MATCH($A122&amp;"|אמצע שנה",'רווחה - קליטה'!$AE$5:$AE$204,0)),""))</f>
      </c>
      <c r="H122" s="28">
        <f>IF($A122="","",IFERROR(AVERAGEIFS('רווחה - קליטה'!$AQ$5:$AQ$204,'רווחה - קליטה'!$A$5:$A$204,$A122,'רווחה - קליטה'!$C$5:$C$204,"סוף שנה"),""))</f>
      </c>
      <c r="I122" s="27">
        <f>IF($A122="","",IFERROR(AVERAGEIFS('רווחה - קליטה'!$AK$5:$AK$204,'רווחה - קליטה'!$A$5:$A$204,$A122,'רווחה - קליטה'!$C$5:$C$204,"סוף שנה"),""))</f>
      </c>
      <c r="J122" s="26">
        <f>IF($A122="","",IFERROR(INDEX('רווחה - קליטה'!$AS$5:$AS$204,MATCH($A122&amp;"|סוף שנה",'רווחה - קליטה'!$AE$5:$AE$204,0)),""))</f>
      </c>
      <c r="K122" s="36">
        <f>IF(AND(ISNUMBER(B122),ISNUMBER(H122)),H122-B122,"")</f>
      </c>
      <c r="L122" s="26">
        <f>IF(K122="","",IF(K122&gt;=0.5,"עלייה",IF(K122&lt;=-0.5,"ירידה","יציב")))</f>
      </c>
    </row>
    <row r="123" ht="15" customHeight="1" spans="1:12" x14ac:dyDescent="0.25">
      <c r="A123" s="29"/>
      <c r="B123" s="28">
        <f>IF($A123="","",IFERROR(AVERAGEIFS('רווחה - קליטה'!$AQ$5:$AQ$204,'רווחה - קליטה'!$A$5:$A$204,$A123,'רווחה - קליטה'!$C$5:$C$204,"תחילת שנה"),""))</f>
      </c>
      <c r="C123" s="27">
        <f>IF($A123="","",IFERROR(AVERAGEIFS('רווחה - קליטה'!$AK$5:$AK$204,'רווחה - קליטה'!$A$5:$A$204,$A123,'רווחה - קליטה'!$C$5:$C$204,"תחילת שנה"),""))</f>
      </c>
      <c r="D123" s="26">
        <f>IF($A123="","",IFERROR(INDEX('רווחה - קליטה'!$AS$5:$AS$204,MATCH($A123&amp;"|תחילת שנה",'רווחה - קליטה'!$AE$5:$AE$204,0)),""))</f>
      </c>
      <c r="E123" s="28">
        <f>IF($A123="","",IFERROR(AVERAGEIFS('רווחה - קליטה'!$AQ$5:$AQ$204,'רווחה - קליטה'!$A$5:$A$204,$A123,'רווחה - קליטה'!$C$5:$C$204,"אמצע שנה"),""))</f>
      </c>
      <c r="F123" s="27">
        <f>IF($A123="","",IFERROR(AVERAGEIFS('רווחה - קליטה'!$AK$5:$AK$204,'רווחה - קליטה'!$A$5:$A$204,$A123,'רווחה - קליטה'!$C$5:$C$204,"אמצע שנה"),""))</f>
      </c>
      <c r="G123" s="26">
        <f>IF($A123="","",IFERROR(INDEX('רווחה - קליטה'!$AS$5:$AS$204,MATCH($A123&amp;"|אמצע שנה",'רווחה - קליטה'!$AE$5:$AE$204,0)),""))</f>
      </c>
      <c r="H123" s="28">
        <f>IF($A123="","",IFERROR(AVERAGEIFS('רווחה - קליטה'!$AQ$5:$AQ$204,'רווחה - קליטה'!$A$5:$A$204,$A123,'רווחה - קליטה'!$C$5:$C$204,"סוף שנה"),""))</f>
      </c>
      <c r="I123" s="27">
        <f>IF($A123="","",IFERROR(AVERAGEIFS('רווחה - קליטה'!$AK$5:$AK$204,'רווחה - קליטה'!$A$5:$A$204,$A123,'רווחה - קליטה'!$C$5:$C$204,"סוף שנה"),""))</f>
      </c>
      <c r="J123" s="26">
        <f>IF($A123="","",IFERROR(INDEX('רווחה - קליטה'!$AS$5:$AS$204,MATCH($A123&amp;"|סוף שנה",'רווחה - קליטה'!$AE$5:$AE$204,0)),""))</f>
      </c>
      <c r="K123" s="36">
        <f>IF(AND(ISNUMBER(B123),ISNUMBER(H123)),H123-B123,"")</f>
      </c>
      <c r="L123" s="26">
        <f>IF(K123="","",IF(K123&gt;=0.5,"עלייה",IF(K123&lt;=-0.5,"ירידה","יציב")))</f>
      </c>
    </row>
    <row r="124" ht="15" customHeight="1" spans="1:12" x14ac:dyDescent="0.25">
      <c r="A124" s="29"/>
      <c r="B124" s="28">
        <f>IF($A124="","",IFERROR(AVERAGEIFS('רווחה - קליטה'!$AQ$5:$AQ$204,'רווחה - קליטה'!$A$5:$A$204,$A124,'רווחה - קליטה'!$C$5:$C$204,"תחילת שנה"),""))</f>
      </c>
      <c r="C124" s="27">
        <f>IF($A124="","",IFERROR(AVERAGEIFS('רווחה - קליטה'!$AK$5:$AK$204,'רווחה - קליטה'!$A$5:$A$204,$A124,'רווחה - קליטה'!$C$5:$C$204,"תחילת שנה"),""))</f>
      </c>
      <c r="D124" s="26">
        <f>IF($A124="","",IFERROR(INDEX('רווחה - קליטה'!$AS$5:$AS$204,MATCH($A124&amp;"|תחילת שנה",'רווחה - קליטה'!$AE$5:$AE$204,0)),""))</f>
      </c>
      <c r="E124" s="28">
        <f>IF($A124="","",IFERROR(AVERAGEIFS('רווחה - קליטה'!$AQ$5:$AQ$204,'רווחה - קליטה'!$A$5:$A$204,$A124,'רווחה - קליטה'!$C$5:$C$204,"אמצע שנה"),""))</f>
      </c>
      <c r="F124" s="27">
        <f>IF($A124="","",IFERROR(AVERAGEIFS('רווחה - קליטה'!$AK$5:$AK$204,'רווחה - קליטה'!$A$5:$A$204,$A124,'רווחה - קליטה'!$C$5:$C$204,"אמצע שנה"),""))</f>
      </c>
      <c r="G124" s="26">
        <f>IF($A124="","",IFERROR(INDEX('רווחה - קליטה'!$AS$5:$AS$204,MATCH($A124&amp;"|אמצע שנה",'רווחה - קליטה'!$AE$5:$AE$204,0)),""))</f>
      </c>
      <c r="H124" s="28">
        <f>IF($A124="","",IFERROR(AVERAGEIFS('רווחה - קליטה'!$AQ$5:$AQ$204,'רווחה - קליטה'!$A$5:$A$204,$A124,'רווחה - קליטה'!$C$5:$C$204,"סוף שנה"),""))</f>
      </c>
      <c r="I124" s="27">
        <f>IF($A124="","",IFERROR(AVERAGEIFS('רווחה - קליטה'!$AK$5:$AK$204,'רווחה - קליטה'!$A$5:$A$204,$A124,'רווחה - קליטה'!$C$5:$C$204,"סוף שנה"),""))</f>
      </c>
      <c r="J124" s="26">
        <f>IF($A124="","",IFERROR(INDEX('רווחה - קליטה'!$AS$5:$AS$204,MATCH($A124&amp;"|סוף שנה",'רווחה - קליטה'!$AE$5:$AE$204,0)),""))</f>
      </c>
      <c r="K124" s="36">
        <f>IF(AND(ISNUMBER(B124),ISNUMBER(H124)),H124-B124,"")</f>
      </c>
      <c r="L124" s="26">
        <f>IF(K124="","",IF(K124&gt;=0.5,"עלייה",IF(K124&lt;=-0.5,"ירידה","יציב")))</f>
      </c>
    </row>
    <row r="125" ht="15" customHeight="1" spans="1:12" x14ac:dyDescent="0.25">
      <c r="A125" s="29"/>
      <c r="B125" s="28">
        <f>IF($A125="","",IFERROR(AVERAGEIFS('רווחה - קליטה'!$AQ$5:$AQ$204,'רווחה - קליטה'!$A$5:$A$204,$A125,'רווחה - קליטה'!$C$5:$C$204,"תחילת שנה"),""))</f>
      </c>
      <c r="C125" s="27">
        <f>IF($A125="","",IFERROR(AVERAGEIFS('רווחה - קליטה'!$AK$5:$AK$204,'רווחה - קליטה'!$A$5:$A$204,$A125,'רווחה - קליטה'!$C$5:$C$204,"תחילת שנה"),""))</f>
      </c>
      <c r="D125" s="26">
        <f>IF($A125="","",IFERROR(INDEX('רווחה - קליטה'!$AS$5:$AS$204,MATCH($A125&amp;"|תחילת שנה",'רווחה - קליטה'!$AE$5:$AE$204,0)),""))</f>
      </c>
      <c r="E125" s="28">
        <f>IF($A125="","",IFERROR(AVERAGEIFS('רווחה - קליטה'!$AQ$5:$AQ$204,'רווחה - קליטה'!$A$5:$A$204,$A125,'רווחה - קליטה'!$C$5:$C$204,"אמצע שנה"),""))</f>
      </c>
      <c r="F125" s="27">
        <f>IF($A125="","",IFERROR(AVERAGEIFS('רווחה - קליטה'!$AK$5:$AK$204,'רווחה - קליטה'!$A$5:$A$204,$A125,'רווחה - קליטה'!$C$5:$C$204,"אמצע שנה"),""))</f>
      </c>
      <c r="G125" s="26">
        <f>IF($A125="","",IFERROR(INDEX('רווחה - קליטה'!$AS$5:$AS$204,MATCH($A125&amp;"|אמצע שנה",'רווחה - קליטה'!$AE$5:$AE$204,0)),""))</f>
      </c>
      <c r="H125" s="28">
        <f>IF($A125="","",IFERROR(AVERAGEIFS('רווחה - קליטה'!$AQ$5:$AQ$204,'רווחה - קליטה'!$A$5:$A$204,$A125,'רווחה - קליטה'!$C$5:$C$204,"סוף שנה"),""))</f>
      </c>
      <c r="I125" s="27">
        <f>IF($A125="","",IFERROR(AVERAGEIFS('רווחה - קליטה'!$AK$5:$AK$204,'רווחה - קליטה'!$A$5:$A$204,$A125,'רווחה - קליטה'!$C$5:$C$204,"סוף שנה"),""))</f>
      </c>
      <c r="J125" s="26">
        <f>IF($A125="","",IFERROR(INDEX('רווחה - קליטה'!$AS$5:$AS$204,MATCH($A125&amp;"|סוף שנה",'רווחה - קליטה'!$AE$5:$AE$204,0)),""))</f>
      </c>
      <c r="K125" s="36">
        <f>IF(AND(ISNUMBER(B125),ISNUMBER(H125)),H125-B125,"")</f>
      </c>
      <c r="L125" s="26">
        <f>IF(K125="","",IF(K125&gt;=0.5,"עלייה",IF(K125&lt;=-0.5,"ירידה","יציב")))</f>
      </c>
    </row>
    <row r="126" ht="15" customHeight="1" spans="1:12" x14ac:dyDescent="0.25">
      <c r="A126" s="29"/>
      <c r="B126" s="28">
        <f>IF($A126="","",IFERROR(AVERAGEIFS('רווחה - קליטה'!$AQ$5:$AQ$204,'רווחה - קליטה'!$A$5:$A$204,$A126,'רווחה - קליטה'!$C$5:$C$204,"תחילת שנה"),""))</f>
      </c>
      <c r="C126" s="27">
        <f>IF($A126="","",IFERROR(AVERAGEIFS('רווחה - קליטה'!$AK$5:$AK$204,'רווחה - קליטה'!$A$5:$A$204,$A126,'רווחה - קליטה'!$C$5:$C$204,"תחילת שנה"),""))</f>
      </c>
      <c r="D126" s="26">
        <f>IF($A126="","",IFERROR(INDEX('רווחה - קליטה'!$AS$5:$AS$204,MATCH($A126&amp;"|תחילת שנה",'רווחה - קליטה'!$AE$5:$AE$204,0)),""))</f>
      </c>
      <c r="E126" s="28">
        <f>IF($A126="","",IFERROR(AVERAGEIFS('רווחה - קליטה'!$AQ$5:$AQ$204,'רווחה - קליטה'!$A$5:$A$204,$A126,'רווחה - קליטה'!$C$5:$C$204,"אמצע שנה"),""))</f>
      </c>
      <c r="F126" s="27">
        <f>IF($A126="","",IFERROR(AVERAGEIFS('רווחה - קליטה'!$AK$5:$AK$204,'רווחה - קליטה'!$A$5:$A$204,$A126,'רווחה - קליטה'!$C$5:$C$204,"אמצע שנה"),""))</f>
      </c>
      <c r="G126" s="26">
        <f>IF($A126="","",IFERROR(INDEX('רווחה - קליטה'!$AS$5:$AS$204,MATCH($A126&amp;"|אמצע שנה",'רווחה - קליטה'!$AE$5:$AE$204,0)),""))</f>
      </c>
      <c r="H126" s="28">
        <f>IF($A126="","",IFERROR(AVERAGEIFS('רווחה - קליטה'!$AQ$5:$AQ$204,'רווחה - קליטה'!$A$5:$A$204,$A126,'רווחה - קליטה'!$C$5:$C$204,"סוף שנה"),""))</f>
      </c>
      <c r="I126" s="27">
        <f>IF($A126="","",IFERROR(AVERAGEIFS('רווחה - קליטה'!$AK$5:$AK$204,'רווחה - קליטה'!$A$5:$A$204,$A126,'רווחה - קליטה'!$C$5:$C$204,"סוף שנה"),""))</f>
      </c>
      <c r="J126" s="26">
        <f>IF($A126="","",IFERROR(INDEX('רווחה - קליטה'!$AS$5:$AS$204,MATCH($A126&amp;"|סוף שנה",'רווחה - קליטה'!$AE$5:$AE$204,0)),""))</f>
      </c>
      <c r="K126" s="36">
        <f>IF(AND(ISNUMBER(B126),ISNUMBER(H126)),H126-B126,"")</f>
      </c>
      <c r="L126" s="26">
        <f>IF(K126="","",IF(K126&gt;=0.5,"עלייה",IF(K126&lt;=-0.5,"ירידה","יציב")))</f>
      </c>
    </row>
    <row r="127" ht="15" customHeight="1" spans="1:12" x14ac:dyDescent="0.25">
      <c r="A127" s="29"/>
      <c r="B127" s="28">
        <f>IF($A127="","",IFERROR(AVERAGEIFS('רווחה - קליטה'!$AQ$5:$AQ$204,'רווחה - קליטה'!$A$5:$A$204,$A127,'רווחה - קליטה'!$C$5:$C$204,"תחילת שנה"),""))</f>
      </c>
      <c r="C127" s="27">
        <f>IF($A127="","",IFERROR(AVERAGEIFS('רווחה - קליטה'!$AK$5:$AK$204,'רווחה - קליטה'!$A$5:$A$204,$A127,'רווחה - קליטה'!$C$5:$C$204,"תחילת שנה"),""))</f>
      </c>
      <c r="D127" s="26">
        <f>IF($A127="","",IFERROR(INDEX('רווחה - קליטה'!$AS$5:$AS$204,MATCH($A127&amp;"|תחילת שנה",'רווחה - קליטה'!$AE$5:$AE$204,0)),""))</f>
      </c>
      <c r="E127" s="28">
        <f>IF($A127="","",IFERROR(AVERAGEIFS('רווחה - קליטה'!$AQ$5:$AQ$204,'רווחה - קליטה'!$A$5:$A$204,$A127,'רווחה - קליטה'!$C$5:$C$204,"אמצע שנה"),""))</f>
      </c>
      <c r="F127" s="27">
        <f>IF($A127="","",IFERROR(AVERAGEIFS('רווחה - קליטה'!$AK$5:$AK$204,'רווחה - קליטה'!$A$5:$A$204,$A127,'רווחה - קליטה'!$C$5:$C$204,"אמצע שנה"),""))</f>
      </c>
      <c r="G127" s="26">
        <f>IF($A127="","",IFERROR(INDEX('רווחה - קליטה'!$AS$5:$AS$204,MATCH($A127&amp;"|אמצע שנה",'רווחה - קליטה'!$AE$5:$AE$204,0)),""))</f>
      </c>
      <c r="H127" s="28">
        <f>IF($A127="","",IFERROR(AVERAGEIFS('רווחה - קליטה'!$AQ$5:$AQ$204,'רווחה - קליטה'!$A$5:$A$204,$A127,'רווחה - קליטה'!$C$5:$C$204,"סוף שנה"),""))</f>
      </c>
      <c r="I127" s="27">
        <f>IF($A127="","",IFERROR(AVERAGEIFS('רווחה - קליטה'!$AK$5:$AK$204,'רווחה - קליטה'!$A$5:$A$204,$A127,'רווחה - קליטה'!$C$5:$C$204,"סוף שנה"),""))</f>
      </c>
      <c r="J127" s="26">
        <f>IF($A127="","",IFERROR(INDEX('רווחה - קליטה'!$AS$5:$AS$204,MATCH($A127&amp;"|סוף שנה",'רווחה - קליטה'!$AE$5:$AE$204,0)),""))</f>
      </c>
      <c r="K127" s="36">
        <f>IF(AND(ISNUMBER(B127),ISNUMBER(H127)),H127-B127,"")</f>
      </c>
      <c r="L127" s="26">
        <f>IF(K127="","",IF(K127&gt;=0.5,"עלייה",IF(K127&lt;=-0.5,"ירידה","יציב")))</f>
      </c>
    </row>
    <row r="128" ht="15" customHeight="1" spans="1:12" x14ac:dyDescent="0.25">
      <c r="A128" s="29"/>
      <c r="B128" s="28">
        <f>IF($A128="","",IFERROR(AVERAGEIFS('רווחה - קליטה'!$AQ$5:$AQ$204,'רווחה - קליטה'!$A$5:$A$204,$A128,'רווחה - קליטה'!$C$5:$C$204,"תחילת שנה"),""))</f>
      </c>
      <c r="C128" s="27">
        <f>IF($A128="","",IFERROR(AVERAGEIFS('רווחה - קליטה'!$AK$5:$AK$204,'רווחה - קליטה'!$A$5:$A$204,$A128,'רווחה - קליטה'!$C$5:$C$204,"תחילת שנה"),""))</f>
      </c>
      <c r="D128" s="26">
        <f>IF($A128="","",IFERROR(INDEX('רווחה - קליטה'!$AS$5:$AS$204,MATCH($A128&amp;"|תחילת שנה",'רווחה - קליטה'!$AE$5:$AE$204,0)),""))</f>
      </c>
      <c r="E128" s="28">
        <f>IF($A128="","",IFERROR(AVERAGEIFS('רווחה - קליטה'!$AQ$5:$AQ$204,'רווחה - קליטה'!$A$5:$A$204,$A128,'רווחה - קליטה'!$C$5:$C$204,"אמצע שנה"),""))</f>
      </c>
      <c r="F128" s="27">
        <f>IF($A128="","",IFERROR(AVERAGEIFS('רווחה - קליטה'!$AK$5:$AK$204,'רווחה - קליטה'!$A$5:$A$204,$A128,'רווחה - קליטה'!$C$5:$C$204,"אמצע שנה"),""))</f>
      </c>
      <c r="G128" s="26">
        <f>IF($A128="","",IFERROR(INDEX('רווחה - קליטה'!$AS$5:$AS$204,MATCH($A128&amp;"|אמצע שנה",'רווחה - קליטה'!$AE$5:$AE$204,0)),""))</f>
      </c>
      <c r="H128" s="28">
        <f>IF($A128="","",IFERROR(AVERAGEIFS('רווחה - קליטה'!$AQ$5:$AQ$204,'רווחה - קליטה'!$A$5:$A$204,$A128,'רווחה - קליטה'!$C$5:$C$204,"סוף שנה"),""))</f>
      </c>
      <c r="I128" s="27">
        <f>IF($A128="","",IFERROR(AVERAGEIFS('רווחה - קליטה'!$AK$5:$AK$204,'רווחה - קליטה'!$A$5:$A$204,$A128,'רווחה - קליטה'!$C$5:$C$204,"סוף שנה"),""))</f>
      </c>
      <c r="J128" s="26">
        <f>IF($A128="","",IFERROR(INDEX('רווחה - קליטה'!$AS$5:$AS$204,MATCH($A128&amp;"|סוף שנה",'רווחה - קליטה'!$AE$5:$AE$204,0)),""))</f>
      </c>
      <c r="K128" s="36">
        <f>IF(AND(ISNUMBER(B128),ISNUMBER(H128)),H128-B128,"")</f>
      </c>
      <c r="L128" s="26">
        <f>IF(K128="","",IF(K128&gt;=0.5,"עלייה",IF(K128&lt;=-0.5,"ירידה","יציב")))</f>
      </c>
    </row>
    <row r="129" ht="15" customHeight="1" spans="1:12" x14ac:dyDescent="0.25">
      <c r="A129" s="29"/>
      <c r="B129" s="28">
        <f>IF($A129="","",IFERROR(AVERAGEIFS('רווחה - קליטה'!$AQ$5:$AQ$204,'רווחה - קליטה'!$A$5:$A$204,$A129,'רווחה - קליטה'!$C$5:$C$204,"תחילת שנה"),""))</f>
      </c>
      <c r="C129" s="27">
        <f>IF($A129="","",IFERROR(AVERAGEIFS('רווחה - קליטה'!$AK$5:$AK$204,'רווחה - קליטה'!$A$5:$A$204,$A129,'רווחה - קליטה'!$C$5:$C$204,"תחילת שנה"),""))</f>
      </c>
      <c r="D129" s="26">
        <f>IF($A129="","",IFERROR(INDEX('רווחה - קליטה'!$AS$5:$AS$204,MATCH($A129&amp;"|תחילת שנה",'רווחה - קליטה'!$AE$5:$AE$204,0)),""))</f>
      </c>
      <c r="E129" s="28">
        <f>IF($A129="","",IFERROR(AVERAGEIFS('רווחה - קליטה'!$AQ$5:$AQ$204,'רווחה - קליטה'!$A$5:$A$204,$A129,'רווחה - קליטה'!$C$5:$C$204,"אמצע שנה"),""))</f>
      </c>
      <c r="F129" s="27">
        <f>IF($A129="","",IFERROR(AVERAGEIFS('רווחה - קליטה'!$AK$5:$AK$204,'רווחה - קליטה'!$A$5:$A$204,$A129,'רווחה - קליטה'!$C$5:$C$204,"אמצע שנה"),""))</f>
      </c>
      <c r="G129" s="26">
        <f>IF($A129="","",IFERROR(INDEX('רווחה - קליטה'!$AS$5:$AS$204,MATCH($A129&amp;"|אמצע שנה",'רווחה - קליטה'!$AE$5:$AE$204,0)),""))</f>
      </c>
      <c r="H129" s="28">
        <f>IF($A129="","",IFERROR(AVERAGEIFS('רווחה - קליטה'!$AQ$5:$AQ$204,'רווחה - קליטה'!$A$5:$A$204,$A129,'רווחה - קליטה'!$C$5:$C$204,"סוף שנה"),""))</f>
      </c>
      <c r="I129" s="27">
        <f>IF($A129="","",IFERROR(AVERAGEIFS('רווחה - קליטה'!$AK$5:$AK$204,'רווחה - קליטה'!$A$5:$A$204,$A129,'רווחה - קליטה'!$C$5:$C$204,"סוף שנה"),""))</f>
      </c>
      <c r="J129" s="26">
        <f>IF($A129="","",IFERROR(INDEX('רווחה - קליטה'!$AS$5:$AS$204,MATCH($A129&amp;"|סוף שנה",'רווחה - קליטה'!$AE$5:$AE$204,0)),""))</f>
      </c>
      <c r="K129" s="36">
        <f>IF(AND(ISNUMBER(B129),ISNUMBER(H129)),H129-B129,"")</f>
      </c>
      <c r="L129" s="26">
        <f>IF(K129="","",IF(K129&gt;=0.5,"עלייה",IF(K129&lt;=-0.5,"ירידה","יציב")))</f>
      </c>
    </row>
    <row r="130" ht="15" customHeight="1" spans="1:12" x14ac:dyDescent="0.25">
      <c r="A130" s="29"/>
      <c r="B130" s="28">
        <f>IF($A130="","",IFERROR(AVERAGEIFS('רווחה - קליטה'!$AQ$5:$AQ$204,'רווחה - קליטה'!$A$5:$A$204,$A130,'רווחה - קליטה'!$C$5:$C$204,"תחילת שנה"),""))</f>
      </c>
      <c r="C130" s="27">
        <f>IF($A130="","",IFERROR(AVERAGEIFS('רווחה - קליטה'!$AK$5:$AK$204,'רווחה - קליטה'!$A$5:$A$204,$A130,'רווחה - קליטה'!$C$5:$C$204,"תחילת שנה"),""))</f>
      </c>
      <c r="D130" s="26">
        <f>IF($A130="","",IFERROR(INDEX('רווחה - קליטה'!$AS$5:$AS$204,MATCH($A130&amp;"|תחילת שנה",'רווחה - קליטה'!$AE$5:$AE$204,0)),""))</f>
      </c>
      <c r="E130" s="28">
        <f>IF($A130="","",IFERROR(AVERAGEIFS('רווחה - קליטה'!$AQ$5:$AQ$204,'רווחה - קליטה'!$A$5:$A$204,$A130,'רווחה - קליטה'!$C$5:$C$204,"אמצע שנה"),""))</f>
      </c>
      <c r="F130" s="27">
        <f>IF($A130="","",IFERROR(AVERAGEIFS('רווחה - קליטה'!$AK$5:$AK$204,'רווחה - קליטה'!$A$5:$A$204,$A130,'רווחה - קליטה'!$C$5:$C$204,"אמצע שנה"),""))</f>
      </c>
      <c r="G130" s="26">
        <f>IF($A130="","",IFERROR(INDEX('רווחה - קליטה'!$AS$5:$AS$204,MATCH($A130&amp;"|אמצע שנה",'רווחה - קליטה'!$AE$5:$AE$204,0)),""))</f>
      </c>
      <c r="H130" s="28">
        <f>IF($A130="","",IFERROR(AVERAGEIFS('רווחה - קליטה'!$AQ$5:$AQ$204,'רווחה - קליטה'!$A$5:$A$204,$A130,'רווחה - קליטה'!$C$5:$C$204,"סוף שנה"),""))</f>
      </c>
      <c r="I130" s="27">
        <f>IF($A130="","",IFERROR(AVERAGEIFS('רווחה - קליטה'!$AK$5:$AK$204,'רווחה - קליטה'!$A$5:$A$204,$A130,'רווחה - קליטה'!$C$5:$C$204,"סוף שנה"),""))</f>
      </c>
      <c r="J130" s="26">
        <f>IF($A130="","",IFERROR(INDEX('רווחה - קליטה'!$AS$5:$AS$204,MATCH($A130&amp;"|סוף שנה",'רווחה - קליטה'!$AE$5:$AE$204,0)),""))</f>
      </c>
      <c r="K130" s="36">
        <f>IF(AND(ISNUMBER(B130),ISNUMBER(H130)),H130-B130,"")</f>
      </c>
      <c r="L130" s="26">
        <f>IF(K130="","",IF(K130&gt;=0.5,"עלייה",IF(K130&lt;=-0.5,"ירידה","יציב")))</f>
      </c>
    </row>
    <row r="131" ht="15" customHeight="1" spans="1:12" x14ac:dyDescent="0.25">
      <c r="A131" s="29"/>
      <c r="B131" s="28">
        <f>IF($A131="","",IFERROR(AVERAGEIFS('רווחה - קליטה'!$AQ$5:$AQ$204,'רווחה - קליטה'!$A$5:$A$204,$A131,'רווחה - קליטה'!$C$5:$C$204,"תחילת שנה"),""))</f>
      </c>
      <c r="C131" s="27">
        <f>IF($A131="","",IFERROR(AVERAGEIFS('רווחה - קליטה'!$AK$5:$AK$204,'רווחה - קליטה'!$A$5:$A$204,$A131,'רווחה - קליטה'!$C$5:$C$204,"תחילת שנה"),""))</f>
      </c>
      <c r="D131" s="26">
        <f>IF($A131="","",IFERROR(INDEX('רווחה - קליטה'!$AS$5:$AS$204,MATCH($A131&amp;"|תחילת שנה",'רווחה - קליטה'!$AE$5:$AE$204,0)),""))</f>
      </c>
      <c r="E131" s="28">
        <f>IF($A131="","",IFERROR(AVERAGEIFS('רווחה - קליטה'!$AQ$5:$AQ$204,'רווחה - קליטה'!$A$5:$A$204,$A131,'רווחה - קליטה'!$C$5:$C$204,"אמצע שנה"),""))</f>
      </c>
      <c r="F131" s="27">
        <f>IF($A131="","",IFERROR(AVERAGEIFS('רווחה - קליטה'!$AK$5:$AK$204,'רווחה - קליטה'!$A$5:$A$204,$A131,'רווחה - קליטה'!$C$5:$C$204,"אמצע שנה"),""))</f>
      </c>
      <c r="G131" s="26">
        <f>IF($A131="","",IFERROR(INDEX('רווחה - קליטה'!$AS$5:$AS$204,MATCH($A131&amp;"|אמצע שנה",'רווחה - קליטה'!$AE$5:$AE$204,0)),""))</f>
      </c>
      <c r="H131" s="28">
        <f>IF($A131="","",IFERROR(AVERAGEIFS('רווחה - קליטה'!$AQ$5:$AQ$204,'רווחה - קליטה'!$A$5:$A$204,$A131,'רווחה - קליטה'!$C$5:$C$204,"סוף שנה"),""))</f>
      </c>
      <c r="I131" s="27">
        <f>IF($A131="","",IFERROR(AVERAGEIFS('רווחה - קליטה'!$AK$5:$AK$204,'רווחה - קליטה'!$A$5:$A$204,$A131,'רווחה - קליטה'!$C$5:$C$204,"סוף שנה"),""))</f>
      </c>
      <c r="J131" s="26">
        <f>IF($A131="","",IFERROR(INDEX('רווחה - קליטה'!$AS$5:$AS$204,MATCH($A131&amp;"|סוף שנה",'רווחה - קליטה'!$AE$5:$AE$204,0)),""))</f>
      </c>
      <c r="K131" s="36">
        <f>IF(AND(ISNUMBER(B131),ISNUMBER(H131)),H131-B131,"")</f>
      </c>
      <c r="L131" s="26">
        <f>IF(K131="","",IF(K131&gt;=0.5,"עלייה",IF(K131&lt;=-0.5,"ירידה","יציב")))</f>
      </c>
    </row>
    <row r="132" ht="15" customHeight="1" spans="1:12" x14ac:dyDescent="0.25">
      <c r="A132" s="29"/>
      <c r="B132" s="28">
        <f>IF($A132="","",IFERROR(AVERAGEIFS('רווחה - קליטה'!$AQ$5:$AQ$204,'רווחה - קליטה'!$A$5:$A$204,$A132,'רווחה - קליטה'!$C$5:$C$204,"תחילת שנה"),""))</f>
      </c>
      <c r="C132" s="27">
        <f>IF($A132="","",IFERROR(AVERAGEIFS('רווחה - קליטה'!$AK$5:$AK$204,'רווחה - קליטה'!$A$5:$A$204,$A132,'רווחה - קליטה'!$C$5:$C$204,"תחילת שנה"),""))</f>
      </c>
      <c r="D132" s="26">
        <f>IF($A132="","",IFERROR(INDEX('רווחה - קליטה'!$AS$5:$AS$204,MATCH($A132&amp;"|תחילת שנה",'רווחה - קליטה'!$AE$5:$AE$204,0)),""))</f>
      </c>
      <c r="E132" s="28">
        <f>IF($A132="","",IFERROR(AVERAGEIFS('רווחה - קליטה'!$AQ$5:$AQ$204,'רווחה - קליטה'!$A$5:$A$204,$A132,'רווחה - קליטה'!$C$5:$C$204,"אמצע שנה"),""))</f>
      </c>
      <c r="F132" s="27">
        <f>IF($A132="","",IFERROR(AVERAGEIFS('רווחה - קליטה'!$AK$5:$AK$204,'רווחה - קליטה'!$A$5:$A$204,$A132,'רווחה - קליטה'!$C$5:$C$204,"אמצע שנה"),""))</f>
      </c>
      <c r="G132" s="26">
        <f>IF($A132="","",IFERROR(INDEX('רווחה - קליטה'!$AS$5:$AS$204,MATCH($A132&amp;"|אמצע שנה",'רווחה - קליטה'!$AE$5:$AE$204,0)),""))</f>
      </c>
      <c r="H132" s="28">
        <f>IF($A132="","",IFERROR(AVERAGEIFS('רווחה - קליטה'!$AQ$5:$AQ$204,'רווחה - קליטה'!$A$5:$A$204,$A132,'רווחה - קליטה'!$C$5:$C$204,"סוף שנה"),""))</f>
      </c>
      <c r="I132" s="27">
        <f>IF($A132="","",IFERROR(AVERAGEIFS('רווחה - קליטה'!$AK$5:$AK$204,'רווחה - קליטה'!$A$5:$A$204,$A132,'רווחה - קליטה'!$C$5:$C$204,"סוף שנה"),""))</f>
      </c>
      <c r="J132" s="26">
        <f>IF($A132="","",IFERROR(INDEX('רווחה - קליטה'!$AS$5:$AS$204,MATCH($A132&amp;"|סוף שנה",'רווחה - קליטה'!$AE$5:$AE$204,0)),""))</f>
      </c>
      <c r="K132" s="36">
        <f>IF(AND(ISNUMBER(B132),ISNUMBER(H132)),H132-B132,"")</f>
      </c>
      <c r="L132" s="26">
        <f>IF(K132="","",IF(K132&gt;=0.5,"עלייה",IF(K132&lt;=-0.5,"ירידה","יציב")))</f>
      </c>
    </row>
    <row r="133" ht="15" customHeight="1" spans="1:12" x14ac:dyDescent="0.25">
      <c r="A133" s="29"/>
      <c r="B133" s="28">
        <f>IF($A133="","",IFERROR(AVERAGEIFS('רווחה - קליטה'!$AQ$5:$AQ$204,'רווחה - קליטה'!$A$5:$A$204,$A133,'רווחה - קליטה'!$C$5:$C$204,"תחילת שנה"),""))</f>
      </c>
      <c r="C133" s="27">
        <f>IF($A133="","",IFERROR(AVERAGEIFS('רווחה - קליטה'!$AK$5:$AK$204,'רווחה - קליטה'!$A$5:$A$204,$A133,'רווחה - קליטה'!$C$5:$C$204,"תחילת שנה"),""))</f>
      </c>
      <c r="D133" s="26">
        <f>IF($A133="","",IFERROR(INDEX('רווחה - קליטה'!$AS$5:$AS$204,MATCH($A133&amp;"|תחילת שנה",'רווחה - קליטה'!$AE$5:$AE$204,0)),""))</f>
      </c>
      <c r="E133" s="28">
        <f>IF($A133="","",IFERROR(AVERAGEIFS('רווחה - קליטה'!$AQ$5:$AQ$204,'רווחה - קליטה'!$A$5:$A$204,$A133,'רווחה - קליטה'!$C$5:$C$204,"אמצע שנה"),""))</f>
      </c>
      <c r="F133" s="27">
        <f>IF($A133="","",IFERROR(AVERAGEIFS('רווחה - קליטה'!$AK$5:$AK$204,'רווחה - קליטה'!$A$5:$A$204,$A133,'רווחה - קליטה'!$C$5:$C$204,"אמצע שנה"),""))</f>
      </c>
      <c r="G133" s="26">
        <f>IF($A133="","",IFERROR(INDEX('רווחה - קליטה'!$AS$5:$AS$204,MATCH($A133&amp;"|אמצע שנה",'רווחה - קליטה'!$AE$5:$AE$204,0)),""))</f>
      </c>
      <c r="H133" s="28">
        <f>IF($A133="","",IFERROR(AVERAGEIFS('רווחה - קליטה'!$AQ$5:$AQ$204,'רווחה - קליטה'!$A$5:$A$204,$A133,'רווחה - קליטה'!$C$5:$C$204,"סוף שנה"),""))</f>
      </c>
      <c r="I133" s="27">
        <f>IF($A133="","",IFERROR(AVERAGEIFS('רווחה - קליטה'!$AK$5:$AK$204,'רווחה - קליטה'!$A$5:$A$204,$A133,'רווחה - קליטה'!$C$5:$C$204,"סוף שנה"),""))</f>
      </c>
      <c r="J133" s="26">
        <f>IF($A133="","",IFERROR(INDEX('רווחה - קליטה'!$AS$5:$AS$204,MATCH($A133&amp;"|סוף שנה",'רווחה - קליטה'!$AE$5:$AE$204,0)),""))</f>
      </c>
      <c r="K133" s="36">
        <f>IF(AND(ISNUMBER(B133),ISNUMBER(H133)),H133-B133,"")</f>
      </c>
      <c r="L133" s="26">
        <f>IF(K133="","",IF(K133&gt;=0.5,"עלייה",IF(K133&lt;=-0.5,"ירידה","יציב")))</f>
      </c>
    </row>
    <row r="134" ht="15" customHeight="1" spans="1:12" x14ac:dyDescent="0.25">
      <c r="A134" s="29"/>
      <c r="B134" s="28">
        <f>IF($A134="","",IFERROR(AVERAGEIFS('רווחה - קליטה'!$AQ$5:$AQ$204,'רווחה - קליטה'!$A$5:$A$204,$A134,'רווחה - קליטה'!$C$5:$C$204,"תחילת שנה"),""))</f>
      </c>
      <c r="C134" s="27">
        <f>IF($A134="","",IFERROR(AVERAGEIFS('רווחה - קליטה'!$AK$5:$AK$204,'רווחה - קליטה'!$A$5:$A$204,$A134,'רווחה - קליטה'!$C$5:$C$204,"תחילת שנה"),""))</f>
      </c>
      <c r="D134" s="26">
        <f>IF($A134="","",IFERROR(INDEX('רווחה - קליטה'!$AS$5:$AS$204,MATCH($A134&amp;"|תחילת שנה",'רווחה - קליטה'!$AE$5:$AE$204,0)),""))</f>
      </c>
      <c r="E134" s="28">
        <f>IF($A134="","",IFERROR(AVERAGEIFS('רווחה - קליטה'!$AQ$5:$AQ$204,'רווחה - קליטה'!$A$5:$A$204,$A134,'רווחה - קליטה'!$C$5:$C$204,"אמצע שנה"),""))</f>
      </c>
      <c r="F134" s="27">
        <f>IF($A134="","",IFERROR(AVERAGEIFS('רווחה - קליטה'!$AK$5:$AK$204,'רווחה - קליטה'!$A$5:$A$204,$A134,'רווחה - קליטה'!$C$5:$C$204,"אמצע שנה"),""))</f>
      </c>
      <c r="G134" s="26">
        <f>IF($A134="","",IFERROR(INDEX('רווחה - קליטה'!$AS$5:$AS$204,MATCH($A134&amp;"|אמצע שנה",'רווחה - קליטה'!$AE$5:$AE$204,0)),""))</f>
      </c>
      <c r="H134" s="28">
        <f>IF($A134="","",IFERROR(AVERAGEIFS('רווחה - קליטה'!$AQ$5:$AQ$204,'רווחה - קליטה'!$A$5:$A$204,$A134,'רווחה - קליטה'!$C$5:$C$204,"סוף שנה"),""))</f>
      </c>
      <c r="I134" s="27">
        <f>IF($A134="","",IFERROR(AVERAGEIFS('רווחה - קליטה'!$AK$5:$AK$204,'רווחה - קליטה'!$A$5:$A$204,$A134,'רווחה - קליטה'!$C$5:$C$204,"סוף שנה"),""))</f>
      </c>
      <c r="J134" s="26">
        <f>IF($A134="","",IFERROR(INDEX('רווחה - קליטה'!$AS$5:$AS$204,MATCH($A134&amp;"|סוף שנה",'רווחה - קליטה'!$AE$5:$AE$204,0)),""))</f>
      </c>
      <c r="K134" s="36">
        <f>IF(AND(ISNUMBER(B134),ISNUMBER(H134)),H134-B134,"")</f>
      </c>
      <c r="L134" s="26">
        <f>IF(K134="","",IF(K134&gt;=0.5,"עלייה",IF(K134&lt;=-0.5,"ירידה","יציב")))</f>
      </c>
    </row>
    <row r="135" ht="15" customHeight="1" spans="1:12" x14ac:dyDescent="0.25">
      <c r="A135" s="29"/>
      <c r="B135" s="28">
        <f>IF($A135="","",IFERROR(AVERAGEIFS('רווחה - קליטה'!$AQ$5:$AQ$204,'רווחה - קליטה'!$A$5:$A$204,$A135,'רווחה - קליטה'!$C$5:$C$204,"תחילת שנה"),""))</f>
      </c>
      <c r="C135" s="27">
        <f>IF($A135="","",IFERROR(AVERAGEIFS('רווחה - קליטה'!$AK$5:$AK$204,'רווחה - קליטה'!$A$5:$A$204,$A135,'רווחה - קליטה'!$C$5:$C$204,"תחילת שנה"),""))</f>
      </c>
      <c r="D135" s="26">
        <f>IF($A135="","",IFERROR(INDEX('רווחה - קליטה'!$AS$5:$AS$204,MATCH($A135&amp;"|תחילת שנה",'רווחה - קליטה'!$AE$5:$AE$204,0)),""))</f>
      </c>
      <c r="E135" s="28">
        <f>IF($A135="","",IFERROR(AVERAGEIFS('רווחה - קליטה'!$AQ$5:$AQ$204,'רווחה - קליטה'!$A$5:$A$204,$A135,'רווחה - קליטה'!$C$5:$C$204,"אמצע שנה"),""))</f>
      </c>
      <c r="F135" s="27">
        <f>IF($A135="","",IFERROR(AVERAGEIFS('רווחה - קליטה'!$AK$5:$AK$204,'רווחה - קליטה'!$A$5:$A$204,$A135,'רווחה - קליטה'!$C$5:$C$204,"אמצע שנה"),""))</f>
      </c>
      <c r="G135" s="26">
        <f>IF($A135="","",IFERROR(INDEX('רווחה - קליטה'!$AS$5:$AS$204,MATCH($A135&amp;"|אמצע שנה",'רווחה - קליטה'!$AE$5:$AE$204,0)),""))</f>
      </c>
      <c r="H135" s="28">
        <f>IF($A135="","",IFERROR(AVERAGEIFS('רווחה - קליטה'!$AQ$5:$AQ$204,'רווחה - קליטה'!$A$5:$A$204,$A135,'רווחה - קליטה'!$C$5:$C$204,"סוף שנה"),""))</f>
      </c>
      <c r="I135" s="27">
        <f>IF($A135="","",IFERROR(AVERAGEIFS('רווחה - קליטה'!$AK$5:$AK$204,'רווחה - קליטה'!$A$5:$A$204,$A135,'רווחה - קליטה'!$C$5:$C$204,"סוף שנה"),""))</f>
      </c>
      <c r="J135" s="26">
        <f>IF($A135="","",IFERROR(INDEX('רווחה - קליטה'!$AS$5:$AS$204,MATCH($A135&amp;"|סוף שנה",'רווחה - קליטה'!$AE$5:$AE$204,0)),""))</f>
      </c>
      <c r="K135" s="36">
        <f>IF(AND(ISNUMBER(B135),ISNUMBER(H135)),H135-B135,"")</f>
      </c>
      <c r="L135" s="26">
        <f>IF(K135="","",IF(K135&gt;=0.5,"עלייה",IF(K135&lt;=-0.5,"ירידה","יציב")))</f>
      </c>
    </row>
    <row r="136" ht="15" customHeight="1" spans="1:12" x14ac:dyDescent="0.25">
      <c r="A136" s="29"/>
      <c r="B136" s="28">
        <f>IF($A136="","",IFERROR(AVERAGEIFS('רווחה - קליטה'!$AQ$5:$AQ$204,'רווחה - קליטה'!$A$5:$A$204,$A136,'רווחה - קליטה'!$C$5:$C$204,"תחילת שנה"),""))</f>
      </c>
      <c r="C136" s="27">
        <f>IF($A136="","",IFERROR(AVERAGEIFS('רווחה - קליטה'!$AK$5:$AK$204,'רווחה - קליטה'!$A$5:$A$204,$A136,'רווחה - קליטה'!$C$5:$C$204,"תחילת שנה"),""))</f>
      </c>
      <c r="D136" s="26">
        <f>IF($A136="","",IFERROR(INDEX('רווחה - קליטה'!$AS$5:$AS$204,MATCH($A136&amp;"|תחילת שנה",'רווחה - קליטה'!$AE$5:$AE$204,0)),""))</f>
      </c>
      <c r="E136" s="28">
        <f>IF($A136="","",IFERROR(AVERAGEIFS('רווחה - קליטה'!$AQ$5:$AQ$204,'רווחה - קליטה'!$A$5:$A$204,$A136,'רווחה - קליטה'!$C$5:$C$204,"אמצע שנה"),""))</f>
      </c>
      <c r="F136" s="27">
        <f>IF($A136="","",IFERROR(AVERAGEIFS('רווחה - קליטה'!$AK$5:$AK$204,'רווחה - קליטה'!$A$5:$A$204,$A136,'רווחה - קליטה'!$C$5:$C$204,"אמצע שנה"),""))</f>
      </c>
      <c r="G136" s="26">
        <f>IF($A136="","",IFERROR(INDEX('רווחה - קליטה'!$AS$5:$AS$204,MATCH($A136&amp;"|אמצע שנה",'רווחה - קליטה'!$AE$5:$AE$204,0)),""))</f>
      </c>
      <c r="H136" s="28">
        <f>IF($A136="","",IFERROR(AVERAGEIFS('רווחה - קליטה'!$AQ$5:$AQ$204,'רווחה - קליטה'!$A$5:$A$204,$A136,'רווחה - קליטה'!$C$5:$C$204,"סוף שנה"),""))</f>
      </c>
      <c r="I136" s="27">
        <f>IF($A136="","",IFERROR(AVERAGEIFS('רווחה - קליטה'!$AK$5:$AK$204,'רווחה - קליטה'!$A$5:$A$204,$A136,'רווחה - קליטה'!$C$5:$C$204,"סוף שנה"),""))</f>
      </c>
      <c r="J136" s="26">
        <f>IF($A136="","",IFERROR(INDEX('רווחה - קליטה'!$AS$5:$AS$204,MATCH($A136&amp;"|סוף שנה",'רווחה - קליטה'!$AE$5:$AE$204,0)),""))</f>
      </c>
      <c r="K136" s="36">
        <f>IF(AND(ISNUMBER(B136),ISNUMBER(H136)),H136-B136,"")</f>
      </c>
      <c r="L136" s="26">
        <f>IF(K136="","",IF(K136&gt;=0.5,"עלייה",IF(K136&lt;=-0.5,"ירידה","יציב")))</f>
      </c>
    </row>
    <row r="137" ht="15" customHeight="1" spans="1:12" x14ac:dyDescent="0.25">
      <c r="A137" s="29"/>
      <c r="B137" s="28">
        <f>IF($A137="","",IFERROR(AVERAGEIFS('רווחה - קליטה'!$AQ$5:$AQ$204,'רווחה - קליטה'!$A$5:$A$204,$A137,'רווחה - קליטה'!$C$5:$C$204,"תחילת שנה"),""))</f>
      </c>
      <c r="C137" s="27">
        <f>IF($A137="","",IFERROR(AVERAGEIFS('רווחה - קליטה'!$AK$5:$AK$204,'רווחה - קליטה'!$A$5:$A$204,$A137,'רווחה - קליטה'!$C$5:$C$204,"תחילת שנה"),""))</f>
      </c>
      <c r="D137" s="26">
        <f>IF($A137="","",IFERROR(INDEX('רווחה - קליטה'!$AS$5:$AS$204,MATCH($A137&amp;"|תחילת שנה",'רווחה - קליטה'!$AE$5:$AE$204,0)),""))</f>
      </c>
      <c r="E137" s="28">
        <f>IF($A137="","",IFERROR(AVERAGEIFS('רווחה - קליטה'!$AQ$5:$AQ$204,'רווחה - קליטה'!$A$5:$A$204,$A137,'רווחה - קליטה'!$C$5:$C$204,"אמצע שנה"),""))</f>
      </c>
      <c r="F137" s="27">
        <f>IF($A137="","",IFERROR(AVERAGEIFS('רווחה - קליטה'!$AK$5:$AK$204,'רווחה - קליטה'!$A$5:$A$204,$A137,'רווחה - קליטה'!$C$5:$C$204,"אמצע שנה"),""))</f>
      </c>
      <c r="G137" s="26">
        <f>IF($A137="","",IFERROR(INDEX('רווחה - קליטה'!$AS$5:$AS$204,MATCH($A137&amp;"|אמצע שנה",'רווחה - קליטה'!$AE$5:$AE$204,0)),""))</f>
      </c>
      <c r="H137" s="28">
        <f>IF($A137="","",IFERROR(AVERAGEIFS('רווחה - קליטה'!$AQ$5:$AQ$204,'רווחה - קליטה'!$A$5:$A$204,$A137,'רווחה - קליטה'!$C$5:$C$204,"סוף שנה"),""))</f>
      </c>
      <c r="I137" s="27">
        <f>IF($A137="","",IFERROR(AVERAGEIFS('רווחה - קליטה'!$AK$5:$AK$204,'רווחה - קליטה'!$A$5:$A$204,$A137,'רווחה - קליטה'!$C$5:$C$204,"סוף שנה"),""))</f>
      </c>
      <c r="J137" s="26">
        <f>IF($A137="","",IFERROR(INDEX('רווחה - קליטה'!$AS$5:$AS$204,MATCH($A137&amp;"|סוף שנה",'רווחה - קליטה'!$AE$5:$AE$204,0)),""))</f>
      </c>
      <c r="K137" s="36">
        <f>IF(AND(ISNUMBER(B137),ISNUMBER(H137)),H137-B137,"")</f>
      </c>
      <c r="L137" s="26">
        <f>IF(K137="","",IF(K137&gt;=0.5,"עלייה",IF(K137&lt;=-0.5,"ירידה","יציב")))</f>
      </c>
    </row>
    <row r="138" ht="15" customHeight="1" spans="1:12" x14ac:dyDescent="0.25">
      <c r="A138" s="29"/>
      <c r="B138" s="28">
        <f>IF($A138="","",IFERROR(AVERAGEIFS('רווחה - קליטה'!$AQ$5:$AQ$204,'רווחה - קליטה'!$A$5:$A$204,$A138,'רווחה - קליטה'!$C$5:$C$204,"תחילת שנה"),""))</f>
      </c>
      <c r="C138" s="27">
        <f>IF($A138="","",IFERROR(AVERAGEIFS('רווחה - קליטה'!$AK$5:$AK$204,'רווחה - קליטה'!$A$5:$A$204,$A138,'רווחה - קליטה'!$C$5:$C$204,"תחילת שנה"),""))</f>
      </c>
      <c r="D138" s="26">
        <f>IF($A138="","",IFERROR(INDEX('רווחה - קליטה'!$AS$5:$AS$204,MATCH($A138&amp;"|תחילת שנה",'רווחה - קליטה'!$AE$5:$AE$204,0)),""))</f>
      </c>
      <c r="E138" s="28">
        <f>IF($A138="","",IFERROR(AVERAGEIFS('רווחה - קליטה'!$AQ$5:$AQ$204,'רווחה - קליטה'!$A$5:$A$204,$A138,'רווחה - קליטה'!$C$5:$C$204,"אמצע שנה"),""))</f>
      </c>
      <c r="F138" s="27">
        <f>IF($A138="","",IFERROR(AVERAGEIFS('רווחה - קליטה'!$AK$5:$AK$204,'רווחה - קליטה'!$A$5:$A$204,$A138,'רווחה - קליטה'!$C$5:$C$204,"אמצע שנה"),""))</f>
      </c>
      <c r="G138" s="26">
        <f>IF($A138="","",IFERROR(INDEX('רווחה - קליטה'!$AS$5:$AS$204,MATCH($A138&amp;"|אמצע שנה",'רווחה - קליטה'!$AE$5:$AE$204,0)),""))</f>
      </c>
      <c r="H138" s="28">
        <f>IF($A138="","",IFERROR(AVERAGEIFS('רווחה - קליטה'!$AQ$5:$AQ$204,'רווחה - קליטה'!$A$5:$A$204,$A138,'רווחה - קליטה'!$C$5:$C$204,"סוף שנה"),""))</f>
      </c>
      <c r="I138" s="27">
        <f>IF($A138="","",IFERROR(AVERAGEIFS('רווחה - קליטה'!$AK$5:$AK$204,'רווחה - קליטה'!$A$5:$A$204,$A138,'רווחה - קליטה'!$C$5:$C$204,"סוף שנה"),""))</f>
      </c>
      <c r="J138" s="26">
        <f>IF($A138="","",IFERROR(INDEX('רווחה - קליטה'!$AS$5:$AS$204,MATCH($A138&amp;"|סוף שנה",'רווחה - קליטה'!$AE$5:$AE$204,0)),""))</f>
      </c>
      <c r="K138" s="36">
        <f>IF(AND(ISNUMBER(B138),ISNUMBER(H138)),H138-B138,"")</f>
      </c>
      <c r="L138" s="26">
        <f>IF(K138="","",IF(K138&gt;=0.5,"עלייה",IF(K138&lt;=-0.5,"ירידה","יציב")))</f>
      </c>
    </row>
    <row r="139" ht="15" customHeight="1" spans="1:12" x14ac:dyDescent="0.25">
      <c r="A139" s="29"/>
      <c r="B139" s="28">
        <f>IF($A139="","",IFERROR(AVERAGEIFS('רווחה - קליטה'!$AQ$5:$AQ$204,'רווחה - קליטה'!$A$5:$A$204,$A139,'רווחה - קליטה'!$C$5:$C$204,"תחילת שנה"),""))</f>
      </c>
      <c r="C139" s="27">
        <f>IF($A139="","",IFERROR(AVERAGEIFS('רווחה - קליטה'!$AK$5:$AK$204,'רווחה - קליטה'!$A$5:$A$204,$A139,'רווחה - קליטה'!$C$5:$C$204,"תחילת שנה"),""))</f>
      </c>
      <c r="D139" s="26">
        <f>IF($A139="","",IFERROR(INDEX('רווחה - קליטה'!$AS$5:$AS$204,MATCH($A139&amp;"|תחילת שנה",'רווחה - קליטה'!$AE$5:$AE$204,0)),""))</f>
      </c>
      <c r="E139" s="28">
        <f>IF($A139="","",IFERROR(AVERAGEIFS('רווחה - קליטה'!$AQ$5:$AQ$204,'רווחה - קליטה'!$A$5:$A$204,$A139,'רווחה - קליטה'!$C$5:$C$204,"אמצע שנה"),""))</f>
      </c>
      <c r="F139" s="27">
        <f>IF($A139="","",IFERROR(AVERAGEIFS('רווחה - קליטה'!$AK$5:$AK$204,'רווחה - קליטה'!$A$5:$A$204,$A139,'רווחה - קליטה'!$C$5:$C$204,"אמצע שנה"),""))</f>
      </c>
      <c r="G139" s="26">
        <f>IF($A139="","",IFERROR(INDEX('רווחה - קליטה'!$AS$5:$AS$204,MATCH($A139&amp;"|אמצע שנה",'רווחה - קליטה'!$AE$5:$AE$204,0)),""))</f>
      </c>
      <c r="H139" s="28">
        <f>IF($A139="","",IFERROR(AVERAGEIFS('רווחה - קליטה'!$AQ$5:$AQ$204,'רווחה - קליטה'!$A$5:$A$204,$A139,'רווחה - קליטה'!$C$5:$C$204,"סוף שנה"),""))</f>
      </c>
      <c r="I139" s="27">
        <f>IF($A139="","",IFERROR(AVERAGEIFS('רווחה - קליטה'!$AK$5:$AK$204,'רווחה - קליטה'!$A$5:$A$204,$A139,'רווחה - קליטה'!$C$5:$C$204,"סוף שנה"),""))</f>
      </c>
      <c r="J139" s="26">
        <f>IF($A139="","",IFERROR(INDEX('רווחה - קליטה'!$AS$5:$AS$204,MATCH($A139&amp;"|סוף שנה",'רווחה - קליטה'!$AE$5:$AE$204,0)),""))</f>
      </c>
      <c r="K139" s="36">
        <f>IF(AND(ISNUMBER(B139),ISNUMBER(H139)),H139-B139,"")</f>
      </c>
      <c r="L139" s="26">
        <f>IF(K139="","",IF(K139&gt;=0.5,"עלייה",IF(K139&lt;=-0.5,"ירידה","יציב")))</f>
      </c>
    </row>
    <row r="140" ht="15" customHeight="1" spans="1:12" x14ac:dyDescent="0.25">
      <c r="A140" s="29"/>
      <c r="B140" s="28">
        <f>IF($A140="","",IFERROR(AVERAGEIFS('רווחה - קליטה'!$AQ$5:$AQ$204,'רווחה - קליטה'!$A$5:$A$204,$A140,'רווחה - קליטה'!$C$5:$C$204,"תחילת שנה"),""))</f>
      </c>
      <c r="C140" s="27">
        <f>IF($A140="","",IFERROR(AVERAGEIFS('רווחה - קליטה'!$AK$5:$AK$204,'רווחה - קליטה'!$A$5:$A$204,$A140,'רווחה - קליטה'!$C$5:$C$204,"תחילת שנה"),""))</f>
      </c>
      <c r="D140" s="26">
        <f>IF($A140="","",IFERROR(INDEX('רווחה - קליטה'!$AS$5:$AS$204,MATCH($A140&amp;"|תחילת שנה",'רווחה - קליטה'!$AE$5:$AE$204,0)),""))</f>
      </c>
      <c r="E140" s="28">
        <f>IF($A140="","",IFERROR(AVERAGEIFS('רווחה - קליטה'!$AQ$5:$AQ$204,'רווחה - קליטה'!$A$5:$A$204,$A140,'רווחה - קליטה'!$C$5:$C$204,"אמצע שנה"),""))</f>
      </c>
      <c r="F140" s="27">
        <f>IF($A140="","",IFERROR(AVERAGEIFS('רווחה - קליטה'!$AK$5:$AK$204,'רווחה - קליטה'!$A$5:$A$204,$A140,'רווחה - קליטה'!$C$5:$C$204,"אמצע שנה"),""))</f>
      </c>
      <c r="G140" s="26">
        <f>IF($A140="","",IFERROR(INDEX('רווחה - קליטה'!$AS$5:$AS$204,MATCH($A140&amp;"|אמצע שנה",'רווחה - קליטה'!$AE$5:$AE$204,0)),""))</f>
      </c>
      <c r="H140" s="28">
        <f>IF($A140="","",IFERROR(AVERAGEIFS('רווחה - קליטה'!$AQ$5:$AQ$204,'רווחה - קליטה'!$A$5:$A$204,$A140,'רווחה - קליטה'!$C$5:$C$204,"סוף שנה"),""))</f>
      </c>
      <c r="I140" s="27">
        <f>IF($A140="","",IFERROR(AVERAGEIFS('רווחה - קליטה'!$AK$5:$AK$204,'רווחה - קליטה'!$A$5:$A$204,$A140,'רווחה - קליטה'!$C$5:$C$204,"סוף שנה"),""))</f>
      </c>
      <c r="J140" s="26">
        <f>IF($A140="","",IFERROR(INDEX('רווחה - קליטה'!$AS$5:$AS$204,MATCH($A140&amp;"|סוף שנה",'רווחה - קליטה'!$AE$5:$AE$204,0)),""))</f>
      </c>
      <c r="K140" s="36">
        <f>IF(AND(ISNUMBER(B140),ISNUMBER(H140)),H140-B140,"")</f>
      </c>
      <c r="L140" s="26">
        <f>IF(K140="","",IF(K140&gt;=0.5,"עלייה",IF(K140&lt;=-0.5,"ירידה","יציב")))</f>
      </c>
    </row>
    <row r="141" ht="15" customHeight="1" spans="1:12" x14ac:dyDescent="0.25">
      <c r="A141" s="29"/>
      <c r="B141" s="28">
        <f>IF($A141="","",IFERROR(AVERAGEIFS('רווחה - קליטה'!$AQ$5:$AQ$204,'רווחה - קליטה'!$A$5:$A$204,$A141,'רווחה - קליטה'!$C$5:$C$204,"תחילת שנה"),""))</f>
      </c>
      <c r="C141" s="27">
        <f>IF($A141="","",IFERROR(AVERAGEIFS('רווחה - קליטה'!$AK$5:$AK$204,'רווחה - קליטה'!$A$5:$A$204,$A141,'רווחה - קליטה'!$C$5:$C$204,"תחילת שנה"),""))</f>
      </c>
      <c r="D141" s="26">
        <f>IF($A141="","",IFERROR(INDEX('רווחה - קליטה'!$AS$5:$AS$204,MATCH($A141&amp;"|תחילת שנה",'רווחה - קליטה'!$AE$5:$AE$204,0)),""))</f>
      </c>
      <c r="E141" s="28">
        <f>IF($A141="","",IFERROR(AVERAGEIFS('רווחה - קליטה'!$AQ$5:$AQ$204,'רווחה - קליטה'!$A$5:$A$204,$A141,'רווחה - קליטה'!$C$5:$C$204,"אמצע שנה"),""))</f>
      </c>
      <c r="F141" s="27">
        <f>IF($A141="","",IFERROR(AVERAGEIFS('רווחה - קליטה'!$AK$5:$AK$204,'רווחה - קליטה'!$A$5:$A$204,$A141,'רווחה - קליטה'!$C$5:$C$204,"אמצע שנה"),""))</f>
      </c>
      <c r="G141" s="26">
        <f>IF($A141="","",IFERROR(INDEX('רווחה - קליטה'!$AS$5:$AS$204,MATCH($A141&amp;"|אמצע שנה",'רווחה - קליטה'!$AE$5:$AE$204,0)),""))</f>
      </c>
      <c r="H141" s="28">
        <f>IF($A141="","",IFERROR(AVERAGEIFS('רווחה - קליטה'!$AQ$5:$AQ$204,'רווחה - קליטה'!$A$5:$A$204,$A141,'רווחה - קליטה'!$C$5:$C$204,"סוף שנה"),""))</f>
      </c>
      <c r="I141" s="27">
        <f>IF($A141="","",IFERROR(AVERAGEIFS('רווחה - קליטה'!$AK$5:$AK$204,'רווחה - קליטה'!$A$5:$A$204,$A141,'רווחה - קליטה'!$C$5:$C$204,"סוף שנה"),""))</f>
      </c>
      <c r="J141" s="26">
        <f>IF($A141="","",IFERROR(INDEX('רווחה - קליטה'!$AS$5:$AS$204,MATCH($A141&amp;"|סוף שנה",'רווחה - קליטה'!$AE$5:$AE$204,0)),""))</f>
      </c>
      <c r="K141" s="36">
        <f>IF(AND(ISNUMBER(B141),ISNUMBER(H141)),H141-B141,"")</f>
      </c>
      <c r="L141" s="26">
        <f>IF(K141="","",IF(K141&gt;=0.5,"עלייה",IF(K141&lt;=-0.5,"ירידה","יציב")))</f>
      </c>
    </row>
    <row r="142" ht="15" customHeight="1" spans="1:12" x14ac:dyDescent="0.25">
      <c r="A142" s="29"/>
      <c r="B142" s="28">
        <f>IF($A142="","",IFERROR(AVERAGEIFS('רווחה - קליטה'!$AQ$5:$AQ$204,'רווחה - קליטה'!$A$5:$A$204,$A142,'רווחה - קליטה'!$C$5:$C$204,"תחילת שנה"),""))</f>
      </c>
      <c r="C142" s="27">
        <f>IF($A142="","",IFERROR(AVERAGEIFS('רווחה - קליטה'!$AK$5:$AK$204,'רווחה - קליטה'!$A$5:$A$204,$A142,'רווחה - קליטה'!$C$5:$C$204,"תחילת שנה"),""))</f>
      </c>
      <c r="D142" s="26">
        <f>IF($A142="","",IFERROR(INDEX('רווחה - קליטה'!$AS$5:$AS$204,MATCH($A142&amp;"|תחילת שנה",'רווחה - קליטה'!$AE$5:$AE$204,0)),""))</f>
      </c>
      <c r="E142" s="28">
        <f>IF($A142="","",IFERROR(AVERAGEIFS('רווחה - קליטה'!$AQ$5:$AQ$204,'רווחה - קליטה'!$A$5:$A$204,$A142,'רווחה - קליטה'!$C$5:$C$204,"אמצע שנה"),""))</f>
      </c>
      <c r="F142" s="27">
        <f>IF($A142="","",IFERROR(AVERAGEIFS('רווחה - קליטה'!$AK$5:$AK$204,'רווחה - קליטה'!$A$5:$A$204,$A142,'רווחה - קליטה'!$C$5:$C$204,"אמצע שנה"),""))</f>
      </c>
      <c r="G142" s="26">
        <f>IF($A142="","",IFERROR(INDEX('רווחה - קליטה'!$AS$5:$AS$204,MATCH($A142&amp;"|אמצע שנה",'רווחה - קליטה'!$AE$5:$AE$204,0)),""))</f>
      </c>
      <c r="H142" s="28">
        <f>IF($A142="","",IFERROR(AVERAGEIFS('רווחה - קליטה'!$AQ$5:$AQ$204,'רווחה - קליטה'!$A$5:$A$204,$A142,'רווחה - קליטה'!$C$5:$C$204,"סוף שנה"),""))</f>
      </c>
      <c r="I142" s="27">
        <f>IF($A142="","",IFERROR(AVERAGEIFS('רווחה - קליטה'!$AK$5:$AK$204,'רווחה - קליטה'!$A$5:$A$204,$A142,'רווחה - קליטה'!$C$5:$C$204,"סוף שנה"),""))</f>
      </c>
      <c r="J142" s="26">
        <f>IF($A142="","",IFERROR(INDEX('רווחה - קליטה'!$AS$5:$AS$204,MATCH($A142&amp;"|סוף שנה",'רווחה - קליטה'!$AE$5:$AE$204,0)),""))</f>
      </c>
      <c r="K142" s="36">
        <f>IF(AND(ISNUMBER(B142),ISNUMBER(H142)),H142-B142,"")</f>
      </c>
      <c r="L142" s="26">
        <f>IF(K142="","",IF(K142&gt;=0.5,"עלייה",IF(K142&lt;=-0.5,"ירידה","יציב")))</f>
      </c>
    </row>
    <row r="143" ht="15" customHeight="1" spans="1:12" x14ac:dyDescent="0.25">
      <c r="A143" s="29"/>
      <c r="B143" s="28">
        <f>IF($A143="","",IFERROR(AVERAGEIFS('רווחה - קליטה'!$AQ$5:$AQ$204,'רווחה - קליטה'!$A$5:$A$204,$A143,'רווחה - קליטה'!$C$5:$C$204,"תחילת שנה"),""))</f>
      </c>
      <c r="C143" s="27">
        <f>IF($A143="","",IFERROR(AVERAGEIFS('רווחה - קליטה'!$AK$5:$AK$204,'רווחה - קליטה'!$A$5:$A$204,$A143,'רווחה - קליטה'!$C$5:$C$204,"תחילת שנה"),""))</f>
      </c>
      <c r="D143" s="26">
        <f>IF($A143="","",IFERROR(INDEX('רווחה - קליטה'!$AS$5:$AS$204,MATCH($A143&amp;"|תחילת שנה",'רווחה - קליטה'!$AE$5:$AE$204,0)),""))</f>
      </c>
      <c r="E143" s="28">
        <f>IF($A143="","",IFERROR(AVERAGEIFS('רווחה - קליטה'!$AQ$5:$AQ$204,'רווחה - קליטה'!$A$5:$A$204,$A143,'רווחה - קליטה'!$C$5:$C$204,"אמצע שנה"),""))</f>
      </c>
      <c r="F143" s="27">
        <f>IF($A143="","",IFERROR(AVERAGEIFS('רווחה - קליטה'!$AK$5:$AK$204,'רווחה - קליטה'!$A$5:$A$204,$A143,'רווחה - קליטה'!$C$5:$C$204,"אמצע שנה"),""))</f>
      </c>
      <c r="G143" s="26">
        <f>IF($A143="","",IFERROR(INDEX('רווחה - קליטה'!$AS$5:$AS$204,MATCH($A143&amp;"|אמצע שנה",'רווחה - קליטה'!$AE$5:$AE$204,0)),""))</f>
      </c>
      <c r="H143" s="28">
        <f>IF($A143="","",IFERROR(AVERAGEIFS('רווחה - קליטה'!$AQ$5:$AQ$204,'רווחה - קליטה'!$A$5:$A$204,$A143,'רווחה - קליטה'!$C$5:$C$204,"סוף שנה"),""))</f>
      </c>
      <c r="I143" s="27">
        <f>IF($A143="","",IFERROR(AVERAGEIFS('רווחה - קליטה'!$AK$5:$AK$204,'רווחה - קליטה'!$A$5:$A$204,$A143,'רווחה - קליטה'!$C$5:$C$204,"סוף שנה"),""))</f>
      </c>
      <c r="J143" s="26">
        <f>IF($A143="","",IFERROR(INDEX('רווחה - קליטה'!$AS$5:$AS$204,MATCH($A143&amp;"|סוף שנה",'רווחה - קליטה'!$AE$5:$AE$204,0)),""))</f>
      </c>
      <c r="K143" s="36">
        <f>IF(AND(ISNUMBER(B143),ISNUMBER(H143)),H143-B143,"")</f>
      </c>
      <c r="L143" s="26">
        <f>IF(K143="","",IF(K143&gt;=0.5,"עלייה",IF(K143&lt;=-0.5,"ירידה","יציב")))</f>
      </c>
    </row>
    <row r="144" ht="15" customHeight="1" spans="1:12" x14ac:dyDescent="0.25">
      <c r="A144" s="29"/>
      <c r="B144" s="28">
        <f>IF($A144="","",IFERROR(AVERAGEIFS('רווחה - קליטה'!$AQ$5:$AQ$204,'רווחה - קליטה'!$A$5:$A$204,$A144,'רווחה - קליטה'!$C$5:$C$204,"תחילת שנה"),""))</f>
      </c>
      <c r="C144" s="27">
        <f>IF($A144="","",IFERROR(AVERAGEIFS('רווחה - קליטה'!$AK$5:$AK$204,'רווחה - קליטה'!$A$5:$A$204,$A144,'רווחה - קליטה'!$C$5:$C$204,"תחילת שנה"),""))</f>
      </c>
      <c r="D144" s="26">
        <f>IF($A144="","",IFERROR(INDEX('רווחה - קליטה'!$AS$5:$AS$204,MATCH($A144&amp;"|תחילת שנה",'רווחה - קליטה'!$AE$5:$AE$204,0)),""))</f>
      </c>
      <c r="E144" s="28">
        <f>IF($A144="","",IFERROR(AVERAGEIFS('רווחה - קליטה'!$AQ$5:$AQ$204,'רווחה - קליטה'!$A$5:$A$204,$A144,'רווחה - קליטה'!$C$5:$C$204,"אמצע שנה"),""))</f>
      </c>
      <c r="F144" s="27">
        <f>IF($A144="","",IFERROR(AVERAGEIFS('רווחה - קליטה'!$AK$5:$AK$204,'רווחה - קליטה'!$A$5:$A$204,$A144,'רווחה - קליטה'!$C$5:$C$204,"אמצע שנה"),""))</f>
      </c>
      <c r="G144" s="26">
        <f>IF($A144="","",IFERROR(INDEX('רווחה - קליטה'!$AS$5:$AS$204,MATCH($A144&amp;"|אמצע שנה",'רווחה - קליטה'!$AE$5:$AE$204,0)),""))</f>
      </c>
      <c r="H144" s="28">
        <f>IF($A144="","",IFERROR(AVERAGEIFS('רווחה - קליטה'!$AQ$5:$AQ$204,'רווחה - קליטה'!$A$5:$A$204,$A144,'רווחה - קליטה'!$C$5:$C$204,"סוף שנה"),""))</f>
      </c>
      <c r="I144" s="27">
        <f>IF($A144="","",IFERROR(AVERAGEIFS('רווחה - קליטה'!$AK$5:$AK$204,'רווחה - קליטה'!$A$5:$A$204,$A144,'רווחה - קליטה'!$C$5:$C$204,"סוף שנה"),""))</f>
      </c>
      <c r="J144" s="26">
        <f>IF($A144="","",IFERROR(INDEX('רווחה - קליטה'!$AS$5:$AS$204,MATCH($A144&amp;"|סוף שנה",'רווחה - קליטה'!$AE$5:$AE$204,0)),""))</f>
      </c>
      <c r="K144" s="36">
        <f>IF(AND(ISNUMBER(B144),ISNUMBER(H144)),H144-B144,"")</f>
      </c>
      <c r="L144" s="26">
        <f>IF(K144="","",IF(K144&gt;=0.5,"עלייה",IF(K144&lt;=-0.5,"ירידה","יציב")))</f>
      </c>
    </row>
    <row r="145" ht="15" customHeight="1" spans="1:12" x14ac:dyDescent="0.25">
      <c r="A145" s="29"/>
      <c r="B145" s="28">
        <f>IF($A145="","",IFERROR(AVERAGEIFS('רווחה - קליטה'!$AQ$5:$AQ$204,'רווחה - קליטה'!$A$5:$A$204,$A145,'רווחה - קליטה'!$C$5:$C$204,"תחילת שנה"),""))</f>
      </c>
      <c r="C145" s="27">
        <f>IF($A145="","",IFERROR(AVERAGEIFS('רווחה - קליטה'!$AK$5:$AK$204,'רווחה - קליטה'!$A$5:$A$204,$A145,'רווחה - קליטה'!$C$5:$C$204,"תחילת שנה"),""))</f>
      </c>
      <c r="D145" s="26">
        <f>IF($A145="","",IFERROR(INDEX('רווחה - קליטה'!$AS$5:$AS$204,MATCH($A145&amp;"|תחילת שנה",'רווחה - קליטה'!$AE$5:$AE$204,0)),""))</f>
      </c>
      <c r="E145" s="28">
        <f>IF($A145="","",IFERROR(AVERAGEIFS('רווחה - קליטה'!$AQ$5:$AQ$204,'רווחה - קליטה'!$A$5:$A$204,$A145,'רווחה - קליטה'!$C$5:$C$204,"אמצע שנה"),""))</f>
      </c>
      <c r="F145" s="27">
        <f>IF($A145="","",IFERROR(AVERAGEIFS('רווחה - קליטה'!$AK$5:$AK$204,'רווחה - קליטה'!$A$5:$A$204,$A145,'רווחה - קליטה'!$C$5:$C$204,"אמצע שנה"),""))</f>
      </c>
      <c r="G145" s="26">
        <f>IF($A145="","",IFERROR(INDEX('רווחה - קליטה'!$AS$5:$AS$204,MATCH($A145&amp;"|אמצע שנה",'רווחה - קליטה'!$AE$5:$AE$204,0)),""))</f>
      </c>
      <c r="H145" s="28">
        <f>IF($A145="","",IFERROR(AVERAGEIFS('רווחה - קליטה'!$AQ$5:$AQ$204,'רווחה - קליטה'!$A$5:$A$204,$A145,'רווחה - קליטה'!$C$5:$C$204,"סוף שנה"),""))</f>
      </c>
      <c r="I145" s="27">
        <f>IF($A145="","",IFERROR(AVERAGEIFS('רווחה - קליטה'!$AK$5:$AK$204,'רווחה - קליטה'!$A$5:$A$204,$A145,'רווחה - קליטה'!$C$5:$C$204,"סוף שנה"),""))</f>
      </c>
      <c r="J145" s="26">
        <f>IF($A145="","",IFERROR(INDEX('רווחה - קליטה'!$AS$5:$AS$204,MATCH($A145&amp;"|סוף שנה",'רווחה - קליטה'!$AE$5:$AE$204,0)),""))</f>
      </c>
      <c r="K145" s="36">
        <f>IF(AND(ISNUMBER(B145),ISNUMBER(H145)),H145-B145,"")</f>
      </c>
      <c r="L145" s="26">
        <f>IF(K145="","",IF(K145&gt;=0.5,"עלייה",IF(K145&lt;=-0.5,"ירידה","יציב")))</f>
      </c>
    </row>
    <row r="146" ht="15" customHeight="1" spans="1:12" x14ac:dyDescent="0.25">
      <c r="A146" s="29"/>
      <c r="B146" s="28">
        <f>IF($A146="","",IFERROR(AVERAGEIFS('רווחה - קליטה'!$AQ$5:$AQ$204,'רווחה - קליטה'!$A$5:$A$204,$A146,'רווחה - קליטה'!$C$5:$C$204,"תחילת שנה"),""))</f>
      </c>
      <c r="C146" s="27">
        <f>IF($A146="","",IFERROR(AVERAGEIFS('רווחה - קליטה'!$AK$5:$AK$204,'רווחה - קליטה'!$A$5:$A$204,$A146,'רווחה - קליטה'!$C$5:$C$204,"תחילת שנה"),""))</f>
      </c>
      <c r="D146" s="26">
        <f>IF($A146="","",IFERROR(INDEX('רווחה - קליטה'!$AS$5:$AS$204,MATCH($A146&amp;"|תחילת שנה",'רווחה - קליטה'!$AE$5:$AE$204,0)),""))</f>
      </c>
      <c r="E146" s="28">
        <f>IF($A146="","",IFERROR(AVERAGEIFS('רווחה - קליטה'!$AQ$5:$AQ$204,'רווחה - קליטה'!$A$5:$A$204,$A146,'רווחה - קליטה'!$C$5:$C$204,"אמצע שנה"),""))</f>
      </c>
      <c r="F146" s="27">
        <f>IF($A146="","",IFERROR(AVERAGEIFS('רווחה - קליטה'!$AK$5:$AK$204,'רווחה - קליטה'!$A$5:$A$204,$A146,'רווחה - קליטה'!$C$5:$C$204,"אמצע שנה"),""))</f>
      </c>
      <c r="G146" s="26">
        <f>IF($A146="","",IFERROR(INDEX('רווחה - קליטה'!$AS$5:$AS$204,MATCH($A146&amp;"|אמצע שנה",'רווחה - קליטה'!$AE$5:$AE$204,0)),""))</f>
      </c>
      <c r="H146" s="28">
        <f>IF($A146="","",IFERROR(AVERAGEIFS('רווחה - קליטה'!$AQ$5:$AQ$204,'רווחה - קליטה'!$A$5:$A$204,$A146,'רווחה - קליטה'!$C$5:$C$204,"סוף שנה"),""))</f>
      </c>
      <c r="I146" s="27">
        <f>IF($A146="","",IFERROR(AVERAGEIFS('רווחה - קליטה'!$AK$5:$AK$204,'רווחה - קליטה'!$A$5:$A$204,$A146,'רווחה - קליטה'!$C$5:$C$204,"סוף שנה"),""))</f>
      </c>
      <c r="J146" s="26">
        <f>IF($A146="","",IFERROR(INDEX('רווחה - קליטה'!$AS$5:$AS$204,MATCH($A146&amp;"|סוף שנה",'רווחה - קליטה'!$AE$5:$AE$204,0)),""))</f>
      </c>
      <c r="K146" s="36">
        <f>IF(AND(ISNUMBER(B146),ISNUMBER(H146)),H146-B146,"")</f>
      </c>
      <c r="L146" s="26">
        <f>IF(K146="","",IF(K146&gt;=0.5,"עלייה",IF(K146&lt;=-0.5,"ירידה","יציב")))</f>
      </c>
    </row>
    <row r="147" ht="15" customHeight="1" spans="1:12" x14ac:dyDescent="0.25">
      <c r="A147" s="29"/>
      <c r="B147" s="28">
        <f>IF($A147="","",IFERROR(AVERAGEIFS('רווחה - קליטה'!$AQ$5:$AQ$204,'רווחה - קליטה'!$A$5:$A$204,$A147,'רווחה - קליטה'!$C$5:$C$204,"תחילת שנה"),""))</f>
      </c>
      <c r="C147" s="27">
        <f>IF($A147="","",IFERROR(AVERAGEIFS('רווחה - קליטה'!$AK$5:$AK$204,'רווחה - קליטה'!$A$5:$A$204,$A147,'רווחה - קליטה'!$C$5:$C$204,"תחילת שנה"),""))</f>
      </c>
      <c r="D147" s="26">
        <f>IF($A147="","",IFERROR(INDEX('רווחה - קליטה'!$AS$5:$AS$204,MATCH($A147&amp;"|תחילת שנה",'רווחה - קליטה'!$AE$5:$AE$204,0)),""))</f>
      </c>
      <c r="E147" s="28">
        <f>IF($A147="","",IFERROR(AVERAGEIFS('רווחה - קליטה'!$AQ$5:$AQ$204,'רווחה - קליטה'!$A$5:$A$204,$A147,'רווחה - קליטה'!$C$5:$C$204,"אמצע שנה"),""))</f>
      </c>
      <c r="F147" s="27">
        <f>IF($A147="","",IFERROR(AVERAGEIFS('רווחה - קליטה'!$AK$5:$AK$204,'רווחה - קליטה'!$A$5:$A$204,$A147,'רווחה - קליטה'!$C$5:$C$204,"אמצע שנה"),""))</f>
      </c>
      <c r="G147" s="26">
        <f>IF($A147="","",IFERROR(INDEX('רווחה - קליטה'!$AS$5:$AS$204,MATCH($A147&amp;"|אמצע שנה",'רווחה - קליטה'!$AE$5:$AE$204,0)),""))</f>
      </c>
      <c r="H147" s="28">
        <f>IF($A147="","",IFERROR(AVERAGEIFS('רווחה - קליטה'!$AQ$5:$AQ$204,'רווחה - קליטה'!$A$5:$A$204,$A147,'רווחה - קליטה'!$C$5:$C$204,"סוף שנה"),""))</f>
      </c>
      <c r="I147" s="27">
        <f>IF($A147="","",IFERROR(AVERAGEIFS('רווחה - קליטה'!$AK$5:$AK$204,'רווחה - קליטה'!$A$5:$A$204,$A147,'רווחה - קליטה'!$C$5:$C$204,"סוף שנה"),""))</f>
      </c>
      <c r="J147" s="26">
        <f>IF($A147="","",IFERROR(INDEX('רווחה - קליטה'!$AS$5:$AS$204,MATCH($A147&amp;"|סוף שנה",'רווחה - קליטה'!$AE$5:$AE$204,0)),""))</f>
      </c>
      <c r="K147" s="36">
        <f>IF(AND(ISNUMBER(B147),ISNUMBER(H147)),H147-B147,"")</f>
      </c>
      <c r="L147" s="26">
        <f>IF(K147="","",IF(K147&gt;=0.5,"עלייה",IF(K147&lt;=-0.5,"ירידה","יציב")))</f>
      </c>
    </row>
    <row r="148" ht="15" customHeight="1" spans="1:12" x14ac:dyDescent="0.25">
      <c r="A148" s="29"/>
      <c r="B148" s="28">
        <f>IF($A148="","",IFERROR(AVERAGEIFS('רווחה - קליטה'!$AQ$5:$AQ$204,'רווחה - קליטה'!$A$5:$A$204,$A148,'רווחה - קליטה'!$C$5:$C$204,"תחילת שנה"),""))</f>
      </c>
      <c r="C148" s="27">
        <f>IF($A148="","",IFERROR(AVERAGEIFS('רווחה - קליטה'!$AK$5:$AK$204,'רווחה - קליטה'!$A$5:$A$204,$A148,'רווחה - קליטה'!$C$5:$C$204,"תחילת שנה"),""))</f>
      </c>
      <c r="D148" s="26">
        <f>IF($A148="","",IFERROR(INDEX('רווחה - קליטה'!$AS$5:$AS$204,MATCH($A148&amp;"|תחילת שנה",'רווחה - קליטה'!$AE$5:$AE$204,0)),""))</f>
      </c>
      <c r="E148" s="28">
        <f>IF($A148="","",IFERROR(AVERAGEIFS('רווחה - קליטה'!$AQ$5:$AQ$204,'רווחה - קליטה'!$A$5:$A$204,$A148,'רווחה - קליטה'!$C$5:$C$204,"אמצע שנה"),""))</f>
      </c>
      <c r="F148" s="27">
        <f>IF($A148="","",IFERROR(AVERAGEIFS('רווחה - קליטה'!$AK$5:$AK$204,'רווחה - קליטה'!$A$5:$A$204,$A148,'רווחה - קליטה'!$C$5:$C$204,"אמצע שנה"),""))</f>
      </c>
      <c r="G148" s="26">
        <f>IF($A148="","",IFERROR(INDEX('רווחה - קליטה'!$AS$5:$AS$204,MATCH($A148&amp;"|אמצע שנה",'רווחה - קליטה'!$AE$5:$AE$204,0)),""))</f>
      </c>
      <c r="H148" s="28">
        <f>IF($A148="","",IFERROR(AVERAGEIFS('רווחה - קליטה'!$AQ$5:$AQ$204,'רווחה - קליטה'!$A$5:$A$204,$A148,'רווחה - קליטה'!$C$5:$C$204,"סוף שנה"),""))</f>
      </c>
      <c r="I148" s="27">
        <f>IF($A148="","",IFERROR(AVERAGEIFS('רווחה - קליטה'!$AK$5:$AK$204,'רווחה - קליטה'!$A$5:$A$204,$A148,'רווחה - קליטה'!$C$5:$C$204,"סוף שנה"),""))</f>
      </c>
      <c r="J148" s="26">
        <f>IF($A148="","",IFERROR(INDEX('רווחה - קליטה'!$AS$5:$AS$204,MATCH($A148&amp;"|סוף שנה",'רווחה - קליטה'!$AE$5:$AE$204,0)),""))</f>
      </c>
      <c r="K148" s="36">
        <f>IF(AND(ISNUMBER(B148),ISNUMBER(H148)),H148-B148,"")</f>
      </c>
      <c r="L148" s="26">
        <f>IF(K148="","",IF(K148&gt;=0.5,"עלייה",IF(K148&lt;=-0.5,"ירידה","יציב")))</f>
      </c>
    </row>
    <row r="149" ht="15" customHeight="1" spans="1:12" x14ac:dyDescent="0.25">
      <c r="A149" s="29"/>
      <c r="B149" s="28">
        <f>IF($A149="","",IFERROR(AVERAGEIFS('רווחה - קליטה'!$AQ$5:$AQ$204,'רווחה - קליטה'!$A$5:$A$204,$A149,'רווחה - קליטה'!$C$5:$C$204,"תחילת שנה"),""))</f>
      </c>
      <c r="C149" s="27">
        <f>IF($A149="","",IFERROR(AVERAGEIFS('רווחה - קליטה'!$AK$5:$AK$204,'רווחה - קליטה'!$A$5:$A$204,$A149,'רווחה - קליטה'!$C$5:$C$204,"תחילת שנה"),""))</f>
      </c>
      <c r="D149" s="26">
        <f>IF($A149="","",IFERROR(INDEX('רווחה - קליטה'!$AS$5:$AS$204,MATCH($A149&amp;"|תחילת שנה",'רווחה - קליטה'!$AE$5:$AE$204,0)),""))</f>
      </c>
      <c r="E149" s="28">
        <f>IF($A149="","",IFERROR(AVERAGEIFS('רווחה - קליטה'!$AQ$5:$AQ$204,'רווחה - קליטה'!$A$5:$A$204,$A149,'רווחה - קליטה'!$C$5:$C$204,"אמצע שנה"),""))</f>
      </c>
      <c r="F149" s="27">
        <f>IF($A149="","",IFERROR(AVERAGEIFS('רווחה - קליטה'!$AK$5:$AK$204,'רווחה - קליטה'!$A$5:$A$204,$A149,'רווחה - קליטה'!$C$5:$C$204,"אמצע שנה"),""))</f>
      </c>
      <c r="G149" s="26">
        <f>IF($A149="","",IFERROR(INDEX('רווחה - קליטה'!$AS$5:$AS$204,MATCH($A149&amp;"|אמצע שנה",'רווחה - קליטה'!$AE$5:$AE$204,0)),""))</f>
      </c>
      <c r="H149" s="28">
        <f>IF($A149="","",IFERROR(AVERAGEIFS('רווחה - קליטה'!$AQ$5:$AQ$204,'רווחה - קליטה'!$A$5:$A$204,$A149,'רווחה - קליטה'!$C$5:$C$204,"סוף שנה"),""))</f>
      </c>
      <c r="I149" s="27">
        <f>IF($A149="","",IFERROR(AVERAGEIFS('רווחה - קליטה'!$AK$5:$AK$204,'רווחה - קליטה'!$A$5:$A$204,$A149,'רווחה - קליטה'!$C$5:$C$204,"סוף שנה"),""))</f>
      </c>
      <c r="J149" s="26">
        <f>IF($A149="","",IFERROR(INDEX('רווחה - קליטה'!$AS$5:$AS$204,MATCH($A149&amp;"|סוף שנה",'רווחה - קליטה'!$AE$5:$AE$204,0)),""))</f>
      </c>
      <c r="K149" s="36">
        <f>IF(AND(ISNUMBER(B149),ISNUMBER(H149)),H149-B149,"")</f>
      </c>
      <c r="L149" s="26">
        <f>IF(K149="","",IF(K149&gt;=0.5,"עלייה",IF(K149&lt;=-0.5,"ירידה","יציב")))</f>
      </c>
    </row>
    <row r="150" ht="15" customHeight="1" spans="1:12" x14ac:dyDescent="0.25">
      <c r="A150" s="29"/>
      <c r="B150" s="28">
        <f>IF($A150="","",IFERROR(AVERAGEIFS('רווחה - קליטה'!$AQ$5:$AQ$204,'רווחה - קליטה'!$A$5:$A$204,$A150,'רווחה - קליטה'!$C$5:$C$204,"תחילת שנה"),""))</f>
      </c>
      <c r="C150" s="27">
        <f>IF($A150="","",IFERROR(AVERAGEIFS('רווחה - קליטה'!$AK$5:$AK$204,'רווחה - קליטה'!$A$5:$A$204,$A150,'רווחה - קליטה'!$C$5:$C$204,"תחילת שנה"),""))</f>
      </c>
      <c r="D150" s="26">
        <f>IF($A150="","",IFERROR(INDEX('רווחה - קליטה'!$AS$5:$AS$204,MATCH($A150&amp;"|תחילת שנה",'רווחה - קליטה'!$AE$5:$AE$204,0)),""))</f>
      </c>
      <c r="E150" s="28">
        <f>IF($A150="","",IFERROR(AVERAGEIFS('רווחה - קליטה'!$AQ$5:$AQ$204,'רווחה - קליטה'!$A$5:$A$204,$A150,'רווחה - קליטה'!$C$5:$C$204,"אמצע שנה"),""))</f>
      </c>
      <c r="F150" s="27">
        <f>IF($A150="","",IFERROR(AVERAGEIFS('רווחה - קליטה'!$AK$5:$AK$204,'רווחה - קליטה'!$A$5:$A$204,$A150,'רווחה - קליטה'!$C$5:$C$204,"אמצע שנה"),""))</f>
      </c>
      <c r="G150" s="26">
        <f>IF($A150="","",IFERROR(INDEX('רווחה - קליטה'!$AS$5:$AS$204,MATCH($A150&amp;"|אמצע שנה",'רווחה - קליטה'!$AE$5:$AE$204,0)),""))</f>
      </c>
      <c r="H150" s="28">
        <f>IF($A150="","",IFERROR(AVERAGEIFS('רווחה - קליטה'!$AQ$5:$AQ$204,'רווחה - קליטה'!$A$5:$A$204,$A150,'רווחה - קליטה'!$C$5:$C$204,"סוף שנה"),""))</f>
      </c>
      <c r="I150" s="27">
        <f>IF($A150="","",IFERROR(AVERAGEIFS('רווחה - קליטה'!$AK$5:$AK$204,'רווחה - קליטה'!$A$5:$A$204,$A150,'רווחה - קליטה'!$C$5:$C$204,"סוף שנה"),""))</f>
      </c>
      <c r="J150" s="26">
        <f>IF($A150="","",IFERROR(INDEX('רווחה - קליטה'!$AS$5:$AS$204,MATCH($A150&amp;"|סוף שנה",'רווחה - קליטה'!$AE$5:$AE$204,0)),""))</f>
      </c>
      <c r="K150" s="36">
        <f>IF(AND(ISNUMBER(B150),ISNUMBER(H150)),H150-B150,"")</f>
      </c>
      <c r="L150" s="26">
        <f>IF(K150="","",IF(K150&gt;=0.5,"עלייה",IF(K150&lt;=-0.5,"ירידה","יציב")))</f>
      </c>
    </row>
    <row r="151" ht="15" customHeight="1" spans="1:12" x14ac:dyDescent="0.25">
      <c r="A151" s="29"/>
      <c r="B151" s="28">
        <f>IF($A151="","",IFERROR(AVERAGEIFS('רווחה - קליטה'!$AQ$5:$AQ$204,'רווחה - קליטה'!$A$5:$A$204,$A151,'רווחה - קליטה'!$C$5:$C$204,"תחילת שנה"),""))</f>
      </c>
      <c r="C151" s="27">
        <f>IF($A151="","",IFERROR(AVERAGEIFS('רווחה - קליטה'!$AK$5:$AK$204,'רווחה - קליטה'!$A$5:$A$204,$A151,'רווחה - קליטה'!$C$5:$C$204,"תחילת שנה"),""))</f>
      </c>
      <c r="D151" s="26">
        <f>IF($A151="","",IFERROR(INDEX('רווחה - קליטה'!$AS$5:$AS$204,MATCH($A151&amp;"|תחילת שנה",'רווחה - קליטה'!$AE$5:$AE$204,0)),""))</f>
      </c>
      <c r="E151" s="28">
        <f>IF($A151="","",IFERROR(AVERAGEIFS('רווחה - קליטה'!$AQ$5:$AQ$204,'רווחה - קליטה'!$A$5:$A$204,$A151,'רווחה - קליטה'!$C$5:$C$204,"אמצע שנה"),""))</f>
      </c>
      <c r="F151" s="27">
        <f>IF($A151="","",IFERROR(AVERAGEIFS('רווחה - קליטה'!$AK$5:$AK$204,'רווחה - קליטה'!$A$5:$A$204,$A151,'רווחה - קליטה'!$C$5:$C$204,"אמצע שנה"),""))</f>
      </c>
      <c r="G151" s="26">
        <f>IF($A151="","",IFERROR(INDEX('רווחה - קליטה'!$AS$5:$AS$204,MATCH($A151&amp;"|אמצע שנה",'רווחה - קליטה'!$AE$5:$AE$204,0)),""))</f>
      </c>
      <c r="H151" s="28">
        <f>IF($A151="","",IFERROR(AVERAGEIFS('רווחה - קליטה'!$AQ$5:$AQ$204,'רווחה - קליטה'!$A$5:$A$204,$A151,'רווחה - קליטה'!$C$5:$C$204,"סוף שנה"),""))</f>
      </c>
      <c r="I151" s="27">
        <f>IF($A151="","",IFERROR(AVERAGEIFS('רווחה - קליטה'!$AK$5:$AK$204,'רווחה - קליטה'!$A$5:$A$204,$A151,'רווחה - קליטה'!$C$5:$C$204,"סוף שנה"),""))</f>
      </c>
      <c r="J151" s="26">
        <f>IF($A151="","",IFERROR(INDEX('רווחה - קליטה'!$AS$5:$AS$204,MATCH($A151&amp;"|סוף שנה",'רווחה - קליטה'!$AE$5:$AE$204,0)),""))</f>
      </c>
      <c r="K151" s="36">
        <f>IF(AND(ISNUMBER(B151),ISNUMBER(H151)),H151-B151,"")</f>
      </c>
      <c r="L151" s="26">
        <f>IF(K151="","",IF(K151&gt;=0.5,"עלייה",IF(K151&lt;=-0.5,"ירידה","יציב")))</f>
      </c>
    </row>
    <row r="152" ht="15" customHeight="1" spans="1:12" x14ac:dyDescent="0.25">
      <c r="A152" s="29"/>
      <c r="B152" s="28">
        <f>IF($A152="","",IFERROR(AVERAGEIFS('רווחה - קליטה'!$AQ$5:$AQ$204,'רווחה - קליטה'!$A$5:$A$204,$A152,'רווחה - קליטה'!$C$5:$C$204,"תחילת שנה"),""))</f>
      </c>
      <c r="C152" s="27">
        <f>IF($A152="","",IFERROR(AVERAGEIFS('רווחה - קליטה'!$AK$5:$AK$204,'רווחה - קליטה'!$A$5:$A$204,$A152,'רווחה - קליטה'!$C$5:$C$204,"תחילת שנה"),""))</f>
      </c>
      <c r="D152" s="26">
        <f>IF($A152="","",IFERROR(INDEX('רווחה - קליטה'!$AS$5:$AS$204,MATCH($A152&amp;"|תחילת שנה",'רווחה - קליטה'!$AE$5:$AE$204,0)),""))</f>
      </c>
      <c r="E152" s="28">
        <f>IF($A152="","",IFERROR(AVERAGEIFS('רווחה - קליטה'!$AQ$5:$AQ$204,'רווחה - קליטה'!$A$5:$A$204,$A152,'רווחה - קליטה'!$C$5:$C$204,"אמצע שנה"),""))</f>
      </c>
      <c r="F152" s="27">
        <f>IF($A152="","",IFERROR(AVERAGEIFS('רווחה - קליטה'!$AK$5:$AK$204,'רווחה - קליטה'!$A$5:$A$204,$A152,'רווחה - קליטה'!$C$5:$C$204,"אמצע שנה"),""))</f>
      </c>
      <c r="G152" s="26">
        <f>IF($A152="","",IFERROR(INDEX('רווחה - קליטה'!$AS$5:$AS$204,MATCH($A152&amp;"|אמצע שנה",'רווחה - קליטה'!$AE$5:$AE$204,0)),""))</f>
      </c>
      <c r="H152" s="28">
        <f>IF($A152="","",IFERROR(AVERAGEIFS('רווחה - קליטה'!$AQ$5:$AQ$204,'רווחה - קליטה'!$A$5:$A$204,$A152,'רווחה - קליטה'!$C$5:$C$204,"סוף שנה"),""))</f>
      </c>
      <c r="I152" s="27">
        <f>IF($A152="","",IFERROR(AVERAGEIFS('רווחה - קליטה'!$AK$5:$AK$204,'רווחה - קליטה'!$A$5:$A$204,$A152,'רווחה - קליטה'!$C$5:$C$204,"סוף שנה"),""))</f>
      </c>
      <c r="J152" s="26">
        <f>IF($A152="","",IFERROR(INDEX('רווחה - קליטה'!$AS$5:$AS$204,MATCH($A152&amp;"|סוף שנה",'רווחה - קליטה'!$AE$5:$AE$204,0)),""))</f>
      </c>
      <c r="K152" s="36">
        <f>IF(AND(ISNUMBER(B152),ISNUMBER(H152)),H152-B152,"")</f>
      </c>
      <c r="L152" s="26">
        <f>IF(K152="","",IF(K152&gt;=0.5,"עלייה",IF(K152&lt;=-0.5,"ירידה","יציב")))</f>
      </c>
    </row>
    <row r="153" ht="15" customHeight="1" spans="1:12" x14ac:dyDescent="0.25">
      <c r="A153" s="29"/>
      <c r="B153" s="28">
        <f>IF($A153="","",IFERROR(AVERAGEIFS('רווחה - קליטה'!$AQ$5:$AQ$204,'רווחה - קליטה'!$A$5:$A$204,$A153,'רווחה - קליטה'!$C$5:$C$204,"תחילת שנה"),""))</f>
      </c>
      <c r="C153" s="27">
        <f>IF($A153="","",IFERROR(AVERAGEIFS('רווחה - קליטה'!$AK$5:$AK$204,'רווחה - קליטה'!$A$5:$A$204,$A153,'רווחה - קליטה'!$C$5:$C$204,"תחילת שנה"),""))</f>
      </c>
      <c r="D153" s="26">
        <f>IF($A153="","",IFERROR(INDEX('רווחה - קליטה'!$AS$5:$AS$204,MATCH($A153&amp;"|תחילת שנה",'רווחה - קליטה'!$AE$5:$AE$204,0)),""))</f>
      </c>
      <c r="E153" s="28">
        <f>IF($A153="","",IFERROR(AVERAGEIFS('רווחה - קליטה'!$AQ$5:$AQ$204,'רווחה - קליטה'!$A$5:$A$204,$A153,'רווחה - קליטה'!$C$5:$C$204,"אמצע שנה"),""))</f>
      </c>
      <c r="F153" s="27">
        <f>IF($A153="","",IFERROR(AVERAGEIFS('רווחה - קליטה'!$AK$5:$AK$204,'רווחה - קליטה'!$A$5:$A$204,$A153,'רווחה - קליטה'!$C$5:$C$204,"אמצע שנה"),""))</f>
      </c>
      <c r="G153" s="26">
        <f>IF($A153="","",IFERROR(INDEX('רווחה - קליטה'!$AS$5:$AS$204,MATCH($A153&amp;"|אמצע שנה",'רווחה - קליטה'!$AE$5:$AE$204,0)),""))</f>
      </c>
      <c r="H153" s="28">
        <f>IF($A153="","",IFERROR(AVERAGEIFS('רווחה - קליטה'!$AQ$5:$AQ$204,'רווחה - קליטה'!$A$5:$A$204,$A153,'רווחה - קליטה'!$C$5:$C$204,"סוף שנה"),""))</f>
      </c>
      <c r="I153" s="27">
        <f>IF($A153="","",IFERROR(AVERAGEIFS('רווחה - קליטה'!$AK$5:$AK$204,'רווחה - קליטה'!$A$5:$A$204,$A153,'רווחה - קליטה'!$C$5:$C$204,"סוף שנה"),""))</f>
      </c>
      <c r="J153" s="26">
        <f>IF($A153="","",IFERROR(INDEX('רווחה - קליטה'!$AS$5:$AS$204,MATCH($A153&amp;"|סוף שנה",'רווחה - קליטה'!$AE$5:$AE$204,0)),""))</f>
      </c>
      <c r="K153" s="36">
        <f>IF(AND(ISNUMBER(B153),ISNUMBER(H153)),H153-B153,"")</f>
      </c>
      <c r="L153" s="26">
        <f>IF(K153="","",IF(K153&gt;=0.5,"עלייה",IF(K153&lt;=-0.5,"ירידה","יציב")))</f>
      </c>
    </row>
    <row r="154" ht="15" customHeight="1" spans="1:12" x14ac:dyDescent="0.25">
      <c r="A154" s="29"/>
      <c r="B154" s="28">
        <f>IF($A154="","",IFERROR(AVERAGEIFS('רווחה - קליטה'!$AQ$5:$AQ$204,'רווחה - קליטה'!$A$5:$A$204,$A154,'רווחה - קליטה'!$C$5:$C$204,"תחילת שנה"),""))</f>
      </c>
      <c r="C154" s="27">
        <f>IF($A154="","",IFERROR(AVERAGEIFS('רווחה - קליטה'!$AK$5:$AK$204,'רווחה - קליטה'!$A$5:$A$204,$A154,'רווחה - קליטה'!$C$5:$C$204,"תחילת שנה"),""))</f>
      </c>
      <c r="D154" s="26">
        <f>IF($A154="","",IFERROR(INDEX('רווחה - קליטה'!$AS$5:$AS$204,MATCH($A154&amp;"|תחילת שנה",'רווחה - קליטה'!$AE$5:$AE$204,0)),""))</f>
      </c>
      <c r="E154" s="28">
        <f>IF($A154="","",IFERROR(AVERAGEIFS('רווחה - קליטה'!$AQ$5:$AQ$204,'רווחה - קליטה'!$A$5:$A$204,$A154,'רווחה - קליטה'!$C$5:$C$204,"אמצע שנה"),""))</f>
      </c>
      <c r="F154" s="27">
        <f>IF($A154="","",IFERROR(AVERAGEIFS('רווחה - קליטה'!$AK$5:$AK$204,'רווחה - קליטה'!$A$5:$A$204,$A154,'רווחה - קליטה'!$C$5:$C$204,"אמצע שנה"),""))</f>
      </c>
      <c r="G154" s="26">
        <f>IF($A154="","",IFERROR(INDEX('רווחה - קליטה'!$AS$5:$AS$204,MATCH($A154&amp;"|אמצע שנה",'רווחה - קליטה'!$AE$5:$AE$204,0)),""))</f>
      </c>
      <c r="H154" s="28">
        <f>IF($A154="","",IFERROR(AVERAGEIFS('רווחה - קליטה'!$AQ$5:$AQ$204,'רווחה - קליטה'!$A$5:$A$204,$A154,'רווחה - קליטה'!$C$5:$C$204,"סוף שנה"),""))</f>
      </c>
      <c r="I154" s="27">
        <f>IF($A154="","",IFERROR(AVERAGEIFS('רווחה - קליטה'!$AK$5:$AK$204,'רווחה - קליטה'!$A$5:$A$204,$A154,'רווחה - קליטה'!$C$5:$C$204,"סוף שנה"),""))</f>
      </c>
      <c r="J154" s="26">
        <f>IF($A154="","",IFERROR(INDEX('רווחה - קליטה'!$AS$5:$AS$204,MATCH($A154&amp;"|סוף שנה",'רווחה - קליטה'!$AE$5:$AE$204,0)),""))</f>
      </c>
      <c r="K154" s="36">
        <f>IF(AND(ISNUMBER(B154),ISNUMBER(H154)),H154-B154,"")</f>
      </c>
      <c r="L154" s="26">
        <f>IF(K154="","",IF(K154&gt;=0.5,"עלייה",IF(K154&lt;=-0.5,"ירידה","יציב")))</f>
      </c>
    </row>
    <row r="155" ht="15" customHeight="1" spans="1:12" x14ac:dyDescent="0.25">
      <c r="A155" s="29"/>
      <c r="B155" s="28">
        <f>IF($A155="","",IFERROR(AVERAGEIFS('רווחה - קליטה'!$AQ$5:$AQ$204,'רווחה - קליטה'!$A$5:$A$204,$A155,'רווחה - קליטה'!$C$5:$C$204,"תחילת שנה"),""))</f>
      </c>
      <c r="C155" s="27">
        <f>IF($A155="","",IFERROR(AVERAGEIFS('רווחה - קליטה'!$AK$5:$AK$204,'רווחה - קליטה'!$A$5:$A$204,$A155,'רווחה - קליטה'!$C$5:$C$204,"תחילת שנה"),""))</f>
      </c>
      <c r="D155" s="26">
        <f>IF($A155="","",IFERROR(INDEX('רווחה - קליטה'!$AS$5:$AS$204,MATCH($A155&amp;"|תחילת שנה",'רווחה - קליטה'!$AE$5:$AE$204,0)),""))</f>
      </c>
      <c r="E155" s="28">
        <f>IF($A155="","",IFERROR(AVERAGEIFS('רווחה - קליטה'!$AQ$5:$AQ$204,'רווחה - קליטה'!$A$5:$A$204,$A155,'רווחה - קליטה'!$C$5:$C$204,"אמצע שנה"),""))</f>
      </c>
      <c r="F155" s="27">
        <f>IF($A155="","",IFERROR(AVERAGEIFS('רווחה - קליטה'!$AK$5:$AK$204,'רווחה - קליטה'!$A$5:$A$204,$A155,'רווחה - קליטה'!$C$5:$C$204,"אמצע שנה"),""))</f>
      </c>
      <c r="G155" s="26">
        <f>IF($A155="","",IFERROR(INDEX('רווחה - קליטה'!$AS$5:$AS$204,MATCH($A155&amp;"|אמצע שנה",'רווחה - קליטה'!$AE$5:$AE$204,0)),""))</f>
      </c>
      <c r="H155" s="28">
        <f>IF($A155="","",IFERROR(AVERAGEIFS('רווחה - קליטה'!$AQ$5:$AQ$204,'רווחה - קליטה'!$A$5:$A$204,$A155,'רווחה - קליטה'!$C$5:$C$204,"סוף שנה"),""))</f>
      </c>
      <c r="I155" s="27">
        <f>IF($A155="","",IFERROR(AVERAGEIFS('רווחה - קליטה'!$AK$5:$AK$204,'רווחה - קליטה'!$A$5:$A$204,$A155,'רווחה - קליטה'!$C$5:$C$204,"סוף שנה"),""))</f>
      </c>
      <c r="J155" s="26">
        <f>IF($A155="","",IFERROR(INDEX('רווחה - קליטה'!$AS$5:$AS$204,MATCH($A155&amp;"|סוף שנה",'רווחה - קליטה'!$AE$5:$AE$204,0)),""))</f>
      </c>
      <c r="K155" s="36">
        <f>IF(AND(ISNUMBER(B155),ISNUMBER(H155)),H155-B155,"")</f>
      </c>
      <c r="L155" s="26">
        <f>IF(K155="","",IF(K155&gt;=0.5,"עלייה",IF(K155&lt;=-0.5,"ירידה","יציב")))</f>
      </c>
    </row>
    <row r="156" ht="15" customHeight="1" spans="1:12" x14ac:dyDescent="0.25">
      <c r="A156" s="29"/>
      <c r="B156" s="28">
        <f>IF($A156="","",IFERROR(AVERAGEIFS('רווחה - קליטה'!$AQ$5:$AQ$204,'רווחה - קליטה'!$A$5:$A$204,$A156,'רווחה - קליטה'!$C$5:$C$204,"תחילת שנה"),""))</f>
      </c>
      <c r="C156" s="27">
        <f>IF($A156="","",IFERROR(AVERAGEIFS('רווחה - קליטה'!$AK$5:$AK$204,'רווחה - קליטה'!$A$5:$A$204,$A156,'רווחה - קליטה'!$C$5:$C$204,"תחילת שנה"),""))</f>
      </c>
      <c r="D156" s="26">
        <f>IF($A156="","",IFERROR(INDEX('רווחה - קליטה'!$AS$5:$AS$204,MATCH($A156&amp;"|תחילת שנה",'רווחה - קליטה'!$AE$5:$AE$204,0)),""))</f>
      </c>
      <c r="E156" s="28">
        <f>IF($A156="","",IFERROR(AVERAGEIFS('רווחה - קליטה'!$AQ$5:$AQ$204,'רווחה - קליטה'!$A$5:$A$204,$A156,'רווחה - קליטה'!$C$5:$C$204,"אמצע שנה"),""))</f>
      </c>
      <c r="F156" s="27">
        <f>IF($A156="","",IFERROR(AVERAGEIFS('רווחה - קליטה'!$AK$5:$AK$204,'רווחה - קליטה'!$A$5:$A$204,$A156,'רווחה - קליטה'!$C$5:$C$204,"אמצע שנה"),""))</f>
      </c>
      <c r="G156" s="26">
        <f>IF($A156="","",IFERROR(INDEX('רווחה - קליטה'!$AS$5:$AS$204,MATCH($A156&amp;"|אמצע שנה",'רווחה - קליטה'!$AE$5:$AE$204,0)),""))</f>
      </c>
      <c r="H156" s="28">
        <f>IF($A156="","",IFERROR(AVERAGEIFS('רווחה - קליטה'!$AQ$5:$AQ$204,'רווחה - קליטה'!$A$5:$A$204,$A156,'רווחה - קליטה'!$C$5:$C$204,"סוף שנה"),""))</f>
      </c>
      <c r="I156" s="27">
        <f>IF($A156="","",IFERROR(AVERAGEIFS('רווחה - קליטה'!$AK$5:$AK$204,'רווחה - קליטה'!$A$5:$A$204,$A156,'רווחה - קליטה'!$C$5:$C$204,"סוף שנה"),""))</f>
      </c>
      <c r="J156" s="26">
        <f>IF($A156="","",IFERROR(INDEX('רווחה - קליטה'!$AS$5:$AS$204,MATCH($A156&amp;"|סוף שנה",'רווחה - קליטה'!$AE$5:$AE$204,0)),""))</f>
      </c>
      <c r="K156" s="36">
        <f>IF(AND(ISNUMBER(B156),ISNUMBER(H156)),H156-B156,"")</f>
      </c>
      <c r="L156" s="26">
        <f>IF(K156="","",IF(K156&gt;=0.5,"עלייה",IF(K156&lt;=-0.5,"ירידה","יציב")))</f>
      </c>
    </row>
    <row r="157" ht="15" customHeight="1" spans="1:12" x14ac:dyDescent="0.25">
      <c r="A157" s="29"/>
      <c r="B157" s="28">
        <f>IF($A157="","",IFERROR(AVERAGEIFS('רווחה - קליטה'!$AQ$5:$AQ$204,'רווחה - קליטה'!$A$5:$A$204,$A157,'רווחה - קליטה'!$C$5:$C$204,"תחילת שנה"),""))</f>
      </c>
      <c r="C157" s="27">
        <f>IF($A157="","",IFERROR(AVERAGEIFS('רווחה - קליטה'!$AK$5:$AK$204,'רווחה - קליטה'!$A$5:$A$204,$A157,'רווחה - קליטה'!$C$5:$C$204,"תחילת שנה"),""))</f>
      </c>
      <c r="D157" s="26">
        <f>IF($A157="","",IFERROR(INDEX('רווחה - קליטה'!$AS$5:$AS$204,MATCH($A157&amp;"|תחילת שנה",'רווחה - קליטה'!$AE$5:$AE$204,0)),""))</f>
      </c>
      <c r="E157" s="28">
        <f>IF($A157="","",IFERROR(AVERAGEIFS('רווחה - קליטה'!$AQ$5:$AQ$204,'רווחה - קליטה'!$A$5:$A$204,$A157,'רווחה - קליטה'!$C$5:$C$204,"אמצע שנה"),""))</f>
      </c>
      <c r="F157" s="27">
        <f>IF($A157="","",IFERROR(AVERAGEIFS('רווחה - קליטה'!$AK$5:$AK$204,'רווחה - קליטה'!$A$5:$A$204,$A157,'רווחה - קליטה'!$C$5:$C$204,"אמצע שנה"),""))</f>
      </c>
      <c r="G157" s="26">
        <f>IF($A157="","",IFERROR(INDEX('רווחה - קליטה'!$AS$5:$AS$204,MATCH($A157&amp;"|אמצע שנה",'רווחה - קליטה'!$AE$5:$AE$204,0)),""))</f>
      </c>
      <c r="H157" s="28">
        <f>IF($A157="","",IFERROR(AVERAGEIFS('רווחה - קליטה'!$AQ$5:$AQ$204,'רווחה - קליטה'!$A$5:$A$204,$A157,'רווחה - קליטה'!$C$5:$C$204,"סוף שנה"),""))</f>
      </c>
      <c r="I157" s="27">
        <f>IF($A157="","",IFERROR(AVERAGEIFS('רווחה - קליטה'!$AK$5:$AK$204,'רווחה - קליטה'!$A$5:$A$204,$A157,'רווחה - קליטה'!$C$5:$C$204,"סוף שנה"),""))</f>
      </c>
      <c r="J157" s="26">
        <f>IF($A157="","",IFERROR(INDEX('רווחה - קליטה'!$AS$5:$AS$204,MATCH($A157&amp;"|סוף שנה",'רווחה - קליטה'!$AE$5:$AE$204,0)),""))</f>
      </c>
      <c r="K157" s="36">
        <f>IF(AND(ISNUMBER(B157),ISNUMBER(H157)),H157-B157,"")</f>
      </c>
      <c r="L157" s="26">
        <f>IF(K157="","",IF(K157&gt;=0.5,"עלייה",IF(K157&lt;=-0.5,"ירידה","יציב")))</f>
      </c>
    </row>
    <row r="158" ht="15" customHeight="1" spans="1:12" x14ac:dyDescent="0.25">
      <c r="A158" s="29"/>
      <c r="B158" s="28">
        <f>IF($A158="","",IFERROR(AVERAGEIFS('רווחה - קליטה'!$AQ$5:$AQ$204,'רווחה - קליטה'!$A$5:$A$204,$A158,'רווחה - קליטה'!$C$5:$C$204,"תחילת שנה"),""))</f>
      </c>
      <c r="C158" s="27">
        <f>IF($A158="","",IFERROR(AVERAGEIFS('רווחה - קליטה'!$AK$5:$AK$204,'רווחה - קליטה'!$A$5:$A$204,$A158,'רווחה - קליטה'!$C$5:$C$204,"תחילת שנה"),""))</f>
      </c>
      <c r="D158" s="26">
        <f>IF($A158="","",IFERROR(INDEX('רווחה - קליטה'!$AS$5:$AS$204,MATCH($A158&amp;"|תחילת שנה",'רווחה - קליטה'!$AE$5:$AE$204,0)),""))</f>
      </c>
      <c r="E158" s="28">
        <f>IF($A158="","",IFERROR(AVERAGEIFS('רווחה - קליטה'!$AQ$5:$AQ$204,'רווחה - קליטה'!$A$5:$A$204,$A158,'רווחה - קליטה'!$C$5:$C$204,"אמצע שנה"),""))</f>
      </c>
      <c r="F158" s="27">
        <f>IF($A158="","",IFERROR(AVERAGEIFS('רווחה - קליטה'!$AK$5:$AK$204,'רווחה - קליטה'!$A$5:$A$204,$A158,'רווחה - קליטה'!$C$5:$C$204,"אמצע שנה"),""))</f>
      </c>
      <c r="G158" s="26">
        <f>IF($A158="","",IFERROR(INDEX('רווחה - קליטה'!$AS$5:$AS$204,MATCH($A158&amp;"|אמצע שנה",'רווחה - קליטה'!$AE$5:$AE$204,0)),""))</f>
      </c>
      <c r="H158" s="28">
        <f>IF($A158="","",IFERROR(AVERAGEIFS('רווחה - קליטה'!$AQ$5:$AQ$204,'רווחה - קליטה'!$A$5:$A$204,$A158,'רווחה - קליטה'!$C$5:$C$204,"סוף שנה"),""))</f>
      </c>
      <c r="I158" s="27">
        <f>IF($A158="","",IFERROR(AVERAGEIFS('רווחה - קליטה'!$AK$5:$AK$204,'רווחה - קליטה'!$A$5:$A$204,$A158,'רווחה - קליטה'!$C$5:$C$204,"סוף שנה"),""))</f>
      </c>
      <c r="J158" s="26">
        <f>IF($A158="","",IFERROR(INDEX('רווחה - קליטה'!$AS$5:$AS$204,MATCH($A158&amp;"|סוף שנה",'רווחה - קליטה'!$AE$5:$AE$204,0)),""))</f>
      </c>
      <c r="K158" s="36">
        <f>IF(AND(ISNUMBER(B158),ISNUMBER(H158)),H158-B158,"")</f>
      </c>
      <c r="L158" s="26">
        <f>IF(K158="","",IF(K158&gt;=0.5,"עלייה",IF(K158&lt;=-0.5,"ירידה","יציב")))</f>
      </c>
    </row>
    <row r="159" ht="15" customHeight="1" spans="1:12" x14ac:dyDescent="0.25">
      <c r="A159" s="29"/>
      <c r="B159" s="28">
        <f>IF($A159="","",IFERROR(AVERAGEIFS('רווחה - קליטה'!$AQ$5:$AQ$204,'רווחה - קליטה'!$A$5:$A$204,$A159,'רווחה - קליטה'!$C$5:$C$204,"תחילת שנה"),""))</f>
      </c>
      <c r="C159" s="27">
        <f>IF($A159="","",IFERROR(AVERAGEIFS('רווחה - קליטה'!$AK$5:$AK$204,'רווחה - קליטה'!$A$5:$A$204,$A159,'רווחה - קליטה'!$C$5:$C$204,"תחילת שנה"),""))</f>
      </c>
      <c r="D159" s="26">
        <f>IF($A159="","",IFERROR(INDEX('רווחה - קליטה'!$AS$5:$AS$204,MATCH($A159&amp;"|תחילת שנה",'רווחה - קליטה'!$AE$5:$AE$204,0)),""))</f>
      </c>
      <c r="E159" s="28">
        <f>IF($A159="","",IFERROR(AVERAGEIFS('רווחה - קליטה'!$AQ$5:$AQ$204,'רווחה - קליטה'!$A$5:$A$204,$A159,'רווחה - קליטה'!$C$5:$C$204,"אמצע שנה"),""))</f>
      </c>
      <c r="F159" s="27">
        <f>IF($A159="","",IFERROR(AVERAGEIFS('רווחה - קליטה'!$AK$5:$AK$204,'רווחה - קליטה'!$A$5:$A$204,$A159,'רווחה - קליטה'!$C$5:$C$204,"אמצע שנה"),""))</f>
      </c>
      <c r="G159" s="26">
        <f>IF($A159="","",IFERROR(INDEX('רווחה - קליטה'!$AS$5:$AS$204,MATCH($A159&amp;"|אמצע שנה",'רווחה - קליטה'!$AE$5:$AE$204,0)),""))</f>
      </c>
      <c r="H159" s="28">
        <f>IF($A159="","",IFERROR(AVERAGEIFS('רווחה - קליטה'!$AQ$5:$AQ$204,'רווחה - קליטה'!$A$5:$A$204,$A159,'רווחה - קליטה'!$C$5:$C$204,"סוף שנה"),""))</f>
      </c>
      <c r="I159" s="27">
        <f>IF($A159="","",IFERROR(AVERAGEIFS('רווחה - קליטה'!$AK$5:$AK$204,'רווחה - קליטה'!$A$5:$A$204,$A159,'רווחה - קליטה'!$C$5:$C$204,"סוף שנה"),""))</f>
      </c>
      <c r="J159" s="26">
        <f>IF($A159="","",IFERROR(INDEX('רווחה - קליטה'!$AS$5:$AS$204,MATCH($A159&amp;"|סוף שנה",'רווחה - קליטה'!$AE$5:$AE$204,0)),""))</f>
      </c>
      <c r="K159" s="36">
        <f>IF(AND(ISNUMBER(B159),ISNUMBER(H159)),H159-B159,"")</f>
      </c>
      <c r="L159" s="26">
        <f>IF(K159="","",IF(K159&gt;=0.5,"עלייה",IF(K159&lt;=-0.5,"ירידה","יציב")))</f>
      </c>
    </row>
    <row r="160" ht="15" customHeight="1" spans="1:12" x14ac:dyDescent="0.25">
      <c r="A160" s="29"/>
      <c r="B160" s="28">
        <f>IF($A160="","",IFERROR(AVERAGEIFS('רווחה - קליטה'!$AQ$5:$AQ$204,'רווחה - קליטה'!$A$5:$A$204,$A160,'רווחה - קליטה'!$C$5:$C$204,"תחילת שנה"),""))</f>
      </c>
      <c r="C160" s="27">
        <f>IF($A160="","",IFERROR(AVERAGEIFS('רווחה - קליטה'!$AK$5:$AK$204,'רווחה - קליטה'!$A$5:$A$204,$A160,'רווחה - קליטה'!$C$5:$C$204,"תחילת שנה"),""))</f>
      </c>
      <c r="D160" s="26">
        <f>IF($A160="","",IFERROR(INDEX('רווחה - קליטה'!$AS$5:$AS$204,MATCH($A160&amp;"|תחילת שנה",'רווחה - קליטה'!$AE$5:$AE$204,0)),""))</f>
      </c>
      <c r="E160" s="28">
        <f>IF($A160="","",IFERROR(AVERAGEIFS('רווחה - קליטה'!$AQ$5:$AQ$204,'רווחה - קליטה'!$A$5:$A$204,$A160,'רווחה - קליטה'!$C$5:$C$204,"אמצע שנה"),""))</f>
      </c>
      <c r="F160" s="27">
        <f>IF($A160="","",IFERROR(AVERAGEIFS('רווחה - קליטה'!$AK$5:$AK$204,'רווחה - קליטה'!$A$5:$A$204,$A160,'רווחה - קליטה'!$C$5:$C$204,"אמצע שנה"),""))</f>
      </c>
      <c r="G160" s="26">
        <f>IF($A160="","",IFERROR(INDEX('רווחה - קליטה'!$AS$5:$AS$204,MATCH($A160&amp;"|אמצע שנה",'רווחה - קליטה'!$AE$5:$AE$204,0)),""))</f>
      </c>
      <c r="H160" s="28">
        <f>IF($A160="","",IFERROR(AVERAGEIFS('רווחה - קליטה'!$AQ$5:$AQ$204,'רווחה - קליטה'!$A$5:$A$204,$A160,'רווחה - קליטה'!$C$5:$C$204,"סוף שנה"),""))</f>
      </c>
      <c r="I160" s="27">
        <f>IF($A160="","",IFERROR(AVERAGEIFS('רווחה - קליטה'!$AK$5:$AK$204,'רווחה - קליטה'!$A$5:$A$204,$A160,'רווחה - קליטה'!$C$5:$C$204,"סוף שנה"),""))</f>
      </c>
      <c r="J160" s="26">
        <f>IF($A160="","",IFERROR(INDEX('רווחה - קליטה'!$AS$5:$AS$204,MATCH($A160&amp;"|סוף שנה",'רווחה - קליטה'!$AE$5:$AE$204,0)),""))</f>
      </c>
      <c r="K160" s="36">
        <f>IF(AND(ISNUMBER(B160),ISNUMBER(H160)),H160-B160,"")</f>
      </c>
      <c r="L160" s="26">
        <f>IF(K160="","",IF(K160&gt;=0.5,"עלייה",IF(K160&lt;=-0.5,"ירידה","יציב")))</f>
      </c>
    </row>
    <row r="161" ht="15" customHeight="1" spans="1:12" x14ac:dyDescent="0.25">
      <c r="A161" s="29"/>
      <c r="B161" s="28">
        <f>IF($A161="","",IFERROR(AVERAGEIFS('רווחה - קליטה'!$AQ$5:$AQ$204,'רווחה - קליטה'!$A$5:$A$204,$A161,'רווחה - קליטה'!$C$5:$C$204,"תחילת שנה"),""))</f>
      </c>
      <c r="C161" s="27">
        <f>IF($A161="","",IFERROR(AVERAGEIFS('רווחה - קליטה'!$AK$5:$AK$204,'רווחה - קליטה'!$A$5:$A$204,$A161,'רווחה - קליטה'!$C$5:$C$204,"תחילת שנה"),""))</f>
      </c>
      <c r="D161" s="26">
        <f>IF($A161="","",IFERROR(INDEX('רווחה - קליטה'!$AS$5:$AS$204,MATCH($A161&amp;"|תחילת שנה",'רווחה - קליטה'!$AE$5:$AE$204,0)),""))</f>
      </c>
      <c r="E161" s="28">
        <f>IF($A161="","",IFERROR(AVERAGEIFS('רווחה - קליטה'!$AQ$5:$AQ$204,'רווחה - קליטה'!$A$5:$A$204,$A161,'רווחה - קליטה'!$C$5:$C$204,"אמצע שנה"),""))</f>
      </c>
      <c r="F161" s="27">
        <f>IF($A161="","",IFERROR(AVERAGEIFS('רווחה - קליטה'!$AK$5:$AK$204,'רווחה - קליטה'!$A$5:$A$204,$A161,'רווחה - קליטה'!$C$5:$C$204,"אמצע שנה"),""))</f>
      </c>
      <c r="G161" s="26">
        <f>IF($A161="","",IFERROR(INDEX('רווחה - קליטה'!$AS$5:$AS$204,MATCH($A161&amp;"|אמצע שנה",'רווחה - קליטה'!$AE$5:$AE$204,0)),""))</f>
      </c>
      <c r="H161" s="28">
        <f>IF($A161="","",IFERROR(AVERAGEIFS('רווחה - קליטה'!$AQ$5:$AQ$204,'רווחה - קליטה'!$A$5:$A$204,$A161,'רווחה - קליטה'!$C$5:$C$204,"סוף שנה"),""))</f>
      </c>
      <c r="I161" s="27">
        <f>IF($A161="","",IFERROR(AVERAGEIFS('רווחה - קליטה'!$AK$5:$AK$204,'רווחה - קליטה'!$A$5:$A$204,$A161,'רווחה - קליטה'!$C$5:$C$204,"סוף שנה"),""))</f>
      </c>
      <c r="J161" s="26">
        <f>IF($A161="","",IFERROR(INDEX('רווחה - קליטה'!$AS$5:$AS$204,MATCH($A161&amp;"|סוף שנה",'רווחה - קליטה'!$AE$5:$AE$204,0)),""))</f>
      </c>
      <c r="K161" s="36">
        <f>IF(AND(ISNUMBER(B161),ISNUMBER(H161)),H161-B161,"")</f>
      </c>
      <c r="L161" s="26">
        <f>IF(K161="","",IF(K161&gt;=0.5,"עלייה",IF(K161&lt;=-0.5,"ירידה","יציב")))</f>
      </c>
    </row>
    <row r="162" ht="15" customHeight="1" spans="1:12" x14ac:dyDescent="0.25">
      <c r="A162" s="29"/>
      <c r="B162" s="28">
        <f>IF($A162="","",IFERROR(AVERAGEIFS('רווחה - קליטה'!$AQ$5:$AQ$204,'רווחה - קליטה'!$A$5:$A$204,$A162,'רווחה - קליטה'!$C$5:$C$204,"תחילת שנה"),""))</f>
      </c>
      <c r="C162" s="27">
        <f>IF($A162="","",IFERROR(AVERAGEIFS('רווחה - קליטה'!$AK$5:$AK$204,'רווחה - קליטה'!$A$5:$A$204,$A162,'רווחה - קליטה'!$C$5:$C$204,"תחילת שנה"),""))</f>
      </c>
      <c r="D162" s="26">
        <f>IF($A162="","",IFERROR(INDEX('רווחה - קליטה'!$AS$5:$AS$204,MATCH($A162&amp;"|תחילת שנה",'רווחה - קליטה'!$AE$5:$AE$204,0)),""))</f>
      </c>
      <c r="E162" s="28">
        <f>IF($A162="","",IFERROR(AVERAGEIFS('רווחה - קליטה'!$AQ$5:$AQ$204,'רווחה - קליטה'!$A$5:$A$204,$A162,'רווחה - קליטה'!$C$5:$C$204,"אמצע שנה"),""))</f>
      </c>
      <c r="F162" s="27">
        <f>IF($A162="","",IFERROR(AVERAGEIFS('רווחה - קליטה'!$AK$5:$AK$204,'רווחה - קליטה'!$A$5:$A$204,$A162,'רווחה - קליטה'!$C$5:$C$204,"אמצע שנה"),""))</f>
      </c>
      <c r="G162" s="26">
        <f>IF($A162="","",IFERROR(INDEX('רווחה - קליטה'!$AS$5:$AS$204,MATCH($A162&amp;"|אמצע שנה",'רווחה - קליטה'!$AE$5:$AE$204,0)),""))</f>
      </c>
      <c r="H162" s="28">
        <f>IF($A162="","",IFERROR(AVERAGEIFS('רווחה - קליטה'!$AQ$5:$AQ$204,'רווחה - קליטה'!$A$5:$A$204,$A162,'רווחה - קליטה'!$C$5:$C$204,"סוף שנה"),""))</f>
      </c>
      <c r="I162" s="27">
        <f>IF($A162="","",IFERROR(AVERAGEIFS('רווחה - קליטה'!$AK$5:$AK$204,'רווחה - קליטה'!$A$5:$A$204,$A162,'רווחה - קליטה'!$C$5:$C$204,"סוף שנה"),""))</f>
      </c>
      <c r="J162" s="26">
        <f>IF($A162="","",IFERROR(INDEX('רווחה - קליטה'!$AS$5:$AS$204,MATCH($A162&amp;"|סוף שנה",'רווחה - קליטה'!$AE$5:$AE$204,0)),""))</f>
      </c>
      <c r="K162" s="36">
        <f>IF(AND(ISNUMBER(B162),ISNUMBER(H162)),H162-B162,"")</f>
      </c>
      <c r="L162" s="26">
        <f>IF(K162="","",IF(K162&gt;=0.5,"עלייה",IF(K162&lt;=-0.5,"ירידה","יציב")))</f>
      </c>
    </row>
    <row r="163" ht="15" customHeight="1" spans="1:12" x14ac:dyDescent="0.25">
      <c r="A163" s="29"/>
      <c r="B163" s="28">
        <f>IF($A163="","",IFERROR(AVERAGEIFS('רווחה - קליטה'!$AQ$5:$AQ$204,'רווחה - קליטה'!$A$5:$A$204,$A163,'רווחה - קליטה'!$C$5:$C$204,"תחילת שנה"),""))</f>
      </c>
      <c r="C163" s="27">
        <f>IF($A163="","",IFERROR(AVERAGEIFS('רווחה - קליטה'!$AK$5:$AK$204,'רווחה - קליטה'!$A$5:$A$204,$A163,'רווחה - קליטה'!$C$5:$C$204,"תחילת שנה"),""))</f>
      </c>
      <c r="D163" s="26">
        <f>IF($A163="","",IFERROR(INDEX('רווחה - קליטה'!$AS$5:$AS$204,MATCH($A163&amp;"|תחילת שנה",'רווחה - קליטה'!$AE$5:$AE$204,0)),""))</f>
      </c>
      <c r="E163" s="28">
        <f>IF($A163="","",IFERROR(AVERAGEIFS('רווחה - קליטה'!$AQ$5:$AQ$204,'רווחה - קליטה'!$A$5:$A$204,$A163,'רווחה - קליטה'!$C$5:$C$204,"אמצע שנה"),""))</f>
      </c>
      <c r="F163" s="27">
        <f>IF($A163="","",IFERROR(AVERAGEIFS('רווחה - קליטה'!$AK$5:$AK$204,'רווחה - קליטה'!$A$5:$A$204,$A163,'רווחה - קליטה'!$C$5:$C$204,"אמצע שנה"),""))</f>
      </c>
      <c r="G163" s="26">
        <f>IF($A163="","",IFERROR(INDEX('רווחה - קליטה'!$AS$5:$AS$204,MATCH($A163&amp;"|אמצע שנה",'רווחה - קליטה'!$AE$5:$AE$204,0)),""))</f>
      </c>
      <c r="H163" s="28">
        <f>IF($A163="","",IFERROR(AVERAGEIFS('רווחה - קליטה'!$AQ$5:$AQ$204,'רווחה - קליטה'!$A$5:$A$204,$A163,'רווחה - קליטה'!$C$5:$C$204,"סוף שנה"),""))</f>
      </c>
      <c r="I163" s="27">
        <f>IF($A163="","",IFERROR(AVERAGEIFS('רווחה - קליטה'!$AK$5:$AK$204,'רווחה - קליטה'!$A$5:$A$204,$A163,'רווחה - קליטה'!$C$5:$C$204,"סוף שנה"),""))</f>
      </c>
      <c r="J163" s="26">
        <f>IF($A163="","",IFERROR(INDEX('רווחה - קליטה'!$AS$5:$AS$204,MATCH($A163&amp;"|סוף שנה",'רווחה - קליטה'!$AE$5:$AE$204,0)),""))</f>
      </c>
      <c r="K163" s="36">
        <f>IF(AND(ISNUMBER(B163),ISNUMBER(H163)),H163-B163,"")</f>
      </c>
      <c r="L163" s="26">
        <f>IF(K163="","",IF(K163&gt;=0.5,"עלייה",IF(K163&lt;=-0.5,"ירידה","יציב")))</f>
      </c>
    </row>
    <row r="164" ht="15" customHeight="1" spans="1:12" x14ac:dyDescent="0.25">
      <c r="A164" s="29"/>
      <c r="B164" s="28">
        <f>IF($A164="","",IFERROR(AVERAGEIFS('רווחה - קליטה'!$AQ$5:$AQ$204,'רווחה - קליטה'!$A$5:$A$204,$A164,'רווחה - קליטה'!$C$5:$C$204,"תחילת שנה"),""))</f>
      </c>
      <c r="C164" s="27">
        <f>IF($A164="","",IFERROR(AVERAGEIFS('רווחה - קליטה'!$AK$5:$AK$204,'רווחה - קליטה'!$A$5:$A$204,$A164,'רווחה - קליטה'!$C$5:$C$204,"תחילת שנה"),""))</f>
      </c>
      <c r="D164" s="26">
        <f>IF($A164="","",IFERROR(INDEX('רווחה - קליטה'!$AS$5:$AS$204,MATCH($A164&amp;"|תחילת שנה",'רווחה - קליטה'!$AE$5:$AE$204,0)),""))</f>
      </c>
      <c r="E164" s="28">
        <f>IF($A164="","",IFERROR(AVERAGEIFS('רווחה - קליטה'!$AQ$5:$AQ$204,'רווחה - קליטה'!$A$5:$A$204,$A164,'רווחה - קליטה'!$C$5:$C$204,"אמצע שנה"),""))</f>
      </c>
      <c r="F164" s="27">
        <f>IF($A164="","",IFERROR(AVERAGEIFS('רווחה - קליטה'!$AK$5:$AK$204,'רווחה - קליטה'!$A$5:$A$204,$A164,'רווחה - קליטה'!$C$5:$C$204,"אמצע שנה"),""))</f>
      </c>
      <c r="G164" s="26">
        <f>IF($A164="","",IFERROR(INDEX('רווחה - קליטה'!$AS$5:$AS$204,MATCH($A164&amp;"|אמצע שנה",'רווחה - קליטה'!$AE$5:$AE$204,0)),""))</f>
      </c>
      <c r="H164" s="28">
        <f>IF($A164="","",IFERROR(AVERAGEIFS('רווחה - קליטה'!$AQ$5:$AQ$204,'רווחה - קליטה'!$A$5:$A$204,$A164,'רווחה - קליטה'!$C$5:$C$204,"סוף שנה"),""))</f>
      </c>
      <c r="I164" s="27">
        <f>IF($A164="","",IFERROR(AVERAGEIFS('רווחה - קליטה'!$AK$5:$AK$204,'רווחה - קליטה'!$A$5:$A$204,$A164,'רווחה - קליטה'!$C$5:$C$204,"סוף שנה"),""))</f>
      </c>
      <c r="J164" s="26">
        <f>IF($A164="","",IFERROR(INDEX('רווחה - קליטה'!$AS$5:$AS$204,MATCH($A164&amp;"|סוף שנה",'רווחה - קליטה'!$AE$5:$AE$204,0)),""))</f>
      </c>
      <c r="K164" s="36">
        <f>IF(AND(ISNUMBER(B164),ISNUMBER(H164)),H164-B164,"")</f>
      </c>
      <c r="L164" s="26">
        <f>IF(K164="","",IF(K164&gt;=0.5,"עלייה",IF(K164&lt;=-0.5,"ירידה","יציב")))</f>
      </c>
    </row>
    <row r="165" ht="15" customHeight="1" spans="1:12" x14ac:dyDescent="0.25">
      <c r="A165" s="29"/>
      <c r="B165" s="28">
        <f>IF($A165="","",IFERROR(AVERAGEIFS('רווחה - קליטה'!$AQ$5:$AQ$204,'רווחה - קליטה'!$A$5:$A$204,$A165,'רווחה - קליטה'!$C$5:$C$204,"תחילת שנה"),""))</f>
      </c>
      <c r="C165" s="27">
        <f>IF($A165="","",IFERROR(AVERAGEIFS('רווחה - קליטה'!$AK$5:$AK$204,'רווחה - קליטה'!$A$5:$A$204,$A165,'רווחה - קליטה'!$C$5:$C$204,"תחילת שנה"),""))</f>
      </c>
      <c r="D165" s="26">
        <f>IF($A165="","",IFERROR(INDEX('רווחה - קליטה'!$AS$5:$AS$204,MATCH($A165&amp;"|תחילת שנה",'רווחה - קליטה'!$AE$5:$AE$204,0)),""))</f>
      </c>
      <c r="E165" s="28">
        <f>IF($A165="","",IFERROR(AVERAGEIFS('רווחה - קליטה'!$AQ$5:$AQ$204,'רווחה - קליטה'!$A$5:$A$204,$A165,'רווחה - קליטה'!$C$5:$C$204,"אמצע שנה"),""))</f>
      </c>
      <c r="F165" s="27">
        <f>IF($A165="","",IFERROR(AVERAGEIFS('רווחה - קליטה'!$AK$5:$AK$204,'רווחה - קליטה'!$A$5:$A$204,$A165,'רווחה - קליטה'!$C$5:$C$204,"אמצע שנה"),""))</f>
      </c>
      <c r="G165" s="26">
        <f>IF($A165="","",IFERROR(INDEX('רווחה - קליטה'!$AS$5:$AS$204,MATCH($A165&amp;"|אמצע שנה",'רווחה - קליטה'!$AE$5:$AE$204,0)),""))</f>
      </c>
      <c r="H165" s="28">
        <f>IF($A165="","",IFERROR(AVERAGEIFS('רווחה - קליטה'!$AQ$5:$AQ$204,'רווחה - קליטה'!$A$5:$A$204,$A165,'רווחה - קליטה'!$C$5:$C$204,"סוף שנה"),""))</f>
      </c>
      <c r="I165" s="27">
        <f>IF($A165="","",IFERROR(AVERAGEIFS('רווחה - קליטה'!$AK$5:$AK$204,'רווחה - קליטה'!$A$5:$A$204,$A165,'רווחה - קליטה'!$C$5:$C$204,"סוף שנה"),""))</f>
      </c>
      <c r="J165" s="26">
        <f>IF($A165="","",IFERROR(INDEX('רווחה - קליטה'!$AS$5:$AS$204,MATCH($A165&amp;"|סוף שנה",'רווחה - קליטה'!$AE$5:$AE$204,0)),""))</f>
      </c>
      <c r="K165" s="36">
        <f>IF(AND(ISNUMBER(B165),ISNUMBER(H165)),H165-B165,"")</f>
      </c>
      <c r="L165" s="26">
        <f>IF(K165="","",IF(K165&gt;=0.5,"עלייה",IF(K165&lt;=-0.5,"ירידה","יציב")))</f>
      </c>
    </row>
    <row r="166" ht="15" customHeight="1" spans="1:12" x14ac:dyDescent="0.25">
      <c r="A166" s="29"/>
      <c r="B166" s="28">
        <f>IF($A166="","",IFERROR(AVERAGEIFS('רווחה - קליטה'!$AQ$5:$AQ$204,'רווחה - קליטה'!$A$5:$A$204,$A166,'רווחה - קליטה'!$C$5:$C$204,"תחילת שנה"),""))</f>
      </c>
      <c r="C166" s="27">
        <f>IF($A166="","",IFERROR(AVERAGEIFS('רווחה - קליטה'!$AK$5:$AK$204,'רווחה - קליטה'!$A$5:$A$204,$A166,'רווחה - קליטה'!$C$5:$C$204,"תחילת שנה"),""))</f>
      </c>
      <c r="D166" s="26">
        <f>IF($A166="","",IFERROR(INDEX('רווחה - קליטה'!$AS$5:$AS$204,MATCH($A166&amp;"|תחילת שנה",'רווחה - קליטה'!$AE$5:$AE$204,0)),""))</f>
      </c>
      <c r="E166" s="28">
        <f>IF($A166="","",IFERROR(AVERAGEIFS('רווחה - קליטה'!$AQ$5:$AQ$204,'רווחה - קליטה'!$A$5:$A$204,$A166,'רווחה - קליטה'!$C$5:$C$204,"אמצע שנה"),""))</f>
      </c>
      <c r="F166" s="27">
        <f>IF($A166="","",IFERROR(AVERAGEIFS('רווחה - קליטה'!$AK$5:$AK$204,'רווחה - קליטה'!$A$5:$A$204,$A166,'רווחה - קליטה'!$C$5:$C$204,"אמצע שנה"),""))</f>
      </c>
      <c r="G166" s="26">
        <f>IF($A166="","",IFERROR(INDEX('רווחה - קליטה'!$AS$5:$AS$204,MATCH($A166&amp;"|אמצע שנה",'רווחה - קליטה'!$AE$5:$AE$204,0)),""))</f>
      </c>
      <c r="H166" s="28">
        <f>IF($A166="","",IFERROR(AVERAGEIFS('רווחה - קליטה'!$AQ$5:$AQ$204,'רווחה - קליטה'!$A$5:$A$204,$A166,'רווחה - קליטה'!$C$5:$C$204,"סוף שנה"),""))</f>
      </c>
      <c r="I166" s="27">
        <f>IF($A166="","",IFERROR(AVERAGEIFS('רווחה - קליטה'!$AK$5:$AK$204,'רווחה - קליטה'!$A$5:$A$204,$A166,'רווחה - קליטה'!$C$5:$C$204,"סוף שנה"),""))</f>
      </c>
      <c r="J166" s="26">
        <f>IF($A166="","",IFERROR(INDEX('רווחה - קליטה'!$AS$5:$AS$204,MATCH($A166&amp;"|סוף שנה",'רווחה - קליטה'!$AE$5:$AE$204,0)),""))</f>
      </c>
      <c r="K166" s="36">
        <f>IF(AND(ISNUMBER(B166),ISNUMBER(H166)),H166-B166,"")</f>
      </c>
      <c r="L166" s="26">
        <f>IF(K166="","",IF(K166&gt;=0.5,"עלייה",IF(K166&lt;=-0.5,"ירידה","יציב")))</f>
      </c>
    </row>
    <row r="167" ht="15" customHeight="1" spans="1:12" x14ac:dyDescent="0.25">
      <c r="A167" s="29"/>
      <c r="B167" s="28">
        <f>IF($A167="","",IFERROR(AVERAGEIFS('רווחה - קליטה'!$AQ$5:$AQ$204,'רווחה - קליטה'!$A$5:$A$204,$A167,'רווחה - קליטה'!$C$5:$C$204,"תחילת שנה"),""))</f>
      </c>
      <c r="C167" s="27">
        <f>IF($A167="","",IFERROR(AVERAGEIFS('רווחה - קליטה'!$AK$5:$AK$204,'רווחה - קליטה'!$A$5:$A$204,$A167,'רווחה - קליטה'!$C$5:$C$204,"תחילת שנה"),""))</f>
      </c>
      <c r="D167" s="26">
        <f>IF($A167="","",IFERROR(INDEX('רווחה - קליטה'!$AS$5:$AS$204,MATCH($A167&amp;"|תחילת שנה",'רווחה - קליטה'!$AE$5:$AE$204,0)),""))</f>
      </c>
      <c r="E167" s="28">
        <f>IF($A167="","",IFERROR(AVERAGEIFS('רווחה - קליטה'!$AQ$5:$AQ$204,'רווחה - קליטה'!$A$5:$A$204,$A167,'רווחה - קליטה'!$C$5:$C$204,"אמצע שנה"),""))</f>
      </c>
      <c r="F167" s="27">
        <f>IF($A167="","",IFERROR(AVERAGEIFS('רווחה - קליטה'!$AK$5:$AK$204,'רווחה - קליטה'!$A$5:$A$204,$A167,'רווחה - קליטה'!$C$5:$C$204,"אמצע שנה"),""))</f>
      </c>
      <c r="G167" s="26">
        <f>IF($A167="","",IFERROR(INDEX('רווחה - קליטה'!$AS$5:$AS$204,MATCH($A167&amp;"|אמצע שנה",'רווחה - קליטה'!$AE$5:$AE$204,0)),""))</f>
      </c>
      <c r="H167" s="28">
        <f>IF($A167="","",IFERROR(AVERAGEIFS('רווחה - קליטה'!$AQ$5:$AQ$204,'רווחה - קליטה'!$A$5:$A$204,$A167,'רווחה - קליטה'!$C$5:$C$204,"סוף שנה"),""))</f>
      </c>
      <c r="I167" s="27">
        <f>IF($A167="","",IFERROR(AVERAGEIFS('רווחה - קליטה'!$AK$5:$AK$204,'רווחה - קליטה'!$A$5:$A$204,$A167,'רווחה - קליטה'!$C$5:$C$204,"סוף שנה"),""))</f>
      </c>
      <c r="J167" s="26">
        <f>IF($A167="","",IFERROR(INDEX('רווחה - קליטה'!$AS$5:$AS$204,MATCH($A167&amp;"|סוף שנה",'רווחה - קליטה'!$AE$5:$AE$204,0)),""))</f>
      </c>
      <c r="K167" s="36">
        <f>IF(AND(ISNUMBER(B167),ISNUMBER(H167)),H167-B167,"")</f>
      </c>
      <c r="L167" s="26">
        <f>IF(K167="","",IF(K167&gt;=0.5,"עלייה",IF(K167&lt;=-0.5,"ירידה","יציב")))</f>
      </c>
    </row>
    <row r="168" ht="15" customHeight="1" spans="1:12" x14ac:dyDescent="0.25">
      <c r="A168" s="29"/>
      <c r="B168" s="28">
        <f>IF($A168="","",IFERROR(AVERAGEIFS('רווחה - קליטה'!$AQ$5:$AQ$204,'רווחה - קליטה'!$A$5:$A$204,$A168,'רווחה - קליטה'!$C$5:$C$204,"תחילת שנה"),""))</f>
      </c>
      <c r="C168" s="27">
        <f>IF($A168="","",IFERROR(AVERAGEIFS('רווחה - קליטה'!$AK$5:$AK$204,'רווחה - קליטה'!$A$5:$A$204,$A168,'רווחה - קליטה'!$C$5:$C$204,"תחילת שנה"),""))</f>
      </c>
      <c r="D168" s="26">
        <f>IF($A168="","",IFERROR(INDEX('רווחה - קליטה'!$AS$5:$AS$204,MATCH($A168&amp;"|תחילת שנה",'רווחה - קליטה'!$AE$5:$AE$204,0)),""))</f>
      </c>
      <c r="E168" s="28">
        <f>IF($A168="","",IFERROR(AVERAGEIFS('רווחה - קליטה'!$AQ$5:$AQ$204,'רווחה - קליטה'!$A$5:$A$204,$A168,'רווחה - קליטה'!$C$5:$C$204,"אמצע שנה"),""))</f>
      </c>
      <c r="F168" s="27">
        <f>IF($A168="","",IFERROR(AVERAGEIFS('רווחה - קליטה'!$AK$5:$AK$204,'רווחה - קליטה'!$A$5:$A$204,$A168,'רווחה - קליטה'!$C$5:$C$204,"אמצע שנה"),""))</f>
      </c>
      <c r="G168" s="26">
        <f>IF($A168="","",IFERROR(INDEX('רווחה - קליטה'!$AS$5:$AS$204,MATCH($A168&amp;"|אמצע שנה",'רווחה - קליטה'!$AE$5:$AE$204,0)),""))</f>
      </c>
      <c r="H168" s="28">
        <f>IF($A168="","",IFERROR(AVERAGEIFS('רווחה - קליטה'!$AQ$5:$AQ$204,'רווחה - קליטה'!$A$5:$A$204,$A168,'רווחה - קליטה'!$C$5:$C$204,"סוף שנה"),""))</f>
      </c>
      <c r="I168" s="27">
        <f>IF($A168="","",IFERROR(AVERAGEIFS('רווחה - קליטה'!$AK$5:$AK$204,'רווחה - קליטה'!$A$5:$A$204,$A168,'רווחה - קליטה'!$C$5:$C$204,"סוף שנה"),""))</f>
      </c>
      <c r="J168" s="26">
        <f>IF($A168="","",IFERROR(INDEX('רווחה - קליטה'!$AS$5:$AS$204,MATCH($A168&amp;"|סוף שנה",'רווחה - קליטה'!$AE$5:$AE$204,0)),""))</f>
      </c>
      <c r="K168" s="36">
        <f>IF(AND(ISNUMBER(B168),ISNUMBER(H168)),H168-B168,"")</f>
      </c>
      <c r="L168" s="26">
        <f>IF(K168="","",IF(K168&gt;=0.5,"עלייה",IF(K168&lt;=-0.5,"ירידה","יציב")))</f>
      </c>
    </row>
    <row r="169" ht="15" customHeight="1" spans="1:12" x14ac:dyDescent="0.25">
      <c r="A169" s="29"/>
      <c r="B169" s="28">
        <f>IF($A169="","",IFERROR(AVERAGEIFS('רווחה - קליטה'!$AQ$5:$AQ$204,'רווחה - קליטה'!$A$5:$A$204,$A169,'רווחה - קליטה'!$C$5:$C$204,"תחילת שנה"),""))</f>
      </c>
      <c r="C169" s="27">
        <f>IF($A169="","",IFERROR(AVERAGEIFS('רווחה - קליטה'!$AK$5:$AK$204,'רווחה - קליטה'!$A$5:$A$204,$A169,'רווחה - קליטה'!$C$5:$C$204,"תחילת שנה"),""))</f>
      </c>
      <c r="D169" s="26">
        <f>IF($A169="","",IFERROR(INDEX('רווחה - קליטה'!$AS$5:$AS$204,MATCH($A169&amp;"|תחילת שנה",'רווחה - קליטה'!$AE$5:$AE$204,0)),""))</f>
      </c>
      <c r="E169" s="28">
        <f>IF($A169="","",IFERROR(AVERAGEIFS('רווחה - קליטה'!$AQ$5:$AQ$204,'רווחה - קליטה'!$A$5:$A$204,$A169,'רווחה - קליטה'!$C$5:$C$204,"אמצע שנה"),""))</f>
      </c>
      <c r="F169" s="27">
        <f>IF($A169="","",IFERROR(AVERAGEIFS('רווחה - קליטה'!$AK$5:$AK$204,'רווחה - קליטה'!$A$5:$A$204,$A169,'רווחה - קליטה'!$C$5:$C$204,"אמצע שנה"),""))</f>
      </c>
      <c r="G169" s="26">
        <f>IF($A169="","",IFERROR(INDEX('רווחה - קליטה'!$AS$5:$AS$204,MATCH($A169&amp;"|אמצע שנה",'רווחה - קליטה'!$AE$5:$AE$204,0)),""))</f>
      </c>
      <c r="H169" s="28">
        <f>IF($A169="","",IFERROR(AVERAGEIFS('רווחה - קליטה'!$AQ$5:$AQ$204,'רווחה - קליטה'!$A$5:$A$204,$A169,'רווחה - קליטה'!$C$5:$C$204,"סוף שנה"),""))</f>
      </c>
      <c r="I169" s="27">
        <f>IF($A169="","",IFERROR(AVERAGEIFS('רווחה - קליטה'!$AK$5:$AK$204,'רווחה - קליטה'!$A$5:$A$204,$A169,'רווחה - קליטה'!$C$5:$C$204,"סוף שנה"),""))</f>
      </c>
      <c r="J169" s="26">
        <f>IF($A169="","",IFERROR(INDEX('רווחה - קליטה'!$AS$5:$AS$204,MATCH($A169&amp;"|סוף שנה",'רווחה - קליטה'!$AE$5:$AE$204,0)),""))</f>
      </c>
      <c r="K169" s="36">
        <f>IF(AND(ISNUMBER(B169),ISNUMBER(H169)),H169-B169,"")</f>
      </c>
      <c r="L169" s="26">
        <f>IF(K169="","",IF(K169&gt;=0.5,"עלייה",IF(K169&lt;=-0.5,"ירידה","יציב")))</f>
      </c>
    </row>
    <row r="170" ht="15" customHeight="1" spans="1:12" x14ac:dyDescent="0.25">
      <c r="A170" s="29"/>
      <c r="B170" s="28">
        <f>IF($A170="","",IFERROR(AVERAGEIFS('רווחה - קליטה'!$AQ$5:$AQ$204,'רווחה - קליטה'!$A$5:$A$204,$A170,'רווחה - קליטה'!$C$5:$C$204,"תחילת שנה"),""))</f>
      </c>
      <c r="C170" s="27">
        <f>IF($A170="","",IFERROR(AVERAGEIFS('רווחה - קליטה'!$AK$5:$AK$204,'רווחה - קליטה'!$A$5:$A$204,$A170,'רווחה - קליטה'!$C$5:$C$204,"תחילת שנה"),""))</f>
      </c>
      <c r="D170" s="26">
        <f>IF($A170="","",IFERROR(INDEX('רווחה - קליטה'!$AS$5:$AS$204,MATCH($A170&amp;"|תחילת שנה",'רווחה - קליטה'!$AE$5:$AE$204,0)),""))</f>
      </c>
      <c r="E170" s="28">
        <f>IF($A170="","",IFERROR(AVERAGEIFS('רווחה - קליטה'!$AQ$5:$AQ$204,'רווחה - קליטה'!$A$5:$A$204,$A170,'רווחה - קליטה'!$C$5:$C$204,"אמצע שנה"),""))</f>
      </c>
      <c r="F170" s="27">
        <f>IF($A170="","",IFERROR(AVERAGEIFS('רווחה - קליטה'!$AK$5:$AK$204,'רווחה - קליטה'!$A$5:$A$204,$A170,'רווחה - קליטה'!$C$5:$C$204,"אמצע שנה"),""))</f>
      </c>
      <c r="G170" s="26">
        <f>IF($A170="","",IFERROR(INDEX('רווחה - קליטה'!$AS$5:$AS$204,MATCH($A170&amp;"|אמצע שנה",'רווחה - קליטה'!$AE$5:$AE$204,0)),""))</f>
      </c>
      <c r="H170" s="28">
        <f>IF($A170="","",IFERROR(AVERAGEIFS('רווחה - קליטה'!$AQ$5:$AQ$204,'רווחה - קליטה'!$A$5:$A$204,$A170,'רווחה - קליטה'!$C$5:$C$204,"סוף שנה"),""))</f>
      </c>
      <c r="I170" s="27">
        <f>IF($A170="","",IFERROR(AVERAGEIFS('רווחה - קליטה'!$AK$5:$AK$204,'רווחה - קליטה'!$A$5:$A$204,$A170,'רווחה - קליטה'!$C$5:$C$204,"סוף שנה"),""))</f>
      </c>
      <c r="J170" s="26">
        <f>IF($A170="","",IFERROR(INDEX('רווחה - קליטה'!$AS$5:$AS$204,MATCH($A170&amp;"|סוף שנה",'רווחה - קליטה'!$AE$5:$AE$204,0)),""))</f>
      </c>
      <c r="K170" s="36">
        <f>IF(AND(ISNUMBER(B170),ISNUMBER(H170)),H170-B170,"")</f>
      </c>
      <c r="L170" s="26">
        <f>IF(K170="","",IF(K170&gt;=0.5,"עלייה",IF(K170&lt;=-0.5,"ירידה","יציב")))</f>
      </c>
    </row>
    <row r="171" ht="15" customHeight="1" spans="1:12" x14ac:dyDescent="0.25">
      <c r="A171" s="29"/>
      <c r="B171" s="28">
        <f>IF($A171="","",IFERROR(AVERAGEIFS('רווחה - קליטה'!$AQ$5:$AQ$204,'רווחה - קליטה'!$A$5:$A$204,$A171,'רווחה - קליטה'!$C$5:$C$204,"תחילת שנה"),""))</f>
      </c>
      <c r="C171" s="27">
        <f>IF($A171="","",IFERROR(AVERAGEIFS('רווחה - קליטה'!$AK$5:$AK$204,'רווחה - קליטה'!$A$5:$A$204,$A171,'רווחה - קליטה'!$C$5:$C$204,"תחילת שנה"),""))</f>
      </c>
      <c r="D171" s="26">
        <f>IF($A171="","",IFERROR(INDEX('רווחה - קליטה'!$AS$5:$AS$204,MATCH($A171&amp;"|תחילת שנה",'רווחה - קליטה'!$AE$5:$AE$204,0)),""))</f>
      </c>
      <c r="E171" s="28">
        <f>IF($A171="","",IFERROR(AVERAGEIFS('רווחה - קליטה'!$AQ$5:$AQ$204,'רווחה - קליטה'!$A$5:$A$204,$A171,'רווחה - קליטה'!$C$5:$C$204,"אמצע שנה"),""))</f>
      </c>
      <c r="F171" s="27">
        <f>IF($A171="","",IFERROR(AVERAGEIFS('רווחה - קליטה'!$AK$5:$AK$204,'רווחה - קליטה'!$A$5:$A$204,$A171,'רווחה - קליטה'!$C$5:$C$204,"אמצע שנה"),""))</f>
      </c>
      <c r="G171" s="26">
        <f>IF($A171="","",IFERROR(INDEX('רווחה - קליטה'!$AS$5:$AS$204,MATCH($A171&amp;"|אמצע שנה",'רווחה - קליטה'!$AE$5:$AE$204,0)),""))</f>
      </c>
      <c r="H171" s="28">
        <f>IF($A171="","",IFERROR(AVERAGEIFS('רווחה - קליטה'!$AQ$5:$AQ$204,'רווחה - קליטה'!$A$5:$A$204,$A171,'רווחה - קליטה'!$C$5:$C$204,"סוף שנה"),""))</f>
      </c>
      <c r="I171" s="27">
        <f>IF($A171="","",IFERROR(AVERAGEIFS('רווחה - קליטה'!$AK$5:$AK$204,'רווחה - קליטה'!$A$5:$A$204,$A171,'רווחה - קליטה'!$C$5:$C$204,"סוף שנה"),""))</f>
      </c>
      <c r="J171" s="26">
        <f>IF($A171="","",IFERROR(INDEX('רווחה - קליטה'!$AS$5:$AS$204,MATCH($A171&amp;"|סוף שנה",'רווחה - קליטה'!$AE$5:$AE$204,0)),""))</f>
      </c>
      <c r="K171" s="36">
        <f>IF(AND(ISNUMBER(B171),ISNUMBER(H171)),H171-B171,"")</f>
      </c>
      <c r="L171" s="26">
        <f>IF(K171="","",IF(K171&gt;=0.5,"עלייה",IF(K171&lt;=-0.5,"ירידה","יציב")))</f>
      </c>
    </row>
    <row r="172" ht="15" customHeight="1" spans="1:12" x14ac:dyDescent="0.25">
      <c r="A172" s="29"/>
      <c r="B172" s="28">
        <f>IF($A172="","",IFERROR(AVERAGEIFS('רווחה - קליטה'!$AQ$5:$AQ$204,'רווחה - קליטה'!$A$5:$A$204,$A172,'רווחה - קליטה'!$C$5:$C$204,"תחילת שנה"),""))</f>
      </c>
      <c r="C172" s="27">
        <f>IF($A172="","",IFERROR(AVERAGEIFS('רווחה - קליטה'!$AK$5:$AK$204,'רווחה - קליטה'!$A$5:$A$204,$A172,'רווחה - קליטה'!$C$5:$C$204,"תחילת שנה"),""))</f>
      </c>
      <c r="D172" s="26">
        <f>IF($A172="","",IFERROR(INDEX('רווחה - קליטה'!$AS$5:$AS$204,MATCH($A172&amp;"|תחילת שנה",'רווחה - קליטה'!$AE$5:$AE$204,0)),""))</f>
      </c>
      <c r="E172" s="28">
        <f>IF($A172="","",IFERROR(AVERAGEIFS('רווחה - קליטה'!$AQ$5:$AQ$204,'רווחה - קליטה'!$A$5:$A$204,$A172,'רווחה - קליטה'!$C$5:$C$204,"אמצע שנה"),""))</f>
      </c>
      <c r="F172" s="27">
        <f>IF($A172="","",IFERROR(AVERAGEIFS('רווחה - קליטה'!$AK$5:$AK$204,'רווחה - קליטה'!$A$5:$A$204,$A172,'רווחה - קליטה'!$C$5:$C$204,"אמצע שנה"),""))</f>
      </c>
      <c r="G172" s="26">
        <f>IF($A172="","",IFERROR(INDEX('רווחה - קליטה'!$AS$5:$AS$204,MATCH($A172&amp;"|אמצע שנה",'רווחה - קליטה'!$AE$5:$AE$204,0)),""))</f>
      </c>
      <c r="H172" s="28">
        <f>IF($A172="","",IFERROR(AVERAGEIFS('רווחה - קליטה'!$AQ$5:$AQ$204,'רווחה - קליטה'!$A$5:$A$204,$A172,'רווחה - קליטה'!$C$5:$C$204,"סוף שנה"),""))</f>
      </c>
      <c r="I172" s="27">
        <f>IF($A172="","",IFERROR(AVERAGEIFS('רווחה - קליטה'!$AK$5:$AK$204,'רווחה - קליטה'!$A$5:$A$204,$A172,'רווחה - קליטה'!$C$5:$C$204,"סוף שנה"),""))</f>
      </c>
      <c r="J172" s="26">
        <f>IF($A172="","",IFERROR(INDEX('רווחה - קליטה'!$AS$5:$AS$204,MATCH($A172&amp;"|סוף שנה",'רווחה - קליטה'!$AE$5:$AE$204,0)),""))</f>
      </c>
      <c r="K172" s="36">
        <f>IF(AND(ISNUMBER(B172),ISNUMBER(H172)),H172-B172,"")</f>
      </c>
      <c r="L172" s="26">
        <f>IF(K172="","",IF(K172&gt;=0.5,"עלייה",IF(K172&lt;=-0.5,"ירידה","יציב")))</f>
      </c>
    </row>
    <row r="173" ht="15" customHeight="1" spans="1:12" x14ac:dyDescent="0.25">
      <c r="A173" s="29"/>
      <c r="B173" s="28">
        <f>IF($A173="","",IFERROR(AVERAGEIFS('רווחה - קליטה'!$AQ$5:$AQ$204,'רווחה - קליטה'!$A$5:$A$204,$A173,'רווחה - קליטה'!$C$5:$C$204,"תחילת שנה"),""))</f>
      </c>
      <c r="C173" s="27">
        <f>IF($A173="","",IFERROR(AVERAGEIFS('רווחה - קליטה'!$AK$5:$AK$204,'רווחה - קליטה'!$A$5:$A$204,$A173,'רווחה - קליטה'!$C$5:$C$204,"תחילת שנה"),""))</f>
      </c>
      <c r="D173" s="26">
        <f>IF($A173="","",IFERROR(INDEX('רווחה - קליטה'!$AS$5:$AS$204,MATCH($A173&amp;"|תחילת שנה",'רווחה - קליטה'!$AE$5:$AE$204,0)),""))</f>
      </c>
      <c r="E173" s="28">
        <f>IF($A173="","",IFERROR(AVERAGEIFS('רווחה - קליטה'!$AQ$5:$AQ$204,'רווחה - קליטה'!$A$5:$A$204,$A173,'רווחה - קליטה'!$C$5:$C$204,"אמצע שנה"),""))</f>
      </c>
      <c r="F173" s="27">
        <f>IF($A173="","",IFERROR(AVERAGEIFS('רווחה - קליטה'!$AK$5:$AK$204,'רווחה - קליטה'!$A$5:$A$204,$A173,'רווחה - קליטה'!$C$5:$C$204,"אמצע שנה"),""))</f>
      </c>
      <c r="G173" s="26">
        <f>IF($A173="","",IFERROR(INDEX('רווחה - קליטה'!$AS$5:$AS$204,MATCH($A173&amp;"|אמצע שנה",'רווחה - קליטה'!$AE$5:$AE$204,0)),""))</f>
      </c>
      <c r="H173" s="28">
        <f>IF($A173="","",IFERROR(AVERAGEIFS('רווחה - קליטה'!$AQ$5:$AQ$204,'רווחה - קליטה'!$A$5:$A$204,$A173,'רווחה - קליטה'!$C$5:$C$204,"סוף שנה"),""))</f>
      </c>
      <c r="I173" s="27">
        <f>IF($A173="","",IFERROR(AVERAGEIFS('רווחה - קליטה'!$AK$5:$AK$204,'רווחה - קליטה'!$A$5:$A$204,$A173,'רווחה - קליטה'!$C$5:$C$204,"סוף שנה"),""))</f>
      </c>
      <c r="J173" s="26">
        <f>IF($A173="","",IFERROR(INDEX('רווחה - קליטה'!$AS$5:$AS$204,MATCH($A173&amp;"|סוף שנה",'רווחה - קליטה'!$AE$5:$AE$204,0)),""))</f>
      </c>
      <c r="K173" s="36">
        <f>IF(AND(ISNUMBER(B173),ISNUMBER(H173)),H173-B173,"")</f>
      </c>
      <c r="L173" s="26">
        <f>IF(K173="","",IF(K173&gt;=0.5,"עלייה",IF(K173&lt;=-0.5,"ירידה","יציב")))</f>
      </c>
    </row>
    <row r="174" ht="15" customHeight="1" spans="1:12" x14ac:dyDescent="0.25">
      <c r="A174" s="29"/>
      <c r="B174" s="28">
        <f>IF($A174="","",IFERROR(AVERAGEIFS('רווחה - קליטה'!$AQ$5:$AQ$204,'רווחה - קליטה'!$A$5:$A$204,$A174,'רווחה - קליטה'!$C$5:$C$204,"תחילת שנה"),""))</f>
      </c>
      <c r="C174" s="27">
        <f>IF($A174="","",IFERROR(AVERAGEIFS('רווחה - קליטה'!$AK$5:$AK$204,'רווחה - קליטה'!$A$5:$A$204,$A174,'רווחה - קליטה'!$C$5:$C$204,"תחילת שנה"),""))</f>
      </c>
      <c r="D174" s="26">
        <f>IF($A174="","",IFERROR(INDEX('רווחה - קליטה'!$AS$5:$AS$204,MATCH($A174&amp;"|תחילת שנה",'רווחה - קליטה'!$AE$5:$AE$204,0)),""))</f>
      </c>
      <c r="E174" s="28">
        <f>IF($A174="","",IFERROR(AVERAGEIFS('רווחה - קליטה'!$AQ$5:$AQ$204,'רווחה - קליטה'!$A$5:$A$204,$A174,'רווחה - קליטה'!$C$5:$C$204,"אמצע שנה"),""))</f>
      </c>
      <c r="F174" s="27">
        <f>IF($A174="","",IFERROR(AVERAGEIFS('רווחה - קליטה'!$AK$5:$AK$204,'רווחה - קליטה'!$A$5:$A$204,$A174,'רווחה - קליטה'!$C$5:$C$204,"אמצע שנה"),""))</f>
      </c>
      <c r="G174" s="26">
        <f>IF($A174="","",IFERROR(INDEX('רווחה - קליטה'!$AS$5:$AS$204,MATCH($A174&amp;"|אמצע שנה",'רווחה - קליטה'!$AE$5:$AE$204,0)),""))</f>
      </c>
      <c r="H174" s="28">
        <f>IF($A174="","",IFERROR(AVERAGEIFS('רווחה - קליטה'!$AQ$5:$AQ$204,'רווחה - קליטה'!$A$5:$A$204,$A174,'רווחה - קליטה'!$C$5:$C$204,"סוף שנה"),""))</f>
      </c>
      <c r="I174" s="27">
        <f>IF($A174="","",IFERROR(AVERAGEIFS('רווחה - קליטה'!$AK$5:$AK$204,'רווחה - קליטה'!$A$5:$A$204,$A174,'רווחה - קליטה'!$C$5:$C$204,"סוף שנה"),""))</f>
      </c>
      <c r="J174" s="26">
        <f>IF($A174="","",IFERROR(INDEX('רווחה - קליטה'!$AS$5:$AS$204,MATCH($A174&amp;"|סוף שנה",'רווחה - קליטה'!$AE$5:$AE$204,0)),""))</f>
      </c>
      <c r="K174" s="36">
        <f>IF(AND(ISNUMBER(B174),ISNUMBER(H174)),H174-B174,"")</f>
      </c>
      <c r="L174" s="26">
        <f>IF(K174="","",IF(K174&gt;=0.5,"עלייה",IF(K174&lt;=-0.5,"ירידה","יציב")))</f>
      </c>
    </row>
    <row r="175" ht="15" customHeight="1" spans="1:12" x14ac:dyDescent="0.25">
      <c r="A175" s="29"/>
      <c r="B175" s="28">
        <f>IF($A175="","",IFERROR(AVERAGEIFS('רווחה - קליטה'!$AQ$5:$AQ$204,'רווחה - קליטה'!$A$5:$A$204,$A175,'רווחה - קליטה'!$C$5:$C$204,"תחילת שנה"),""))</f>
      </c>
      <c r="C175" s="27">
        <f>IF($A175="","",IFERROR(AVERAGEIFS('רווחה - קליטה'!$AK$5:$AK$204,'רווחה - קליטה'!$A$5:$A$204,$A175,'רווחה - קליטה'!$C$5:$C$204,"תחילת שנה"),""))</f>
      </c>
      <c r="D175" s="26">
        <f>IF($A175="","",IFERROR(INDEX('רווחה - קליטה'!$AS$5:$AS$204,MATCH($A175&amp;"|תחילת שנה",'רווחה - קליטה'!$AE$5:$AE$204,0)),""))</f>
      </c>
      <c r="E175" s="28">
        <f>IF($A175="","",IFERROR(AVERAGEIFS('רווחה - קליטה'!$AQ$5:$AQ$204,'רווחה - קליטה'!$A$5:$A$204,$A175,'רווחה - קליטה'!$C$5:$C$204,"אמצע שנה"),""))</f>
      </c>
      <c r="F175" s="27">
        <f>IF($A175="","",IFERROR(AVERAGEIFS('רווחה - קליטה'!$AK$5:$AK$204,'רווחה - קליטה'!$A$5:$A$204,$A175,'רווחה - קליטה'!$C$5:$C$204,"אמצע שנה"),""))</f>
      </c>
      <c r="G175" s="26">
        <f>IF($A175="","",IFERROR(INDEX('רווחה - קליטה'!$AS$5:$AS$204,MATCH($A175&amp;"|אמצע שנה",'רווחה - קליטה'!$AE$5:$AE$204,0)),""))</f>
      </c>
      <c r="H175" s="28">
        <f>IF($A175="","",IFERROR(AVERAGEIFS('רווחה - קליטה'!$AQ$5:$AQ$204,'רווחה - קליטה'!$A$5:$A$204,$A175,'רווחה - קליטה'!$C$5:$C$204,"סוף שנה"),""))</f>
      </c>
      <c r="I175" s="27">
        <f>IF($A175="","",IFERROR(AVERAGEIFS('רווחה - קליטה'!$AK$5:$AK$204,'רווחה - קליטה'!$A$5:$A$204,$A175,'רווחה - קליטה'!$C$5:$C$204,"סוף שנה"),""))</f>
      </c>
      <c r="J175" s="26">
        <f>IF($A175="","",IFERROR(INDEX('רווחה - קליטה'!$AS$5:$AS$204,MATCH($A175&amp;"|סוף שנה",'רווחה - קליטה'!$AE$5:$AE$204,0)),""))</f>
      </c>
      <c r="K175" s="36">
        <f>IF(AND(ISNUMBER(B175),ISNUMBER(H175)),H175-B175,"")</f>
      </c>
      <c r="L175" s="26">
        <f>IF(K175="","",IF(K175&gt;=0.5,"עלייה",IF(K175&lt;=-0.5,"ירידה","יציב")))</f>
      </c>
    </row>
    <row r="176" ht="15" customHeight="1" spans="1:12" x14ac:dyDescent="0.25">
      <c r="A176" s="29"/>
      <c r="B176" s="28">
        <f>IF($A176="","",IFERROR(AVERAGEIFS('רווחה - קליטה'!$AQ$5:$AQ$204,'רווחה - קליטה'!$A$5:$A$204,$A176,'רווחה - קליטה'!$C$5:$C$204,"תחילת שנה"),""))</f>
      </c>
      <c r="C176" s="27">
        <f>IF($A176="","",IFERROR(AVERAGEIFS('רווחה - קליטה'!$AK$5:$AK$204,'רווחה - קליטה'!$A$5:$A$204,$A176,'רווחה - קליטה'!$C$5:$C$204,"תחילת שנה"),""))</f>
      </c>
      <c r="D176" s="26">
        <f>IF($A176="","",IFERROR(INDEX('רווחה - קליטה'!$AS$5:$AS$204,MATCH($A176&amp;"|תחילת שנה",'רווחה - קליטה'!$AE$5:$AE$204,0)),""))</f>
      </c>
      <c r="E176" s="28">
        <f>IF($A176="","",IFERROR(AVERAGEIFS('רווחה - קליטה'!$AQ$5:$AQ$204,'רווחה - קליטה'!$A$5:$A$204,$A176,'רווחה - קליטה'!$C$5:$C$204,"אמצע שנה"),""))</f>
      </c>
      <c r="F176" s="27">
        <f>IF($A176="","",IFERROR(AVERAGEIFS('רווחה - קליטה'!$AK$5:$AK$204,'רווחה - קליטה'!$A$5:$A$204,$A176,'רווחה - קליטה'!$C$5:$C$204,"אמצע שנה"),""))</f>
      </c>
      <c r="G176" s="26">
        <f>IF($A176="","",IFERROR(INDEX('רווחה - קליטה'!$AS$5:$AS$204,MATCH($A176&amp;"|אמצע שנה",'רווחה - קליטה'!$AE$5:$AE$204,0)),""))</f>
      </c>
      <c r="H176" s="28">
        <f>IF($A176="","",IFERROR(AVERAGEIFS('רווחה - קליטה'!$AQ$5:$AQ$204,'רווחה - קליטה'!$A$5:$A$204,$A176,'רווחה - קליטה'!$C$5:$C$204,"סוף שנה"),""))</f>
      </c>
      <c r="I176" s="27">
        <f>IF($A176="","",IFERROR(AVERAGEIFS('רווחה - קליטה'!$AK$5:$AK$204,'רווחה - קליטה'!$A$5:$A$204,$A176,'רווחה - קליטה'!$C$5:$C$204,"סוף שנה"),""))</f>
      </c>
      <c r="J176" s="26">
        <f>IF($A176="","",IFERROR(INDEX('רווחה - קליטה'!$AS$5:$AS$204,MATCH($A176&amp;"|סוף שנה",'רווחה - קליטה'!$AE$5:$AE$204,0)),""))</f>
      </c>
      <c r="K176" s="36">
        <f>IF(AND(ISNUMBER(B176),ISNUMBER(H176)),H176-B176,"")</f>
      </c>
      <c r="L176" s="26">
        <f>IF(K176="","",IF(K176&gt;=0.5,"עלייה",IF(K176&lt;=-0.5,"ירידה","יציב")))</f>
      </c>
    </row>
    <row r="177" ht="15" customHeight="1" spans="1:12" x14ac:dyDescent="0.25">
      <c r="A177" s="29"/>
      <c r="B177" s="28">
        <f>IF($A177="","",IFERROR(AVERAGEIFS('רווחה - קליטה'!$AQ$5:$AQ$204,'רווחה - קליטה'!$A$5:$A$204,$A177,'רווחה - קליטה'!$C$5:$C$204,"תחילת שנה"),""))</f>
      </c>
      <c r="C177" s="27">
        <f>IF($A177="","",IFERROR(AVERAGEIFS('רווחה - קליטה'!$AK$5:$AK$204,'רווחה - קליטה'!$A$5:$A$204,$A177,'רווחה - קליטה'!$C$5:$C$204,"תחילת שנה"),""))</f>
      </c>
      <c r="D177" s="26">
        <f>IF($A177="","",IFERROR(INDEX('רווחה - קליטה'!$AS$5:$AS$204,MATCH($A177&amp;"|תחילת שנה",'רווחה - קליטה'!$AE$5:$AE$204,0)),""))</f>
      </c>
      <c r="E177" s="28">
        <f>IF($A177="","",IFERROR(AVERAGEIFS('רווחה - קליטה'!$AQ$5:$AQ$204,'רווחה - קליטה'!$A$5:$A$204,$A177,'רווחה - קליטה'!$C$5:$C$204,"אמצע שנה"),""))</f>
      </c>
      <c r="F177" s="27">
        <f>IF($A177="","",IFERROR(AVERAGEIFS('רווחה - קליטה'!$AK$5:$AK$204,'רווחה - קליטה'!$A$5:$A$204,$A177,'רווחה - קליטה'!$C$5:$C$204,"אמצע שנה"),""))</f>
      </c>
      <c r="G177" s="26">
        <f>IF($A177="","",IFERROR(INDEX('רווחה - קליטה'!$AS$5:$AS$204,MATCH($A177&amp;"|אמצע שנה",'רווחה - קליטה'!$AE$5:$AE$204,0)),""))</f>
      </c>
      <c r="H177" s="28">
        <f>IF($A177="","",IFERROR(AVERAGEIFS('רווחה - קליטה'!$AQ$5:$AQ$204,'רווחה - קליטה'!$A$5:$A$204,$A177,'רווחה - קליטה'!$C$5:$C$204,"סוף שנה"),""))</f>
      </c>
      <c r="I177" s="27">
        <f>IF($A177="","",IFERROR(AVERAGEIFS('רווחה - קליטה'!$AK$5:$AK$204,'רווחה - קליטה'!$A$5:$A$204,$A177,'רווחה - קליטה'!$C$5:$C$204,"סוף שנה"),""))</f>
      </c>
      <c r="J177" s="26">
        <f>IF($A177="","",IFERROR(INDEX('רווחה - קליטה'!$AS$5:$AS$204,MATCH($A177&amp;"|סוף שנה",'רווחה - קליטה'!$AE$5:$AE$204,0)),""))</f>
      </c>
      <c r="K177" s="36">
        <f>IF(AND(ISNUMBER(B177),ISNUMBER(H177)),H177-B177,"")</f>
      </c>
      <c r="L177" s="26">
        <f>IF(K177="","",IF(K177&gt;=0.5,"עלייה",IF(K177&lt;=-0.5,"ירידה","יציב")))</f>
      </c>
    </row>
    <row r="178" ht="15" customHeight="1" spans="1:12" x14ac:dyDescent="0.25">
      <c r="A178" s="29"/>
      <c r="B178" s="28">
        <f>IF($A178="","",IFERROR(AVERAGEIFS('רווחה - קליטה'!$AQ$5:$AQ$204,'רווחה - קליטה'!$A$5:$A$204,$A178,'רווחה - קליטה'!$C$5:$C$204,"תחילת שנה"),""))</f>
      </c>
      <c r="C178" s="27">
        <f>IF($A178="","",IFERROR(AVERAGEIFS('רווחה - קליטה'!$AK$5:$AK$204,'רווחה - קליטה'!$A$5:$A$204,$A178,'רווחה - קליטה'!$C$5:$C$204,"תחילת שנה"),""))</f>
      </c>
      <c r="D178" s="26">
        <f>IF($A178="","",IFERROR(INDEX('רווחה - קליטה'!$AS$5:$AS$204,MATCH($A178&amp;"|תחילת שנה",'רווחה - קליטה'!$AE$5:$AE$204,0)),""))</f>
      </c>
      <c r="E178" s="28">
        <f>IF($A178="","",IFERROR(AVERAGEIFS('רווחה - קליטה'!$AQ$5:$AQ$204,'רווחה - קליטה'!$A$5:$A$204,$A178,'רווחה - קליטה'!$C$5:$C$204,"אמצע שנה"),""))</f>
      </c>
      <c r="F178" s="27">
        <f>IF($A178="","",IFERROR(AVERAGEIFS('רווחה - קליטה'!$AK$5:$AK$204,'רווחה - קליטה'!$A$5:$A$204,$A178,'רווחה - קליטה'!$C$5:$C$204,"אמצע שנה"),""))</f>
      </c>
      <c r="G178" s="26">
        <f>IF($A178="","",IFERROR(INDEX('רווחה - קליטה'!$AS$5:$AS$204,MATCH($A178&amp;"|אמצע שנה",'רווחה - קליטה'!$AE$5:$AE$204,0)),""))</f>
      </c>
      <c r="H178" s="28">
        <f>IF($A178="","",IFERROR(AVERAGEIFS('רווחה - קליטה'!$AQ$5:$AQ$204,'רווחה - קליטה'!$A$5:$A$204,$A178,'רווחה - קליטה'!$C$5:$C$204,"סוף שנה"),""))</f>
      </c>
      <c r="I178" s="27">
        <f>IF($A178="","",IFERROR(AVERAGEIFS('רווחה - קליטה'!$AK$5:$AK$204,'רווחה - קליטה'!$A$5:$A$204,$A178,'רווחה - קליטה'!$C$5:$C$204,"סוף שנה"),""))</f>
      </c>
      <c r="J178" s="26">
        <f>IF($A178="","",IFERROR(INDEX('רווחה - קליטה'!$AS$5:$AS$204,MATCH($A178&amp;"|סוף שנה",'רווחה - קליטה'!$AE$5:$AE$204,0)),""))</f>
      </c>
      <c r="K178" s="36">
        <f>IF(AND(ISNUMBER(B178),ISNUMBER(H178)),H178-B178,"")</f>
      </c>
      <c r="L178" s="26">
        <f>IF(K178="","",IF(K178&gt;=0.5,"עלייה",IF(K178&lt;=-0.5,"ירידה","יציב")))</f>
      </c>
    </row>
    <row r="179" ht="15" customHeight="1" spans="1:12" x14ac:dyDescent="0.25">
      <c r="A179" s="29"/>
      <c r="B179" s="28">
        <f>IF($A179="","",IFERROR(AVERAGEIFS('רווחה - קליטה'!$AQ$5:$AQ$204,'רווחה - קליטה'!$A$5:$A$204,$A179,'רווחה - קליטה'!$C$5:$C$204,"תחילת שנה"),""))</f>
      </c>
      <c r="C179" s="27">
        <f>IF($A179="","",IFERROR(AVERAGEIFS('רווחה - קליטה'!$AK$5:$AK$204,'רווחה - קליטה'!$A$5:$A$204,$A179,'רווחה - קליטה'!$C$5:$C$204,"תחילת שנה"),""))</f>
      </c>
      <c r="D179" s="26">
        <f>IF($A179="","",IFERROR(INDEX('רווחה - קליטה'!$AS$5:$AS$204,MATCH($A179&amp;"|תחילת שנה",'רווחה - קליטה'!$AE$5:$AE$204,0)),""))</f>
      </c>
      <c r="E179" s="28">
        <f>IF($A179="","",IFERROR(AVERAGEIFS('רווחה - קליטה'!$AQ$5:$AQ$204,'רווחה - קליטה'!$A$5:$A$204,$A179,'רווחה - קליטה'!$C$5:$C$204,"אמצע שנה"),""))</f>
      </c>
      <c r="F179" s="27">
        <f>IF($A179="","",IFERROR(AVERAGEIFS('רווחה - קליטה'!$AK$5:$AK$204,'רווחה - קליטה'!$A$5:$A$204,$A179,'רווחה - קליטה'!$C$5:$C$204,"אמצע שנה"),""))</f>
      </c>
      <c r="G179" s="26">
        <f>IF($A179="","",IFERROR(INDEX('רווחה - קליטה'!$AS$5:$AS$204,MATCH($A179&amp;"|אמצע שנה",'רווחה - קליטה'!$AE$5:$AE$204,0)),""))</f>
      </c>
      <c r="H179" s="28">
        <f>IF($A179="","",IFERROR(AVERAGEIFS('רווחה - קליטה'!$AQ$5:$AQ$204,'רווחה - קליטה'!$A$5:$A$204,$A179,'רווחה - קליטה'!$C$5:$C$204,"סוף שנה"),""))</f>
      </c>
      <c r="I179" s="27">
        <f>IF($A179="","",IFERROR(AVERAGEIFS('רווחה - קליטה'!$AK$5:$AK$204,'רווחה - קליטה'!$A$5:$A$204,$A179,'רווחה - קליטה'!$C$5:$C$204,"סוף שנה"),""))</f>
      </c>
      <c r="J179" s="26">
        <f>IF($A179="","",IFERROR(INDEX('רווחה - קליטה'!$AS$5:$AS$204,MATCH($A179&amp;"|סוף שנה",'רווחה - קליטה'!$AE$5:$AE$204,0)),""))</f>
      </c>
      <c r="K179" s="36">
        <f>IF(AND(ISNUMBER(B179),ISNUMBER(H179)),H179-B179,"")</f>
      </c>
      <c r="L179" s="26">
        <f>IF(K179="","",IF(K179&gt;=0.5,"עלייה",IF(K179&lt;=-0.5,"ירידה","יציב")))</f>
      </c>
    </row>
    <row r="180" ht="15" customHeight="1" spans="1:12" x14ac:dyDescent="0.25">
      <c r="A180" s="29"/>
      <c r="B180" s="28">
        <f>IF($A180="","",IFERROR(AVERAGEIFS('רווחה - קליטה'!$AQ$5:$AQ$204,'רווחה - קליטה'!$A$5:$A$204,$A180,'רווחה - קליטה'!$C$5:$C$204,"תחילת שנה"),""))</f>
      </c>
      <c r="C180" s="27">
        <f>IF($A180="","",IFERROR(AVERAGEIFS('רווחה - קליטה'!$AK$5:$AK$204,'רווחה - קליטה'!$A$5:$A$204,$A180,'רווחה - קליטה'!$C$5:$C$204,"תחילת שנה"),""))</f>
      </c>
      <c r="D180" s="26">
        <f>IF($A180="","",IFERROR(INDEX('רווחה - קליטה'!$AS$5:$AS$204,MATCH($A180&amp;"|תחילת שנה",'רווחה - קליטה'!$AE$5:$AE$204,0)),""))</f>
      </c>
      <c r="E180" s="28">
        <f>IF($A180="","",IFERROR(AVERAGEIFS('רווחה - קליטה'!$AQ$5:$AQ$204,'רווחה - קליטה'!$A$5:$A$204,$A180,'רווחה - קליטה'!$C$5:$C$204,"אמצע שנה"),""))</f>
      </c>
      <c r="F180" s="27">
        <f>IF($A180="","",IFERROR(AVERAGEIFS('רווחה - קליטה'!$AK$5:$AK$204,'רווחה - קליטה'!$A$5:$A$204,$A180,'רווחה - קליטה'!$C$5:$C$204,"אמצע שנה"),""))</f>
      </c>
      <c r="G180" s="26">
        <f>IF($A180="","",IFERROR(INDEX('רווחה - קליטה'!$AS$5:$AS$204,MATCH($A180&amp;"|אמצע שנה",'רווחה - קליטה'!$AE$5:$AE$204,0)),""))</f>
      </c>
      <c r="H180" s="28">
        <f>IF($A180="","",IFERROR(AVERAGEIFS('רווחה - קליטה'!$AQ$5:$AQ$204,'רווחה - קליטה'!$A$5:$A$204,$A180,'רווחה - קליטה'!$C$5:$C$204,"סוף שנה"),""))</f>
      </c>
      <c r="I180" s="27">
        <f>IF($A180="","",IFERROR(AVERAGEIFS('רווחה - קליטה'!$AK$5:$AK$204,'רווחה - קליטה'!$A$5:$A$204,$A180,'רווחה - קליטה'!$C$5:$C$204,"סוף שנה"),""))</f>
      </c>
      <c r="J180" s="26">
        <f>IF($A180="","",IFERROR(INDEX('רווחה - קליטה'!$AS$5:$AS$204,MATCH($A180&amp;"|סוף שנה",'רווחה - קליטה'!$AE$5:$AE$204,0)),""))</f>
      </c>
      <c r="K180" s="36">
        <f>IF(AND(ISNUMBER(B180),ISNUMBER(H180)),H180-B180,"")</f>
      </c>
      <c r="L180" s="26">
        <f>IF(K180="","",IF(K180&gt;=0.5,"עלייה",IF(K180&lt;=-0.5,"ירידה","יציב")))</f>
      </c>
    </row>
    <row r="181" ht="15" customHeight="1" spans="1:12" x14ac:dyDescent="0.25">
      <c r="A181" s="29"/>
      <c r="B181" s="28">
        <f>IF($A181="","",IFERROR(AVERAGEIFS('רווחה - קליטה'!$AQ$5:$AQ$204,'רווחה - קליטה'!$A$5:$A$204,$A181,'רווחה - קליטה'!$C$5:$C$204,"תחילת שנה"),""))</f>
      </c>
      <c r="C181" s="27">
        <f>IF($A181="","",IFERROR(AVERAGEIFS('רווחה - קליטה'!$AK$5:$AK$204,'רווחה - קליטה'!$A$5:$A$204,$A181,'רווחה - קליטה'!$C$5:$C$204,"תחילת שנה"),""))</f>
      </c>
      <c r="D181" s="26">
        <f>IF($A181="","",IFERROR(INDEX('רווחה - קליטה'!$AS$5:$AS$204,MATCH($A181&amp;"|תחילת שנה",'רווחה - קליטה'!$AE$5:$AE$204,0)),""))</f>
      </c>
      <c r="E181" s="28">
        <f>IF($A181="","",IFERROR(AVERAGEIFS('רווחה - קליטה'!$AQ$5:$AQ$204,'רווחה - קליטה'!$A$5:$A$204,$A181,'רווחה - קליטה'!$C$5:$C$204,"אמצע שנה"),""))</f>
      </c>
      <c r="F181" s="27">
        <f>IF($A181="","",IFERROR(AVERAGEIFS('רווחה - קליטה'!$AK$5:$AK$204,'רווחה - קליטה'!$A$5:$A$204,$A181,'רווחה - קליטה'!$C$5:$C$204,"אמצע שנה"),""))</f>
      </c>
      <c r="G181" s="26">
        <f>IF($A181="","",IFERROR(INDEX('רווחה - קליטה'!$AS$5:$AS$204,MATCH($A181&amp;"|אמצע שנה",'רווחה - קליטה'!$AE$5:$AE$204,0)),""))</f>
      </c>
      <c r="H181" s="28">
        <f>IF($A181="","",IFERROR(AVERAGEIFS('רווחה - קליטה'!$AQ$5:$AQ$204,'רווחה - קליטה'!$A$5:$A$204,$A181,'רווחה - קליטה'!$C$5:$C$204,"סוף שנה"),""))</f>
      </c>
      <c r="I181" s="27">
        <f>IF($A181="","",IFERROR(AVERAGEIFS('רווחה - קליטה'!$AK$5:$AK$204,'רווחה - קליטה'!$A$5:$A$204,$A181,'רווחה - קליטה'!$C$5:$C$204,"סוף שנה"),""))</f>
      </c>
      <c r="J181" s="26">
        <f>IF($A181="","",IFERROR(INDEX('רווחה - קליטה'!$AS$5:$AS$204,MATCH($A181&amp;"|סוף שנה",'רווחה - קליטה'!$AE$5:$AE$204,0)),""))</f>
      </c>
      <c r="K181" s="36">
        <f>IF(AND(ISNUMBER(B181),ISNUMBER(H181)),H181-B181,"")</f>
      </c>
      <c r="L181" s="26">
        <f>IF(K181="","",IF(K181&gt;=0.5,"עלייה",IF(K181&lt;=-0.5,"ירידה","יציב")))</f>
      </c>
    </row>
    <row r="182" ht="15" customHeight="1" spans="1:12" x14ac:dyDescent="0.25">
      <c r="A182" s="29"/>
      <c r="B182" s="28">
        <f>IF($A182="","",IFERROR(AVERAGEIFS('רווחה - קליטה'!$AQ$5:$AQ$204,'רווחה - קליטה'!$A$5:$A$204,$A182,'רווחה - קליטה'!$C$5:$C$204,"תחילת שנה"),""))</f>
      </c>
      <c r="C182" s="27">
        <f>IF($A182="","",IFERROR(AVERAGEIFS('רווחה - קליטה'!$AK$5:$AK$204,'רווחה - קליטה'!$A$5:$A$204,$A182,'רווחה - קליטה'!$C$5:$C$204,"תחילת שנה"),""))</f>
      </c>
      <c r="D182" s="26">
        <f>IF($A182="","",IFERROR(INDEX('רווחה - קליטה'!$AS$5:$AS$204,MATCH($A182&amp;"|תחילת שנה",'רווחה - קליטה'!$AE$5:$AE$204,0)),""))</f>
      </c>
      <c r="E182" s="28">
        <f>IF($A182="","",IFERROR(AVERAGEIFS('רווחה - קליטה'!$AQ$5:$AQ$204,'רווחה - קליטה'!$A$5:$A$204,$A182,'רווחה - קליטה'!$C$5:$C$204,"אמצע שנה"),""))</f>
      </c>
      <c r="F182" s="27">
        <f>IF($A182="","",IFERROR(AVERAGEIFS('רווחה - קליטה'!$AK$5:$AK$204,'רווחה - קליטה'!$A$5:$A$204,$A182,'רווחה - קליטה'!$C$5:$C$204,"אמצע שנה"),""))</f>
      </c>
      <c r="G182" s="26">
        <f>IF($A182="","",IFERROR(INDEX('רווחה - קליטה'!$AS$5:$AS$204,MATCH($A182&amp;"|אמצע שנה",'רווחה - קליטה'!$AE$5:$AE$204,0)),""))</f>
      </c>
      <c r="H182" s="28">
        <f>IF($A182="","",IFERROR(AVERAGEIFS('רווחה - קליטה'!$AQ$5:$AQ$204,'רווחה - קליטה'!$A$5:$A$204,$A182,'רווחה - קליטה'!$C$5:$C$204,"סוף שנה"),""))</f>
      </c>
      <c r="I182" s="27">
        <f>IF($A182="","",IFERROR(AVERAGEIFS('רווחה - קליטה'!$AK$5:$AK$204,'רווחה - קליטה'!$A$5:$A$204,$A182,'רווחה - קליטה'!$C$5:$C$204,"סוף שנה"),""))</f>
      </c>
      <c r="J182" s="26">
        <f>IF($A182="","",IFERROR(INDEX('רווחה - קליטה'!$AS$5:$AS$204,MATCH($A182&amp;"|סוף שנה",'רווחה - קליטה'!$AE$5:$AE$204,0)),""))</f>
      </c>
      <c r="K182" s="36">
        <f>IF(AND(ISNUMBER(B182),ISNUMBER(H182)),H182-B182,"")</f>
      </c>
      <c r="L182" s="26">
        <f>IF(K182="","",IF(K182&gt;=0.5,"עלייה",IF(K182&lt;=-0.5,"ירידה","יציב")))</f>
      </c>
    </row>
    <row r="183" ht="15" customHeight="1" spans="1:12" x14ac:dyDescent="0.25">
      <c r="A183" s="29"/>
      <c r="B183" s="28">
        <f>IF($A183="","",IFERROR(AVERAGEIFS('רווחה - קליטה'!$AQ$5:$AQ$204,'רווחה - קליטה'!$A$5:$A$204,$A183,'רווחה - קליטה'!$C$5:$C$204,"תחילת שנה"),""))</f>
      </c>
      <c r="C183" s="27">
        <f>IF($A183="","",IFERROR(AVERAGEIFS('רווחה - קליטה'!$AK$5:$AK$204,'רווחה - קליטה'!$A$5:$A$204,$A183,'רווחה - קליטה'!$C$5:$C$204,"תחילת שנה"),""))</f>
      </c>
      <c r="D183" s="26">
        <f>IF($A183="","",IFERROR(INDEX('רווחה - קליטה'!$AS$5:$AS$204,MATCH($A183&amp;"|תחילת שנה",'רווחה - קליטה'!$AE$5:$AE$204,0)),""))</f>
      </c>
      <c r="E183" s="28">
        <f>IF($A183="","",IFERROR(AVERAGEIFS('רווחה - קליטה'!$AQ$5:$AQ$204,'רווחה - קליטה'!$A$5:$A$204,$A183,'רווחה - קליטה'!$C$5:$C$204,"אמצע שנה"),""))</f>
      </c>
      <c r="F183" s="27">
        <f>IF($A183="","",IFERROR(AVERAGEIFS('רווחה - קליטה'!$AK$5:$AK$204,'רווחה - קליטה'!$A$5:$A$204,$A183,'רווחה - קליטה'!$C$5:$C$204,"אמצע שנה"),""))</f>
      </c>
      <c r="G183" s="26">
        <f>IF($A183="","",IFERROR(INDEX('רווחה - קליטה'!$AS$5:$AS$204,MATCH($A183&amp;"|אמצע שנה",'רווחה - קליטה'!$AE$5:$AE$204,0)),""))</f>
      </c>
      <c r="H183" s="28">
        <f>IF($A183="","",IFERROR(AVERAGEIFS('רווחה - קליטה'!$AQ$5:$AQ$204,'רווחה - קליטה'!$A$5:$A$204,$A183,'רווחה - קליטה'!$C$5:$C$204,"סוף שנה"),""))</f>
      </c>
      <c r="I183" s="27">
        <f>IF($A183="","",IFERROR(AVERAGEIFS('רווחה - קליטה'!$AK$5:$AK$204,'רווחה - קליטה'!$A$5:$A$204,$A183,'רווחה - קליטה'!$C$5:$C$204,"סוף שנה"),""))</f>
      </c>
      <c r="J183" s="26">
        <f>IF($A183="","",IFERROR(INDEX('רווחה - קליטה'!$AS$5:$AS$204,MATCH($A183&amp;"|סוף שנה",'רווחה - קליטה'!$AE$5:$AE$204,0)),""))</f>
      </c>
      <c r="K183" s="36">
        <f>IF(AND(ISNUMBER(B183),ISNUMBER(H183)),H183-B183,"")</f>
      </c>
      <c r="L183" s="26">
        <f>IF(K183="","",IF(K183&gt;=0.5,"עלייה",IF(K183&lt;=-0.5,"ירידה","יציב")))</f>
      </c>
    </row>
    <row r="184" ht="15" customHeight="1" spans="1:12" x14ac:dyDescent="0.25">
      <c r="A184" s="29"/>
      <c r="B184" s="28">
        <f>IF($A184="","",IFERROR(AVERAGEIFS('רווחה - קליטה'!$AQ$5:$AQ$204,'רווחה - קליטה'!$A$5:$A$204,$A184,'רווחה - קליטה'!$C$5:$C$204,"תחילת שנה"),""))</f>
      </c>
      <c r="C184" s="27">
        <f>IF($A184="","",IFERROR(AVERAGEIFS('רווחה - קליטה'!$AK$5:$AK$204,'רווחה - קליטה'!$A$5:$A$204,$A184,'רווחה - קליטה'!$C$5:$C$204,"תחילת שנה"),""))</f>
      </c>
      <c r="D184" s="26">
        <f>IF($A184="","",IFERROR(INDEX('רווחה - קליטה'!$AS$5:$AS$204,MATCH($A184&amp;"|תחילת שנה",'רווחה - קליטה'!$AE$5:$AE$204,0)),""))</f>
      </c>
      <c r="E184" s="28">
        <f>IF($A184="","",IFERROR(AVERAGEIFS('רווחה - קליטה'!$AQ$5:$AQ$204,'רווחה - קליטה'!$A$5:$A$204,$A184,'רווחה - קליטה'!$C$5:$C$204,"אמצע שנה"),""))</f>
      </c>
      <c r="F184" s="27">
        <f>IF($A184="","",IFERROR(AVERAGEIFS('רווחה - קליטה'!$AK$5:$AK$204,'רווחה - קליטה'!$A$5:$A$204,$A184,'רווחה - קליטה'!$C$5:$C$204,"אמצע שנה"),""))</f>
      </c>
      <c r="G184" s="26">
        <f>IF($A184="","",IFERROR(INDEX('רווחה - קליטה'!$AS$5:$AS$204,MATCH($A184&amp;"|אמצע שנה",'רווחה - קליטה'!$AE$5:$AE$204,0)),""))</f>
      </c>
      <c r="H184" s="28">
        <f>IF($A184="","",IFERROR(AVERAGEIFS('רווחה - קליטה'!$AQ$5:$AQ$204,'רווחה - קליטה'!$A$5:$A$204,$A184,'רווחה - קליטה'!$C$5:$C$204,"סוף שנה"),""))</f>
      </c>
      <c r="I184" s="27">
        <f>IF($A184="","",IFERROR(AVERAGEIFS('רווחה - קליטה'!$AK$5:$AK$204,'רווחה - קליטה'!$A$5:$A$204,$A184,'רווחה - קליטה'!$C$5:$C$204,"סוף שנה"),""))</f>
      </c>
      <c r="J184" s="26">
        <f>IF($A184="","",IFERROR(INDEX('רווחה - קליטה'!$AS$5:$AS$204,MATCH($A184&amp;"|סוף שנה",'רווחה - קליטה'!$AE$5:$AE$204,0)),""))</f>
      </c>
      <c r="K184" s="36">
        <f>IF(AND(ISNUMBER(B184),ISNUMBER(H184)),H184-B184,"")</f>
      </c>
      <c r="L184" s="26">
        <f>IF(K184="","",IF(K184&gt;=0.5,"עלייה",IF(K184&lt;=-0.5,"ירידה","יציב")))</f>
      </c>
    </row>
    <row r="185" ht="15" customHeight="1" spans="1:12" x14ac:dyDescent="0.25">
      <c r="A185" s="29"/>
      <c r="B185" s="28">
        <f>IF($A185="","",IFERROR(AVERAGEIFS('רווחה - קליטה'!$AQ$5:$AQ$204,'רווחה - קליטה'!$A$5:$A$204,$A185,'רווחה - קליטה'!$C$5:$C$204,"תחילת שנה"),""))</f>
      </c>
      <c r="C185" s="27">
        <f>IF($A185="","",IFERROR(AVERAGEIFS('רווחה - קליטה'!$AK$5:$AK$204,'רווחה - קליטה'!$A$5:$A$204,$A185,'רווחה - קליטה'!$C$5:$C$204,"תחילת שנה"),""))</f>
      </c>
      <c r="D185" s="26">
        <f>IF($A185="","",IFERROR(INDEX('רווחה - קליטה'!$AS$5:$AS$204,MATCH($A185&amp;"|תחילת שנה",'רווחה - קליטה'!$AE$5:$AE$204,0)),""))</f>
      </c>
      <c r="E185" s="28">
        <f>IF($A185="","",IFERROR(AVERAGEIFS('רווחה - קליטה'!$AQ$5:$AQ$204,'רווחה - קליטה'!$A$5:$A$204,$A185,'רווחה - קליטה'!$C$5:$C$204,"אמצע שנה"),""))</f>
      </c>
      <c r="F185" s="27">
        <f>IF($A185="","",IFERROR(AVERAGEIFS('רווחה - קליטה'!$AK$5:$AK$204,'רווחה - קליטה'!$A$5:$A$204,$A185,'רווחה - קליטה'!$C$5:$C$204,"אמצע שנה"),""))</f>
      </c>
      <c r="G185" s="26">
        <f>IF($A185="","",IFERROR(INDEX('רווחה - קליטה'!$AS$5:$AS$204,MATCH($A185&amp;"|אמצע שנה",'רווחה - קליטה'!$AE$5:$AE$204,0)),""))</f>
      </c>
      <c r="H185" s="28">
        <f>IF($A185="","",IFERROR(AVERAGEIFS('רווחה - קליטה'!$AQ$5:$AQ$204,'רווחה - קליטה'!$A$5:$A$204,$A185,'רווחה - קליטה'!$C$5:$C$204,"סוף שנה"),""))</f>
      </c>
      <c r="I185" s="27">
        <f>IF($A185="","",IFERROR(AVERAGEIFS('רווחה - קליטה'!$AK$5:$AK$204,'רווחה - קליטה'!$A$5:$A$204,$A185,'רווחה - קליטה'!$C$5:$C$204,"סוף שנה"),""))</f>
      </c>
      <c r="J185" s="26">
        <f>IF($A185="","",IFERROR(INDEX('רווחה - קליטה'!$AS$5:$AS$204,MATCH($A185&amp;"|סוף שנה",'רווחה - קליטה'!$AE$5:$AE$204,0)),""))</f>
      </c>
      <c r="K185" s="36">
        <f>IF(AND(ISNUMBER(B185),ISNUMBER(H185)),H185-B185,"")</f>
      </c>
      <c r="L185" s="26">
        <f>IF(K185="","",IF(K185&gt;=0.5,"עלייה",IF(K185&lt;=-0.5,"ירידה","יציב")))</f>
      </c>
    </row>
    <row r="186" ht="15" customHeight="1" spans="1:12" x14ac:dyDescent="0.25">
      <c r="A186" s="29"/>
      <c r="B186" s="28">
        <f>IF($A186="","",IFERROR(AVERAGEIFS('רווחה - קליטה'!$AQ$5:$AQ$204,'רווחה - קליטה'!$A$5:$A$204,$A186,'רווחה - קליטה'!$C$5:$C$204,"תחילת שנה"),""))</f>
      </c>
      <c r="C186" s="27">
        <f>IF($A186="","",IFERROR(AVERAGEIFS('רווחה - קליטה'!$AK$5:$AK$204,'רווחה - קליטה'!$A$5:$A$204,$A186,'רווחה - קליטה'!$C$5:$C$204,"תחילת שנה"),""))</f>
      </c>
      <c r="D186" s="26">
        <f>IF($A186="","",IFERROR(INDEX('רווחה - קליטה'!$AS$5:$AS$204,MATCH($A186&amp;"|תחילת שנה",'רווחה - קליטה'!$AE$5:$AE$204,0)),""))</f>
      </c>
      <c r="E186" s="28">
        <f>IF($A186="","",IFERROR(AVERAGEIFS('רווחה - קליטה'!$AQ$5:$AQ$204,'רווחה - קליטה'!$A$5:$A$204,$A186,'רווחה - קליטה'!$C$5:$C$204,"אמצע שנה"),""))</f>
      </c>
      <c r="F186" s="27">
        <f>IF($A186="","",IFERROR(AVERAGEIFS('רווחה - קליטה'!$AK$5:$AK$204,'רווחה - קליטה'!$A$5:$A$204,$A186,'רווחה - קליטה'!$C$5:$C$204,"אמצע שנה"),""))</f>
      </c>
      <c r="G186" s="26">
        <f>IF($A186="","",IFERROR(INDEX('רווחה - קליטה'!$AS$5:$AS$204,MATCH($A186&amp;"|אמצע שנה",'רווחה - קליטה'!$AE$5:$AE$204,0)),""))</f>
      </c>
      <c r="H186" s="28">
        <f>IF($A186="","",IFERROR(AVERAGEIFS('רווחה - קליטה'!$AQ$5:$AQ$204,'רווחה - קליטה'!$A$5:$A$204,$A186,'רווחה - קליטה'!$C$5:$C$204,"סוף שנה"),""))</f>
      </c>
      <c r="I186" s="27">
        <f>IF($A186="","",IFERROR(AVERAGEIFS('רווחה - קליטה'!$AK$5:$AK$204,'רווחה - קליטה'!$A$5:$A$204,$A186,'רווחה - קליטה'!$C$5:$C$204,"סוף שנה"),""))</f>
      </c>
      <c r="J186" s="26">
        <f>IF($A186="","",IFERROR(INDEX('רווחה - קליטה'!$AS$5:$AS$204,MATCH($A186&amp;"|סוף שנה",'רווחה - קליטה'!$AE$5:$AE$204,0)),""))</f>
      </c>
      <c r="K186" s="36">
        <f>IF(AND(ISNUMBER(B186),ISNUMBER(H186)),H186-B186,"")</f>
      </c>
      <c r="L186" s="26">
        <f>IF(K186="","",IF(K186&gt;=0.5,"עלייה",IF(K186&lt;=-0.5,"ירידה","יציב")))</f>
      </c>
    </row>
    <row r="187" ht="15" customHeight="1" spans="1:12" x14ac:dyDescent="0.25">
      <c r="A187" s="29"/>
      <c r="B187" s="28">
        <f>IF($A187="","",IFERROR(AVERAGEIFS('רווחה - קליטה'!$AQ$5:$AQ$204,'רווחה - קליטה'!$A$5:$A$204,$A187,'רווחה - קליטה'!$C$5:$C$204,"תחילת שנה"),""))</f>
      </c>
      <c r="C187" s="27">
        <f>IF($A187="","",IFERROR(AVERAGEIFS('רווחה - קליטה'!$AK$5:$AK$204,'רווחה - קליטה'!$A$5:$A$204,$A187,'רווחה - קליטה'!$C$5:$C$204,"תחילת שנה"),""))</f>
      </c>
      <c r="D187" s="26">
        <f>IF($A187="","",IFERROR(INDEX('רווחה - קליטה'!$AS$5:$AS$204,MATCH($A187&amp;"|תחילת שנה",'רווחה - קליטה'!$AE$5:$AE$204,0)),""))</f>
      </c>
      <c r="E187" s="28">
        <f>IF($A187="","",IFERROR(AVERAGEIFS('רווחה - קליטה'!$AQ$5:$AQ$204,'רווחה - קליטה'!$A$5:$A$204,$A187,'רווחה - קליטה'!$C$5:$C$204,"אמצע שנה"),""))</f>
      </c>
      <c r="F187" s="27">
        <f>IF($A187="","",IFERROR(AVERAGEIFS('רווחה - קליטה'!$AK$5:$AK$204,'רווחה - קליטה'!$A$5:$A$204,$A187,'רווחה - קליטה'!$C$5:$C$204,"אמצע שנה"),""))</f>
      </c>
      <c r="G187" s="26">
        <f>IF($A187="","",IFERROR(INDEX('רווחה - קליטה'!$AS$5:$AS$204,MATCH($A187&amp;"|אמצע שנה",'רווחה - קליטה'!$AE$5:$AE$204,0)),""))</f>
      </c>
      <c r="H187" s="28">
        <f>IF($A187="","",IFERROR(AVERAGEIFS('רווחה - קליטה'!$AQ$5:$AQ$204,'רווחה - קליטה'!$A$5:$A$204,$A187,'רווחה - קליטה'!$C$5:$C$204,"סוף שנה"),""))</f>
      </c>
      <c r="I187" s="27">
        <f>IF($A187="","",IFERROR(AVERAGEIFS('רווחה - קליטה'!$AK$5:$AK$204,'רווחה - קליטה'!$A$5:$A$204,$A187,'רווחה - קליטה'!$C$5:$C$204,"סוף שנה"),""))</f>
      </c>
      <c r="J187" s="26">
        <f>IF($A187="","",IFERROR(INDEX('רווחה - קליטה'!$AS$5:$AS$204,MATCH($A187&amp;"|סוף שנה",'רווחה - קליטה'!$AE$5:$AE$204,0)),""))</f>
      </c>
      <c r="K187" s="36">
        <f>IF(AND(ISNUMBER(B187),ISNUMBER(H187)),H187-B187,"")</f>
      </c>
      <c r="L187" s="26">
        <f>IF(K187="","",IF(K187&gt;=0.5,"עלייה",IF(K187&lt;=-0.5,"ירידה","יציב")))</f>
      </c>
    </row>
    <row r="188" ht="15" customHeight="1" spans="1:12" x14ac:dyDescent="0.25">
      <c r="A188" s="29"/>
      <c r="B188" s="28">
        <f>IF($A188="","",IFERROR(AVERAGEIFS('רווחה - קליטה'!$AQ$5:$AQ$204,'רווחה - קליטה'!$A$5:$A$204,$A188,'רווחה - קליטה'!$C$5:$C$204,"תחילת שנה"),""))</f>
      </c>
      <c r="C188" s="27">
        <f>IF($A188="","",IFERROR(AVERAGEIFS('רווחה - קליטה'!$AK$5:$AK$204,'רווחה - קליטה'!$A$5:$A$204,$A188,'רווחה - קליטה'!$C$5:$C$204,"תחילת שנה"),""))</f>
      </c>
      <c r="D188" s="26">
        <f>IF($A188="","",IFERROR(INDEX('רווחה - קליטה'!$AS$5:$AS$204,MATCH($A188&amp;"|תחילת שנה",'רווחה - קליטה'!$AE$5:$AE$204,0)),""))</f>
      </c>
      <c r="E188" s="28">
        <f>IF($A188="","",IFERROR(AVERAGEIFS('רווחה - קליטה'!$AQ$5:$AQ$204,'רווחה - קליטה'!$A$5:$A$204,$A188,'רווחה - קליטה'!$C$5:$C$204,"אמצע שנה"),""))</f>
      </c>
      <c r="F188" s="27">
        <f>IF($A188="","",IFERROR(AVERAGEIFS('רווחה - קליטה'!$AK$5:$AK$204,'רווחה - קליטה'!$A$5:$A$204,$A188,'רווחה - קליטה'!$C$5:$C$204,"אמצע שנה"),""))</f>
      </c>
      <c r="G188" s="26">
        <f>IF($A188="","",IFERROR(INDEX('רווחה - קליטה'!$AS$5:$AS$204,MATCH($A188&amp;"|אמצע שנה",'רווחה - קליטה'!$AE$5:$AE$204,0)),""))</f>
      </c>
      <c r="H188" s="28">
        <f>IF($A188="","",IFERROR(AVERAGEIFS('רווחה - קליטה'!$AQ$5:$AQ$204,'רווחה - קליטה'!$A$5:$A$204,$A188,'רווחה - קליטה'!$C$5:$C$204,"סוף שנה"),""))</f>
      </c>
      <c r="I188" s="27">
        <f>IF($A188="","",IFERROR(AVERAGEIFS('רווחה - קליטה'!$AK$5:$AK$204,'רווחה - קליטה'!$A$5:$A$204,$A188,'רווחה - קליטה'!$C$5:$C$204,"סוף שנה"),""))</f>
      </c>
      <c r="J188" s="26">
        <f>IF($A188="","",IFERROR(INDEX('רווחה - קליטה'!$AS$5:$AS$204,MATCH($A188&amp;"|סוף שנה",'רווחה - קליטה'!$AE$5:$AE$204,0)),""))</f>
      </c>
      <c r="K188" s="36">
        <f>IF(AND(ISNUMBER(B188),ISNUMBER(H188)),H188-B188,"")</f>
      </c>
      <c r="L188" s="26">
        <f>IF(K188="","",IF(K188&gt;=0.5,"עלייה",IF(K188&lt;=-0.5,"ירידה","יציב")))</f>
      </c>
    </row>
    <row r="189" ht="15" customHeight="1" spans="1:12" x14ac:dyDescent="0.25">
      <c r="A189" s="29"/>
      <c r="B189" s="28">
        <f>IF($A189="","",IFERROR(AVERAGEIFS('רווחה - קליטה'!$AQ$5:$AQ$204,'רווחה - קליטה'!$A$5:$A$204,$A189,'רווחה - קליטה'!$C$5:$C$204,"תחילת שנה"),""))</f>
      </c>
      <c r="C189" s="27">
        <f>IF($A189="","",IFERROR(AVERAGEIFS('רווחה - קליטה'!$AK$5:$AK$204,'רווחה - קליטה'!$A$5:$A$204,$A189,'רווחה - קליטה'!$C$5:$C$204,"תחילת שנה"),""))</f>
      </c>
      <c r="D189" s="26">
        <f>IF($A189="","",IFERROR(INDEX('רווחה - קליטה'!$AS$5:$AS$204,MATCH($A189&amp;"|תחילת שנה",'רווחה - קליטה'!$AE$5:$AE$204,0)),""))</f>
      </c>
      <c r="E189" s="28">
        <f>IF($A189="","",IFERROR(AVERAGEIFS('רווחה - קליטה'!$AQ$5:$AQ$204,'רווחה - קליטה'!$A$5:$A$204,$A189,'רווחה - קליטה'!$C$5:$C$204,"אמצע שנה"),""))</f>
      </c>
      <c r="F189" s="27">
        <f>IF($A189="","",IFERROR(AVERAGEIFS('רווחה - קליטה'!$AK$5:$AK$204,'רווחה - קליטה'!$A$5:$A$204,$A189,'רווחה - קליטה'!$C$5:$C$204,"אמצע שנה"),""))</f>
      </c>
      <c r="G189" s="26">
        <f>IF($A189="","",IFERROR(INDEX('רווחה - קליטה'!$AS$5:$AS$204,MATCH($A189&amp;"|אמצע שנה",'רווחה - קליטה'!$AE$5:$AE$204,0)),""))</f>
      </c>
      <c r="H189" s="28">
        <f>IF($A189="","",IFERROR(AVERAGEIFS('רווחה - קליטה'!$AQ$5:$AQ$204,'רווחה - קליטה'!$A$5:$A$204,$A189,'רווחה - קליטה'!$C$5:$C$204,"סוף שנה"),""))</f>
      </c>
      <c r="I189" s="27">
        <f>IF($A189="","",IFERROR(AVERAGEIFS('רווחה - קליטה'!$AK$5:$AK$204,'רווחה - קליטה'!$A$5:$A$204,$A189,'רווחה - קליטה'!$C$5:$C$204,"סוף שנה"),""))</f>
      </c>
      <c r="J189" s="26">
        <f>IF($A189="","",IFERROR(INDEX('רווחה - קליטה'!$AS$5:$AS$204,MATCH($A189&amp;"|סוף שנה",'רווחה - קליטה'!$AE$5:$AE$204,0)),""))</f>
      </c>
      <c r="K189" s="36">
        <f>IF(AND(ISNUMBER(B189),ISNUMBER(H189)),H189-B189,"")</f>
      </c>
      <c r="L189" s="26">
        <f>IF(K189="","",IF(K189&gt;=0.5,"עלייה",IF(K189&lt;=-0.5,"ירידה","יציב")))</f>
      </c>
    </row>
    <row r="190" ht="15" customHeight="1" spans="1:12" x14ac:dyDescent="0.25">
      <c r="A190" s="29"/>
      <c r="B190" s="28">
        <f>IF($A190="","",IFERROR(AVERAGEIFS('רווחה - קליטה'!$AQ$5:$AQ$204,'רווחה - קליטה'!$A$5:$A$204,$A190,'רווחה - קליטה'!$C$5:$C$204,"תחילת שנה"),""))</f>
      </c>
      <c r="C190" s="27">
        <f>IF($A190="","",IFERROR(AVERAGEIFS('רווחה - קליטה'!$AK$5:$AK$204,'רווחה - קליטה'!$A$5:$A$204,$A190,'רווחה - קליטה'!$C$5:$C$204,"תחילת שנה"),""))</f>
      </c>
      <c r="D190" s="26">
        <f>IF($A190="","",IFERROR(INDEX('רווחה - קליטה'!$AS$5:$AS$204,MATCH($A190&amp;"|תחילת שנה",'רווחה - קליטה'!$AE$5:$AE$204,0)),""))</f>
      </c>
      <c r="E190" s="28">
        <f>IF($A190="","",IFERROR(AVERAGEIFS('רווחה - קליטה'!$AQ$5:$AQ$204,'רווחה - קליטה'!$A$5:$A$204,$A190,'רווחה - קליטה'!$C$5:$C$204,"אמצע שנה"),""))</f>
      </c>
      <c r="F190" s="27">
        <f>IF($A190="","",IFERROR(AVERAGEIFS('רווחה - קליטה'!$AK$5:$AK$204,'רווחה - קליטה'!$A$5:$A$204,$A190,'רווחה - קליטה'!$C$5:$C$204,"אמצע שנה"),""))</f>
      </c>
      <c r="G190" s="26">
        <f>IF($A190="","",IFERROR(INDEX('רווחה - קליטה'!$AS$5:$AS$204,MATCH($A190&amp;"|אמצע שנה",'רווחה - קליטה'!$AE$5:$AE$204,0)),""))</f>
      </c>
      <c r="H190" s="28">
        <f>IF($A190="","",IFERROR(AVERAGEIFS('רווחה - קליטה'!$AQ$5:$AQ$204,'רווחה - קליטה'!$A$5:$A$204,$A190,'רווחה - קליטה'!$C$5:$C$204,"סוף שנה"),""))</f>
      </c>
      <c r="I190" s="27">
        <f>IF($A190="","",IFERROR(AVERAGEIFS('רווחה - קליטה'!$AK$5:$AK$204,'רווחה - קליטה'!$A$5:$A$204,$A190,'רווחה - קליטה'!$C$5:$C$204,"סוף שנה"),""))</f>
      </c>
      <c r="J190" s="26">
        <f>IF($A190="","",IFERROR(INDEX('רווחה - קליטה'!$AS$5:$AS$204,MATCH($A190&amp;"|סוף שנה",'רווחה - קליטה'!$AE$5:$AE$204,0)),""))</f>
      </c>
      <c r="K190" s="36">
        <f>IF(AND(ISNUMBER(B190),ISNUMBER(H190)),H190-B190,"")</f>
      </c>
      <c r="L190" s="26">
        <f>IF(K190="","",IF(K190&gt;=0.5,"עלייה",IF(K190&lt;=-0.5,"ירידה","יציב")))</f>
      </c>
    </row>
    <row r="191" ht="15" customHeight="1" spans="1:12" x14ac:dyDescent="0.25">
      <c r="A191" s="29"/>
      <c r="B191" s="28">
        <f>IF($A191="","",IFERROR(AVERAGEIFS('רווחה - קליטה'!$AQ$5:$AQ$204,'רווחה - קליטה'!$A$5:$A$204,$A191,'רווחה - קליטה'!$C$5:$C$204,"תחילת שנה"),""))</f>
      </c>
      <c r="C191" s="27">
        <f>IF($A191="","",IFERROR(AVERAGEIFS('רווחה - קליטה'!$AK$5:$AK$204,'רווחה - קליטה'!$A$5:$A$204,$A191,'רווחה - קליטה'!$C$5:$C$204,"תחילת שנה"),""))</f>
      </c>
      <c r="D191" s="26">
        <f>IF($A191="","",IFERROR(INDEX('רווחה - קליטה'!$AS$5:$AS$204,MATCH($A191&amp;"|תחילת שנה",'רווחה - קליטה'!$AE$5:$AE$204,0)),""))</f>
      </c>
      <c r="E191" s="28">
        <f>IF($A191="","",IFERROR(AVERAGEIFS('רווחה - קליטה'!$AQ$5:$AQ$204,'רווחה - קליטה'!$A$5:$A$204,$A191,'רווחה - קליטה'!$C$5:$C$204,"אמצע שנה"),""))</f>
      </c>
      <c r="F191" s="27">
        <f>IF($A191="","",IFERROR(AVERAGEIFS('רווחה - קליטה'!$AK$5:$AK$204,'רווחה - קליטה'!$A$5:$A$204,$A191,'רווחה - קליטה'!$C$5:$C$204,"אמצע שנה"),""))</f>
      </c>
      <c r="G191" s="26">
        <f>IF($A191="","",IFERROR(INDEX('רווחה - קליטה'!$AS$5:$AS$204,MATCH($A191&amp;"|אמצע שנה",'רווחה - קליטה'!$AE$5:$AE$204,0)),""))</f>
      </c>
      <c r="H191" s="28">
        <f>IF($A191="","",IFERROR(AVERAGEIFS('רווחה - קליטה'!$AQ$5:$AQ$204,'רווחה - קליטה'!$A$5:$A$204,$A191,'רווחה - קליטה'!$C$5:$C$204,"סוף שנה"),""))</f>
      </c>
      <c r="I191" s="27">
        <f>IF($A191="","",IFERROR(AVERAGEIFS('רווחה - קליטה'!$AK$5:$AK$204,'רווחה - קליטה'!$A$5:$A$204,$A191,'רווחה - קליטה'!$C$5:$C$204,"סוף שנה"),""))</f>
      </c>
      <c r="J191" s="26">
        <f>IF($A191="","",IFERROR(INDEX('רווחה - קליטה'!$AS$5:$AS$204,MATCH($A191&amp;"|סוף שנה",'רווחה - קליטה'!$AE$5:$AE$204,0)),""))</f>
      </c>
      <c r="K191" s="36">
        <f>IF(AND(ISNUMBER(B191),ISNUMBER(H191)),H191-B191,"")</f>
      </c>
      <c r="L191" s="26">
        <f>IF(K191="","",IF(K191&gt;=0.5,"עלייה",IF(K191&lt;=-0.5,"ירידה","יציב")))</f>
      </c>
    </row>
    <row r="192" ht="15" customHeight="1" spans="1:12" x14ac:dyDescent="0.25">
      <c r="A192" s="29"/>
      <c r="B192" s="28">
        <f>IF($A192="","",IFERROR(AVERAGEIFS('רווחה - קליטה'!$AQ$5:$AQ$204,'רווחה - קליטה'!$A$5:$A$204,$A192,'רווחה - קליטה'!$C$5:$C$204,"תחילת שנה"),""))</f>
      </c>
      <c r="C192" s="27">
        <f>IF($A192="","",IFERROR(AVERAGEIFS('רווחה - קליטה'!$AK$5:$AK$204,'רווחה - קליטה'!$A$5:$A$204,$A192,'רווחה - קליטה'!$C$5:$C$204,"תחילת שנה"),""))</f>
      </c>
      <c r="D192" s="26">
        <f>IF($A192="","",IFERROR(INDEX('רווחה - קליטה'!$AS$5:$AS$204,MATCH($A192&amp;"|תחילת שנה",'רווחה - קליטה'!$AE$5:$AE$204,0)),""))</f>
      </c>
      <c r="E192" s="28">
        <f>IF($A192="","",IFERROR(AVERAGEIFS('רווחה - קליטה'!$AQ$5:$AQ$204,'רווחה - קליטה'!$A$5:$A$204,$A192,'רווחה - קליטה'!$C$5:$C$204,"אמצע שנה"),""))</f>
      </c>
      <c r="F192" s="27">
        <f>IF($A192="","",IFERROR(AVERAGEIFS('רווחה - קליטה'!$AK$5:$AK$204,'רווחה - קליטה'!$A$5:$A$204,$A192,'רווחה - קליטה'!$C$5:$C$204,"אמצע שנה"),""))</f>
      </c>
      <c r="G192" s="26">
        <f>IF($A192="","",IFERROR(INDEX('רווחה - קליטה'!$AS$5:$AS$204,MATCH($A192&amp;"|אמצע שנה",'רווחה - קליטה'!$AE$5:$AE$204,0)),""))</f>
      </c>
      <c r="H192" s="28">
        <f>IF($A192="","",IFERROR(AVERAGEIFS('רווחה - קליטה'!$AQ$5:$AQ$204,'רווחה - קליטה'!$A$5:$A$204,$A192,'רווחה - קליטה'!$C$5:$C$204,"סוף שנה"),""))</f>
      </c>
      <c r="I192" s="27">
        <f>IF($A192="","",IFERROR(AVERAGEIFS('רווחה - קליטה'!$AK$5:$AK$204,'רווחה - קליטה'!$A$5:$A$204,$A192,'רווחה - קליטה'!$C$5:$C$204,"סוף שנה"),""))</f>
      </c>
      <c r="J192" s="26">
        <f>IF($A192="","",IFERROR(INDEX('רווחה - קליטה'!$AS$5:$AS$204,MATCH($A192&amp;"|סוף שנה",'רווחה - קליטה'!$AE$5:$AE$204,0)),""))</f>
      </c>
      <c r="K192" s="36">
        <f>IF(AND(ISNUMBER(B192),ISNUMBER(H192)),H192-B192,"")</f>
      </c>
      <c r="L192" s="26">
        <f>IF(K192="","",IF(K192&gt;=0.5,"עלייה",IF(K192&lt;=-0.5,"ירידה","יציב")))</f>
      </c>
    </row>
    <row r="193" ht="15" customHeight="1" spans="1:12" x14ac:dyDescent="0.25">
      <c r="A193" s="29"/>
      <c r="B193" s="28">
        <f>IF($A193="","",IFERROR(AVERAGEIFS('רווחה - קליטה'!$AQ$5:$AQ$204,'רווחה - קליטה'!$A$5:$A$204,$A193,'רווחה - קליטה'!$C$5:$C$204,"תחילת שנה"),""))</f>
      </c>
      <c r="C193" s="27">
        <f>IF($A193="","",IFERROR(AVERAGEIFS('רווחה - קליטה'!$AK$5:$AK$204,'רווחה - קליטה'!$A$5:$A$204,$A193,'רווחה - קליטה'!$C$5:$C$204,"תחילת שנה"),""))</f>
      </c>
      <c r="D193" s="26">
        <f>IF($A193="","",IFERROR(INDEX('רווחה - קליטה'!$AS$5:$AS$204,MATCH($A193&amp;"|תחילת שנה",'רווחה - קליטה'!$AE$5:$AE$204,0)),""))</f>
      </c>
      <c r="E193" s="28">
        <f>IF($A193="","",IFERROR(AVERAGEIFS('רווחה - קליטה'!$AQ$5:$AQ$204,'רווחה - קליטה'!$A$5:$A$204,$A193,'רווחה - קליטה'!$C$5:$C$204,"אמצע שנה"),""))</f>
      </c>
      <c r="F193" s="27">
        <f>IF($A193="","",IFERROR(AVERAGEIFS('רווחה - קליטה'!$AK$5:$AK$204,'רווחה - קליטה'!$A$5:$A$204,$A193,'רווחה - קליטה'!$C$5:$C$204,"אמצע שנה"),""))</f>
      </c>
      <c r="G193" s="26">
        <f>IF($A193="","",IFERROR(INDEX('רווחה - קליטה'!$AS$5:$AS$204,MATCH($A193&amp;"|אמצע שנה",'רווחה - קליטה'!$AE$5:$AE$204,0)),""))</f>
      </c>
      <c r="H193" s="28">
        <f>IF($A193="","",IFERROR(AVERAGEIFS('רווחה - קליטה'!$AQ$5:$AQ$204,'רווחה - קליטה'!$A$5:$A$204,$A193,'רווחה - קליטה'!$C$5:$C$204,"סוף שנה"),""))</f>
      </c>
      <c r="I193" s="27">
        <f>IF($A193="","",IFERROR(AVERAGEIFS('רווחה - קליטה'!$AK$5:$AK$204,'רווחה - קליטה'!$A$5:$A$204,$A193,'רווחה - קליטה'!$C$5:$C$204,"סוף שנה"),""))</f>
      </c>
      <c r="J193" s="26">
        <f>IF($A193="","",IFERROR(INDEX('רווחה - קליטה'!$AS$5:$AS$204,MATCH($A193&amp;"|סוף שנה",'רווחה - קליטה'!$AE$5:$AE$204,0)),""))</f>
      </c>
      <c r="K193" s="36">
        <f>IF(AND(ISNUMBER(B193),ISNUMBER(H193)),H193-B193,"")</f>
      </c>
      <c r="L193" s="26">
        <f>IF(K193="","",IF(K193&gt;=0.5,"עלייה",IF(K193&lt;=-0.5,"ירידה","יציב")))</f>
      </c>
    </row>
    <row r="194" ht="15" customHeight="1" spans="1:12" x14ac:dyDescent="0.25">
      <c r="A194" s="29"/>
      <c r="B194" s="28">
        <f>IF($A194="","",IFERROR(AVERAGEIFS('רווחה - קליטה'!$AQ$5:$AQ$204,'רווחה - קליטה'!$A$5:$A$204,$A194,'רווחה - קליטה'!$C$5:$C$204,"תחילת שנה"),""))</f>
      </c>
      <c r="C194" s="27">
        <f>IF($A194="","",IFERROR(AVERAGEIFS('רווחה - קליטה'!$AK$5:$AK$204,'רווחה - קליטה'!$A$5:$A$204,$A194,'רווחה - קליטה'!$C$5:$C$204,"תחילת שנה"),""))</f>
      </c>
      <c r="D194" s="26">
        <f>IF($A194="","",IFERROR(INDEX('רווחה - קליטה'!$AS$5:$AS$204,MATCH($A194&amp;"|תחילת שנה",'רווחה - קליטה'!$AE$5:$AE$204,0)),""))</f>
      </c>
      <c r="E194" s="28">
        <f>IF($A194="","",IFERROR(AVERAGEIFS('רווחה - קליטה'!$AQ$5:$AQ$204,'רווחה - קליטה'!$A$5:$A$204,$A194,'רווחה - קליטה'!$C$5:$C$204,"אמצע שנה"),""))</f>
      </c>
      <c r="F194" s="27">
        <f>IF($A194="","",IFERROR(AVERAGEIFS('רווחה - קליטה'!$AK$5:$AK$204,'רווחה - קליטה'!$A$5:$A$204,$A194,'רווחה - קליטה'!$C$5:$C$204,"אמצע שנה"),""))</f>
      </c>
      <c r="G194" s="26">
        <f>IF($A194="","",IFERROR(INDEX('רווחה - קליטה'!$AS$5:$AS$204,MATCH($A194&amp;"|אמצע שנה",'רווחה - קליטה'!$AE$5:$AE$204,0)),""))</f>
      </c>
      <c r="H194" s="28">
        <f>IF($A194="","",IFERROR(AVERAGEIFS('רווחה - קליטה'!$AQ$5:$AQ$204,'רווחה - קליטה'!$A$5:$A$204,$A194,'רווחה - קליטה'!$C$5:$C$204,"סוף שנה"),""))</f>
      </c>
      <c r="I194" s="27">
        <f>IF($A194="","",IFERROR(AVERAGEIFS('רווחה - קליטה'!$AK$5:$AK$204,'רווחה - קליטה'!$A$5:$A$204,$A194,'רווחה - קליטה'!$C$5:$C$204,"סוף שנה"),""))</f>
      </c>
      <c r="J194" s="26">
        <f>IF($A194="","",IFERROR(INDEX('רווחה - קליטה'!$AS$5:$AS$204,MATCH($A194&amp;"|סוף שנה",'רווחה - קליטה'!$AE$5:$AE$204,0)),""))</f>
      </c>
      <c r="K194" s="36">
        <f>IF(AND(ISNUMBER(B194),ISNUMBER(H194)),H194-B194,"")</f>
      </c>
      <c r="L194" s="26">
        <f>IF(K194="","",IF(K194&gt;=0.5,"עלייה",IF(K194&lt;=-0.5,"ירידה","יציב")))</f>
      </c>
    </row>
    <row r="195" ht="15" customHeight="1" spans="1:12" x14ac:dyDescent="0.25">
      <c r="A195" s="29"/>
      <c r="B195" s="28">
        <f>IF($A195="","",IFERROR(AVERAGEIFS('רווחה - קליטה'!$AQ$5:$AQ$204,'רווחה - קליטה'!$A$5:$A$204,$A195,'רווחה - קליטה'!$C$5:$C$204,"תחילת שנה"),""))</f>
      </c>
      <c r="C195" s="27">
        <f>IF($A195="","",IFERROR(AVERAGEIFS('רווחה - קליטה'!$AK$5:$AK$204,'רווחה - קליטה'!$A$5:$A$204,$A195,'רווחה - קליטה'!$C$5:$C$204,"תחילת שנה"),""))</f>
      </c>
      <c r="D195" s="26">
        <f>IF($A195="","",IFERROR(INDEX('רווחה - קליטה'!$AS$5:$AS$204,MATCH($A195&amp;"|תחילת שנה",'רווחה - קליטה'!$AE$5:$AE$204,0)),""))</f>
      </c>
      <c r="E195" s="28">
        <f>IF($A195="","",IFERROR(AVERAGEIFS('רווחה - קליטה'!$AQ$5:$AQ$204,'רווחה - קליטה'!$A$5:$A$204,$A195,'רווחה - קליטה'!$C$5:$C$204,"אמצע שנה"),""))</f>
      </c>
      <c r="F195" s="27">
        <f>IF($A195="","",IFERROR(AVERAGEIFS('רווחה - קליטה'!$AK$5:$AK$204,'רווחה - קליטה'!$A$5:$A$204,$A195,'רווחה - קליטה'!$C$5:$C$204,"אמצע שנה"),""))</f>
      </c>
      <c r="G195" s="26">
        <f>IF($A195="","",IFERROR(INDEX('רווחה - קליטה'!$AS$5:$AS$204,MATCH($A195&amp;"|אמצע שנה",'רווחה - קליטה'!$AE$5:$AE$204,0)),""))</f>
      </c>
      <c r="H195" s="28">
        <f>IF($A195="","",IFERROR(AVERAGEIFS('רווחה - קליטה'!$AQ$5:$AQ$204,'רווחה - קליטה'!$A$5:$A$204,$A195,'רווחה - קליטה'!$C$5:$C$204,"סוף שנה"),""))</f>
      </c>
      <c r="I195" s="27">
        <f>IF($A195="","",IFERROR(AVERAGEIFS('רווחה - קליטה'!$AK$5:$AK$204,'רווחה - קליטה'!$A$5:$A$204,$A195,'רווחה - קליטה'!$C$5:$C$204,"סוף שנה"),""))</f>
      </c>
      <c r="J195" s="26">
        <f>IF($A195="","",IFERROR(INDEX('רווחה - קליטה'!$AS$5:$AS$204,MATCH($A195&amp;"|סוף שנה",'רווחה - קליטה'!$AE$5:$AE$204,0)),""))</f>
      </c>
      <c r="K195" s="36">
        <f>IF(AND(ISNUMBER(B195),ISNUMBER(H195)),H195-B195,"")</f>
      </c>
      <c r="L195" s="26">
        <f>IF(K195="","",IF(K195&gt;=0.5,"עלייה",IF(K195&lt;=-0.5,"ירידה","יציב")))</f>
      </c>
    </row>
    <row r="196" ht="15" customHeight="1" spans="1:12" x14ac:dyDescent="0.25">
      <c r="A196" s="29"/>
      <c r="B196" s="28">
        <f>IF($A196="","",IFERROR(AVERAGEIFS('רווחה - קליטה'!$AQ$5:$AQ$204,'רווחה - קליטה'!$A$5:$A$204,$A196,'רווחה - קליטה'!$C$5:$C$204,"תחילת שנה"),""))</f>
      </c>
      <c r="C196" s="27">
        <f>IF($A196="","",IFERROR(AVERAGEIFS('רווחה - קליטה'!$AK$5:$AK$204,'רווחה - קליטה'!$A$5:$A$204,$A196,'רווחה - קליטה'!$C$5:$C$204,"תחילת שנה"),""))</f>
      </c>
      <c r="D196" s="26">
        <f>IF($A196="","",IFERROR(INDEX('רווחה - קליטה'!$AS$5:$AS$204,MATCH($A196&amp;"|תחילת שנה",'רווחה - קליטה'!$AE$5:$AE$204,0)),""))</f>
      </c>
      <c r="E196" s="28">
        <f>IF($A196="","",IFERROR(AVERAGEIFS('רווחה - קליטה'!$AQ$5:$AQ$204,'רווחה - קליטה'!$A$5:$A$204,$A196,'רווחה - קליטה'!$C$5:$C$204,"אמצע שנה"),""))</f>
      </c>
      <c r="F196" s="27">
        <f>IF($A196="","",IFERROR(AVERAGEIFS('רווחה - קליטה'!$AK$5:$AK$204,'רווחה - קליטה'!$A$5:$A$204,$A196,'רווחה - קליטה'!$C$5:$C$204,"אמצע שנה"),""))</f>
      </c>
      <c r="G196" s="26">
        <f>IF($A196="","",IFERROR(INDEX('רווחה - קליטה'!$AS$5:$AS$204,MATCH($A196&amp;"|אמצע שנה",'רווחה - קליטה'!$AE$5:$AE$204,0)),""))</f>
      </c>
      <c r="H196" s="28">
        <f>IF($A196="","",IFERROR(AVERAGEIFS('רווחה - קליטה'!$AQ$5:$AQ$204,'רווחה - קליטה'!$A$5:$A$204,$A196,'רווחה - קליטה'!$C$5:$C$204,"סוף שנה"),""))</f>
      </c>
      <c r="I196" s="27">
        <f>IF($A196="","",IFERROR(AVERAGEIFS('רווחה - קליטה'!$AK$5:$AK$204,'רווחה - קליטה'!$A$5:$A$204,$A196,'רווחה - קליטה'!$C$5:$C$204,"סוף שנה"),""))</f>
      </c>
      <c r="J196" s="26">
        <f>IF($A196="","",IFERROR(INDEX('רווחה - קליטה'!$AS$5:$AS$204,MATCH($A196&amp;"|סוף שנה",'רווחה - קליטה'!$AE$5:$AE$204,0)),""))</f>
      </c>
      <c r="K196" s="36">
        <f>IF(AND(ISNUMBER(B196),ISNUMBER(H196)),H196-B196,"")</f>
      </c>
      <c r="L196" s="26">
        <f>IF(K196="","",IF(K196&gt;=0.5,"עלייה",IF(K196&lt;=-0.5,"ירידה","יציב")))</f>
      </c>
    </row>
    <row r="197" ht="15" customHeight="1" spans="1:12" x14ac:dyDescent="0.25">
      <c r="A197" s="29"/>
      <c r="B197" s="28">
        <f>IF($A197="","",IFERROR(AVERAGEIFS('רווחה - קליטה'!$AQ$5:$AQ$204,'רווחה - קליטה'!$A$5:$A$204,$A197,'רווחה - קליטה'!$C$5:$C$204,"תחילת שנה"),""))</f>
      </c>
      <c r="C197" s="27">
        <f>IF($A197="","",IFERROR(AVERAGEIFS('רווחה - קליטה'!$AK$5:$AK$204,'רווחה - קליטה'!$A$5:$A$204,$A197,'רווחה - קליטה'!$C$5:$C$204,"תחילת שנה"),""))</f>
      </c>
      <c r="D197" s="26">
        <f>IF($A197="","",IFERROR(INDEX('רווחה - קליטה'!$AS$5:$AS$204,MATCH($A197&amp;"|תחילת שנה",'רווחה - קליטה'!$AE$5:$AE$204,0)),""))</f>
      </c>
      <c r="E197" s="28">
        <f>IF($A197="","",IFERROR(AVERAGEIFS('רווחה - קליטה'!$AQ$5:$AQ$204,'רווחה - קליטה'!$A$5:$A$204,$A197,'רווחה - קליטה'!$C$5:$C$204,"אמצע שנה"),""))</f>
      </c>
      <c r="F197" s="27">
        <f>IF($A197="","",IFERROR(AVERAGEIFS('רווחה - קליטה'!$AK$5:$AK$204,'רווחה - קליטה'!$A$5:$A$204,$A197,'רווחה - קליטה'!$C$5:$C$204,"אמצע שנה"),""))</f>
      </c>
      <c r="G197" s="26">
        <f>IF($A197="","",IFERROR(INDEX('רווחה - קליטה'!$AS$5:$AS$204,MATCH($A197&amp;"|אמצע שנה",'רווחה - קליטה'!$AE$5:$AE$204,0)),""))</f>
      </c>
      <c r="H197" s="28">
        <f>IF($A197="","",IFERROR(AVERAGEIFS('רווחה - קליטה'!$AQ$5:$AQ$204,'רווחה - קליטה'!$A$5:$A$204,$A197,'רווחה - קליטה'!$C$5:$C$204,"סוף שנה"),""))</f>
      </c>
      <c r="I197" s="27">
        <f>IF($A197="","",IFERROR(AVERAGEIFS('רווחה - קליטה'!$AK$5:$AK$204,'רווחה - קליטה'!$A$5:$A$204,$A197,'רווחה - קליטה'!$C$5:$C$204,"סוף שנה"),""))</f>
      </c>
      <c r="J197" s="26">
        <f>IF($A197="","",IFERROR(INDEX('רווחה - קליטה'!$AS$5:$AS$204,MATCH($A197&amp;"|סוף שנה",'רווחה - קליטה'!$AE$5:$AE$204,0)),""))</f>
      </c>
      <c r="K197" s="36">
        <f>IF(AND(ISNUMBER(B197),ISNUMBER(H197)),H197-B197,"")</f>
      </c>
      <c r="L197" s="26">
        <f>IF(K197="","",IF(K197&gt;=0.5,"עלייה",IF(K197&lt;=-0.5,"ירידה","יציב")))</f>
      </c>
    </row>
    <row r="198" ht="15" customHeight="1" spans="1:12" x14ac:dyDescent="0.25">
      <c r="A198" s="29"/>
      <c r="B198" s="28">
        <f>IF($A198="","",IFERROR(AVERAGEIFS('רווחה - קליטה'!$AQ$5:$AQ$204,'רווחה - קליטה'!$A$5:$A$204,$A198,'רווחה - קליטה'!$C$5:$C$204,"תחילת שנה"),""))</f>
      </c>
      <c r="C198" s="27">
        <f>IF($A198="","",IFERROR(AVERAGEIFS('רווחה - קליטה'!$AK$5:$AK$204,'רווחה - קליטה'!$A$5:$A$204,$A198,'רווחה - קליטה'!$C$5:$C$204,"תחילת שנה"),""))</f>
      </c>
      <c r="D198" s="26">
        <f>IF($A198="","",IFERROR(INDEX('רווחה - קליטה'!$AS$5:$AS$204,MATCH($A198&amp;"|תחילת שנה",'רווחה - קליטה'!$AE$5:$AE$204,0)),""))</f>
      </c>
      <c r="E198" s="28">
        <f>IF($A198="","",IFERROR(AVERAGEIFS('רווחה - קליטה'!$AQ$5:$AQ$204,'רווחה - קליטה'!$A$5:$A$204,$A198,'רווחה - קליטה'!$C$5:$C$204,"אמצע שנה"),""))</f>
      </c>
      <c r="F198" s="27">
        <f>IF($A198="","",IFERROR(AVERAGEIFS('רווחה - קליטה'!$AK$5:$AK$204,'רווחה - קליטה'!$A$5:$A$204,$A198,'רווחה - קליטה'!$C$5:$C$204,"אמצע שנה"),""))</f>
      </c>
      <c r="G198" s="26">
        <f>IF($A198="","",IFERROR(INDEX('רווחה - קליטה'!$AS$5:$AS$204,MATCH($A198&amp;"|אמצע שנה",'רווחה - קליטה'!$AE$5:$AE$204,0)),""))</f>
      </c>
      <c r="H198" s="28">
        <f>IF($A198="","",IFERROR(AVERAGEIFS('רווחה - קליטה'!$AQ$5:$AQ$204,'רווחה - קליטה'!$A$5:$A$204,$A198,'רווחה - קליטה'!$C$5:$C$204,"סוף שנה"),""))</f>
      </c>
      <c r="I198" s="27">
        <f>IF($A198="","",IFERROR(AVERAGEIFS('רווחה - קליטה'!$AK$5:$AK$204,'רווחה - קליטה'!$A$5:$A$204,$A198,'רווחה - קליטה'!$C$5:$C$204,"סוף שנה"),""))</f>
      </c>
      <c r="J198" s="26">
        <f>IF($A198="","",IFERROR(INDEX('רווחה - קליטה'!$AS$5:$AS$204,MATCH($A198&amp;"|סוף שנה",'רווחה - קליטה'!$AE$5:$AE$204,0)),""))</f>
      </c>
      <c r="K198" s="36">
        <f>IF(AND(ISNUMBER(B198),ISNUMBER(H198)),H198-B198,"")</f>
      </c>
      <c r="L198" s="26">
        <f>IF(K198="","",IF(K198&gt;=0.5,"עלייה",IF(K198&lt;=-0.5,"ירידה","יציב")))</f>
      </c>
    </row>
    <row r="199" ht="15" customHeight="1" spans="1:12" x14ac:dyDescent="0.25">
      <c r="A199" s="29"/>
      <c r="B199" s="28">
        <f>IF($A199="","",IFERROR(AVERAGEIFS('רווחה - קליטה'!$AQ$5:$AQ$204,'רווחה - קליטה'!$A$5:$A$204,$A199,'רווחה - קליטה'!$C$5:$C$204,"תחילת שנה"),""))</f>
      </c>
      <c r="C199" s="27">
        <f>IF($A199="","",IFERROR(AVERAGEIFS('רווחה - קליטה'!$AK$5:$AK$204,'רווחה - קליטה'!$A$5:$A$204,$A199,'רווחה - קליטה'!$C$5:$C$204,"תחילת שנה"),""))</f>
      </c>
      <c r="D199" s="26">
        <f>IF($A199="","",IFERROR(INDEX('רווחה - קליטה'!$AS$5:$AS$204,MATCH($A199&amp;"|תחילת שנה",'רווחה - קליטה'!$AE$5:$AE$204,0)),""))</f>
      </c>
      <c r="E199" s="28">
        <f>IF($A199="","",IFERROR(AVERAGEIFS('רווחה - קליטה'!$AQ$5:$AQ$204,'רווחה - קליטה'!$A$5:$A$204,$A199,'רווחה - קליטה'!$C$5:$C$204,"אמצע שנה"),""))</f>
      </c>
      <c r="F199" s="27">
        <f>IF($A199="","",IFERROR(AVERAGEIFS('רווחה - קליטה'!$AK$5:$AK$204,'רווחה - קליטה'!$A$5:$A$204,$A199,'רווחה - קליטה'!$C$5:$C$204,"אמצע שנה"),""))</f>
      </c>
      <c r="G199" s="26">
        <f>IF($A199="","",IFERROR(INDEX('רווחה - קליטה'!$AS$5:$AS$204,MATCH($A199&amp;"|אמצע שנה",'רווחה - קליטה'!$AE$5:$AE$204,0)),""))</f>
      </c>
      <c r="H199" s="28">
        <f>IF($A199="","",IFERROR(AVERAGEIFS('רווחה - קליטה'!$AQ$5:$AQ$204,'רווחה - קליטה'!$A$5:$A$204,$A199,'רווחה - קליטה'!$C$5:$C$204,"סוף שנה"),""))</f>
      </c>
      <c r="I199" s="27">
        <f>IF($A199="","",IFERROR(AVERAGEIFS('רווחה - קליטה'!$AK$5:$AK$204,'רווחה - קליטה'!$A$5:$A$204,$A199,'רווחה - קליטה'!$C$5:$C$204,"סוף שנה"),""))</f>
      </c>
      <c r="J199" s="26">
        <f>IF($A199="","",IFERROR(INDEX('רווחה - קליטה'!$AS$5:$AS$204,MATCH($A199&amp;"|סוף שנה",'רווחה - קליטה'!$AE$5:$AE$204,0)),""))</f>
      </c>
      <c r="K199" s="36">
        <f>IF(AND(ISNUMBER(B199),ISNUMBER(H199)),H199-B199,"")</f>
      </c>
      <c r="L199" s="26">
        <f>IF(K199="","",IF(K199&gt;=0.5,"עלייה",IF(K199&lt;=-0.5,"ירידה","יציב")))</f>
      </c>
    </row>
    <row r="200" ht="15" customHeight="1" spans="1:12" x14ac:dyDescent="0.25">
      <c r="A200" s="29"/>
      <c r="B200" s="28">
        <f>IF($A200="","",IFERROR(AVERAGEIFS('רווחה - קליטה'!$AQ$5:$AQ$204,'רווחה - קליטה'!$A$5:$A$204,$A200,'רווחה - קליטה'!$C$5:$C$204,"תחילת שנה"),""))</f>
      </c>
      <c r="C200" s="27">
        <f>IF($A200="","",IFERROR(AVERAGEIFS('רווחה - קליטה'!$AK$5:$AK$204,'רווחה - קליטה'!$A$5:$A$204,$A200,'רווחה - קליטה'!$C$5:$C$204,"תחילת שנה"),""))</f>
      </c>
      <c r="D200" s="26">
        <f>IF($A200="","",IFERROR(INDEX('רווחה - קליטה'!$AS$5:$AS$204,MATCH($A200&amp;"|תחילת שנה",'רווחה - קליטה'!$AE$5:$AE$204,0)),""))</f>
      </c>
      <c r="E200" s="28">
        <f>IF($A200="","",IFERROR(AVERAGEIFS('רווחה - קליטה'!$AQ$5:$AQ$204,'רווחה - קליטה'!$A$5:$A$204,$A200,'רווחה - קליטה'!$C$5:$C$204,"אמצע שנה"),""))</f>
      </c>
      <c r="F200" s="27">
        <f>IF($A200="","",IFERROR(AVERAGEIFS('רווחה - קליטה'!$AK$5:$AK$204,'רווחה - קליטה'!$A$5:$A$204,$A200,'רווחה - קליטה'!$C$5:$C$204,"אמצע שנה"),""))</f>
      </c>
      <c r="G200" s="26">
        <f>IF($A200="","",IFERROR(INDEX('רווחה - קליטה'!$AS$5:$AS$204,MATCH($A200&amp;"|אמצע שנה",'רווחה - קליטה'!$AE$5:$AE$204,0)),""))</f>
      </c>
      <c r="H200" s="28">
        <f>IF($A200="","",IFERROR(AVERAGEIFS('רווחה - קליטה'!$AQ$5:$AQ$204,'רווחה - קליטה'!$A$5:$A$204,$A200,'רווחה - קליטה'!$C$5:$C$204,"סוף שנה"),""))</f>
      </c>
      <c r="I200" s="27">
        <f>IF($A200="","",IFERROR(AVERAGEIFS('רווחה - קליטה'!$AK$5:$AK$204,'רווחה - קליטה'!$A$5:$A$204,$A200,'רווחה - קליטה'!$C$5:$C$204,"סוף שנה"),""))</f>
      </c>
      <c r="J200" s="26">
        <f>IF($A200="","",IFERROR(INDEX('רווחה - קליטה'!$AS$5:$AS$204,MATCH($A200&amp;"|סוף שנה",'רווחה - קליטה'!$AE$5:$AE$204,0)),""))</f>
      </c>
      <c r="K200" s="36">
        <f>IF(AND(ISNUMBER(B200),ISNUMBER(H200)),H200-B200,"")</f>
      </c>
      <c r="L200" s="26">
        <f>IF(K200="","",IF(K200&gt;=0.5,"עלייה",IF(K200&lt;=-0.5,"ירידה","יציב")))</f>
      </c>
    </row>
    <row r="201" ht="15" customHeight="1" spans="1:12" x14ac:dyDescent="0.25">
      <c r="A201" s="29"/>
      <c r="B201" s="28">
        <f>IF($A201="","",IFERROR(AVERAGEIFS('רווחה - קליטה'!$AQ$5:$AQ$204,'רווחה - קליטה'!$A$5:$A$204,$A201,'רווחה - קליטה'!$C$5:$C$204,"תחילת שנה"),""))</f>
      </c>
      <c r="C201" s="27">
        <f>IF($A201="","",IFERROR(AVERAGEIFS('רווחה - קליטה'!$AK$5:$AK$204,'רווחה - קליטה'!$A$5:$A$204,$A201,'רווחה - קליטה'!$C$5:$C$204,"תחילת שנה"),""))</f>
      </c>
      <c r="D201" s="26">
        <f>IF($A201="","",IFERROR(INDEX('רווחה - קליטה'!$AS$5:$AS$204,MATCH($A201&amp;"|תחילת שנה",'רווחה - קליטה'!$AE$5:$AE$204,0)),""))</f>
      </c>
      <c r="E201" s="28">
        <f>IF($A201="","",IFERROR(AVERAGEIFS('רווחה - קליטה'!$AQ$5:$AQ$204,'רווחה - קליטה'!$A$5:$A$204,$A201,'רווחה - קליטה'!$C$5:$C$204,"אמצע שנה"),""))</f>
      </c>
      <c r="F201" s="27">
        <f>IF($A201="","",IFERROR(AVERAGEIFS('רווחה - קליטה'!$AK$5:$AK$204,'רווחה - קליטה'!$A$5:$A$204,$A201,'רווחה - קליטה'!$C$5:$C$204,"אמצע שנה"),""))</f>
      </c>
      <c r="G201" s="26">
        <f>IF($A201="","",IFERROR(INDEX('רווחה - קליטה'!$AS$5:$AS$204,MATCH($A201&amp;"|אמצע שנה",'רווחה - קליטה'!$AE$5:$AE$204,0)),""))</f>
      </c>
      <c r="H201" s="28">
        <f>IF($A201="","",IFERROR(AVERAGEIFS('רווחה - קליטה'!$AQ$5:$AQ$204,'רווחה - קליטה'!$A$5:$A$204,$A201,'רווחה - קליטה'!$C$5:$C$204,"סוף שנה"),""))</f>
      </c>
      <c r="I201" s="27">
        <f>IF($A201="","",IFERROR(AVERAGEIFS('רווחה - קליטה'!$AK$5:$AK$204,'רווחה - קליטה'!$A$5:$A$204,$A201,'רווחה - קליטה'!$C$5:$C$204,"סוף שנה"),""))</f>
      </c>
      <c r="J201" s="26">
        <f>IF($A201="","",IFERROR(INDEX('רווחה - קליטה'!$AS$5:$AS$204,MATCH($A201&amp;"|סוף שנה",'רווחה - קליטה'!$AE$5:$AE$204,0)),""))</f>
      </c>
      <c r="K201" s="36">
        <f>IF(AND(ISNUMBER(B201),ISNUMBER(H201)),H201-B201,"")</f>
      </c>
      <c r="L201" s="26">
        <f>IF(K201="","",IF(K201&gt;=0.5,"עלייה",IF(K201&lt;=-0.5,"ירידה","יציב")))</f>
      </c>
    </row>
    <row r="202" ht="15" customHeight="1" spans="1:12" x14ac:dyDescent="0.25">
      <c r="A202" s="29"/>
      <c r="B202" s="28">
        <f>IF($A202="","",IFERROR(AVERAGEIFS('רווחה - קליטה'!$AQ$5:$AQ$204,'רווחה - קליטה'!$A$5:$A$204,$A202,'רווחה - קליטה'!$C$5:$C$204,"תחילת שנה"),""))</f>
      </c>
      <c r="C202" s="27">
        <f>IF($A202="","",IFERROR(AVERAGEIFS('רווחה - קליטה'!$AK$5:$AK$204,'רווחה - קליטה'!$A$5:$A$204,$A202,'רווחה - קליטה'!$C$5:$C$204,"תחילת שנה"),""))</f>
      </c>
      <c r="D202" s="26">
        <f>IF($A202="","",IFERROR(INDEX('רווחה - קליטה'!$AS$5:$AS$204,MATCH($A202&amp;"|תחילת שנה",'רווחה - קליטה'!$AE$5:$AE$204,0)),""))</f>
      </c>
      <c r="E202" s="28">
        <f>IF($A202="","",IFERROR(AVERAGEIFS('רווחה - קליטה'!$AQ$5:$AQ$204,'רווחה - קליטה'!$A$5:$A$204,$A202,'רווחה - קליטה'!$C$5:$C$204,"אמצע שנה"),""))</f>
      </c>
      <c r="F202" s="27">
        <f>IF($A202="","",IFERROR(AVERAGEIFS('רווחה - קליטה'!$AK$5:$AK$204,'רווחה - קליטה'!$A$5:$A$204,$A202,'רווחה - קליטה'!$C$5:$C$204,"אמצע שנה"),""))</f>
      </c>
      <c r="G202" s="26">
        <f>IF($A202="","",IFERROR(INDEX('רווחה - קליטה'!$AS$5:$AS$204,MATCH($A202&amp;"|אמצע שנה",'רווחה - קליטה'!$AE$5:$AE$204,0)),""))</f>
      </c>
      <c r="H202" s="28">
        <f>IF($A202="","",IFERROR(AVERAGEIFS('רווחה - קליטה'!$AQ$5:$AQ$204,'רווחה - קליטה'!$A$5:$A$204,$A202,'רווחה - קליטה'!$C$5:$C$204,"סוף שנה"),""))</f>
      </c>
      <c r="I202" s="27">
        <f>IF($A202="","",IFERROR(AVERAGEIFS('רווחה - קליטה'!$AK$5:$AK$204,'רווחה - קליטה'!$A$5:$A$204,$A202,'רווחה - קליטה'!$C$5:$C$204,"סוף שנה"),""))</f>
      </c>
      <c r="J202" s="26">
        <f>IF($A202="","",IFERROR(INDEX('רווחה - קליטה'!$AS$5:$AS$204,MATCH($A202&amp;"|סוף שנה",'רווחה - קליטה'!$AE$5:$AE$204,0)),""))</f>
      </c>
      <c r="K202" s="36">
        <f>IF(AND(ISNUMBER(B202),ISNUMBER(H202)),H202-B202,"")</f>
      </c>
      <c r="L202" s="26">
        <f>IF(K202="","",IF(K202&gt;=0.5,"עלייה",IF(K202&lt;=-0.5,"ירידה","יציב")))</f>
      </c>
    </row>
    <row r="203" ht="15" customHeight="1" spans="1:12" x14ac:dyDescent="0.25">
      <c r="A203" s="29"/>
      <c r="B203" s="28">
        <f>IF($A203="","",IFERROR(AVERAGEIFS('רווחה - קליטה'!$AQ$5:$AQ$204,'רווחה - קליטה'!$A$5:$A$204,$A203,'רווחה - קליטה'!$C$5:$C$204,"תחילת שנה"),""))</f>
      </c>
      <c r="C203" s="27">
        <f>IF($A203="","",IFERROR(AVERAGEIFS('רווחה - קליטה'!$AK$5:$AK$204,'רווחה - קליטה'!$A$5:$A$204,$A203,'רווחה - קליטה'!$C$5:$C$204,"תחילת שנה"),""))</f>
      </c>
      <c r="D203" s="26">
        <f>IF($A203="","",IFERROR(INDEX('רווחה - קליטה'!$AS$5:$AS$204,MATCH($A203&amp;"|תחילת שנה",'רווחה - קליטה'!$AE$5:$AE$204,0)),""))</f>
      </c>
      <c r="E203" s="28">
        <f>IF($A203="","",IFERROR(AVERAGEIFS('רווחה - קליטה'!$AQ$5:$AQ$204,'רווחה - קליטה'!$A$5:$A$204,$A203,'רווחה - קליטה'!$C$5:$C$204,"אמצע שנה"),""))</f>
      </c>
      <c r="F203" s="27">
        <f>IF($A203="","",IFERROR(AVERAGEIFS('רווחה - קליטה'!$AK$5:$AK$204,'רווחה - קליטה'!$A$5:$A$204,$A203,'רווחה - קליטה'!$C$5:$C$204,"אמצע שנה"),""))</f>
      </c>
      <c r="G203" s="26">
        <f>IF($A203="","",IFERROR(INDEX('רווחה - קליטה'!$AS$5:$AS$204,MATCH($A203&amp;"|אמצע שנה",'רווחה - קליטה'!$AE$5:$AE$204,0)),""))</f>
      </c>
      <c r="H203" s="28">
        <f>IF($A203="","",IFERROR(AVERAGEIFS('רווחה - קליטה'!$AQ$5:$AQ$204,'רווחה - קליטה'!$A$5:$A$204,$A203,'רווחה - קליטה'!$C$5:$C$204,"סוף שנה"),""))</f>
      </c>
      <c r="I203" s="27">
        <f>IF($A203="","",IFERROR(AVERAGEIFS('רווחה - קליטה'!$AK$5:$AK$204,'רווחה - קליטה'!$A$5:$A$204,$A203,'רווחה - קליטה'!$C$5:$C$204,"סוף שנה"),""))</f>
      </c>
      <c r="J203" s="26">
        <f>IF($A203="","",IFERROR(INDEX('רווחה - קליטה'!$AS$5:$AS$204,MATCH($A203&amp;"|סוף שנה",'רווחה - קליטה'!$AE$5:$AE$204,0)),""))</f>
      </c>
      <c r="K203" s="36">
        <f>IF(AND(ISNUMBER(B203),ISNUMBER(H203)),H203-B203,"")</f>
      </c>
      <c r="L203" s="26">
        <f>IF(K203="","",IF(K203&gt;=0.5,"עלייה",IF(K203&lt;=-0.5,"ירידה","יציב")))</f>
      </c>
    </row>
    <row r="204" ht="15" customHeight="1" spans="1:12" x14ac:dyDescent="0.25">
      <c r="A204" s="29"/>
      <c r="B204" s="28">
        <f>IF($A204="","",IFERROR(AVERAGEIFS('רווחה - קליטה'!$AQ$5:$AQ$204,'רווחה - קליטה'!$A$5:$A$204,$A204,'רווחה - קליטה'!$C$5:$C$204,"תחילת שנה"),""))</f>
      </c>
      <c r="C204" s="27">
        <f>IF($A204="","",IFERROR(AVERAGEIFS('רווחה - קליטה'!$AK$5:$AK$204,'רווחה - קליטה'!$A$5:$A$204,$A204,'רווחה - קליטה'!$C$5:$C$204,"תחילת שנה"),""))</f>
      </c>
      <c r="D204" s="26">
        <f>IF($A204="","",IFERROR(INDEX('רווחה - קליטה'!$AS$5:$AS$204,MATCH($A204&amp;"|תחילת שנה",'רווחה - קליטה'!$AE$5:$AE$204,0)),""))</f>
      </c>
      <c r="E204" s="28">
        <f>IF($A204="","",IFERROR(AVERAGEIFS('רווחה - קליטה'!$AQ$5:$AQ$204,'רווחה - קליטה'!$A$5:$A$204,$A204,'רווחה - קליטה'!$C$5:$C$204,"אמצע שנה"),""))</f>
      </c>
      <c r="F204" s="27">
        <f>IF($A204="","",IFERROR(AVERAGEIFS('רווחה - קליטה'!$AK$5:$AK$204,'רווחה - קליטה'!$A$5:$A$204,$A204,'רווחה - קליטה'!$C$5:$C$204,"אמצע שנה"),""))</f>
      </c>
      <c r="G204" s="26">
        <f>IF($A204="","",IFERROR(INDEX('רווחה - קליטה'!$AS$5:$AS$204,MATCH($A204&amp;"|אמצע שנה",'רווחה - קליטה'!$AE$5:$AE$204,0)),""))</f>
      </c>
      <c r="H204" s="28">
        <f>IF($A204="","",IFERROR(AVERAGEIFS('רווחה - קליטה'!$AQ$5:$AQ$204,'רווחה - קליטה'!$A$5:$A$204,$A204,'רווחה - קליטה'!$C$5:$C$204,"סוף שנה"),""))</f>
      </c>
      <c r="I204" s="27">
        <f>IF($A204="","",IFERROR(AVERAGEIFS('רווחה - קליטה'!$AK$5:$AK$204,'רווחה - קליטה'!$A$5:$A$204,$A204,'רווחה - קליטה'!$C$5:$C$204,"סוף שנה"),""))</f>
      </c>
      <c r="J204" s="26">
        <f>IF($A204="","",IFERROR(INDEX('רווחה - קליטה'!$AS$5:$AS$204,MATCH($A204&amp;"|סוף שנה",'רווחה - קליטה'!$AE$5:$AE$204,0)),""))</f>
      </c>
      <c r="K204" s="36">
        <f>IF(AND(ISNUMBER(B204),ISNUMBER(H204)),H204-B204,"")</f>
      </c>
      <c r="L204" s="26">
        <f>IF(K204="","",IF(K204&gt;=0.5,"עלייה",IF(K204&lt;=-0.5,"ירידה","יציב")))</f>
      </c>
    </row>
  </sheetData>
  <mergeCells count="4">
    <mergeCell ref="B3:D3"/>
    <mergeCell ref="E3:G3"/>
    <mergeCell ref="H3:J3"/>
    <mergeCell ref="K3:L3"/>
  </mergeCells>
  <conditionalFormatting sqref="L5:L204">
    <cfRule type="cellIs" dxfId="2" priority="2" operator="equal">
      <formula>"עלייה"</formula>
    </cfRule>
    <cfRule type="cellIs" dxfId="3" priority="3" operator="equal">
      <formula>"ירידה"</formula>
    </cfRule>
  </conditionalFormatting>
  <conditionalFormatting sqref="B5:B204">
    <cfRule type="colorScale" priority="4">
      <colorScale>
        <cfvo type="num" val="1"/>
        <cfvo type="num" val="2"/>
        <cfvo type="num" val="3"/>
        <color rgb="FFF9B5B8"/>
        <color rgb="FFFFE07A"/>
        <color rgb="FF8FD19E"/>
      </colorScale>
    </cfRule>
  </conditionalFormatting>
  <conditionalFormatting sqref="E5:E204">
    <cfRule type="colorScale" priority="5">
      <colorScale>
        <cfvo type="num" val="1"/>
        <cfvo type="num" val="2"/>
        <cfvo type="num" val="3"/>
        <color rgb="FFF9B5B8"/>
        <color rgb="FFFFE07A"/>
        <color rgb="FF8FD19E"/>
      </colorScale>
    </cfRule>
  </conditionalFormatting>
  <conditionalFormatting sqref="H5:H204">
    <cfRule type="colorScale" priority="6">
      <colorScale>
        <cfvo type="num" val="1"/>
        <cfvo type="num" val="2"/>
        <cfvo type="num" val="3"/>
        <color rgb="FFF9B5B8"/>
        <color rgb="FFFFE07A"/>
        <color rgb="FF8FD19E"/>
      </colorScale>
    </cfRule>
  </conditionalFormatting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2295A"/>
  </sheetPr>
  <dimension ref="A1:L204"/>
  <sheetViews>
    <sheetView workbookViewId="0" zoomScale="100" zoomScaleNormal="100" view="normal">
      <pane xSplit="1" ySplit="4" topLeftCell="B5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1" width="18" customWidth="1"/>
    <col min="2" max="10" width="13" customWidth="1"/>
    <col min="11" max="11" width="14" customWidth="1"/>
    <col min="12" max="12" width="12" customWidth="1"/>
  </cols>
  <sheetData>
    <row r="1" ht="19.7" customHeight="1" spans="1:1" x14ac:dyDescent="0.25">
      <c r="A1" s="10" t="s">
        <v>140</v>
      </c>
    </row>
    <row r="2" ht="15" customHeight="1" spans="1:1" x14ac:dyDescent="0.25">
      <c r="A2" s="11" t="s">
        <v>141</v>
      </c>
    </row>
    <row r="3" ht="15" customHeight="1" spans="2:12" x14ac:dyDescent="0.25">
      <c r="B3" s="14" t="s">
        <v>93</v>
      </c>
      <c r="C3" s="14"/>
      <c r="D3" s="14"/>
      <c r="E3" s="15" t="s">
        <v>133</v>
      </c>
      <c r="F3" s="15"/>
      <c r="G3" s="15"/>
      <c r="H3" s="35" t="s">
        <v>134</v>
      </c>
      <c r="I3" s="35"/>
      <c r="J3" s="35"/>
      <c r="K3" s="16" t="s">
        <v>135</v>
      </c>
      <c r="L3" s="16"/>
    </row>
    <row r="4" ht="57.75" customHeight="1" spans="1:12" x14ac:dyDescent="0.25">
      <c r="A4" s="17" t="s">
        <v>48</v>
      </c>
      <c r="B4" s="19" t="s">
        <v>142</v>
      </c>
      <c r="C4" s="19" t="s">
        <v>103</v>
      </c>
      <c r="D4" s="19" t="s">
        <v>28</v>
      </c>
      <c r="E4" s="20" t="s">
        <v>142</v>
      </c>
      <c r="F4" s="20" t="s">
        <v>103</v>
      </c>
      <c r="G4" s="20" t="s">
        <v>28</v>
      </c>
      <c r="H4" s="22" t="s">
        <v>142</v>
      </c>
      <c r="I4" s="22" t="s">
        <v>103</v>
      </c>
      <c r="J4" s="22" t="s">
        <v>28</v>
      </c>
      <c r="K4" s="24" t="s">
        <v>138</v>
      </c>
      <c r="L4" s="24" t="s">
        <v>139</v>
      </c>
    </row>
    <row r="5" ht="15" customHeight="1" spans="1:12" x14ac:dyDescent="0.25">
      <c r="A5" s="25" t="s">
        <v>91</v>
      </c>
      <c r="B5" s="37">
        <f>IF($A5="","",IFERROR(INDEX('זה אני - קליטה'!$AG$5:$AG$204,MATCH($A5&amp;"|תחילת שנה",'זה אני - קליטה'!$Z$5:$Z$204,0)),""))</f>
        <v>1</v>
      </c>
      <c r="C5" s="26" t="str">
        <f>IF($A5="","",IFERROR(INDEX('זה אני - קליטה'!$AA$5:$AA$204,MATCH($A5&amp;"|תחילת שנה",'זה אני - קליטה'!$Z$5:$Z$204,0)),""))</f>
        <v>מלא</v>
      </c>
      <c r="D5" s="27">
        <f>IF($A5="","",IFERROR(INDEX('זה אני - קליטה'!$AC$5:$AC$204,MATCH($A5&amp;"|תחילת שנה",'זה אני - קליטה'!$Z$5:$Z$204,0)),""))</f>
        <v>0.5</v>
      </c>
      <c r="E5" s="37">
        <f>IF($A5="","",IFERROR(INDEX('זה אני - קליטה'!$AG$5:$AG$204,MATCH($A5&amp;"|אמצע שנה",'זה אני - קליטה'!$Z$5:$Z$204,0)),""))</f>
      </c>
      <c r="F5" s="26">
        <f>IF($A5="","",IFERROR(INDEX('זה אני - קליטה'!$AA$5:$AA$204,MATCH($A5&amp;"|אמצע שנה",'זה אני - קליטה'!$Z$5:$Z$204,0)),""))</f>
      </c>
      <c r="G5" s="27">
        <f>IF($A5="","",IFERROR(INDEX('זה אני - קליטה'!$AC$5:$AC$204,MATCH($A5&amp;"|אמצע שנה",'זה אני - קליטה'!$Z$5:$Z$204,0)),""))</f>
      </c>
      <c r="H5" s="37">
        <f>IF($A5="","",IFERROR(INDEX('זה אני - קליטה'!$AG$5:$AG$204,MATCH($A5&amp;"|סוף שנה",'זה אני - קליטה'!$Z$5:$Z$204,0)),""))</f>
      </c>
      <c r="I5" s="26">
        <f>IF($A5="","",IFERROR(INDEX('זה אני - קליטה'!$AA$5:$AA$204,MATCH($A5&amp;"|סוף שנה",'זה אני - קליטה'!$Z$5:$Z$204,0)),""))</f>
      </c>
      <c r="J5" s="27">
        <f>IF($A5="","",IFERROR(INDEX('זה אני - קליטה'!$AC$5:$AC$204,MATCH($A5&amp;"|סוף שנה",'זה אני - קליטה'!$Z$5:$Z$204,0)),""))</f>
      </c>
      <c r="K5" s="36">
        <f>IF(AND(ISNUMBER(B5),ISNUMBER(H5)),H5-B5,"")</f>
      </c>
      <c r="L5" s="26">
        <f>IF(K5="","",IF(K5&gt;=1,"עלייה",IF(K5&lt;=-1,"ירידה","יציב")))</f>
      </c>
    </row>
    <row r="6" ht="15" customHeight="1" spans="1:12" x14ac:dyDescent="0.25">
      <c r="A6" s="29"/>
      <c r="B6" s="37">
        <f>IF($A6="","",IFERROR(INDEX('זה אני - קליטה'!$AG$5:$AG$204,MATCH($A6&amp;"|תחילת שנה",'זה אני - קליטה'!$Z$5:$Z$204,0)),""))</f>
      </c>
      <c r="C6" s="26">
        <f>IF($A6="","",IFERROR(INDEX('זה אני - קליטה'!$AA$5:$AA$204,MATCH($A6&amp;"|תחילת שנה",'זה אני - קליטה'!$Z$5:$Z$204,0)),""))</f>
      </c>
      <c r="D6" s="27">
        <f>IF($A6="","",IFERROR(INDEX('זה אני - קליטה'!$AC$5:$AC$204,MATCH($A6&amp;"|תחילת שנה",'זה אני - קליטה'!$Z$5:$Z$204,0)),""))</f>
      </c>
      <c r="E6" s="37">
        <f>IF($A6="","",IFERROR(INDEX('זה אני - קליטה'!$AG$5:$AG$204,MATCH($A6&amp;"|אמצע שנה",'זה אני - קליטה'!$Z$5:$Z$204,0)),""))</f>
      </c>
      <c r="F6" s="26">
        <f>IF($A6="","",IFERROR(INDEX('זה אני - קליטה'!$AA$5:$AA$204,MATCH($A6&amp;"|אמצע שנה",'זה אני - קליטה'!$Z$5:$Z$204,0)),""))</f>
      </c>
      <c r="G6" s="27">
        <f>IF($A6="","",IFERROR(INDEX('זה אני - קליטה'!$AC$5:$AC$204,MATCH($A6&amp;"|אמצע שנה",'זה אני - קליטה'!$Z$5:$Z$204,0)),""))</f>
      </c>
      <c r="H6" s="37">
        <f>IF($A6="","",IFERROR(INDEX('זה אני - קליטה'!$AG$5:$AG$204,MATCH($A6&amp;"|סוף שנה",'זה אני - קליטה'!$Z$5:$Z$204,0)),""))</f>
      </c>
      <c r="I6" s="26">
        <f>IF($A6="","",IFERROR(INDEX('זה אני - קליטה'!$AA$5:$AA$204,MATCH($A6&amp;"|סוף שנה",'זה אני - קליטה'!$Z$5:$Z$204,0)),""))</f>
      </c>
      <c r="J6" s="27">
        <f>IF($A6="","",IFERROR(INDEX('זה אני - קליטה'!$AC$5:$AC$204,MATCH($A6&amp;"|סוף שנה",'זה אני - קליטה'!$Z$5:$Z$204,0)),""))</f>
      </c>
      <c r="K6" s="36">
        <f>IF(AND(ISNUMBER(B6),ISNUMBER(H6)),H6-B6,"")</f>
      </c>
      <c r="L6" s="26">
        <f>IF(K6="","",IF(K6&gt;=1,"עלייה",IF(K6&lt;=-1,"ירידה","יציב")))</f>
      </c>
    </row>
    <row r="7" ht="15" customHeight="1" spans="1:12" x14ac:dyDescent="0.25">
      <c r="A7" s="29"/>
      <c r="B7" s="37">
        <f>IF($A7="","",IFERROR(INDEX('זה אני - קליטה'!$AG$5:$AG$204,MATCH($A7&amp;"|תחילת שנה",'זה אני - קליטה'!$Z$5:$Z$204,0)),""))</f>
      </c>
      <c r="C7" s="26">
        <f>IF($A7="","",IFERROR(INDEX('זה אני - קליטה'!$AA$5:$AA$204,MATCH($A7&amp;"|תחילת שנה",'זה אני - קליטה'!$Z$5:$Z$204,0)),""))</f>
      </c>
      <c r="D7" s="27">
        <f>IF($A7="","",IFERROR(INDEX('זה אני - קליטה'!$AC$5:$AC$204,MATCH($A7&amp;"|תחילת שנה",'זה אני - קליטה'!$Z$5:$Z$204,0)),""))</f>
      </c>
      <c r="E7" s="37">
        <f>IF($A7="","",IFERROR(INDEX('זה אני - קליטה'!$AG$5:$AG$204,MATCH($A7&amp;"|אמצע שנה",'זה אני - קליטה'!$Z$5:$Z$204,0)),""))</f>
      </c>
      <c r="F7" s="26">
        <f>IF($A7="","",IFERROR(INDEX('זה אני - קליטה'!$AA$5:$AA$204,MATCH($A7&amp;"|אמצע שנה",'זה אני - קליטה'!$Z$5:$Z$204,0)),""))</f>
      </c>
      <c r="G7" s="27">
        <f>IF($A7="","",IFERROR(INDEX('זה אני - קליטה'!$AC$5:$AC$204,MATCH($A7&amp;"|אמצע שנה",'זה אני - קליטה'!$Z$5:$Z$204,0)),""))</f>
      </c>
      <c r="H7" s="37">
        <f>IF($A7="","",IFERROR(INDEX('זה אני - קליטה'!$AG$5:$AG$204,MATCH($A7&amp;"|סוף שנה",'זה אני - קליטה'!$Z$5:$Z$204,0)),""))</f>
      </c>
      <c r="I7" s="26">
        <f>IF($A7="","",IFERROR(INDEX('זה אני - קליטה'!$AA$5:$AA$204,MATCH($A7&amp;"|סוף שנה",'זה אני - קליטה'!$Z$5:$Z$204,0)),""))</f>
      </c>
      <c r="J7" s="27">
        <f>IF($A7="","",IFERROR(INDEX('זה אני - קליטה'!$AC$5:$AC$204,MATCH($A7&amp;"|סוף שנה",'זה אני - קליטה'!$Z$5:$Z$204,0)),""))</f>
      </c>
      <c r="K7" s="36">
        <f>IF(AND(ISNUMBER(B7),ISNUMBER(H7)),H7-B7,"")</f>
      </c>
      <c r="L7" s="26">
        <f>IF(K7="","",IF(K7&gt;=1,"עלייה",IF(K7&lt;=-1,"ירידה","יציב")))</f>
      </c>
    </row>
    <row r="8" ht="15" customHeight="1" spans="1:12" x14ac:dyDescent="0.25">
      <c r="A8" s="29"/>
      <c r="B8" s="37">
        <f>IF($A8="","",IFERROR(INDEX('זה אני - קליטה'!$AG$5:$AG$204,MATCH($A8&amp;"|תחילת שנה",'זה אני - קליטה'!$Z$5:$Z$204,0)),""))</f>
      </c>
      <c r="C8" s="26">
        <f>IF($A8="","",IFERROR(INDEX('זה אני - קליטה'!$AA$5:$AA$204,MATCH($A8&amp;"|תחילת שנה",'זה אני - קליטה'!$Z$5:$Z$204,0)),""))</f>
      </c>
      <c r="D8" s="27">
        <f>IF($A8="","",IFERROR(INDEX('זה אני - קליטה'!$AC$5:$AC$204,MATCH($A8&amp;"|תחילת שנה",'זה אני - קליטה'!$Z$5:$Z$204,0)),""))</f>
      </c>
      <c r="E8" s="37">
        <f>IF($A8="","",IFERROR(INDEX('זה אני - קליטה'!$AG$5:$AG$204,MATCH($A8&amp;"|אמצע שנה",'זה אני - קליטה'!$Z$5:$Z$204,0)),""))</f>
      </c>
      <c r="F8" s="26">
        <f>IF($A8="","",IFERROR(INDEX('זה אני - קליטה'!$AA$5:$AA$204,MATCH($A8&amp;"|אמצע שנה",'זה אני - קליטה'!$Z$5:$Z$204,0)),""))</f>
      </c>
      <c r="G8" s="27">
        <f>IF($A8="","",IFERROR(INDEX('זה אני - קליטה'!$AC$5:$AC$204,MATCH($A8&amp;"|אמצע שנה",'זה אני - קליטה'!$Z$5:$Z$204,0)),""))</f>
      </c>
      <c r="H8" s="37">
        <f>IF($A8="","",IFERROR(INDEX('זה אני - קליטה'!$AG$5:$AG$204,MATCH($A8&amp;"|סוף שנה",'זה אני - קליטה'!$Z$5:$Z$204,0)),""))</f>
      </c>
      <c r="I8" s="26">
        <f>IF($A8="","",IFERROR(INDEX('זה אני - קליטה'!$AA$5:$AA$204,MATCH($A8&amp;"|סוף שנה",'זה אני - קליטה'!$Z$5:$Z$204,0)),""))</f>
      </c>
      <c r="J8" s="27">
        <f>IF($A8="","",IFERROR(INDEX('זה אני - קליטה'!$AC$5:$AC$204,MATCH($A8&amp;"|סוף שנה",'זה אני - קליטה'!$Z$5:$Z$204,0)),""))</f>
      </c>
      <c r="K8" s="36">
        <f>IF(AND(ISNUMBER(B8),ISNUMBER(H8)),H8-B8,"")</f>
      </c>
      <c r="L8" s="26">
        <f>IF(K8="","",IF(K8&gt;=1,"עלייה",IF(K8&lt;=-1,"ירידה","יציב")))</f>
      </c>
    </row>
    <row r="9" ht="15" customHeight="1" spans="1:12" x14ac:dyDescent="0.25">
      <c r="A9" s="29"/>
      <c r="B9" s="37">
        <f>IF($A9="","",IFERROR(INDEX('זה אני - קליטה'!$AG$5:$AG$204,MATCH($A9&amp;"|תחילת שנה",'זה אני - קליטה'!$Z$5:$Z$204,0)),""))</f>
      </c>
      <c r="C9" s="26">
        <f>IF($A9="","",IFERROR(INDEX('זה אני - קליטה'!$AA$5:$AA$204,MATCH($A9&amp;"|תחילת שנה",'זה אני - קליטה'!$Z$5:$Z$204,0)),""))</f>
      </c>
      <c r="D9" s="27">
        <f>IF($A9="","",IFERROR(INDEX('זה אני - קליטה'!$AC$5:$AC$204,MATCH($A9&amp;"|תחילת שנה",'זה אני - קליטה'!$Z$5:$Z$204,0)),""))</f>
      </c>
      <c r="E9" s="37">
        <f>IF($A9="","",IFERROR(INDEX('זה אני - קליטה'!$AG$5:$AG$204,MATCH($A9&amp;"|אמצע שנה",'זה אני - קליטה'!$Z$5:$Z$204,0)),""))</f>
      </c>
      <c r="F9" s="26">
        <f>IF($A9="","",IFERROR(INDEX('זה אני - קליטה'!$AA$5:$AA$204,MATCH($A9&amp;"|אמצע שנה",'זה אני - קליטה'!$Z$5:$Z$204,0)),""))</f>
      </c>
      <c r="G9" s="27">
        <f>IF($A9="","",IFERROR(INDEX('זה אני - קליטה'!$AC$5:$AC$204,MATCH($A9&amp;"|אמצע שנה",'זה אני - קליטה'!$Z$5:$Z$204,0)),""))</f>
      </c>
      <c r="H9" s="37">
        <f>IF($A9="","",IFERROR(INDEX('זה אני - קליטה'!$AG$5:$AG$204,MATCH($A9&amp;"|סוף שנה",'זה אני - קליטה'!$Z$5:$Z$204,0)),""))</f>
      </c>
      <c r="I9" s="26">
        <f>IF($A9="","",IFERROR(INDEX('זה אני - קליטה'!$AA$5:$AA$204,MATCH($A9&amp;"|סוף שנה",'זה אני - קליטה'!$Z$5:$Z$204,0)),""))</f>
      </c>
      <c r="J9" s="27">
        <f>IF($A9="","",IFERROR(INDEX('זה אני - קליטה'!$AC$5:$AC$204,MATCH($A9&amp;"|סוף שנה",'זה אני - קליטה'!$Z$5:$Z$204,0)),""))</f>
      </c>
      <c r="K9" s="36">
        <f>IF(AND(ISNUMBER(B9),ISNUMBER(H9)),H9-B9,"")</f>
      </c>
      <c r="L9" s="26">
        <f>IF(K9="","",IF(K9&gt;=1,"עלייה",IF(K9&lt;=-1,"ירידה","יציב")))</f>
      </c>
    </row>
    <row r="10" ht="15" customHeight="1" spans="1:12" x14ac:dyDescent="0.25">
      <c r="A10" s="29"/>
      <c r="B10" s="37">
        <f>IF($A10="","",IFERROR(INDEX('זה אני - קליטה'!$AG$5:$AG$204,MATCH($A10&amp;"|תחילת שנה",'זה אני - קליטה'!$Z$5:$Z$204,0)),""))</f>
      </c>
      <c r="C10" s="26">
        <f>IF($A10="","",IFERROR(INDEX('זה אני - קליטה'!$AA$5:$AA$204,MATCH($A10&amp;"|תחילת שנה",'זה אני - קליטה'!$Z$5:$Z$204,0)),""))</f>
      </c>
      <c r="D10" s="27">
        <f>IF($A10="","",IFERROR(INDEX('זה אני - קליטה'!$AC$5:$AC$204,MATCH($A10&amp;"|תחילת שנה",'זה אני - קליטה'!$Z$5:$Z$204,0)),""))</f>
      </c>
      <c r="E10" s="37">
        <f>IF($A10="","",IFERROR(INDEX('זה אני - קליטה'!$AG$5:$AG$204,MATCH($A10&amp;"|אמצע שנה",'זה אני - קליטה'!$Z$5:$Z$204,0)),""))</f>
      </c>
      <c r="F10" s="26">
        <f>IF($A10="","",IFERROR(INDEX('זה אני - קליטה'!$AA$5:$AA$204,MATCH($A10&amp;"|אמצע שנה",'זה אני - קליטה'!$Z$5:$Z$204,0)),""))</f>
      </c>
      <c r="G10" s="27">
        <f>IF($A10="","",IFERROR(INDEX('זה אני - קליטה'!$AC$5:$AC$204,MATCH($A10&amp;"|אמצע שנה",'זה אני - קליטה'!$Z$5:$Z$204,0)),""))</f>
      </c>
      <c r="H10" s="37">
        <f>IF($A10="","",IFERROR(INDEX('זה אני - קליטה'!$AG$5:$AG$204,MATCH($A10&amp;"|סוף שנה",'זה אני - קליטה'!$Z$5:$Z$204,0)),""))</f>
      </c>
      <c r="I10" s="26">
        <f>IF($A10="","",IFERROR(INDEX('זה אני - קליטה'!$AA$5:$AA$204,MATCH($A10&amp;"|סוף שנה",'זה אני - קליטה'!$Z$5:$Z$204,0)),""))</f>
      </c>
      <c r="J10" s="27">
        <f>IF($A10="","",IFERROR(INDEX('זה אני - קליטה'!$AC$5:$AC$204,MATCH($A10&amp;"|סוף שנה",'זה אני - קליטה'!$Z$5:$Z$204,0)),""))</f>
      </c>
      <c r="K10" s="36">
        <f>IF(AND(ISNUMBER(B10),ISNUMBER(H10)),H10-B10,"")</f>
      </c>
      <c r="L10" s="26">
        <f>IF(K10="","",IF(K10&gt;=1,"עלייה",IF(K10&lt;=-1,"ירידה","יציב")))</f>
      </c>
    </row>
    <row r="11" ht="15" customHeight="1" spans="1:12" x14ac:dyDescent="0.25">
      <c r="A11" s="29"/>
      <c r="B11" s="37">
        <f>IF($A11="","",IFERROR(INDEX('זה אני - קליטה'!$AG$5:$AG$204,MATCH($A11&amp;"|תחילת שנה",'זה אני - קליטה'!$Z$5:$Z$204,0)),""))</f>
      </c>
      <c r="C11" s="26">
        <f>IF($A11="","",IFERROR(INDEX('זה אני - קליטה'!$AA$5:$AA$204,MATCH($A11&amp;"|תחילת שנה",'זה אני - קליטה'!$Z$5:$Z$204,0)),""))</f>
      </c>
      <c r="D11" s="27">
        <f>IF($A11="","",IFERROR(INDEX('זה אני - קליטה'!$AC$5:$AC$204,MATCH($A11&amp;"|תחילת שנה",'זה אני - קליטה'!$Z$5:$Z$204,0)),""))</f>
      </c>
      <c r="E11" s="37">
        <f>IF($A11="","",IFERROR(INDEX('זה אני - קליטה'!$AG$5:$AG$204,MATCH($A11&amp;"|אמצע שנה",'זה אני - קליטה'!$Z$5:$Z$204,0)),""))</f>
      </c>
      <c r="F11" s="26">
        <f>IF($A11="","",IFERROR(INDEX('זה אני - קליטה'!$AA$5:$AA$204,MATCH($A11&amp;"|אמצע שנה",'זה אני - קליטה'!$Z$5:$Z$204,0)),""))</f>
      </c>
      <c r="G11" s="27">
        <f>IF($A11="","",IFERROR(INDEX('זה אני - קליטה'!$AC$5:$AC$204,MATCH($A11&amp;"|אמצע שנה",'זה אני - קליטה'!$Z$5:$Z$204,0)),""))</f>
      </c>
      <c r="H11" s="37">
        <f>IF($A11="","",IFERROR(INDEX('זה אני - קליטה'!$AG$5:$AG$204,MATCH($A11&amp;"|סוף שנה",'זה אני - קליטה'!$Z$5:$Z$204,0)),""))</f>
      </c>
      <c r="I11" s="26">
        <f>IF($A11="","",IFERROR(INDEX('זה אני - קליטה'!$AA$5:$AA$204,MATCH($A11&amp;"|סוף שנה",'זה אני - קליטה'!$Z$5:$Z$204,0)),""))</f>
      </c>
      <c r="J11" s="27">
        <f>IF($A11="","",IFERROR(INDEX('זה אני - קליטה'!$AC$5:$AC$204,MATCH($A11&amp;"|סוף שנה",'זה אני - קליטה'!$Z$5:$Z$204,0)),""))</f>
      </c>
      <c r="K11" s="36">
        <f>IF(AND(ISNUMBER(B11),ISNUMBER(H11)),H11-B11,"")</f>
      </c>
      <c r="L11" s="26">
        <f>IF(K11="","",IF(K11&gt;=1,"עלייה",IF(K11&lt;=-1,"ירידה","יציב")))</f>
      </c>
    </row>
    <row r="12" ht="15" customHeight="1" spans="1:12" x14ac:dyDescent="0.25">
      <c r="A12" s="29"/>
      <c r="B12" s="37">
        <f>IF($A12="","",IFERROR(INDEX('זה אני - קליטה'!$AG$5:$AG$204,MATCH($A12&amp;"|תחילת שנה",'זה אני - קליטה'!$Z$5:$Z$204,0)),""))</f>
      </c>
      <c r="C12" s="26">
        <f>IF($A12="","",IFERROR(INDEX('זה אני - קליטה'!$AA$5:$AA$204,MATCH($A12&amp;"|תחילת שנה",'זה אני - קליטה'!$Z$5:$Z$204,0)),""))</f>
      </c>
      <c r="D12" s="27">
        <f>IF($A12="","",IFERROR(INDEX('זה אני - קליטה'!$AC$5:$AC$204,MATCH($A12&amp;"|תחילת שנה",'זה אני - קליטה'!$Z$5:$Z$204,0)),""))</f>
      </c>
      <c r="E12" s="37">
        <f>IF($A12="","",IFERROR(INDEX('זה אני - קליטה'!$AG$5:$AG$204,MATCH($A12&amp;"|אמצע שנה",'זה אני - קליטה'!$Z$5:$Z$204,0)),""))</f>
      </c>
      <c r="F12" s="26">
        <f>IF($A12="","",IFERROR(INDEX('זה אני - קליטה'!$AA$5:$AA$204,MATCH($A12&amp;"|אמצע שנה",'זה אני - קליטה'!$Z$5:$Z$204,0)),""))</f>
      </c>
      <c r="G12" s="27">
        <f>IF($A12="","",IFERROR(INDEX('זה אני - קליטה'!$AC$5:$AC$204,MATCH($A12&amp;"|אמצע שנה",'זה אני - קליטה'!$Z$5:$Z$204,0)),""))</f>
      </c>
      <c r="H12" s="37">
        <f>IF($A12="","",IFERROR(INDEX('זה אני - קליטה'!$AG$5:$AG$204,MATCH($A12&amp;"|סוף שנה",'זה אני - קליטה'!$Z$5:$Z$204,0)),""))</f>
      </c>
      <c r="I12" s="26">
        <f>IF($A12="","",IFERROR(INDEX('זה אני - קליטה'!$AA$5:$AA$204,MATCH($A12&amp;"|סוף שנה",'זה אני - קליטה'!$Z$5:$Z$204,0)),""))</f>
      </c>
      <c r="J12" s="27">
        <f>IF($A12="","",IFERROR(INDEX('זה אני - קליטה'!$AC$5:$AC$204,MATCH($A12&amp;"|סוף שנה",'זה אני - קליטה'!$Z$5:$Z$204,0)),""))</f>
      </c>
      <c r="K12" s="36">
        <f>IF(AND(ISNUMBER(B12),ISNUMBER(H12)),H12-B12,"")</f>
      </c>
      <c r="L12" s="26">
        <f>IF(K12="","",IF(K12&gt;=1,"עלייה",IF(K12&lt;=-1,"ירידה","יציב")))</f>
      </c>
    </row>
    <row r="13" ht="15" customHeight="1" spans="1:12" x14ac:dyDescent="0.25">
      <c r="A13" s="29"/>
      <c r="B13" s="37">
        <f>IF($A13="","",IFERROR(INDEX('זה אני - קליטה'!$AG$5:$AG$204,MATCH($A13&amp;"|תחילת שנה",'זה אני - קליטה'!$Z$5:$Z$204,0)),""))</f>
      </c>
      <c r="C13" s="26">
        <f>IF($A13="","",IFERROR(INDEX('זה אני - קליטה'!$AA$5:$AA$204,MATCH($A13&amp;"|תחילת שנה",'זה אני - קליטה'!$Z$5:$Z$204,0)),""))</f>
      </c>
      <c r="D13" s="27">
        <f>IF($A13="","",IFERROR(INDEX('זה אני - קליטה'!$AC$5:$AC$204,MATCH($A13&amp;"|תחילת שנה",'זה אני - קליטה'!$Z$5:$Z$204,0)),""))</f>
      </c>
      <c r="E13" s="37">
        <f>IF($A13="","",IFERROR(INDEX('זה אני - קליטה'!$AG$5:$AG$204,MATCH($A13&amp;"|אמצע שנה",'זה אני - קליטה'!$Z$5:$Z$204,0)),""))</f>
      </c>
      <c r="F13" s="26">
        <f>IF($A13="","",IFERROR(INDEX('זה אני - קליטה'!$AA$5:$AA$204,MATCH($A13&amp;"|אמצע שנה",'זה אני - קליטה'!$Z$5:$Z$204,0)),""))</f>
      </c>
      <c r="G13" s="27">
        <f>IF($A13="","",IFERROR(INDEX('זה אני - קליטה'!$AC$5:$AC$204,MATCH($A13&amp;"|אמצע שנה",'זה אני - קליטה'!$Z$5:$Z$204,0)),""))</f>
      </c>
      <c r="H13" s="37">
        <f>IF($A13="","",IFERROR(INDEX('זה אני - קליטה'!$AG$5:$AG$204,MATCH($A13&amp;"|סוף שנה",'זה אני - קליטה'!$Z$5:$Z$204,0)),""))</f>
      </c>
      <c r="I13" s="26">
        <f>IF($A13="","",IFERROR(INDEX('זה אני - קליטה'!$AA$5:$AA$204,MATCH($A13&amp;"|סוף שנה",'זה אני - קליטה'!$Z$5:$Z$204,0)),""))</f>
      </c>
      <c r="J13" s="27">
        <f>IF($A13="","",IFERROR(INDEX('זה אני - קליטה'!$AC$5:$AC$204,MATCH($A13&amp;"|סוף שנה",'זה אני - קליטה'!$Z$5:$Z$204,0)),""))</f>
      </c>
      <c r="K13" s="36">
        <f>IF(AND(ISNUMBER(B13),ISNUMBER(H13)),H13-B13,"")</f>
      </c>
      <c r="L13" s="26">
        <f>IF(K13="","",IF(K13&gt;=1,"עלייה",IF(K13&lt;=-1,"ירידה","יציב")))</f>
      </c>
    </row>
    <row r="14" ht="15" customHeight="1" spans="1:12" x14ac:dyDescent="0.25">
      <c r="A14" s="29"/>
      <c r="B14" s="37">
        <f>IF($A14="","",IFERROR(INDEX('זה אני - קליטה'!$AG$5:$AG$204,MATCH($A14&amp;"|תחילת שנה",'זה אני - קליטה'!$Z$5:$Z$204,0)),""))</f>
      </c>
      <c r="C14" s="26">
        <f>IF($A14="","",IFERROR(INDEX('זה אני - קליטה'!$AA$5:$AA$204,MATCH($A14&amp;"|תחילת שנה",'זה אני - קליטה'!$Z$5:$Z$204,0)),""))</f>
      </c>
      <c r="D14" s="27">
        <f>IF($A14="","",IFERROR(INDEX('זה אני - קליטה'!$AC$5:$AC$204,MATCH($A14&amp;"|תחילת שנה",'זה אני - קליטה'!$Z$5:$Z$204,0)),""))</f>
      </c>
      <c r="E14" s="37">
        <f>IF($A14="","",IFERROR(INDEX('זה אני - קליטה'!$AG$5:$AG$204,MATCH($A14&amp;"|אמצע שנה",'זה אני - קליטה'!$Z$5:$Z$204,0)),""))</f>
      </c>
      <c r="F14" s="26">
        <f>IF($A14="","",IFERROR(INDEX('זה אני - קליטה'!$AA$5:$AA$204,MATCH($A14&amp;"|אמצע שנה",'זה אני - קליטה'!$Z$5:$Z$204,0)),""))</f>
      </c>
      <c r="G14" s="27">
        <f>IF($A14="","",IFERROR(INDEX('זה אני - קליטה'!$AC$5:$AC$204,MATCH($A14&amp;"|אמצע שנה",'זה אני - קליטה'!$Z$5:$Z$204,0)),""))</f>
      </c>
      <c r="H14" s="37">
        <f>IF($A14="","",IFERROR(INDEX('זה אני - קליטה'!$AG$5:$AG$204,MATCH($A14&amp;"|סוף שנה",'זה אני - קליטה'!$Z$5:$Z$204,0)),""))</f>
      </c>
      <c r="I14" s="26">
        <f>IF($A14="","",IFERROR(INDEX('זה אני - קליטה'!$AA$5:$AA$204,MATCH($A14&amp;"|סוף שנה",'זה אני - קליטה'!$Z$5:$Z$204,0)),""))</f>
      </c>
      <c r="J14" s="27">
        <f>IF($A14="","",IFERROR(INDEX('זה אני - קליטה'!$AC$5:$AC$204,MATCH($A14&amp;"|סוף שנה",'זה אני - קליטה'!$Z$5:$Z$204,0)),""))</f>
      </c>
      <c r="K14" s="36">
        <f>IF(AND(ISNUMBER(B14),ISNUMBER(H14)),H14-B14,"")</f>
      </c>
      <c r="L14" s="26">
        <f>IF(K14="","",IF(K14&gt;=1,"עלייה",IF(K14&lt;=-1,"ירידה","יציב")))</f>
      </c>
    </row>
    <row r="15" ht="15" customHeight="1" spans="1:12" x14ac:dyDescent="0.25">
      <c r="A15" s="29"/>
      <c r="B15" s="37">
        <f>IF($A15="","",IFERROR(INDEX('זה אני - קליטה'!$AG$5:$AG$204,MATCH($A15&amp;"|תחילת שנה",'זה אני - קליטה'!$Z$5:$Z$204,0)),""))</f>
      </c>
      <c r="C15" s="26">
        <f>IF($A15="","",IFERROR(INDEX('זה אני - קליטה'!$AA$5:$AA$204,MATCH($A15&amp;"|תחילת שנה",'זה אני - קליטה'!$Z$5:$Z$204,0)),""))</f>
      </c>
      <c r="D15" s="27">
        <f>IF($A15="","",IFERROR(INDEX('זה אני - קליטה'!$AC$5:$AC$204,MATCH($A15&amp;"|תחילת שנה",'זה אני - קליטה'!$Z$5:$Z$204,0)),""))</f>
      </c>
      <c r="E15" s="37">
        <f>IF($A15="","",IFERROR(INDEX('זה אני - קליטה'!$AG$5:$AG$204,MATCH($A15&amp;"|אמצע שנה",'זה אני - קליטה'!$Z$5:$Z$204,0)),""))</f>
      </c>
      <c r="F15" s="26">
        <f>IF($A15="","",IFERROR(INDEX('זה אני - קליטה'!$AA$5:$AA$204,MATCH($A15&amp;"|אמצע שנה",'זה אני - קליטה'!$Z$5:$Z$204,0)),""))</f>
      </c>
      <c r="G15" s="27">
        <f>IF($A15="","",IFERROR(INDEX('זה אני - קליטה'!$AC$5:$AC$204,MATCH($A15&amp;"|אמצע שנה",'זה אני - קליטה'!$Z$5:$Z$204,0)),""))</f>
      </c>
      <c r="H15" s="37">
        <f>IF($A15="","",IFERROR(INDEX('זה אני - קליטה'!$AG$5:$AG$204,MATCH($A15&amp;"|סוף שנה",'זה אני - קליטה'!$Z$5:$Z$204,0)),""))</f>
      </c>
      <c r="I15" s="26">
        <f>IF($A15="","",IFERROR(INDEX('זה אני - קליטה'!$AA$5:$AA$204,MATCH($A15&amp;"|סוף שנה",'זה אני - קליטה'!$Z$5:$Z$204,0)),""))</f>
      </c>
      <c r="J15" s="27">
        <f>IF($A15="","",IFERROR(INDEX('זה אני - קליטה'!$AC$5:$AC$204,MATCH($A15&amp;"|סוף שנה",'זה אני - קליטה'!$Z$5:$Z$204,0)),""))</f>
      </c>
      <c r="K15" s="36">
        <f>IF(AND(ISNUMBER(B15),ISNUMBER(H15)),H15-B15,"")</f>
      </c>
      <c r="L15" s="26">
        <f>IF(K15="","",IF(K15&gt;=1,"עלייה",IF(K15&lt;=-1,"ירידה","יציב")))</f>
      </c>
    </row>
    <row r="16" ht="15" customHeight="1" spans="1:12" x14ac:dyDescent="0.25">
      <c r="A16" s="29"/>
      <c r="B16" s="37">
        <f>IF($A16="","",IFERROR(INDEX('זה אני - קליטה'!$AG$5:$AG$204,MATCH($A16&amp;"|תחילת שנה",'זה אני - קליטה'!$Z$5:$Z$204,0)),""))</f>
      </c>
      <c r="C16" s="26">
        <f>IF($A16="","",IFERROR(INDEX('זה אני - קליטה'!$AA$5:$AA$204,MATCH($A16&amp;"|תחילת שנה",'זה אני - קליטה'!$Z$5:$Z$204,0)),""))</f>
      </c>
      <c r="D16" s="27">
        <f>IF($A16="","",IFERROR(INDEX('זה אני - קליטה'!$AC$5:$AC$204,MATCH($A16&amp;"|תחילת שנה",'זה אני - קליטה'!$Z$5:$Z$204,0)),""))</f>
      </c>
      <c r="E16" s="37">
        <f>IF($A16="","",IFERROR(INDEX('זה אני - קליטה'!$AG$5:$AG$204,MATCH($A16&amp;"|אמצע שנה",'זה אני - קליטה'!$Z$5:$Z$204,0)),""))</f>
      </c>
      <c r="F16" s="26">
        <f>IF($A16="","",IFERROR(INDEX('זה אני - קליטה'!$AA$5:$AA$204,MATCH($A16&amp;"|אמצע שנה",'זה אני - קליטה'!$Z$5:$Z$204,0)),""))</f>
      </c>
      <c r="G16" s="27">
        <f>IF($A16="","",IFERROR(INDEX('זה אני - קליטה'!$AC$5:$AC$204,MATCH($A16&amp;"|אמצע שנה",'זה אני - קליטה'!$Z$5:$Z$204,0)),""))</f>
      </c>
      <c r="H16" s="37">
        <f>IF($A16="","",IFERROR(INDEX('זה אני - קליטה'!$AG$5:$AG$204,MATCH($A16&amp;"|סוף שנה",'זה אני - קליטה'!$Z$5:$Z$204,0)),""))</f>
      </c>
      <c r="I16" s="26">
        <f>IF($A16="","",IFERROR(INDEX('זה אני - קליטה'!$AA$5:$AA$204,MATCH($A16&amp;"|סוף שנה",'זה אני - קליטה'!$Z$5:$Z$204,0)),""))</f>
      </c>
      <c r="J16" s="27">
        <f>IF($A16="","",IFERROR(INDEX('זה אני - קליטה'!$AC$5:$AC$204,MATCH($A16&amp;"|סוף שנה",'זה אני - קליטה'!$Z$5:$Z$204,0)),""))</f>
      </c>
      <c r="K16" s="36">
        <f>IF(AND(ISNUMBER(B16),ISNUMBER(H16)),H16-B16,"")</f>
      </c>
      <c r="L16" s="26">
        <f>IF(K16="","",IF(K16&gt;=1,"עלייה",IF(K16&lt;=-1,"ירידה","יציב")))</f>
      </c>
    </row>
    <row r="17" ht="15" customHeight="1" spans="1:12" x14ac:dyDescent="0.25">
      <c r="A17" s="29"/>
      <c r="B17" s="37">
        <f>IF($A17="","",IFERROR(INDEX('זה אני - קליטה'!$AG$5:$AG$204,MATCH($A17&amp;"|תחילת שנה",'זה אני - קליטה'!$Z$5:$Z$204,0)),""))</f>
      </c>
      <c r="C17" s="26">
        <f>IF($A17="","",IFERROR(INDEX('זה אני - קליטה'!$AA$5:$AA$204,MATCH($A17&amp;"|תחילת שנה",'זה אני - קליטה'!$Z$5:$Z$204,0)),""))</f>
      </c>
      <c r="D17" s="27">
        <f>IF($A17="","",IFERROR(INDEX('זה אני - קליטה'!$AC$5:$AC$204,MATCH($A17&amp;"|תחילת שנה",'זה אני - קליטה'!$Z$5:$Z$204,0)),""))</f>
      </c>
      <c r="E17" s="37">
        <f>IF($A17="","",IFERROR(INDEX('זה אני - קליטה'!$AG$5:$AG$204,MATCH($A17&amp;"|אמצע שנה",'זה אני - קליטה'!$Z$5:$Z$204,0)),""))</f>
      </c>
      <c r="F17" s="26">
        <f>IF($A17="","",IFERROR(INDEX('זה אני - קליטה'!$AA$5:$AA$204,MATCH($A17&amp;"|אמצע שנה",'זה אני - קליטה'!$Z$5:$Z$204,0)),""))</f>
      </c>
      <c r="G17" s="27">
        <f>IF($A17="","",IFERROR(INDEX('זה אני - קליטה'!$AC$5:$AC$204,MATCH($A17&amp;"|אמצע שנה",'זה אני - קליטה'!$Z$5:$Z$204,0)),""))</f>
      </c>
      <c r="H17" s="37">
        <f>IF($A17="","",IFERROR(INDEX('זה אני - קליטה'!$AG$5:$AG$204,MATCH($A17&amp;"|סוף שנה",'זה אני - קליטה'!$Z$5:$Z$204,0)),""))</f>
      </c>
      <c r="I17" s="26">
        <f>IF($A17="","",IFERROR(INDEX('זה אני - קליטה'!$AA$5:$AA$204,MATCH($A17&amp;"|סוף שנה",'זה אני - קליטה'!$Z$5:$Z$204,0)),""))</f>
      </c>
      <c r="J17" s="27">
        <f>IF($A17="","",IFERROR(INDEX('זה אני - קליטה'!$AC$5:$AC$204,MATCH($A17&amp;"|סוף שנה",'זה אני - קליטה'!$Z$5:$Z$204,0)),""))</f>
      </c>
      <c r="K17" s="36">
        <f>IF(AND(ISNUMBER(B17),ISNUMBER(H17)),H17-B17,"")</f>
      </c>
      <c r="L17" s="26">
        <f>IF(K17="","",IF(K17&gt;=1,"עלייה",IF(K17&lt;=-1,"ירידה","יציב")))</f>
      </c>
    </row>
    <row r="18" ht="15" customHeight="1" spans="1:12" x14ac:dyDescent="0.25">
      <c r="A18" s="29"/>
      <c r="B18" s="37">
        <f>IF($A18="","",IFERROR(INDEX('זה אני - קליטה'!$AG$5:$AG$204,MATCH($A18&amp;"|תחילת שנה",'זה אני - קליטה'!$Z$5:$Z$204,0)),""))</f>
      </c>
      <c r="C18" s="26">
        <f>IF($A18="","",IFERROR(INDEX('זה אני - קליטה'!$AA$5:$AA$204,MATCH($A18&amp;"|תחילת שנה",'זה אני - קליטה'!$Z$5:$Z$204,0)),""))</f>
      </c>
      <c r="D18" s="27">
        <f>IF($A18="","",IFERROR(INDEX('זה אני - קליטה'!$AC$5:$AC$204,MATCH($A18&amp;"|תחילת שנה",'זה אני - קליטה'!$Z$5:$Z$204,0)),""))</f>
      </c>
      <c r="E18" s="37">
        <f>IF($A18="","",IFERROR(INDEX('זה אני - קליטה'!$AG$5:$AG$204,MATCH($A18&amp;"|אמצע שנה",'זה אני - קליטה'!$Z$5:$Z$204,0)),""))</f>
      </c>
      <c r="F18" s="26">
        <f>IF($A18="","",IFERROR(INDEX('זה אני - קליטה'!$AA$5:$AA$204,MATCH($A18&amp;"|אמצע שנה",'זה אני - קליטה'!$Z$5:$Z$204,0)),""))</f>
      </c>
      <c r="G18" s="27">
        <f>IF($A18="","",IFERROR(INDEX('זה אני - קליטה'!$AC$5:$AC$204,MATCH($A18&amp;"|אמצע שנה",'זה אני - קליטה'!$Z$5:$Z$204,0)),""))</f>
      </c>
      <c r="H18" s="37">
        <f>IF($A18="","",IFERROR(INDEX('זה אני - קליטה'!$AG$5:$AG$204,MATCH($A18&amp;"|סוף שנה",'זה אני - קליטה'!$Z$5:$Z$204,0)),""))</f>
      </c>
      <c r="I18" s="26">
        <f>IF($A18="","",IFERROR(INDEX('זה אני - קליטה'!$AA$5:$AA$204,MATCH($A18&amp;"|סוף שנה",'זה אני - קליטה'!$Z$5:$Z$204,0)),""))</f>
      </c>
      <c r="J18" s="27">
        <f>IF($A18="","",IFERROR(INDEX('זה אני - קליטה'!$AC$5:$AC$204,MATCH($A18&amp;"|סוף שנה",'זה אני - קליטה'!$Z$5:$Z$204,0)),""))</f>
      </c>
      <c r="K18" s="36">
        <f>IF(AND(ISNUMBER(B18),ISNUMBER(H18)),H18-B18,"")</f>
      </c>
      <c r="L18" s="26">
        <f>IF(K18="","",IF(K18&gt;=1,"עלייה",IF(K18&lt;=-1,"ירידה","יציב")))</f>
      </c>
    </row>
    <row r="19" ht="15" customHeight="1" spans="1:12" x14ac:dyDescent="0.25">
      <c r="A19" s="29"/>
      <c r="B19" s="37">
        <f>IF($A19="","",IFERROR(INDEX('זה אני - קליטה'!$AG$5:$AG$204,MATCH($A19&amp;"|תחילת שנה",'זה אני - קליטה'!$Z$5:$Z$204,0)),""))</f>
      </c>
      <c r="C19" s="26">
        <f>IF($A19="","",IFERROR(INDEX('זה אני - קליטה'!$AA$5:$AA$204,MATCH($A19&amp;"|תחילת שנה",'זה אני - קליטה'!$Z$5:$Z$204,0)),""))</f>
      </c>
      <c r="D19" s="27">
        <f>IF($A19="","",IFERROR(INDEX('זה אני - קליטה'!$AC$5:$AC$204,MATCH($A19&amp;"|תחילת שנה",'זה אני - קליטה'!$Z$5:$Z$204,0)),""))</f>
      </c>
      <c r="E19" s="37">
        <f>IF($A19="","",IFERROR(INDEX('זה אני - קליטה'!$AG$5:$AG$204,MATCH($A19&amp;"|אמצע שנה",'זה אני - קליטה'!$Z$5:$Z$204,0)),""))</f>
      </c>
      <c r="F19" s="26">
        <f>IF($A19="","",IFERROR(INDEX('זה אני - קליטה'!$AA$5:$AA$204,MATCH($A19&amp;"|אמצע שנה",'זה אני - קליטה'!$Z$5:$Z$204,0)),""))</f>
      </c>
      <c r="G19" s="27">
        <f>IF($A19="","",IFERROR(INDEX('זה אני - קליטה'!$AC$5:$AC$204,MATCH($A19&amp;"|אמצע שנה",'זה אני - קליטה'!$Z$5:$Z$204,0)),""))</f>
      </c>
      <c r="H19" s="37">
        <f>IF($A19="","",IFERROR(INDEX('זה אני - קליטה'!$AG$5:$AG$204,MATCH($A19&amp;"|סוף שנה",'זה אני - קליטה'!$Z$5:$Z$204,0)),""))</f>
      </c>
      <c r="I19" s="26">
        <f>IF($A19="","",IFERROR(INDEX('זה אני - קליטה'!$AA$5:$AA$204,MATCH($A19&amp;"|סוף שנה",'זה אני - קליטה'!$Z$5:$Z$204,0)),""))</f>
      </c>
      <c r="J19" s="27">
        <f>IF($A19="","",IFERROR(INDEX('זה אני - קליטה'!$AC$5:$AC$204,MATCH($A19&amp;"|סוף שנה",'זה אני - קליטה'!$Z$5:$Z$204,0)),""))</f>
      </c>
      <c r="K19" s="36">
        <f>IF(AND(ISNUMBER(B19),ISNUMBER(H19)),H19-B19,"")</f>
      </c>
      <c r="L19" s="26">
        <f>IF(K19="","",IF(K19&gt;=1,"עלייה",IF(K19&lt;=-1,"ירידה","יציב")))</f>
      </c>
    </row>
    <row r="20" ht="15" customHeight="1" spans="1:12" x14ac:dyDescent="0.25">
      <c r="A20" s="29"/>
      <c r="B20" s="37">
        <f>IF($A20="","",IFERROR(INDEX('זה אני - קליטה'!$AG$5:$AG$204,MATCH($A20&amp;"|תחילת שנה",'זה אני - קליטה'!$Z$5:$Z$204,0)),""))</f>
      </c>
      <c r="C20" s="26">
        <f>IF($A20="","",IFERROR(INDEX('זה אני - קליטה'!$AA$5:$AA$204,MATCH($A20&amp;"|תחילת שנה",'זה אני - קליטה'!$Z$5:$Z$204,0)),""))</f>
      </c>
      <c r="D20" s="27">
        <f>IF($A20="","",IFERROR(INDEX('זה אני - קליטה'!$AC$5:$AC$204,MATCH($A20&amp;"|תחילת שנה",'זה אני - קליטה'!$Z$5:$Z$204,0)),""))</f>
      </c>
      <c r="E20" s="37">
        <f>IF($A20="","",IFERROR(INDEX('זה אני - קליטה'!$AG$5:$AG$204,MATCH($A20&amp;"|אמצע שנה",'זה אני - קליטה'!$Z$5:$Z$204,0)),""))</f>
      </c>
      <c r="F20" s="26">
        <f>IF($A20="","",IFERROR(INDEX('זה אני - קליטה'!$AA$5:$AA$204,MATCH($A20&amp;"|אמצע שנה",'זה אני - קליטה'!$Z$5:$Z$204,0)),""))</f>
      </c>
      <c r="G20" s="27">
        <f>IF($A20="","",IFERROR(INDEX('זה אני - קליטה'!$AC$5:$AC$204,MATCH($A20&amp;"|אמצע שנה",'זה אני - קליטה'!$Z$5:$Z$204,0)),""))</f>
      </c>
      <c r="H20" s="37">
        <f>IF($A20="","",IFERROR(INDEX('זה אני - קליטה'!$AG$5:$AG$204,MATCH($A20&amp;"|סוף שנה",'זה אני - קליטה'!$Z$5:$Z$204,0)),""))</f>
      </c>
      <c r="I20" s="26">
        <f>IF($A20="","",IFERROR(INDEX('זה אני - קליטה'!$AA$5:$AA$204,MATCH($A20&amp;"|סוף שנה",'זה אני - קליטה'!$Z$5:$Z$204,0)),""))</f>
      </c>
      <c r="J20" s="27">
        <f>IF($A20="","",IFERROR(INDEX('זה אני - קליטה'!$AC$5:$AC$204,MATCH($A20&amp;"|סוף שנה",'זה אני - קליטה'!$Z$5:$Z$204,0)),""))</f>
      </c>
      <c r="K20" s="36">
        <f>IF(AND(ISNUMBER(B20),ISNUMBER(H20)),H20-B20,"")</f>
      </c>
      <c r="L20" s="26">
        <f>IF(K20="","",IF(K20&gt;=1,"עלייה",IF(K20&lt;=-1,"ירידה","יציב")))</f>
      </c>
    </row>
    <row r="21" ht="15" customHeight="1" spans="1:12" x14ac:dyDescent="0.25">
      <c r="A21" s="29"/>
      <c r="B21" s="37">
        <f>IF($A21="","",IFERROR(INDEX('זה אני - קליטה'!$AG$5:$AG$204,MATCH($A21&amp;"|תחילת שנה",'זה אני - קליטה'!$Z$5:$Z$204,0)),""))</f>
      </c>
      <c r="C21" s="26">
        <f>IF($A21="","",IFERROR(INDEX('זה אני - קליטה'!$AA$5:$AA$204,MATCH($A21&amp;"|תחילת שנה",'זה אני - קליטה'!$Z$5:$Z$204,0)),""))</f>
      </c>
      <c r="D21" s="27">
        <f>IF($A21="","",IFERROR(INDEX('זה אני - קליטה'!$AC$5:$AC$204,MATCH($A21&amp;"|תחילת שנה",'זה אני - קליטה'!$Z$5:$Z$204,0)),""))</f>
      </c>
      <c r="E21" s="37">
        <f>IF($A21="","",IFERROR(INDEX('זה אני - קליטה'!$AG$5:$AG$204,MATCH($A21&amp;"|אמצע שנה",'זה אני - קליטה'!$Z$5:$Z$204,0)),""))</f>
      </c>
      <c r="F21" s="26">
        <f>IF($A21="","",IFERROR(INDEX('זה אני - קליטה'!$AA$5:$AA$204,MATCH($A21&amp;"|אמצע שנה",'זה אני - קליטה'!$Z$5:$Z$204,0)),""))</f>
      </c>
      <c r="G21" s="27">
        <f>IF($A21="","",IFERROR(INDEX('זה אני - קליטה'!$AC$5:$AC$204,MATCH($A21&amp;"|אמצע שנה",'זה אני - קליטה'!$Z$5:$Z$204,0)),""))</f>
      </c>
      <c r="H21" s="37">
        <f>IF($A21="","",IFERROR(INDEX('זה אני - קליטה'!$AG$5:$AG$204,MATCH($A21&amp;"|סוף שנה",'זה אני - קליטה'!$Z$5:$Z$204,0)),""))</f>
      </c>
      <c r="I21" s="26">
        <f>IF($A21="","",IFERROR(INDEX('זה אני - קליטה'!$AA$5:$AA$204,MATCH($A21&amp;"|סוף שנה",'זה אני - קליטה'!$Z$5:$Z$204,0)),""))</f>
      </c>
      <c r="J21" s="27">
        <f>IF($A21="","",IFERROR(INDEX('זה אני - קליטה'!$AC$5:$AC$204,MATCH($A21&amp;"|סוף שנה",'זה אני - קליטה'!$Z$5:$Z$204,0)),""))</f>
      </c>
      <c r="K21" s="36">
        <f>IF(AND(ISNUMBER(B21),ISNUMBER(H21)),H21-B21,"")</f>
      </c>
      <c r="L21" s="26">
        <f>IF(K21="","",IF(K21&gt;=1,"עלייה",IF(K21&lt;=-1,"ירידה","יציב")))</f>
      </c>
    </row>
    <row r="22" ht="15" customHeight="1" spans="1:12" x14ac:dyDescent="0.25">
      <c r="A22" s="29"/>
      <c r="B22" s="37">
        <f>IF($A22="","",IFERROR(INDEX('זה אני - קליטה'!$AG$5:$AG$204,MATCH($A22&amp;"|תחילת שנה",'זה אני - קליטה'!$Z$5:$Z$204,0)),""))</f>
      </c>
      <c r="C22" s="26">
        <f>IF($A22="","",IFERROR(INDEX('זה אני - קליטה'!$AA$5:$AA$204,MATCH($A22&amp;"|תחילת שנה",'זה אני - קליטה'!$Z$5:$Z$204,0)),""))</f>
      </c>
      <c r="D22" s="27">
        <f>IF($A22="","",IFERROR(INDEX('זה אני - קליטה'!$AC$5:$AC$204,MATCH($A22&amp;"|תחילת שנה",'זה אני - קליטה'!$Z$5:$Z$204,0)),""))</f>
      </c>
      <c r="E22" s="37">
        <f>IF($A22="","",IFERROR(INDEX('זה אני - קליטה'!$AG$5:$AG$204,MATCH($A22&amp;"|אמצע שנה",'זה אני - קליטה'!$Z$5:$Z$204,0)),""))</f>
      </c>
      <c r="F22" s="26">
        <f>IF($A22="","",IFERROR(INDEX('זה אני - קליטה'!$AA$5:$AA$204,MATCH($A22&amp;"|אמצע שנה",'זה אני - קליטה'!$Z$5:$Z$204,0)),""))</f>
      </c>
      <c r="G22" s="27">
        <f>IF($A22="","",IFERROR(INDEX('זה אני - קליטה'!$AC$5:$AC$204,MATCH($A22&amp;"|אמצע שנה",'זה אני - קליטה'!$Z$5:$Z$204,0)),""))</f>
      </c>
      <c r="H22" s="37">
        <f>IF($A22="","",IFERROR(INDEX('זה אני - קליטה'!$AG$5:$AG$204,MATCH($A22&amp;"|סוף שנה",'זה אני - קליטה'!$Z$5:$Z$204,0)),""))</f>
      </c>
      <c r="I22" s="26">
        <f>IF($A22="","",IFERROR(INDEX('זה אני - קליטה'!$AA$5:$AA$204,MATCH($A22&amp;"|סוף שנה",'זה אני - קליטה'!$Z$5:$Z$204,0)),""))</f>
      </c>
      <c r="J22" s="27">
        <f>IF($A22="","",IFERROR(INDEX('זה אני - קליטה'!$AC$5:$AC$204,MATCH($A22&amp;"|סוף שנה",'זה אני - קליטה'!$Z$5:$Z$204,0)),""))</f>
      </c>
      <c r="K22" s="36">
        <f>IF(AND(ISNUMBER(B22),ISNUMBER(H22)),H22-B22,"")</f>
      </c>
      <c r="L22" s="26">
        <f>IF(K22="","",IF(K22&gt;=1,"עלייה",IF(K22&lt;=-1,"ירידה","יציב")))</f>
      </c>
    </row>
    <row r="23" ht="15" customHeight="1" spans="1:12" x14ac:dyDescent="0.25">
      <c r="A23" s="29"/>
      <c r="B23" s="37">
        <f>IF($A23="","",IFERROR(INDEX('זה אני - קליטה'!$AG$5:$AG$204,MATCH($A23&amp;"|תחילת שנה",'זה אני - קליטה'!$Z$5:$Z$204,0)),""))</f>
      </c>
      <c r="C23" s="26">
        <f>IF($A23="","",IFERROR(INDEX('זה אני - קליטה'!$AA$5:$AA$204,MATCH($A23&amp;"|תחילת שנה",'זה אני - קליטה'!$Z$5:$Z$204,0)),""))</f>
      </c>
      <c r="D23" s="27">
        <f>IF($A23="","",IFERROR(INDEX('זה אני - קליטה'!$AC$5:$AC$204,MATCH($A23&amp;"|תחילת שנה",'זה אני - קליטה'!$Z$5:$Z$204,0)),""))</f>
      </c>
      <c r="E23" s="37">
        <f>IF($A23="","",IFERROR(INDEX('זה אני - קליטה'!$AG$5:$AG$204,MATCH($A23&amp;"|אמצע שנה",'זה אני - קליטה'!$Z$5:$Z$204,0)),""))</f>
      </c>
      <c r="F23" s="26">
        <f>IF($A23="","",IFERROR(INDEX('זה אני - קליטה'!$AA$5:$AA$204,MATCH($A23&amp;"|אמצע שנה",'זה אני - קליטה'!$Z$5:$Z$204,0)),""))</f>
      </c>
      <c r="G23" s="27">
        <f>IF($A23="","",IFERROR(INDEX('זה אני - קליטה'!$AC$5:$AC$204,MATCH($A23&amp;"|אמצע שנה",'זה אני - קליטה'!$Z$5:$Z$204,0)),""))</f>
      </c>
      <c r="H23" s="37">
        <f>IF($A23="","",IFERROR(INDEX('זה אני - קליטה'!$AG$5:$AG$204,MATCH($A23&amp;"|סוף שנה",'זה אני - קליטה'!$Z$5:$Z$204,0)),""))</f>
      </c>
      <c r="I23" s="26">
        <f>IF($A23="","",IFERROR(INDEX('זה אני - קליטה'!$AA$5:$AA$204,MATCH($A23&amp;"|סוף שנה",'זה אני - קליטה'!$Z$5:$Z$204,0)),""))</f>
      </c>
      <c r="J23" s="27">
        <f>IF($A23="","",IFERROR(INDEX('זה אני - קליטה'!$AC$5:$AC$204,MATCH($A23&amp;"|סוף שנה",'זה אני - קליטה'!$Z$5:$Z$204,0)),""))</f>
      </c>
      <c r="K23" s="36">
        <f>IF(AND(ISNUMBER(B23),ISNUMBER(H23)),H23-B23,"")</f>
      </c>
      <c r="L23" s="26">
        <f>IF(K23="","",IF(K23&gt;=1,"עלייה",IF(K23&lt;=-1,"ירידה","יציב")))</f>
      </c>
    </row>
    <row r="24" ht="15" customHeight="1" spans="1:12" x14ac:dyDescent="0.25">
      <c r="A24" s="29"/>
      <c r="B24" s="37">
        <f>IF($A24="","",IFERROR(INDEX('זה אני - קליטה'!$AG$5:$AG$204,MATCH($A24&amp;"|תחילת שנה",'זה אני - קליטה'!$Z$5:$Z$204,0)),""))</f>
      </c>
      <c r="C24" s="26">
        <f>IF($A24="","",IFERROR(INDEX('זה אני - קליטה'!$AA$5:$AA$204,MATCH($A24&amp;"|תחילת שנה",'זה אני - קליטה'!$Z$5:$Z$204,0)),""))</f>
      </c>
      <c r="D24" s="27">
        <f>IF($A24="","",IFERROR(INDEX('זה אני - קליטה'!$AC$5:$AC$204,MATCH($A24&amp;"|תחילת שנה",'זה אני - קליטה'!$Z$5:$Z$204,0)),""))</f>
      </c>
      <c r="E24" s="37">
        <f>IF($A24="","",IFERROR(INDEX('זה אני - קליטה'!$AG$5:$AG$204,MATCH($A24&amp;"|אמצע שנה",'זה אני - קליטה'!$Z$5:$Z$204,0)),""))</f>
      </c>
      <c r="F24" s="26">
        <f>IF($A24="","",IFERROR(INDEX('זה אני - קליטה'!$AA$5:$AA$204,MATCH($A24&amp;"|אמצע שנה",'זה אני - קליטה'!$Z$5:$Z$204,0)),""))</f>
      </c>
      <c r="G24" s="27">
        <f>IF($A24="","",IFERROR(INDEX('זה אני - קליטה'!$AC$5:$AC$204,MATCH($A24&amp;"|אמצע שנה",'זה אני - קליטה'!$Z$5:$Z$204,0)),""))</f>
      </c>
      <c r="H24" s="37">
        <f>IF($A24="","",IFERROR(INDEX('זה אני - קליטה'!$AG$5:$AG$204,MATCH($A24&amp;"|סוף שנה",'זה אני - קליטה'!$Z$5:$Z$204,0)),""))</f>
      </c>
      <c r="I24" s="26">
        <f>IF($A24="","",IFERROR(INDEX('זה אני - קליטה'!$AA$5:$AA$204,MATCH($A24&amp;"|סוף שנה",'זה אני - קליטה'!$Z$5:$Z$204,0)),""))</f>
      </c>
      <c r="J24" s="27">
        <f>IF($A24="","",IFERROR(INDEX('זה אני - קליטה'!$AC$5:$AC$204,MATCH($A24&amp;"|סוף שנה",'זה אני - קליטה'!$Z$5:$Z$204,0)),""))</f>
      </c>
      <c r="K24" s="36">
        <f>IF(AND(ISNUMBER(B24),ISNUMBER(H24)),H24-B24,"")</f>
      </c>
      <c r="L24" s="26">
        <f>IF(K24="","",IF(K24&gt;=1,"עלייה",IF(K24&lt;=-1,"ירידה","יציב")))</f>
      </c>
    </row>
    <row r="25" ht="15" customHeight="1" spans="1:12" x14ac:dyDescent="0.25">
      <c r="A25" s="29"/>
      <c r="B25" s="37">
        <f>IF($A25="","",IFERROR(INDEX('זה אני - קליטה'!$AG$5:$AG$204,MATCH($A25&amp;"|תחילת שנה",'זה אני - קליטה'!$Z$5:$Z$204,0)),""))</f>
      </c>
      <c r="C25" s="26">
        <f>IF($A25="","",IFERROR(INDEX('זה אני - קליטה'!$AA$5:$AA$204,MATCH($A25&amp;"|תחילת שנה",'זה אני - קליטה'!$Z$5:$Z$204,0)),""))</f>
      </c>
      <c r="D25" s="27">
        <f>IF($A25="","",IFERROR(INDEX('זה אני - קליטה'!$AC$5:$AC$204,MATCH($A25&amp;"|תחילת שנה",'זה אני - קליטה'!$Z$5:$Z$204,0)),""))</f>
      </c>
      <c r="E25" s="37">
        <f>IF($A25="","",IFERROR(INDEX('זה אני - קליטה'!$AG$5:$AG$204,MATCH($A25&amp;"|אמצע שנה",'זה אני - קליטה'!$Z$5:$Z$204,0)),""))</f>
      </c>
      <c r="F25" s="26">
        <f>IF($A25="","",IFERROR(INDEX('זה אני - קליטה'!$AA$5:$AA$204,MATCH($A25&amp;"|אמצע שנה",'זה אני - קליטה'!$Z$5:$Z$204,0)),""))</f>
      </c>
      <c r="G25" s="27">
        <f>IF($A25="","",IFERROR(INDEX('זה אני - קליטה'!$AC$5:$AC$204,MATCH($A25&amp;"|אמצע שנה",'זה אני - קליטה'!$Z$5:$Z$204,0)),""))</f>
      </c>
      <c r="H25" s="37">
        <f>IF($A25="","",IFERROR(INDEX('זה אני - קליטה'!$AG$5:$AG$204,MATCH($A25&amp;"|סוף שנה",'זה אני - קליטה'!$Z$5:$Z$204,0)),""))</f>
      </c>
      <c r="I25" s="26">
        <f>IF($A25="","",IFERROR(INDEX('זה אני - קליטה'!$AA$5:$AA$204,MATCH($A25&amp;"|סוף שנה",'זה אני - קליטה'!$Z$5:$Z$204,0)),""))</f>
      </c>
      <c r="J25" s="27">
        <f>IF($A25="","",IFERROR(INDEX('זה אני - קליטה'!$AC$5:$AC$204,MATCH($A25&amp;"|סוף שנה",'זה אני - קליטה'!$Z$5:$Z$204,0)),""))</f>
      </c>
      <c r="K25" s="36">
        <f>IF(AND(ISNUMBER(B25),ISNUMBER(H25)),H25-B25,"")</f>
      </c>
      <c r="L25" s="26">
        <f>IF(K25="","",IF(K25&gt;=1,"עלייה",IF(K25&lt;=-1,"ירידה","יציב")))</f>
      </c>
    </row>
    <row r="26" ht="15" customHeight="1" spans="1:12" x14ac:dyDescent="0.25">
      <c r="A26" s="29"/>
      <c r="B26" s="37">
        <f>IF($A26="","",IFERROR(INDEX('זה אני - קליטה'!$AG$5:$AG$204,MATCH($A26&amp;"|תחילת שנה",'זה אני - קליטה'!$Z$5:$Z$204,0)),""))</f>
      </c>
      <c r="C26" s="26">
        <f>IF($A26="","",IFERROR(INDEX('זה אני - קליטה'!$AA$5:$AA$204,MATCH($A26&amp;"|תחילת שנה",'זה אני - קליטה'!$Z$5:$Z$204,0)),""))</f>
      </c>
      <c r="D26" s="27">
        <f>IF($A26="","",IFERROR(INDEX('זה אני - קליטה'!$AC$5:$AC$204,MATCH($A26&amp;"|תחילת שנה",'זה אני - קליטה'!$Z$5:$Z$204,0)),""))</f>
      </c>
      <c r="E26" s="37">
        <f>IF($A26="","",IFERROR(INDEX('זה אני - קליטה'!$AG$5:$AG$204,MATCH($A26&amp;"|אמצע שנה",'זה אני - קליטה'!$Z$5:$Z$204,0)),""))</f>
      </c>
      <c r="F26" s="26">
        <f>IF($A26="","",IFERROR(INDEX('זה אני - קליטה'!$AA$5:$AA$204,MATCH($A26&amp;"|אמצע שנה",'זה אני - קליטה'!$Z$5:$Z$204,0)),""))</f>
      </c>
      <c r="G26" s="27">
        <f>IF($A26="","",IFERROR(INDEX('זה אני - קליטה'!$AC$5:$AC$204,MATCH($A26&amp;"|אמצע שנה",'זה אני - קליטה'!$Z$5:$Z$204,0)),""))</f>
      </c>
      <c r="H26" s="37">
        <f>IF($A26="","",IFERROR(INDEX('זה אני - קליטה'!$AG$5:$AG$204,MATCH($A26&amp;"|סוף שנה",'זה אני - קליטה'!$Z$5:$Z$204,0)),""))</f>
      </c>
      <c r="I26" s="26">
        <f>IF($A26="","",IFERROR(INDEX('זה אני - קליטה'!$AA$5:$AA$204,MATCH($A26&amp;"|סוף שנה",'זה אני - קליטה'!$Z$5:$Z$204,0)),""))</f>
      </c>
      <c r="J26" s="27">
        <f>IF($A26="","",IFERROR(INDEX('זה אני - קליטה'!$AC$5:$AC$204,MATCH($A26&amp;"|סוף שנה",'זה אני - קליטה'!$Z$5:$Z$204,0)),""))</f>
      </c>
      <c r="K26" s="36">
        <f>IF(AND(ISNUMBER(B26),ISNUMBER(H26)),H26-B26,"")</f>
      </c>
      <c r="L26" s="26">
        <f>IF(K26="","",IF(K26&gt;=1,"עלייה",IF(K26&lt;=-1,"ירידה","יציב")))</f>
      </c>
    </row>
    <row r="27" ht="15" customHeight="1" spans="1:12" x14ac:dyDescent="0.25">
      <c r="A27" s="29"/>
      <c r="B27" s="37">
        <f>IF($A27="","",IFERROR(INDEX('זה אני - קליטה'!$AG$5:$AG$204,MATCH($A27&amp;"|תחילת שנה",'זה אני - קליטה'!$Z$5:$Z$204,0)),""))</f>
      </c>
      <c r="C27" s="26">
        <f>IF($A27="","",IFERROR(INDEX('זה אני - קליטה'!$AA$5:$AA$204,MATCH($A27&amp;"|תחילת שנה",'זה אני - קליטה'!$Z$5:$Z$204,0)),""))</f>
      </c>
      <c r="D27" s="27">
        <f>IF($A27="","",IFERROR(INDEX('זה אני - קליטה'!$AC$5:$AC$204,MATCH($A27&amp;"|תחילת שנה",'זה אני - קליטה'!$Z$5:$Z$204,0)),""))</f>
      </c>
      <c r="E27" s="37">
        <f>IF($A27="","",IFERROR(INDEX('זה אני - קליטה'!$AG$5:$AG$204,MATCH($A27&amp;"|אמצע שנה",'זה אני - קליטה'!$Z$5:$Z$204,0)),""))</f>
      </c>
      <c r="F27" s="26">
        <f>IF($A27="","",IFERROR(INDEX('זה אני - קליטה'!$AA$5:$AA$204,MATCH($A27&amp;"|אמצע שנה",'זה אני - קליטה'!$Z$5:$Z$204,0)),""))</f>
      </c>
      <c r="G27" s="27">
        <f>IF($A27="","",IFERROR(INDEX('זה אני - קליטה'!$AC$5:$AC$204,MATCH($A27&amp;"|אמצע שנה",'זה אני - קליטה'!$Z$5:$Z$204,0)),""))</f>
      </c>
      <c r="H27" s="37">
        <f>IF($A27="","",IFERROR(INDEX('זה אני - קליטה'!$AG$5:$AG$204,MATCH($A27&amp;"|סוף שנה",'זה אני - קליטה'!$Z$5:$Z$204,0)),""))</f>
      </c>
      <c r="I27" s="26">
        <f>IF($A27="","",IFERROR(INDEX('זה אני - קליטה'!$AA$5:$AA$204,MATCH($A27&amp;"|סוף שנה",'זה אני - קליטה'!$Z$5:$Z$204,0)),""))</f>
      </c>
      <c r="J27" s="27">
        <f>IF($A27="","",IFERROR(INDEX('זה אני - קליטה'!$AC$5:$AC$204,MATCH($A27&amp;"|סוף שנה",'זה אני - קליטה'!$Z$5:$Z$204,0)),""))</f>
      </c>
      <c r="K27" s="36">
        <f>IF(AND(ISNUMBER(B27),ISNUMBER(H27)),H27-B27,"")</f>
      </c>
      <c r="L27" s="26">
        <f>IF(K27="","",IF(K27&gt;=1,"עלייה",IF(K27&lt;=-1,"ירידה","יציב")))</f>
      </c>
    </row>
    <row r="28" ht="15" customHeight="1" spans="1:12" x14ac:dyDescent="0.25">
      <c r="A28" s="29"/>
      <c r="B28" s="37">
        <f>IF($A28="","",IFERROR(INDEX('זה אני - קליטה'!$AG$5:$AG$204,MATCH($A28&amp;"|תחילת שנה",'זה אני - קליטה'!$Z$5:$Z$204,0)),""))</f>
      </c>
      <c r="C28" s="26">
        <f>IF($A28="","",IFERROR(INDEX('זה אני - קליטה'!$AA$5:$AA$204,MATCH($A28&amp;"|תחילת שנה",'זה אני - קליטה'!$Z$5:$Z$204,0)),""))</f>
      </c>
      <c r="D28" s="27">
        <f>IF($A28="","",IFERROR(INDEX('זה אני - קליטה'!$AC$5:$AC$204,MATCH($A28&amp;"|תחילת שנה",'זה אני - קליטה'!$Z$5:$Z$204,0)),""))</f>
      </c>
      <c r="E28" s="37">
        <f>IF($A28="","",IFERROR(INDEX('זה אני - קליטה'!$AG$5:$AG$204,MATCH($A28&amp;"|אמצע שנה",'זה אני - קליטה'!$Z$5:$Z$204,0)),""))</f>
      </c>
      <c r="F28" s="26">
        <f>IF($A28="","",IFERROR(INDEX('זה אני - קליטה'!$AA$5:$AA$204,MATCH($A28&amp;"|אמצע שנה",'זה אני - קליטה'!$Z$5:$Z$204,0)),""))</f>
      </c>
      <c r="G28" s="27">
        <f>IF($A28="","",IFERROR(INDEX('זה אני - קליטה'!$AC$5:$AC$204,MATCH($A28&amp;"|אמצע שנה",'זה אני - קליטה'!$Z$5:$Z$204,0)),""))</f>
      </c>
      <c r="H28" s="37">
        <f>IF($A28="","",IFERROR(INDEX('זה אני - קליטה'!$AG$5:$AG$204,MATCH($A28&amp;"|סוף שנה",'זה אני - קליטה'!$Z$5:$Z$204,0)),""))</f>
      </c>
      <c r="I28" s="26">
        <f>IF($A28="","",IFERROR(INDEX('זה אני - קליטה'!$AA$5:$AA$204,MATCH($A28&amp;"|סוף שנה",'זה אני - קליטה'!$Z$5:$Z$204,0)),""))</f>
      </c>
      <c r="J28" s="27">
        <f>IF($A28="","",IFERROR(INDEX('זה אני - קליטה'!$AC$5:$AC$204,MATCH($A28&amp;"|סוף שנה",'זה אני - קליטה'!$Z$5:$Z$204,0)),""))</f>
      </c>
      <c r="K28" s="36">
        <f>IF(AND(ISNUMBER(B28),ISNUMBER(H28)),H28-B28,"")</f>
      </c>
      <c r="L28" s="26">
        <f>IF(K28="","",IF(K28&gt;=1,"עלייה",IF(K28&lt;=-1,"ירידה","יציב")))</f>
      </c>
    </row>
    <row r="29" ht="15" customHeight="1" spans="1:12" x14ac:dyDescent="0.25">
      <c r="A29" s="29"/>
      <c r="B29" s="37">
        <f>IF($A29="","",IFERROR(INDEX('זה אני - קליטה'!$AG$5:$AG$204,MATCH($A29&amp;"|תחילת שנה",'זה אני - קליטה'!$Z$5:$Z$204,0)),""))</f>
      </c>
      <c r="C29" s="26">
        <f>IF($A29="","",IFERROR(INDEX('זה אני - קליטה'!$AA$5:$AA$204,MATCH($A29&amp;"|תחילת שנה",'זה אני - קליטה'!$Z$5:$Z$204,0)),""))</f>
      </c>
      <c r="D29" s="27">
        <f>IF($A29="","",IFERROR(INDEX('זה אני - קליטה'!$AC$5:$AC$204,MATCH($A29&amp;"|תחילת שנה",'זה אני - קליטה'!$Z$5:$Z$204,0)),""))</f>
      </c>
      <c r="E29" s="37">
        <f>IF($A29="","",IFERROR(INDEX('זה אני - קליטה'!$AG$5:$AG$204,MATCH($A29&amp;"|אמצע שנה",'זה אני - קליטה'!$Z$5:$Z$204,0)),""))</f>
      </c>
      <c r="F29" s="26">
        <f>IF($A29="","",IFERROR(INDEX('זה אני - קליטה'!$AA$5:$AA$204,MATCH($A29&amp;"|אמצע שנה",'זה אני - קליטה'!$Z$5:$Z$204,0)),""))</f>
      </c>
      <c r="G29" s="27">
        <f>IF($A29="","",IFERROR(INDEX('זה אני - קליטה'!$AC$5:$AC$204,MATCH($A29&amp;"|אמצע שנה",'זה אני - קליטה'!$Z$5:$Z$204,0)),""))</f>
      </c>
      <c r="H29" s="37">
        <f>IF($A29="","",IFERROR(INDEX('זה אני - קליטה'!$AG$5:$AG$204,MATCH($A29&amp;"|סוף שנה",'זה אני - קליטה'!$Z$5:$Z$204,0)),""))</f>
      </c>
      <c r="I29" s="26">
        <f>IF($A29="","",IFERROR(INDEX('זה אני - קליטה'!$AA$5:$AA$204,MATCH($A29&amp;"|סוף שנה",'זה אני - קליטה'!$Z$5:$Z$204,0)),""))</f>
      </c>
      <c r="J29" s="27">
        <f>IF($A29="","",IFERROR(INDEX('זה אני - קליטה'!$AC$5:$AC$204,MATCH($A29&amp;"|סוף שנה",'זה אני - קליטה'!$Z$5:$Z$204,0)),""))</f>
      </c>
      <c r="K29" s="36">
        <f>IF(AND(ISNUMBER(B29),ISNUMBER(H29)),H29-B29,"")</f>
      </c>
      <c r="L29" s="26">
        <f>IF(K29="","",IF(K29&gt;=1,"עלייה",IF(K29&lt;=-1,"ירידה","יציב")))</f>
      </c>
    </row>
    <row r="30" ht="15" customHeight="1" spans="1:12" x14ac:dyDescent="0.25">
      <c r="A30" s="29"/>
      <c r="B30" s="37">
        <f>IF($A30="","",IFERROR(INDEX('זה אני - קליטה'!$AG$5:$AG$204,MATCH($A30&amp;"|תחילת שנה",'זה אני - קליטה'!$Z$5:$Z$204,0)),""))</f>
      </c>
      <c r="C30" s="26">
        <f>IF($A30="","",IFERROR(INDEX('זה אני - קליטה'!$AA$5:$AA$204,MATCH($A30&amp;"|תחילת שנה",'זה אני - קליטה'!$Z$5:$Z$204,0)),""))</f>
      </c>
      <c r="D30" s="27">
        <f>IF($A30="","",IFERROR(INDEX('זה אני - קליטה'!$AC$5:$AC$204,MATCH($A30&amp;"|תחילת שנה",'זה אני - קליטה'!$Z$5:$Z$204,0)),""))</f>
      </c>
      <c r="E30" s="37">
        <f>IF($A30="","",IFERROR(INDEX('זה אני - קליטה'!$AG$5:$AG$204,MATCH($A30&amp;"|אמצע שנה",'זה אני - קליטה'!$Z$5:$Z$204,0)),""))</f>
      </c>
      <c r="F30" s="26">
        <f>IF($A30="","",IFERROR(INDEX('זה אני - קליטה'!$AA$5:$AA$204,MATCH($A30&amp;"|אמצע שנה",'זה אני - קליטה'!$Z$5:$Z$204,0)),""))</f>
      </c>
      <c r="G30" s="27">
        <f>IF($A30="","",IFERROR(INDEX('זה אני - קליטה'!$AC$5:$AC$204,MATCH($A30&amp;"|אמצע שנה",'זה אני - קליטה'!$Z$5:$Z$204,0)),""))</f>
      </c>
      <c r="H30" s="37">
        <f>IF($A30="","",IFERROR(INDEX('זה אני - קליטה'!$AG$5:$AG$204,MATCH($A30&amp;"|סוף שנה",'זה אני - קליטה'!$Z$5:$Z$204,0)),""))</f>
      </c>
      <c r="I30" s="26">
        <f>IF($A30="","",IFERROR(INDEX('זה אני - קליטה'!$AA$5:$AA$204,MATCH($A30&amp;"|סוף שנה",'זה אני - קליטה'!$Z$5:$Z$204,0)),""))</f>
      </c>
      <c r="J30" s="27">
        <f>IF($A30="","",IFERROR(INDEX('זה אני - קליטה'!$AC$5:$AC$204,MATCH($A30&amp;"|סוף שנה",'זה אני - קליטה'!$Z$5:$Z$204,0)),""))</f>
      </c>
      <c r="K30" s="36">
        <f>IF(AND(ISNUMBER(B30),ISNUMBER(H30)),H30-B30,"")</f>
      </c>
      <c r="L30" s="26">
        <f>IF(K30="","",IF(K30&gt;=1,"עלייה",IF(K30&lt;=-1,"ירידה","יציב")))</f>
      </c>
    </row>
    <row r="31" ht="15" customHeight="1" spans="1:12" x14ac:dyDescent="0.25">
      <c r="A31" s="29"/>
      <c r="B31" s="37">
        <f>IF($A31="","",IFERROR(INDEX('זה אני - קליטה'!$AG$5:$AG$204,MATCH($A31&amp;"|תחילת שנה",'זה אני - קליטה'!$Z$5:$Z$204,0)),""))</f>
      </c>
      <c r="C31" s="26">
        <f>IF($A31="","",IFERROR(INDEX('זה אני - קליטה'!$AA$5:$AA$204,MATCH($A31&amp;"|תחילת שנה",'זה אני - קליטה'!$Z$5:$Z$204,0)),""))</f>
      </c>
      <c r="D31" s="27">
        <f>IF($A31="","",IFERROR(INDEX('זה אני - קליטה'!$AC$5:$AC$204,MATCH($A31&amp;"|תחילת שנה",'זה אני - קליטה'!$Z$5:$Z$204,0)),""))</f>
      </c>
      <c r="E31" s="37">
        <f>IF($A31="","",IFERROR(INDEX('זה אני - קליטה'!$AG$5:$AG$204,MATCH($A31&amp;"|אמצע שנה",'זה אני - קליטה'!$Z$5:$Z$204,0)),""))</f>
      </c>
      <c r="F31" s="26">
        <f>IF($A31="","",IFERROR(INDEX('זה אני - קליטה'!$AA$5:$AA$204,MATCH($A31&amp;"|אמצע שנה",'זה אני - קליטה'!$Z$5:$Z$204,0)),""))</f>
      </c>
      <c r="G31" s="27">
        <f>IF($A31="","",IFERROR(INDEX('זה אני - קליטה'!$AC$5:$AC$204,MATCH($A31&amp;"|אמצע שנה",'זה אני - קליטה'!$Z$5:$Z$204,0)),""))</f>
      </c>
      <c r="H31" s="37">
        <f>IF($A31="","",IFERROR(INDEX('זה אני - קליטה'!$AG$5:$AG$204,MATCH($A31&amp;"|סוף שנה",'זה אני - קליטה'!$Z$5:$Z$204,0)),""))</f>
      </c>
      <c r="I31" s="26">
        <f>IF($A31="","",IFERROR(INDEX('זה אני - קליטה'!$AA$5:$AA$204,MATCH($A31&amp;"|סוף שנה",'זה אני - קליטה'!$Z$5:$Z$204,0)),""))</f>
      </c>
      <c r="J31" s="27">
        <f>IF($A31="","",IFERROR(INDEX('זה אני - קליטה'!$AC$5:$AC$204,MATCH($A31&amp;"|סוף שנה",'זה אני - קליטה'!$Z$5:$Z$204,0)),""))</f>
      </c>
      <c r="K31" s="36">
        <f>IF(AND(ISNUMBER(B31),ISNUMBER(H31)),H31-B31,"")</f>
      </c>
      <c r="L31" s="26">
        <f>IF(K31="","",IF(K31&gt;=1,"עלייה",IF(K31&lt;=-1,"ירידה","יציב")))</f>
      </c>
    </row>
    <row r="32" ht="15" customHeight="1" spans="1:12" x14ac:dyDescent="0.25">
      <c r="A32" s="29"/>
      <c r="B32" s="37">
        <f>IF($A32="","",IFERROR(INDEX('זה אני - קליטה'!$AG$5:$AG$204,MATCH($A32&amp;"|תחילת שנה",'זה אני - קליטה'!$Z$5:$Z$204,0)),""))</f>
      </c>
      <c r="C32" s="26">
        <f>IF($A32="","",IFERROR(INDEX('זה אני - קליטה'!$AA$5:$AA$204,MATCH($A32&amp;"|תחילת שנה",'זה אני - קליטה'!$Z$5:$Z$204,0)),""))</f>
      </c>
      <c r="D32" s="27">
        <f>IF($A32="","",IFERROR(INDEX('זה אני - קליטה'!$AC$5:$AC$204,MATCH($A32&amp;"|תחילת שנה",'זה אני - קליטה'!$Z$5:$Z$204,0)),""))</f>
      </c>
      <c r="E32" s="37">
        <f>IF($A32="","",IFERROR(INDEX('זה אני - קליטה'!$AG$5:$AG$204,MATCH($A32&amp;"|אמצע שנה",'זה אני - קליטה'!$Z$5:$Z$204,0)),""))</f>
      </c>
      <c r="F32" s="26">
        <f>IF($A32="","",IFERROR(INDEX('זה אני - קליטה'!$AA$5:$AA$204,MATCH($A32&amp;"|אמצע שנה",'זה אני - קליטה'!$Z$5:$Z$204,0)),""))</f>
      </c>
      <c r="G32" s="27">
        <f>IF($A32="","",IFERROR(INDEX('זה אני - קליטה'!$AC$5:$AC$204,MATCH($A32&amp;"|אמצע שנה",'זה אני - קליטה'!$Z$5:$Z$204,0)),""))</f>
      </c>
      <c r="H32" s="37">
        <f>IF($A32="","",IFERROR(INDEX('זה אני - קליטה'!$AG$5:$AG$204,MATCH($A32&amp;"|סוף שנה",'זה אני - קליטה'!$Z$5:$Z$204,0)),""))</f>
      </c>
      <c r="I32" s="26">
        <f>IF($A32="","",IFERROR(INDEX('זה אני - קליטה'!$AA$5:$AA$204,MATCH($A32&amp;"|סוף שנה",'זה אני - קליטה'!$Z$5:$Z$204,0)),""))</f>
      </c>
      <c r="J32" s="27">
        <f>IF($A32="","",IFERROR(INDEX('זה אני - קליטה'!$AC$5:$AC$204,MATCH($A32&amp;"|סוף שנה",'זה אני - קליטה'!$Z$5:$Z$204,0)),""))</f>
      </c>
      <c r="K32" s="36">
        <f>IF(AND(ISNUMBER(B32),ISNUMBER(H32)),H32-B32,"")</f>
      </c>
      <c r="L32" s="26">
        <f>IF(K32="","",IF(K32&gt;=1,"עלייה",IF(K32&lt;=-1,"ירידה","יציב")))</f>
      </c>
    </row>
    <row r="33" ht="15" customHeight="1" spans="1:12" x14ac:dyDescent="0.25">
      <c r="A33" s="29"/>
      <c r="B33" s="37">
        <f>IF($A33="","",IFERROR(INDEX('זה אני - קליטה'!$AG$5:$AG$204,MATCH($A33&amp;"|תחילת שנה",'זה אני - קליטה'!$Z$5:$Z$204,0)),""))</f>
      </c>
      <c r="C33" s="26">
        <f>IF($A33="","",IFERROR(INDEX('זה אני - קליטה'!$AA$5:$AA$204,MATCH($A33&amp;"|תחילת שנה",'זה אני - קליטה'!$Z$5:$Z$204,0)),""))</f>
      </c>
      <c r="D33" s="27">
        <f>IF($A33="","",IFERROR(INDEX('זה אני - קליטה'!$AC$5:$AC$204,MATCH($A33&amp;"|תחילת שנה",'זה אני - קליטה'!$Z$5:$Z$204,0)),""))</f>
      </c>
      <c r="E33" s="37">
        <f>IF($A33="","",IFERROR(INDEX('זה אני - קליטה'!$AG$5:$AG$204,MATCH($A33&amp;"|אמצע שנה",'זה אני - קליטה'!$Z$5:$Z$204,0)),""))</f>
      </c>
      <c r="F33" s="26">
        <f>IF($A33="","",IFERROR(INDEX('זה אני - קליטה'!$AA$5:$AA$204,MATCH($A33&amp;"|אמצע שנה",'זה אני - קליטה'!$Z$5:$Z$204,0)),""))</f>
      </c>
      <c r="G33" s="27">
        <f>IF($A33="","",IFERROR(INDEX('זה אני - קליטה'!$AC$5:$AC$204,MATCH($A33&amp;"|אמצע שנה",'זה אני - קליטה'!$Z$5:$Z$204,0)),""))</f>
      </c>
      <c r="H33" s="37">
        <f>IF($A33="","",IFERROR(INDEX('זה אני - קליטה'!$AG$5:$AG$204,MATCH($A33&amp;"|סוף שנה",'זה אני - קליטה'!$Z$5:$Z$204,0)),""))</f>
      </c>
      <c r="I33" s="26">
        <f>IF($A33="","",IFERROR(INDEX('זה אני - קליטה'!$AA$5:$AA$204,MATCH($A33&amp;"|סוף שנה",'זה אני - קליטה'!$Z$5:$Z$204,0)),""))</f>
      </c>
      <c r="J33" s="27">
        <f>IF($A33="","",IFERROR(INDEX('זה אני - קליטה'!$AC$5:$AC$204,MATCH($A33&amp;"|סוף שנה",'זה אני - קליטה'!$Z$5:$Z$204,0)),""))</f>
      </c>
      <c r="K33" s="36">
        <f>IF(AND(ISNUMBER(B33),ISNUMBER(H33)),H33-B33,"")</f>
      </c>
      <c r="L33" s="26">
        <f>IF(K33="","",IF(K33&gt;=1,"עלייה",IF(K33&lt;=-1,"ירידה","יציב")))</f>
      </c>
    </row>
    <row r="34" ht="15" customHeight="1" spans="1:12" x14ac:dyDescent="0.25">
      <c r="A34" s="29"/>
      <c r="B34" s="37">
        <f>IF($A34="","",IFERROR(INDEX('זה אני - קליטה'!$AG$5:$AG$204,MATCH($A34&amp;"|תחילת שנה",'זה אני - קליטה'!$Z$5:$Z$204,0)),""))</f>
      </c>
      <c r="C34" s="26">
        <f>IF($A34="","",IFERROR(INDEX('זה אני - קליטה'!$AA$5:$AA$204,MATCH($A34&amp;"|תחילת שנה",'זה אני - קליטה'!$Z$5:$Z$204,0)),""))</f>
      </c>
      <c r="D34" s="27">
        <f>IF($A34="","",IFERROR(INDEX('זה אני - קליטה'!$AC$5:$AC$204,MATCH($A34&amp;"|תחילת שנה",'זה אני - קליטה'!$Z$5:$Z$204,0)),""))</f>
      </c>
      <c r="E34" s="37">
        <f>IF($A34="","",IFERROR(INDEX('זה אני - קליטה'!$AG$5:$AG$204,MATCH($A34&amp;"|אמצע שנה",'זה אני - קליטה'!$Z$5:$Z$204,0)),""))</f>
      </c>
      <c r="F34" s="26">
        <f>IF($A34="","",IFERROR(INDEX('זה אני - קליטה'!$AA$5:$AA$204,MATCH($A34&amp;"|אמצע שנה",'זה אני - קליטה'!$Z$5:$Z$204,0)),""))</f>
      </c>
      <c r="G34" s="27">
        <f>IF($A34="","",IFERROR(INDEX('זה אני - קליטה'!$AC$5:$AC$204,MATCH($A34&amp;"|אמצע שנה",'זה אני - קליטה'!$Z$5:$Z$204,0)),""))</f>
      </c>
      <c r="H34" s="37">
        <f>IF($A34="","",IFERROR(INDEX('זה אני - קליטה'!$AG$5:$AG$204,MATCH($A34&amp;"|סוף שנה",'זה אני - קליטה'!$Z$5:$Z$204,0)),""))</f>
      </c>
      <c r="I34" s="26">
        <f>IF($A34="","",IFERROR(INDEX('זה אני - קליטה'!$AA$5:$AA$204,MATCH($A34&amp;"|סוף שנה",'זה אני - קליטה'!$Z$5:$Z$204,0)),""))</f>
      </c>
      <c r="J34" s="27">
        <f>IF($A34="","",IFERROR(INDEX('זה אני - קליטה'!$AC$5:$AC$204,MATCH($A34&amp;"|סוף שנה",'זה אני - קליטה'!$Z$5:$Z$204,0)),""))</f>
      </c>
      <c r="K34" s="36">
        <f>IF(AND(ISNUMBER(B34),ISNUMBER(H34)),H34-B34,"")</f>
      </c>
      <c r="L34" s="26">
        <f>IF(K34="","",IF(K34&gt;=1,"עלייה",IF(K34&lt;=-1,"ירידה","יציב")))</f>
      </c>
    </row>
    <row r="35" ht="15" customHeight="1" spans="1:12" x14ac:dyDescent="0.25">
      <c r="A35" s="29"/>
      <c r="B35" s="37">
        <f>IF($A35="","",IFERROR(INDEX('זה אני - קליטה'!$AG$5:$AG$204,MATCH($A35&amp;"|תחילת שנה",'זה אני - קליטה'!$Z$5:$Z$204,0)),""))</f>
      </c>
      <c r="C35" s="26">
        <f>IF($A35="","",IFERROR(INDEX('זה אני - קליטה'!$AA$5:$AA$204,MATCH($A35&amp;"|תחילת שנה",'זה אני - קליטה'!$Z$5:$Z$204,0)),""))</f>
      </c>
      <c r="D35" s="27">
        <f>IF($A35="","",IFERROR(INDEX('זה אני - קליטה'!$AC$5:$AC$204,MATCH($A35&amp;"|תחילת שנה",'זה אני - קליטה'!$Z$5:$Z$204,0)),""))</f>
      </c>
      <c r="E35" s="37">
        <f>IF($A35="","",IFERROR(INDEX('זה אני - קליטה'!$AG$5:$AG$204,MATCH($A35&amp;"|אמצע שנה",'זה אני - קליטה'!$Z$5:$Z$204,0)),""))</f>
      </c>
      <c r="F35" s="26">
        <f>IF($A35="","",IFERROR(INDEX('זה אני - קליטה'!$AA$5:$AA$204,MATCH($A35&amp;"|אמצע שנה",'זה אני - קליטה'!$Z$5:$Z$204,0)),""))</f>
      </c>
      <c r="G35" s="27">
        <f>IF($A35="","",IFERROR(INDEX('זה אני - קליטה'!$AC$5:$AC$204,MATCH($A35&amp;"|אמצע שנה",'זה אני - קליטה'!$Z$5:$Z$204,0)),""))</f>
      </c>
      <c r="H35" s="37">
        <f>IF($A35="","",IFERROR(INDEX('זה אני - קליטה'!$AG$5:$AG$204,MATCH($A35&amp;"|סוף שנה",'זה אני - קליטה'!$Z$5:$Z$204,0)),""))</f>
      </c>
      <c r="I35" s="26">
        <f>IF($A35="","",IFERROR(INDEX('זה אני - קליטה'!$AA$5:$AA$204,MATCH($A35&amp;"|סוף שנה",'זה אני - קליטה'!$Z$5:$Z$204,0)),""))</f>
      </c>
      <c r="J35" s="27">
        <f>IF($A35="","",IFERROR(INDEX('זה אני - קליטה'!$AC$5:$AC$204,MATCH($A35&amp;"|סוף שנה",'זה אני - קליטה'!$Z$5:$Z$204,0)),""))</f>
      </c>
      <c r="K35" s="36">
        <f>IF(AND(ISNUMBER(B35),ISNUMBER(H35)),H35-B35,"")</f>
      </c>
      <c r="L35" s="26">
        <f>IF(K35="","",IF(K35&gt;=1,"עלייה",IF(K35&lt;=-1,"ירידה","יציב")))</f>
      </c>
    </row>
    <row r="36" ht="15" customHeight="1" spans="1:12" x14ac:dyDescent="0.25">
      <c r="A36" s="29"/>
      <c r="B36" s="37">
        <f>IF($A36="","",IFERROR(INDEX('זה אני - קליטה'!$AG$5:$AG$204,MATCH($A36&amp;"|תחילת שנה",'זה אני - קליטה'!$Z$5:$Z$204,0)),""))</f>
      </c>
      <c r="C36" s="26">
        <f>IF($A36="","",IFERROR(INDEX('זה אני - קליטה'!$AA$5:$AA$204,MATCH($A36&amp;"|תחילת שנה",'זה אני - קליטה'!$Z$5:$Z$204,0)),""))</f>
      </c>
      <c r="D36" s="27">
        <f>IF($A36="","",IFERROR(INDEX('זה אני - קליטה'!$AC$5:$AC$204,MATCH($A36&amp;"|תחילת שנה",'זה אני - קליטה'!$Z$5:$Z$204,0)),""))</f>
      </c>
      <c r="E36" s="37">
        <f>IF($A36="","",IFERROR(INDEX('זה אני - קליטה'!$AG$5:$AG$204,MATCH($A36&amp;"|אמצע שנה",'זה אני - קליטה'!$Z$5:$Z$204,0)),""))</f>
      </c>
      <c r="F36" s="26">
        <f>IF($A36="","",IFERROR(INDEX('זה אני - קליטה'!$AA$5:$AA$204,MATCH($A36&amp;"|אמצע שנה",'זה אני - קליטה'!$Z$5:$Z$204,0)),""))</f>
      </c>
      <c r="G36" s="27">
        <f>IF($A36="","",IFERROR(INDEX('זה אני - קליטה'!$AC$5:$AC$204,MATCH($A36&amp;"|אמצע שנה",'זה אני - קליטה'!$Z$5:$Z$204,0)),""))</f>
      </c>
      <c r="H36" s="37">
        <f>IF($A36="","",IFERROR(INDEX('זה אני - קליטה'!$AG$5:$AG$204,MATCH($A36&amp;"|סוף שנה",'זה אני - קליטה'!$Z$5:$Z$204,0)),""))</f>
      </c>
      <c r="I36" s="26">
        <f>IF($A36="","",IFERROR(INDEX('זה אני - קליטה'!$AA$5:$AA$204,MATCH($A36&amp;"|סוף שנה",'זה אני - קליטה'!$Z$5:$Z$204,0)),""))</f>
      </c>
      <c r="J36" s="27">
        <f>IF($A36="","",IFERROR(INDEX('זה אני - קליטה'!$AC$5:$AC$204,MATCH($A36&amp;"|סוף שנה",'זה אני - קליטה'!$Z$5:$Z$204,0)),""))</f>
      </c>
      <c r="K36" s="36">
        <f>IF(AND(ISNUMBER(B36),ISNUMBER(H36)),H36-B36,"")</f>
      </c>
      <c r="L36" s="26">
        <f>IF(K36="","",IF(K36&gt;=1,"עלייה",IF(K36&lt;=-1,"ירידה","יציב")))</f>
      </c>
    </row>
    <row r="37" ht="15" customHeight="1" spans="1:12" x14ac:dyDescent="0.25">
      <c r="A37" s="29"/>
      <c r="B37" s="37">
        <f>IF($A37="","",IFERROR(INDEX('זה אני - קליטה'!$AG$5:$AG$204,MATCH($A37&amp;"|תחילת שנה",'זה אני - קליטה'!$Z$5:$Z$204,0)),""))</f>
      </c>
      <c r="C37" s="26">
        <f>IF($A37="","",IFERROR(INDEX('זה אני - קליטה'!$AA$5:$AA$204,MATCH($A37&amp;"|תחילת שנה",'זה אני - קליטה'!$Z$5:$Z$204,0)),""))</f>
      </c>
      <c r="D37" s="27">
        <f>IF($A37="","",IFERROR(INDEX('זה אני - קליטה'!$AC$5:$AC$204,MATCH($A37&amp;"|תחילת שנה",'זה אני - קליטה'!$Z$5:$Z$204,0)),""))</f>
      </c>
      <c r="E37" s="37">
        <f>IF($A37="","",IFERROR(INDEX('זה אני - קליטה'!$AG$5:$AG$204,MATCH($A37&amp;"|אמצע שנה",'זה אני - קליטה'!$Z$5:$Z$204,0)),""))</f>
      </c>
      <c r="F37" s="26">
        <f>IF($A37="","",IFERROR(INDEX('זה אני - קליטה'!$AA$5:$AA$204,MATCH($A37&amp;"|אמצע שנה",'זה אני - קליטה'!$Z$5:$Z$204,0)),""))</f>
      </c>
      <c r="G37" s="27">
        <f>IF($A37="","",IFERROR(INDEX('זה אני - קליטה'!$AC$5:$AC$204,MATCH($A37&amp;"|אמצע שנה",'זה אני - קליטה'!$Z$5:$Z$204,0)),""))</f>
      </c>
      <c r="H37" s="37">
        <f>IF($A37="","",IFERROR(INDEX('זה אני - קליטה'!$AG$5:$AG$204,MATCH($A37&amp;"|סוף שנה",'זה אני - קליטה'!$Z$5:$Z$204,0)),""))</f>
      </c>
      <c r="I37" s="26">
        <f>IF($A37="","",IFERROR(INDEX('זה אני - קליטה'!$AA$5:$AA$204,MATCH($A37&amp;"|סוף שנה",'זה אני - קליטה'!$Z$5:$Z$204,0)),""))</f>
      </c>
      <c r="J37" s="27">
        <f>IF($A37="","",IFERROR(INDEX('זה אני - קליטה'!$AC$5:$AC$204,MATCH($A37&amp;"|סוף שנה",'זה אני - קליטה'!$Z$5:$Z$204,0)),""))</f>
      </c>
      <c r="K37" s="36">
        <f>IF(AND(ISNUMBER(B37),ISNUMBER(H37)),H37-B37,"")</f>
      </c>
      <c r="L37" s="26">
        <f>IF(K37="","",IF(K37&gt;=1,"עלייה",IF(K37&lt;=-1,"ירידה","יציב")))</f>
      </c>
    </row>
    <row r="38" ht="15" customHeight="1" spans="1:12" x14ac:dyDescent="0.25">
      <c r="A38" s="29"/>
      <c r="B38" s="37">
        <f>IF($A38="","",IFERROR(INDEX('זה אני - קליטה'!$AG$5:$AG$204,MATCH($A38&amp;"|תחילת שנה",'זה אני - קליטה'!$Z$5:$Z$204,0)),""))</f>
      </c>
      <c r="C38" s="26">
        <f>IF($A38="","",IFERROR(INDEX('זה אני - קליטה'!$AA$5:$AA$204,MATCH($A38&amp;"|תחילת שנה",'זה אני - קליטה'!$Z$5:$Z$204,0)),""))</f>
      </c>
      <c r="D38" s="27">
        <f>IF($A38="","",IFERROR(INDEX('זה אני - קליטה'!$AC$5:$AC$204,MATCH($A38&amp;"|תחילת שנה",'זה אני - קליטה'!$Z$5:$Z$204,0)),""))</f>
      </c>
      <c r="E38" s="37">
        <f>IF($A38="","",IFERROR(INDEX('זה אני - קליטה'!$AG$5:$AG$204,MATCH($A38&amp;"|אמצע שנה",'זה אני - קליטה'!$Z$5:$Z$204,0)),""))</f>
      </c>
      <c r="F38" s="26">
        <f>IF($A38="","",IFERROR(INDEX('זה אני - קליטה'!$AA$5:$AA$204,MATCH($A38&amp;"|אמצע שנה",'זה אני - קליטה'!$Z$5:$Z$204,0)),""))</f>
      </c>
      <c r="G38" s="27">
        <f>IF($A38="","",IFERROR(INDEX('זה אני - קליטה'!$AC$5:$AC$204,MATCH($A38&amp;"|אמצע שנה",'זה אני - קליטה'!$Z$5:$Z$204,0)),""))</f>
      </c>
      <c r="H38" s="37">
        <f>IF($A38="","",IFERROR(INDEX('זה אני - קליטה'!$AG$5:$AG$204,MATCH($A38&amp;"|סוף שנה",'זה אני - קליטה'!$Z$5:$Z$204,0)),""))</f>
      </c>
      <c r="I38" s="26">
        <f>IF($A38="","",IFERROR(INDEX('זה אני - קליטה'!$AA$5:$AA$204,MATCH($A38&amp;"|סוף שנה",'זה אני - קליטה'!$Z$5:$Z$204,0)),""))</f>
      </c>
      <c r="J38" s="27">
        <f>IF($A38="","",IFERROR(INDEX('זה אני - קליטה'!$AC$5:$AC$204,MATCH($A38&amp;"|סוף שנה",'זה אני - קליטה'!$Z$5:$Z$204,0)),""))</f>
      </c>
      <c r="K38" s="36">
        <f>IF(AND(ISNUMBER(B38),ISNUMBER(H38)),H38-B38,"")</f>
      </c>
      <c r="L38" s="26">
        <f>IF(K38="","",IF(K38&gt;=1,"עלייה",IF(K38&lt;=-1,"ירידה","יציב")))</f>
      </c>
    </row>
    <row r="39" ht="15" customHeight="1" spans="1:12" x14ac:dyDescent="0.25">
      <c r="A39" s="29"/>
      <c r="B39" s="37">
        <f>IF($A39="","",IFERROR(INDEX('זה אני - קליטה'!$AG$5:$AG$204,MATCH($A39&amp;"|תחילת שנה",'זה אני - קליטה'!$Z$5:$Z$204,0)),""))</f>
      </c>
      <c r="C39" s="26">
        <f>IF($A39="","",IFERROR(INDEX('זה אני - קליטה'!$AA$5:$AA$204,MATCH($A39&amp;"|תחילת שנה",'זה אני - קליטה'!$Z$5:$Z$204,0)),""))</f>
      </c>
      <c r="D39" s="27">
        <f>IF($A39="","",IFERROR(INDEX('זה אני - קליטה'!$AC$5:$AC$204,MATCH($A39&amp;"|תחילת שנה",'זה אני - קליטה'!$Z$5:$Z$204,0)),""))</f>
      </c>
      <c r="E39" s="37">
        <f>IF($A39="","",IFERROR(INDEX('זה אני - קליטה'!$AG$5:$AG$204,MATCH($A39&amp;"|אמצע שנה",'זה אני - קליטה'!$Z$5:$Z$204,0)),""))</f>
      </c>
      <c r="F39" s="26">
        <f>IF($A39="","",IFERROR(INDEX('זה אני - קליטה'!$AA$5:$AA$204,MATCH($A39&amp;"|אמצע שנה",'זה אני - קליטה'!$Z$5:$Z$204,0)),""))</f>
      </c>
      <c r="G39" s="27">
        <f>IF($A39="","",IFERROR(INDEX('זה אני - קליטה'!$AC$5:$AC$204,MATCH($A39&amp;"|אמצע שנה",'זה אני - קליטה'!$Z$5:$Z$204,0)),""))</f>
      </c>
      <c r="H39" s="37">
        <f>IF($A39="","",IFERROR(INDEX('זה אני - קליטה'!$AG$5:$AG$204,MATCH($A39&amp;"|סוף שנה",'זה אני - קליטה'!$Z$5:$Z$204,0)),""))</f>
      </c>
      <c r="I39" s="26">
        <f>IF($A39="","",IFERROR(INDEX('זה אני - קליטה'!$AA$5:$AA$204,MATCH($A39&amp;"|סוף שנה",'זה אני - קליטה'!$Z$5:$Z$204,0)),""))</f>
      </c>
      <c r="J39" s="27">
        <f>IF($A39="","",IFERROR(INDEX('זה אני - קליטה'!$AC$5:$AC$204,MATCH($A39&amp;"|סוף שנה",'זה אני - קליטה'!$Z$5:$Z$204,0)),""))</f>
      </c>
      <c r="K39" s="36">
        <f>IF(AND(ISNUMBER(B39),ISNUMBER(H39)),H39-B39,"")</f>
      </c>
      <c r="L39" s="26">
        <f>IF(K39="","",IF(K39&gt;=1,"עלייה",IF(K39&lt;=-1,"ירידה","יציב")))</f>
      </c>
    </row>
    <row r="40" ht="15" customHeight="1" spans="1:12" x14ac:dyDescent="0.25">
      <c r="A40" s="29"/>
      <c r="B40" s="37">
        <f>IF($A40="","",IFERROR(INDEX('זה אני - קליטה'!$AG$5:$AG$204,MATCH($A40&amp;"|תחילת שנה",'זה אני - קליטה'!$Z$5:$Z$204,0)),""))</f>
      </c>
      <c r="C40" s="26">
        <f>IF($A40="","",IFERROR(INDEX('זה אני - קליטה'!$AA$5:$AA$204,MATCH($A40&amp;"|תחילת שנה",'זה אני - קליטה'!$Z$5:$Z$204,0)),""))</f>
      </c>
      <c r="D40" s="27">
        <f>IF($A40="","",IFERROR(INDEX('זה אני - קליטה'!$AC$5:$AC$204,MATCH($A40&amp;"|תחילת שנה",'זה אני - קליטה'!$Z$5:$Z$204,0)),""))</f>
      </c>
      <c r="E40" s="37">
        <f>IF($A40="","",IFERROR(INDEX('זה אני - קליטה'!$AG$5:$AG$204,MATCH($A40&amp;"|אמצע שנה",'זה אני - קליטה'!$Z$5:$Z$204,0)),""))</f>
      </c>
      <c r="F40" s="26">
        <f>IF($A40="","",IFERROR(INDEX('זה אני - קליטה'!$AA$5:$AA$204,MATCH($A40&amp;"|אמצע שנה",'זה אני - קליטה'!$Z$5:$Z$204,0)),""))</f>
      </c>
      <c r="G40" s="27">
        <f>IF($A40="","",IFERROR(INDEX('זה אני - קליטה'!$AC$5:$AC$204,MATCH($A40&amp;"|אמצע שנה",'זה אני - קליטה'!$Z$5:$Z$204,0)),""))</f>
      </c>
      <c r="H40" s="37">
        <f>IF($A40="","",IFERROR(INDEX('זה אני - קליטה'!$AG$5:$AG$204,MATCH($A40&amp;"|סוף שנה",'זה אני - קליטה'!$Z$5:$Z$204,0)),""))</f>
      </c>
      <c r="I40" s="26">
        <f>IF($A40="","",IFERROR(INDEX('זה אני - קליטה'!$AA$5:$AA$204,MATCH($A40&amp;"|סוף שנה",'זה אני - קליטה'!$Z$5:$Z$204,0)),""))</f>
      </c>
      <c r="J40" s="27">
        <f>IF($A40="","",IFERROR(INDEX('זה אני - קליטה'!$AC$5:$AC$204,MATCH($A40&amp;"|סוף שנה",'זה אני - קליטה'!$Z$5:$Z$204,0)),""))</f>
      </c>
      <c r="K40" s="36">
        <f>IF(AND(ISNUMBER(B40),ISNUMBER(H40)),H40-B40,"")</f>
      </c>
      <c r="L40" s="26">
        <f>IF(K40="","",IF(K40&gt;=1,"עלייה",IF(K40&lt;=-1,"ירידה","יציב")))</f>
      </c>
    </row>
    <row r="41" ht="15" customHeight="1" spans="1:12" x14ac:dyDescent="0.25">
      <c r="A41" s="29"/>
      <c r="B41" s="37">
        <f>IF($A41="","",IFERROR(INDEX('זה אני - קליטה'!$AG$5:$AG$204,MATCH($A41&amp;"|תחילת שנה",'זה אני - קליטה'!$Z$5:$Z$204,0)),""))</f>
      </c>
      <c r="C41" s="26">
        <f>IF($A41="","",IFERROR(INDEX('זה אני - קליטה'!$AA$5:$AA$204,MATCH($A41&amp;"|תחילת שנה",'זה אני - קליטה'!$Z$5:$Z$204,0)),""))</f>
      </c>
      <c r="D41" s="27">
        <f>IF($A41="","",IFERROR(INDEX('זה אני - קליטה'!$AC$5:$AC$204,MATCH($A41&amp;"|תחילת שנה",'זה אני - קליטה'!$Z$5:$Z$204,0)),""))</f>
      </c>
      <c r="E41" s="37">
        <f>IF($A41="","",IFERROR(INDEX('זה אני - קליטה'!$AG$5:$AG$204,MATCH($A41&amp;"|אמצע שנה",'זה אני - קליטה'!$Z$5:$Z$204,0)),""))</f>
      </c>
      <c r="F41" s="26">
        <f>IF($A41="","",IFERROR(INDEX('זה אני - קליטה'!$AA$5:$AA$204,MATCH($A41&amp;"|אמצע שנה",'זה אני - קליטה'!$Z$5:$Z$204,0)),""))</f>
      </c>
      <c r="G41" s="27">
        <f>IF($A41="","",IFERROR(INDEX('זה אני - קליטה'!$AC$5:$AC$204,MATCH($A41&amp;"|אמצע שנה",'זה אני - קליטה'!$Z$5:$Z$204,0)),""))</f>
      </c>
      <c r="H41" s="37">
        <f>IF($A41="","",IFERROR(INDEX('זה אני - קליטה'!$AG$5:$AG$204,MATCH($A41&amp;"|סוף שנה",'זה אני - קליטה'!$Z$5:$Z$204,0)),""))</f>
      </c>
      <c r="I41" s="26">
        <f>IF($A41="","",IFERROR(INDEX('זה אני - קליטה'!$AA$5:$AA$204,MATCH($A41&amp;"|סוף שנה",'זה אני - קליטה'!$Z$5:$Z$204,0)),""))</f>
      </c>
      <c r="J41" s="27">
        <f>IF($A41="","",IFERROR(INDEX('זה אני - קליטה'!$AC$5:$AC$204,MATCH($A41&amp;"|סוף שנה",'זה אני - קליטה'!$Z$5:$Z$204,0)),""))</f>
      </c>
      <c r="K41" s="36">
        <f>IF(AND(ISNUMBER(B41),ISNUMBER(H41)),H41-B41,"")</f>
      </c>
      <c r="L41" s="26">
        <f>IF(K41="","",IF(K41&gt;=1,"עלייה",IF(K41&lt;=-1,"ירידה","יציב")))</f>
      </c>
    </row>
    <row r="42" ht="15" customHeight="1" spans="1:12" x14ac:dyDescent="0.25">
      <c r="A42" s="29"/>
      <c r="B42" s="37">
        <f>IF($A42="","",IFERROR(INDEX('זה אני - קליטה'!$AG$5:$AG$204,MATCH($A42&amp;"|תחילת שנה",'זה אני - קליטה'!$Z$5:$Z$204,0)),""))</f>
      </c>
      <c r="C42" s="26">
        <f>IF($A42="","",IFERROR(INDEX('זה אני - קליטה'!$AA$5:$AA$204,MATCH($A42&amp;"|תחילת שנה",'זה אני - קליטה'!$Z$5:$Z$204,0)),""))</f>
      </c>
      <c r="D42" s="27">
        <f>IF($A42="","",IFERROR(INDEX('זה אני - קליטה'!$AC$5:$AC$204,MATCH($A42&amp;"|תחילת שנה",'זה אני - קליטה'!$Z$5:$Z$204,0)),""))</f>
      </c>
      <c r="E42" s="37">
        <f>IF($A42="","",IFERROR(INDEX('זה אני - קליטה'!$AG$5:$AG$204,MATCH($A42&amp;"|אמצע שנה",'זה אני - קליטה'!$Z$5:$Z$204,0)),""))</f>
      </c>
      <c r="F42" s="26">
        <f>IF($A42="","",IFERROR(INDEX('זה אני - קליטה'!$AA$5:$AA$204,MATCH($A42&amp;"|אמצע שנה",'זה אני - קליטה'!$Z$5:$Z$204,0)),""))</f>
      </c>
      <c r="G42" s="27">
        <f>IF($A42="","",IFERROR(INDEX('זה אני - קליטה'!$AC$5:$AC$204,MATCH($A42&amp;"|אמצע שנה",'זה אני - קליטה'!$Z$5:$Z$204,0)),""))</f>
      </c>
      <c r="H42" s="37">
        <f>IF($A42="","",IFERROR(INDEX('זה אני - קליטה'!$AG$5:$AG$204,MATCH($A42&amp;"|סוף שנה",'זה אני - קליטה'!$Z$5:$Z$204,0)),""))</f>
      </c>
      <c r="I42" s="26">
        <f>IF($A42="","",IFERROR(INDEX('זה אני - קליטה'!$AA$5:$AA$204,MATCH($A42&amp;"|סוף שנה",'זה אני - קליטה'!$Z$5:$Z$204,0)),""))</f>
      </c>
      <c r="J42" s="27">
        <f>IF($A42="","",IFERROR(INDEX('זה אני - קליטה'!$AC$5:$AC$204,MATCH($A42&amp;"|סוף שנה",'זה אני - קליטה'!$Z$5:$Z$204,0)),""))</f>
      </c>
      <c r="K42" s="36">
        <f>IF(AND(ISNUMBER(B42),ISNUMBER(H42)),H42-B42,"")</f>
      </c>
      <c r="L42" s="26">
        <f>IF(K42="","",IF(K42&gt;=1,"עלייה",IF(K42&lt;=-1,"ירידה","יציב")))</f>
      </c>
    </row>
    <row r="43" ht="15" customHeight="1" spans="1:12" x14ac:dyDescent="0.25">
      <c r="A43" s="29"/>
      <c r="B43" s="37">
        <f>IF($A43="","",IFERROR(INDEX('זה אני - קליטה'!$AG$5:$AG$204,MATCH($A43&amp;"|תחילת שנה",'זה אני - קליטה'!$Z$5:$Z$204,0)),""))</f>
      </c>
      <c r="C43" s="26">
        <f>IF($A43="","",IFERROR(INDEX('זה אני - קליטה'!$AA$5:$AA$204,MATCH($A43&amp;"|תחילת שנה",'זה אני - קליטה'!$Z$5:$Z$204,0)),""))</f>
      </c>
      <c r="D43" s="27">
        <f>IF($A43="","",IFERROR(INDEX('זה אני - קליטה'!$AC$5:$AC$204,MATCH($A43&amp;"|תחילת שנה",'זה אני - קליטה'!$Z$5:$Z$204,0)),""))</f>
      </c>
      <c r="E43" s="37">
        <f>IF($A43="","",IFERROR(INDEX('זה אני - קליטה'!$AG$5:$AG$204,MATCH($A43&amp;"|אמצע שנה",'זה אני - קליטה'!$Z$5:$Z$204,0)),""))</f>
      </c>
      <c r="F43" s="26">
        <f>IF($A43="","",IFERROR(INDEX('זה אני - קליטה'!$AA$5:$AA$204,MATCH($A43&amp;"|אמצע שנה",'זה אני - קליטה'!$Z$5:$Z$204,0)),""))</f>
      </c>
      <c r="G43" s="27">
        <f>IF($A43="","",IFERROR(INDEX('זה אני - קליטה'!$AC$5:$AC$204,MATCH($A43&amp;"|אמצע שנה",'זה אני - קליטה'!$Z$5:$Z$204,0)),""))</f>
      </c>
      <c r="H43" s="37">
        <f>IF($A43="","",IFERROR(INDEX('זה אני - קליטה'!$AG$5:$AG$204,MATCH($A43&amp;"|סוף שנה",'זה אני - קליטה'!$Z$5:$Z$204,0)),""))</f>
      </c>
      <c r="I43" s="26">
        <f>IF($A43="","",IFERROR(INDEX('זה אני - קליטה'!$AA$5:$AA$204,MATCH($A43&amp;"|סוף שנה",'זה אני - קליטה'!$Z$5:$Z$204,0)),""))</f>
      </c>
      <c r="J43" s="27">
        <f>IF($A43="","",IFERROR(INDEX('זה אני - קליטה'!$AC$5:$AC$204,MATCH($A43&amp;"|סוף שנה",'זה אני - קליטה'!$Z$5:$Z$204,0)),""))</f>
      </c>
      <c r="K43" s="36">
        <f>IF(AND(ISNUMBER(B43),ISNUMBER(H43)),H43-B43,"")</f>
      </c>
      <c r="L43" s="26">
        <f>IF(K43="","",IF(K43&gt;=1,"עלייה",IF(K43&lt;=-1,"ירידה","יציב")))</f>
      </c>
    </row>
    <row r="44" ht="15" customHeight="1" spans="1:12" x14ac:dyDescent="0.25">
      <c r="A44" s="29"/>
      <c r="B44" s="37">
        <f>IF($A44="","",IFERROR(INDEX('זה אני - קליטה'!$AG$5:$AG$204,MATCH($A44&amp;"|תחילת שנה",'זה אני - קליטה'!$Z$5:$Z$204,0)),""))</f>
      </c>
      <c r="C44" s="26">
        <f>IF($A44="","",IFERROR(INDEX('זה אני - קליטה'!$AA$5:$AA$204,MATCH($A44&amp;"|תחילת שנה",'זה אני - קליטה'!$Z$5:$Z$204,0)),""))</f>
      </c>
      <c r="D44" s="27">
        <f>IF($A44="","",IFERROR(INDEX('זה אני - קליטה'!$AC$5:$AC$204,MATCH($A44&amp;"|תחילת שנה",'זה אני - קליטה'!$Z$5:$Z$204,0)),""))</f>
      </c>
      <c r="E44" s="37">
        <f>IF($A44="","",IFERROR(INDEX('זה אני - קליטה'!$AG$5:$AG$204,MATCH($A44&amp;"|אמצע שנה",'זה אני - קליטה'!$Z$5:$Z$204,0)),""))</f>
      </c>
      <c r="F44" s="26">
        <f>IF($A44="","",IFERROR(INDEX('זה אני - קליטה'!$AA$5:$AA$204,MATCH($A44&amp;"|אמצע שנה",'זה אני - קליטה'!$Z$5:$Z$204,0)),""))</f>
      </c>
      <c r="G44" s="27">
        <f>IF($A44="","",IFERROR(INDEX('זה אני - קליטה'!$AC$5:$AC$204,MATCH($A44&amp;"|אמצע שנה",'זה אני - קליטה'!$Z$5:$Z$204,0)),""))</f>
      </c>
      <c r="H44" s="37">
        <f>IF($A44="","",IFERROR(INDEX('זה אני - קליטה'!$AG$5:$AG$204,MATCH($A44&amp;"|סוף שנה",'זה אני - קליטה'!$Z$5:$Z$204,0)),""))</f>
      </c>
      <c r="I44" s="26">
        <f>IF($A44="","",IFERROR(INDEX('זה אני - קליטה'!$AA$5:$AA$204,MATCH($A44&amp;"|סוף שנה",'זה אני - קליטה'!$Z$5:$Z$204,0)),""))</f>
      </c>
      <c r="J44" s="27">
        <f>IF($A44="","",IFERROR(INDEX('זה אני - קליטה'!$AC$5:$AC$204,MATCH($A44&amp;"|סוף שנה",'זה אני - קליטה'!$Z$5:$Z$204,0)),""))</f>
      </c>
      <c r="K44" s="36">
        <f>IF(AND(ISNUMBER(B44),ISNUMBER(H44)),H44-B44,"")</f>
      </c>
      <c r="L44" s="26">
        <f>IF(K44="","",IF(K44&gt;=1,"עלייה",IF(K44&lt;=-1,"ירידה","יציב")))</f>
      </c>
    </row>
    <row r="45" ht="15" customHeight="1" spans="1:12" x14ac:dyDescent="0.25">
      <c r="A45" s="29"/>
      <c r="B45" s="37">
        <f>IF($A45="","",IFERROR(INDEX('זה אני - קליטה'!$AG$5:$AG$204,MATCH($A45&amp;"|תחילת שנה",'זה אני - קליטה'!$Z$5:$Z$204,0)),""))</f>
      </c>
      <c r="C45" s="26">
        <f>IF($A45="","",IFERROR(INDEX('זה אני - קליטה'!$AA$5:$AA$204,MATCH($A45&amp;"|תחילת שנה",'זה אני - קליטה'!$Z$5:$Z$204,0)),""))</f>
      </c>
      <c r="D45" s="27">
        <f>IF($A45="","",IFERROR(INDEX('זה אני - קליטה'!$AC$5:$AC$204,MATCH($A45&amp;"|תחילת שנה",'זה אני - קליטה'!$Z$5:$Z$204,0)),""))</f>
      </c>
      <c r="E45" s="37">
        <f>IF($A45="","",IFERROR(INDEX('זה אני - קליטה'!$AG$5:$AG$204,MATCH($A45&amp;"|אמצע שנה",'זה אני - קליטה'!$Z$5:$Z$204,0)),""))</f>
      </c>
      <c r="F45" s="26">
        <f>IF($A45="","",IFERROR(INDEX('זה אני - קליטה'!$AA$5:$AA$204,MATCH($A45&amp;"|אמצע שנה",'זה אני - קליטה'!$Z$5:$Z$204,0)),""))</f>
      </c>
      <c r="G45" s="27">
        <f>IF($A45="","",IFERROR(INDEX('זה אני - קליטה'!$AC$5:$AC$204,MATCH($A45&amp;"|אמצע שנה",'זה אני - קליטה'!$Z$5:$Z$204,0)),""))</f>
      </c>
      <c r="H45" s="37">
        <f>IF($A45="","",IFERROR(INDEX('זה אני - קליטה'!$AG$5:$AG$204,MATCH($A45&amp;"|סוף שנה",'זה אני - קליטה'!$Z$5:$Z$204,0)),""))</f>
      </c>
      <c r="I45" s="26">
        <f>IF($A45="","",IFERROR(INDEX('זה אני - קליטה'!$AA$5:$AA$204,MATCH($A45&amp;"|סוף שנה",'זה אני - קליטה'!$Z$5:$Z$204,0)),""))</f>
      </c>
      <c r="J45" s="27">
        <f>IF($A45="","",IFERROR(INDEX('זה אני - קליטה'!$AC$5:$AC$204,MATCH($A45&amp;"|סוף שנה",'זה אני - קליטה'!$Z$5:$Z$204,0)),""))</f>
      </c>
      <c r="K45" s="36">
        <f>IF(AND(ISNUMBER(B45),ISNUMBER(H45)),H45-B45,"")</f>
      </c>
      <c r="L45" s="26">
        <f>IF(K45="","",IF(K45&gt;=1,"עלייה",IF(K45&lt;=-1,"ירידה","יציב")))</f>
      </c>
    </row>
    <row r="46" ht="15" customHeight="1" spans="1:12" x14ac:dyDescent="0.25">
      <c r="A46" s="29"/>
      <c r="B46" s="37">
        <f>IF($A46="","",IFERROR(INDEX('זה אני - קליטה'!$AG$5:$AG$204,MATCH($A46&amp;"|תחילת שנה",'זה אני - קליטה'!$Z$5:$Z$204,0)),""))</f>
      </c>
      <c r="C46" s="26">
        <f>IF($A46="","",IFERROR(INDEX('זה אני - קליטה'!$AA$5:$AA$204,MATCH($A46&amp;"|תחילת שנה",'זה אני - קליטה'!$Z$5:$Z$204,0)),""))</f>
      </c>
      <c r="D46" s="27">
        <f>IF($A46="","",IFERROR(INDEX('זה אני - קליטה'!$AC$5:$AC$204,MATCH($A46&amp;"|תחילת שנה",'זה אני - קליטה'!$Z$5:$Z$204,0)),""))</f>
      </c>
      <c r="E46" s="37">
        <f>IF($A46="","",IFERROR(INDEX('זה אני - קליטה'!$AG$5:$AG$204,MATCH($A46&amp;"|אמצע שנה",'זה אני - קליטה'!$Z$5:$Z$204,0)),""))</f>
      </c>
      <c r="F46" s="26">
        <f>IF($A46="","",IFERROR(INDEX('זה אני - קליטה'!$AA$5:$AA$204,MATCH($A46&amp;"|אמצע שנה",'זה אני - קליטה'!$Z$5:$Z$204,0)),""))</f>
      </c>
      <c r="G46" s="27">
        <f>IF($A46="","",IFERROR(INDEX('זה אני - קליטה'!$AC$5:$AC$204,MATCH($A46&amp;"|אמצע שנה",'זה אני - קליטה'!$Z$5:$Z$204,0)),""))</f>
      </c>
      <c r="H46" s="37">
        <f>IF($A46="","",IFERROR(INDEX('זה אני - קליטה'!$AG$5:$AG$204,MATCH($A46&amp;"|סוף שנה",'זה אני - קליטה'!$Z$5:$Z$204,0)),""))</f>
      </c>
      <c r="I46" s="26">
        <f>IF($A46="","",IFERROR(INDEX('זה אני - קליטה'!$AA$5:$AA$204,MATCH($A46&amp;"|סוף שנה",'זה אני - קליטה'!$Z$5:$Z$204,0)),""))</f>
      </c>
      <c r="J46" s="27">
        <f>IF($A46="","",IFERROR(INDEX('זה אני - קליטה'!$AC$5:$AC$204,MATCH($A46&amp;"|סוף שנה",'זה אני - קליטה'!$Z$5:$Z$204,0)),""))</f>
      </c>
      <c r="K46" s="36">
        <f>IF(AND(ISNUMBER(B46),ISNUMBER(H46)),H46-B46,"")</f>
      </c>
      <c r="L46" s="26">
        <f>IF(K46="","",IF(K46&gt;=1,"עלייה",IF(K46&lt;=-1,"ירידה","יציב")))</f>
      </c>
    </row>
    <row r="47" ht="15" customHeight="1" spans="1:12" x14ac:dyDescent="0.25">
      <c r="A47" s="29"/>
      <c r="B47" s="37">
        <f>IF($A47="","",IFERROR(INDEX('זה אני - קליטה'!$AG$5:$AG$204,MATCH($A47&amp;"|תחילת שנה",'זה אני - קליטה'!$Z$5:$Z$204,0)),""))</f>
      </c>
      <c r="C47" s="26">
        <f>IF($A47="","",IFERROR(INDEX('זה אני - קליטה'!$AA$5:$AA$204,MATCH($A47&amp;"|תחילת שנה",'זה אני - קליטה'!$Z$5:$Z$204,0)),""))</f>
      </c>
      <c r="D47" s="27">
        <f>IF($A47="","",IFERROR(INDEX('זה אני - קליטה'!$AC$5:$AC$204,MATCH($A47&amp;"|תחילת שנה",'זה אני - קליטה'!$Z$5:$Z$204,0)),""))</f>
      </c>
      <c r="E47" s="37">
        <f>IF($A47="","",IFERROR(INDEX('זה אני - קליטה'!$AG$5:$AG$204,MATCH($A47&amp;"|אמצע שנה",'זה אני - קליטה'!$Z$5:$Z$204,0)),""))</f>
      </c>
      <c r="F47" s="26">
        <f>IF($A47="","",IFERROR(INDEX('זה אני - קליטה'!$AA$5:$AA$204,MATCH($A47&amp;"|אמצע שנה",'זה אני - קליטה'!$Z$5:$Z$204,0)),""))</f>
      </c>
      <c r="G47" s="27">
        <f>IF($A47="","",IFERROR(INDEX('זה אני - קליטה'!$AC$5:$AC$204,MATCH($A47&amp;"|אמצע שנה",'זה אני - קליטה'!$Z$5:$Z$204,0)),""))</f>
      </c>
      <c r="H47" s="37">
        <f>IF($A47="","",IFERROR(INDEX('זה אני - קליטה'!$AG$5:$AG$204,MATCH($A47&amp;"|סוף שנה",'זה אני - קליטה'!$Z$5:$Z$204,0)),""))</f>
      </c>
      <c r="I47" s="26">
        <f>IF($A47="","",IFERROR(INDEX('זה אני - קליטה'!$AA$5:$AA$204,MATCH($A47&amp;"|סוף שנה",'זה אני - קליטה'!$Z$5:$Z$204,0)),""))</f>
      </c>
      <c r="J47" s="27">
        <f>IF($A47="","",IFERROR(INDEX('זה אני - קליטה'!$AC$5:$AC$204,MATCH($A47&amp;"|סוף שנה",'זה אני - קליטה'!$Z$5:$Z$204,0)),""))</f>
      </c>
      <c r="K47" s="36">
        <f>IF(AND(ISNUMBER(B47),ISNUMBER(H47)),H47-B47,"")</f>
      </c>
      <c r="L47" s="26">
        <f>IF(K47="","",IF(K47&gt;=1,"עלייה",IF(K47&lt;=-1,"ירידה","יציב")))</f>
      </c>
    </row>
    <row r="48" ht="15" customHeight="1" spans="1:12" x14ac:dyDescent="0.25">
      <c r="A48" s="29"/>
      <c r="B48" s="37">
        <f>IF($A48="","",IFERROR(INDEX('זה אני - קליטה'!$AG$5:$AG$204,MATCH($A48&amp;"|תחילת שנה",'זה אני - קליטה'!$Z$5:$Z$204,0)),""))</f>
      </c>
      <c r="C48" s="26">
        <f>IF($A48="","",IFERROR(INDEX('זה אני - קליטה'!$AA$5:$AA$204,MATCH($A48&amp;"|תחילת שנה",'זה אני - קליטה'!$Z$5:$Z$204,0)),""))</f>
      </c>
      <c r="D48" s="27">
        <f>IF($A48="","",IFERROR(INDEX('זה אני - קליטה'!$AC$5:$AC$204,MATCH($A48&amp;"|תחילת שנה",'זה אני - קליטה'!$Z$5:$Z$204,0)),""))</f>
      </c>
      <c r="E48" s="37">
        <f>IF($A48="","",IFERROR(INDEX('זה אני - קליטה'!$AG$5:$AG$204,MATCH($A48&amp;"|אמצע שנה",'זה אני - קליטה'!$Z$5:$Z$204,0)),""))</f>
      </c>
      <c r="F48" s="26">
        <f>IF($A48="","",IFERROR(INDEX('זה אני - קליטה'!$AA$5:$AA$204,MATCH($A48&amp;"|אמצע שנה",'זה אני - קליטה'!$Z$5:$Z$204,0)),""))</f>
      </c>
      <c r="G48" s="27">
        <f>IF($A48="","",IFERROR(INDEX('זה אני - קליטה'!$AC$5:$AC$204,MATCH($A48&amp;"|אמצע שנה",'זה אני - קליטה'!$Z$5:$Z$204,0)),""))</f>
      </c>
      <c r="H48" s="37">
        <f>IF($A48="","",IFERROR(INDEX('זה אני - קליטה'!$AG$5:$AG$204,MATCH($A48&amp;"|סוף שנה",'זה אני - קליטה'!$Z$5:$Z$204,0)),""))</f>
      </c>
      <c r="I48" s="26">
        <f>IF($A48="","",IFERROR(INDEX('זה אני - קליטה'!$AA$5:$AA$204,MATCH($A48&amp;"|סוף שנה",'זה אני - קליטה'!$Z$5:$Z$204,0)),""))</f>
      </c>
      <c r="J48" s="27">
        <f>IF($A48="","",IFERROR(INDEX('זה אני - קליטה'!$AC$5:$AC$204,MATCH($A48&amp;"|סוף שנה",'זה אני - קליטה'!$Z$5:$Z$204,0)),""))</f>
      </c>
      <c r="K48" s="36">
        <f>IF(AND(ISNUMBER(B48),ISNUMBER(H48)),H48-B48,"")</f>
      </c>
      <c r="L48" s="26">
        <f>IF(K48="","",IF(K48&gt;=1,"עלייה",IF(K48&lt;=-1,"ירידה","יציב")))</f>
      </c>
    </row>
    <row r="49" ht="15" customHeight="1" spans="1:12" x14ac:dyDescent="0.25">
      <c r="A49" s="29"/>
      <c r="B49" s="37">
        <f>IF($A49="","",IFERROR(INDEX('זה אני - קליטה'!$AG$5:$AG$204,MATCH($A49&amp;"|תחילת שנה",'זה אני - קליטה'!$Z$5:$Z$204,0)),""))</f>
      </c>
      <c r="C49" s="26">
        <f>IF($A49="","",IFERROR(INDEX('זה אני - קליטה'!$AA$5:$AA$204,MATCH($A49&amp;"|תחילת שנה",'זה אני - קליטה'!$Z$5:$Z$204,0)),""))</f>
      </c>
      <c r="D49" s="27">
        <f>IF($A49="","",IFERROR(INDEX('זה אני - קליטה'!$AC$5:$AC$204,MATCH($A49&amp;"|תחילת שנה",'זה אני - קליטה'!$Z$5:$Z$204,0)),""))</f>
      </c>
      <c r="E49" s="37">
        <f>IF($A49="","",IFERROR(INDEX('זה אני - קליטה'!$AG$5:$AG$204,MATCH($A49&amp;"|אמצע שנה",'זה אני - קליטה'!$Z$5:$Z$204,0)),""))</f>
      </c>
      <c r="F49" s="26">
        <f>IF($A49="","",IFERROR(INDEX('זה אני - קליטה'!$AA$5:$AA$204,MATCH($A49&amp;"|אמצע שנה",'זה אני - קליטה'!$Z$5:$Z$204,0)),""))</f>
      </c>
      <c r="G49" s="27">
        <f>IF($A49="","",IFERROR(INDEX('זה אני - קליטה'!$AC$5:$AC$204,MATCH($A49&amp;"|אמצע שנה",'זה אני - קליטה'!$Z$5:$Z$204,0)),""))</f>
      </c>
      <c r="H49" s="37">
        <f>IF($A49="","",IFERROR(INDEX('זה אני - קליטה'!$AG$5:$AG$204,MATCH($A49&amp;"|סוף שנה",'זה אני - קליטה'!$Z$5:$Z$204,0)),""))</f>
      </c>
      <c r="I49" s="26">
        <f>IF($A49="","",IFERROR(INDEX('זה אני - קליטה'!$AA$5:$AA$204,MATCH($A49&amp;"|סוף שנה",'זה אני - קליטה'!$Z$5:$Z$204,0)),""))</f>
      </c>
      <c r="J49" s="27">
        <f>IF($A49="","",IFERROR(INDEX('זה אני - קליטה'!$AC$5:$AC$204,MATCH($A49&amp;"|סוף שנה",'זה אני - קליטה'!$Z$5:$Z$204,0)),""))</f>
      </c>
      <c r="K49" s="36">
        <f>IF(AND(ISNUMBER(B49),ISNUMBER(H49)),H49-B49,"")</f>
      </c>
      <c r="L49" s="26">
        <f>IF(K49="","",IF(K49&gt;=1,"עלייה",IF(K49&lt;=-1,"ירידה","יציב")))</f>
      </c>
    </row>
    <row r="50" ht="15" customHeight="1" spans="1:12" x14ac:dyDescent="0.25">
      <c r="A50" s="29"/>
      <c r="B50" s="37">
        <f>IF($A50="","",IFERROR(INDEX('זה אני - קליטה'!$AG$5:$AG$204,MATCH($A50&amp;"|תחילת שנה",'זה אני - קליטה'!$Z$5:$Z$204,0)),""))</f>
      </c>
      <c r="C50" s="26">
        <f>IF($A50="","",IFERROR(INDEX('זה אני - קליטה'!$AA$5:$AA$204,MATCH($A50&amp;"|תחילת שנה",'זה אני - קליטה'!$Z$5:$Z$204,0)),""))</f>
      </c>
      <c r="D50" s="27">
        <f>IF($A50="","",IFERROR(INDEX('זה אני - קליטה'!$AC$5:$AC$204,MATCH($A50&amp;"|תחילת שנה",'זה אני - קליטה'!$Z$5:$Z$204,0)),""))</f>
      </c>
      <c r="E50" s="37">
        <f>IF($A50="","",IFERROR(INDEX('זה אני - קליטה'!$AG$5:$AG$204,MATCH($A50&amp;"|אמצע שנה",'זה אני - קליטה'!$Z$5:$Z$204,0)),""))</f>
      </c>
      <c r="F50" s="26">
        <f>IF($A50="","",IFERROR(INDEX('זה אני - קליטה'!$AA$5:$AA$204,MATCH($A50&amp;"|אמצע שנה",'זה אני - קליטה'!$Z$5:$Z$204,0)),""))</f>
      </c>
      <c r="G50" s="27">
        <f>IF($A50="","",IFERROR(INDEX('זה אני - קליטה'!$AC$5:$AC$204,MATCH($A50&amp;"|אמצע שנה",'זה אני - קליטה'!$Z$5:$Z$204,0)),""))</f>
      </c>
      <c r="H50" s="37">
        <f>IF($A50="","",IFERROR(INDEX('זה אני - קליטה'!$AG$5:$AG$204,MATCH($A50&amp;"|סוף שנה",'זה אני - קליטה'!$Z$5:$Z$204,0)),""))</f>
      </c>
      <c r="I50" s="26">
        <f>IF($A50="","",IFERROR(INDEX('זה אני - קליטה'!$AA$5:$AA$204,MATCH($A50&amp;"|סוף שנה",'זה אני - קליטה'!$Z$5:$Z$204,0)),""))</f>
      </c>
      <c r="J50" s="27">
        <f>IF($A50="","",IFERROR(INDEX('זה אני - קליטה'!$AC$5:$AC$204,MATCH($A50&amp;"|סוף שנה",'זה אני - קליטה'!$Z$5:$Z$204,0)),""))</f>
      </c>
      <c r="K50" s="36">
        <f>IF(AND(ISNUMBER(B50),ISNUMBER(H50)),H50-B50,"")</f>
      </c>
      <c r="L50" s="26">
        <f>IF(K50="","",IF(K50&gt;=1,"עלייה",IF(K50&lt;=-1,"ירידה","יציב")))</f>
      </c>
    </row>
    <row r="51" ht="15" customHeight="1" spans="1:12" x14ac:dyDescent="0.25">
      <c r="A51" s="29"/>
      <c r="B51" s="37">
        <f>IF($A51="","",IFERROR(INDEX('זה אני - קליטה'!$AG$5:$AG$204,MATCH($A51&amp;"|תחילת שנה",'זה אני - קליטה'!$Z$5:$Z$204,0)),""))</f>
      </c>
      <c r="C51" s="26">
        <f>IF($A51="","",IFERROR(INDEX('זה אני - קליטה'!$AA$5:$AA$204,MATCH($A51&amp;"|תחילת שנה",'זה אני - קליטה'!$Z$5:$Z$204,0)),""))</f>
      </c>
      <c r="D51" s="27">
        <f>IF($A51="","",IFERROR(INDEX('זה אני - קליטה'!$AC$5:$AC$204,MATCH($A51&amp;"|תחילת שנה",'זה אני - קליטה'!$Z$5:$Z$204,0)),""))</f>
      </c>
      <c r="E51" s="37">
        <f>IF($A51="","",IFERROR(INDEX('זה אני - קליטה'!$AG$5:$AG$204,MATCH($A51&amp;"|אמצע שנה",'זה אני - קליטה'!$Z$5:$Z$204,0)),""))</f>
      </c>
      <c r="F51" s="26">
        <f>IF($A51="","",IFERROR(INDEX('זה אני - קליטה'!$AA$5:$AA$204,MATCH($A51&amp;"|אמצע שנה",'זה אני - קליטה'!$Z$5:$Z$204,0)),""))</f>
      </c>
      <c r="G51" s="27">
        <f>IF($A51="","",IFERROR(INDEX('זה אני - קליטה'!$AC$5:$AC$204,MATCH($A51&amp;"|אמצע שנה",'זה אני - קליטה'!$Z$5:$Z$204,0)),""))</f>
      </c>
      <c r="H51" s="37">
        <f>IF($A51="","",IFERROR(INDEX('זה אני - קליטה'!$AG$5:$AG$204,MATCH($A51&amp;"|סוף שנה",'זה אני - קליטה'!$Z$5:$Z$204,0)),""))</f>
      </c>
      <c r="I51" s="26">
        <f>IF($A51="","",IFERROR(INDEX('זה אני - קליטה'!$AA$5:$AA$204,MATCH($A51&amp;"|סוף שנה",'זה אני - קליטה'!$Z$5:$Z$204,0)),""))</f>
      </c>
      <c r="J51" s="27">
        <f>IF($A51="","",IFERROR(INDEX('זה אני - קליטה'!$AC$5:$AC$204,MATCH($A51&amp;"|סוף שנה",'זה אני - קליטה'!$Z$5:$Z$204,0)),""))</f>
      </c>
      <c r="K51" s="36">
        <f>IF(AND(ISNUMBER(B51),ISNUMBER(H51)),H51-B51,"")</f>
      </c>
      <c r="L51" s="26">
        <f>IF(K51="","",IF(K51&gt;=1,"עלייה",IF(K51&lt;=-1,"ירידה","יציב")))</f>
      </c>
    </row>
    <row r="52" ht="15" customHeight="1" spans="1:12" x14ac:dyDescent="0.25">
      <c r="A52" s="29"/>
      <c r="B52" s="37">
        <f>IF($A52="","",IFERROR(INDEX('זה אני - קליטה'!$AG$5:$AG$204,MATCH($A52&amp;"|תחילת שנה",'זה אני - קליטה'!$Z$5:$Z$204,0)),""))</f>
      </c>
      <c r="C52" s="26">
        <f>IF($A52="","",IFERROR(INDEX('זה אני - קליטה'!$AA$5:$AA$204,MATCH($A52&amp;"|תחילת שנה",'זה אני - קליטה'!$Z$5:$Z$204,0)),""))</f>
      </c>
      <c r="D52" s="27">
        <f>IF($A52="","",IFERROR(INDEX('זה אני - קליטה'!$AC$5:$AC$204,MATCH($A52&amp;"|תחילת שנה",'זה אני - קליטה'!$Z$5:$Z$204,0)),""))</f>
      </c>
      <c r="E52" s="37">
        <f>IF($A52="","",IFERROR(INDEX('זה אני - קליטה'!$AG$5:$AG$204,MATCH($A52&amp;"|אמצע שנה",'זה אני - קליטה'!$Z$5:$Z$204,0)),""))</f>
      </c>
      <c r="F52" s="26">
        <f>IF($A52="","",IFERROR(INDEX('זה אני - קליטה'!$AA$5:$AA$204,MATCH($A52&amp;"|אמצע שנה",'זה אני - קליטה'!$Z$5:$Z$204,0)),""))</f>
      </c>
      <c r="G52" s="27">
        <f>IF($A52="","",IFERROR(INDEX('זה אני - קליטה'!$AC$5:$AC$204,MATCH($A52&amp;"|אמצע שנה",'זה אני - קליטה'!$Z$5:$Z$204,0)),""))</f>
      </c>
      <c r="H52" s="37">
        <f>IF($A52="","",IFERROR(INDEX('זה אני - קליטה'!$AG$5:$AG$204,MATCH($A52&amp;"|סוף שנה",'זה אני - קליטה'!$Z$5:$Z$204,0)),""))</f>
      </c>
      <c r="I52" s="26">
        <f>IF($A52="","",IFERROR(INDEX('זה אני - קליטה'!$AA$5:$AA$204,MATCH($A52&amp;"|סוף שנה",'זה אני - קליטה'!$Z$5:$Z$204,0)),""))</f>
      </c>
      <c r="J52" s="27">
        <f>IF($A52="","",IFERROR(INDEX('זה אני - קליטה'!$AC$5:$AC$204,MATCH($A52&amp;"|סוף שנה",'זה אני - קליטה'!$Z$5:$Z$204,0)),""))</f>
      </c>
      <c r="K52" s="36">
        <f>IF(AND(ISNUMBER(B52),ISNUMBER(H52)),H52-B52,"")</f>
      </c>
      <c r="L52" s="26">
        <f>IF(K52="","",IF(K52&gt;=1,"עלייה",IF(K52&lt;=-1,"ירידה","יציב")))</f>
      </c>
    </row>
    <row r="53" ht="15" customHeight="1" spans="1:12" x14ac:dyDescent="0.25">
      <c r="A53" s="29"/>
      <c r="B53" s="37">
        <f>IF($A53="","",IFERROR(INDEX('זה אני - קליטה'!$AG$5:$AG$204,MATCH($A53&amp;"|תחילת שנה",'זה אני - קליטה'!$Z$5:$Z$204,0)),""))</f>
      </c>
      <c r="C53" s="26">
        <f>IF($A53="","",IFERROR(INDEX('זה אני - קליטה'!$AA$5:$AA$204,MATCH($A53&amp;"|תחילת שנה",'זה אני - קליטה'!$Z$5:$Z$204,0)),""))</f>
      </c>
      <c r="D53" s="27">
        <f>IF($A53="","",IFERROR(INDEX('זה אני - קליטה'!$AC$5:$AC$204,MATCH($A53&amp;"|תחילת שנה",'זה אני - קליטה'!$Z$5:$Z$204,0)),""))</f>
      </c>
      <c r="E53" s="37">
        <f>IF($A53="","",IFERROR(INDEX('זה אני - קליטה'!$AG$5:$AG$204,MATCH($A53&amp;"|אמצע שנה",'זה אני - קליטה'!$Z$5:$Z$204,0)),""))</f>
      </c>
      <c r="F53" s="26">
        <f>IF($A53="","",IFERROR(INDEX('זה אני - קליטה'!$AA$5:$AA$204,MATCH($A53&amp;"|אמצע שנה",'זה אני - קליטה'!$Z$5:$Z$204,0)),""))</f>
      </c>
      <c r="G53" s="27">
        <f>IF($A53="","",IFERROR(INDEX('זה אני - קליטה'!$AC$5:$AC$204,MATCH($A53&amp;"|אמצע שנה",'זה אני - קליטה'!$Z$5:$Z$204,0)),""))</f>
      </c>
      <c r="H53" s="37">
        <f>IF($A53="","",IFERROR(INDEX('זה אני - קליטה'!$AG$5:$AG$204,MATCH($A53&amp;"|סוף שנה",'זה אני - קליטה'!$Z$5:$Z$204,0)),""))</f>
      </c>
      <c r="I53" s="26">
        <f>IF($A53="","",IFERROR(INDEX('זה אני - קליטה'!$AA$5:$AA$204,MATCH($A53&amp;"|סוף שנה",'זה אני - קליטה'!$Z$5:$Z$204,0)),""))</f>
      </c>
      <c r="J53" s="27">
        <f>IF($A53="","",IFERROR(INDEX('זה אני - קליטה'!$AC$5:$AC$204,MATCH($A53&amp;"|סוף שנה",'זה אני - קליטה'!$Z$5:$Z$204,0)),""))</f>
      </c>
      <c r="K53" s="36">
        <f>IF(AND(ISNUMBER(B53),ISNUMBER(H53)),H53-B53,"")</f>
      </c>
      <c r="L53" s="26">
        <f>IF(K53="","",IF(K53&gt;=1,"עלייה",IF(K53&lt;=-1,"ירידה","יציב")))</f>
      </c>
    </row>
    <row r="54" ht="15" customHeight="1" spans="1:12" x14ac:dyDescent="0.25">
      <c r="A54" s="29"/>
      <c r="B54" s="37">
        <f>IF($A54="","",IFERROR(INDEX('זה אני - קליטה'!$AG$5:$AG$204,MATCH($A54&amp;"|תחילת שנה",'זה אני - קליטה'!$Z$5:$Z$204,0)),""))</f>
      </c>
      <c r="C54" s="26">
        <f>IF($A54="","",IFERROR(INDEX('זה אני - קליטה'!$AA$5:$AA$204,MATCH($A54&amp;"|תחילת שנה",'זה אני - קליטה'!$Z$5:$Z$204,0)),""))</f>
      </c>
      <c r="D54" s="27">
        <f>IF($A54="","",IFERROR(INDEX('זה אני - קליטה'!$AC$5:$AC$204,MATCH($A54&amp;"|תחילת שנה",'זה אני - קליטה'!$Z$5:$Z$204,0)),""))</f>
      </c>
      <c r="E54" s="37">
        <f>IF($A54="","",IFERROR(INDEX('זה אני - קליטה'!$AG$5:$AG$204,MATCH($A54&amp;"|אמצע שנה",'זה אני - קליטה'!$Z$5:$Z$204,0)),""))</f>
      </c>
      <c r="F54" s="26">
        <f>IF($A54="","",IFERROR(INDEX('זה אני - קליטה'!$AA$5:$AA$204,MATCH($A54&amp;"|אמצע שנה",'זה אני - קליטה'!$Z$5:$Z$204,0)),""))</f>
      </c>
      <c r="G54" s="27">
        <f>IF($A54="","",IFERROR(INDEX('זה אני - קליטה'!$AC$5:$AC$204,MATCH($A54&amp;"|אמצע שנה",'זה אני - קליטה'!$Z$5:$Z$204,0)),""))</f>
      </c>
      <c r="H54" s="37">
        <f>IF($A54="","",IFERROR(INDEX('זה אני - קליטה'!$AG$5:$AG$204,MATCH($A54&amp;"|סוף שנה",'זה אני - קליטה'!$Z$5:$Z$204,0)),""))</f>
      </c>
      <c r="I54" s="26">
        <f>IF($A54="","",IFERROR(INDEX('זה אני - קליטה'!$AA$5:$AA$204,MATCH($A54&amp;"|סוף שנה",'זה אני - קליטה'!$Z$5:$Z$204,0)),""))</f>
      </c>
      <c r="J54" s="27">
        <f>IF($A54="","",IFERROR(INDEX('זה אני - קליטה'!$AC$5:$AC$204,MATCH($A54&amp;"|סוף שנה",'זה אני - קליטה'!$Z$5:$Z$204,0)),""))</f>
      </c>
      <c r="K54" s="36">
        <f>IF(AND(ISNUMBER(B54),ISNUMBER(H54)),H54-B54,"")</f>
      </c>
      <c r="L54" s="26">
        <f>IF(K54="","",IF(K54&gt;=1,"עלייה",IF(K54&lt;=-1,"ירידה","יציב")))</f>
      </c>
    </row>
    <row r="55" ht="15" customHeight="1" spans="1:12" x14ac:dyDescent="0.25">
      <c r="A55" s="29"/>
      <c r="B55" s="37">
        <f>IF($A55="","",IFERROR(INDEX('זה אני - קליטה'!$AG$5:$AG$204,MATCH($A55&amp;"|תחילת שנה",'זה אני - קליטה'!$Z$5:$Z$204,0)),""))</f>
      </c>
      <c r="C55" s="26">
        <f>IF($A55="","",IFERROR(INDEX('זה אני - קליטה'!$AA$5:$AA$204,MATCH($A55&amp;"|תחילת שנה",'זה אני - קליטה'!$Z$5:$Z$204,0)),""))</f>
      </c>
      <c r="D55" s="27">
        <f>IF($A55="","",IFERROR(INDEX('זה אני - קליטה'!$AC$5:$AC$204,MATCH($A55&amp;"|תחילת שנה",'זה אני - קליטה'!$Z$5:$Z$204,0)),""))</f>
      </c>
      <c r="E55" s="37">
        <f>IF($A55="","",IFERROR(INDEX('זה אני - קליטה'!$AG$5:$AG$204,MATCH($A55&amp;"|אמצע שנה",'זה אני - קליטה'!$Z$5:$Z$204,0)),""))</f>
      </c>
      <c r="F55" s="26">
        <f>IF($A55="","",IFERROR(INDEX('זה אני - קליטה'!$AA$5:$AA$204,MATCH($A55&amp;"|אמצע שנה",'זה אני - קליטה'!$Z$5:$Z$204,0)),""))</f>
      </c>
      <c r="G55" s="27">
        <f>IF($A55="","",IFERROR(INDEX('זה אני - קליטה'!$AC$5:$AC$204,MATCH($A55&amp;"|אמצע שנה",'זה אני - קליטה'!$Z$5:$Z$204,0)),""))</f>
      </c>
      <c r="H55" s="37">
        <f>IF($A55="","",IFERROR(INDEX('זה אני - קליטה'!$AG$5:$AG$204,MATCH($A55&amp;"|סוף שנה",'זה אני - קליטה'!$Z$5:$Z$204,0)),""))</f>
      </c>
      <c r="I55" s="26">
        <f>IF($A55="","",IFERROR(INDEX('זה אני - קליטה'!$AA$5:$AA$204,MATCH($A55&amp;"|סוף שנה",'זה אני - קליטה'!$Z$5:$Z$204,0)),""))</f>
      </c>
      <c r="J55" s="27">
        <f>IF($A55="","",IFERROR(INDEX('זה אני - קליטה'!$AC$5:$AC$204,MATCH($A55&amp;"|סוף שנה",'זה אני - קליטה'!$Z$5:$Z$204,0)),""))</f>
      </c>
      <c r="K55" s="36">
        <f>IF(AND(ISNUMBER(B55),ISNUMBER(H55)),H55-B55,"")</f>
      </c>
      <c r="L55" s="26">
        <f>IF(K55="","",IF(K55&gt;=1,"עלייה",IF(K55&lt;=-1,"ירידה","יציב")))</f>
      </c>
    </row>
    <row r="56" ht="15" customHeight="1" spans="1:12" x14ac:dyDescent="0.25">
      <c r="A56" s="29"/>
      <c r="B56" s="37">
        <f>IF($A56="","",IFERROR(INDEX('זה אני - קליטה'!$AG$5:$AG$204,MATCH($A56&amp;"|תחילת שנה",'זה אני - קליטה'!$Z$5:$Z$204,0)),""))</f>
      </c>
      <c r="C56" s="26">
        <f>IF($A56="","",IFERROR(INDEX('זה אני - קליטה'!$AA$5:$AA$204,MATCH($A56&amp;"|תחילת שנה",'זה אני - קליטה'!$Z$5:$Z$204,0)),""))</f>
      </c>
      <c r="D56" s="27">
        <f>IF($A56="","",IFERROR(INDEX('זה אני - קליטה'!$AC$5:$AC$204,MATCH($A56&amp;"|תחילת שנה",'זה אני - קליטה'!$Z$5:$Z$204,0)),""))</f>
      </c>
      <c r="E56" s="37">
        <f>IF($A56="","",IFERROR(INDEX('זה אני - קליטה'!$AG$5:$AG$204,MATCH($A56&amp;"|אמצע שנה",'זה אני - קליטה'!$Z$5:$Z$204,0)),""))</f>
      </c>
      <c r="F56" s="26">
        <f>IF($A56="","",IFERROR(INDEX('זה אני - קליטה'!$AA$5:$AA$204,MATCH($A56&amp;"|אמצע שנה",'זה אני - קליטה'!$Z$5:$Z$204,0)),""))</f>
      </c>
      <c r="G56" s="27">
        <f>IF($A56="","",IFERROR(INDEX('זה אני - קליטה'!$AC$5:$AC$204,MATCH($A56&amp;"|אמצע שנה",'זה אני - קליטה'!$Z$5:$Z$204,0)),""))</f>
      </c>
      <c r="H56" s="37">
        <f>IF($A56="","",IFERROR(INDEX('זה אני - קליטה'!$AG$5:$AG$204,MATCH($A56&amp;"|סוף שנה",'זה אני - קליטה'!$Z$5:$Z$204,0)),""))</f>
      </c>
      <c r="I56" s="26">
        <f>IF($A56="","",IFERROR(INDEX('זה אני - קליטה'!$AA$5:$AA$204,MATCH($A56&amp;"|סוף שנה",'זה אני - קליטה'!$Z$5:$Z$204,0)),""))</f>
      </c>
      <c r="J56" s="27">
        <f>IF($A56="","",IFERROR(INDEX('זה אני - קליטה'!$AC$5:$AC$204,MATCH($A56&amp;"|סוף שנה",'זה אני - קליטה'!$Z$5:$Z$204,0)),""))</f>
      </c>
      <c r="K56" s="36">
        <f>IF(AND(ISNUMBER(B56),ISNUMBER(H56)),H56-B56,"")</f>
      </c>
      <c r="L56" s="26">
        <f>IF(K56="","",IF(K56&gt;=1,"עלייה",IF(K56&lt;=-1,"ירידה","יציב")))</f>
      </c>
    </row>
    <row r="57" ht="15" customHeight="1" spans="1:12" x14ac:dyDescent="0.25">
      <c r="A57" s="29"/>
      <c r="B57" s="37">
        <f>IF($A57="","",IFERROR(INDEX('זה אני - קליטה'!$AG$5:$AG$204,MATCH($A57&amp;"|תחילת שנה",'זה אני - קליטה'!$Z$5:$Z$204,0)),""))</f>
      </c>
      <c r="C57" s="26">
        <f>IF($A57="","",IFERROR(INDEX('זה אני - קליטה'!$AA$5:$AA$204,MATCH($A57&amp;"|תחילת שנה",'זה אני - קליטה'!$Z$5:$Z$204,0)),""))</f>
      </c>
      <c r="D57" s="27">
        <f>IF($A57="","",IFERROR(INDEX('זה אני - קליטה'!$AC$5:$AC$204,MATCH($A57&amp;"|תחילת שנה",'זה אני - קליטה'!$Z$5:$Z$204,0)),""))</f>
      </c>
      <c r="E57" s="37">
        <f>IF($A57="","",IFERROR(INDEX('זה אני - קליטה'!$AG$5:$AG$204,MATCH($A57&amp;"|אמצע שנה",'זה אני - קליטה'!$Z$5:$Z$204,0)),""))</f>
      </c>
      <c r="F57" s="26">
        <f>IF($A57="","",IFERROR(INDEX('זה אני - קליטה'!$AA$5:$AA$204,MATCH($A57&amp;"|אמצע שנה",'זה אני - קליטה'!$Z$5:$Z$204,0)),""))</f>
      </c>
      <c r="G57" s="27">
        <f>IF($A57="","",IFERROR(INDEX('זה אני - קליטה'!$AC$5:$AC$204,MATCH($A57&amp;"|אמצע שנה",'זה אני - קליטה'!$Z$5:$Z$204,0)),""))</f>
      </c>
      <c r="H57" s="37">
        <f>IF($A57="","",IFERROR(INDEX('זה אני - קליטה'!$AG$5:$AG$204,MATCH($A57&amp;"|סוף שנה",'זה אני - קליטה'!$Z$5:$Z$204,0)),""))</f>
      </c>
      <c r="I57" s="26">
        <f>IF($A57="","",IFERROR(INDEX('זה אני - קליטה'!$AA$5:$AA$204,MATCH($A57&amp;"|סוף שנה",'זה אני - קליטה'!$Z$5:$Z$204,0)),""))</f>
      </c>
      <c r="J57" s="27">
        <f>IF($A57="","",IFERROR(INDEX('זה אני - קליטה'!$AC$5:$AC$204,MATCH($A57&amp;"|סוף שנה",'זה אני - קליטה'!$Z$5:$Z$204,0)),""))</f>
      </c>
      <c r="K57" s="36">
        <f>IF(AND(ISNUMBER(B57),ISNUMBER(H57)),H57-B57,"")</f>
      </c>
      <c r="L57" s="26">
        <f>IF(K57="","",IF(K57&gt;=1,"עלייה",IF(K57&lt;=-1,"ירידה","יציב")))</f>
      </c>
    </row>
    <row r="58" ht="15" customHeight="1" spans="1:12" x14ac:dyDescent="0.25">
      <c r="A58" s="29"/>
      <c r="B58" s="37">
        <f>IF($A58="","",IFERROR(INDEX('זה אני - קליטה'!$AG$5:$AG$204,MATCH($A58&amp;"|תחילת שנה",'זה אני - קליטה'!$Z$5:$Z$204,0)),""))</f>
      </c>
      <c r="C58" s="26">
        <f>IF($A58="","",IFERROR(INDEX('זה אני - קליטה'!$AA$5:$AA$204,MATCH($A58&amp;"|תחילת שנה",'זה אני - קליטה'!$Z$5:$Z$204,0)),""))</f>
      </c>
      <c r="D58" s="27">
        <f>IF($A58="","",IFERROR(INDEX('זה אני - קליטה'!$AC$5:$AC$204,MATCH($A58&amp;"|תחילת שנה",'זה אני - קליטה'!$Z$5:$Z$204,0)),""))</f>
      </c>
      <c r="E58" s="37">
        <f>IF($A58="","",IFERROR(INDEX('זה אני - קליטה'!$AG$5:$AG$204,MATCH($A58&amp;"|אמצע שנה",'זה אני - קליטה'!$Z$5:$Z$204,0)),""))</f>
      </c>
      <c r="F58" s="26">
        <f>IF($A58="","",IFERROR(INDEX('זה אני - קליטה'!$AA$5:$AA$204,MATCH($A58&amp;"|אמצע שנה",'זה אני - קליטה'!$Z$5:$Z$204,0)),""))</f>
      </c>
      <c r="G58" s="27">
        <f>IF($A58="","",IFERROR(INDEX('זה אני - קליטה'!$AC$5:$AC$204,MATCH($A58&amp;"|אמצע שנה",'זה אני - קליטה'!$Z$5:$Z$204,0)),""))</f>
      </c>
      <c r="H58" s="37">
        <f>IF($A58="","",IFERROR(INDEX('זה אני - קליטה'!$AG$5:$AG$204,MATCH($A58&amp;"|סוף שנה",'זה אני - קליטה'!$Z$5:$Z$204,0)),""))</f>
      </c>
      <c r="I58" s="26">
        <f>IF($A58="","",IFERROR(INDEX('זה אני - קליטה'!$AA$5:$AA$204,MATCH($A58&amp;"|סוף שנה",'זה אני - קליטה'!$Z$5:$Z$204,0)),""))</f>
      </c>
      <c r="J58" s="27">
        <f>IF($A58="","",IFERROR(INDEX('זה אני - קליטה'!$AC$5:$AC$204,MATCH($A58&amp;"|סוף שנה",'זה אני - קליטה'!$Z$5:$Z$204,0)),""))</f>
      </c>
      <c r="K58" s="36">
        <f>IF(AND(ISNUMBER(B58),ISNUMBER(H58)),H58-B58,"")</f>
      </c>
      <c r="L58" s="26">
        <f>IF(K58="","",IF(K58&gt;=1,"עלייה",IF(K58&lt;=-1,"ירידה","יציב")))</f>
      </c>
    </row>
    <row r="59" ht="15" customHeight="1" spans="1:12" x14ac:dyDescent="0.25">
      <c r="A59" s="29"/>
      <c r="B59" s="37">
        <f>IF($A59="","",IFERROR(INDEX('זה אני - קליטה'!$AG$5:$AG$204,MATCH($A59&amp;"|תחילת שנה",'זה אני - קליטה'!$Z$5:$Z$204,0)),""))</f>
      </c>
      <c r="C59" s="26">
        <f>IF($A59="","",IFERROR(INDEX('זה אני - קליטה'!$AA$5:$AA$204,MATCH($A59&amp;"|תחילת שנה",'זה אני - קליטה'!$Z$5:$Z$204,0)),""))</f>
      </c>
      <c r="D59" s="27">
        <f>IF($A59="","",IFERROR(INDEX('זה אני - קליטה'!$AC$5:$AC$204,MATCH($A59&amp;"|תחילת שנה",'זה אני - קליטה'!$Z$5:$Z$204,0)),""))</f>
      </c>
      <c r="E59" s="37">
        <f>IF($A59="","",IFERROR(INDEX('זה אני - קליטה'!$AG$5:$AG$204,MATCH($A59&amp;"|אמצע שנה",'זה אני - קליטה'!$Z$5:$Z$204,0)),""))</f>
      </c>
      <c r="F59" s="26">
        <f>IF($A59="","",IFERROR(INDEX('זה אני - קליטה'!$AA$5:$AA$204,MATCH($A59&amp;"|אמצע שנה",'זה אני - קליטה'!$Z$5:$Z$204,0)),""))</f>
      </c>
      <c r="G59" s="27">
        <f>IF($A59="","",IFERROR(INDEX('זה אני - קליטה'!$AC$5:$AC$204,MATCH($A59&amp;"|אמצע שנה",'זה אני - קליטה'!$Z$5:$Z$204,0)),""))</f>
      </c>
      <c r="H59" s="37">
        <f>IF($A59="","",IFERROR(INDEX('זה אני - קליטה'!$AG$5:$AG$204,MATCH($A59&amp;"|סוף שנה",'זה אני - קליטה'!$Z$5:$Z$204,0)),""))</f>
      </c>
      <c r="I59" s="26">
        <f>IF($A59="","",IFERROR(INDEX('זה אני - קליטה'!$AA$5:$AA$204,MATCH($A59&amp;"|סוף שנה",'זה אני - קליטה'!$Z$5:$Z$204,0)),""))</f>
      </c>
      <c r="J59" s="27">
        <f>IF($A59="","",IFERROR(INDEX('זה אני - קליטה'!$AC$5:$AC$204,MATCH($A59&amp;"|סוף שנה",'זה אני - קליטה'!$Z$5:$Z$204,0)),""))</f>
      </c>
      <c r="K59" s="36">
        <f>IF(AND(ISNUMBER(B59),ISNUMBER(H59)),H59-B59,"")</f>
      </c>
      <c r="L59" s="26">
        <f>IF(K59="","",IF(K59&gt;=1,"עלייה",IF(K59&lt;=-1,"ירידה","יציב")))</f>
      </c>
    </row>
    <row r="60" ht="15" customHeight="1" spans="1:12" x14ac:dyDescent="0.25">
      <c r="A60" s="29"/>
      <c r="B60" s="37">
        <f>IF($A60="","",IFERROR(INDEX('זה אני - קליטה'!$AG$5:$AG$204,MATCH($A60&amp;"|תחילת שנה",'זה אני - קליטה'!$Z$5:$Z$204,0)),""))</f>
      </c>
      <c r="C60" s="26">
        <f>IF($A60="","",IFERROR(INDEX('זה אני - קליטה'!$AA$5:$AA$204,MATCH($A60&amp;"|תחילת שנה",'זה אני - קליטה'!$Z$5:$Z$204,0)),""))</f>
      </c>
      <c r="D60" s="27">
        <f>IF($A60="","",IFERROR(INDEX('זה אני - קליטה'!$AC$5:$AC$204,MATCH($A60&amp;"|תחילת שנה",'זה אני - קליטה'!$Z$5:$Z$204,0)),""))</f>
      </c>
      <c r="E60" s="37">
        <f>IF($A60="","",IFERROR(INDEX('זה אני - קליטה'!$AG$5:$AG$204,MATCH($A60&amp;"|אמצע שנה",'זה אני - קליטה'!$Z$5:$Z$204,0)),""))</f>
      </c>
      <c r="F60" s="26">
        <f>IF($A60="","",IFERROR(INDEX('זה אני - קליטה'!$AA$5:$AA$204,MATCH($A60&amp;"|אמצע שנה",'זה אני - קליטה'!$Z$5:$Z$204,0)),""))</f>
      </c>
      <c r="G60" s="27">
        <f>IF($A60="","",IFERROR(INDEX('זה אני - קליטה'!$AC$5:$AC$204,MATCH($A60&amp;"|אמצע שנה",'זה אני - קליטה'!$Z$5:$Z$204,0)),""))</f>
      </c>
      <c r="H60" s="37">
        <f>IF($A60="","",IFERROR(INDEX('זה אני - קליטה'!$AG$5:$AG$204,MATCH($A60&amp;"|סוף שנה",'זה אני - קליטה'!$Z$5:$Z$204,0)),""))</f>
      </c>
      <c r="I60" s="26">
        <f>IF($A60="","",IFERROR(INDEX('זה אני - קליטה'!$AA$5:$AA$204,MATCH($A60&amp;"|סוף שנה",'זה אני - קליטה'!$Z$5:$Z$204,0)),""))</f>
      </c>
      <c r="J60" s="27">
        <f>IF($A60="","",IFERROR(INDEX('זה אני - קליטה'!$AC$5:$AC$204,MATCH($A60&amp;"|סוף שנה",'זה אני - קליטה'!$Z$5:$Z$204,0)),""))</f>
      </c>
      <c r="K60" s="36">
        <f>IF(AND(ISNUMBER(B60),ISNUMBER(H60)),H60-B60,"")</f>
      </c>
      <c r="L60" s="26">
        <f>IF(K60="","",IF(K60&gt;=1,"עלייה",IF(K60&lt;=-1,"ירידה","יציב")))</f>
      </c>
    </row>
    <row r="61" ht="15" customHeight="1" spans="1:12" x14ac:dyDescent="0.25">
      <c r="A61" s="29"/>
      <c r="B61" s="37">
        <f>IF($A61="","",IFERROR(INDEX('זה אני - קליטה'!$AG$5:$AG$204,MATCH($A61&amp;"|תחילת שנה",'זה אני - קליטה'!$Z$5:$Z$204,0)),""))</f>
      </c>
      <c r="C61" s="26">
        <f>IF($A61="","",IFERROR(INDEX('זה אני - קליטה'!$AA$5:$AA$204,MATCH($A61&amp;"|תחילת שנה",'זה אני - קליטה'!$Z$5:$Z$204,0)),""))</f>
      </c>
      <c r="D61" s="27">
        <f>IF($A61="","",IFERROR(INDEX('זה אני - קליטה'!$AC$5:$AC$204,MATCH($A61&amp;"|תחילת שנה",'זה אני - קליטה'!$Z$5:$Z$204,0)),""))</f>
      </c>
      <c r="E61" s="37">
        <f>IF($A61="","",IFERROR(INDEX('זה אני - קליטה'!$AG$5:$AG$204,MATCH($A61&amp;"|אמצע שנה",'זה אני - קליטה'!$Z$5:$Z$204,0)),""))</f>
      </c>
      <c r="F61" s="26">
        <f>IF($A61="","",IFERROR(INDEX('זה אני - קליטה'!$AA$5:$AA$204,MATCH($A61&amp;"|אמצע שנה",'זה אני - קליטה'!$Z$5:$Z$204,0)),""))</f>
      </c>
      <c r="G61" s="27">
        <f>IF($A61="","",IFERROR(INDEX('זה אני - קליטה'!$AC$5:$AC$204,MATCH($A61&amp;"|אמצע שנה",'זה אני - קליטה'!$Z$5:$Z$204,0)),""))</f>
      </c>
      <c r="H61" s="37">
        <f>IF($A61="","",IFERROR(INDEX('זה אני - קליטה'!$AG$5:$AG$204,MATCH($A61&amp;"|סוף שנה",'זה אני - קליטה'!$Z$5:$Z$204,0)),""))</f>
      </c>
      <c r="I61" s="26">
        <f>IF($A61="","",IFERROR(INDEX('זה אני - קליטה'!$AA$5:$AA$204,MATCH($A61&amp;"|סוף שנה",'זה אני - קליטה'!$Z$5:$Z$204,0)),""))</f>
      </c>
      <c r="J61" s="27">
        <f>IF($A61="","",IFERROR(INDEX('זה אני - קליטה'!$AC$5:$AC$204,MATCH($A61&amp;"|סוף שנה",'זה אני - קליטה'!$Z$5:$Z$204,0)),""))</f>
      </c>
      <c r="K61" s="36">
        <f>IF(AND(ISNUMBER(B61),ISNUMBER(H61)),H61-B61,"")</f>
      </c>
      <c r="L61" s="26">
        <f>IF(K61="","",IF(K61&gt;=1,"עלייה",IF(K61&lt;=-1,"ירידה","יציב")))</f>
      </c>
    </row>
    <row r="62" ht="15" customHeight="1" spans="1:12" x14ac:dyDescent="0.25">
      <c r="A62" s="29"/>
      <c r="B62" s="37">
        <f>IF($A62="","",IFERROR(INDEX('זה אני - קליטה'!$AG$5:$AG$204,MATCH($A62&amp;"|תחילת שנה",'זה אני - קליטה'!$Z$5:$Z$204,0)),""))</f>
      </c>
      <c r="C62" s="26">
        <f>IF($A62="","",IFERROR(INDEX('זה אני - קליטה'!$AA$5:$AA$204,MATCH($A62&amp;"|תחילת שנה",'זה אני - קליטה'!$Z$5:$Z$204,0)),""))</f>
      </c>
      <c r="D62" s="27">
        <f>IF($A62="","",IFERROR(INDEX('זה אני - קליטה'!$AC$5:$AC$204,MATCH($A62&amp;"|תחילת שנה",'זה אני - קליטה'!$Z$5:$Z$204,0)),""))</f>
      </c>
      <c r="E62" s="37">
        <f>IF($A62="","",IFERROR(INDEX('זה אני - קליטה'!$AG$5:$AG$204,MATCH($A62&amp;"|אמצע שנה",'זה אני - קליטה'!$Z$5:$Z$204,0)),""))</f>
      </c>
      <c r="F62" s="26">
        <f>IF($A62="","",IFERROR(INDEX('זה אני - קליטה'!$AA$5:$AA$204,MATCH($A62&amp;"|אמצע שנה",'זה אני - קליטה'!$Z$5:$Z$204,0)),""))</f>
      </c>
      <c r="G62" s="27">
        <f>IF($A62="","",IFERROR(INDEX('זה אני - קליטה'!$AC$5:$AC$204,MATCH($A62&amp;"|אמצע שנה",'זה אני - קליטה'!$Z$5:$Z$204,0)),""))</f>
      </c>
      <c r="H62" s="37">
        <f>IF($A62="","",IFERROR(INDEX('זה אני - קליטה'!$AG$5:$AG$204,MATCH($A62&amp;"|סוף שנה",'זה אני - קליטה'!$Z$5:$Z$204,0)),""))</f>
      </c>
      <c r="I62" s="26">
        <f>IF($A62="","",IFERROR(INDEX('זה אני - קליטה'!$AA$5:$AA$204,MATCH($A62&amp;"|סוף שנה",'זה אני - קליטה'!$Z$5:$Z$204,0)),""))</f>
      </c>
      <c r="J62" s="27">
        <f>IF($A62="","",IFERROR(INDEX('זה אני - קליטה'!$AC$5:$AC$204,MATCH($A62&amp;"|סוף שנה",'זה אני - קליטה'!$Z$5:$Z$204,0)),""))</f>
      </c>
      <c r="K62" s="36">
        <f>IF(AND(ISNUMBER(B62),ISNUMBER(H62)),H62-B62,"")</f>
      </c>
      <c r="L62" s="26">
        <f>IF(K62="","",IF(K62&gt;=1,"עלייה",IF(K62&lt;=-1,"ירידה","יציב")))</f>
      </c>
    </row>
    <row r="63" ht="15" customHeight="1" spans="1:12" x14ac:dyDescent="0.25">
      <c r="A63" s="29"/>
      <c r="B63" s="37">
        <f>IF($A63="","",IFERROR(INDEX('זה אני - קליטה'!$AG$5:$AG$204,MATCH($A63&amp;"|תחילת שנה",'זה אני - קליטה'!$Z$5:$Z$204,0)),""))</f>
      </c>
      <c r="C63" s="26">
        <f>IF($A63="","",IFERROR(INDEX('זה אני - קליטה'!$AA$5:$AA$204,MATCH($A63&amp;"|תחילת שנה",'זה אני - קליטה'!$Z$5:$Z$204,0)),""))</f>
      </c>
      <c r="D63" s="27">
        <f>IF($A63="","",IFERROR(INDEX('זה אני - קליטה'!$AC$5:$AC$204,MATCH($A63&amp;"|תחילת שנה",'זה אני - קליטה'!$Z$5:$Z$204,0)),""))</f>
      </c>
      <c r="E63" s="37">
        <f>IF($A63="","",IFERROR(INDEX('זה אני - קליטה'!$AG$5:$AG$204,MATCH($A63&amp;"|אמצע שנה",'זה אני - קליטה'!$Z$5:$Z$204,0)),""))</f>
      </c>
      <c r="F63" s="26">
        <f>IF($A63="","",IFERROR(INDEX('זה אני - קליטה'!$AA$5:$AA$204,MATCH($A63&amp;"|אמצע שנה",'זה אני - קליטה'!$Z$5:$Z$204,0)),""))</f>
      </c>
      <c r="G63" s="27">
        <f>IF($A63="","",IFERROR(INDEX('זה אני - קליטה'!$AC$5:$AC$204,MATCH($A63&amp;"|אמצע שנה",'זה אני - קליטה'!$Z$5:$Z$204,0)),""))</f>
      </c>
      <c r="H63" s="37">
        <f>IF($A63="","",IFERROR(INDEX('זה אני - קליטה'!$AG$5:$AG$204,MATCH($A63&amp;"|סוף שנה",'זה אני - קליטה'!$Z$5:$Z$204,0)),""))</f>
      </c>
      <c r="I63" s="26">
        <f>IF($A63="","",IFERROR(INDEX('זה אני - קליטה'!$AA$5:$AA$204,MATCH($A63&amp;"|סוף שנה",'זה אני - קליטה'!$Z$5:$Z$204,0)),""))</f>
      </c>
      <c r="J63" s="27">
        <f>IF($A63="","",IFERROR(INDEX('זה אני - קליטה'!$AC$5:$AC$204,MATCH($A63&amp;"|סוף שנה",'זה אני - קליטה'!$Z$5:$Z$204,0)),""))</f>
      </c>
      <c r="K63" s="36">
        <f>IF(AND(ISNUMBER(B63),ISNUMBER(H63)),H63-B63,"")</f>
      </c>
      <c r="L63" s="26">
        <f>IF(K63="","",IF(K63&gt;=1,"עלייה",IF(K63&lt;=-1,"ירידה","יציב")))</f>
      </c>
    </row>
    <row r="64" ht="15" customHeight="1" spans="1:12" x14ac:dyDescent="0.25">
      <c r="A64" s="29"/>
      <c r="B64" s="37">
        <f>IF($A64="","",IFERROR(INDEX('זה אני - קליטה'!$AG$5:$AG$204,MATCH($A64&amp;"|תחילת שנה",'זה אני - קליטה'!$Z$5:$Z$204,0)),""))</f>
      </c>
      <c r="C64" s="26">
        <f>IF($A64="","",IFERROR(INDEX('זה אני - קליטה'!$AA$5:$AA$204,MATCH($A64&amp;"|תחילת שנה",'זה אני - קליטה'!$Z$5:$Z$204,0)),""))</f>
      </c>
      <c r="D64" s="27">
        <f>IF($A64="","",IFERROR(INDEX('זה אני - קליטה'!$AC$5:$AC$204,MATCH($A64&amp;"|תחילת שנה",'זה אני - קליטה'!$Z$5:$Z$204,0)),""))</f>
      </c>
      <c r="E64" s="37">
        <f>IF($A64="","",IFERROR(INDEX('זה אני - קליטה'!$AG$5:$AG$204,MATCH($A64&amp;"|אמצע שנה",'זה אני - קליטה'!$Z$5:$Z$204,0)),""))</f>
      </c>
      <c r="F64" s="26">
        <f>IF($A64="","",IFERROR(INDEX('זה אני - קליטה'!$AA$5:$AA$204,MATCH($A64&amp;"|אמצע שנה",'זה אני - קליטה'!$Z$5:$Z$204,0)),""))</f>
      </c>
      <c r="G64" s="27">
        <f>IF($A64="","",IFERROR(INDEX('זה אני - קליטה'!$AC$5:$AC$204,MATCH($A64&amp;"|אמצע שנה",'זה אני - קליטה'!$Z$5:$Z$204,0)),""))</f>
      </c>
      <c r="H64" s="37">
        <f>IF($A64="","",IFERROR(INDEX('זה אני - קליטה'!$AG$5:$AG$204,MATCH($A64&amp;"|סוף שנה",'זה אני - קליטה'!$Z$5:$Z$204,0)),""))</f>
      </c>
      <c r="I64" s="26">
        <f>IF($A64="","",IFERROR(INDEX('זה אני - קליטה'!$AA$5:$AA$204,MATCH($A64&amp;"|סוף שנה",'זה אני - קליטה'!$Z$5:$Z$204,0)),""))</f>
      </c>
      <c r="J64" s="27">
        <f>IF($A64="","",IFERROR(INDEX('זה אני - קליטה'!$AC$5:$AC$204,MATCH($A64&amp;"|סוף שנה",'זה אני - קליטה'!$Z$5:$Z$204,0)),""))</f>
      </c>
      <c r="K64" s="36">
        <f>IF(AND(ISNUMBER(B64),ISNUMBER(H64)),H64-B64,"")</f>
      </c>
      <c r="L64" s="26">
        <f>IF(K64="","",IF(K64&gt;=1,"עלייה",IF(K64&lt;=-1,"ירידה","יציב")))</f>
      </c>
    </row>
    <row r="65" ht="15" customHeight="1" spans="1:12" x14ac:dyDescent="0.25">
      <c r="A65" s="29"/>
      <c r="B65" s="37">
        <f>IF($A65="","",IFERROR(INDEX('זה אני - קליטה'!$AG$5:$AG$204,MATCH($A65&amp;"|תחילת שנה",'זה אני - קליטה'!$Z$5:$Z$204,0)),""))</f>
      </c>
      <c r="C65" s="26">
        <f>IF($A65="","",IFERROR(INDEX('זה אני - קליטה'!$AA$5:$AA$204,MATCH($A65&amp;"|תחילת שנה",'זה אני - קליטה'!$Z$5:$Z$204,0)),""))</f>
      </c>
      <c r="D65" s="27">
        <f>IF($A65="","",IFERROR(INDEX('זה אני - קליטה'!$AC$5:$AC$204,MATCH($A65&amp;"|תחילת שנה",'זה אני - קליטה'!$Z$5:$Z$204,0)),""))</f>
      </c>
      <c r="E65" s="37">
        <f>IF($A65="","",IFERROR(INDEX('זה אני - קליטה'!$AG$5:$AG$204,MATCH($A65&amp;"|אמצע שנה",'זה אני - קליטה'!$Z$5:$Z$204,0)),""))</f>
      </c>
      <c r="F65" s="26">
        <f>IF($A65="","",IFERROR(INDEX('זה אני - קליטה'!$AA$5:$AA$204,MATCH($A65&amp;"|אמצע שנה",'זה אני - קליטה'!$Z$5:$Z$204,0)),""))</f>
      </c>
      <c r="G65" s="27">
        <f>IF($A65="","",IFERROR(INDEX('זה אני - קליטה'!$AC$5:$AC$204,MATCH($A65&amp;"|אמצע שנה",'זה אני - קליטה'!$Z$5:$Z$204,0)),""))</f>
      </c>
      <c r="H65" s="37">
        <f>IF($A65="","",IFERROR(INDEX('זה אני - קליטה'!$AG$5:$AG$204,MATCH($A65&amp;"|סוף שנה",'זה אני - קליטה'!$Z$5:$Z$204,0)),""))</f>
      </c>
      <c r="I65" s="26">
        <f>IF($A65="","",IFERROR(INDEX('זה אני - קליטה'!$AA$5:$AA$204,MATCH($A65&amp;"|סוף שנה",'זה אני - קליטה'!$Z$5:$Z$204,0)),""))</f>
      </c>
      <c r="J65" s="27">
        <f>IF($A65="","",IFERROR(INDEX('זה אני - קליטה'!$AC$5:$AC$204,MATCH($A65&amp;"|סוף שנה",'זה אני - קליטה'!$Z$5:$Z$204,0)),""))</f>
      </c>
      <c r="K65" s="36">
        <f>IF(AND(ISNUMBER(B65),ISNUMBER(H65)),H65-B65,"")</f>
      </c>
      <c r="L65" s="26">
        <f>IF(K65="","",IF(K65&gt;=1,"עלייה",IF(K65&lt;=-1,"ירידה","יציב")))</f>
      </c>
    </row>
    <row r="66" ht="15" customHeight="1" spans="1:12" x14ac:dyDescent="0.25">
      <c r="A66" s="29"/>
      <c r="B66" s="37">
        <f>IF($A66="","",IFERROR(INDEX('זה אני - קליטה'!$AG$5:$AG$204,MATCH($A66&amp;"|תחילת שנה",'זה אני - קליטה'!$Z$5:$Z$204,0)),""))</f>
      </c>
      <c r="C66" s="26">
        <f>IF($A66="","",IFERROR(INDEX('זה אני - קליטה'!$AA$5:$AA$204,MATCH($A66&amp;"|תחילת שנה",'זה אני - קליטה'!$Z$5:$Z$204,0)),""))</f>
      </c>
      <c r="D66" s="27">
        <f>IF($A66="","",IFERROR(INDEX('זה אני - קליטה'!$AC$5:$AC$204,MATCH($A66&amp;"|תחילת שנה",'זה אני - קליטה'!$Z$5:$Z$204,0)),""))</f>
      </c>
      <c r="E66" s="37">
        <f>IF($A66="","",IFERROR(INDEX('זה אני - קליטה'!$AG$5:$AG$204,MATCH($A66&amp;"|אמצע שנה",'זה אני - קליטה'!$Z$5:$Z$204,0)),""))</f>
      </c>
      <c r="F66" s="26">
        <f>IF($A66="","",IFERROR(INDEX('זה אני - קליטה'!$AA$5:$AA$204,MATCH($A66&amp;"|אמצע שנה",'זה אני - קליטה'!$Z$5:$Z$204,0)),""))</f>
      </c>
      <c r="G66" s="27">
        <f>IF($A66="","",IFERROR(INDEX('זה אני - קליטה'!$AC$5:$AC$204,MATCH($A66&amp;"|אמצע שנה",'זה אני - קליטה'!$Z$5:$Z$204,0)),""))</f>
      </c>
      <c r="H66" s="37">
        <f>IF($A66="","",IFERROR(INDEX('זה אני - קליטה'!$AG$5:$AG$204,MATCH($A66&amp;"|סוף שנה",'זה אני - קליטה'!$Z$5:$Z$204,0)),""))</f>
      </c>
      <c r="I66" s="26">
        <f>IF($A66="","",IFERROR(INDEX('זה אני - קליטה'!$AA$5:$AA$204,MATCH($A66&amp;"|סוף שנה",'זה אני - קליטה'!$Z$5:$Z$204,0)),""))</f>
      </c>
      <c r="J66" s="27">
        <f>IF($A66="","",IFERROR(INDEX('זה אני - קליטה'!$AC$5:$AC$204,MATCH($A66&amp;"|סוף שנה",'זה אני - קליטה'!$Z$5:$Z$204,0)),""))</f>
      </c>
      <c r="K66" s="36">
        <f>IF(AND(ISNUMBER(B66),ISNUMBER(H66)),H66-B66,"")</f>
      </c>
      <c r="L66" s="26">
        <f>IF(K66="","",IF(K66&gt;=1,"עלייה",IF(K66&lt;=-1,"ירידה","יציב")))</f>
      </c>
    </row>
    <row r="67" ht="15" customHeight="1" spans="1:12" x14ac:dyDescent="0.25">
      <c r="A67" s="29"/>
      <c r="B67" s="37">
        <f>IF($A67="","",IFERROR(INDEX('זה אני - קליטה'!$AG$5:$AG$204,MATCH($A67&amp;"|תחילת שנה",'זה אני - קליטה'!$Z$5:$Z$204,0)),""))</f>
      </c>
      <c r="C67" s="26">
        <f>IF($A67="","",IFERROR(INDEX('זה אני - קליטה'!$AA$5:$AA$204,MATCH($A67&amp;"|תחילת שנה",'זה אני - קליטה'!$Z$5:$Z$204,0)),""))</f>
      </c>
      <c r="D67" s="27">
        <f>IF($A67="","",IFERROR(INDEX('זה אני - קליטה'!$AC$5:$AC$204,MATCH($A67&amp;"|תחילת שנה",'זה אני - קליטה'!$Z$5:$Z$204,0)),""))</f>
      </c>
      <c r="E67" s="37">
        <f>IF($A67="","",IFERROR(INDEX('זה אני - קליטה'!$AG$5:$AG$204,MATCH($A67&amp;"|אמצע שנה",'זה אני - קליטה'!$Z$5:$Z$204,0)),""))</f>
      </c>
      <c r="F67" s="26">
        <f>IF($A67="","",IFERROR(INDEX('זה אני - קליטה'!$AA$5:$AA$204,MATCH($A67&amp;"|אמצע שנה",'זה אני - קליטה'!$Z$5:$Z$204,0)),""))</f>
      </c>
      <c r="G67" s="27">
        <f>IF($A67="","",IFERROR(INDEX('זה אני - קליטה'!$AC$5:$AC$204,MATCH($A67&amp;"|אמצע שנה",'זה אני - קליטה'!$Z$5:$Z$204,0)),""))</f>
      </c>
      <c r="H67" s="37">
        <f>IF($A67="","",IFERROR(INDEX('זה אני - קליטה'!$AG$5:$AG$204,MATCH($A67&amp;"|סוף שנה",'זה אני - קליטה'!$Z$5:$Z$204,0)),""))</f>
      </c>
      <c r="I67" s="26">
        <f>IF($A67="","",IFERROR(INDEX('זה אני - קליטה'!$AA$5:$AA$204,MATCH($A67&amp;"|סוף שנה",'זה אני - קליטה'!$Z$5:$Z$204,0)),""))</f>
      </c>
      <c r="J67" s="27">
        <f>IF($A67="","",IFERROR(INDEX('זה אני - קליטה'!$AC$5:$AC$204,MATCH($A67&amp;"|סוף שנה",'זה אני - קליטה'!$Z$5:$Z$204,0)),""))</f>
      </c>
      <c r="K67" s="36">
        <f>IF(AND(ISNUMBER(B67),ISNUMBER(H67)),H67-B67,"")</f>
      </c>
      <c r="L67" s="26">
        <f>IF(K67="","",IF(K67&gt;=1,"עלייה",IF(K67&lt;=-1,"ירידה","יציב")))</f>
      </c>
    </row>
    <row r="68" ht="15" customHeight="1" spans="1:12" x14ac:dyDescent="0.25">
      <c r="A68" s="29"/>
      <c r="B68" s="37">
        <f>IF($A68="","",IFERROR(INDEX('זה אני - קליטה'!$AG$5:$AG$204,MATCH($A68&amp;"|תחילת שנה",'זה אני - קליטה'!$Z$5:$Z$204,0)),""))</f>
      </c>
      <c r="C68" s="26">
        <f>IF($A68="","",IFERROR(INDEX('זה אני - קליטה'!$AA$5:$AA$204,MATCH($A68&amp;"|תחילת שנה",'זה אני - קליטה'!$Z$5:$Z$204,0)),""))</f>
      </c>
      <c r="D68" s="27">
        <f>IF($A68="","",IFERROR(INDEX('זה אני - קליטה'!$AC$5:$AC$204,MATCH($A68&amp;"|תחילת שנה",'זה אני - קליטה'!$Z$5:$Z$204,0)),""))</f>
      </c>
      <c r="E68" s="37">
        <f>IF($A68="","",IFERROR(INDEX('זה אני - קליטה'!$AG$5:$AG$204,MATCH($A68&amp;"|אמצע שנה",'זה אני - קליטה'!$Z$5:$Z$204,0)),""))</f>
      </c>
      <c r="F68" s="26">
        <f>IF($A68="","",IFERROR(INDEX('זה אני - קליטה'!$AA$5:$AA$204,MATCH($A68&amp;"|אמצע שנה",'זה אני - קליטה'!$Z$5:$Z$204,0)),""))</f>
      </c>
      <c r="G68" s="27">
        <f>IF($A68="","",IFERROR(INDEX('זה אני - קליטה'!$AC$5:$AC$204,MATCH($A68&amp;"|אמצע שנה",'זה אני - קליטה'!$Z$5:$Z$204,0)),""))</f>
      </c>
      <c r="H68" s="37">
        <f>IF($A68="","",IFERROR(INDEX('זה אני - קליטה'!$AG$5:$AG$204,MATCH($A68&amp;"|סוף שנה",'זה אני - קליטה'!$Z$5:$Z$204,0)),""))</f>
      </c>
      <c r="I68" s="26">
        <f>IF($A68="","",IFERROR(INDEX('זה אני - קליטה'!$AA$5:$AA$204,MATCH($A68&amp;"|סוף שנה",'זה אני - קליטה'!$Z$5:$Z$204,0)),""))</f>
      </c>
      <c r="J68" s="27">
        <f>IF($A68="","",IFERROR(INDEX('זה אני - קליטה'!$AC$5:$AC$204,MATCH($A68&amp;"|סוף שנה",'זה אני - קליטה'!$Z$5:$Z$204,0)),""))</f>
      </c>
      <c r="K68" s="36">
        <f>IF(AND(ISNUMBER(B68),ISNUMBER(H68)),H68-B68,"")</f>
      </c>
      <c r="L68" s="26">
        <f>IF(K68="","",IF(K68&gt;=1,"עלייה",IF(K68&lt;=-1,"ירידה","יציב")))</f>
      </c>
    </row>
    <row r="69" ht="15" customHeight="1" spans="1:12" x14ac:dyDescent="0.25">
      <c r="A69" s="29"/>
      <c r="B69" s="37">
        <f>IF($A69="","",IFERROR(INDEX('זה אני - קליטה'!$AG$5:$AG$204,MATCH($A69&amp;"|תחילת שנה",'זה אני - קליטה'!$Z$5:$Z$204,0)),""))</f>
      </c>
      <c r="C69" s="26">
        <f>IF($A69="","",IFERROR(INDEX('זה אני - קליטה'!$AA$5:$AA$204,MATCH($A69&amp;"|תחילת שנה",'זה אני - קליטה'!$Z$5:$Z$204,0)),""))</f>
      </c>
      <c r="D69" s="27">
        <f>IF($A69="","",IFERROR(INDEX('זה אני - קליטה'!$AC$5:$AC$204,MATCH($A69&amp;"|תחילת שנה",'זה אני - קליטה'!$Z$5:$Z$204,0)),""))</f>
      </c>
      <c r="E69" s="37">
        <f>IF($A69="","",IFERROR(INDEX('זה אני - קליטה'!$AG$5:$AG$204,MATCH($A69&amp;"|אמצע שנה",'זה אני - קליטה'!$Z$5:$Z$204,0)),""))</f>
      </c>
      <c r="F69" s="26">
        <f>IF($A69="","",IFERROR(INDEX('זה אני - קליטה'!$AA$5:$AA$204,MATCH($A69&amp;"|אמצע שנה",'זה אני - קליטה'!$Z$5:$Z$204,0)),""))</f>
      </c>
      <c r="G69" s="27">
        <f>IF($A69="","",IFERROR(INDEX('זה אני - קליטה'!$AC$5:$AC$204,MATCH($A69&amp;"|אמצע שנה",'זה אני - קליטה'!$Z$5:$Z$204,0)),""))</f>
      </c>
      <c r="H69" s="37">
        <f>IF($A69="","",IFERROR(INDEX('זה אני - קליטה'!$AG$5:$AG$204,MATCH($A69&amp;"|סוף שנה",'זה אני - קליטה'!$Z$5:$Z$204,0)),""))</f>
      </c>
      <c r="I69" s="26">
        <f>IF($A69="","",IFERROR(INDEX('זה אני - קליטה'!$AA$5:$AA$204,MATCH($A69&amp;"|סוף שנה",'זה אני - קליטה'!$Z$5:$Z$204,0)),""))</f>
      </c>
      <c r="J69" s="27">
        <f>IF($A69="","",IFERROR(INDEX('זה אני - קליטה'!$AC$5:$AC$204,MATCH($A69&amp;"|סוף שנה",'זה אני - קליטה'!$Z$5:$Z$204,0)),""))</f>
      </c>
      <c r="K69" s="36">
        <f>IF(AND(ISNUMBER(B69),ISNUMBER(H69)),H69-B69,"")</f>
      </c>
      <c r="L69" s="26">
        <f>IF(K69="","",IF(K69&gt;=1,"עלייה",IF(K69&lt;=-1,"ירידה","יציב")))</f>
      </c>
    </row>
    <row r="70" ht="15" customHeight="1" spans="1:12" x14ac:dyDescent="0.25">
      <c r="A70" s="29"/>
      <c r="B70" s="37">
        <f>IF($A70="","",IFERROR(INDEX('זה אני - קליטה'!$AG$5:$AG$204,MATCH($A70&amp;"|תחילת שנה",'זה אני - קליטה'!$Z$5:$Z$204,0)),""))</f>
      </c>
      <c r="C70" s="26">
        <f>IF($A70="","",IFERROR(INDEX('זה אני - קליטה'!$AA$5:$AA$204,MATCH($A70&amp;"|תחילת שנה",'זה אני - קליטה'!$Z$5:$Z$204,0)),""))</f>
      </c>
      <c r="D70" s="27">
        <f>IF($A70="","",IFERROR(INDEX('זה אני - קליטה'!$AC$5:$AC$204,MATCH($A70&amp;"|תחילת שנה",'זה אני - קליטה'!$Z$5:$Z$204,0)),""))</f>
      </c>
      <c r="E70" s="37">
        <f>IF($A70="","",IFERROR(INDEX('זה אני - קליטה'!$AG$5:$AG$204,MATCH($A70&amp;"|אמצע שנה",'זה אני - קליטה'!$Z$5:$Z$204,0)),""))</f>
      </c>
      <c r="F70" s="26">
        <f>IF($A70="","",IFERROR(INDEX('זה אני - קליטה'!$AA$5:$AA$204,MATCH($A70&amp;"|אמצע שנה",'זה אני - קליטה'!$Z$5:$Z$204,0)),""))</f>
      </c>
      <c r="G70" s="27">
        <f>IF($A70="","",IFERROR(INDEX('זה אני - קליטה'!$AC$5:$AC$204,MATCH($A70&amp;"|אמצע שנה",'זה אני - קליטה'!$Z$5:$Z$204,0)),""))</f>
      </c>
      <c r="H70" s="37">
        <f>IF($A70="","",IFERROR(INDEX('זה אני - קליטה'!$AG$5:$AG$204,MATCH($A70&amp;"|סוף שנה",'זה אני - קליטה'!$Z$5:$Z$204,0)),""))</f>
      </c>
      <c r="I70" s="26">
        <f>IF($A70="","",IFERROR(INDEX('זה אני - קליטה'!$AA$5:$AA$204,MATCH($A70&amp;"|סוף שנה",'זה אני - קליטה'!$Z$5:$Z$204,0)),""))</f>
      </c>
      <c r="J70" s="27">
        <f>IF($A70="","",IFERROR(INDEX('זה אני - קליטה'!$AC$5:$AC$204,MATCH($A70&amp;"|סוף שנה",'זה אני - קליטה'!$Z$5:$Z$204,0)),""))</f>
      </c>
      <c r="K70" s="36">
        <f>IF(AND(ISNUMBER(B70),ISNUMBER(H70)),H70-B70,"")</f>
      </c>
      <c r="L70" s="26">
        <f>IF(K70="","",IF(K70&gt;=1,"עלייה",IF(K70&lt;=-1,"ירידה","יציב")))</f>
      </c>
    </row>
    <row r="71" ht="15" customHeight="1" spans="1:12" x14ac:dyDescent="0.25">
      <c r="A71" s="29"/>
      <c r="B71" s="37">
        <f>IF($A71="","",IFERROR(INDEX('זה אני - קליטה'!$AG$5:$AG$204,MATCH($A71&amp;"|תחילת שנה",'זה אני - קליטה'!$Z$5:$Z$204,0)),""))</f>
      </c>
      <c r="C71" s="26">
        <f>IF($A71="","",IFERROR(INDEX('זה אני - קליטה'!$AA$5:$AA$204,MATCH($A71&amp;"|תחילת שנה",'זה אני - קליטה'!$Z$5:$Z$204,0)),""))</f>
      </c>
      <c r="D71" s="27">
        <f>IF($A71="","",IFERROR(INDEX('זה אני - קליטה'!$AC$5:$AC$204,MATCH($A71&amp;"|תחילת שנה",'זה אני - קליטה'!$Z$5:$Z$204,0)),""))</f>
      </c>
      <c r="E71" s="37">
        <f>IF($A71="","",IFERROR(INDEX('זה אני - קליטה'!$AG$5:$AG$204,MATCH($A71&amp;"|אמצע שנה",'זה אני - קליטה'!$Z$5:$Z$204,0)),""))</f>
      </c>
      <c r="F71" s="26">
        <f>IF($A71="","",IFERROR(INDEX('זה אני - קליטה'!$AA$5:$AA$204,MATCH($A71&amp;"|אמצע שנה",'זה אני - קליטה'!$Z$5:$Z$204,0)),""))</f>
      </c>
      <c r="G71" s="27">
        <f>IF($A71="","",IFERROR(INDEX('זה אני - קליטה'!$AC$5:$AC$204,MATCH($A71&amp;"|אמצע שנה",'זה אני - קליטה'!$Z$5:$Z$204,0)),""))</f>
      </c>
      <c r="H71" s="37">
        <f>IF($A71="","",IFERROR(INDEX('זה אני - קליטה'!$AG$5:$AG$204,MATCH($A71&amp;"|סוף שנה",'זה אני - קליטה'!$Z$5:$Z$204,0)),""))</f>
      </c>
      <c r="I71" s="26">
        <f>IF($A71="","",IFERROR(INDEX('זה אני - קליטה'!$AA$5:$AA$204,MATCH($A71&amp;"|סוף שנה",'זה אני - קליטה'!$Z$5:$Z$204,0)),""))</f>
      </c>
      <c r="J71" s="27">
        <f>IF($A71="","",IFERROR(INDEX('זה אני - קליטה'!$AC$5:$AC$204,MATCH($A71&amp;"|סוף שנה",'זה אני - קליטה'!$Z$5:$Z$204,0)),""))</f>
      </c>
      <c r="K71" s="36">
        <f>IF(AND(ISNUMBER(B71),ISNUMBER(H71)),H71-B71,"")</f>
      </c>
      <c r="L71" s="26">
        <f>IF(K71="","",IF(K71&gt;=1,"עלייה",IF(K71&lt;=-1,"ירידה","יציב")))</f>
      </c>
    </row>
    <row r="72" ht="15" customHeight="1" spans="1:12" x14ac:dyDescent="0.25">
      <c r="A72" s="29"/>
      <c r="B72" s="37">
        <f>IF($A72="","",IFERROR(INDEX('זה אני - קליטה'!$AG$5:$AG$204,MATCH($A72&amp;"|תחילת שנה",'זה אני - קליטה'!$Z$5:$Z$204,0)),""))</f>
      </c>
      <c r="C72" s="26">
        <f>IF($A72="","",IFERROR(INDEX('זה אני - קליטה'!$AA$5:$AA$204,MATCH($A72&amp;"|תחילת שנה",'זה אני - קליטה'!$Z$5:$Z$204,0)),""))</f>
      </c>
      <c r="D72" s="27">
        <f>IF($A72="","",IFERROR(INDEX('זה אני - קליטה'!$AC$5:$AC$204,MATCH($A72&amp;"|תחילת שנה",'זה אני - קליטה'!$Z$5:$Z$204,0)),""))</f>
      </c>
      <c r="E72" s="37">
        <f>IF($A72="","",IFERROR(INDEX('זה אני - קליטה'!$AG$5:$AG$204,MATCH($A72&amp;"|אמצע שנה",'זה אני - קליטה'!$Z$5:$Z$204,0)),""))</f>
      </c>
      <c r="F72" s="26">
        <f>IF($A72="","",IFERROR(INDEX('זה אני - קליטה'!$AA$5:$AA$204,MATCH($A72&amp;"|אמצע שנה",'זה אני - קליטה'!$Z$5:$Z$204,0)),""))</f>
      </c>
      <c r="G72" s="27">
        <f>IF($A72="","",IFERROR(INDEX('זה אני - קליטה'!$AC$5:$AC$204,MATCH($A72&amp;"|אמצע שנה",'זה אני - קליטה'!$Z$5:$Z$204,0)),""))</f>
      </c>
      <c r="H72" s="37">
        <f>IF($A72="","",IFERROR(INDEX('זה אני - קליטה'!$AG$5:$AG$204,MATCH($A72&amp;"|סוף שנה",'זה אני - קליטה'!$Z$5:$Z$204,0)),""))</f>
      </c>
      <c r="I72" s="26">
        <f>IF($A72="","",IFERROR(INDEX('זה אני - קליטה'!$AA$5:$AA$204,MATCH($A72&amp;"|סוף שנה",'זה אני - קליטה'!$Z$5:$Z$204,0)),""))</f>
      </c>
      <c r="J72" s="27">
        <f>IF($A72="","",IFERROR(INDEX('זה אני - קליטה'!$AC$5:$AC$204,MATCH($A72&amp;"|סוף שנה",'זה אני - קליטה'!$Z$5:$Z$204,0)),""))</f>
      </c>
      <c r="K72" s="36">
        <f>IF(AND(ISNUMBER(B72),ISNUMBER(H72)),H72-B72,"")</f>
      </c>
      <c r="L72" s="26">
        <f>IF(K72="","",IF(K72&gt;=1,"עלייה",IF(K72&lt;=-1,"ירידה","יציב")))</f>
      </c>
    </row>
    <row r="73" ht="15" customHeight="1" spans="1:12" x14ac:dyDescent="0.25">
      <c r="A73" s="29"/>
      <c r="B73" s="37">
        <f>IF($A73="","",IFERROR(INDEX('זה אני - קליטה'!$AG$5:$AG$204,MATCH($A73&amp;"|תחילת שנה",'זה אני - קליטה'!$Z$5:$Z$204,0)),""))</f>
      </c>
      <c r="C73" s="26">
        <f>IF($A73="","",IFERROR(INDEX('זה אני - קליטה'!$AA$5:$AA$204,MATCH($A73&amp;"|תחילת שנה",'זה אני - קליטה'!$Z$5:$Z$204,0)),""))</f>
      </c>
      <c r="D73" s="27">
        <f>IF($A73="","",IFERROR(INDEX('זה אני - קליטה'!$AC$5:$AC$204,MATCH($A73&amp;"|תחילת שנה",'זה אני - קליטה'!$Z$5:$Z$204,0)),""))</f>
      </c>
      <c r="E73" s="37">
        <f>IF($A73="","",IFERROR(INDEX('זה אני - קליטה'!$AG$5:$AG$204,MATCH($A73&amp;"|אמצע שנה",'זה אני - קליטה'!$Z$5:$Z$204,0)),""))</f>
      </c>
      <c r="F73" s="26">
        <f>IF($A73="","",IFERROR(INDEX('זה אני - קליטה'!$AA$5:$AA$204,MATCH($A73&amp;"|אמצע שנה",'זה אני - קליטה'!$Z$5:$Z$204,0)),""))</f>
      </c>
      <c r="G73" s="27">
        <f>IF($A73="","",IFERROR(INDEX('זה אני - קליטה'!$AC$5:$AC$204,MATCH($A73&amp;"|אמצע שנה",'זה אני - קליטה'!$Z$5:$Z$204,0)),""))</f>
      </c>
      <c r="H73" s="37">
        <f>IF($A73="","",IFERROR(INDEX('זה אני - קליטה'!$AG$5:$AG$204,MATCH($A73&amp;"|סוף שנה",'זה אני - קליטה'!$Z$5:$Z$204,0)),""))</f>
      </c>
      <c r="I73" s="26">
        <f>IF($A73="","",IFERROR(INDEX('זה אני - קליטה'!$AA$5:$AA$204,MATCH($A73&amp;"|סוף שנה",'זה אני - קליטה'!$Z$5:$Z$204,0)),""))</f>
      </c>
      <c r="J73" s="27">
        <f>IF($A73="","",IFERROR(INDEX('זה אני - קליטה'!$AC$5:$AC$204,MATCH($A73&amp;"|סוף שנה",'זה אני - קליטה'!$Z$5:$Z$204,0)),""))</f>
      </c>
      <c r="K73" s="36">
        <f>IF(AND(ISNUMBER(B73),ISNUMBER(H73)),H73-B73,"")</f>
      </c>
      <c r="L73" s="26">
        <f>IF(K73="","",IF(K73&gt;=1,"עלייה",IF(K73&lt;=-1,"ירידה","יציב")))</f>
      </c>
    </row>
    <row r="74" ht="15" customHeight="1" spans="1:12" x14ac:dyDescent="0.25">
      <c r="A74" s="29"/>
      <c r="B74" s="37">
        <f>IF($A74="","",IFERROR(INDEX('זה אני - קליטה'!$AG$5:$AG$204,MATCH($A74&amp;"|תחילת שנה",'זה אני - קליטה'!$Z$5:$Z$204,0)),""))</f>
      </c>
      <c r="C74" s="26">
        <f>IF($A74="","",IFERROR(INDEX('זה אני - קליטה'!$AA$5:$AA$204,MATCH($A74&amp;"|תחילת שנה",'זה אני - קליטה'!$Z$5:$Z$204,0)),""))</f>
      </c>
      <c r="D74" s="27">
        <f>IF($A74="","",IFERROR(INDEX('זה אני - קליטה'!$AC$5:$AC$204,MATCH($A74&amp;"|תחילת שנה",'זה אני - קליטה'!$Z$5:$Z$204,0)),""))</f>
      </c>
      <c r="E74" s="37">
        <f>IF($A74="","",IFERROR(INDEX('זה אני - קליטה'!$AG$5:$AG$204,MATCH($A74&amp;"|אמצע שנה",'זה אני - קליטה'!$Z$5:$Z$204,0)),""))</f>
      </c>
      <c r="F74" s="26">
        <f>IF($A74="","",IFERROR(INDEX('זה אני - קליטה'!$AA$5:$AA$204,MATCH($A74&amp;"|אמצע שנה",'זה אני - קליטה'!$Z$5:$Z$204,0)),""))</f>
      </c>
      <c r="G74" s="27">
        <f>IF($A74="","",IFERROR(INDEX('זה אני - קליטה'!$AC$5:$AC$204,MATCH($A74&amp;"|אמצע שנה",'זה אני - קליטה'!$Z$5:$Z$204,0)),""))</f>
      </c>
      <c r="H74" s="37">
        <f>IF($A74="","",IFERROR(INDEX('זה אני - קליטה'!$AG$5:$AG$204,MATCH($A74&amp;"|סוף שנה",'זה אני - קליטה'!$Z$5:$Z$204,0)),""))</f>
      </c>
      <c r="I74" s="26">
        <f>IF($A74="","",IFERROR(INDEX('זה אני - קליטה'!$AA$5:$AA$204,MATCH($A74&amp;"|סוף שנה",'זה אני - קליטה'!$Z$5:$Z$204,0)),""))</f>
      </c>
      <c r="J74" s="27">
        <f>IF($A74="","",IFERROR(INDEX('זה אני - קליטה'!$AC$5:$AC$204,MATCH($A74&amp;"|סוף שנה",'זה אני - קליטה'!$Z$5:$Z$204,0)),""))</f>
      </c>
      <c r="K74" s="36">
        <f>IF(AND(ISNUMBER(B74),ISNUMBER(H74)),H74-B74,"")</f>
      </c>
      <c r="L74" s="26">
        <f>IF(K74="","",IF(K74&gt;=1,"עלייה",IF(K74&lt;=-1,"ירידה","יציב")))</f>
      </c>
    </row>
    <row r="75" ht="15" customHeight="1" spans="1:12" x14ac:dyDescent="0.25">
      <c r="A75" s="29"/>
      <c r="B75" s="37">
        <f>IF($A75="","",IFERROR(INDEX('זה אני - קליטה'!$AG$5:$AG$204,MATCH($A75&amp;"|תחילת שנה",'זה אני - קליטה'!$Z$5:$Z$204,0)),""))</f>
      </c>
      <c r="C75" s="26">
        <f>IF($A75="","",IFERROR(INDEX('זה אני - קליטה'!$AA$5:$AA$204,MATCH($A75&amp;"|תחילת שנה",'זה אני - קליטה'!$Z$5:$Z$204,0)),""))</f>
      </c>
      <c r="D75" s="27">
        <f>IF($A75="","",IFERROR(INDEX('זה אני - קליטה'!$AC$5:$AC$204,MATCH($A75&amp;"|תחילת שנה",'זה אני - קליטה'!$Z$5:$Z$204,0)),""))</f>
      </c>
      <c r="E75" s="37">
        <f>IF($A75="","",IFERROR(INDEX('זה אני - קליטה'!$AG$5:$AG$204,MATCH($A75&amp;"|אמצע שנה",'זה אני - קליטה'!$Z$5:$Z$204,0)),""))</f>
      </c>
      <c r="F75" s="26">
        <f>IF($A75="","",IFERROR(INDEX('זה אני - קליטה'!$AA$5:$AA$204,MATCH($A75&amp;"|אמצע שנה",'זה אני - קליטה'!$Z$5:$Z$204,0)),""))</f>
      </c>
      <c r="G75" s="27">
        <f>IF($A75="","",IFERROR(INDEX('זה אני - קליטה'!$AC$5:$AC$204,MATCH($A75&amp;"|אמצע שנה",'זה אני - קליטה'!$Z$5:$Z$204,0)),""))</f>
      </c>
      <c r="H75" s="37">
        <f>IF($A75="","",IFERROR(INDEX('זה אני - קליטה'!$AG$5:$AG$204,MATCH($A75&amp;"|סוף שנה",'זה אני - קליטה'!$Z$5:$Z$204,0)),""))</f>
      </c>
      <c r="I75" s="26">
        <f>IF($A75="","",IFERROR(INDEX('זה אני - קליטה'!$AA$5:$AA$204,MATCH($A75&amp;"|סוף שנה",'זה אני - קליטה'!$Z$5:$Z$204,0)),""))</f>
      </c>
      <c r="J75" s="27">
        <f>IF($A75="","",IFERROR(INDEX('זה אני - קליטה'!$AC$5:$AC$204,MATCH($A75&amp;"|סוף שנה",'זה אני - קליטה'!$Z$5:$Z$204,0)),""))</f>
      </c>
      <c r="K75" s="36">
        <f>IF(AND(ISNUMBER(B75),ISNUMBER(H75)),H75-B75,"")</f>
      </c>
      <c r="L75" s="26">
        <f>IF(K75="","",IF(K75&gt;=1,"עלייה",IF(K75&lt;=-1,"ירידה","יציב")))</f>
      </c>
    </row>
    <row r="76" ht="15" customHeight="1" spans="1:12" x14ac:dyDescent="0.25">
      <c r="A76" s="29"/>
      <c r="B76" s="37">
        <f>IF($A76="","",IFERROR(INDEX('זה אני - קליטה'!$AG$5:$AG$204,MATCH($A76&amp;"|תחילת שנה",'זה אני - קליטה'!$Z$5:$Z$204,0)),""))</f>
      </c>
      <c r="C76" s="26">
        <f>IF($A76="","",IFERROR(INDEX('זה אני - קליטה'!$AA$5:$AA$204,MATCH($A76&amp;"|תחילת שנה",'זה אני - קליטה'!$Z$5:$Z$204,0)),""))</f>
      </c>
      <c r="D76" s="27">
        <f>IF($A76="","",IFERROR(INDEX('זה אני - קליטה'!$AC$5:$AC$204,MATCH($A76&amp;"|תחילת שנה",'זה אני - קליטה'!$Z$5:$Z$204,0)),""))</f>
      </c>
      <c r="E76" s="37">
        <f>IF($A76="","",IFERROR(INDEX('זה אני - קליטה'!$AG$5:$AG$204,MATCH($A76&amp;"|אמצע שנה",'זה אני - קליטה'!$Z$5:$Z$204,0)),""))</f>
      </c>
      <c r="F76" s="26">
        <f>IF($A76="","",IFERROR(INDEX('זה אני - קליטה'!$AA$5:$AA$204,MATCH($A76&amp;"|אמצע שנה",'זה אני - קליטה'!$Z$5:$Z$204,0)),""))</f>
      </c>
      <c r="G76" s="27">
        <f>IF($A76="","",IFERROR(INDEX('זה אני - קליטה'!$AC$5:$AC$204,MATCH($A76&amp;"|אמצע שנה",'זה אני - קליטה'!$Z$5:$Z$204,0)),""))</f>
      </c>
      <c r="H76" s="37">
        <f>IF($A76="","",IFERROR(INDEX('זה אני - קליטה'!$AG$5:$AG$204,MATCH($A76&amp;"|סוף שנה",'זה אני - קליטה'!$Z$5:$Z$204,0)),""))</f>
      </c>
      <c r="I76" s="26">
        <f>IF($A76="","",IFERROR(INDEX('זה אני - קליטה'!$AA$5:$AA$204,MATCH($A76&amp;"|סוף שנה",'זה אני - קליטה'!$Z$5:$Z$204,0)),""))</f>
      </c>
      <c r="J76" s="27">
        <f>IF($A76="","",IFERROR(INDEX('זה אני - קליטה'!$AC$5:$AC$204,MATCH($A76&amp;"|סוף שנה",'זה אני - קליטה'!$Z$5:$Z$204,0)),""))</f>
      </c>
      <c r="K76" s="36">
        <f>IF(AND(ISNUMBER(B76),ISNUMBER(H76)),H76-B76,"")</f>
      </c>
      <c r="L76" s="26">
        <f>IF(K76="","",IF(K76&gt;=1,"עלייה",IF(K76&lt;=-1,"ירידה","יציב")))</f>
      </c>
    </row>
    <row r="77" ht="15" customHeight="1" spans="1:12" x14ac:dyDescent="0.25">
      <c r="A77" s="29"/>
      <c r="B77" s="37">
        <f>IF($A77="","",IFERROR(INDEX('זה אני - קליטה'!$AG$5:$AG$204,MATCH($A77&amp;"|תחילת שנה",'זה אני - קליטה'!$Z$5:$Z$204,0)),""))</f>
      </c>
      <c r="C77" s="26">
        <f>IF($A77="","",IFERROR(INDEX('זה אני - קליטה'!$AA$5:$AA$204,MATCH($A77&amp;"|תחילת שנה",'זה אני - קליטה'!$Z$5:$Z$204,0)),""))</f>
      </c>
      <c r="D77" s="27">
        <f>IF($A77="","",IFERROR(INDEX('זה אני - קליטה'!$AC$5:$AC$204,MATCH($A77&amp;"|תחילת שנה",'זה אני - קליטה'!$Z$5:$Z$204,0)),""))</f>
      </c>
      <c r="E77" s="37">
        <f>IF($A77="","",IFERROR(INDEX('זה אני - קליטה'!$AG$5:$AG$204,MATCH($A77&amp;"|אמצע שנה",'זה אני - קליטה'!$Z$5:$Z$204,0)),""))</f>
      </c>
      <c r="F77" s="26">
        <f>IF($A77="","",IFERROR(INDEX('זה אני - קליטה'!$AA$5:$AA$204,MATCH($A77&amp;"|אמצע שנה",'זה אני - קליטה'!$Z$5:$Z$204,0)),""))</f>
      </c>
      <c r="G77" s="27">
        <f>IF($A77="","",IFERROR(INDEX('זה אני - קליטה'!$AC$5:$AC$204,MATCH($A77&amp;"|אמצע שנה",'זה אני - קליטה'!$Z$5:$Z$204,0)),""))</f>
      </c>
      <c r="H77" s="37">
        <f>IF($A77="","",IFERROR(INDEX('זה אני - קליטה'!$AG$5:$AG$204,MATCH($A77&amp;"|סוף שנה",'זה אני - קליטה'!$Z$5:$Z$204,0)),""))</f>
      </c>
      <c r="I77" s="26">
        <f>IF($A77="","",IFERROR(INDEX('זה אני - קליטה'!$AA$5:$AA$204,MATCH($A77&amp;"|סוף שנה",'זה אני - קליטה'!$Z$5:$Z$204,0)),""))</f>
      </c>
      <c r="J77" s="27">
        <f>IF($A77="","",IFERROR(INDEX('זה אני - קליטה'!$AC$5:$AC$204,MATCH($A77&amp;"|סוף שנה",'זה אני - קליטה'!$Z$5:$Z$204,0)),""))</f>
      </c>
      <c r="K77" s="36">
        <f>IF(AND(ISNUMBER(B77),ISNUMBER(H77)),H77-B77,"")</f>
      </c>
      <c r="L77" s="26">
        <f>IF(K77="","",IF(K77&gt;=1,"עלייה",IF(K77&lt;=-1,"ירידה","יציב")))</f>
      </c>
    </row>
    <row r="78" ht="15" customHeight="1" spans="1:12" x14ac:dyDescent="0.25">
      <c r="A78" s="29"/>
      <c r="B78" s="37">
        <f>IF($A78="","",IFERROR(INDEX('זה אני - קליטה'!$AG$5:$AG$204,MATCH($A78&amp;"|תחילת שנה",'זה אני - קליטה'!$Z$5:$Z$204,0)),""))</f>
      </c>
      <c r="C78" s="26">
        <f>IF($A78="","",IFERROR(INDEX('זה אני - קליטה'!$AA$5:$AA$204,MATCH($A78&amp;"|תחילת שנה",'זה אני - קליטה'!$Z$5:$Z$204,0)),""))</f>
      </c>
      <c r="D78" s="27">
        <f>IF($A78="","",IFERROR(INDEX('זה אני - קליטה'!$AC$5:$AC$204,MATCH($A78&amp;"|תחילת שנה",'זה אני - קליטה'!$Z$5:$Z$204,0)),""))</f>
      </c>
      <c r="E78" s="37">
        <f>IF($A78="","",IFERROR(INDEX('זה אני - קליטה'!$AG$5:$AG$204,MATCH($A78&amp;"|אמצע שנה",'זה אני - קליטה'!$Z$5:$Z$204,0)),""))</f>
      </c>
      <c r="F78" s="26">
        <f>IF($A78="","",IFERROR(INDEX('זה אני - קליטה'!$AA$5:$AA$204,MATCH($A78&amp;"|אמצע שנה",'זה אני - קליטה'!$Z$5:$Z$204,0)),""))</f>
      </c>
      <c r="G78" s="27">
        <f>IF($A78="","",IFERROR(INDEX('זה אני - קליטה'!$AC$5:$AC$204,MATCH($A78&amp;"|אמצע שנה",'זה אני - קליטה'!$Z$5:$Z$204,0)),""))</f>
      </c>
      <c r="H78" s="37">
        <f>IF($A78="","",IFERROR(INDEX('זה אני - קליטה'!$AG$5:$AG$204,MATCH($A78&amp;"|סוף שנה",'זה אני - קליטה'!$Z$5:$Z$204,0)),""))</f>
      </c>
      <c r="I78" s="26">
        <f>IF($A78="","",IFERROR(INDEX('זה אני - קליטה'!$AA$5:$AA$204,MATCH($A78&amp;"|סוף שנה",'זה אני - קליטה'!$Z$5:$Z$204,0)),""))</f>
      </c>
      <c r="J78" s="27">
        <f>IF($A78="","",IFERROR(INDEX('זה אני - קליטה'!$AC$5:$AC$204,MATCH($A78&amp;"|סוף שנה",'זה אני - קליטה'!$Z$5:$Z$204,0)),""))</f>
      </c>
      <c r="K78" s="36">
        <f>IF(AND(ISNUMBER(B78),ISNUMBER(H78)),H78-B78,"")</f>
      </c>
      <c r="L78" s="26">
        <f>IF(K78="","",IF(K78&gt;=1,"עלייה",IF(K78&lt;=-1,"ירידה","יציב")))</f>
      </c>
    </row>
    <row r="79" ht="15" customHeight="1" spans="1:12" x14ac:dyDescent="0.25">
      <c r="A79" s="29"/>
      <c r="B79" s="37">
        <f>IF($A79="","",IFERROR(INDEX('זה אני - קליטה'!$AG$5:$AG$204,MATCH($A79&amp;"|תחילת שנה",'זה אני - קליטה'!$Z$5:$Z$204,0)),""))</f>
      </c>
      <c r="C79" s="26">
        <f>IF($A79="","",IFERROR(INDEX('זה אני - קליטה'!$AA$5:$AA$204,MATCH($A79&amp;"|תחילת שנה",'זה אני - קליטה'!$Z$5:$Z$204,0)),""))</f>
      </c>
      <c r="D79" s="27">
        <f>IF($A79="","",IFERROR(INDEX('זה אני - קליטה'!$AC$5:$AC$204,MATCH($A79&amp;"|תחילת שנה",'זה אני - קליטה'!$Z$5:$Z$204,0)),""))</f>
      </c>
      <c r="E79" s="37">
        <f>IF($A79="","",IFERROR(INDEX('זה אני - קליטה'!$AG$5:$AG$204,MATCH($A79&amp;"|אמצע שנה",'זה אני - קליטה'!$Z$5:$Z$204,0)),""))</f>
      </c>
      <c r="F79" s="26">
        <f>IF($A79="","",IFERROR(INDEX('זה אני - קליטה'!$AA$5:$AA$204,MATCH($A79&amp;"|אמצע שנה",'זה אני - קליטה'!$Z$5:$Z$204,0)),""))</f>
      </c>
      <c r="G79" s="27">
        <f>IF($A79="","",IFERROR(INDEX('זה אני - קליטה'!$AC$5:$AC$204,MATCH($A79&amp;"|אמצע שנה",'זה אני - קליטה'!$Z$5:$Z$204,0)),""))</f>
      </c>
      <c r="H79" s="37">
        <f>IF($A79="","",IFERROR(INDEX('זה אני - קליטה'!$AG$5:$AG$204,MATCH($A79&amp;"|סוף שנה",'זה אני - קליטה'!$Z$5:$Z$204,0)),""))</f>
      </c>
      <c r="I79" s="26">
        <f>IF($A79="","",IFERROR(INDEX('זה אני - קליטה'!$AA$5:$AA$204,MATCH($A79&amp;"|סוף שנה",'זה אני - קליטה'!$Z$5:$Z$204,0)),""))</f>
      </c>
      <c r="J79" s="27">
        <f>IF($A79="","",IFERROR(INDEX('זה אני - קליטה'!$AC$5:$AC$204,MATCH($A79&amp;"|סוף שנה",'זה אני - קליטה'!$Z$5:$Z$204,0)),""))</f>
      </c>
      <c r="K79" s="36">
        <f>IF(AND(ISNUMBER(B79),ISNUMBER(H79)),H79-B79,"")</f>
      </c>
      <c r="L79" s="26">
        <f>IF(K79="","",IF(K79&gt;=1,"עלייה",IF(K79&lt;=-1,"ירידה","יציב")))</f>
      </c>
    </row>
    <row r="80" ht="15" customHeight="1" spans="1:12" x14ac:dyDescent="0.25">
      <c r="A80" s="29"/>
      <c r="B80" s="37">
        <f>IF($A80="","",IFERROR(INDEX('זה אני - קליטה'!$AG$5:$AG$204,MATCH($A80&amp;"|תחילת שנה",'זה אני - קליטה'!$Z$5:$Z$204,0)),""))</f>
      </c>
      <c r="C80" s="26">
        <f>IF($A80="","",IFERROR(INDEX('זה אני - קליטה'!$AA$5:$AA$204,MATCH($A80&amp;"|תחילת שנה",'זה אני - קליטה'!$Z$5:$Z$204,0)),""))</f>
      </c>
      <c r="D80" s="27">
        <f>IF($A80="","",IFERROR(INDEX('זה אני - קליטה'!$AC$5:$AC$204,MATCH($A80&amp;"|תחילת שנה",'זה אני - קליטה'!$Z$5:$Z$204,0)),""))</f>
      </c>
      <c r="E80" s="37">
        <f>IF($A80="","",IFERROR(INDEX('זה אני - קליטה'!$AG$5:$AG$204,MATCH($A80&amp;"|אמצע שנה",'זה אני - קליטה'!$Z$5:$Z$204,0)),""))</f>
      </c>
      <c r="F80" s="26">
        <f>IF($A80="","",IFERROR(INDEX('זה אני - קליטה'!$AA$5:$AA$204,MATCH($A80&amp;"|אמצע שנה",'זה אני - קליטה'!$Z$5:$Z$204,0)),""))</f>
      </c>
      <c r="G80" s="27">
        <f>IF($A80="","",IFERROR(INDEX('זה אני - קליטה'!$AC$5:$AC$204,MATCH($A80&amp;"|אמצע שנה",'זה אני - קליטה'!$Z$5:$Z$204,0)),""))</f>
      </c>
      <c r="H80" s="37">
        <f>IF($A80="","",IFERROR(INDEX('זה אני - קליטה'!$AG$5:$AG$204,MATCH($A80&amp;"|סוף שנה",'זה אני - קליטה'!$Z$5:$Z$204,0)),""))</f>
      </c>
      <c r="I80" s="26">
        <f>IF($A80="","",IFERROR(INDEX('זה אני - קליטה'!$AA$5:$AA$204,MATCH($A80&amp;"|סוף שנה",'זה אני - קליטה'!$Z$5:$Z$204,0)),""))</f>
      </c>
      <c r="J80" s="27">
        <f>IF($A80="","",IFERROR(INDEX('זה אני - קליטה'!$AC$5:$AC$204,MATCH($A80&amp;"|סוף שנה",'זה אני - קליטה'!$Z$5:$Z$204,0)),""))</f>
      </c>
      <c r="K80" s="36">
        <f>IF(AND(ISNUMBER(B80),ISNUMBER(H80)),H80-B80,"")</f>
      </c>
      <c r="L80" s="26">
        <f>IF(K80="","",IF(K80&gt;=1,"עלייה",IF(K80&lt;=-1,"ירידה","יציב")))</f>
      </c>
    </row>
    <row r="81" ht="15" customHeight="1" spans="1:12" x14ac:dyDescent="0.25">
      <c r="A81" s="29"/>
      <c r="B81" s="37">
        <f>IF($A81="","",IFERROR(INDEX('זה אני - קליטה'!$AG$5:$AG$204,MATCH($A81&amp;"|תחילת שנה",'זה אני - קליטה'!$Z$5:$Z$204,0)),""))</f>
      </c>
      <c r="C81" s="26">
        <f>IF($A81="","",IFERROR(INDEX('זה אני - קליטה'!$AA$5:$AA$204,MATCH($A81&amp;"|תחילת שנה",'זה אני - קליטה'!$Z$5:$Z$204,0)),""))</f>
      </c>
      <c r="D81" s="27">
        <f>IF($A81="","",IFERROR(INDEX('זה אני - קליטה'!$AC$5:$AC$204,MATCH($A81&amp;"|תחילת שנה",'זה אני - קליטה'!$Z$5:$Z$204,0)),""))</f>
      </c>
      <c r="E81" s="37">
        <f>IF($A81="","",IFERROR(INDEX('זה אני - קליטה'!$AG$5:$AG$204,MATCH($A81&amp;"|אמצע שנה",'זה אני - קליטה'!$Z$5:$Z$204,0)),""))</f>
      </c>
      <c r="F81" s="26">
        <f>IF($A81="","",IFERROR(INDEX('זה אני - קליטה'!$AA$5:$AA$204,MATCH($A81&amp;"|אמצע שנה",'זה אני - קליטה'!$Z$5:$Z$204,0)),""))</f>
      </c>
      <c r="G81" s="27">
        <f>IF($A81="","",IFERROR(INDEX('זה אני - קליטה'!$AC$5:$AC$204,MATCH($A81&amp;"|אמצע שנה",'זה אני - קליטה'!$Z$5:$Z$204,0)),""))</f>
      </c>
      <c r="H81" s="37">
        <f>IF($A81="","",IFERROR(INDEX('זה אני - קליטה'!$AG$5:$AG$204,MATCH($A81&amp;"|סוף שנה",'זה אני - קליטה'!$Z$5:$Z$204,0)),""))</f>
      </c>
      <c r="I81" s="26">
        <f>IF($A81="","",IFERROR(INDEX('זה אני - קליטה'!$AA$5:$AA$204,MATCH($A81&amp;"|סוף שנה",'זה אני - קליטה'!$Z$5:$Z$204,0)),""))</f>
      </c>
      <c r="J81" s="27">
        <f>IF($A81="","",IFERROR(INDEX('זה אני - קליטה'!$AC$5:$AC$204,MATCH($A81&amp;"|סוף שנה",'זה אני - קליטה'!$Z$5:$Z$204,0)),""))</f>
      </c>
      <c r="K81" s="36">
        <f>IF(AND(ISNUMBER(B81),ISNUMBER(H81)),H81-B81,"")</f>
      </c>
      <c r="L81" s="26">
        <f>IF(K81="","",IF(K81&gt;=1,"עלייה",IF(K81&lt;=-1,"ירידה","יציב")))</f>
      </c>
    </row>
    <row r="82" ht="15" customHeight="1" spans="1:12" x14ac:dyDescent="0.25">
      <c r="A82" s="29"/>
      <c r="B82" s="37">
        <f>IF($A82="","",IFERROR(INDEX('זה אני - קליטה'!$AG$5:$AG$204,MATCH($A82&amp;"|תחילת שנה",'זה אני - קליטה'!$Z$5:$Z$204,0)),""))</f>
      </c>
      <c r="C82" s="26">
        <f>IF($A82="","",IFERROR(INDEX('זה אני - קליטה'!$AA$5:$AA$204,MATCH($A82&amp;"|תחילת שנה",'זה אני - קליטה'!$Z$5:$Z$204,0)),""))</f>
      </c>
      <c r="D82" s="27">
        <f>IF($A82="","",IFERROR(INDEX('זה אני - קליטה'!$AC$5:$AC$204,MATCH($A82&amp;"|תחילת שנה",'זה אני - קליטה'!$Z$5:$Z$204,0)),""))</f>
      </c>
      <c r="E82" s="37">
        <f>IF($A82="","",IFERROR(INDEX('זה אני - קליטה'!$AG$5:$AG$204,MATCH($A82&amp;"|אמצע שנה",'זה אני - קליטה'!$Z$5:$Z$204,0)),""))</f>
      </c>
      <c r="F82" s="26">
        <f>IF($A82="","",IFERROR(INDEX('זה אני - קליטה'!$AA$5:$AA$204,MATCH($A82&amp;"|אמצע שנה",'זה אני - קליטה'!$Z$5:$Z$204,0)),""))</f>
      </c>
      <c r="G82" s="27">
        <f>IF($A82="","",IFERROR(INDEX('זה אני - קליטה'!$AC$5:$AC$204,MATCH($A82&amp;"|אמצע שנה",'זה אני - קליטה'!$Z$5:$Z$204,0)),""))</f>
      </c>
      <c r="H82" s="37">
        <f>IF($A82="","",IFERROR(INDEX('זה אני - קליטה'!$AG$5:$AG$204,MATCH($A82&amp;"|סוף שנה",'זה אני - קליטה'!$Z$5:$Z$204,0)),""))</f>
      </c>
      <c r="I82" s="26">
        <f>IF($A82="","",IFERROR(INDEX('זה אני - קליטה'!$AA$5:$AA$204,MATCH($A82&amp;"|סוף שנה",'זה אני - קליטה'!$Z$5:$Z$204,0)),""))</f>
      </c>
      <c r="J82" s="27">
        <f>IF($A82="","",IFERROR(INDEX('זה אני - קליטה'!$AC$5:$AC$204,MATCH($A82&amp;"|סוף שנה",'זה אני - קליטה'!$Z$5:$Z$204,0)),""))</f>
      </c>
      <c r="K82" s="36">
        <f>IF(AND(ISNUMBER(B82),ISNUMBER(H82)),H82-B82,"")</f>
      </c>
      <c r="L82" s="26">
        <f>IF(K82="","",IF(K82&gt;=1,"עלייה",IF(K82&lt;=-1,"ירידה","יציב")))</f>
      </c>
    </row>
    <row r="83" ht="15" customHeight="1" spans="1:12" x14ac:dyDescent="0.25">
      <c r="A83" s="29"/>
      <c r="B83" s="37">
        <f>IF($A83="","",IFERROR(INDEX('זה אני - קליטה'!$AG$5:$AG$204,MATCH($A83&amp;"|תחילת שנה",'זה אני - קליטה'!$Z$5:$Z$204,0)),""))</f>
      </c>
      <c r="C83" s="26">
        <f>IF($A83="","",IFERROR(INDEX('זה אני - קליטה'!$AA$5:$AA$204,MATCH($A83&amp;"|תחילת שנה",'זה אני - קליטה'!$Z$5:$Z$204,0)),""))</f>
      </c>
      <c r="D83" s="27">
        <f>IF($A83="","",IFERROR(INDEX('זה אני - קליטה'!$AC$5:$AC$204,MATCH($A83&amp;"|תחילת שנה",'זה אני - קליטה'!$Z$5:$Z$204,0)),""))</f>
      </c>
      <c r="E83" s="37">
        <f>IF($A83="","",IFERROR(INDEX('זה אני - קליטה'!$AG$5:$AG$204,MATCH($A83&amp;"|אמצע שנה",'זה אני - קליטה'!$Z$5:$Z$204,0)),""))</f>
      </c>
      <c r="F83" s="26">
        <f>IF($A83="","",IFERROR(INDEX('זה אני - קליטה'!$AA$5:$AA$204,MATCH($A83&amp;"|אמצע שנה",'זה אני - קליטה'!$Z$5:$Z$204,0)),""))</f>
      </c>
      <c r="G83" s="27">
        <f>IF($A83="","",IFERROR(INDEX('זה אני - קליטה'!$AC$5:$AC$204,MATCH($A83&amp;"|אמצע שנה",'זה אני - קליטה'!$Z$5:$Z$204,0)),""))</f>
      </c>
      <c r="H83" s="37">
        <f>IF($A83="","",IFERROR(INDEX('זה אני - קליטה'!$AG$5:$AG$204,MATCH($A83&amp;"|סוף שנה",'זה אני - קליטה'!$Z$5:$Z$204,0)),""))</f>
      </c>
      <c r="I83" s="26">
        <f>IF($A83="","",IFERROR(INDEX('זה אני - קליטה'!$AA$5:$AA$204,MATCH($A83&amp;"|סוף שנה",'זה אני - קליטה'!$Z$5:$Z$204,0)),""))</f>
      </c>
      <c r="J83" s="27">
        <f>IF($A83="","",IFERROR(INDEX('זה אני - קליטה'!$AC$5:$AC$204,MATCH($A83&amp;"|סוף שנה",'זה אני - קליטה'!$Z$5:$Z$204,0)),""))</f>
      </c>
      <c r="K83" s="36">
        <f>IF(AND(ISNUMBER(B83),ISNUMBER(H83)),H83-B83,"")</f>
      </c>
      <c r="L83" s="26">
        <f>IF(K83="","",IF(K83&gt;=1,"עלייה",IF(K83&lt;=-1,"ירידה","יציב")))</f>
      </c>
    </row>
    <row r="84" ht="15" customHeight="1" spans="1:12" x14ac:dyDescent="0.25">
      <c r="A84" s="29"/>
      <c r="B84" s="37">
        <f>IF($A84="","",IFERROR(INDEX('זה אני - קליטה'!$AG$5:$AG$204,MATCH($A84&amp;"|תחילת שנה",'זה אני - קליטה'!$Z$5:$Z$204,0)),""))</f>
      </c>
      <c r="C84" s="26">
        <f>IF($A84="","",IFERROR(INDEX('זה אני - קליטה'!$AA$5:$AA$204,MATCH($A84&amp;"|תחילת שנה",'זה אני - קליטה'!$Z$5:$Z$204,0)),""))</f>
      </c>
      <c r="D84" s="27">
        <f>IF($A84="","",IFERROR(INDEX('זה אני - קליטה'!$AC$5:$AC$204,MATCH($A84&amp;"|תחילת שנה",'זה אני - קליטה'!$Z$5:$Z$204,0)),""))</f>
      </c>
      <c r="E84" s="37">
        <f>IF($A84="","",IFERROR(INDEX('זה אני - קליטה'!$AG$5:$AG$204,MATCH($A84&amp;"|אמצע שנה",'זה אני - קליטה'!$Z$5:$Z$204,0)),""))</f>
      </c>
      <c r="F84" s="26">
        <f>IF($A84="","",IFERROR(INDEX('זה אני - קליטה'!$AA$5:$AA$204,MATCH($A84&amp;"|אמצע שנה",'זה אני - קליטה'!$Z$5:$Z$204,0)),""))</f>
      </c>
      <c r="G84" s="27">
        <f>IF($A84="","",IFERROR(INDEX('זה אני - קליטה'!$AC$5:$AC$204,MATCH($A84&amp;"|אמצע שנה",'זה אני - קליטה'!$Z$5:$Z$204,0)),""))</f>
      </c>
      <c r="H84" s="37">
        <f>IF($A84="","",IFERROR(INDEX('זה אני - קליטה'!$AG$5:$AG$204,MATCH($A84&amp;"|סוף שנה",'זה אני - קליטה'!$Z$5:$Z$204,0)),""))</f>
      </c>
      <c r="I84" s="26">
        <f>IF($A84="","",IFERROR(INDEX('זה אני - קליטה'!$AA$5:$AA$204,MATCH($A84&amp;"|סוף שנה",'זה אני - קליטה'!$Z$5:$Z$204,0)),""))</f>
      </c>
      <c r="J84" s="27">
        <f>IF($A84="","",IFERROR(INDEX('זה אני - קליטה'!$AC$5:$AC$204,MATCH($A84&amp;"|סוף שנה",'זה אני - קליטה'!$Z$5:$Z$204,0)),""))</f>
      </c>
      <c r="K84" s="36">
        <f>IF(AND(ISNUMBER(B84),ISNUMBER(H84)),H84-B84,"")</f>
      </c>
      <c r="L84" s="26">
        <f>IF(K84="","",IF(K84&gt;=1,"עלייה",IF(K84&lt;=-1,"ירידה","יציב")))</f>
      </c>
    </row>
    <row r="85" ht="15" customHeight="1" spans="1:12" x14ac:dyDescent="0.25">
      <c r="A85" s="29"/>
      <c r="B85" s="37">
        <f>IF($A85="","",IFERROR(INDEX('זה אני - קליטה'!$AG$5:$AG$204,MATCH($A85&amp;"|תחילת שנה",'זה אני - קליטה'!$Z$5:$Z$204,0)),""))</f>
      </c>
      <c r="C85" s="26">
        <f>IF($A85="","",IFERROR(INDEX('זה אני - קליטה'!$AA$5:$AA$204,MATCH($A85&amp;"|תחילת שנה",'זה אני - קליטה'!$Z$5:$Z$204,0)),""))</f>
      </c>
      <c r="D85" s="27">
        <f>IF($A85="","",IFERROR(INDEX('זה אני - קליטה'!$AC$5:$AC$204,MATCH($A85&amp;"|תחילת שנה",'זה אני - קליטה'!$Z$5:$Z$204,0)),""))</f>
      </c>
      <c r="E85" s="37">
        <f>IF($A85="","",IFERROR(INDEX('זה אני - קליטה'!$AG$5:$AG$204,MATCH($A85&amp;"|אמצע שנה",'זה אני - קליטה'!$Z$5:$Z$204,0)),""))</f>
      </c>
      <c r="F85" s="26">
        <f>IF($A85="","",IFERROR(INDEX('זה אני - קליטה'!$AA$5:$AA$204,MATCH($A85&amp;"|אמצע שנה",'זה אני - קליטה'!$Z$5:$Z$204,0)),""))</f>
      </c>
      <c r="G85" s="27">
        <f>IF($A85="","",IFERROR(INDEX('זה אני - קליטה'!$AC$5:$AC$204,MATCH($A85&amp;"|אמצע שנה",'זה אני - קליטה'!$Z$5:$Z$204,0)),""))</f>
      </c>
      <c r="H85" s="37">
        <f>IF($A85="","",IFERROR(INDEX('זה אני - קליטה'!$AG$5:$AG$204,MATCH($A85&amp;"|סוף שנה",'זה אני - קליטה'!$Z$5:$Z$204,0)),""))</f>
      </c>
      <c r="I85" s="26">
        <f>IF($A85="","",IFERROR(INDEX('זה אני - קליטה'!$AA$5:$AA$204,MATCH($A85&amp;"|סוף שנה",'זה אני - קליטה'!$Z$5:$Z$204,0)),""))</f>
      </c>
      <c r="J85" s="27">
        <f>IF($A85="","",IFERROR(INDEX('זה אני - קליטה'!$AC$5:$AC$204,MATCH($A85&amp;"|סוף שנה",'זה אני - קליטה'!$Z$5:$Z$204,0)),""))</f>
      </c>
      <c r="K85" s="36">
        <f>IF(AND(ISNUMBER(B85),ISNUMBER(H85)),H85-B85,"")</f>
      </c>
      <c r="L85" s="26">
        <f>IF(K85="","",IF(K85&gt;=1,"עלייה",IF(K85&lt;=-1,"ירידה","יציב")))</f>
      </c>
    </row>
    <row r="86" ht="15" customHeight="1" spans="1:12" x14ac:dyDescent="0.25">
      <c r="A86" s="29"/>
      <c r="B86" s="37">
        <f>IF($A86="","",IFERROR(INDEX('זה אני - קליטה'!$AG$5:$AG$204,MATCH($A86&amp;"|תחילת שנה",'זה אני - קליטה'!$Z$5:$Z$204,0)),""))</f>
      </c>
      <c r="C86" s="26">
        <f>IF($A86="","",IFERROR(INDEX('זה אני - קליטה'!$AA$5:$AA$204,MATCH($A86&amp;"|תחילת שנה",'זה אני - קליטה'!$Z$5:$Z$204,0)),""))</f>
      </c>
      <c r="D86" s="27">
        <f>IF($A86="","",IFERROR(INDEX('זה אני - קליטה'!$AC$5:$AC$204,MATCH($A86&amp;"|תחילת שנה",'זה אני - קליטה'!$Z$5:$Z$204,0)),""))</f>
      </c>
      <c r="E86" s="37">
        <f>IF($A86="","",IFERROR(INDEX('זה אני - קליטה'!$AG$5:$AG$204,MATCH($A86&amp;"|אמצע שנה",'זה אני - קליטה'!$Z$5:$Z$204,0)),""))</f>
      </c>
      <c r="F86" s="26">
        <f>IF($A86="","",IFERROR(INDEX('זה אני - קליטה'!$AA$5:$AA$204,MATCH($A86&amp;"|אמצע שנה",'זה אני - קליטה'!$Z$5:$Z$204,0)),""))</f>
      </c>
      <c r="G86" s="27">
        <f>IF($A86="","",IFERROR(INDEX('זה אני - קליטה'!$AC$5:$AC$204,MATCH($A86&amp;"|אמצע שנה",'זה אני - קליטה'!$Z$5:$Z$204,0)),""))</f>
      </c>
      <c r="H86" s="37">
        <f>IF($A86="","",IFERROR(INDEX('זה אני - קליטה'!$AG$5:$AG$204,MATCH($A86&amp;"|סוף שנה",'זה אני - קליטה'!$Z$5:$Z$204,0)),""))</f>
      </c>
      <c r="I86" s="26">
        <f>IF($A86="","",IFERROR(INDEX('זה אני - קליטה'!$AA$5:$AA$204,MATCH($A86&amp;"|סוף שנה",'זה אני - קליטה'!$Z$5:$Z$204,0)),""))</f>
      </c>
      <c r="J86" s="27">
        <f>IF($A86="","",IFERROR(INDEX('זה אני - קליטה'!$AC$5:$AC$204,MATCH($A86&amp;"|סוף שנה",'זה אני - קליטה'!$Z$5:$Z$204,0)),""))</f>
      </c>
      <c r="K86" s="36">
        <f>IF(AND(ISNUMBER(B86),ISNUMBER(H86)),H86-B86,"")</f>
      </c>
      <c r="L86" s="26">
        <f>IF(K86="","",IF(K86&gt;=1,"עלייה",IF(K86&lt;=-1,"ירידה","יציב")))</f>
      </c>
    </row>
    <row r="87" ht="15" customHeight="1" spans="1:12" x14ac:dyDescent="0.25">
      <c r="A87" s="29"/>
      <c r="B87" s="37">
        <f>IF($A87="","",IFERROR(INDEX('זה אני - קליטה'!$AG$5:$AG$204,MATCH($A87&amp;"|תחילת שנה",'זה אני - קליטה'!$Z$5:$Z$204,0)),""))</f>
      </c>
      <c r="C87" s="26">
        <f>IF($A87="","",IFERROR(INDEX('זה אני - קליטה'!$AA$5:$AA$204,MATCH($A87&amp;"|תחילת שנה",'זה אני - קליטה'!$Z$5:$Z$204,0)),""))</f>
      </c>
      <c r="D87" s="27">
        <f>IF($A87="","",IFERROR(INDEX('זה אני - קליטה'!$AC$5:$AC$204,MATCH($A87&amp;"|תחילת שנה",'זה אני - קליטה'!$Z$5:$Z$204,0)),""))</f>
      </c>
      <c r="E87" s="37">
        <f>IF($A87="","",IFERROR(INDEX('זה אני - קליטה'!$AG$5:$AG$204,MATCH($A87&amp;"|אמצע שנה",'זה אני - קליטה'!$Z$5:$Z$204,0)),""))</f>
      </c>
      <c r="F87" s="26">
        <f>IF($A87="","",IFERROR(INDEX('זה אני - קליטה'!$AA$5:$AA$204,MATCH($A87&amp;"|אמצע שנה",'זה אני - קליטה'!$Z$5:$Z$204,0)),""))</f>
      </c>
      <c r="G87" s="27">
        <f>IF($A87="","",IFERROR(INDEX('זה אני - קליטה'!$AC$5:$AC$204,MATCH($A87&amp;"|אמצע שנה",'זה אני - קליטה'!$Z$5:$Z$204,0)),""))</f>
      </c>
      <c r="H87" s="37">
        <f>IF($A87="","",IFERROR(INDEX('זה אני - קליטה'!$AG$5:$AG$204,MATCH($A87&amp;"|סוף שנה",'זה אני - קליטה'!$Z$5:$Z$204,0)),""))</f>
      </c>
      <c r="I87" s="26">
        <f>IF($A87="","",IFERROR(INDEX('זה אני - קליטה'!$AA$5:$AA$204,MATCH($A87&amp;"|סוף שנה",'זה אני - קליטה'!$Z$5:$Z$204,0)),""))</f>
      </c>
      <c r="J87" s="27">
        <f>IF($A87="","",IFERROR(INDEX('זה אני - קליטה'!$AC$5:$AC$204,MATCH($A87&amp;"|סוף שנה",'זה אני - קליטה'!$Z$5:$Z$204,0)),""))</f>
      </c>
      <c r="K87" s="36">
        <f>IF(AND(ISNUMBER(B87),ISNUMBER(H87)),H87-B87,"")</f>
      </c>
      <c r="L87" s="26">
        <f>IF(K87="","",IF(K87&gt;=1,"עלייה",IF(K87&lt;=-1,"ירידה","יציב")))</f>
      </c>
    </row>
    <row r="88" ht="15" customHeight="1" spans="1:12" x14ac:dyDescent="0.25">
      <c r="A88" s="29"/>
      <c r="B88" s="37">
        <f>IF($A88="","",IFERROR(INDEX('זה אני - קליטה'!$AG$5:$AG$204,MATCH($A88&amp;"|תחילת שנה",'זה אני - קליטה'!$Z$5:$Z$204,0)),""))</f>
      </c>
      <c r="C88" s="26">
        <f>IF($A88="","",IFERROR(INDEX('זה אני - קליטה'!$AA$5:$AA$204,MATCH($A88&amp;"|תחילת שנה",'זה אני - קליטה'!$Z$5:$Z$204,0)),""))</f>
      </c>
      <c r="D88" s="27">
        <f>IF($A88="","",IFERROR(INDEX('זה אני - קליטה'!$AC$5:$AC$204,MATCH($A88&amp;"|תחילת שנה",'זה אני - קליטה'!$Z$5:$Z$204,0)),""))</f>
      </c>
      <c r="E88" s="37">
        <f>IF($A88="","",IFERROR(INDEX('זה אני - קליטה'!$AG$5:$AG$204,MATCH($A88&amp;"|אמצע שנה",'זה אני - קליטה'!$Z$5:$Z$204,0)),""))</f>
      </c>
      <c r="F88" s="26">
        <f>IF($A88="","",IFERROR(INDEX('זה אני - קליטה'!$AA$5:$AA$204,MATCH($A88&amp;"|אמצע שנה",'זה אני - קליטה'!$Z$5:$Z$204,0)),""))</f>
      </c>
      <c r="G88" s="27">
        <f>IF($A88="","",IFERROR(INDEX('זה אני - קליטה'!$AC$5:$AC$204,MATCH($A88&amp;"|אמצע שנה",'זה אני - קליטה'!$Z$5:$Z$204,0)),""))</f>
      </c>
      <c r="H88" s="37">
        <f>IF($A88="","",IFERROR(INDEX('זה אני - קליטה'!$AG$5:$AG$204,MATCH($A88&amp;"|סוף שנה",'זה אני - קליטה'!$Z$5:$Z$204,0)),""))</f>
      </c>
      <c r="I88" s="26">
        <f>IF($A88="","",IFERROR(INDEX('זה אני - קליטה'!$AA$5:$AA$204,MATCH($A88&amp;"|סוף שנה",'זה אני - קליטה'!$Z$5:$Z$204,0)),""))</f>
      </c>
      <c r="J88" s="27">
        <f>IF($A88="","",IFERROR(INDEX('זה אני - קליטה'!$AC$5:$AC$204,MATCH($A88&amp;"|סוף שנה",'זה אני - קליטה'!$Z$5:$Z$204,0)),""))</f>
      </c>
      <c r="K88" s="36">
        <f>IF(AND(ISNUMBER(B88),ISNUMBER(H88)),H88-B88,"")</f>
      </c>
      <c r="L88" s="26">
        <f>IF(K88="","",IF(K88&gt;=1,"עלייה",IF(K88&lt;=-1,"ירידה","יציב")))</f>
      </c>
    </row>
    <row r="89" ht="15" customHeight="1" spans="1:12" x14ac:dyDescent="0.25">
      <c r="A89" s="29"/>
      <c r="B89" s="37">
        <f>IF($A89="","",IFERROR(INDEX('זה אני - קליטה'!$AG$5:$AG$204,MATCH($A89&amp;"|תחילת שנה",'זה אני - קליטה'!$Z$5:$Z$204,0)),""))</f>
      </c>
      <c r="C89" s="26">
        <f>IF($A89="","",IFERROR(INDEX('זה אני - קליטה'!$AA$5:$AA$204,MATCH($A89&amp;"|תחילת שנה",'זה אני - קליטה'!$Z$5:$Z$204,0)),""))</f>
      </c>
      <c r="D89" s="27">
        <f>IF($A89="","",IFERROR(INDEX('זה אני - קליטה'!$AC$5:$AC$204,MATCH($A89&amp;"|תחילת שנה",'זה אני - קליטה'!$Z$5:$Z$204,0)),""))</f>
      </c>
      <c r="E89" s="37">
        <f>IF($A89="","",IFERROR(INDEX('זה אני - קליטה'!$AG$5:$AG$204,MATCH($A89&amp;"|אמצע שנה",'זה אני - קליטה'!$Z$5:$Z$204,0)),""))</f>
      </c>
      <c r="F89" s="26">
        <f>IF($A89="","",IFERROR(INDEX('זה אני - קליטה'!$AA$5:$AA$204,MATCH($A89&amp;"|אמצע שנה",'זה אני - קליטה'!$Z$5:$Z$204,0)),""))</f>
      </c>
      <c r="G89" s="27">
        <f>IF($A89="","",IFERROR(INDEX('זה אני - קליטה'!$AC$5:$AC$204,MATCH($A89&amp;"|אמצע שנה",'זה אני - קליטה'!$Z$5:$Z$204,0)),""))</f>
      </c>
      <c r="H89" s="37">
        <f>IF($A89="","",IFERROR(INDEX('זה אני - קליטה'!$AG$5:$AG$204,MATCH($A89&amp;"|סוף שנה",'זה אני - קליטה'!$Z$5:$Z$204,0)),""))</f>
      </c>
      <c r="I89" s="26">
        <f>IF($A89="","",IFERROR(INDEX('זה אני - קליטה'!$AA$5:$AA$204,MATCH($A89&amp;"|סוף שנה",'זה אני - קליטה'!$Z$5:$Z$204,0)),""))</f>
      </c>
      <c r="J89" s="27">
        <f>IF($A89="","",IFERROR(INDEX('זה אני - קליטה'!$AC$5:$AC$204,MATCH($A89&amp;"|סוף שנה",'זה אני - קליטה'!$Z$5:$Z$204,0)),""))</f>
      </c>
      <c r="K89" s="36">
        <f>IF(AND(ISNUMBER(B89),ISNUMBER(H89)),H89-B89,"")</f>
      </c>
      <c r="L89" s="26">
        <f>IF(K89="","",IF(K89&gt;=1,"עלייה",IF(K89&lt;=-1,"ירידה","יציב")))</f>
      </c>
    </row>
    <row r="90" ht="15" customHeight="1" spans="1:12" x14ac:dyDescent="0.25">
      <c r="A90" s="29"/>
      <c r="B90" s="37">
        <f>IF($A90="","",IFERROR(INDEX('זה אני - קליטה'!$AG$5:$AG$204,MATCH($A90&amp;"|תחילת שנה",'זה אני - קליטה'!$Z$5:$Z$204,0)),""))</f>
      </c>
      <c r="C90" s="26">
        <f>IF($A90="","",IFERROR(INDEX('זה אני - קליטה'!$AA$5:$AA$204,MATCH($A90&amp;"|תחילת שנה",'זה אני - קליטה'!$Z$5:$Z$204,0)),""))</f>
      </c>
      <c r="D90" s="27">
        <f>IF($A90="","",IFERROR(INDEX('זה אני - קליטה'!$AC$5:$AC$204,MATCH($A90&amp;"|תחילת שנה",'זה אני - קליטה'!$Z$5:$Z$204,0)),""))</f>
      </c>
      <c r="E90" s="37">
        <f>IF($A90="","",IFERROR(INDEX('זה אני - קליטה'!$AG$5:$AG$204,MATCH($A90&amp;"|אמצע שנה",'זה אני - קליטה'!$Z$5:$Z$204,0)),""))</f>
      </c>
      <c r="F90" s="26">
        <f>IF($A90="","",IFERROR(INDEX('זה אני - קליטה'!$AA$5:$AA$204,MATCH($A90&amp;"|אמצע שנה",'זה אני - קליטה'!$Z$5:$Z$204,0)),""))</f>
      </c>
      <c r="G90" s="27">
        <f>IF($A90="","",IFERROR(INDEX('זה אני - קליטה'!$AC$5:$AC$204,MATCH($A90&amp;"|אמצע שנה",'זה אני - קליטה'!$Z$5:$Z$204,0)),""))</f>
      </c>
      <c r="H90" s="37">
        <f>IF($A90="","",IFERROR(INDEX('זה אני - קליטה'!$AG$5:$AG$204,MATCH($A90&amp;"|סוף שנה",'זה אני - קליטה'!$Z$5:$Z$204,0)),""))</f>
      </c>
      <c r="I90" s="26">
        <f>IF($A90="","",IFERROR(INDEX('זה אני - קליטה'!$AA$5:$AA$204,MATCH($A90&amp;"|סוף שנה",'זה אני - קליטה'!$Z$5:$Z$204,0)),""))</f>
      </c>
      <c r="J90" s="27">
        <f>IF($A90="","",IFERROR(INDEX('זה אני - קליטה'!$AC$5:$AC$204,MATCH($A90&amp;"|סוף שנה",'זה אני - קליטה'!$Z$5:$Z$204,0)),""))</f>
      </c>
      <c r="K90" s="36">
        <f>IF(AND(ISNUMBER(B90),ISNUMBER(H90)),H90-B90,"")</f>
      </c>
      <c r="L90" s="26">
        <f>IF(K90="","",IF(K90&gt;=1,"עלייה",IF(K90&lt;=-1,"ירידה","יציב")))</f>
      </c>
    </row>
    <row r="91" ht="15" customHeight="1" spans="1:12" x14ac:dyDescent="0.25">
      <c r="A91" s="29"/>
      <c r="B91" s="37">
        <f>IF($A91="","",IFERROR(INDEX('זה אני - קליטה'!$AG$5:$AG$204,MATCH($A91&amp;"|תחילת שנה",'זה אני - קליטה'!$Z$5:$Z$204,0)),""))</f>
      </c>
      <c r="C91" s="26">
        <f>IF($A91="","",IFERROR(INDEX('זה אני - קליטה'!$AA$5:$AA$204,MATCH($A91&amp;"|תחילת שנה",'זה אני - קליטה'!$Z$5:$Z$204,0)),""))</f>
      </c>
      <c r="D91" s="27">
        <f>IF($A91="","",IFERROR(INDEX('זה אני - קליטה'!$AC$5:$AC$204,MATCH($A91&amp;"|תחילת שנה",'זה אני - קליטה'!$Z$5:$Z$204,0)),""))</f>
      </c>
      <c r="E91" s="37">
        <f>IF($A91="","",IFERROR(INDEX('זה אני - קליטה'!$AG$5:$AG$204,MATCH($A91&amp;"|אמצע שנה",'זה אני - קליטה'!$Z$5:$Z$204,0)),""))</f>
      </c>
      <c r="F91" s="26">
        <f>IF($A91="","",IFERROR(INDEX('זה אני - קליטה'!$AA$5:$AA$204,MATCH($A91&amp;"|אמצע שנה",'זה אני - קליטה'!$Z$5:$Z$204,0)),""))</f>
      </c>
      <c r="G91" s="27">
        <f>IF($A91="","",IFERROR(INDEX('זה אני - קליטה'!$AC$5:$AC$204,MATCH($A91&amp;"|אמצע שנה",'זה אני - קליטה'!$Z$5:$Z$204,0)),""))</f>
      </c>
      <c r="H91" s="37">
        <f>IF($A91="","",IFERROR(INDEX('זה אני - קליטה'!$AG$5:$AG$204,MATCH($A91&amp;"|סוף שנה",'זה אני - קליטה'!$Z$5:$Z$204,0)),""))</f>
      </c>
      <c r="I91" s="26">
        <f>IF($A91="","",IFERROR(INDEX('זה אני - קליטה'!$AA$5:$AA$204,MATCH($A91&amp;"|סוף שנה",'זה אני - קליטה'!$Z$5:$Z$204,0)),""))</f>
      </c>
      <c r="J91" s="27">
        <f>IF($A91="","",IFERROR(INDEX('זה אני - קליטה'!$AC$5:$AC$204,MATCH($A91&amp;"|סוף שנה",'זה אני - קליטה'!$Z$5:$Z$204,0)),""))</f>
      </c>
      <c r="K91" s="36">
        <f>IF(AND(ISNUMBER(B91),ISNUMBER(H91)),H91-B91,"")</f>
      </c>
      <c r="L91" s="26">
        <f>IF(K91="","",IF(K91&gt;=1,"עלייה",IF(K91&lt;=-1,"ירידה","יציב")))</f>
      </c>
    </row>
    <row r="92" ht="15" customHeight="1" spans="1:12" x14ac:dyDescent="0.25">
      <c r="A92" s="29"/>
      <c r="B92" s="37">
        <f>IF($A92="","",IFERROR(INDEX('זה אני - קליטה'!$AG$5:$AG$204,MATCH($A92&amp;"|תחילת שנה",'זה אני - קליטה'!$Z$5:$Z$204,0)),""))</f>
      </c>
      <c r="C92" s="26">
        <f>IF($A92="","",IFERROR(INDEX('זה אני - קליטה'!$AA$5:$AA$204,MATCH($A92&amp;"|תחילת שנה",'זה אני - קליטה'!$Z$5:$Z$204,0)),""))</f>
      </c>
      <c r="D92" s="27">
        <f>IF($A92="","",IFERROR(INDEX('זה אני - קליטה'!$AC$5:$AC$204,MATCH($A92&amp;"|תחילת שנה",'זה אני - קליטה'!$Z$5:$Z$204,0)),""))</f>
      </c>
      <c r="E92" s="37">
        <f>IF($A92="","",IFERROR(INDEX('זה אני - קליטה'!$AG$5:$AG$204,MATCH($A92&amp;"|אמצע שנה",'זה אני - קליטה'!$Z$5:$Z$204,0)),""))</f>
      </c>
      <c r="F92" s="26">
        <f>IF($A92="","",IFERROR(INDEX('זה אני - קליטה'!$AA$5:$AA$204,MATCH($A92&amp;"|אמצע שנה",'זה אני - קליטה'!$Z$5:$Z$204,0)),""))</f>
      </c>
      <c r="G92" s="27">
        <f>IF($A92="","",IFERROR(INDEX('זה אני - קליטה'!$AC$5:$AC$204,MATCH($A92&amp;"|אמצע שנה",'זה אני - קליטה'!$Z$5:$Z$204,0)),""))</f>
      </c>
      <c r="H92" s="37">
        <f>IF($A92="","",IFERROR(INDEX('זה אני - קליטה'!$AG$5:$AG$204,MATCH($A92&amp;"|סוף שנה",'זה אני - קליטה'!$Z$5:$Z$204,0)),""))</f>
      </c>
      <c r="I92" s="26">
        <f>IF($A92="","",IFERROR(INDEX('זה אני - קליטה'!$AA$5:$AA$204,MATCH($A92&amp;"|סוף שנה",'זה אני - קליטה'!$Z$5:$Z$204,0)),""))</f>
      </c>
      <c r="J92" s="27">
        <f>IF($A92="","",IFERROR(INDEX('זה אני - קליטה'!$AC$5:$AC$204,MATCH($A92&amp;"|סוף שנה",'זה אני - קליטה'!$Z$5:$Z$204,0)),""))</f>
      </c>
      <c r="K92" s="36">
        <f>IF(AND(ISNUMBER(B92),ISNUMBER(H92)),H92-B92,"")</f>
      </c>
      <c r="L92" s="26">
        <f>IF(K92="","",IF(K92&gt;=1,"עלייה",IF(K92&lt;=-1,"ירידה","יציב")))</f>
      </c>
    </row>
    <row r="93" ht="15" customHeight="1" spans="1:12" x14ac:dyDescent="0.25">
      <c r="A93" s="29"/>
      <c r="B93" s="37">
        <f>IF($A93="","",IFERROR(INDEX('זה אני - קליטה'!$AG$5:$AG$204,MATCH($A93&amp;"|תחילת שנה",'זה אני - קליטה'!$Z$5:$Z$204,0)),""))</f>
      </c>
      <c r="C93" s="26">
        <f>IF($A93="","",IFERROR(INDEX('זה אני - קליטה'!$AA$5:$AA$204,MATCH($A93&amp;"|תחילת שנה",'זה אני - קליטה'!$Z$5:$Z$204,0)),""))</f>
      </c>
      <c r="D93" s="27">
        <f>IF($A93="","",IFERROR(INDEX('זה אני - קליטה'!$AC$5:$AC$204,MATCH($A93&amp;"|תחילת שנה",'זה אני - קליטה'!$Z$5:$Z$204,0)),""))</f>
      </c>
      <c r="E93" s="37">
        <f>IF($A93="","",IFERROR(INDEX('זה אני - קליטה'!$AG$5:$AG$204,MATCH($A93&amp;"|אמצע שנה",'זה אני - קליטה'!$Z$5:$Z$204,0)),""))</f>
      </c>
      <c r="F93" s="26">
        <f>IF($A93="","",IFERROR(INDEX('זה אני - קליטה'!$AA$5:$AA$204,MATCH($A93&amp;"|אמצע שנה",'זה אני - קליטה'!$Z$5:$Z$204,0)),""))</f>
      </c>
      <c r="G93" s="27">
        <f>IF($A93="","",IFERROR(INDEX('זה אני - קליטה'!$AC$5:$AC$204,MATCH($A93&amp;"|אמצע שנה",'זה אני - קליטה'!$Z$5:$Z$204,0)),""))</f>
      </c>
      <c r="H93" s="37">
        <f>IF($A93="","",IFERROR(INDEX('זה אני - קליטה'!$AG$5:$AG$204,MATCH($A93&amp;"|סוף שנה",'זה אני - קליטה'!$Z$5:$Z$204,0)),""))</f>
      </c>
      <c r="I93" s="26">
        <f>IF($A93="","",IFERROR(INDEX('זה אני - קליטה'!$AA$5:$AA$204,MATCH($A93&amp;"|סוף שנה",'זה אני - קליטה'!$Z$5:$Z$204,0)),""))</f>
      </c>
      <c r="J93" s="27">
        <f>IF($A93="","",IFERROR(INDEX('זה אני - קליטה'!$AC$5:$AC$204,MATCH($A93&amp;"|סוף שנה",'זה אני - קליטה'!$Z$5:$Z$204,0)),""))</f>
      </c>
      <c r="K93" s="36">
        <f>IF(AND(ISNUMBER(B93),ISNUMBER(H93)),H93-B93,"")</f>
      </c>
      <c r="L93" s="26">
        <f>IF(K93="","",IF(K93&gt;=1,"עלייה",IF(K93&lt;=-1,"ירידה","יציב")))</f>
      </c>
    </row>
    <row r="94" ht="15" customHeight="1" spans="1:12" x14ac:dyDescent="0.25">
      <c r="A94" s="29"/>
      <c r="B94" s="37">
        <f>IF($A94="","",IFERROR(INDEX('זה אני - קליטה'!$AG$5:$AG$204,MATCH($A94&amp;"|תחילת שנה",'זה אני - קליטה'!$Z$5:$Z$204,0)),""))</f>
      </c>
      <c r="C94" s="26">
        <f>IF($A94="","",IFERROR(INDEX('זה אני - קליטה'!$AA$5:$AA$204,MATCH($A94&amp;"|תחילת שנה",'זה אני - קליטה'!$Z$5:$Z$204,0)),""))</f>
      </c>
      <c r="D94" s="27">
        <f>IF($A94="","",IFERROR(INDEX('זה אני - קליטה'!$AC$5:$AC$204,MATCH($A94&amp;"|תחילת שנה",'זה אני - קליטה'!$Z$5:$Z$204,0)),""))</f>
      </c>
      <c r="E94" s="37">
        <f>IF($A94="","",IFERROR(INDEX('זה אני - קליטה'!$AG$5:$AG$204,MATCH($A94&amp;"|אמצע שנה",'זה אני - קליטה'!$Z$5:$Z$204,0)),""))</f>
      </c>
      <c r="F94" s="26">
        <f>IF($A94="","",IFERROR(INDEX('זה אני - קליטה'!$AA$5:$AA$204,MATCH($A94&amp;"|אמצע שנה",'זה אני - קליטה'!$Z$5:$Z$204,0)),""))</f>
      </c>
      <c r="G94" s="27">
        <f>IF($A94="","",IFERROR(INDEX('זה אני - קליטה'!$AC$5:$AC$204,MATCH($A94&amp;"|אמצע שנה",'זה אני - קליטה'!$Z$5:$Z$204,0)),""))</f>
      </c>
      <c r="H94" s="37">
        <f>IF($A94="","",IFERROR(INDEX('זה אני - קליטה'!$AG$5:$AG$204,MATCH($A94&amp;"|סוף שנה",'זה אני - קליטה'!$Z$5:$Z$204,0)),""))</f>
      </c>
      <c r="I94" s="26">
        <f>IF($A94="","",IFERROR(INDEX('זה אני - קליטה'!$AA$5:$AA$204,MATCH($A94&amp;"|סוף שנה",'זה אני - קליטה'!$Z$5:$Z$204,0)),""))</f>
      </c>
      <c r="J94" s="27">
        <f>IF($A94="","",IFERROR(INDEX('זה אני - קליטה'!$AC$5:$AC$204,MATCH($A94&amp;"|סוף שנה",'זה אני - קליטה'!$Z$5:$Z$204,0)),""))</f>
      </c>
      <c r="K94" s="36">
        <f>IF(AND(ISNUMBER(B94),ISNUMBER(H94)),H94-B94,"")</f>
      </c>
      <c r="L94" s="26">
        <f>IF(K94="","",IF(K94&gt;=1,"עלייה",IF(K94&lt;=-1,"ירידה","יציב")))</f>
      </c>
    </row>
    <row r="95" ht="15" customHeight="1" spans="1:12" x14ac:dyDescent="0.25">
      <c r="A95" s="29"/>
      <c r="B95" s="37">
        <f>IF($A95="","",IFERROR(INDEX('זה אני - קליטה'!$AG$5:$AG$204,MATCH($A95&amp;"|תחילת שנה",'זה אני - קליטה'!$Z$5:$Z$204,0)),""))</f>
      </c>
      <c r="C95" s="26">
        <f>IF($A95="","",IFERROR(INDEX('זה אני - קליטה'!$AA$5:$AA$204,MATCH($A95&amp;"|תחילת שנה",'זה אני - קליטה'!$Z$5:$Z$204,0)),""))</f>
      </c>
      <c r="D95" s="27">
        <f>IF($A95="","",IFERROR(INDEX('זה אני - קליטה'!$AC$5:$AC$204,MATCH($A95&amp;"|תחילת שנה",'זה אני - קליטה'!$Z$5:$Z$204,0)),""))</f>
      </c>
      <c r="E95" s="37">
        <f>IF($A95="","",IFERROR(INDEX('זה אני - קליטה'!$AG$5:$AG$204,MATCH($A95&amp;"|אמצע שנה",'זה אני - קליטה'!$Z$5:$Z$204,0)),""))</f>
      </c>
      <c r="F95" s="26">
        <f>IF($A95="","",IFERROR(INDEX('זה אני - קליטה'!$AA$5:$AA$204,MATCH($A95&amp;"|אמצע שנה",'זה אני - קליטה'!$Z$5:$Z$204,0)),""))</f>
      </c>
      <c r="G95" s="27">
        <f>IF($A95="","",IFERROR(INDEX('זה אני - קליטה'!$AC$5:$AC$204,MATCH($A95&amp;"|אמצע שנה",'זה אני - קליטה'!$Z$5:$Z$204,0)),""))</f>
      </c>
      <c r="H95" s="37">
        <f>IF($A95="","",IFERROR(INDEX('זה אני - קליטה'!$AG$5:$AG$204,MATCH($A95&amp;"|סוף שנה",'זה אני - קליטה'!$Z$5:$Z$204,0)),""))</f>
      </c>
      <c r="I95" s="26">
        <f>IF($A95="","",IFERROR(INDEX('זה אני - קליטה'!$AA$5:$AA$204,MATCH($A95&amp;"|סוף שנה",'זה אני - קליטה'!$Z$5:$Z$204,0)),""))</f>
      </c>
      <c r="J95" s="27">
        <f>IF($A95="","",IFERROR(INDEX('זה אני - קליטה'!$AC$5:$AC$204,MATCH($A95&amp;"|סוף שנה",'זה אני - קליטה'!$Z$5:$Z$204,0)),""))</f>
      </c>
      <c r="K95" s="36">
        <f>IF(AND(ISNUMBER(B95),ISNUMBER(H95)),H95-B95,"")</f>
      </c>
      <c r="L95" s="26">
        <f>IF(K95="","",IF(K95&gt;=1,"עלייה",IF(K95&lt;=-1,"ירידה","יציב")))</f>
      </c>
    </row>
    <row r="96" ht="15" customHeight="1" spans="1:12" x14ac:dyDescent="0.25">
      <c r="A96" s="29"/>
      <c r="B96" s="37">
        <f>IF($A96="","",IFERROR(INDEX('זה אני - קליטה'!$AG$5:$AG$204,MATCH($A96&amp;"|תחילת שנה",'זה אני - קליטה'!$Z$5:$Z$204,0)),""))</f>
      </c>
      <c r="C96" s="26">
        <f>IF($A96="","",IFERROR(INDEX('זה אני - קליטה'!$AA$5:$AA$204,MATCH($A96&amp;"|תחילת שנה",'זה אני - קליטה'!$Z$5:$Z$204,0)),""))</f>
      </c>
      <c r="D96" s="27">
        <f>IF($A96="","",IFERROR(INDEX('זה אני - קליטה'!$AC$5:$AC$204,MATCH($A96&amp;"|תחילת שנה",'זה אני - קליטה'!$Z$5:$Z$204,0)),""))</f>
      </c>
      <c r="E96" s="37">
        <f>IF($A96="","",IFERROR(INDEX('זה אני - קליטה'!$AG$5:$AG$204,MATCH($A96&amp;"|אמצע שנה",'זה אני - קליטה'!$Z$5:$Z$204,0)),""))</f>
      </c>
      <c r="F96" s="26">
        <f>IF($A96="","",IFERROR(INDEX('זה אני - קליטה'!$AA$5:$AA$204,MATCH($A96&amp;"|אמצע שנה",'זה אני - קליטה'!$Z$5:$Z$204,0)),""))</f>
      </c>
      <c r="G96" s="27">
        <f>IF($A96="","",IFERROR(INDEX('זה אני - קליטה'!$AC$5:$AC$204,MATCH($A96&amp;"|אמצע שנה",'זה אני - קליטה'!$Z$5:$Z$204,0)),""))</f>
      </c>
      <c r="H96" s="37">
        <f>IF($A96="","",IFERROR(INDEX('זה אני - קליטה'!$AG$5:$AG$204,MATCH($A96&amp;"|סוף שנה",'זה אני - קליטה'!$Z$5:$Z$204,0)),""))</f>
      </c>
      <c r="I96" s="26">
        <f>IF($A96="","",IFERROR(INDEX('זה אני - קליטה'!$AA$5:$AA$204,MATCH($A96&amp;"|סוף שנה",'זה אני - קליטה'!$Z$5:$Z$204,0)),""))</f>
      </c>
      <c r="J96" s="27">
        <f>IF($A96="","",IFERROR(INDEX('זה אני - קליטה'!$AC$5:$AC$204,MATCH($A96&amp;"|סוף שנה",'זה אני - קליטה'!$Z$5:$Z$204,0)),""))</f>
      </c>
      <c r="K96" s="36">
        <f>IF(AND(ISNUMBER(B96),ISNUMBER(H96)),H96-B96,"")</f>
      </c>
      <c r="L96" s="26">
        <f>IF(K96="","",IF(K96&gt;=1,"עלייה",IF(K96&lt;=-1,"ירידה","יציב")))</f>
      </c>
    </row>
    <row r="97" ht="15" customHeight="1" spans="1:12" x14ac:dyDescent="0.25">
      <c r="A97" s="29"/>
      <c r="B97" s="37">
        <f>IF($A97="","",IFERROR(INDEX('זה אני - קליטה'!$AG$5:$AG$204,MATCH($A97&amp;"|תחילת שנה",'זה אני - קליטה'!$Z$5:$Z$204,0)),""))</f>
      </c>
      <c r="C97" s="26">
        <f>IF($A97="","",IFERROR(INDEX('זה אני - קליטה'!$AA$5:$AA$204,MATCH($A97&amp;"|תחילת שנה",'זה אני - קליטה'!$Z$5:$Z$204,0)),""))</f>
      </c>
      <c r="D97" s="27">
        <f>IF($A97="","",IFERROR(INDEX('זה אני - קליטה'!$AC$5:$AC$204,MATCH($A97&amp;"|תחילת שנה",'זה אני - קליטה'!$Z$5:$Z$204,0)),""))</f>
      </c>
      <c r="E97" s="37">
        <f>IF($A97="","",IFERROR(INDEX('זה אני - קליטה'!$AG$5:$AG$204,MATCH($A97&amp;"|אמצע שנה",'זה אני - קליטה'!$Z$5:$Z$204,0)),""))</f>
      </c>
      <c r="F97" s="26">
        <f>IF($A97="","",IFERROR(INDEX('זה אני - קליטה'!$AA$5:$AA$204,MATCH($A97&amp;"|אמצע שנה",'זה אני - קליטה'!$Z$5:$Z$204,0)),""))</f>
      </c>
      <c r="G97" s="27">
        <f>IF($A97="","",IFERROR(INDEX('זה אני - קליטה'!$AC$5:$AC$204,MATCH($A97&amp;"|אמצע שנה",'זה אני - קליטה'!$Z$5:$Z$204,0)),""))</f>
      </c>
      <c r="H97" s="37">
        <f>IF($A97="","",IFERROR(INDEX('זה אני - קליטה'!$AG$5:$AG$204,MATCH($A97&amp;"|סוף שנה",'זה אני - קליטה'!$Z$5:$Z$204,0)),""))</f>
      </c>
      <c r="I97" s="26">
        <f>IF($A97="","",IFERROR(INDEX('זה אני - קליטה'!$AA$5:$AA$204,MATCH($A97&amp;"|סוף שנה",'זה אני - קליטה'!$Z$5:$Z$204,0)),""))</f>
      </c>
      <c r="J97" s="27">
        <f>IF($A97="","",IFERROR(INDEX('זה אני - קליטה'!$AC$5:$AC$204,MATCH($A97&amp;"|סוף שנה",'זה אני - קליטה'!$Z$5:$Z$204,0)),""))</f>
      </c>
      <c r="K97" s="36">
        <f>IF(AND(ISNUMBER(B97),ISNUMBER(H97)),H97-B97,"")</f>
      </c>
      <c r="L97" s="26">
        <f>IF(K97="","",IF(K97&gt;=1,"עלייה",IF(K97&lt;=-1,"ירידה","יציב")))</f>
      </c>
    </row>
    <row r="98" ht="15" customHeight="1" spans="1:12" x14ac:dyDescent="0.25">
      <c r="A98" s="29"/>
      <c r="B98" s="37">
        <f>IF($A98="","",IFERROR(INDEX('זה אני - קליטה'!$AG$5:$AG$204,MATCH($A98&amp;"|תחילת שנה",'זה אני - קליטה'!$Z$5:$Z$204,0)),""))</f>
      </c>
      <c r="C98" s="26">
        <f>IF($A98="","",IFERROR(INDEX('זה אני - קליטה'!$AA$5:$AA$204,MATCH($A98&amp;"|תחילת שנה",'זה אני - קליטה'!$Z$5:$Z$204,0)),""))</f>
      </c>
      <c r="D98" s="27">
        <f>IF($A98="","",IFERROR(INDEX('זה אני - קליטה'!$AC$5:$AC$204,MATCH($A98&amp;"|תחילת שנה",'זה אני - קליטה'!$Z$5:$Z$204,0)),""))</f>
      </c>
      <c r="E98" s="37">
        <f>IF($A98="","",IFERROR(INDEX('זה אני - קליטה'!$AG$5:$AG$204,MATCH($A98&amp;"|אמצע שנה",'זה אני - קליטה'!$Z$5:$Z$204,0)),""))</f>
      </c>
      <c r="F98" s="26">
        <f>IF($A98="","",IFERROR(INDEX('זה אני - קליטה'!$AA$5:$AA$204,MATCH($A98&amp;"|אמצע שנה",'זה אני - קליטה'!$Z$5:$Z$204,0)),""))</f>
      </c>
      <c r="G98" s="27">
        <f>IF($A98="","",IFERROR(INDEX('זה אני - קליטה'!$AC$5:$AC$204,MATCH($A98&amp;"|אמצע שנה",'זה אני - קליטה'!$Z$5:$Z$204,0)),""))</f>
      </c>
      <c r="H98" s="37">
        <f>IF($A98="","",IFERROR(INDEX('זה אני - קליטה'!$AG$5:$AG$204,MATCH($A98&amp;"|סוף שנה",'זה אני - קליטה'!$Z$5:$Z$204,0)),""))</f>
      </c>
      <c r="I98" s="26">
        <f>IF($A98="","",IFERROR(INDEX('זה אני - קליטה'!$AA$5:$AA$204,MATCH($A98&amp;"|סוף שנה",'זה אני - קליטה'!$Z$5:$Z$204,0)),""))</f>
      </c>
      <c r="J98" s="27">
        <f>IF($A98="","",IFERROR(INDEX('זה אני - קליטה'!$AC$5:$AC$204,MATCH($A98&amp;"|סוף שנה",'זה אני - קליטה'!$Z$5:$Z$204,0)),""))</f>
      </c>
      <c r="K98" s="36">
        <f>IF(AND(ISNUMBER(B98),ISNUMBER(H98)),H98-B98,"")</f>
      </c>
      <c r="L98" s="26">
        <f>IF(K98="","",IF(K98&gt;=1,"עלייה",IF(K98&lt;=-1,"ירידה","יציב")))</f>
      </c>
    </row>
    <row r="99" ht="15" customHeight="1" spans="1:12" x14ac:dyDescent="0.25">
      <c r="A99" s="29"/>
      <c r="B99" s="37">
        <f>IF($A99="","",IFERROR(INDEX('זה אני - קליטה'!$AG$5:$AG$204,MATCH($A99&amp;"|תחילת שנה",'זה אני - קליטה'!$Z$5:$Z$204,0)),""))</f>
      </c>
      <c r="C99" s="26">
        <f>IF($A99="","",IFERROR(INDEX('זה אני - קליטה'!$AA$5:$AA$204,MATCH($A99&amp;"|תחילת שנה",'זה אני - קליטה'!$Z$5:$Z$204,0)),""))</f>
      </c>
      <c r="D99" s="27">
        <f>IF($A99="","",IFERROR(INDEX('זה אני - קליטה'!$AC$5:$AC$204,MATCH($A99&amp;"|תחילת שנה",'זה אני - קליטה'!$Z$5:$Z$204,0)),""))</f>
      </c>
      <c r="E99" s="37">
        <f>IF($A99="","",IFERROR(INDEX('זה אני - קליטה'!$AG$5:$AG$204,MATCH($A99&amp;"|אמצע שנה",'זה אני - קליטה'!$Z$5:$Z$204,0)),""))</f>
      </c>
      <c r="F99" s="26">
        <f>IF($A99="","",IFERROR(INDEX('זה אני - קליטה'!$AA$5:$AA$204,MATCH($A99&amp;"|אמצע שנה",'זה אני - קליטה'!$Z$5:$Z$204,0)),""))</f>
      </c>
      <c r="G99" s="27">
        <f>IF($A99="","",IFERROR(INDEX('זה אני - קליטה'!$AC$5:$AC$204,MATCH($A99&amp;"|אמצע שנה",'זה אני - קליטה'!$Z$5:$Z$204,0)),""))</f>
      </c>
      <c r="H99" s="37">
        <f>IF($A99="","",IFERROR(INDEX('זה אני - קליטה'!$AG$5:$AG$204,MATCH($A99&amp;"|סוף שנה",'זה אני - קליטה'!$Z$5:$Z$204,0)),""))</f>
      </c>
      <c r="I99" s="26">
        <f>IF($A99="","",IFERROR(INDEX('זה אני - קליטה'!$AA$5:$AA$204,MATCH($A99&amp;"|סוף שנה",'זה אני - קליטה'!$Z$5:$Z$204,0)),""))</f>
      </c>
      <c r="J99" s="27">
        <f>IF($A99="","",IFERROR(INDEX('זה אני - קליטה'!$AC$5:$AC$204,MATCH($A99&amp;"|סוף שנה",'זה אני - קליטה'!$Z$5:$Z$204,0)),""))</f>
      </c>
      <c r="K99" s="36">
        <f>IF(AND(ISNUMBER(B99),ISNUMBER(H99)),H99-B99,"")</f>
      </c>
      <c r="L99" s="26">
        <f>IF(K99="","",IF(K99&gt;=1,"עלייה",IF(K99&lt;=-1,"ירידה","יציב")))</f>
      </c>
    </row>
    <row r="100" ht="15" customHeight="1" spans="1:12" x14ac:dyDescent="0.25">
      <c r="A100" s="29"/>
      <c r="B100" s="37">
        <f>IF($A100="","",IFERROR(INDEX('זה אני - קליטה'!$AG$5:$AG$204,MATCH($A100&amp;"|תחילת שנה",'זה אני - קליטה'!$Z$5:$Z$204,0)),""))</f>
      </c>
      <c r="C100" s="26">
        <f>IF($A100="","",IFERROR(INDEX('זה אני - קליטה'!$AA$5:$AA$204,MATCH($A100&amp;"|תחילת שנה",'זה אני - קליטה'!$Z$5:$Z$204,0)),""))</f>
      </c>
      <c r="D100" s="27">
        <f>IF($A100="","",IFERROR(INDEX('זה אני - קליטה'!$AC$5:$AC$204,MATCH($A100&amp;"|תחילת שנה",'זה אני - קליטה'!$Z$5:$Z$204,0)),""))</f>
      </c>
      <c r="E100" s="37">
        <f>IF($A100="","",IFERROR(INDEX('זה אני - קליטה'!$AG$5:$AG$204,MATCH($A100&amp;"|אמצע שנה",'זה אני - קליטה'!$Z$5:$Z$204,0)),""))</f>
      </c>
      <c r="F100" s="26">
        <f>IF($A100="","",IFERROR(INDEX('זה אני - קליטה'!$AA$5:$AA$204,MATCH($A100&amp;"|אמצע שנה",'זה אני - קליטה'!$Z$5:$Z$204,0)),""))</f>
      </c>
      <c r="G100" s="27">
        <f>IF($A100="","",IFERROR(INDEX('זה אני - קליטה'!$AC$5:$AC$204,MATCH($A100&amp;"|אמצע שנה",'זה אני - קליטה'!$Z$5:$Z$204,0)),""))</f>
      </c>
      <c r="H100" s="37">
        <f>IF($A100="","",IFERROR(INDEX('זה אני - קליטה'!$AG$5:$AG$204,MATCH($A100&amp;"|סוף שנה",'זה אני - קליטה'!$Z$5:$Z$204,0)),""))</f>
      </c>
      <c r="I100" s="26">
        <f>IF($A100="","",IFERROR(INDEX('זה אני - קליטה'!$AA$5:$AA$204,MATCH($A100&amp;"|סוף שנה",'זה אני - קליטה'!$Z$5:$Z$204,0)),""))</f>
      </c>
      <c r="J100" s="27">
        <f>IF($A100="","",IFERROR(INDEX('זה אני - קליטה'!$AC$5:$AC$204,MATCH($A100&amp;"|סוף שנה",'זה אני - קליטה'!$Z$5:$Z$204,0)),""))</f>
      </c>
      <c r="K100" s="36">
        <f>IF(AND(ISNUMBER(B100),ISNUMBER(H100)),H100-B100,"")</f>
      </c>
      <c r="L100" s="26">
        <f>IF(K100="","",IF(K100&gt;=1,"עלייה",IF(K100&lt;=-1,"ירידה","יציב")))</f>
      </c>
    </row>
    <row r="101" ht="15" customHeight="1" spans="1:12" x14ac:dyDescent="0.25">
      <c r="A101" s="29"/>
      <c r="B101" s="37">
        <f>IF($A101="","",IFERROR(INDEX('זה אני - קליטה'!$AG$5:$AG$204,MATCH($A101&amp;"|תחילת שנה",'זה אני - קליטה'!$Z$5:$Z$204,0)),""))</f>
      </c>
      <c r="C101" s="26">
        <f>IF($A101="","",IFERROR(INDEX('זה אני - קליטה'!$AA$5:$AA$204,MATCH($A101&amp;"|תחילת שנה",'זה אני - קליטה'!$Z$5:$Z$204,0)),""))</f>
      </c>
      <c r="D101" s="27">
        <f>IF($A101="","",IFERROR(INDEX('זה אני - קליטה'!$AC$5:$AC$204,MATCH($A101&amp;"|תחילת שנה",'זה אני - קליטה'!$Z$5:$Z$204,0)),""))</f>
      </c>
      <c r="E101" s="37">
        <f>IF($A101="","",IFERROR(INDEX('זה אני - קליטה'!$AG$5:$AG$204,MATCH($A101&amp;"|אמצע שנה",'זה אני - קליטה'!$Z$5:$Z$204,0)),""))</f>
      </c>
      <c r="F101" s="26">
        <f>IF($A101="","",IFERROR(INDEX('זה אני - קליטה'!$AA$5:$AA$204,MATCH($A101&amp;"|אמצע שנה",'זה אני - קליטה'!$Z$5:$Z$204,0)),""))</f>
      </c>
      <c r="G101" s="27">
        <f>IF($A101="","",IFERROR(INDEX('זה אני - קליטה'!$AC$5:$AC$204,MATCH($A101&amp;"|אמצע שנה",'זה אני - קליטה'!$Z$5:$Z$204,0)),""))</f>
      </c>
      <c r="H101" s="37">
        <f>IF($A101="","",IFERROR(INDEX('זה אני - קליטה'!$AG$5:$AG$204,MATCH($A101&amp;"|סוף שנה",'זה אני - קליטה'!$Z$5:$Z$204,0)),""))</f>
      </c>
      <c r="I101" s="26">
        <f>IF($A101="","",IFERROR(INDEX('זה אני - קליטה'!$AA$5:$AA$204,MATCH($A101&amp;"|סוף שנה",'זה אני - קליטה'!$Z$5:$Z$204,0)),""))</f>
      </c>
      <c r="J101" s="27">
        <f>IF($A101="","",IFERROR(INDEX('זה אני - קליטה'!$AC$5:$AC$204,MATCH($A101&amp;"|סוף שנה",'זה אני - קליטה'!$Z$5:$Z$204,0)),""))</f>
      </c>
      <c r="K101" s="36">
        <f>IF(AND(ISNUMBER(B101),ISNUMBER(H101)),H101-B101,"")</f>
      </c>
      <c r="L101" s="26">
        <f>IF(K101="","",IF(K101&gt;=1,"עלייה",IF(K101&lt;=-1,"ירידה","יציב")))</f>
      </c>
    </row>
    <row r="102" ht="15" customHeight="1" spans="1:12" x14ac:dyDescent="0.25">
      <c r="A102" s="29"/>
      <c r="B102" s="37">
        <f>IF($A102="","",IFERROR(INDEX('זה אני - קליטה'!$AG$5:$AG$204,MATCH($A102&amp;"|תחילת שנה",'זה אני - קליטה'!$Z$5:$Z$204,0)),""))</f>
      </c>
      <c r="C102" s="26">
        <f>IF($A102="","",IFERROR(INDEX('זה אני - קליטה'!$AA$5:$AA$204,MATCH($A102&amp;"|תחילת שנה",'זה אני - קליטה'!$Z$5:$Z$204,0)),""))</f>
      </c>
      <c r="D102" s="27">
        <f>IF($A102="","",IFERROR(INDEX('זה אני - קליטה'!$AC$5:$AC$204,MATCH($A102&amp;"|תחילת שנה",'זה אני - קליטה'!$Z$5:$Z$204,0)),""))</f>
      </c>
      <c r="E102" s="37">
        <f>IF($A102="","",IFERROR(INDEX('זה אני - קליטה'!$AG$5:$AG$204,MATCH($A102&amp;"|אמצע שנה",'זה אני - קליטה'!$Z$5:$Z$204,0)),""))</f>
      </c>
      <c r="F102" s="26">
        <f>IF($A102="","",IFERROR(INDEX('זה אני - קליטה'!$AA$5:$AA$204,MATCH($A102&amp;"|אמצע שנה",'זה אני - קליטה'!$Z$5:$Z$204,0)),""))</f>
      </c>
      <c r="G102" s="27">
        <f>IF($A102="","",IFERROR(INDEX('זה אני - קליטה'!$AC$5:$AC$204,MATCH($A102&amp;"|אמצע שנה",'זה אני - קליטה'!$Z$5:$Z$204,0)),""))</f>
      </c>
      <c r="H102" s="37">
        <f>IF($A102="","",IFERROR(INDEX('זה אני - קליטה'!$AG$5:$AG$204,MATCH($A102&amp;"|סוף שנה",'זה אני - קליטה'!$Z$5:$Z$204,0)),""))</f>
      </c>
      <c r="I102" s="26">
        <f>IF($A102="","",IFERROR(INDEX('זה אני - קליטה'!$AA$5:$AA$204,MATCH($A102&amp;"|סוף שנה",'זה אני - קליטה'!$Z$5:$Z$204,0)),""))</f>
      </c>
      <c r="J102" s="27">
        <f>IF($A102="","",IFERROR(INDEX('זה אני - קליטה'!$AC$5:$AC$204,MATCH($A102&amp;"|סוף שנה",'זה אני - קליטה'!$Z$5:$Z$204,0)),""))</f>
      </c>
      <c r="K102" s="36">
        <f>IF(AND(ISNUMBER(B102),ISNUMBER(H102)),H102-B102,"")</f>
      </c>
      <c r="L102" s="26">
        <f>IF(K102="","",IF(K102&gt;=1,"עלייה",IF(K102&lt;=-1,"ירידה","יציב")))</f>
      </c>
    </row>
    <row r="103" ht="15" customHeight="1" spans="1:12" x14ac:dyDescent="0.25">
      <c r="A103" s="29"/>
      <c r="B103" s="37">
        <f>IF($A103="","",IFERROR(INDEX('זה אני - קליטה'!$AG$5:$AG$204,MATCH($A103&amp;"|תחילת שנה",'זה אני - קליטה'!$Z$5:$Z$204,0)),""))</f>
      </c>
      <c r="C103" s="26">
        <f>IF($A103="","",IFERROR(INDEX('זה אני - קליטה'!$AA$5:$AA$204,MATCH($A103&amp;"|תחילת שנה",'זה אני - קליטה'!$Z$5:$Z$204,0)),""))</f>
      </c>
      <c r="D103" s="27">
        <f>IF($A103="","",IFERROR(INDEX('זה אני - קליטה'!$AC$5:$AC$204,MATCH($A103&amp;"|תחילת שנה",'זה אני - קליטה'!$Z$5:$Z$204,0)),""))</f>
      </c>
      <c r="E103" s="37">
        <f>IF($A103="","",IFERROR(INDEX('זה אני - קליטה'!$AG$5:$AG$204,MATCH($A103&amp;"|אמצע שנה",'זה אני - קליטה'!$Z$5:$Z$204,0)),""))</f>
      </c>
      <c r="F103" s="26">
        <f>IF($A103="","",IFERROR(INDEX('זה אני - קליטה'!$AA$5:$AA$204,MATCH($A103&amp;"|אמצע שנה",'זה אני - קליטה'!$Z$5:$Z$204,0)),""))</f>
      </c>
      <c r="G103" s="27">
        <f>IF($A103="","",IFERROR(INDEX('זה אני - קליטה'!$AC$5:$AC$204,MATCH($A103&amp;"|אמצע שנה",'זה אני - קליטה'!$Z$5:$Z$204,0)),""))</f>
      </c>
      <c r="H103" s="37">
        <f>IF($A103="","",IFERROR(INDEX('זה אני - קליטה'!$AG$5:$AG$204,MATCH($A103&amp;"|סוף שנה",'זה אני - קליטה'!$Z$5:$Z$204,0)),""))</f>
      </c>
      <c r="I103" s="26">
        <f>IF($A103="","",IFERROR(INDEX('זה אני - קליטה'!$AA$5:$AA$204,MATCH($A103&amp;"|סוף שנה",'זה אני - קליטה'!$Z$5:$Z$204,0)),""))</f>
      </c>
      <c r="J103" s="27">
        <f>IF($A103="","",IFERROR(INDEX('זה אני - קליטה'!$AC$5:$AC$204,MATCH($A103&amp;"|סוף שנה",'זה אני - קליטה'!$Z$5:$Z$204,0)),""))</f>
      </c>
      <c r="K103" s="36">
        <f>IF(AND(ISNUMBER(B103),ISNUMBER(H103)),H103-B103,"")</f>
      </c>
      <c r="L103" s="26">
        <f>IF(K103="","",IF(K103&gt;=1,"עלייה",IF(K103&lt;=-1,"ירידה","יציב")))</f>
      </c>
    </row>
    <row r="104" ht="15" customHeight="1" spans="1:12" x14ac:dyDescent="0.25">
      <c r="A104" s="29"/>
      <c r="B104" s="37">
        <f>IF($A104="","",IFERROR(INDEX('זה אני - קליטה'!$AG$5:$AG$204,MATCH($A104&amp;"|תחילת שנה",'זה אני - קליטה'!$Z$5:$Z$204,0)),""))</f>
      </c>
      <c r="C104" s="26">
        <f>IF($A104="","",IFERROR(INDEX('זה אני - קליטה'!$AA$5:$AA$204,MATCH($A104&amp;"|תחילת שנה",'זה אני - קליטה'!$Z$5:$Z$204,0)),""))</f>
      </c>
      <c r="D104" s="27">
        <f>IF($A104="","",IFERROR(INDEX('זה אני - קליטה'!$AC$5:$AC$204,MATCH($A104&amp;"|תחילת שנה",'זה אני - קליטה'!$Z$5:$Z$204,0)),""))</f>
      </c>
      <c r="E104" s="37">
        <f>IF($A104="","",IFERROR(INDEX('זה אני - קליטה'!$AG$5:$AG$204,MATCH($A104&amp;"|אמצע שנה",'זה אני - קליטה'!$Z$5:$Z$204,0)),""))</f>
      </c>
      <c r="F104" s="26">
        <f>IF($A104="","",IFERROR(INDEX('זה אני - קליטה'!$AA$5:$AA$204,MATCH($A104&amp;"|אמצע שנה",'זה אני - קליטה'!$Z$5:$Z$204,0)),""))</f>
      </c>
      <c r="G104" s="27">
        <f>IF($A104="","",IFERROR(INDEX('זה אני - קליטה'!$AC$5:$AC$204,MATCH($A104&amp;"|אמצע שנה",'זה אני - קליטה'!$Z$5:$Z$204,0)),""))</f>
      </c>
      <c r="H104" s="37">
        <f>IF($A104="","",IFERROR(INDEX('זה אני - קליטה'!$AG$5:$AG$204,MATCH($A104&amp;"|סוף שנה",'זה אני - קליטה'!$Z$5:$Z$204,0)),""))</f>
      </c>
      <c r="I104" s="26">
        <f>IF($A104="","",IFERROR(INDEX('זה אני - קליטה'!$AA$5:$AA$204,MATCH($A104&amp;"|סוף שנה",'זה אני - קליטה'!$Z$5:$Z$204,0)),""))</f>
      </c>
      <c r="J104" s="27">
        <f>IF($A104="","",IFERROR(INDEX('זה אני - קליטה'!$AC$5:$AC$204,MATCH($A104&amp;"|סוף שנה",'זה אני - קליטה'!$Z$5:$Z$204,0)),""))</f>
      </c>
      <c r="K104" s="36">
        <f>IF(AND(ISNUMBER(B104),ISNUMBER(H104)),H104-B104,"")</f>
      </c>
      <c r="L104" s="26">
        <f>IF(K104="","",IF(K104&gt;=1,"עלייה",IF(K104&lt;=-1,"ירידה","יציב")))</f>
      </c>
    </row>
    <row r="105" ht="15" customHeight="1" spans="1:12" x14ac:dyDescent="0.25">
      <c r="A105" s="29"/>
      <c r="B105" s="37">
        <f>IF($A105="","",IFERROR(INDEX('זה אני - קליטה'!$AG$5:$AG$204,MATCH($A105&amp;"|תחילת שנה",'זה אני - קליטה'!$Z$5:$Z$204,0)),""))</f>
      </c>
      <c r="C105" s="26">
        <f>IF($A105="","",IFERROR(INDEX('זה אני - קליטה'!$AA$5:$AA$204,MATCH($A105&amp;"|תחילת שנה",'זה אני - קליטה'!$Z$5:$Z$204,0)),""))</f>
      </c>
      <c r="D105" s="27">
        <f>IF($A105="","",IFERROR(INDEX('זה אני - קליטה'!$AC$5:$AC$204,MATCH($A105&amp;"|תחילת שנה",'זה אני - קליטה'!$Z$5:$Z$204,0)),""))</f>
      </c>
      <c r="E105" s="37">
        <f>IF($A105="","",IFERROR(INDEX('זה אני - קליטה'!$AG$5:$AG$204,MATCH($A105&amp;"|אמצע שנה",'זה אני - קליטה'!$Z$5:$Z$204,0)),""))</f>
      </c>
      <c r="F105" s="26">
        <f>IF($A105="","",IFERROR(INDEX('זה אני - קליטה'!$AA$5:$AA$204,MATCH($A105&amp;"|אמצע שנה",'זה אני - קליטה'!$Z$5:$Z$204,0)),""))</f>
      </c>
      <c r="G105" s="27">
        <f>IF($A105="","",IFERROR(INDEX('זה אני - קליטה'!$AC$5:$AC$204,MATCH($A105&amp;"|אמצע שנה",'זה אני - קליטה'!$Z$5:$Z$204,0)),""))</f>
      </c>
      <c r="H105" s="37">
        <f>IF($A105="","",IFERROR(INDEX('זה אני - קליטה'!$AG$5:$AG$204,MATCH($A105&amp;"|סוף שנה",'זה אני - קליטה'!$Z$5:$Z$204,0)),""))</f>
      </c>
      <c r="I105" s="26">
        <f>IF($A105="","",IFERROR(INDEX('זה אני - קליטה'!$AA$5:$AA$204,MATCH($A105&amp;"|סוף שנה",'זה אני - קליטה'!$Z$5:$Z$204,0)),""))</f>
      </c>
      <c r="J105" s="27">
        <f>IF($A105="","",IFERROR(INDEX('זה אני - קליטה'!$AC$5:$AC$204,MATCH($A105&amp;"|סוף שנה",'זה אני - קליטה'!$Z$5:$Z$204,0)),""))</f>
      </c>
      <c r="K105" s="36">
        <f>IF(AND(ISNUMBER(B105),ISNUMBER(H105)),H105-B105,"")</f>
      </c>
      <c r="L105" s="26">
        <f>IF(K105="","",IF(K105&gt;=1,"עלייה",IF(K105&lt;=-1,"ירידה","יציב")))</f>
      </c>
    </row>
    <row r="106" ht="15" customHeight="1" spans="1:12" x14ac:dyDescent="0.25">
      <c r="A106" s="29"/>
      <c r="B106" s="37">
        <f>IF($A106="","",IFERROR(INDEX('זה אני - קליטה'!$AG$5:$AG$204,MATCH($A106&amp;"|תחילת שנה",'זה אני - קליטה'!$Z$5:$Z$204,0)),""))</f>
      </c>
      <c r="C106" s="26">
        <f>IF($A106="","",IFERROR(INDEX('זה אני - קליטה'!$AA$5:$AA$204,MATCH($A106&amp;"|תחילת שנה",'זה אני - קליטה'!$Z$5:$Z$204,0)),""))</f>
      </c>
      <c r="D106" s="27">
        <f>IF($A106="","",IFERROR(INDEX('זה אני - קליטה'!$AC$5:$AC$204,MATCH($A106&amp;"|תחילת שנה",'זה אני - קליטה'!$Z$5:$Z$204,0)),""))</f>
      </c>
      <c r="E106" s="37">
        <f>IF($A106="","",IFERROR(INDEX('זה אני - קליטה'!$AG$5:$AG$204,MATCH($A106&amp;"|אמצע שנה",'זה אני - קליטה'!$Z$5:$Z$204,0)),""))</f>
      </c>
      <c r="F106" s="26">
        <f>IF($A106="","",IFERROR(INDEX('זה אני - קליטה'!$AA$5:$AA$204,MATCH($A106&amp;"|אמצע שנה",'זה אני - קליטה'!$Z$5:$Z$204,0)),""))</f>
      </c>
      <c r="G106" s="27">
        <f>IF($A106="","",IFERROR(INDEX('זה אני - קליטה'!$AC$5:$AC$204,MATCH($A106&amp;"|אמצע שנה",'זה אני - קליטה'!$Z$5:$Z$204,0)),""))</f>
      </c>
      <c r="H106" s="37">
        <f>IF($A106="","",IFERROR(INDEX('זה אני - קליטה'!$AG$5:$AG$204,MATCH($A106&amp;"|סוף שנה",'זה אני - קליטה'!$Z$5:$Z$204,0)),""))</f>
      </c>
      <c r="I106" s="26">
        <f>IF($A106="","",IFERROR(INDEX('זה אני - קליטה'!$AA$5:$AA$204,MATCH($A106&amp;"|סוף שנה",'זה אני - קליטה'!$Z$5:$Z$204,0)),""))</f>
      </c>
      <c r="J106" s="27">
        <f>IF($A106="","",IFERROR(INDEX('זה אני - קליטה'!$AC$5:$AC$204,MATCH($A106&amp;"|סוף שנה",'זה אני - קליטה'!$Z$5:$Z$204,0)),""))</f>
      </c>
      <c r="K106" s="36">
        <f>IF(AND(ISNUMBER(B106),ISNUMBER(H106)),H106-B106,"")</f>
      </c>
      <c r="L106" s="26">
        <f>IF(K106="","",IF(K106&gt;=1,"עלייה",IF(K106&lt;=-1,"ירידה","יציב")))</f>
      </c>
    </row>
    <row r="107" ht="15" customHeight="1" spans="1:12" x14ac:dyDescent="0.25">
      <c r="A107" s="29"/>
      <c r="B107" s="37">
        <f>IF($A107="","",IFERROR(INDEX('זה אני - קליטה'!$AG$5:$AG$204,MATCH($A107&amp;"|תחילת שנה",'זה אני - קליטה'!$Z$5:$Z$204,0)),""))</f>
      </c>
      <c r="C107" s="26">
        <f>IF($A107="","",IFERROR(INDEX('זה אני - קליטה'!$AA$5:$AA$204,MATCH($A107&amp;"|תחילת שנה",'זה אני - קליטה'!$Z$5:$Z$204,0)),""))</f>
      </c>
      <c r="D107" s="27">
        <f>IF($A107="","",IFERROR(INDEX('זה אני - קליטה'!$AC$5:$AC$204,MATCH($A107&amp;"|תחילת שנה",'זה אני - קליטה'!$Z$5:$Z$204,0)),""))</f>
      </c>
      <c r="E107" s="37">
        <f>IF($A107="","",IFERROR(INDEX('זה אני - קליטה'!$AG$5:$AG$204,MATCH($A107&amp;"|אמצע שנה",'זה אני - קליטה'!$Z$5:$Z$204,0)),""))</f>
      </c>
      <c r="F107" s="26">
        <f>IF($A107="","",IFERROR(INDEX('זה אני - קליטה'!$AA$5:$AA$204,MATCH($A107&amp;"|אמצע שנה",'זה אני - קליטה'!$Z$5:$Z$204,0)),""))</f>
      </c>
      <c r="G107" s="27">
        <f>IF($A107="","",IFERROR(INDEX('זה אני - קליטה'!$AC$5:$AC$204,MATCH($A107&amp;"|אמצע שנה",'זה אני - קליטה'!$Z$5:$Z$204,0)),""))</f>
      </c>
      <c r="H107" s="37">
        <f>IF($A107="","",IFERROR(INDEX('זה אני - קליטה'!$AG$5:$AG$204,MATCH($A107&amp;"|סוף שנה",'זה אני - קליטה'!$Z$5:$Z$204,0)),""))</f>
      </c>
      <c r="I107" s="26">
        <f>IF($A107="","",IFERROR(INDEX('זה אני - קליטה'!$AA$5:$AA$204,MATCH($A107&amp;"|סוף שנה",'זה אני - קליטה'!$Z$5:$Z$204,0)),""))</f>
      </c>
      <c r="J107" s="27">
        <f>IF($A107="","",IFERROR(INDEX('זה אני - קליטה'!$AC$5:$AC$204,MATCH($A107&amp;"|סוף שנה",'זה אני - קליטה'!$Z$5:$Z$204,0)),""))</f>
      </c>
      <c r="K107" s="36">
        <f>IF(AND(ISNUMBER(B107),ISNUMBER(H107)),H107-B107,"")</f>
      </c>
      <c r="L107" s="26">
        <f>IF(K107="","",IF(K107&gt;=1,"עלייה",IF(K107&lt;=-1,"ירידה","יציב")))</f>
      </c>
    </row>
    <row r="108" ht="15" customHeight="1" spans="1:12" x14ac:dyDescent="0.25">
      <c r="A108" s="29"/>
      <c r="B108" s="37">
        <f>IF($A108="","",IFERROR(INDEX('זה אני - קליטה'!$AG$5:$AG$204,MATCH($A108&amp;"|תחילת שנה",'זה אני - קליטה'!$Z$5:$Z$204,0)),""))</f>
      </c>
      <c r="C108" s="26">
        <f>IF($A108="","",IFERROR(INDEX('זה אני - קליטה'!$AA$5:$AA$204,MATCH($A108&amp;"|תחילת שנה",'זה אני - קליטה'!$Z$5:$Z$204,0)),""))</f>
      </c>
      <c r="D108" s="27">
        <f>IF($A108="","",IFERROR(INDEX('זה אני - קליטה'!$AC$5:$AC$204,MATCH($A108&amp;"|תחילת שנה",'זה אני - קליטה'!$Z$5:$Z$204,0)),""))</f>
      </c>
      <c r="E108" s="37">
        <f>IF($A108="","",IFERROR(INDEX('זה אני - קליטה'!$AG$5:$AG$204,MATCH($A108&amp;"|אמצע שנה",'זה אני - קליטה'!$Z$5:$Z$204,0)),""))</f>
      </c>
      <c r="F108" s="26">
        <f>IF($A108="","",IFERROR(INDEX('זה אני - קליטה'!$AA$5:$AA$204,MATCH($A108&amp;"|אמצע שנה",'זה אני - קליטה'!$Z$5:$Z$204,0)),""))</f>
      </c>
      <c r="G108" s="27">
        <f>IF($A108="","",IFERROR(INDEX('זה אני - קליטה'!$AC$5:$AC$204,MATCH($A108&amp;"|אמצע שנה",'זה אני - קליטה'!$Z$5:$Z$204,0)),""))</f>
      </c>
      <c r="H108" s="37">
        <f>IF($A108="","",IFERROR(INDEX('זה אני - קליטה'!$AG$5:$AG$204,MATCH($A108&amp;"|סוף שנה",'זה אני - קליטה'!$Z$5:$Z$204,0)),""))</f>
      </c>
      <c r="I108" s="26">
        <f>IF($A108="","",IFERROR(INDEX('זה אני - קליטה'!$AA$5:$AA$204,MATCH($A108&amp;"|סוף שנה",'זה אני - קליטה'!$Z$5:$Z$204,0)),""))</f>
      </c>
      <c r="J108" s="27">
        <f>IF($A108="","",IFERROR(INDEX('זה אני - קליטה'!$AC$5:$AC$204,MATCH($A108&amp;"|סוף שנה",'זה אני - קליטה'!$Z$5:$Z$204,0)),""))</f>
      </c>
      <c r="K108" s="36">
        <f>IF(AND(ISNUMBER(B108),ISNUMBER(H108)),H108-B108,"")</f>
      </c>
      <c r="L108" s="26">
        <f>IF(K108="","",IF(K108&gt;=1,"עלייה",IF(K108&lt;=-1,"ירידה","יציב")))</f>
      </c>
    </row>
    <row r="109" ht="15" customHeight="1" spans="1:12" x14ac:dyDescent="0.25">
      <c r="A109" s="29"/>
      <c r="B109" s="37">
        <f>IF($A109="","",IFERROR(INDEX('זה אני - קליטה'!$AG$5:$AG$204,MATCH($A109&amp;"|תחילת שנה",'זה אני - קליטה'!$Z$5:$Z$204,0)),""))</f>
      </c>
      <c r="C109" s="26">
        <f>IF($A109="","",IFERROR(INDEX('זה אני - קליטה'!$AA$5:$AA$204,MATCH($A109&amp;"|תחילת שנה",'זה אני - קליטה'!$Z$5:$Z$204,0)),""))</f>
      </c>
      <c r="D109" s="27">
        <f>IF($A109="","",IFERROR(INDEX('זה אני - קליטה'!$AC$5:$AC$204,MATCH($A109&amp;"|תחילת שנה",'זה אני - קליטה'!$Z$5:$Z$204,0)),""))</f>
      </c>
      <c r="E109" s="37">
        <f>IF($A109="","",IFERROR(INDEX('זה אני - קליטה'!$AG$5:$AG$204,MATCH($A109&amp;"|אמצע שנה",'זה אני - קליטה'!$Z$5:$Z$204,0)),""))</f>
      </c>
      <c r="F109" s="26">
        <f>IF($A109="","",IFERROR(INDEX('זה אני - קליטה'!$AA$5:$AA$204,MATCH($A109&amp;"|אמצע שנה",'זה אני - קליטה'!$Z$5:$Z$204,0)),""))</f>
      </c>
      <c r="G109" s="27">
        <f>IF($A109="","",IFERROR(INDEX('זה אני - קליטה'!$AC$5:$AC$204,MATCH($A109&amp;"|אמצע שנה",'זה אני - קליטה'!$Z$5:$Z$204,0)),""))</f>
      </c>
      <c r="H109" s="37">
        <f>IF($A109="","",IFERROR(INDEX('זה אני - קליטה'!$AG$5:$AG$204,MATCH($A109&amp;"|סוף שנה",'זה אני - קליטה'!$Z$5:$Z$204,0)),""))</f>
      </c>
      <c r="I109" s="26">
        <f>IF($A109="","",IFERROR(INDEX('זה אני - קליטה'!$AA$5:$AA$204,MATCH($A109&amp;"|סוף שנה",'זה אני - קליטה'!$Z$5:$Z$204,0)),""))</f>
      </c>
      <c r="J109" s="27">
        <f>IF($A109="","",IFERROR(INDEX('זה אני - קליטה'!$AC$5:$AC$204,MATCH($A109&amp;"|סוף שנה",'זה אני - קליטה'!$Z$5:$Z$204,0)),""))</f>
      </c>
      <c r="K109" s="36">
        <f>IF(AND(ISNUMBER(B109),ISNUMBER(H109)),H109-B109,"")</f>
      </c>
      <c r="L109" s="26">
        <f>IF(K109="","",IF(K109&gt;=1,"עלייה",IF(K109&lt;=-1,"ירידה","יציב")))</f>
      </c>
    </row>
    <row r="110" ht="15" customHeight="1" spans="1:12" x14ac:dyDescent="0.25">
      <c r="A110" s="29"/>
      <c r="B110" s="37">
        <f>IF($A110="","",IFERROR(INDEX('זה אני - קליטה'!$AG$5:$AG$204,MATCH($A110&amp;"|תחילת שנה",'זה אני - קליטה'!$Z$5:$Z$204,0)),""))</f>
      </c>
      <c r="C110" s="26">
        <f>IF($A110="","",IFERROR(INDEX('זה אני - קליטה'!$AA$5:$AA$204,MATCH($A110&amp;"|תחילת שנה",'זה אני - קליטה'!$Z$5:$Z$204,0)),""))</f>
      </c>
      <c r="D110" s="27">
        <f>IF($A110="","",IFERROR(INDEX('זה אני - קליטה'!$AC$5:$AC$204,MATCH($A110&amp;"|תחילת שנה",'זה אני - קליטה'!$Z$5:$Z$204,0)),""))</f>
      </c>
      <c r="E110" s="37">
        <f>IF($A110="","",IFERROR(INDEX('זה אני - קליטה'!$AG$5:$AG$204,MATCH($A110&amp;"|אמצע שנה",'זה אני - קליטה'!$Z$5:$Z$204,0)),""))</f>
      </c>
      <c r="F110" s="26">
        <f>IF($A110="","",IFERROR(INDEX('זה אני - קליטה'!$AA$5:$AA$204,MATCH($A110&amp;"|אמצע שנה",'זה אני - קליטה'!$Z$5:$Z$204,0)),""))</f>
      </c>
      <c r="G110" s="27">
        <f>IF($A110="","",IFERROR(INDEX('זה אני - קליטה'!$AC$5:$AC$204,MATCH($A110&amp;"|אמצע שנה",'זה אני - קליטה'!$Z$5:$Z$204,0)),""))</f>
      </c>
      <c r="H110" s="37">
        <f>IF($A110="","",IFERROR(INDEX('זה אני - קליטה'!$AG$5:$AG$204,MATCH($A110&amp;"|סוף שנה",'זה אני - קליטה'!$Z$5:$Z$204,0)),""))</f>
      </c>
      <c r="I110" s="26">
        <f>IF($A110="","",IFERROR(INDEX('זה אני - קליטה'!$AA$5:$AA$204,MATCH($A110&amp;"|סוף שנה",'זה אני - קליטה'!$Z$5:$Z$204,0)),""))</f>
      </c>
      <c r="J110" s="27">
        <f>IF($A110="","",IFERROR(INDEX('זה אני - קליטה'!$AC$5:$AC$204,MATCH($A110&amp;"|סוף שנה",'זה אני - קליטה'!$Z$5:$Z$204,0)),""))</f>
      </c>
      <c r="K110" s="36">
        <f>IF(AND(ISNUMBER(B110),ISNUMBER(H110)),H110-B110,"")</f>
      </c>
      <c r="L110" s="26">
        <f>IF(K110="","",IF(K110&gt;=1,"עלייה",IF(K110&lt;=-1,"ירידה","יציב")))</f>
      </c>
    </row>
    <row r="111" ht="15" customHeight="1" spans="1:12" x14ac:dyDescent="0.25">
      <c r="A111" s="29"/>
      <c r="B111" s="37">
        <f>IF($A111="","",IFERROR(INDEX('זה אני - קליטה'!$AG$5:$AG$204,MATCH($A111&amp;"|תחילת שנה",'זה אני - קליטה'!$Z$5:$Z$204,0)),""))</f>
      </c>
      <c r="C111" s="26">
        <f>IF($A111="","",IFERROR(INDEX('זה אני - קליטה'!$AA$5:$AA$204,MATCH($A111&amp;"|תחילת שנה",'זה אני - קליטה'!$Z$5:$Z$204,0)),""))</f>
      </c>
      <c r="D111" s="27">
        <f>IF($A111="","",IFERROR(INDEX('זה אני - קליטה'!$AC$5:$AC$204,MATCH($A111&amp;"|תחילת שנה",'זה אני - קליטה'!$Z$5:$Z$204,0)),""))</f>
      </c>
      <c r="E111" s="37">
        <f>IF($A111="","",IFERROR(INDEX('זה אני - קליטה'!$AG$5:$AG$204,MATCH($A111&amp;"|אמצע שנה",'זה אני - קליטה'!$Z$5:$Z$204,0)),""))</f>
      </c>
      <c r="F111" s="26">
        <f>IF($A111="","",IFERROR(INDEX('זה אני - קליטה'!$AA$5:$AA$204,MATCH($A111&amp;"|אמצע שנה",'זה אני - קליטה'!$Z$5:$Z$204,0)),""))</f>
      </c>
      <c r="G111" s="27">
        <f>IF($A111="","",IFERROR(INDEX('זה אני - קליטה'!$AC$5:$AC$204,MATCH($A111&amp;"|אמצע שנה",'זה אני - קליטה'!$Z$5:$Z$204,0)),""))</f>
      </c>
      <c r="H111" s="37">
        <f>IF($A111="","",IFERROR(INDEX('זה אני - קליטה'!$AG$5:$AG$204,MATCH($A111&amp;"|סוף שנה",'זה אני - קליטה'!$Z$5:$Z$204,0)),""))</f>
      </c>
      <c r="I111" s="26">
        <f>IF($A111="","",IFERROR(INDEX('זה אני - קליטה'!$AA$5:$AA$204,MATCH($A111&amp;"|סוף שנה",'זה אני - קליטה'!$Z$5:$Z$204,0)),""))</f>
      </c>
      <c r="J111" s="27">
        <f>IF($A111="","",IFERROR(INDEX('זה אני - קליטה'!$AC$5:$AC$204,MATCH($A111&amp;"|סוף שנה",'זה אני - קליטה'!$Z$5:$Z$204,0)),""))</f>
      </c>
      <c r="K111" s="36">
        <f>IF(AND(ISNUMBER(B111),ISNUMBER(H111)),H111-B111,"")</f>
      </c>
      <c r="L111" s="26">
        <f>IF(K111="","",IF(K111&gt;=1,"עלייה",IF(K111&lt;=-1,"ירידה","יציב")))</f>
      </c>
    </row>
    <row r="112" ht="15" customHeight="1" spans="1:12" x14ac:dyDescent="0.25">
      <c r="A112" s="29"/>
      <c r="B112" s="37">
        <f>IF($A112="","",IFERROR(INDEX('זה אני - קליטה'!$AG$5:$AG$204,MATCH($A112&amp;"|תחילת שנה",'זה אני - קליטה'!$Z$5:$Z$204,0)),""))</f>
      </c>
      <c r="C112" s="26">
        <f>IF($A112="","",IFERROR(INDEX('זה אני - קליטה'!$AA$5:$AA$204,MATCH($A112&amp;"|תחילת שנה",'זה אני - קליטה'!$Z$5:$Z$204,0)),""))</f>
      </c>
      <c r="D112" s="27">
        <f>IF($A112="","",IFERROR(INDEX('זה אני - קליטה'!$AC$5:$AC$204,MATCH($A112&amp;"|תחילת שנה",'זה אני - קליטה'!$Z$5:$Z$204,0)),""))</f>
      </c>
      <c r="E112" s="37">
        <f>IF($A112="","",IFERROR(INDEX('זה אני - קליטה'!$AG$5:$AG$204,MATCH($A112&amp;"|אמצע שנה",'זה אני - קליטה'!$Z$5:$Z$204,0)),""))</f>
      </c>
      <c r="F112" s="26">
        <f>IF($A112="","",IFERROR(INDEX('זה אני - קליטה'!$AA$5:$AA$204,MATCH($A112&amp;"|אמצע שנה",'זה אני - קליטה'!$Z$5:$Z$204,0)),""))</f>
      </c>
      <c r="G112" s="27">
        <f>IF($A112="","",IFERROR(INDEX('זה אני - קליטה'!$AC$5:$AC$204,MATCH($A112&amp;"|אמצע שנה",'זה אני - קליטה'!$Z$5:$Z$204,0)),""))</f>
      </c>
      <c r="H112" s="37">
        <f>IF($A112="","",IFERROR(INDEX('זה אני - קליטה'!$AG$5:$AG$204,MATCH($A112&amp;"|סוף שנה",'זה אני - קליטה'!$Z$5:$Z$204,0)),""))</f>
      </c>
      <c r="I112" s="26">
        <f>IF($A112="","",IFERROR(INDEX('זה אני - קליטה'!$AA$5:$AA$204,MATCH($A112&amp;"|סוף שנה",'זה אני - קליטה'!$Z$5:$Z$204,0)),""))</f>
      </c>
      <c r="J112" s="27">
        <f>IF($A112="","",IFERROR(INDEX('זה אני - קליטה'!$AC$5:$AC$204,MATCH($A112&amp;"|סוף שנה",'זה אני - קליטה'!$Z$5:$Z$204,0)),""))</f>
      </c>
      <c r="K112" s="36">
        <f>IF(AND(ISNUMBER(B112),ISNUMBER(H112)),H112-B112,"")</f>
      </c>
      <c r="L112" s="26">
        <f>IF(K112="","",IF(K112&gt;=1,"עלייה",IF(K112&lt;=-1,"ירידה","יציב")))</f>
      </c>
    </row>
    <row r="113" ht="15" customHeight="1" spans="1:12" x14ac:dyDescent="0.25">
      <c r="A113" s="29"/>
      <c r="B113" s="37">
        <f>IF($A113="","",IFERROR(INDEX('זה אני - קליטה'!$AG$5:$AG$204,MATCH($A113&amp;"|תחילת שנה",'זה אני - קליטה'!$Z$5:$Z$204,0)),""))</f>
      </c>
      <c r="C113" s="26">
        <f>IF($A113="","",IFERROR(INDEX('זה אני - קליטה'!$AA$5:$AA$204,MATCH($A113&amp;"|תחילת שנה",'זה אני - קליטה'!$Z$5:$Z$204,0)),""))</f>
      </c>
      <c r="D113" s="27">
        <f>IF($A113="","",IFERROR(INDEX('זה אני - קליטה'!$AC$5:$AC$204,MATCH($A113&amp;"|תחילת שנה",'זה אני - קליטה'!$Z$5:$Z$204,0)),""))</f>
      </c>
      <c r="E113" s="37">
        <f>IF($A113="","",IFERROR(INDEX('זה אני - קליטה'!$AG$5:$AG$204,MATCH($A113&amp;"|אמצע שנה",'זה אני - קליטה'!$Z$5:$Z$204,0)),""))</f>
      </c>
      <c r="F113" s="26">
        <f>IF($A113="","",IFERROR(INDEX('זה אני - קליטה'!$AA$5:$AA$204,MATCH($A113&amp;"|אמצע שנה",'זה אני - קליטה'!$Z$5:$Z$204,0)),""))</f>
      </c>
      <c r="G113" s="27">
        <f>IF($A113="","",IFERROR(INDEX('זה אני - קליטה'!$AC$5:$AC$204,MATCH($A113&amp;"|אמצע שנה",'זה אני - קליטה'!$Z$5:$Z$204,0)),""))</f>
      </c>
      <c r="H113" s="37">
        <f>IF($A113="","",IFERROR(INDEX('זה אני - קליטה'!$AG$5:$AG$204,MATCH($A113&amp;"|סוף שנה",'זה אני - קליטה'!$Z$5:$Z$204,0)),""))</f>
      </c>
      <c r="I113" s="26">
        <f>IF($A113="","",IFERROR(INDEX('זה אני - קליטה'!$AA$5:$AA$204,MATCH($A113&amp;"|סוף שנה",'זה אני - קליטה'!$Z$5:$Z$204,0)),""))</f>
      </c>
      <c r="J113" s="27">
        <f>IF($A113="","",IFERROR(INDEX('זה אני - קליטה'!$AC$5:$AC$204,MATCH($A113&amp;"|סוף שנה",'זה אני - קליטה'!$Z$5:$Z$204,0)),""))</f>
      </c>
      <c r="K113" s="36">
        <f>IF(AND(ISNUMBER(B113),ISNUMBER(H113)),H113-B113,"")</f>
      </c>
      <c r="L113" s="26">
        <f>IF(K113="","",IF(K113&gt;=1,"עלייה",IF(K113&lt;=-1,"ירידה","יציב")))</f>
      </c>
    </row>
    <row r="114" ht="15" customHeight="1" spans="1:12" x14ac:dyDescent="0.25">
      <c r="A114" s="29"/>
      <c r="B114" s="37">
        <f>IF($A114="","",IFERROR(INDEX('זה אני - קליטה'!$AG$5:$AG$204,MATCH($A114&amp;"|תחילת שנה",'זה אני - קליטה'!$Z$5:$Z$204,0)),""))</f>
      </c>
      <c r="C114" s="26">
        <f>IF($A114="","",IFERROR(INDEX('זה אני - קליטה'!$AA$5:$AA$204,MATCH($A114&amp;"|תחילת שנה",'זה אני - קליטה'!$Z$5:$Z$204,0)),""))</f>
      </c>
      <c r="D114" s="27">
        <f>IF($A114="","",IFERROR(INDEX('זה אני - קליטה'!$AC$5:$AC$204,MATCH($A114&amp;"|תחילת שנה",'זה אני - קליטה'!$Z$5:$Z$204,0)),""))</f>
      </c>
      <c r="E114" s="37">
        <f>IF($A114="","",IFERROR(INDEX('זה אני - קליטה'!$AG$5:$AG$204,MATCH($A114&amp;"|אמצע שנה",'זה אני - קליטה'!$Z$5:$Z$204,0)),""))</f>
      </c>
      <c r="F114" s="26">
        <f>IF($A114="","",IFERROR(INDEX('זה אני - קליטה'!$AA$5:$AA$204,MATCH($A114&amp;"|אמצע שנה",'זה אני - קליטה'!$Z$5:$Z$204,0)),""))</f>
      </c>
      <c r="G114" s="27">
        <f>IF($A114="","",IFERROR(INDEX('זה אני - קליטה'!$AC$5:$AC$204,MATCH($A114&amp;"|אמצע שנה",'זה אני - קליטה'!$Z$5:$Z$204,0)),""))</f>
      </c>
      <c r="H114" s="37">
        <f>IF($A114="","",IFERROR(INDEX('זה אני - קליטה'!$AG$5:$AG$204,MATCH($A114&amp;"|סוף שנה",'זה אני - קליטה'!$Z$5:$Z$204,0)),""))</f>
      </c>
      <c r="I114" s="26">
        <f>IF($A114="","",IFERROR(INDEX('זה אני - קליטה'!$AA$5:$AA$204,MATCH($A114&amp;"|סוף שנה",'זה אני - קליטה'!$Z$5:$Z$204,0)),""))</f>
      </c>
      <c r="J114" s="27">
        <f>IF($A114="","",IFERROR(INDEX('זה אני - קליטה'!$AC$5:$AC$204,MATCH($A114&amp;"|סוף שנה",'זה אני - קליטה'!$Z$5:$Z$204,0)),""))</f>
      </c>
      <c r="K114" s="36">
        <f>IF(AND(ISNUMBER(B114),ISNUMBER(H114)),H114-B114,"")</f>
      </c>
      <c r="L114" s="26">
        <f>IF(K114="","",IF(K114&gt;=1,"עלייה",IF(K114&lt;=-1,"ירידה","יציב")))</f>
      </c>
    </row>
    <row r="115" ht="15" customHeight="1" spans="1:12" x14ac:dyDescent="0.25">
      <c r="A115" s="29"/>
      <c r="B115" s="37">
        <f>IF($A115="","",IFERROR(INDEX('זה אני - קליטה'!$AG$5:$AG$204,MATCH($A115&amp;"|תחילת שנה",'זה אני - קליטה'!$Z$5:$Z$204,0)),""))</f>
      </c>
      <c r="C115" s="26">
        <f>IF($A115="","",IFERROR(INDEX('זה אני - קליטה'!$AA$5:$AA$204,MATCH($A115&amp;"|תחילת שנה",'זה אני - קליטה'!$Z$5:$Z$204,0)),""))</f>
      </c>
      <c r="D115" s="27">
        <f>IF($A115="","",IFERROR(INDEX('זה אני - קליטה'!$AC$5:$AC$204,MATCH($A115&amp;"|תחילת שנה",'זה אני - קליטה'!$Z$5:$Z$204,0)),""))</f>
      </c>
      <c r="E115" s="37">
        <f>IF($A115="","",IFERROR(INDEX('זה אני - קליטה'!$AG$5:$AG$204,MATCH($A115&amp;"|אמצע שנה",'זה אני - קליטה'!$Z$5:$Z$204,0)),""))</f>
      </c>
      <c r="F115" s="26">
        <f>IF($A115="","",IFERROR(INDEX('זה אני - קליטה'!$AA$5:$AA$204,MATCH($A115&amp;"|אמצע שנה",'זה אני - קליטה'!$Z$5:$Z$204,0)),""))</f>
      </c>
      <c r="G115" s="27">
        <f>IF($A115="","",IFERROR(INDEX('זה אני - קליטה'!$AC$5:$AC$204,MATCH($A115&amp;"|אמצע שנה",'זה אני - קליטה'!$Z$5:$Z$204,0)),""))</f>
      </c>
      <c r="H115" s="37">
        <f>IF($A115="","",IFERROR(INDEX('זה אני - קליטה'!$AG$5:$AG$204,MATCH($A115&amp;"|סוף שנה",'זה אני - קליטה'!$Z$5:$Z$204,0)),""))</f>
      </c>
      <c r="I115" s="26">
        <f>IF($A115="","",IFERROR(INDEX('זה אני - קליטה'!$AA$5:$AA$204,MATCH($A115&amp;"|סוף שנה",'זה אני - קליטה'!$Z$5:$Z$204,0)),""))</f>
      </c>
      <c r="J115" s="27">
        <f>IF($A115="","",IFERROR(INDEX('זה אני - קליטה'!$AC$5:$AC$204,MATCH($A115&amp;"|סוף שנה",'זה אני - קליטה'!$Z$5:$Z$204,0)),""))</f>
      </c>
      <c r="K115" s="36">
        <f>IF(AND(ISNUMBER(B115),ISNUMBER(H115)),H115-B115,"")</f>
      </c>
      <c r="L115" s="26">
        <f>IF(K115="","",IF(K115&gt;=1,"עלייה",IF(K115&lt;=-1,"ירידה","יציב")))</f>
      </c>
    </row>
    <row r="116" ht="15" customHeight="1" spans="1:12" x14ac:dyDescent="0.25">
      <c r="A116" s="29"/>
      <c r="B116" s="37">
        <f>IF($A116="","",IFERROR(INDEX('זה אני - קליטה'!$AG$5:$AG$204,MATCH($A116&amp;"|תחילת שנה",'זה אני - קליטה'!$Z$5:$Z$204,0)),""))</f>
      </c>
      <c r="C116" s="26">
        <f>IF($A116="","",IFERROR(INDEX('זה אני - קליטה'!$AA$5:$AA$204,MATCH($A116&amp;"|תחילת שנה",'זה אני - קליטה'!$Z$5:$Z$204,0)),""))</f>
      </c>
      <c r="D116" s="27">
        <f>IF($A116="","",IFERROR(INDEX('זה אני - קליטה'!$AC$5:$AC$204,MATCH($A116&amp;"|תחילת שנה",'זה אני - קליטה'!$Z$5:$Z$204,0)),""))</f>
      </c>
      <c r="E116" s="37">
        <f>IF($A116="","",IFERROR(INDEX('זה אני - קליטה'!$AG$5:$AG$204,MATCH($A116&amp;"|אמצע שנה",'זה אני - קליטה'!$Z$5:$Z$204,0)),""))</f>
      </c>
      <c r="F116" s="26">
        <f>IF($A116="","",IFERROR(INDEX('זה אני - קליטה'!$AA$5:$AA$204,MATCH($A116&amp;"|אמצע שנה",'זה אני - קליטה'!$Z$5:$Z$204,0)),""))</f>
      </c>
      <c r="G116" s="27">
        <f>IF($A116="","",IFERROR(INDEX('זה אני - קליטה'!$AC$5:$AC$204,MATCH($A116&amp;"|אמצע שנה",'זה אני - קליטה'!$Z$5:$Z$204,0)),""))</f>
      </c>
      <c r="H116" s="37">
        <f>IF($A116="","",IFERROR(INDEX('זה אני - קליטה'!$AG$5:$AG$204,MATCH($A116&amp;"|סוף שנה",'זה אני - קליטה'!$Z$5:$Z$204,0)),""))</f>
      </c>
      <c r="I116" s="26">
        <f>IF($A116="","",IFERROR(INDEX('זה אני - קליטה'!$AA$5:$AA$204,MATCH($A116&amp;"|סוף שנה",'זה אני - קליטה'!$Z$5:$Z$204,0)),""))</f>
      </c>
      <c r="J116" s="27">
        <f>IF($A116="","",IFERROR(INDEX('זה אני - קליטה'!$AC$5:$AC$204,MATCH($A116&amp;"|סוף שנה",'זה אני - קליטה'!$Z$5:$Z$204,0)),""))</f>
      </c>
      <c r="K116" s="36">
        <f>IF(AND(ISNUMBER(B116),ISNUMBER(H116)),H116-B116,"")</f>
      </c>
      <c r="L116" s="26">
        <f>IF(K116="","",IF(K116&gt;=1,"עלייה",IF(K116&lt;=-1,"ירידה","יציב")))</f>
      </c>
    </row>
    <row r="117" ht="15" customHeight="1" spans="1:12" x14ac:dyDescent="0.25">
      <c r="A117" s="29"/>
      <c r="B117" s="37">
        <f>IF($A117="","",IFERROR(INDEX('זה אני - קליטה'!$AG$5:$AG$204,MATCH($A117&amp;"|תחילת שנה",'זה אני - קליטה'!$Z$5:$Z$204,0)),""))</f>
      </c>
      <c r="C117" s="26">
        <f>IF($A117="","",IFERROR(INDEX('זה אני - קליטה'!$AA$5:$AA$204,MATCH($A117&amp;"|תחילת שנה",'זה אני - קליטה'!$Z$5:$Z$204,0)),""))</f>
      </c>
      <c r="D117" s="27">
        <f>IF($A117="","",IFERROR(INDEX('זה אני - קליטה'!$AC$5:$AC$204,MATCH($A117&amp;"|תחילת שנה",'זה אני - קליטה'!$Z$5:$Z$204,0)),""))</f>
      </c>
      <c r="E117" s="37">
        <f>IF($A117="","",IFERROR(INDEX('זה אני - קליטה'!$AG$5:$AG$204,MATCH($A117&amp;"|אמצע שנה",'זה אני - קליטה'!$Z$5:$Z$204,0)),""))</f>
      </c>
      <c r="F117" s="26">
        <f>IF($A117="","",IFERROR(INDEX('זה אני - קליטה'!$AA$5:$AA$204,MATCH($A117&amp;"|אמצע שנה",'זה אני - קליטה'!$Z$5:$Z$204,0)),""))</f>
      </c>
      <c r="G117" s="27">
        <f>IF($A117="","",IFERROR(INDEX('זה אני - קליטה'!$AC$5:$AC$204,MATCH($A117&amp;"|אמצע שנה",'זה אני - קליטה'!$Z$5:$Z$204,0)),""))</f>
      </c>
      <c r="H117" s="37">
        <f>IF($A117="","",IFERROR(INDEX('זה אני - קליטה'!$AG$5:$AG$204,MATCH($A117&amp;"|סוף שנה",'זה אני - קליטה'!$Z$5:$Z$204,0)),""))</f>
      </c>
      <c r="I117" s="26">
        <f>IF($A117="","",IFERROR(INDEX('זה אני - קליטה'!$AA$5:$AA$204,MATCH($A117&amp;"|סוף שנה",'זה אני - קליטה'!$Z$5:$Z$204,0)),""))</f>
      </c>
      <c r="J117" s="27">
        <f>IF($A117="","",IFERROR(INDEX('זה אני - קליטה'!$AC$5:$AC$204,MATCH($A117&amp;"|סוף שנה",'זה אני - קליטה'!$Z$5:$Z$204,0)),""))</f>
      </c>
      <c r="K117" s="36">
        <f>IF(AND(ISNUMBER(B117),ISNUMBER(H117)),H117-B117,"")</f>
      </c>
      <c r="L117" s="26">
        <f>IF(K117="","",IF(K117&gt;=1,"עלייה",IF(K117&lt;=-1,"ירידה","יציב")))</f>
      </c>
    </row>
    <row r="118" ht="15" customHeight="1" spans="1:12" x14ac:dyDescent="0.25">
      <c r="A118" s="29"/>
      <c r="B118" s="37">
        <f>IF($A118="","",IFERROR(INDEX('זה אני - קליטה'!$AG$5:$AG$204,MATCH($A118&amp;"|תחילת שנה",'זה אני - קליטה'!$Z$5:$Z$204,0)),""))</f>
      </c>
      <c r="C118" s="26">
        <f>IF($A118="","",IFERROR(INDEX('זה אני - קליטה'!$AA$5:$AA$204,MATCH($A118&amp;"|תחילת שנה",'זה אני - קליטה'!$Z$5:$Z$204,0)),""))</f>
      </c>
      <c r="D118" s="27">
        <f>IF($A118="","",IFERROR(INDEX('זה אני - קליטה'!$AC$5:$AC$204,MATCH($A118&amp;"|תחילת שנה",'זה אני - קליטה'!$Z$5:$Z$204,0)),""))</f>
      </c>
      <c r="E118" s="37">
        <f>IF($A118="","",IFERROR(INDEX('זה אני - קליטה'!$AG$5:$AG$204,MATCH($A118&amp;"|אמצע שנה",'זה אני - קליטה'!$Z$5:$Z$204,0)),""))</f>
      </c>
      <c r="F118" s="26">
        <f>IF($A118="","",IFERROR(INDEX('זה אני - קליטה'!$AA$5:$AA$204,MATCH($A118&amp;"|אמצע שנה",'זה אני - קליטה'!$Z$5:$Z$204,0)),""))</f>
      </c>
      <c r="G118" s="27">
        <f>IF($A118="","",IFERROR(INDEX('זה אני - קליטה'!$AC$5:$AC$204,MATCH($A118&amp;"|אמצע שנה",'זה אני - קליטה'!$Z$5:$Z$204,0)),""))</f>
      </c>
      <c r="H118" s="37">
        <f>IF($A118="","",IFERROR(INDEX('זה אני - קליטה'!$AG$5:$AG$204,MATCH($A118&amp;"|סוף שנה",'זה אני - קליטה'!$Z$5:$Z$204,0)),""))</f>
      </c>
      <c r="I118" s="26">
        <f>IF($A118="","",IFERROR(INDEX('זה אני - קליטה'!$AA$5:$AA$204,MATCH($A118&amp;"|סוף שנה",'זה אני - קליטה'!$Z$5:$Z$204,0)),""))</f>
      </c>
      <c r="J118" s="27">
        <f>IF($A118="","",IFERROR(INDEX('זה אני - קליטה'!$AC$5:$AC$204,MATCH($A118&amp;"|סוף שנה",'זה אני - קליטה'!$Z$5:$Z$204,0)),""))</f>
      </c>
      <c r="K118" s="36">
        <f>IF(AND(ISNUMBER(B118),ISNUMBER(H118)),H118-B118,"")</f>
      </c>
      <c r="L118" s="26">
        <f>IF(K118="","",IF(K118&gt;=1,"עלייה",IF(K118&lt;=-1,"ירידה","יציב")))</f>
      </c>
    </row>
    <row r="119" ht="15" customHeight="1" spans="1:12" x14ac:dyDescent="0.25">
      <c r="A119" s="29"/>
      <c r="B119" s="37">
        <f>IF($A119="","",IFERROR(INDEX('זה אני - קליטה'!$AG$5:$AG$204,MATCH($A119&amp;"|תחילת שנה",'זה אני - קליטה'!$Z$5:$Z$204,0)),""))</f>
      </c>
      <c r="C119" s="26">
        <f>IF($A119="","",IFERROR(INDEX('זה אני - קליטה'!$AA$5:$AA$204,MATCH($A119&amp;"|תחילת שנה",'זה אני - קליטה'!$Z$5:$Z$204,0)),""))</f>
      </c>
      <c r="D119" s="27">
        <f>IF($A119="","",IFERROR(INDEX('זה אני - קליטה'!$AC$5:$AC$204,MATCH($A119&amp;"|תחילת שנה",'זה אני - קליטה'!$Z$5:$Z$204,0)),""))</f>
      </c>
      <c r="E119" s="37">
        <f>IF($A119="","",IFERROR(INDEX('זה אני - קליטה'!$AG$5:$AG$204,MATCH($A119&amp;"|אמצע שנה",'זה אני - קליטה'!$Z$5:$Z$204,0)),""))</f>
      </c>
      <c r="F119" s="26">
        <f>IF($A119="","",IFERROR(INDEX('זה אני - קליטה'!$AA$5:$AA$204,MATCH($A119&amp;"|אמצע שנה",'זה אני - קליטה'!$Z$5:$Z$204,0)),""))</f>
      </c>
      <c r="G119" s="27">
        <f>IF($A119="","",IFERROR(INDEX('זה אני - קליטה'!$AC$5:$AC$204,MATCH($A119&amp;"|אמצע שנה",'זה אני - קליטה'!$Z$5:$Z$204,0)),""))</f>
      </c>
      <c r="H119" s="37">
        <f>IF($A119="","",IFERROR(INDEX('זה אני - קליטה'!$AG$5:$AG$204,MATCH($A119&amp;"|סוף שנה",'זה אני - קליטה'!$Z$5:$Z$204,0)),""))</f>
      </c>
      <c r="I119" s="26">
        <f>IF($A119="","",IFERROR(INDEX('זה אני - קליטה'!$AA$5:$AA$204,MATCH($A119&amp;"|סוף שנה",'זה אני - קליטה'!$Z$5:$Z$204,0)),""))</f>
      </c>
      <c r="J119" s="27">
        <f>IF($A119="","",IFERROR(INDEX('זה אני - קליטה'!$AC$5:$AC$204,MATCH($A119&amp;"|סוף שנה",'זה אני - קליטה'!$Z$5:$Z$204,0)),""))</f>
      </c>
      <c r="K119" s="36">
        <f>IF(AND(ISNUMBER(B119),ISNUMBER(H119)),H119-B119,"")</f>
      </c>
      <c r="L119" s="26">
        <f>IF(K119="","",IF(K119&gt;=1,"עלייה",IF(K119&lt;=-1,"ירידה","יציב")))</f>
      </c>
    </row>
    <row r="120" ht="15" customHeight="1" spans="1:12" x14ac:dyDescent="0.25">
      <c r="A120" s="29"/>
      <c r="B120" s="37">
        <f>IF($A120="","",IFERROR(INDEX('זה אני - קליטה'!$AG$5:$AG$204,MATCH($A120&amp;"|תחילת שנה",'זה אני - קליטה'!$Z$5:$Z$204,0)),""))</f>
      </c>
      <c r="C120" s="26">
        <f>IF($A120="","",IFERROR(INDEX('זה אני - קליטה'!$AA$5:$AA$204,MATCH($A120&amp;"|תחילת שנה",'זה אני - קליטה'!$Z$5:$Z$204,0)),""))</f>
      </c>
      <c r="D120" s="27">
        <f>IF($A120="","",IFERROR(INDEX('זה אני - קליטה'!$AC$5:$AC$204,MATCH($A120&amp;"|תחילת שנה",'זה אני - קליטה'!$Z$5:$Z$204,0)),""))</f>
      </c>
      <c r="E120" s="37">
        <f>IF($A120="","",IFERROR(INDEX('זה אני - קליטה'!$AG$5:$AG$204,MATCH($A120&amp;"|אמצע שנה",'זה אני - קליטה'!$Z$5:$Z$204,0)),""))</f>
      </c>
      <c r="F120" s="26">
        <f>IF($A120="","",IFERROR(INDEX('זה אני - קליטה'!$AA$5:$AA$204,MATCH($A120&amp;"|אמצע שנה",'זה אני - קליטה'!$Z$5:$Z$204,0)),""))</f>
      </c>
      <c r="G120" s="27">
        <f>IF($A120="","",IFERROR(INDEX('זה אני - קליטה'!$AC$5:$AC$204,MATCH($A120&amp;"|אמצע שנה",'זה אני - קליטה'!$Z$5:$Z$204,0)),""))</f>
      </c>
      <c r="H120" s="37">
        <f>IF($A120="","",IFERROR(INDEX('זה אני - קליטה'!$AG$5:$AG$204,MATCH($A120&amp;"|סוף שנה",'זה אני - קליטה'!$Z$5:$Z$204,0)),""))</f>
      </c>
      <c r="I120" s="26">
        <f>IF($A120="","",IFERROR(INDEX('זה אני - קליטה'!$AA$5:$AA$204,MATCH($A120&amp;"|סוף שנה",'זה אני - קליטה'!$Z$5:$Z$204,0)),""))</f>
      </c>
      <c r="J120" s="27">
        <f>IF($A120="","",IFERROR(INDEX('זה אני - קליטה'!$AC$5:$AC$204,MATCH($A120&amp;"|סוף שנה",'זה אני - קליטה'!$Z$5:$Z$204,0)),""))</f>
      </c>
      <c r="K120" s="36">
        <f>IF(AND(ISNUMBER(B120),ISNUMBER(H120)),H120-B120,"")</f>
      </c>
      <c r="L120" s="26">
        <f>IF(K120="","",IF(K120&gt;=1,"עלייה",IF(K120&lt;=-1,"ירידה","יציב")))</f>
      </c>
    </row>
    <row r="121" ht="15" customHeight="1" spans="1:12" x14ac:dyDescent="0.25">
      <c r="A121" s="29"/>
      <c r="B121" s="37">
        <f>IF($A121="","",IFERROR(INDEX('זה אני - קליטה'!$AG$5:$AG$204,MATCH($A121&amp;"|תחילת שנה",'זה אני - קליטה'!$Z$5:$Z$204,0)),""))</f>
      </c>
      <c r="C121" s="26">
        <f>IF($A121="","",IFERROR(INDEX('זה אני - קליטה'!$AA$5:$AA$204,MATCH($A121&amp;"|תחילת שנה",'זה אני - קליטה'!$Z$5:$Z$204,0)),""))</f>
      </c>
      <c r="D121" s="27">
        <f>IF($A121="","",IFERROR(INDEX('זה אני - קליטה'!$AC$5:$AC$204,MATCH($A121&amp;"|תחילת שנה",'זה אני - קליטה'!$Z$5:$Z$204,0)),""))</f>
      </c>
      <c r="E121" s="37">
        <f>IF($A121="","",IFERROR(INDEX('זה אני - קליטה'!$AG$5:$AG$204,MATCH($A121&amp;"|אמצע שנה",'זה אני - קליטה'!$Z$5:$Z$204,0)),""))</f>
      </c>
      <c r="F121" s="26">
        <f>IF($A121="","",IFERROR(INDEX('זה אני - קליטה'!$AA$5:$AA$204,MATCH($A121&amp;"|אמצע שנה",'זה אני - קליטה'!$Z$5:$Z$204,0)),""))</f>
      </c>
      <c r="G121" s="27">
        <f>IF($A121="","",IFERROR(INDEX('זה אני - קליטה'!$AC$5:$AC$204,MATCH($A121&amp;"|אמצע שנה",'זה אני - קליטה'!$Z$5:$Z$204,0)),""))</f>
      </c>
      <c r="H121" s="37">
        <f>IF($A121="","",IFERROR(INDEX('זה אני - קליטה'!$AG$5:$AG$204,MATCH($A121&amp;"|סוף שנה",'זה אני - קליטה'!$Z$5:$Z$204,0)),""))</f>
      </c>
      <c r="I121" s="26">
        <f>IF($A121="","",IFERROR(INDEX('זה אני - קליטה'!$AA$5:$AA$204,MATCH($A121&amp;"|סוף שנה",'זה אני - קליטה'!$Z$5:$Z$204,0)),""))</f>
      </c>
      <c r="J121" s="27">
        <f>IF($A121="","",IFERROR(INDEX('זה אני - קליטה'!$AC$5:$AC$204,MATCH($A121&amp;"|סוף שנה",'זה אני - קליטה'!$Z$5:$Z$204,0)),""))</f>
      </c>
      <c r="K121" s="36">
        <f>IF(AND(ISNUMBER(B121),ISNUMBER(H121)),H121-B121,"")</f>
      </c>
      <c r="L121" s="26">
        <f>IF(K121="","",IF(K121&gt;=1,"עלייה",IF(K121&lt;=-1,"ירידה","יציב")))</f>
      </c>
    </row>
    <row r="122" ht="15" customHeight="1" spans="1:12" x14ac:dyDescent="0.25">
      <c r="A122" s="29"/>
      <c r="B122" s="37">
        <f>IF($A122="","",IFERROR(INDEX('זה אני - קליטה'!$AG$5:$AG$204,MATCH($A122&amp;"|תחילת שנה",'זה אני - קליטה'!$Z$5:$Z$204,0)),""))</f>
      </c>
      <c r="C122" s="26">
        <f>IF($A122="","",IFERROR(INDEX('זה אני - קליטה'!$AA$5:$AA$204,MATCH($A122&amp;"|תחילת שנה",'זה אני - קליטה'!$Z$5:$Z$204,0)),""))</f>
      </c>
      <c r="D122" s="27">
        <f>IF($A122="","",IFERROR(INDEX('זה אני - קליטה'!$AC$5:$AC$204,MATCH($A122&amp;"|תחילת שנה",'זה אני - קליטה'!$Z$5:$Z$204,0)),""))</f>
      </c>
      <c r="E122" s="37">
        <f>IF($A122="","",IFERROR(INDEX('זה אני - קליטה'!$AG$5:$AG$204,MATCH($A122&amp;"|אמצע שנה",'זה אני - קליטה'!$Z$5:$Z$204,0)),""))</f>
      </c>
      <c r="F122" s="26">
        <f>IF($A122="","",IFERROR(INDEX('זה אני - קליטה'!$AA$5:$AA$204,MATCH($A122&amp;"|אמצע שנה",'זה אני - קליטה'!$Z$5:$Z$204,0)),""))</f>
      </c>
      <c r="G122" s="27">
        <f>IF($A122="","",IFERROR(INDEX('זה אני - קליטה'!$AC$5:$AC$204,MATCH($A122&amp;"|אמצע שנה",'זה אני - קליטה'!$Z$5:$Z$204,0)),""))</f>
      </c>
      <c r="H122" s="37">
        <f>IF($A122="","",IFERROR(INDEX('זה אני - קליטה'!$AG$5:$AG$204,MATCH($A122&amp;"|סוף שנה",'זה אני - קליטה'!$Z$5:$Z$204,0)),""))</f>
      </c>
      <c r="I122" s="26">
        <f>IF($A122="","",IFERROR(INDEX('זה אני - קליטה'!$AA$5:$AA$204,MATCH($A122&amp;"|סוף שנה",'זה אני - קליטה'!$Z$5:$Z$204,0)),""))</f>
      </c>
      <c r="J122" s="27">
        <f>IF($A122="","",IFERROR(INDEX('זה אני - קליטה'!$AC$5:$AC$204,MATCH($A122&amp;"|סוף שנה",'זה אני - קליטה'!$Z$5:$Z$204,0)),""))</f>
      </c>
      <c r="K122" s="36">
        <f>IF(AND(ISNUMBER(B122),ISNUMBER(H122)),H122-B122,"")</f>
      </c>
      <c r="L122" s="26">
        <f>IF(K122="","",IF(K122&gt;=1,"עלייה",IF(K122&lt;=-1,"ירידה","יציב")))</f>
      </c>
    </row>
    <row r="123" ht="15" customHeight="1" spans="1:12" x14ac:dyDescent="0.25">
      <c r="A123" s="29"/>
      <c r="B123" s="37">
        <f>IF($A123="","",IFERROR(INDEX('זה אני - קליטה'!$AG$5:$AG$204,MATCH($A123&amp;"|תחילת שנה",'זה אני - קליטה'!$Z$5:$Z$204,0)),""))</f>
      </c>
      <c r="C123" s="26">
        <f>IF($A123="","",IFERROR(INDEX('זה אני - קליטה'!$AA$5:$AA$204,MATCH($A123&amp;"|תחילת שנה",'זה אני - קליטה'!$Z$5:$Z$204,0)),""))</f>
      </c>
      <c r="D123" s="27">
        <f>IF($A123="","",IFERROR(INDEX('זה אני - קליטה'!$AC$5:$AC$204,MATCH($A123&amp;"|תחילת שנה",'זה אני - קליטה'!$Z$5:$Z$204,0)),""))</f>
      </c>
      <c r="E123" s="37">
        <f>IF($A123="","",IFERROR(INDEX('זה אני - קליטה'!$AG$5:$AG$204,MATCH($A123&amp;"|אמצע שנה",'זה אני - קליטה'!$Z$5:$Z$204,0)),""))</f>
      </c>
      <c r="F123" s="26">
        <f>IF($A123="","",IFERROR(INDEX('זה אני - קליטה'!$AA$5:$AA$204,MATCH($A123&amp;"|אמצע שנה",'זה אני - קליטה'!$Z$5:$Z$204,0)),""))</f>
      </c>
      <c r="G123" s="27">
        <f>IF($A123="","",IFERROR(INDEX('זה אני - קליטה'!$AC$5:$AC$204,MATCH($A123&amp;"|אמצע שנה",'זה אני - קליטה'!$Z$5:$Z$204,0)),""))</f>
      </c>
      <c r="H123" s="37">
        <f>IF($A123="","",IFERROR(INDEX('זה אני - קליטה'!$AG$5:$AG$204,MATCH($A123&amp;"|סוף שנה",'זה אני - קליטה'!$Z$5:$Z$204,0)),""))</f>
      </c>
      <c r="I123" s="26">
        <f>IF($A123="","",IFERROR(INDEX('זה אני - קליטה'!$AA$5:$AA$204,MATCH($A123&amp;"|סוף שנה",'זה אני - קליטה'!$Z$5:$Z$204,0)),""))</f>
      </c>
      <c r="J123" s="27">
        <f>IF($A123="","",IFERROR(INDEX('זה אני - קליטה'!$AC$5:$AC$204,MATCH($A123&amp;"|סוף שנה",'זה אני - קליטה'!$Z$5:$Z$204,0)),""))</f>
      </c>
      <c r="K123" s="36">
        <f>IF(AND(ISNUMBER(B123),ISNUMBER(H123)),H123-B123,"")</f>
      </c>
      <c r="L123" s="26">
        <f>IF(K123="","",IF(K123&gt;=1,"עלייה",IF(K123&lt;=-1,"ירידה","יציב")))</f>
      </c>
    </row>
    <row r="124" ht="15" customHeight="1" spans="1:12" x14ac:dyDescent="0.25">
      <c r="A124" s="29"/>
      <c r="B124" s="37">
        <f>IF($A124="","",IFERROR(INDEX('זה אני - קליטה'!$AG$5:$AG$204,MATCH($A124&amp;"|תחילת שנה",'זה אני - קליטה'!$Z$5:$Z$204,0)),""))</f>
      </c>
      <c r="C124" s="26">
        <f>IF($A124="","",IFERROR(INDEX('זה אני - קליטה'!$AA$5:$AA$204,MATCH($A124&amp;"|תחילת שנה",'זה אני - קליטה'!$Z$5:$Z$204,0)),""))</f>
      </c>
      <c r="D124" s="27">
        <f>IF($A124="","",IFERROR(INDEX('זה אני - קליטה'!$AC$5:$AC$204,MATCH($A124&amp;"|תחילת שנה",'זה אני - קליטה'!$Z$5:$Z$204,0)),""))</f>
      </c>
      <c r="E124" s="37">
        <f>IF($A124="","",IFERROR(INDEX('זה אני - קליטה'!$AG$5:$AG$204,MATCH($A124&amp;"|אמצע שנה",'זה אני - קליטה'!$Z$5:$Z$204,0)),""))</f>
      </c>
      <c r="F124" s="26">
        <f>IF($A124="","",IFERROR(INDEX('זה אני - קליטה'!$AA$5:$AA$204,MATCH($A124&amp;"|אמצע שנה",'זה אני - קליטה'!$Z$5:$Z$204,0)),""))</f>
      </c>
      <c r="G124" s="27">
        <f>IF($A124="","",IFERROR(INDEX('זה אני - קליטה'!$AC$5:$AC$204,MATCH($A124&amp;"|אמצע שנה",'זה אני - קליטה'!$Z$5:$Z$204,0)),""))</f>
      </c>
      <c r="H124" s="37">
        <f>IF($A124="","",IFERROR(INDEX('זה אני - קליטה'!$AG$5:$AG$204,MATCH($A124&amp;"|סוף שנה",'זה אני - קליטה'!$Z$5:$Z$204,0)),""))</f>
      </c>
      <c r="I124" s="26">
        <f>IF($A124="","",IFERROR(INDEX('זה אני - קליטה'!$AA$5:$AA$204,MATCH($A124&amp;"|סוף שנה",'זה אני - קליטה'!$Z$5:$Z$204,0)),""))</f>
      </c>
      <c r="J124" s="27">
        <f>IF($A124="","",IFERROR(INDEX('זה אני - קליטה'!$AC$5:$AC$204,MATCH($A124&amp;"|סוף שנה",'זה אני - קליטה'!$Z$5:$Z$204,0)),""))</f>
      </c>
      <c r="K124" s="36">
        <f>IF(AND(ISNUMBER(B124),ISNUMBER(H124)),H124-B124,"")</f>
      </c>
      <c r="L124" s="26">
        <f>IF(K124="","",IF(K124&gt;=1,"עלייה",IF(K124&lt;=-1,"ירידה","יציב")))</f>
      </c>
    </row>
    <row r="125" ht="15" customHeight="1" spans="1:12" x14ac:dyDescent="0.25">
      <c r="A125" s="29"/>
      <c r="B125" s="37">
        <f>IF($A125="","",IFERROR(INDEX('זה אני - קליטה'!$AG$5:$AG$204,MATCH($A125&amp;"|תחילת שנה",'זה אני - קליטה'!$Z$5:$Z$204,0)),""))</f>
      </c>
      <c r="C125" s="26">
        <f>IF($A125="","",IFERROR(INDEX('זה אני - קליטה'!$AA$5:$AA$204,MATCH($A125&amp;"|תחילת שנה",'זה אני - קליטה'!$Z$5:$Z$204,0)),""))</f>
      </c>
      <c r="D125" s="27">
        <f>IF($A125="","",IFERROR(INDEX('זה אני - קליטה'!$AC$5:$AC$204,MATCH($A125&amp;"|תחילת שנה",'זה אני - קליטה'!$Z$5:$Z$204,0)),""))</f>
      </c>
      <c r="E125" s="37">
        <f>IF($A125="","",IFERROR(INDEX('זה אני - קליטה'!$AG$5:$AG$204,MATCH($A125&amp;"|אמצע שנה",'זה אני - קליטה'!$Z$5:$Z$204,0)),""))</f>
      </c>
      <c r="F125" s="26">
        <f>IF($A125="","",IFERROR(INDEX('זה אני - קליטה'!$AA$5:$AA$204,MATCH($A125&amp;"|אמצע שנה",'זה אני - קליטה'!$Z$5:$Z$204,0)),""))</f>
      </c>
      <c r="G125" s="27">
        <f>IF($A125="","",IFERROR(INDEX('זה אני - קליטה'!$AC$5:$AC$204,MATCH($A125&amp;"|אמצע שנה",'זה אני - קליטה'!$Z$5:$Z$204,0)),""))</f>
      </c>
      <c r="H125" s="37">
        <f>IF($A125="","",IFERROR(INDEX('זה אני - קליטה'!$AG$5:$AG$204,MATCH($A125&amp;"|סוף שנה",'זה אני - קליטה'!$Z$5:$Z$204,0)),""))</f>
      </c>
      <c r="I125" s="26">
        <f>IF($A125="","",IFERROR(INDEX('זה אני - קליטה'!$AA$5:$AA$204,MATCH($A125&amp;"|סוף שנה",'זה אני - קליטה'!$Z$5:$Z$204,0)),""))</f>
      </c>
      <c r="J125" s="27">
        <f>IF($A125="","",IFERROR(INDEX('זה אני - קליטה'!$AC$5:$AC$204,MATCH($A125&amp;"|סוף שנה",'זה אני - קליטה'!$Z$5:$Z$204,0)),""))</f>
      </c>
      <c r="K125" s="36">
        <f>IF(AND(ISNUMBER(B125),ISNUMBER(H125)),H125-B125,"")</f>
      </c>
      <c r="L125" s="26">
        <f>IF(K125="","",IF(K125&gt;=1,"עלייה",IF(K125&lt;=-1,"ירידה","יציב")))</f>
      </c>
    </row>
    <row r="126" ht="15" customHeight="1" spans="1:12" x14ac:dyDescent="0.25">
      <c r="A126" s="29"/>
      <c r="B126" s="37">
        <f>IF($A126="","",IFERROR(INDEX('זה אני - קליטה'!$AG$5:$AG$204,MATCH($A126&amp;"|תחילת שנה",'זה אני - קליטה'!$Z$5:$Z$204,0)),""))</f>
      </c>
      <c r="C126" s="26">
        <f>IF($A126="","",IFERROR(INDEX('זה אני - קליטה'!$AA$5:$AA$204,MATCH($A126&amp;"|תחילת שנה",'זה אני - קליטה'!$Z$5:$Z$204,0)),""))</f>
      </c>
      <c r="D126" s="27">
        <f>IF($A126="","",IFERROR(INDEX('זה אני - קליטה'!$AC$5:$AC$204,MATCH($A126&amp;"|תחילת שנה",'זה אני - קליטה'!$Z$5:$Z$204,0)),""))</f>
      </c>
      <c r="E126" s="37">
        <f>IF($A126="","",IFERROR(INDEX('זה אני - קליטה'!$AG$5:$AG$204,MATCH($A126&amp;"|אמצע שנה",'זה אני - קליטה'!$Z$5:$Z$204,0)),""))</f>
      </c>
      <c r="F126" s="26">
        <f>IF($A126="","",IFERROR(INDEX('זה אני - קליטה'!$AA$5:$AA$204,MATCH($A126&amp;"|אמצע שנה",'זה אני - קליטה'!$Z$5:$Z$204,0)),""))</f>
      </c>
      <c r="G126" s="27">
        <f>IF($A126="","",IFERROR(INDEX('זה אני - קליטה'!$AC$5:$AC$204,MATCH($A126&amp;"|אמצע שנה",'זה אני - קליטה'!$Z$5:$Z$204,0)),""))</f>
      </c>
      <c r="H126" s="37">
        <f>IF($A126="","",IFERROR(INDEX('זה אני - קליטה'!$AG$5:$AG$204,MATCH($A126&amp;"|סוף שנה",'זה אני - קליטה'!$Z$5:$Z$204,0)),""))</f>
      </c>
      <c r="I126" s="26">
        <f>IF($A126="","",IFERROR(INDEX('זה אני - קליטה'!$AA$5:$AA$204,MATCH($A126&amp;"|סוף שנה",'זה אני - קליטה'!$Z$5:$Z$204,0)),""))</f>
      </c>
      <c r="J126" s="27">
        <f>IF($A126="","",IFERROR(INDEX('זה אני - קליטה'!$AC$5:$AC$204,MATCH($A126&amp;"|סוף שנה",'זה אני - קליטה'!$Z$5:$Z$204,0)),""))</f>
      </c>
      <c r="K126" s="36">
        <f>IF(AND(ISNUMBER(B126),ISNUMBER(H126)),H126-B126,"")</f>
      </c>
      <c r="L126" s="26">
        <f>IF(K126="","",IF(K126&gt;=1,"עלייה",IF(K126&lt;=-1,"ירידה","יציב")))</f>
      </c>
    </row>
    <row r="127" ht="15" customHeight="1" spans="1:12" x14ac:dyDescent="0.25">
      <c r="A127" s="29"/>
      <c r="B127" s="37">
        <f>IF($A127="","",IFERROR(INDEX('זה אני - קליטה'!$AG$5:$AG$204,MATCH($A127&amp;"|תחילת שנה",'זה אני - קליטה'!$Z$5:$Z$204,0)),""))</f>
      </c>
      <c r="C127" s="26">
        <f>IF($A127="","",IFERROR(INDEX('זה אני - קליטה'!$AA$5:$AA$204,MATCH($A127&amp;"|תחילת שנה",'זה אני - קליטה'!$Z$5:$Z$204,0)),""))</f>
      </c>
      <c r="D127" s="27">
        <f>IF($A127="","",IFERROR(INDEX('זה אני - קליטה'!$AC$5:$AC$204,MATCH($A127&amp;"|תחילת שנה",'זה אני - קליטה'!$Z$5:$Z$204,0)),""))</f>
      </c>
      <c r="E127" s="37">
        <f>IF($A127="","",IFERROR(INDEX('זה אני - קליטה'!$AG$5:$AG$204,MATCH($A127&amp;"|אמצע שנה",'זה אני - קליטה'!$Z$5:$Z$204,0)),""))</f>
      </c>
      <c r="F127" s="26">
        <f>IF($A127="","",IFERROR(INDEX('זה אני - קליטה'!$AA$5:$AA$204,MATCH($A127&amp;"|אמצע שנה",'זה אני - קליטה'!$Z$5:$Z$204,0)),""))</f>
      </c>
      <c r="G127" s="27">
        <f>IF($A127="","",IFERROR(INDEX('זה אני - קליטה'!$AC$5:$AC$204,MATCH($A127&amp;"|אמצע שנה",'זה אני - קליטה'!$Z$5:$Z$204,0)),""))</f>
      </c>
      <c r="H127" s="37">
        <f>IF($A127="","",IFERROR(INDEX('זה אני - קליטה'!$AG$5:$AG$204,MATCH($A127&amp;"|סוף שנה",'זה אני - קליטה'!$Z$5:$Z$204,0)),""))</f>
      </c>
      <c r="I127" s="26">
        <f>IF($A127="","",IFERROR(INDEX('זה אני - קליטה'!$AA$5:$AA$204,MATCH($A127&amp;"|סוף שנה",'זה אני - קליטה'!$Z$5:$Z$204,0)),""))</f>
      </c>
      <c r="J127" s="27">
        <f>IF($A127="","",IFERROR(INDEX('זה אני - קליטה'!$AC$5:$AC$204,MATCH($A127&amp;"|סוף שנה",'זה אני - קליטה'!$Z$5:$Z$204,0)),""))</f>
      </c>
      <c r="K127" s="36">
        <f>IF(AND(ISNUMBER(B127),ISNUMBER(H127)),H127-B127,"")</f>
      </c>
      <c r="L127" s="26">
        <f>IF(K127="","",IF(K127&gt;=1,"עלייה",IF(K127&lt;=-1,"ירידה","יציב")))</f>
      </c>
    </row>
    <row r="128" ht="15" customHeight="1" spans="1:12" x14ac:dyDescent="0.25">
      <c r="A128" s="29"/>
      <c r="B128" s="37">
        <f>IF($A128="","",IFERROR(INDEX('זה אני - קליטה'!$AG$5:$AG$204,MATCH($A128&amp;"|תחילת שנה",'זה אני - קליטה'!$Z$5:$Z$204,0)),""))</f>
      </c>
      <c r="C128" s="26">
        <f>IF($A128="","",IFERROR(INDEX('זה אני - קליטה'!$AA$5:$AA$204,MATCH($A128&amp;"|תחילת שנה",'זה אני - קליטה'!$Z$5:$Z$204,0)),""))</f>
      </c>
      <c r="D128" s="27">
        <f>IF($A128="","",IFERROR(INDEX('זה אני - קליטה'!$AC$5:$AC$204,MATCH($A128&amp;"|תחילת שנה",'זה אני - קליטה'!$Z$5:$Z$204,0)),""))</f>
      </c>
      <c r="E128" s="37">
        <f>IF($A128="","",IFERROR(INDEX('זה אני - קליטה'!$AG$5:$AG$204,MATCH($A128&amp;"|אמצע שנה",'זה אני - קליטה'!$Z$5:$Z$204,0)),""))</f>
      </c>
      <c r="F128" s="26">
        <f>IF($A128="","",IFERROR(INDEX('זה אני - קליטה'!$AA$5:$AA$204,MATCH($A128&amp;"|אמצע שנה",'זה אני - קליטה'!$Z$5:$Z$204,0)),""))</f>
      </c>
      <c r="G128" s="27">
        <f>IF($A128="","",IFERROR(INDEX('זה אני - קליטה'!$AC$5:$AC$204,MATCH($A128&amp;"|אמצע שנה",'זה אני - קליטה'!$Z$5:$Z$204,0)),""))</f>
      </c>
      <c r="H128" s="37">
        <f>IF($A128="","",IFERROR(INDEX('זה אני - קליטה'!$AG$5:$AG$204,MATCH($A128&amp;"|סוף שנה",'זה אני - קליטה'!$Z$5:$Z$204,0)),""))</f>
      </c>
      <c r="I128" s="26">
        <f>IF($A128="","",IFERROR(INDEX('זה אני - קליטה'!$AA$5:$AA$204,MATCH($A128&amp;"|סוף שנה",'זה אני - קליטה'!$Z$5:$Z$204,0)),""))</f>
      </c>
      <c r="J128" s="27">
        <f>IF($A128="","",IFERROR(INDEX('זה אני - קליטה'!$AC$5:$AC$204,MATCH($A128&amp;"|סוף שנה",'זה אני - קליטה'!$Z$5:$Z$204,0)),""))</f>
      </c>
      <c r="K128" s="36">
        <f>IF(AND(ISNUMBER(B128),ISNUMBER(H128)),H128-B128,"")</f>
      </c>
      <c r="L128" s="26">
        <f>IF(K128="","",IF(K128&gt;=1,"עלייה",IF(K128&lt;=-1,"ירידה","יציב")))</f>
      </c>
    </row>
    <row r="129" ht="15" customHeight="1" spans="1:12" x14ac:dyDescent="0.25">
      <c r="A129" s="29"/>
      <c r="B129" s="37">
        <f>IF($A129="","",IFERROR(INDEX('זה אני - קליטה'!$AG$5:$AG$204,MATCH($A129&amp;"|תחילת שנה",'זה אני - קליטה'!$Z$5:$Z$204,0)),""))</f>
      </c>
      <c r="C129" s="26">
        <f>IF($A129="","",IFERROR(INDEX('זה אני - קליטה'!$AA$5:$AA$204,MATCH($A129&amp;"|תחילת שנה",'זה אני - קליטה'!$Z$5:$Z$204,0)),""))</f>
      </c>
      <c r="D129" s="27">
        <f>IF($A129="","",IFERROR(INDEX('זה אני - קליטה'!$AC$5:$AC$204,MATCH($A129&amp;"|תחילת שנה",'זה אני - קליטה'!$Z$5:$Z$204,0)),""))</f>
      </c>
      <c r="E129" s="37">
        <f>IF($A129="","",IFERROR(INDEX('זה אני - קליטה'!$AG$5:$AG$204,MATCH($A129&amp;"|אמצע שנה",'זה אני - קליטה'!$Z$5:$Z$204,0)),""))</f>
      </c>
      <c r="F129" s="26">
        <f>IF($A129="","",IFERROR(INDEX('זה אני - קליטה'!$AA$5:$AA$204,MATCH($A129&amp;"|אמצע שנה",'זה אני - קליטה'!$Z$5:$Z$204,0)),""))</f>
      </c>
      <c r="G129" s="27">
        <f>IF($A129="","",IFERROR(INDEX('זה אני - קליטה'!$AC$5:$AC$204,MATCH($A129&amp;"|אמצע שנה",'זה אני - קליטה'!$Z$5:$Z$204,0)),""))</f>
      </c>
      <c r="H129" s="37">
        <f>IF($A129="","",IFERROR(INDEX('זה אני - קליטה'!$AG$5:$AG$204,MATCH($A129&amp;"|סוף שנה",'זה אני - קליטה'!$Z$5:$Z$204,0)),""))</f>
      </c>
      <c r="I129" s="26">
        <f>IF($A129="","",IFERROR(INDEX('זה אני - קליטה'!$AA$5:$AA$204,MATCH($A129&amp;"|סוף שנה",'זה אני - קליטה'!$Z$5:$Z$204,0)),""))</f>
      </c>
      <c r="J129" s="27">
        <f>IF($A129="","",IFERROR(INDEX('זה אני - קליטה'!$AC$5:$AC$204,MATCH($A129&amp;"|סוף שנה",'זה אני - קליטה'!$Z$5:$Z$204,0)),""))</f>
      </c>
      <c r="K129" s="36">
        <f>IF(AND(ISNUMBER(B129),ISNUMBER(H129)),H129-B129,"")</f>
      </c>
      <c r="L129" s="26">
        <f>IF(K129="","",IF(K129&gt;=1,"עלייה",IF(K129&lt;=-1,"ירידה","יציב")))</f>
      </c>
    </row>
    <row r="130" ht="15" customHeight="1" spans="1:12" x14ac:dyDescent="0.25">
      <c r="A130" s="29"/>
      <c r="B130" s="37">
        <f>IF($A130="","",IFERROR(INDEX('זה אני - קליטה'!$AG$5:$AG$204,MATCH($A130&amp;"|תחילת שנה",'זה אני - קליטה'!$Z$5:$Z$204,0)),""))</f>
      </c>
      <c r="C130" s="26">
        <f>IF($A130="","",IFERROR(INDEX('זה אני - קליטה'!$AA$5:$AA$204,MATCH($A130&amp;"|תחילת שנה",'זה אני - קליטה'!$Z$5:$Z$204,0)),""))</f>
      </c>
      <c r="D130" s="27">
        <f>IF($A130="","",IFERROR(INDEX('זה אני - קליטה'!$AC$5:$AC$204,MATCH($A130&amp;"|תחילת שנה",'זה אני - קליטה'!$Z$5:$Z$204,0)),""))</f>
      </c>
      <c r="E130" s="37">
        <f>IF($A130="","",IFERROR(INDEX('זה אני - קליטה'!$AG$5:$AG$204,MATCH($A130&amp;"|אמצע שנה",'זה אני - קליטה'!$Z$5:$Z$204,0)),""))</f>
      </c>
      <c r="F130" s="26">
        <f>IF($A130="","",IFERROR(INDEX('זה אני - קליטה'!$AA$5:$AA$204,MATCH($A130&amp;"|אמצע שנה",'זה אני - קליטה'!$Z$5:$Z$204,0)),""))</f>
      </c>
      <c r="G130" s="27">
        <f>IF($A130="","",IFERROR(INDEX('זה אני - קליטה'!$AC$5:$AC$204,MATCH($A130&amp;"|אמצע שנה",'זה אני - קליטה'!$Z$5:$Z$204,0)),""))</f>
      </c>
      <c r="H130" s="37">
        <f>IF($A130="","",IFERROR(INDEX('זה אני - קליטה'!$AG$5:$AG$204,MATCH($A130&amp;"|סוף שנה",'זה אני - קליטה'!$Z$5:$Z$204,0)),""))</f>
      </c>
      <c r="I130" s="26">
        <f>IF($A130="","",IFERROR(INDEX('זה אני - קליטה'!$AA$5:$AA$204,MATCH($A130&amp;"|סוף שנה",'זה אני - קליטה'!$Z$5:$Z$204,0)),""))</f>
      </c>
      <c r="J130" s="27">
        <f>IF($A130="","",IFERROR(INDEX('זה אני - קליטה'!$AC$5:$AC$204,MATCH($A130&amp;"|סוף שנה",'זה אני - קליטה'!$Z$5:$Z$204,0)),""))</f>
      </c>
      <c r="K130" s="36">
        <f>IF(AND(ISNUMBER(B130),ISNUMBER(H130)),H130-B130,"")</f>
      </c>
      <c r="L130" s="26">
        <f>IF(K130="","",IF(K130&gt;=1,"עלייה",IF(K130&lt;=-1,"ירידה","יציב")))</f>
      </c>
    </row>
    <row r="131" ht="15" customHeight="1" spans="1:12" x14ac:dyDescent="0.25">
      <c r="A131" s="29"/>
      <c r="B131" s="37">
        <f>IF($A131="","",IFERROR(INDEX('זה אני - קליטה'!$AG$5:$AG$204,MATCH($A131&amp;"|תחילת שנה",'זה אני - קליטה'!$Z$5:$Z$204,0)),""))</f>
      </c>
      <c r="C131" s="26">
        <f>IF($A131="","",IFERROR(INDEX('זה אני - קליטה'!$AA$5:$AA$204,MATCH($A131&amp;"|תחילת שנה",'זה אני - קליטה'!$Z$5:$Z$204,0)),""))</f>
      </c>
      <c r="D131" s="27">
        <f>IF($A131="","",IFERROR(INDEX('זה אני - קליטה'!$AC$5:$AC$204,MATCH($A131&amp;"|תחילת שנה",'זה אני - קליטה'!$Z$5:$Z$204,0)),""))</f>
      </c>
      <c r="E131" s="37">
        <f>IF($A131="","",IFERROR(INDEX('זה אני - קליטה'!$AG$5:$AG$204,MATCH($A131&amp;"|אמצע שנה",'זה אני - קליטה'!$Z$5:$Z$204,0)),""))</f>
      </c>
      <c r="F131" s="26">
        <f>IF($A131="","",IFERROR(INDEX('זה אני - קליטה'!$AA$5:$AA$204,MATCH($A131&amp;"|אמצע שנה",'זה אני - קליטה'!$Z$5:$Z$204,0)),""))</f>
      </c>
      <c r="G131" s="27">
        <f>IF($A131="","",IFERROR(INDEX('זה אני - קליטה'!$AC$5:$AC$204,MATCH($A131&amp;"|אמצע שנה",'זה אני - קליטה'!$Z$5:$Z$204,0)),""))</f>
      </c>
      <c r="H131" s="37">
        <f>IF($A131="","",IFERROR(INDEX('זה אני - קליטה'!$AG$5:$AG$204,MATCH($A131&amp;"|סוף שנה",'זה אני - קליטה'!$Z$5:$Z$204,0)),""))</f>
      </c>
      <c r="I131" s="26">
        <f>IF($A131="","",IFERROR(INDEX('זה אני - קליטה'!$AA$5:$AA$204,MATCH($A131&amp;"|סוף שנה",'זה אני - קליטה'!$Z$5:$Z$204,0)),""))</f>
      </c>
      <c r="J131" s="27">
        <f>IF($A131="","",IFERROR(INDEX('זה אני - קליטה'!$AC$5:$AC$204,MATCH($A131&amp;"|סוף שנה",'זה אני - קליטה'!$Z$5:$Z$204,0)),""))</f>
      </c>
      <c r="K131" s="36">
        <f>IF(AND(ISNUMBER(B131),ISNUMBER(H131)),H131-B131,"")</f>
      </c>
      <c r="L131" s="26">
        <f>IF(K131="","",IF(K131&gt;=1,"עלייה",IF(K131&lt;=-1,"ירידה","יציב")))</f>
      </c>
    </row>
    <row r="132" ht="15" customHeight="1" spans="1:12" x14ac:dyDescent="0.25">
      <c r="A132" s="29"/>
      <c r="B132" s="37">
        <f>IF($A132="","",IFERROR(INDEX('זה אני - קליטה'!$AG$5:$AG$204,MATCH($A132&amp;"|תחילת שנה",'זה אני - קליטה'!$Z$5:$Z$204,0)),""))</f>
      </c>
      <c r="C132" s="26">
        <f>IF($A132="","",IFERROR(INDEX('זה אני - קליטה'!$AA$5:$AA$204,MATCH($A132&amp;"|תחילת שנה",'זה אני - קליטה'!$Z$5:$Z$204,0)),""))</f>
      </c>
      <c r="D132" s="27">
        <f>IF($A132="","",IFERROR(INDEX('זה אני - קליטה'!$AC$5:$AC$204,MATCH($A132&amp;"|תחילת שנה",'זה אני - קליטה'!$Z$5:$Z$204,0)),""))</f>
      </c>
      <c r="E132" s="37">
        <f>IF($A132="","",IFERROR(INDEX('זה אני - קליטה'!$AG$5:$AG$204,MATCH($A132&amp;"|אמצע שנה",'זה אני - קליטה'!$Z$5:$Z$204,0)),""))</f>
      </c>
      <c r="F132" s="26">
        <f>IF($A132="","",IFERROR(INDEX('זה אני - קליטה'!$AA$5:$AA$204,MATCH($A132&amp;"|אמצע שנה",'זה אני - קליטה'!$Z$5:$Z$204,0)),""))</f>
      </c>
      <c r="G132" s="27">
        <f>IF($A132="","",IFERROR(INDEX('זה אני - קליטה'!$AC$5:$AC$204,MATCH($A132&amp;"|אמצע שנה",'זה אני - קליטה'!$Z$5:$Z$204,0)),""))</f>
      </c>
      <c r="H132" s="37">
        <f>IF($A132="","",IFERROR(INDEX('זה אני - קליטה'!$AG$5:$AG$204,MATCH($A132&amp;"|סוף שנה",'זה אני - קליטה'!$Z$5:$Z$204,0)),""))</f>
      </c>
      <c r="I132" s="26">
        <f>IF($A132="","",IFERROR(INDEX('זה אני - קליטה'!$AA$5:$AA$204,MATCH($A132&amp;"|סוף שנה",'זה אני - קליטה'!$Z$5:$Z$204,0)),""))</f>
      </c>
      <c r="J132" s="27">
        <f>IF($A132="","",IFERROR(INDEX('זה אני - קליטה'!$AC$5:$AC$204,MATCH($A132&amp;"|סוף שנה",'זה אני - קליטה'!$Z$5:$Z$204,0)),""))</f>
      </c>
      <c r="K132" s="36">
        <f>IF(AND(ISNUMBER(B132),ISNUMBER(H132)),H132-B132,"")</f>
      </c>
      <c r="L132" s="26">
        <f>IF(K132="","",IF(K132&gt;=1,"עלייה",IF(K132&lt;=-1,"ירידה","יציב")))</f>
      </c>
    </row>
    <row r="133" ht="15" customHeight="1" spans="1:12" x14ac:dyDescent="0.25">
      <c r="A133" s="29"/>
      <c r="B133" s="37">
        <f>IF($A133="","",IFERROR(INDEX('זה אני - קליטה'!$AG$5:$AG$204,MATCH($A133&amp;"|תחילת שנה",'זה אני - קליטה'!$Z$5:$Z$204,0)),""))</f>
      </c>
      <c r="C133" s="26">
        <f>IF($A133="","",IFERROR(INDEX('זה אני - קליטה'!$AA$5:$AA$204,MATCH($A133&amp;"|תחילת שנה",'זה אני - קליטה'!$Z$5:$Z$204,0)),""))</f>
      </c>
      <c r="D133" s="27">
        <f>IF($A133="","",IFERROR(INDEX('זה אני - קליטה'!$AC$5:$AC$204,MATCH($A133&amp;"|תחילת שנה",'זה אני - קליטה'!$Z$5:$Z$204,0)),""))</f>
      </c>
      <c r="E133" s="37">
        <f>IF($A133="","",IFERROR(INDEX('זה אני - קליטה'!$AG$5:$AG$204,MATCH($A133&amp;"|אמצע שנה",'זה אני - קליטה'!$Z$5:$Z$204,0)),""))</f>
      </c>
      <c r="F133" s="26">
        <f>IF($A133="","",IFERROR(INDEX('זה אני - קליטה'!$AA$5:$AA$204,MATCH($A133&amp;"|אמצע שנה",'זה אני - קליטה'!$Z$5:$Z$204,0)),""))</f>
      </c>
      <c r="G133" s="27">
        <f>IF($A133="","",IFERROR(INDEX('זה אני - קליטה'!$AC$5:$AC$204,MATCH($A133&amp;"|אמצע שנה",'זה אני - קליטה'!$Z$5:$Z$204,0)),""))</f>
      </c>
      <c r="H133" s="37">
        <f>IF($A133="","",IFERROR(INDEX('זה אני - קליטה'!$AG$5:$AG$204,MATCH($A133&amp;"|סוף שנה",'זה אני - קליטה'!$Z$5:$Z$204,0)),""))</f>
      </c>
      <c r="I133" s="26">
        <f>IF($A133="","",IFERROR(INDEX('זה אני - קליטה'!$AA$5:$AA$204,MATCH($A133&amp;"|סוף שנה",'זה אני - קליטה'!$Z$5:$Z$204,0)),""))</f>
      </c>
      <c r="J133" s="27">
        <f>IF($A133="","",IFERROR(INDEX('זה אני - קליטה'!$AC$5:$AC$204,MATCH($A133&amp;"|סוף שנה",'זה אני - קליטה'!$Z$5:$Z$204,0)),""))</f>
      </c>
      <c r="K133" s="36">
        <f>IF(AND(ISNUMBER(B133),ISNUMBER(H133)),H133-B133,"")</f>
      </c>
      <c r="L133" s="26">
        <f>IF(K133="","",IF(K133&gt;=1,"עלייה",IF(K133&lt;=-1,"ירידה","יציב")))</f>
      </c>
    </row>
    <row r="134" ht="15" customHeight="1" spans="1:12" x14ac:dyDescent="0.25">
      <c r="A134" s="29"/>
      <c r="B134" s="37">
        <f>IF($A134="","",IFERROR(INDEX('זה אני - קליטה'!$AG$5:$AG$204,MATCH($A134&amp;"|תחילת שנה",'זה אני - קליטה'!$Z$5:$Z$204,0)),""))</f>
      </c>
      <c r="C134" s="26">
        <f>IF($A134="","",IFERROR(INDEX('זה אני - קליטה'!$AA$5:$AA$204,MATCH($A134&amp;"|תחילת שנה",'זה אני - קליטה'!$Z$5:$Z$204,0)),""))</f>
      </c>
      <c r="D134" s="27">
        <f>IF($A134="","",IFERROR(INDEX('זה אני - קליטה'!$AC$5:$AC$204,MATCH($A134&amp;"|תחילת שנה",'זה אני - קליטה'!$Z$5:$Z$204,0)),""))</f>
      </c>
      <c r="E134" s="37">
        <f>IF($A134="","",IFERROR(INDEX('זה אני - קליטה'!$AG$5:$AG$204,MATCH($A134&amp;"|אמצע שנה",'זה אני - קליטה'!$Z$5:$Z$204,0)),""))</f>
      </c>
      <c r="F134" s="26">
        <f>IF($A134="","",IFERROR(INDEX('זה אני - קליטה'!$AA$5:$AA$204,MATCH($A134&amp;"|אמצע שנה",'זה אני - קליטה'!$Z$5:$Z$204,0)),""))</f>
      </c>
      <c r="G134" s="27">
        <f>IF($A134="","",IFERROR(INDEX('זה אני - קליטה'!$AC$5:$AC$204,MATCH($A134&amp;"|אמצע שנה",'זה אני - קליטה'!$Z$5:$Z$204,0)),""))</f>
      </c>
      <c r="H134" s="37">
        <f>IF($A134="","",IFERROR(INDEX('זה אני - קליטה'!$AG$5:$AG$204,MATCH($A134&amp;"|סוף שנה",'זה אני - קליטה'!$Z$5:$Z$204,0)),""))</f>
      </c>
      <c r="I134" s="26">
        <f>IF($A134="","",IFERROR(INDEX('זה אני - קליטה'!$AA$5:$AA$204,MATCH($A134&amp;"|סוף שנה",'זה אני - קליטה'!$Z$5:$Z$204,0)),""))</f>
      </c>
      <c r="J134" s="27">
        <f>IF($A134="","",IFERROR(INDEX('זה אני - קליטה'!$AC$5:$AC$204,MATCH($A134&amp;"|סוף שנה",'זה אני - קליטה'!$Z$5:$Z$204,0)),""))</f>
      </c>
      <c r="K134" s="36">
        <f>IF(AND(ISNUMBER(B134),ISNUMBER(H134)),H134-B134,"")</f>
      </c>
      <c r="L134" s="26">
        <f>IF(K134="","",IF(K134&gt;=1,"עלייה",IF(K134&lt;=-1,"ירידה","יציב")))</f>
      </c>
    </row>
    <row r="135" ht="15" customHeight="1" spans="1:12" x14ac:dyDescent="0.25">
      <c r="A135" s="29"/>
      <c r="B135" s="37">
        <f>IF($A135="","",IFERROR(INDEX('זה אני - קליטה'!$AG$5:$AG$204,MATCH($A135&amp;"|תחילת שנה",'זה אני - קליטה'!$Z$5:$Z$204,0)),""))</f>
      </c>
      <c r="C135" s="26">
        <f>IF($A135="","",IFERROR(INDEX('זה אני - קליטה'!$AA$5:$AA$204,MATCH($A135&amp;"|תחילת שנה",'זה אני - קליטה'!$Z$5:$Z$204,0)),""))</f>
      </c>
      <c r="D135" s="27">
        <f>IF($A135="","",IFERROR(INDEX('זה אני - קליטה'!$AC$5:$AC$204,MATCH($A135&amp;"|תחילת שנה",'זה אני - קליטה'!$Z$5:$Z$204,0)),""))</f>
      </c>
      <c r="E135" s="37">
        <f>IF($A135="","",IFERROR(INDEX('זה אני - קליטה'!$AG$5:$AG$204,MATCH($A135&amp;"|אמצע שנה",'זה אני - קליטה'!$Z$5:$Z$204,0)),""))</f>
      </c>
      <c r="F135" s="26">
        <f>IF($A135="","",IFERROR(INDEX('זה אני - קליטה'!$AA$5:$AA$204,MATCH($A135&amp;"|אמצע שנה",'זה אני - קליטה'!$Z$5:$Z$204,0)),""))</f>
      </c>
      <c r="G135" s="27">
        <f>IF($A135="","",IFERROR(INDEX('זה אני - קליטה'!$AC$5:$AC$204,MATCH($A135&amp;"|אמצע שנה",'זה אני - קליטה'!$Z$5:$Z$204,0)),""))</f>
      </c>
      <c r="H135" s="37">
        <f>IF($A135="","",IFERROR(INDEX('זה אני - קליטה'!$AG$5:$AG$204,MATCH($A135&amp;"|סוף שנה",'זה אני - קליטה'!$Z$5:$Z$204,0)),""))</f>
      </c>
      <c r="I135" s="26">
        <f>IF($A135="","",IFERROR(INDEX('זה אני - קליטה'!$AA$5:$AA$204,MATCH($A135&amp;"|סוף שנה",'זה אני - קליטה'!$Z$5:$Z$204,0)),""))</f>
      </c>
      <c r="J135" s="27">
        <f>IF($A135="","",IFERROR(INDEX('זה אני - קליטה'!$AC$5:$AC$204,MATCH($A135&amp;"|סוף שנה",'זה אני - קליטה'!$Z$5:$Z$204,0)),""))</f>
      </c>
      <c r="K135" s="36">
        <f>IF(AND(ISNUMBER(B135),ISNUMBER(H135)),H135-B135,"")</f>
      </c>
      <c r="L135" s="26">
        <f>IF(K135="","",IF(K135&gt;=1,"עלייה",IF(K135&lt;=-1,"ירידה","יציב")))</f>
      </c>
    </row>
    <row r="136" ht="15" customHeight="1" spans="1:12" x14ac:dyDescent="0.25">
      <c r="A136" s="29"/>
      <c r="B136" s="37">
        <f>IF($A136="","",IFERROR(INDEX('זה אני - קליטה'!$AG$5:$AG$204,MATCH($A136&amp;"|תחילת שנה",'זה אני - קליטה'!$Z$5:$Z$204,0)),""))</f>
      </c>
      <c r="C136" s="26">
        <f>IF($A136="","",IFERROR(INDEX('זה אני - קליטה'!$AA$5:$AA$204,MATCH($A136&amp;"|תחילת שנה",'זה אני - קליטה'!$Z$5:$Z$204,0)),""))</f>
      </c>
      <c r="D136" s="27">
        <f>IF($A136="","",IFERROR(INDEX('זה אני - קליטה'!$AC$5:$AC$204,MATCH($A136&amp;"|תחילת שנה",'זה אני - קליטה'!$Z$5:$Z$204,0)),""))</f>
      </c>
      <c r="E136" s="37">
        <f>IF($A136="","",IFERROR(INDEX('זה אני - קליטה'!$AG$5:$AG$204,MATCH($A136&amp;"|אמצע שנה",'זה אני - קליטה'!$Z$5:$Z$204,0)),""))</f>
      </c>
      <c r="F136" s="26">
        <f>IF($A136="","",IFERROR(INDEX('זה אני - קליטה'!$AA$5:$AA$204,MATCH($A136&amp;"|אמצע שנה",'זה אני - קליטה'!$Z$5:$Z$204,0)),""))</f>
      </c>
      <c r="G136" s="27">
        <f>IF($A136="","",IFERROR(INDEX('זה אני - קליטה'!$AC$5:$AC$204,MATCH($A136&amp;"|אמצע שנה",'זה אני - קליטה'!$Z$5:$Z$204,0)),""))</f>
      </c>
      <c r="H136" s="37">
        <f>IF($A136="","",IFERROR(INDEX('זה אני - קליטה'!$AG$5:$AG$204,MATCH($A136&amp;"|סוף שנה",'זה אני - קליטה'!$Z$5:$Z$204,0)),""))</f>
      </c>
      <c r="I136" s="26">
        <f>IF($A136="","",IFERROR(INDEX('זה אני - קליטה'!$AA$5:$AA$204,MATCH($A136&amp;"|סוף שנה",'זה אני - קליטה'!$Z$5:$Z$204,0)),""))</f>
      </c>
      <c r="J136" s="27">
        <f>IF($A136="","",IFERROR(INDEX('זה אני - קליטה'!$AC$5:$AC$204,MATCH($A136&amp;"|סוף שנה",'זה אני - קליטה'!$Z$5:$Z$204,0)),""))</f>
      </c>
      <c r="K136" s="36">
        <f>IF(AND(ISNUMBER(B136),ISNUMBER(H136)),H136-B136,"")</f>
      </c>
      <c r="L136" s="26">
        <f>IF(K136="","",IF(K136&gt;=1,"עלייה",IF(K136&lt;=-1,"ירידה","יציב")))</f>
      </c>
    </row>
    <row r="137" ht="15" customHeight="1" spans="1:12" x14ac:dyDescent="0.25">
      <c r="A137" s="29"/>
      <c r="B137" s="37">
        <f>IF($A137="","",IFERROR(INDEX('זה אני - קליטה'!$AG$5:$AG$204,MATCH($A137&amp;"|תחילת שנה",'זה אני - קליטה'!$Z$5:$Z$204,0)),""))</f>
      </c>
      <c r="C137" s="26">
        <f>IF($A137="","",IFERROR(INDEX('זה אני - קליטה'!$AA$5:$AA$204,MATCH($A137&amp;"|תחילת שנה",'זה אני - קליטה'!$Z$5:$Z$204,0)),""))</f>
      </c>
      <c r="D137" s="27">
        <f>IF($A137="","",IFERROR(INDEX('זה אני - קליטה'!$AC$5:$AC$204,MATCH($A137&amp;"|תחילת שנה",'זה אני - קליטה'!$Z$5:$Z$204,0)),""))</f>
      </c>
      <c r="E137" s="37">
        <f>IF($A137="","",IFERROR(INDEX('זה אני - קליטה'!$AG$5:$AG$204,MATCH($A137&amp;"|אמצע שנה",'זה אני - קליטה'!$Z$5:$Z$204,0)),""))</f>
      </c>
      <c r="F137" s="26">
        <f>IF($A137="","",IFERROR(INDEX('זה אני - קליטה'!$AA$5:$AA$204,MATCH($A137&amp;"|אמצע שנה",'זה אני - קליטה'!$Z$5:$Z$204,0)),""))</f>
      </c>
      <c r="G137" s="27">
        <f>IF($A137="","",IFERROR(INDEX('זה אני - קליטה'!$AC$5:$AC$204,MATCH($A137&amp;"|אמצע שנה",'זה אני - קליטה'!$Z$5:$Z$204,0)),""))</f>
      </c>
      <c r="H137" s="37">
        <f>IF($A137="","",IFERROR(INDEX('זה אני - קליטה'!$AG$5:$AG$204,MATCH($A137&amp;"|סוף שנה",'זה אני - קליטה'!$Z$5:$Z$204,0)),""))</f>
      </c>
      <c r="I137" s="26">
        <f>IF($A137="","",IFERROR(INDEX('זה אני - קליטה'!$AA$5:$AA$204,MATCH($A137&amp;"|סוף שנה",'זה אני - קליטה'!$Z$5:$Z$204,0)),""))</f>
      </c>
      <c r="J137" s="27">
        <f>IF($A137="","",IFERROR(INDEX('זה אני - קליטה'!$AC$5:$AC$204,MATCH($A137&amp;"|סוף שנה",'זה אני - קליטה'!$Z$5:$Z$204,0)),""))</f>
      </c>
      <c r="K137" s="36">
        <f>IF(AND(ISNUMBER(B137),ISNUMBER(H137)),H137-B137,"")</f>
      </c>
      <c r="L137" s="26">
        <f>IF(K137="","",IF(K137&gt;=1,"עלייה",IF(K137&lt;=-1,"ירידה","יציב")))</f>
      </c>
    </row>
    <row r="138" ht="15" customHeight="1" spans="1:12" x14ac:dyDescent="0.25">
      <c r="A138" s="29"/>
      <c r="B138" s="37">
        <f>IF($A138="","",IFERROR(INDEX('זה אני - קליטה'!$AG$5:$AG$204,MATCH($A138&amp;"|תחילת שנה",'זה אני - קליטה'!$Z$5:$Z$204,0)),""))</f>
      </c>
      <c r="C138" s="26">
        <f>IF($A138="","",IFERROR(INDEX('זה אני - קליטה'!$AA$5:$AA$204,MATCH($A138&amp;"|תחילת שנה",'זה אני - קליטה'!$Z$5:$Z$204,0)),""))</f>
      </c>
      <c r="D138" s="27">
        <f>IF($A138="","",IFERROR(INDEX('זה אני - קליטה'!$AC$5:$AC$204,MATCH($A138&amp;"|תחילת שנה",'זה אני - קליטה'!$Z$5:$Z$204,0)),""))</f>
      </c>
      <c r="E138" s="37">
        <f>IF($A138="","",IFERROR(INDEX('זה אני - קליטה'!$AG$5:$AG$204,MATCH($A138&amp;"|אמצע שנה",'זה אני - קליטה'!$Z$5:$Z$204,0)),""))</f>
      </c>
      <c r="F138" s="26">
        <f>IF($A138="","",IFERROR(INDEX('זה אני - קליטה'!$AA$5:$AA$204,MATCH($A138&amp;"|אמצע שנה",'זה אני - קליטה'!$Z$5:$Z$204,0)),""))</f>
      </c>
      <c r="G138" s="27">
        <f>IF($A138="","",IFERROR(INDEX('זה אני - קליטה'!$AC$5:$AC$204,MATCH($A138&amp;"|אמצע שנה",'זה אני - קליטה'!$Z$5:$Z$204,0)),""))</f>
      </c>
      <c r="H138" s="37">
        <f>IF($A138="","",IFERROR(INDEX('זה אני - קליטה'!$AG$5:$AG$204,MATCH($A138&amp;"|סוף שנה",'זה אני - קליטה'!$Z$5:$Z$204,0)),""))</f>
      </c>
      <c r="I138" s="26">
        <f>IF($A138="","",IFERROR(INDEX('זה אני - קליטה'!$AA$5:$AA$204,MATCH($A138&amp;"|סוף שנה",'זה אני - קליטה'!$Z$5:$Z$204,0)),""))</f>
      </c>
      <c r="J138" s="27">
        <f>IF($A138="","",IFERROR(INDEX('זה אני - קליטה'!$AC$5:$AC$204,MATCH($A138&amp;"|סוף שנה",'זה אני - קליטה'!$Z$5:$Z$204,0)),""))</f>
      </c>
      <c r="K138" s="36">
        <f>IF(AND(ISNUMBER(B138),ISNUMBER(H138)),H138-B138,"")</f>
      </c>
      <c r="L138" s="26">
        <f>IF(K138="","",IF(K138&gt;=1,"עלייה",IF(K138&lt;=-1,"ירידה","יציב")))</f>
      </c>
    </row>
    <row r="139" ht="15" customHeight="1" spans="1:12" x14ac:dyDescent="0.25">
      <c r="A139" s="29"/>
      <c r="B139" s="37">
        <f>IF($A139="","",IFERROR(INDEX('זה אני - קליטה'!$AG$5:$AG$204,MATCH($A139&amp;"|תחילת שנה",'זה אני - קליטה'!$Z$5:$Z$204,0)),""))</f>
      </c>
      <c r="C139" s="26">
        <f>IF($A139="","",IFERROR(INDEX('זה אני - קליטה'!$AA$5:$AA$204,MATCH($A139&amp;"|תחילת שנה",'זה אני - קליטה'!$Z$5:$Z$204,0)),""))</f>
      </c>
      <c r="D139" s="27">
        <f>IF($A139="","",IFERROR(INDEX('זה אני - קליטה'!$AC$5:$AC$204,MATCH($A139&amp;"|תחילת שנה",'זה אני - קליטה'!$Z$5:$Z$204,0)),""))</f>
      </c>
      <c r="E139" s="37">
        <f>IF($A139="","",IFERROR(INDEX('זה אני - קליטה'!$AG$5:$AG$204,MATCH($A139&amp;"|אמצע שנה",'זה אני - קליטה'!$Z$5:$Z$204,0)),""))</f>
      </c>
      <c r="F139" s="26">
        <f>IF($A139="","",IFERROR(INDEX('זה אני - קליטה'!$AA$5:$AA$204,MATCH($A139&amp;"|אמצע שנה",'זה אני - קליטה'!$Z$5:$Z$204,0)),""))</f>
      </c>
      <c r="G139" s="27">
        <f>IF($A139="","",IFERROR(INDEX('זה אני - קליטה'!$AC$5:$AC$204,MATCH($A139&amp;"|אמצע שנה",'זה אני - קליטה'!$Z$5:$Z$204,0)),""))</f>
      </c>
      <c r="H139" s="37">
        <f>IF($A139="","",IFERROR(INDEX('זה אני - קליטה'!$AG$5:$AG$204,MATCH($A139&amp;"|סוף שנה",'זה אני - קליטה'!$Z$5:$Z$204,0)),""))</f>
      </c>
      <c r="I139" s="26">
        <f>IF($A139="","",IFERROR(INDEX('זה אני - קליטה'!$AA$5:$AA$204,MATCH($A139&amp;"|סוף שנה",'זה אני - קליטה'!$Z$5:$Z$204,0)),""))</f>
      </c>
      <c r="J139" s="27">
        <f>IF($A139="","",IFERROR(INDEX('זה אני - קליטה'!$AC$5:$AC$204,MATCH($A139&amp;"|סוף שנה",'זה אני - קליטה'!$Z$5:$Z$204,0)),""))</f>
      </c>
      <c r="K139" s="36">
        <f>IF(AND(ISNUMBER(B139),ISNUMBER(H139)),H139-B139,"")</f>
      </c>
      <c r="L139" s="26">
        <f>IF(K139="","",IF(K139&gt;=1,"עלייה",IF(K139&lt;=-1,"ירידה","יציב")))</f>
      </c>
    </row>
    <row r="140" ht="15" customHeight="1" spans="1:12" x14ac:dyDescent="0.25">
      <c r="A140" s="29"/>
      <c r="B140" s="37">
        <f>IF($A140="","",IFERROR(INDEX('זה אני - קליטה'!$AG$5:$AG$204,MATCH($A140&amp;"|תחילת שנה",'זה אני - קליטה'!$Z$5:$Z$204,0)),""))</f>
      </c>
      <c r="C140" s="26">
        <f>IF($A140="","",IFERROR(INDEX('זה אני - קליטה'!$AA$5:$AA$204,MATCH($A140&amp;"|תחילת שנה",'זה אני - קליטה'!$Z$5:$Z$204,0)),""))</f>
      </c>
      <c r="D140" s="27">
        <f>IF($A140="","",IFERROR(INDEX('זה אני - קליטה'!$AC$5:$AC$204,MATCH($A140&amp;"|תחילת שנה",'זה אני - קליטה'!$Z$5:$Z$204,0)),""))</f>
      </c>
      <c r="E140" s="37">
        <f>IF($A140="","",IFERROR(INDEX('זה אני - קליטה'!$AG$5:$AG$204,MATCH($A140&amp;"|אמצע שנה",'זה אני - קליטה'!$Z$5:$Z$204,0)),""))</f>
      </c>
      <c r="F140" s="26">
        <f>IF($A140="","",IFERROR(INDEX('זה אני - קליטה'!$AA$5:$AA$204,MATCH($A140&amp;"|אמצע שנה",'זה אני - קליטה'!$Z$5:$Z$204,0)),""))</f>
      </c>
      <c r="G140" s="27">
        <f>IF($A140="","",IFERROR(INDEX('זה אני - קליטה'!$AC$5:$AC$204,MATCH($A140&amp;"|אמצע שנה",'זה אני - קליטה'!$Z$5:$Z$204,0)),""))</f>
      </c>
      <c r="H140" s="37">
        <f>IF($A140="","",IFERROR(INDEX('זה אני - קליטה'!$AG$5:$AG$204,MATCH($A140&amp;"|סוף שנה",'זה אני - קליטה'!$Z$5:$Z$204,0)),""))</f>
      </c>
      <c r="I140" s="26">
        <f>IF($A140="","",IFERROR(INDEX('זה אני - קליטה'!$AA$5:$AA$204,MATCH($A140&amp;"|סוף שנה",'זה אני - קליטה'!$Z$5:$Z$204,0)),""))</f>
      </c>
      <c r="J140" s="27">
        <f>IF($A140="","",IFERROR(INDEX('זה אני - קליטה'!$AC$5:$AC$204,MATCH($A140&amp;"|סוף שנה",'זה אני - קליטה'!$Z$5:$Z$204,0)),""))</f>
      </c>
      <c r="K140" s="36">
        <f>IF(AND(ISNUMBER(B140),ISNUMBER(H140)),H140-B140,"")</f>
      </c>
      <c r="L140" s="26">
        <f>IF(K140="","",IF(K140&gt;=1,"עלייה",IF(K140&lt;=-1,"ירידה","יציב")))</f>
      </c>
    </row>
    <row r="141" ht="15" customHeight="1" spans="1:12" x14ac:dyDescent="0.25">
      <c r="A141" s="29"/>
      <c r="B141" s="37">
        <f>IF($A141="","",IFERROR(INDEX('זה אני - קליטה'!$AG$5:$AG$204,MATCH($A141&amp;"|תחילת שנה",'זה אני - קליטה'!$Z$5:$Z$204,0)),""))</f>
      </c>
      <c r="C141" s="26">
        <f>IF($A141="","",IFERROR(INDEX('זה אני - קליטה'!$AA$5:$AA$204,MATCH($A141&amp;"|תחילת שנה",'זה אני - קליטה'!$Z$5:$Z$204,0)),""))</f>
      </c>
      <c r="D141" s="27">
        <f>IF($A141="","",IFERROR(INDEX('זה אני - קליטה'!$AC$5:$AC$204,MATCH($A141&amp;"|תחילת שנה",'זה אני - קליטה'!$Z$5:$Z$204,0)),""))</f>
      </c>
      <c r="E141" s="37">
        <f>IF($A141="","",IFERROR(INDEX('זה אני - קליטה'!$AG$5:$AG$204,MATCH($A141&amp;"|אמצע שנה",'זה אני - קליטה'!$Z$5:$Z$204,0)),""))</f>
      </c>
      <c r="F141" s="26">
        <f>IF($A141="","",IFERROR(INDEX('זה אני - קליטה'!$AA$5:$AA$204,MATCH($A141&amp;"|אמצע שנה",'זה אני - קליטה'!$Z$5:$Z$204,0)),""))</f>
      </c>
      <c r="G141" s="27">
        <f>IF($A141="","",IFERROR(INDEX('זה אני - קליטה'!$AC$5:$AC$204,MATCH($A141&amp;"|אמצע שנה",'זה אני - קליטה'!$Z$5:$Z$204,0)),""))</f>
      </c>
      <c r="H141" s="37">
        <f>IF($A141="","",IFERROR(INDEX('זה אני - קליטה'!$AG$5:$AG$204,MATCH($A141&amp;"|סוף שנה",'זה אני - קליטה'!$Z$5:$Z$204,0)),""))</f>
      </c>
      <c r="I141" s="26">
        <f>IF($A141="","",IFERROR(INDEX('זה אני - קליטה'!$AA$5:$AA$204,MATCH($A141&amp;"|סוף שנה",'זה אני - קליטה'!$Z$5:$Z$204,0)),""))</f>
      </c>
      <c r="J141" s="27">
        <f>IF($A141="","",IFERROR(INDEX('זה אני - קליטה'!$AC$5:$AC$204,MATCH($A141&amp;"|סוף שנה",'זה אני - קליטה'!$Z$5:$Z$204,0)),""))</f>
      </c>
      <c r="K141" s="36">
        <f>IF(AND(ISNUMBER(B141),ISNUMBER(H141)),H141-B141,"")</f>
      </c>
      <c r="L141" s="26">
        <f>IF(K141="","",IF(K141&gt;=1,"עלייה",IF(K141&lt;=-1,"ירידה","יציב")))</f>
      </c>
    </row>
    <row r="142" ht="15" customHeight="1" spans="1:12" x14ac:dyDescent="0.25">
      <c r="A142" s="29"/>
      <c r="B142" s="37">
        <f>IF($A142="","",IFERROR(INDEX('זה אני - קליטה'!$AG$5:$AG$204,MATCH($A142&amp;"|תחילת שנה",'זה אני - קליטה'!$Z$5:$Z$204,0)),""))</f>
      </c>
      <c r="C142" s="26">
        <f>IF($A142="","",IFERROR(INDEX('זה אני - קליטה'!$AA$5:$AA$204,MATCH($A142&amp;"|תחילת שנה",'זה אני - קליטה'!$Z$5:$Z$204,0)),""))</f>
      </c>
      <c r="D142" s="27">
        <f>IF($A142="","",IFERROR(INDEX('זה אני - קליטה'!$AC$5:$AC$204,MATCH($A142&amp;"|תחילת שנה",'זה אני - קליטה'!$Z$5:$Z$204,0)),""))</f>
      </c>
      <c r="E142" s="37">
        <f>IF($A142="","",IFERROR(INDEX('זה אני - קליטה'!$AG$5:$AG$204,MATCH($A142&amp;"|אמצע שנה",'זה אני - קליטה'!$Z$5:$Z$204,0)),""))</f>
      </c>
      <c r="F142" s="26">
        <f>IF($A142="","",IFERROR(INDEX('זה אני - קליטה'!$AA$5:$AA$204,MATCH($A142&amp;"|אמצע שנה",'זה אני - קליטה'!$Z$5:$Z$204,0)),""))</f>
      </c>
      <c r="G142" s="27">
        <f>IF($A142="","",IFERROR(INDEX('זה אני - קליטה'!$AC$5:$AC$204,MATCH($A142&amp;"|אמצע שנה",'זה אני - קליטה'!$Z$5:$Z$204,0)),""))</f>
      </c>
      <c r="H142" s="37">
        <f>IF($A142="","",IFERROR(INDEX('זה אני - קליטה'!$AG$5:$AG$204,MATCH($A142&amp;"|סוף שנה",'זה אני - קליטה'!$Z$5:$Z$204,0)),""))</f>
      </c>
      <c r="I142" s="26">
        <f>IF($A142="","",IFERROR(INDEX('זה אני - קליטה'!$AA$5:$AA$204,MATCH($A142&amp;"|סוף שנה",'זה אני - קליטה'!$Z$5:$Z$204,0)),""))</f>
      </c>
      <c r="J142" s="27">
        <f>IF($A142="","",IFERROR(INDEX('זה אני - קליטה'!$AC$5:$AC$204,MATCH($A142&amp;"|סוף שנה",'זה אני - קליטה'!$Z$5:$Z$204,0)),""))</f>
      </c>
      <c r="K142" s="36">
        <f>IF(AND(ISNUMBER(B142),ISNUMBER(H142)),H142-B142,"")</f>
      </c>
      <c r="L142" s="26">
        <f>IF(K142="","",IF(K142&gt;=1,"עלייה",IF(K142&lt;=-1,"ירידה","יציב")))</f>
      </c>
    </row>
    <row r="143" ht="15" customHeight="1" spans="1:12" x14ac:dyDescent="0.25">
      <c r="A143" s="29"/>
      <c r="B143" s="37">
        <f>IF($A143="","",IFERROR(INDEX('זה אני - קליטה'!$AG$5:$AG$204,MATCH($A143&amp;"|תחילת שנה",'זה אני - קליטה'!$Z$5:$Z$204,0)),""))</f>
      </c>
      <c r="C143" s="26">
        <f>IF($A143="","",IFERROR(INDEX('זה אני - קליטה'!$AA$5:$AA$204,MATCH($A143&amp;"|תחילת שנה",'זה אני - קליטה'!$Z$5:$Z$204,0)),""))</f>
      </c>
      <c r="D143" s="27">
        <f>IF($A143="","",IFERROR(INDEX('זה אני - קליטה'!$AC$5:$AC$204,MATCH($A143&amp;"|תחילת שנה",'זה אני - קליטה'!$Z$5:$Z$204,0)),""))</f>
      </c>
      <c r="E143" s="37">
        <f>IF($A143="","",IFERROR(INDEX('זה אני - קליטה'!$AG$5:$AG$204,MATCH($A143&amp;"|אמצע שנה",'זה אני - קליטה'!$Z$5:$Z$204,0)),""))</f>
      </c>
      <c r="F143" s="26">
        <f>IF($A143="","",IFERROR(INDEX('זה אני - קליטה'!$AA$5:$AA$204,MATCH($A143&amp;"|אמצע שנה",'זה אני - קליטה'!$Z$5:$Z$204,0)),""))</f>
      </c>
      <c r="G143" s="27">
        <f>IF($A143="","",IFERROR(INDEX('זה אני - קליטה'!$AC$5:$AC$204,MATCH($A143&amp;"|אמצע שנה",'זה אני - קליטה'!$Z$5:$Z$204,0)),""))</f>
      </c>
      <c r="H143" s="37">
        <f>IF($A143="","",IFERROR(INDEX('זה אני - קליטה'!$AG$5:$AG$204,MATCH($A143&amp;"|סוף שנה",'זה אני - קליטה'!$Z$5:$Z$204,0)),""))</f>
      </c>
      <c r="I143" s="26">
        <f>IF($A143="","",IFERROR(INDEX('זה אני - קליטה'!$AA$5:$AA$204,MATCH($A143&amp;"|סוף שנה",'זה אני - קליטה'!$Z$5:$Z$204,0)),""))</f>
      </c>
      <c r="J143" s="27">
        <f>IF($A143="","",IFERROR(INDEX('זה אני - קליטה'!$AC$5:$AC$204,MATCH($A143&amp;"|סוף שנה",'זה אני - קליטה'!$Z$5:$Z$204,0)),""))</f>
      </c>
      <c r="K143" s="36">
        <f>IF(AND(ISNUMBER(B143),ISNUMBER(H143)),H143-B143,"")</f>
      </c>
      <c r="L143" s="26">
        <f>IF(K143="","",IF(K143&gt;=1,"עלייה",IF(K143&lt;=-1,"ירידה","יציב")))</f>
      </c>
    </row>
    <row r="144" ht="15" customHeight="1" spans="1:12" x14ac:dyDescent="0.25">
      <c r="A144" s="29"/>
      <c r="B144" s="37">
        <f>IF($A144="","",IFERROR(INDEX('זה אני - קליטה'!$AG$5:$AG$204,MATCH($A144&amp;"|תחילת שנה",'זה אני - קליטה'!$Z$5:$Z$204,0)),""))</f>
      </c>
      <c r="C144" s="26">
        <f>IF($A144="","",IFERROR(INDEX('זה אני - קליטה'!$AA$5:$AA$204,MATCH($A144&amp;"|תחילת שנה",'זה אני - קליטה'!$Z$5:$Z$204,0)),""))</f>
      </c>
      <c r="D144" s="27">
        <f>IF($A144="","",IFERROR(INDEX('זה אני - קליטה'!$AC$5:$AC$204,MATCH($A144&amp;"|תחילת שנה",'זה אני - קליטה'!$Z$5:$Z$204,0)),""))</f>
      </c>
      <c r="E144" s="37">
        <f>IF($A144="","",IFERROR(INDEX('זה אני - קליטה'!$AG$5:$AG$204,MATCH($A144&amp;"|אמצע שנה",'זה אני - קליטה'!$Z$5:$Z$204,0)),""))</f>
      </c>
      <c r="F144" s="26">
        <f>IF($A144="","",IFERROR(INDEX('זה אני - קליטה'!$AA$5:$AA$204,MATCH($A144&amp;"|אמצע שנה",'זה אני - קליטה'!$Z$5:$Z$204,0)),""))</f>
      </c>
      <c r="G144" s="27">
        <f>IF($A144="","",IFERROR(INDEX('זה אני - קליטה'!$AC$5:$AC$204,MATCH($A144&amp;"|אמצע שנה",'זה אני - קליטה'!$Z$5:$Z$204,0)),""))</f>
      </c>
      <c r="H144" s="37">
        <f>IF($A144="","",IFERROR(INDEX('זה אני - קליטה'!$AG$5:$AG$204,MATCH($A144&amp;"|סוף שנה",'זה אני - קליטה'!$Z$5:$Z$204,0)),""))</f>
      </c>
      <c r="I144" s="26">
        <f>IF($A144="","",IFERROR(INDEX('זה אני - קליטה'!$AA$5:$AA$204,MATCH($A144&amp;"|סוף שנה",'זה אני - קליטה'!$Z$5:$Z$204,0)),""))</f>
      </c>
      <c r="J144" s="27">
        <f>IF($A144="","",IFERROR(INDEX('זה אני - קליטה'!$AC$5:$AC$204,MATCH($A144&amp;"|סוף שנה",'זה אני - קליטה'!$Z$5:$Z$204,0)),""))</f>
      </c>
      <c r="K144" s="36">
        <f>IF(AND(ISNUMBER(B144),ISNUMBER(H144)),H144-B144,"")</f>
      </c>
      <c r="L144" s="26">
        <f>IF(K144="","",IF(K144&gt;=1,"עלייה",IF(K144&lt;=-1,"ירידה","יציב")))</f>
      </c>
    </row>
    <row r="145" ht="15" customHeight="1" spans="1:12" x14ac:dyDescent="0.25">
      <c r="A145" s="29"/>
      <c r="B145" s="37">
        <f>IF($A145="","",IFERROR(INDEX('זה אני - קליטה'!$AG$5:$AG$204,MATCH($A145&amp;"|תחילת שנה",'זה אני - קליטה'!$Z$5:$Z$204,0)),""))</f>
      </c>
      <c r="C145" s="26">
        <f>IF($A145="","",IFERROR(INDEX('זה אני - קליטה'!$AA$5:$AA$204,MATCH($A145&amp;"|תחילת שנה",'זה אני - קליטה'!$Z$5:$Z$204,0)),""))</f>
      </c>
      <c r="D145" s="27">
        <f>IF($A145="","",IFERROR(INDEX('זה אני - קליטה'!$AC$5:$AC$204,MATCH($A145&amp;"|תחילת שנה",'זה אני - קליטה'!$Z$5:$Z$204,0)),""))</f>
      </c>
      <c r="E145" s="37">
        <f>IF($A145="","",IFERROR(INDEX('זה אני - קליטה'!$AG$5:$AG$204,MATCH($A145&amp;"|אמצע שנה",'זה אני - קליטה'!$Z$5:$Z$204,0)),""))</f>
      </c>
      <c r="F145" s="26">
        <f>IF($A145="","",IFERROR(INDEX('זה אני - קליטה'!$AA$5:$AA$204,MATCH($A145&amp;"|אמצע שנה",'זה אני - קליטה'!$Z$5:$Z$204,0)),""))</f>
      </c>
      <c r="G145" s="27">
        <f>IF($A145="","",IFERROR(INDEX('זה אני - קליטה'!$AC$5:$AC$204,MATCH($A145&amp;"|אמצע שנה",'זה אני - קליטה'!$Z$5:$Z$204,0)),""))</f>
      </c>
      <c r="H145" s="37">
        <f>IF($A145="","",IFERROR(INDEX('זה אני - קליטה'!$AG$5:$AG$204,MATCH($A145&amp;"|סוף שנה",'זה אני - קליטה'!$Z$5:$Z$204,0)),""))</f>
      </c>
      <c r="I145" s="26">
        <f>IF($A145="","",IFERROR(INDEX('זה אני - קליטה'!$AA$5:$AA$204,MATCH($A145&amp;"|סוף שנה",'זה אני - קליטה'!$Z$5:$Z$204,0)),""))</f>
      </c>
      <c r="J145" s="27">
        <f>IF($A145="","",IFERROR(INDEX('זה אני - קליטה'!$AC$5:$AC$204,MATCH($A145&amp;"|סוף שנה",'זה אני - קליטה'!$Z$5:$Z$204,0)),""))</f>
      </c>
      <c r="K145" s="36">
        <f>IF(AND(ISNUMBER(B145),ISNUMBER(H145)),H145-B145,"")</f>
      </c>
      <c r="L145" s="26">
        <f>IF(K145="","",IF(K145&gt;=1,"עלייה",IF(K145&lt;=-1,"ירידה","יציב")))</f>
      </c>
    </row>
    <row r="146" ht="15" customHeight="1" spans="1:12" x14ac:dyDescent="0.25">
      <c r="A146" s="29"/>
      <c r="B146" s="37">
        <f>IF($A146="","",IFERROR(INDEX('זה אני - קליטה'!$AG$5:$AG$204,MATCH($A146&amp;"|תחילת שנה",'זה אני - קליטה'!$Z$5:$Z$204,0)),""))</f>
      </c>
      <c r="C146" s="26">
        <f>IF($A146="","",IFERROR(INDEX('זה אני - קליטה'!$AA$5:$AA$204,MATCH($A146&amp;"|תחילת שנה",'זה אני - קליטה'!$Z$5:$Z$204,0)),""))</f>
      </c>
      <c r="D146" s="27">
        <f>IF($A146="","",IFERROR(INDEX('זה אני - קליטה'!$AC$5:$AC$204,MATCH($A146&amp;"|תחילת שנה",'זה אני - קליטה'!$Z$5:$Z$204,0)),""))</f>
      </c>
      <c r="E146" s="37">
        <f>IF($A146="","",IFERROR(INDEX('זה אני - קליטה'!$AG$5:$AG$204,MATCH($A146&amp;"|אמצע שנה",'זה אני - קליטה'!$Z$5:$Z$204,0)),""))</f>
      </c>
      <c r="F146" s="26">
        <f>IF($A146="","",IFERROR(INDEX('זה אני - קליטה'!$AA$5:$AA$204,MATCH($A146&amp;"|אמצע שנה",'זה אני - קליטה'!$Z$5:$Z$204,0)),""))</f>
      </c>
      <c r="G146" s="27">
        <f>IF($A146="","",IFERROR(INDEX('זה אני - קליטה'!$AC$5:$AC$204,MATCH($A146&amp;"|אמצע שנה",'זה אני - קליטה'!$Z$5:$Z$204,0)),""))</f>
      </c>
      <c r="H146" s="37">
        <f>IF($A146="","",IFERROR(INDEX('זה אני - קליטה'!$AG$5:$AG$204,MATCH($A146&amp;"|סוף שנה",'זה אני - קליטה'!$Z$5:$Z$204,0)),""))</f>
      </c>
      <c r="I146" s="26">
        <f>IF($A146="","",IFERROR(INDEX('זה אני - קליטה'!$AA$5:$AA$204,MATCH($A146&amp;"|סוף שנה",'זה אני - קליטה'!$Z$5:$Z$204,0)),""))</f>
      </c>
      <c r="J146" s="27">
        <f>IF($A146="","",IFERROR(INDEX('זה אני - קליטה'!$AC$5:$AC$204,MATCH($A146&amp;"|סוף שנה",'זה אני - קליטה'!$Z$5:$Z$204,0)),""))</f>
      </c>
      <c r="K146" s="36">
        <f>IF(AND(ISNUMBER(B146),ISNUMBER(H146)),H146-B146,"")</f>
      </c>
      <c r="L146" s="26">
        <f>IF(K146="","",IF(K146&gt;=1,"עלייה",IF(K146&lt;=-1,"ירידה","יציב")))</f>
      </c>
    </row>
    <row r="147" ht="15" customHeight="1" spans="1:12" x14ac:dyDescent="0.25">
      <c r="A147" s="29"/>
      <c r="B147" s="37">
        <f>IF($A147="","",IFERROR(INDEX('זה אני - קליטה'!$AG$5:$AG$204,MATCH($A147&amp;"|תחילת שנה",'זה אני - קליטה'!$Z$5:$Z$204,0)),""))</f>
      </c>
      <c r="C147" s="26">
        <f>IF($A147="","",IFERROR(INDEX('זה אני - קליטה'!$AA$5:$AA$204,MATCH($A147&amp;"|תחילת שנה",'זה אני - קליטה'!$Z$5:$Z$204,0)),""))</f>
      </c>
      <c r="D147" s="27">
        <f>IF($A147="","",IFERROR(INDEX('זה אני - קליטה'!$AC$5:$AC$204,MATCH($A147&amp;"|תחילת שנה",'זה אני - קליטה'!$Z$5:$Z$204,0)),""))</f>
      </c>
      <c r="E147" s="37">
        <f>IF($A147="","",IFERROR(INDEX('זה אני - קליטה'!$AG$5:$AG$204,MATCH($A147&amp;"|אמצע שנה",'זה אני - קליטה'!$Z$5:$Z$204,0)),""))</f>
      </c>
      <c r="F147" s="26">
        <f>IF($A147="","",IFERROR(INDEX('זה אני - קליטה'!$AA$5:$AA$204,MATCH($A147&amp;"|אמצע שנה",'זה אני - קליטה'!$Z$5:$Z$204,0)),""))</f>
      </c>
      <c r="G147" s="27">
        <f>IF($A147="","",IFERROR(INDEX('זה אני - קליטה'!$AC$5:$AC$204,MATCH($A147&amp;"|אמצע שנה",'זה אני - קליטה'!$Z$5:$Z$204,0)),""))</f>
      </c>
      <c r="H147" s="37">
        <f>IF($A147="","",IFERROR(INDEX('זה אני - קליטה'!$AG$5:$AG$204,MATCH($A147&amp;"|סוף שנה",'זה אני - קליטה'!$Z$5:$Z$204,0)),""))</f>
      </c>
      <c r="I147" s="26">
        <f>IF($A147="","",IFERROR(INDEX('זה אני - קליטה'!$AA$5:$AA$204,MATCH($A147&amp;"|סוף שנה",'זה אני - קליטה'!$Z$5:$Z$204,0)),""))</f>
      </c>
      <c r="J147" s="27">
        <f>IF($A147="","",IFERROR(INDEX('זה אני - קליטה'!$AC$5:$AC$204,MATCH($A147&amp;"|סוף שנה",'זה אני - קליטה'!$Z$5:$Z$204,0)),""))</f>
      </c>
      <c r="K147" s="36">
        <f>IF(AND(ISNUMBER(B147),ISNUMBER(H147)),H147-B147,"")</f>
      </c>
      <c r="L147" s="26">
        <f>IF(K147="","",IF(K147&gt;=1,"עלייה",IF(K147&lt;=-1,"ירידה","יציב")))</f>
      </c>
    </row>
    <row r="148" ht="15" customHeight="1" spans="1:12" x14ac:dyDescent="0.25">
      <c r="A148" s="29"/>
      <c r="B148" s="37">
        <f>IF($A148="","",IFERROR(INDEX('זה אני - קליטה'!$AG$5:$AG$204,MATCH($A148&amp;"|תחילת שנה",'זה אני - קליטה'!$Z$5:$Z$204,0)),""))</f>
      </c>
      <c r="C148" s="26">
        <f>IF($A148="","",IFERROR(INDEX('זה אני - קליטה'!$AA$5:$AA$204,MATCH($A148&amp;"|תחילת שנה",'זה אני - קליטה'!$Z$5:$Z$204,0)),""))</f>
      </c>
      <c r="D148" s="27">
        <f>IF($A148="","",IFERROR(INDEX('זה אני - קליטה'!$AC$5:$AC$204,MATCH($A148&amp;"|תחילת שנה",'זה אני - קליטה'!$Z$5:$Z$204,0)),""))</f>
      </c>
      <c r="E148" s="37">
        <f>IF($A148="","",IFERROR(INDEX('זה אני - קליטה'!$AG$5:$AG$204,MATCH($A148&amp;"|אמצע שנה",'זה אני - קליטה'!$Z$5:$Z$204,0)),""))</f>
      </c>
      <c r="F148" s="26">
        <f>IF($A148="","",IFERROR(INDEX('זה אני - קליטה'!$AA$5:$AA$204,MATCH($A148&amp;"|אמצע שנה",'זה אני - קליטה'!$Z$5:$Z$204,0)),""))</f>
      </c>
      <c r="G148" s="27">
        <f>IF($A148="","",IFERROR(INDEX('זה אני - קליטה'!$AC$5:$AC$204,MATCH($A148&amp;"|אמצע שנה",'זה אני - קליטה'!$Z$5:$Z$204,0)),""))</f>
      </c>
      <c r="H148" s="37">
        <f>IF($A148="","",IFERROR(INDEX('זה אני - קליטה'!$AG$5:$AG$204,MATCH($A148&amp;"|סוף שנה",'זה אני - קליטה'!$Z$5:$Z$204,0)),""))</f>
      </c>
      <c r="I148" s="26">
        <f>IF($A148="","",IFERROR(INDEX('זה אני - קליטה'!$AA$5:$AA$204,MATCH($A148&amp;"|סוף שנה",'זה אני - קליטה'!$Z$5:$Z$204,0)),""))</f>
      </c>
      <c r="J148" s="27">
        <f>IF($A148="","",IFERROR(INDEX('זה אני - קליטה'!$AC$5:$AC$204,MATCH($A148&amp;"|סוף שנה",'זה אני - קליטה'!$Z$5:$Z$204,0)),""))</f>
      </c>
      <c r="K148" s="36">
        <f>IF(AND(ISNUMBER(B148),ISNUMBER(H148)),H148-B148,"")</f>
      </c>
      <c r="L148" s="26">
        <f>IF(K148="","",IF(K148&gt;=1,"עלייה",IF(K148&lt;=-1,"ירידה","יציב")))</f>
      </c>
    </row>
    <row r="149" ht="15" customHeight="1" spans="1:12" x14ac:dyDescent="0.25">
      <c r="A149" s="29"/>
      <c r="B149" s="37">
        <f>IF($A149="","",IFERROR(INDEX('זה אני - קליטה'!$AG$5:$AG$204,MATCH($A149&amp;"|תחילת שנה",'זה אני - קליטה'!$Z$5:$Z$204,0)),""))</f>
      </c>
      <c r="C149" s="26">
        <f>IF($A149="","",IFERROR(INDEX('זה אני - קליטה'!$AA$5:$AA$204,MATCH($A149&amp;"|תחילת שנה",'זה אני - קליטה'!$Z$5:$Z$204,0)),""))</f>
      </c>
      <c r="D149" s="27">
        <f>IF($A149="","",IFERROR(INDEX('זה אני - קליטה'!$AC$5:$AC$204,MATCH($A149&amp;"|תחילת שנה",'זה אני - קליטה'!$Z$5:$Z$204,0)),""))</f>
      </c>
      <c r="E149" s="37">
        <f>IF($A149="","",IFERROR(INDEX('זה אני - קליטה'!$AG$5:$AG$204,MATCH($A149&amp;"|אמצע שנה",'זה אני - קליטה'!$Z$5:$Z$204,0)),""))</f>
      </c>
      <c r="F149" s="26">
        <f>IF($A149="","",IFERROR(INDEX('זה אני - קליטה'!$AA$5:$AA$204,MATCH($A149&amp;"|אמצע שנה",'זה אני - קליטה'!$Z$5:$Z$204,0)),""))</f>
      </c>
      <c r="G149" s="27">
        <f>IF($A149="","",IFERROR(INDEX('זה אני - קליטה'!$AC$5:$AC$204,MATCH($A149&amp;"|אמצע שנה",'זה אני - קליטה'!$Z$5:$Z$204,0)),""))</f>
      </c>
      <c r="H149" s="37">
        <f>IF($A149="","",IFERROR(INDEX('זה אני - קליטה'!$AG$5:$AG$204,MATCH($A149&amp;"|סוף שנה",'זה אני - קליטה'!$Z$5:$Z$204,0)),""))</f>
      </c>
      <c r="I149" s="26">
        <f>IF($A149="","",IFERROR(INDEX('זה אני - קליטה'!$AA$5:$AA$204,MATCH($A149&amp;"|סוף שנה",'זה אני - קליטה'!$Z$5:$Z$204,0)),""))</f>
      </c>
      <c r="J149" s="27">
        <f>IF($A149="","",IFERROR(INDEX('זה אני - קליטה'!$AC$5:$AC$204,MATCH($A149&amp;"|סוף שנה",'זה אני - קליטה'!$Z$5:$Z$204,0)),""))</f>
      </c>
      <c r="K149" s="36">
        <f>IF(AND(ISNUMBER(B149),ISNUMBER(H149)),H149-B149,"")</f>
      </c>
      <c r="L149" s="26">
        <f>IF(K149="","",IF(K149&gt;=1,"עלייה",IF(K149&lt;=-1,"ירידה","יציב")))</f>
      </c>
    </row>
    <row r="150" ht="15" customHeight="1" spans="1:12" x14ac:dyDescent="0.25">
      <c r="A150" s="29"/>
      <c r="B150" s="37">
        <f>IF($A150="","",IFERROR(INDEX('זה אני - קליטה'!$AG$5:$AG$204,MATCH($A150&amp;"|תחילת שנה",'זה אני - קליטה'!$Z$5:$Z$204,0)),""))</f>
      </c>
      <c r="C150" s="26">
        <f>IF($A150="","",IFERROR(INDEX('זה אני - קליטה'!$AA$5:$AA$204,MATCH($A150&amp;"|תחילת שנה",'זה אני - קליטה'!$Z$5:$Z$204,0)),""))</f>
      </c>
      <c r="D150" s="27">
        <f>IF($A150="","",IFERROR(INDEX('זה אני - קליטה'!$AC$5:$AC$204,MATCH($A150&amp;"|תחילת שנה",'זה אני - קליטה'!$Z$5:$Z$204,0)),""))</f>
      </c>
      <c r="E150" s="37">
        <f>IF($A150="","",IFERROR(INDEX('זה אני - קליטה'!$AG$5:$AG$204,MATCH($A150&amp;"|אמצע שנה",'זה אני - קליטה'!$Z$5:$Z$204,0)),""))</f>
      </c>
      <c r="F150" s="26">
        <f>IF($A150="","",IFERROR(INDEX('זה אני - קליטה'!$AA$5:$AA$204,MATCH($A150&amp;"|אמצע שנה",'זה אני - קליטה'!$Z$5:$Z$204,0)),""))</f>
      </c>
      <c r="G150" s="27">
        <f>IF($A150="","",IFERROR(INDEX('זה אני - קליטה'!$AC$5:$AC$204,MATCH($A150&amp;"|אמצע שנה",'זה אני - קליטה'!$Z$5:$Z$204,0)),""))</f>
      </c>
      <c r="H150" s="37">
        <f>IF($A150="","",IFERROR(INDEX('זה אני - קליטה'!$AG$5:$AG$204,MATCH($A150&amp;"|סוף שנה",'זה אני - קליטה'!$Z$5:$Z$204,0)),""))</f>
      </c>
      <c r="I150" s="26">
        <f>IF($A150="","",IFERROR(INDEX('זה אני - קליטה'!$AA$5:$AA$204,MATCH($A150&amp;"|סוף שנה",'זה אני - קליטה'!$Z$5:$Z$204,0)),""))</f>
      </c>
      <c r="J150" s="27">
        <f>IF($A150="","",IFERROR(INDEX('זה אני - קליטה'!$AC$5:$AC$204,MATCH($A150&amp;"|סוף שנה",'זה אני - קליטה'!$Z$5:$Z$204,0)),""))</f>
      </c>
      <c r="K150" s="36">
        <f>IF(AND(ISNUMBER(B150),ISNUMBER(H150)),H150-B150,"")</f>
      </c>
      <c r="L150" s="26">
        <f>IF(K150="","",IF(K150&gt;=1,"עלייה",IF(K150&lt;=-1,"ירידה","יציב")))</f>
      </c>
    </row>
    <row r="151" ht="15" customHeight="1" spans="1:12" x14ac:dyDescent="0.25">
      <c r="A151" s="29"/>
      <c r="B151" s="37">
        <f>IF($A151="","",IFERROR(INDEX('זה אני - קליטה'!$AG$5:$AG$204,MATCH($A151&amp;"|תחילת שנה",'זה אני - קליטה'!$Z$5:$Z$204,0)),""))</f>
      </c>
      <c r="C151" s="26">
        <f>IF($A151="","",IFERROR(INDEX('זה אני - קליטה'!$AA$5:$AA$204,MATCH($A151&amp;"|תחילת שנה",'זה אני - קליטה'!$Z$5:$Z$204,0)),""))</f>
      </c>
      <c r="D151" s="27">
        <f>IF($A151="","",IFERROR(INDEX('זה אני - קליטה'!$AC$5:$AC$204,MATCH($A151&amp;"|תחילת שנה",'זה אני - קליטה'!$Z$5:$Z$204,0)),""))</f>
      </c>
      <c r="E151" s="37">
        <f>IF($A151="","",IFERROR(INDEX('זה אני - קליטה'!$AG$5:$AG$204,MATCH($A151&amp;"|אמצע שנה",'זה אני - קליטה'!$Z$5:$Z$204,0)),""))</f>
      </c>
      <c r="F151" s="26">
        <f>IF($A151="","",IFERROR(INDEX('זה אני - קליטה'!$AA$5:$AA$204,MATCH($A151&amp;"|אמצע שנה",'זה אני - קליטה'!$Z$5:$Z$204,0)),""))</f>
      </c>
      <c r="G151" s="27">
        <f>IF($A151="","",IFERROR(INDEX('זה אני - קליטה'!$AC$5:$AC$204,MATCH($A151&amp;"|אמצע שנה",'זה אני - קליטה'!$Z$5:$Z$204,0)),""))</f>
      </c>
      <c r="H151" s="37">
        <f>IF($A151="","",IFERROR(INDEX('זה אני - קליטה'!$AG$5:$AG$204,MATCH($A151&amp;"|סוף שנה",'זה אני - קליטה'!$Z$5:$Z$204,0)),""))</f>
      </c>
      <c r="I151" s="26">
        <f>IF($A151="","",IFERROR(INDEX('זה אני - קליטה'!$AA$5:$AA$204,MATCH($A151&amp;"|סוף שנה",'זה אני - קליטה'!$Z$5:$Z$204,0)),""))</f>
      </c>
      <c r="J151" s="27">
        <f>IF($A151="","",IFERROR(INDEX('זה אני - קליטה'!$AC$5:$AC$204,MATCH($A151&amp;"|סוף שנה",'זה אני - קליטה'!$Z$5:$Z$204,0)),""))</f>
      </c>
      <c r="K151" s="36">
        <f>IF(AND(ISNUMBER(B151),ISNUMBER(H151)),H151-B151,"")</f>
      </c>
      <c r="L151" s="26">
        <f>IF(K151="","",IF(K151&gt;=1,"עלייה",IF(K151&lt;=-1,"ירידה","יציב")))</f>
      </c>
    </row>
    <row r="152" ht="15" customHeight="1" spans="1:12" x14ac:dyDescent="0.25">
      <c r="A152" s="29"/>
      <c r="B152" s="37">
        <f>IF($A152="","",IFERROR(INDEX('זה אני - קליטה'!$AG$5:$AG$204,MATCH($A152&amp;"|תחילת שנה",'זה אני - קליטה'!$Z$5:$Z$204,0)),""))</f>
      </c>
      <c r="C152" s="26">
        <f>IF($A152="","",IFERROR(INDEX('זה אני - קליטה'!$AA$5:$AA$204,MATCH($A152&amp;"|תחילת שנה",'זה אני - קליטה'!$Z$5:$Z$204,0)),""))</f>
      </c>
      <c r="D152" s="27">
        <f>IF($A152="","",IFERROR(INDEX('זה אני - קליטה'!$AC$5:$AC$204,MATCH($A152&amp;"|תחילת שנה",'זה אני - קליטה'!$Z$5:$Z$204,0)),""))</f>
      </c>
      <c r="E152" s="37">
        <f>IF($A152="","",IFERROR(INDEX('זה אני - קליטה'!$AG$5:$AG$204,MATCH($A152&amp;"|אמצע שנה",'זה אני - קליטה'!$Z$5:$Z$204,0)),""))</f>
      </c>
      <c r="F152" s="26">
        <f>IF($A152="","",IFERROR(INDEX('זה אני - קליטה'!$AA$5:$AA$204,MATCH($A152&amp;"|אמצע שנה",'זה אני - קליטה'!$Z$5:$Z$204,0)),""))</f>
      </c>
      <c r="G152" s="27">
        <f>IF($A152="","",IFERROR(INDEX('זה אני - קליטה'!$AC$5:$AC$204,MATCH($A152&amp;"|אמצע שנה",'זה אני - קליטה'!$Z$5:$Z$204,0)),""))</f>
      </c>
      <c r="H152" s="37">
        <f>IF($A152="","",IFERROR(INDEX('זה אני - קליטה'!$AG$5:$AG$204,MATCH($A152&amp;"|סוף שנה",'זה אני - קליטה'!$Z$5:$Z$204,0)),""))</f>
      </c>
      <c r="I152" s="26">
        <f>IF($A152="","",IFERROR(INDEX('זה אני - קליטה'!$AA$5:$AA$204,MATCH($A152&amp;"|סוף שנה",'זה אני - קליטה'!$Z$5:$Z$204,0)),""))</f>
      </c>
      <c r="J152" s="27">
        <f>IF($A152="","",IFERROR(INDEX('זה אני - קליטה'!$AC$5:$AC$204,MATCH($A152&amp;"|סוף שנה",'זה אני - קליטה'!$Z$5:$Z$204,0)),""))</f>
      </c>
      <c r="K152" s="36">
        <f>IF(AND(ISNUMBER(B152),ISNUMBER(H152)),H152-B152,"")</f>
      </c>
      <c r="L152" s="26">
        <f>IF(K152="","",IF(K152&gt;=1,"עלייה",IF(K152&lt;=-1,"ירידה","יציב")))</f>
      </c>
    </row>
    <row r="153" ht="15" customHeight="1" spans="1:12" x14ac:dyDescent="0.25">
      <c r="A153" s="29"/>
      <c r="B153" s="37">
        <f>IF($A153="","",IFERROR(INDEX('זה אני - קליטה'!$AG$5:$AG$204,MATCH($A153&amp;"|תחילת שנה",'זה אני - קליטה'!$Z$5:$Z$204,0)),""))</f>
      </c>
      <c r="C153" s="26">
        <f>IF($A153="","",IFERROR(INDEX('זה אני - קליטה'!$AA$5:$AA$204,MATCH($A153&amp;"|תחילת שנה",'זה אני - קליטה'!$Z$5:$Z$204,0)),""))</f>
      </c>
      <c r="D153" s="27">
        <f>IF($A153="","",IFERROR(INDEX('זה אני - קליטה'!$AC$5:$AC$204,MATCH($A153&amp;"|תחילת שנה",'זה אני - קליטה'!$Z$5:$Z$204,0)),""))</f>
      </c>
      <c r="E153" s="37">
        <f>IF($A153="","",IFERROR(INDEX('זה אני - קליטה'!$AG$5:$AG$204,MATCH($A153&amp;"|אמצע שנה",'זה אני - קליטה'!$Z$5:$Z$204,0)),""))</f>
      </c>
      <c r="F153" s="26">
        <f>IF($A153="","",IFERROR(INDEX('זה אני - קליטה'!$AA$5:$AA$204,MATCH($A153&amp;"|אמצע שנה",'זה אני - קליטה'!$Z$5:$Z$204,0)),""))</f>
      </c>
      <c r="G153" s="27">
        <f>IF($A153="","",IFERROR(INDEX('זה אני - קליטה'!$AC$5:$AC$204,MATCH($A153&amp;"|אמצע שנה",'זה אני - קליטה'!$Z$5:$Z$204,0)),""))</f>
      </c>
      <c r="H153" s="37">
        <f>IF($A153="","",IFERROR(INDEX('זה אני - קליטה'!$AG$5:$AG$204,MATCH($A153&amp;"|סוף שנה",'זה אני - קליטה'!$Z$5:$Z$204,0)),""))</f>
      </c>
      <c r="I153" s="26">
        <f>IF($A153="","",IFERROR(INDEX('זה אני - קליטה'!$AA$5:$AA$204,MATCH($A153&amp;"|סוף שנה",'זה אני - קליטה'!$Z$5:$Z$204,0)),""))</f>
      </c>
      <c r="J153" s="27">
        <f>IF($A153="","",IFERROR(INDEX('זה אני - קליטה'!$AC$5:$AC$204,MATCH($A153&amp;"|סוף שנה",'זה אני - קליטה'!$Z$5:$Z$204,0)),""))</f>
      </c>
      <c r="K153" s="36">
        <f>IF(AND(ISNUMBER(B153),ISNUMBER(H153)),H153-B153,"")</f>
      </c>
      <c r="L153" s="26">
        <f>IF(K153="","",IF(K153&gt;=1,"עלייה",IF(K153&lt;=-1,"ירידה","יציב")))</f>
      </c>
    </row>
    <row r="154" ht="15" customHeight="1" spans="1:12" x14ac:dyDescent="0.25">
      <c r="A154" s="29"/>
      <c r="B154" s="37">
        <f>IF($A154="","",IFERROR(INDEX('זה אני - קליטה'!$AG$5:$AG$204,MATCH($A154&amp;"|תחילת שנה",'זה אני - קליטה'!$Z$5:$Z$204,0)),""))</f>
      </c>
      <c r="C154" s="26">
        <f>IF($A154="","",IFERROR(INDEX('זה אני - קליטה'!$AA$5:$AA$204,MATCH($A154&amp;"|תחילת שנה",'זה אני - קליטה'!$Z$5:$Z$204,0)),""))</f>
      </c>
      <c r="D154" s="27">
        <f>IF($A154="","",IFERROR(INDEX('זה אני - קליטה'!$AC$5:$AC$204,MATCH($A154&amp;"|תחילת שנה",'זה אני - קליטה'!$Z$5:$Z$204,0)),""))</f>
      </c>
      <c r="E154" s="37">
        <f>IF($A154="","",IFERROR(INDEX('זה אני - קליטה'!$AG$5:$AG$204,MATCH($A154&amp;"|אמצע שנה",'זה אני - קליטה'!$Z$5:$Z$204,0)),""))</f>
      </c>
      <c r="F154" s="26">
        <f>IF($A154="","",IFERROR(INDEX('זה אני - קליטה'!$AA$5:$AA$204,MATCH($A154&amp;"|אמצע שנה",'זה אני - קליטה'!$Z$5:$Z$204,0)),""))</f>
      </c>
      <c r="G154" s="27">
        <f>IF($A154="","",IFERROR(INDEX('זה אני - קליטה'!$AC$5:$AC$204,MATCH($A154&amp;"|אמצע שנה",'זה אני - קליטה'!$Z$5:$Z$204,0)),""))</f>
      </c>
      <c r="H154" s="37">
        <f>IF($A154="","",IFERROR(INDEX('זה אני - קליטה'!$AG$5:$AG$204,MATCH($A154&amp;"|סוף שנה",'זה אני - קליטה'!$Z$5:$Z$204,0)),""))</f>
      </c>
      <c r="I154" s="26">
        <f>IF($A154="","",IFERROR(INDEX('זה אני - קליטה'!$AA$5:$AA$204,MATCH($A154&amp;"|סוף שנה",'זה אני - קליטה'!$Z$5:$Z$204,0)),""))</f>
      </c>
      <c r="J154" s="27">
        <f>IF($A154="","",IFERROR(INDEX('זה אני - קליטה'!$AC$5:$AC$204,MATCH($A154&amp;"|סוף שנה",'זה אני - קליטה'!$Z$5:$Z$204,0)),""))</f>
      </c>
      <c r="K154" s="36">
        <f>IF(AND(ISNUMBER(B154),ISNUMBER(H154)),H154-B154,"")</f>
      </c>
      <c r="L154" s="26">
        <f>IF(K154="","",IF(K154&gt;=1,"עלייה",IF(K154&lt;=-1,"ירידה","יציב")))</f>
      </c>
    </row>
    <row r="155" ht="15" customHeight="1" spans="1:12" x14ac:dyDescent="0.25">
      <c r="A155" s="29"/>
      <c r="B155" s="37">
        <f>IF($A155="","",IFERROR(INDEX('זה אני - קליטה'!$AG$5:$AG$204,MATCH($A155&amp;"|תחילת שנה",'זה אני - קליטה'!$Z$5:$Z$204,0)),""))</f>
      </c>
      <c r="C155" s="26">
        <f>IF($A155="","",IFERROR(INDEX('זה אני - קליטה'!$AA$5:$AA$204,MATCH($A155&amp;"|תחילת שנה",'זה אני - קליטה'!$Z$5:$Z$204,0)),""))</f>
      </c>
      <c r="D155" s="27">
        <f>IF($A155="","",IFERROR(INDEX('זה אני - קליטה'!$AC$5:$AC$204,MATCH($A155&amp;"|תחילת שנה",'זה אני - קליטה'!$Z$5:$Z$204,0)),""))</f>
      </c>
      <c r="E155" s="37">
        <f>IF($A155="","",IFERROR(INDEX('זה אני - קליטה'!$AG$5:$AG$204,MATCH($A155&amp;"|אמצע שנה",'זה אני - קליטה'!$Z$5:$Z$204,0)),""))</f>
      </c>
      <c r="F155" s="26">
        <f>IF($A155="","",IFERROR(INDEX('זה אני - קליטה'!$AA$5:$AA$204,MATCH($A155&amp;"|אמצע שנה",'זה אני - קליטה'!$Z$5:$Z$204,0)),""))</f>
      </c>
      <c r="G155" s="27">
        <f>IF($A155="","",IFERROR(INDEX('זה אני - קליטה'!$AC$5:$AC$204,MATCH($A155&amp;"|אמצע שנה",'זה אני - קליטה'!$Z$5:$Z$204,0)),""))</f>
      </c>
      <c r="H155" s="37">
        <f>IF($A155="","",IFERROR(INDEX('זה אני - קליטה'!$AG$5:$AG$204,MATCH($A155&amp;"|סוף שנה",'זה אני - קליטה'!$Z$5:$Z$204,0)),""))</f>
      </c>
      <c r="I155" s="26">
        <f>IF($A155="","",IFERROR(INDEX('זה אני - קליטה'!$AA$5:$AA$204,MATCH($A155&amp;"|סוף שנה",'זה אני - קליטה'!$Z$5:$Z$204,0)),""))</f>
      </c>
      <c r="J155" s="27">
        <f>IF($A155="","",IFERROR(INDEX('זה אני - קליטה'!$AC$5:$AC$204,MATCH($A155&amp;"|סוף שנה",'זה אני - קליטה'!$Z$5:$Z$204,0)),""))</f>
      </c>
      <c r="K155" s="36">
        <f>IF(AND(ISNUMBER(B155),ISNUMBER(H155)),H155-B155,"")</f>
      </c>
      <c r="L155" s="26">
        <f>IF(K155="","",IF(K155&gt;=1,"עלייה",IF(K155&lt;=-1,"ירידה","יציב")))</f>
      </c>
    </row>
    <row r="156" ht="15" customHeight="1" spans="1:12" x14ac:dyDescent="0.25">
      <c r="A156" s="29"/>
      <c r="B156" s="37">
        <f>IF($A156="","",IFERROR(INDEX('זה אני - קליטה'!$AG$5:$AG$204,MATCH($A156&amp;"|תחילת שנה",'זה אני - קליטה'!$Z$5:$Z$204,0)),""))</f>
      </c>
      <c r="C156" s="26">
        <f>IF($A156="","",IFERROR(INDEX('זה אני - קליטה'!$AA$5:$AA$204,MATCH($A156&amp;"|תחילת שנה",'זה אני - קליטה'!$Z$5:$Z$204,0)),""))</f>
      </c>
      <c r="D156" s="27">
        <f>IF($A156="","",IFERROR(INDEX('זה אני - קליטה'!$AC$5:$AC$204,MATCH($A156&amp;"|תחילת שנה",'זה אני - קליטה'!$Z$5:$Z$204,0)),""))</f>
      </c>
      <c r="E156" s="37">
        <f>IF($A156="","",IFERROR(INDEX('זה אני - קליטה'!$AG$5:$AG$204,MATCH($A156&amp;"|אמצע שנה",'זה אני - קליטה'!$Z$5:$Z$204,0)),""))</f>
      </c>
      <c r="F156" s="26">
        <f>IF($A156="","",IFERROR(INDEX('זה אני - קליטה'!$AA$5:$AA$204,MATCH($A156&amp;"|אמצע שנה",'זה אני - קליטה'!$Z$5:$Z$204,0)),""))</f>
      </c>
      <c r="G156" s="27">
        <f>IF($A156="","",IFERROR(INDEX('זה אני - קליטה'!$AC$5:$AC$204,MATCH($A156&amp;"|אמצע שנה",'זה אני - קליטה'!$Z$5:$Z$204,0)),""))</f>
      </c>
      <c r="H156" s="37">
        <f>IF($A156="","",IFERROR(INDEX('זה אני - קליטה'!$AG$5:$AG$204,MATCH($A156&amp;"|סוף שנה",'זה אני - קליטה'!$Z$5:$Z$204,0)),""))</f>
      </c>
      <c r="I156" s="26">
        <f>IF($A156="","",IFERROR(INDEX('זה אני - קליטה'!$AA$5:$AA$204,MATCH($A156&amp;"|סוף שנה",'זה אני - קליטה'!$Z$5:$Z$204,0)),""))</f>
      </c>
      <c r="J156" s="27">
        <f>IF($A156="","",IFERROR(INDEX('זה אני - קליטה'!$AC$5:$AC$204,MATCH($A156&amp;"|סוף שנה",'זה אני - קליטה'!$Z$5:$Z$204,0)),""))</f>
      </c>
      <c r="K156" s="36">
        <f>IF(AND(ISNUMBER(B156),ISNUMBER(H156)),H156-B156,"")</f>
      </c>
      <c r="L156" s="26">
        <f>IF(K156="","",IF(K156&gt;=1,"עלייה",IF(K156&lt;=-1,"ירידה","יציב")))</f>
      </c>
    </row>
    <row r="157" ht="15" customHeight="1" spans="1:12" x14ac:dyDescent="0.25">
      <c r="A157" s="29"/>
      <c r="B157" s="37">
        <f>IF($A157="","",IFERROR(INDEX('זה אני - קליטה'!$AG$5:$AG$204,MATCH($A157&amp;"|תחילת שנה",'זה אני - קליטה'!$Z$5:$Z$204,0)),""))</f>
      </c>
      <c r="C157" s="26">
        <f>IF($A157="","",IFERROR(INDEX('זה אני - קליטה'!$AA$5:$AA$204,MATCH($A157&amp;"|תחילת שנה",'זה אני - קליטה'!$Z$5:$Z$204,0)),""))</f>
      </c>
      <c r="D157" s="27">
        <f>IF($A157="","",IFERROR(INDEX('זה אני - קליטה'!$AC$5:$AC$204,MATCH($A157&amp;"|תחילת שנה",'זה אני - קליטה'!$Z$5:$Z$204,0)),""))</f>
      </c>
      <c r="E157" s="37">
        <f>IF($A157="","",IFERROR(INDEX('זה אני - קליטה'!$AG$5:$AG$204,MATCH($A157&amp;"|אמצע שנה",'זה אני - קליטה'!$Z$5:$Z$204,0)),""))</f>
      </c>
      <c r="F157" s="26">
        <f>IF($A157="","",IFERROR(INDEX('זה אני - קליטה'!$AA$5:$AA$204,MATCH($A157&amp;"|אמצע שנה",'זה אני - קליטה'!$Z$5:$Z$204,0)),""))</f>
      </c>
      <c r="G157" s="27">
        <f>IF($A157="","",IFERROR(INDEX('זה אני - קליטה'!$AC$5:$AC$204,MATCH($A157&amp;"|אמצע שנה",'זה אני - קליטה'!$Z$5:$Z$204,0)),""))</f>
      </c>
      <c r="H157" s="37">
        <f>IF($A157="","",IFERROR(INDEX('זה אני - קליטה'!$AG$5:$AG$204,MATCH($A157&amp;"|סוף שנה",'זה אני - קליטה'!$Z$5:$Z$204,0)),""))</f>
      </c>
      <c r="I157" s="26">
        <f>IF($A157="","",IFERROR(INDEX('זה אני - קליטה'!$AA$5:$AA$204,MATCH($A157&amp;"|סוף שנה",'זה אני - קליטה'!$Z$5:$Z$204,0)),""))</f>
      </c>
      <c r="J157" s="27">
        <f>IF($A157="","",IFERROR(INDEX('זה אני - קליטה'!$AC$5:$AC$204,MATCH($A157&amp;"|סוף שנה",'זה אני - קליטה'!$Z$5:$Z$204,0)),""))</f>
      </c>
      <c r="K157" s="36">
        <f>IF(AND(ISNUMBER(B157),ISNUMBER(H157)),H157-B157,"")</f>
      </c>
      <c r="L157" s="26">
        <f>IF(K157="","",IF(K157&gt;=1,"עלייה",IF(K157&lt;=-1,"ירידה","יציב")))</f>
      </c>
    </row>
    <row r="158" ht="15" customHeight="1" spans="1:12" x14ac:dyDescent="0.25">
      <c r="A158" s="29"/>
      <c r="B158" s="37">
        <f>IF($A158="","",IFERROR(INDEX('זה אני - קליטה'!$AG$5:$AG$204,MATCH($A158&amp;"|תחילת שנה",'זה אני - קליטה'!$Z$5:$Z$204,0)),""))</f>
      </c>
      <c r="C158" s="26">
        <f>IF($A158="","",IFERROR(INDEX('זה אני - קליטה'!$AA$5:$AA$204,MATCH($A158&amp;"|תחילת שנה",'זה אני - קליטה'!$Z$5:$Z$204,0)),""))</f>
      </c>
      <c r="D158" s="27">
        <f>IF($A158="","",IFERROR(INDEX('זה אני - קליטה'!$AC$5:$AC$204,MATCH($A158&amp;"|תחילת שנה",'זה אני - קליטה'!$Z$5:$Z$204,0)),""))</f>
      </c>
      <c r="E158" s="37">
        <f>IF($A158="","",IFERROR(INDEX('זה אני - קליטה'!$AG$5:$AG$204,MATCH($A158&amp;"|אמצע שנה",'זה אני - קליטה'!$Z$5:$Z$204,0)),""))</f>
      </c>
      <c r="F158" s="26">
        <f>IF($A158="","",IFERROR(INDEX('זה אני - קליטה'!$AA$5:$AA$204,MATCH($A158&amp;"|אמצע שנה",'זה אני - קליטה'!$Z$5:$Z$204,0)),""))</f>
      </c>
      <c r="G158" s="27">
        <f>IF($A158="","",IFERROR(INDEX('זה אני - קליטה'!$AC$5:$AC$204,MATCH($A158&amp;"|אמצע שנה",'זה אני - קליטה'!$Z$5:$Z$204,0)),""))</f>
      </c>
      <c r="H158" s="37">
        <f>IF($A158="","",IFERROR(INDEX('זה אני - קליטה'!$AG$5:$AG$204,MATCH($A158&amp;"|סוף שנה",'זה אני - קליטה'!$Z$5:$Z$204,0)),""))</f>
      </c>
      <c r="I158" s="26">
        <f>IF($A158="","",IFERROR(INDEX('זה אני - קליטה'!$AA$5:$AA$204,MATCH($A158&amp;"|סוף שנה",'זה אני - קליטה'!$Z$5:$Z$204,0)),""))</f>
      </c>
      <c r="J158" s="27">
        <f>IF($A158="","",IFERROR(INDEX('זה אני - קליטה'!$AC$5:$AC$204,MATCH($A158&amp;"|סוף שנה",'זה אני - קליטה'!$Z$5:$Z$204,0)),""))</f>
      </c>
      <c r="K158" s="36">
        <f>IF(AND(ISNUMBER(B158),ISNUMBER(H158)),H158-B158,"")</f>
      </c>
      <c r="L158" s="26">
        <f>IF(K158="","",IF(K158&gt;=1,"עלייה",IF(K158&lt;=-1,"ירידה","יציב")))</f>
      </c>
    </row>
    <row r="159" ht="15" customHeight="1" spans="1:12" x14ac:dyDescent="0.25">
      <c r="A159" s="29"/>
      <c r="B159" s="37">
        <f>IF($A159="","",IFERROR(INDEX('זה אני - קליטה'!$AG$5:$AG$204,MATCH($A159&amp;"|תחילת שנה",'זה אני - קליטה'!$Z$5:$Z$204,0)),""))</f>
      </c>
      <c r="C159" s="26">
        <f>IF($A159="","",IFERROR(INDEX('זה אני - קליטה'!$AA$5:$AA$204,MATCH($A159&amp;"|תחילת שנה",'זה אני - קליטה'!$Z$5:$Z$204,0)),""))</f>
      </c>
      <c r="D159" s="27">
        <f>IF($A159="","",IFERROR(INDEX('זה אני - קליטה'!$AC$5:$AC$204,MATCH($A159&amp;"|תחילת שנה",'זה אני - קליטה'!$Z$5:$Z$204,0)),""))</f>
      </c>
      <c r="E159" s="37">
        <f>IF($A159="","",IFERROR(INDEX('זה אני - קליטה'!$AG$5:$AG$204,MATCH($A159&amp;"|אמצע שנה",'זה אני - קליטה'!$Z$5:$Z$204,0)),""))</f>
      </c>
      <c r="F159" s="26">
        <f>IF($A159="","",IFERROR(INDEX('זה אני - קליטה'!$AA$5:$AA$204,MATCH($A159&amp;"|אמצע שנה",'זה אני - קליטה'!$Z$5:$Z$204,0)),""))</f>
      </c>
      <c r="G159" s="27">
        <f>IF($A159="","",IFERROR(INDEX('זה אני - קליטה'!$AC$5:$AC$204,MATCH($A159&amp;"|אמצע שנה",'זה אני - קליטה'!$Z$5:$Z$204,0)),""))</f>
      </c>
      <c r="H159" s="37">
        <f>IF($A159="","",IFERROR(INDEX('זה אני - קליטה'!$AG$5:$AG$204,MATCH($A159&amp;"|סוף שנה",'זה אני - קליטה'!$Z$5:$Z$204,0)),""))</f>
      </c>
      <c r="I159" s="26">
        <f>IF($A159="","",IFERROR(INDEX('זה אני - קליטה'!$AA$5:$AA$204,MATCH($A159&amp;"|סוף שנה",'זה אני - קליטה'!$Z$5:$Z$204,0)),""))</f>
      </c>
      <c r="J159" s="27">
        <f>IF($A159="","",IFERROR(INDEX('זה אני - קליטה'!$AC$5:$AC$204,MATCH($A159&amp;"|סוף שנה",'זה אני - קליטה'!$Z$5:$Z$204,0)),""))</f>
      </c>
      <c r="K159" s="36">
        <f>IF(AND(ISNUMBER(B159),ISNUMBER(H159)),H159-B159,"")</f>
      </c>
      <c r="L159" s="26">
        <f>IF(K159="","",IF(K159&gt;=1,"עלייה",IF(K159&lt;=-1,"ירידה","יציב")))</f>
      </c>
    </row>
    <row r="160" ht="15" customHeight="1" spans="1:12" x14ac:dyDescent="0.25">
      <c r="A160" s="29"/>
      <c r="B160" s="37">
        <f>IF($A160="","",IFERROR(INDEX('זה אני - קליטה'!$AG$5:$AG$204,MATCH($A160&amp;"|תחילת שנה",'זה אני - קליטה'!$Z$5:$Z$204,0)),""))</f>
      </c>
      <c r="C160" s="26">
        <f>IF($A160="","",IFERROR(INDEX('זה אני - קליטה'!$AA$5:$AA$204,MATCH($A160&amp;"|תחילת שנה",'זה אני - קליטה'!$Z$5:$Z$204,0)),""))</f>
      </c>
      <c r="D160" s="27">
        <f>IF($A160="","",IFERROR(INDEX('זה אני - קליטה'!$AC$5:$AC$204,MATCH($A160&amp;"|תחילת שנה",'זה אני - קליטה'!$Z$5:$Z$204,0)),""))</f>
      </c>
      <c r="E160" s="37">
        <f>IF($A160="","",IFERROR(INDEX('זה אני - קליטה'!$AG$5:$AG$204,MATCH($A160&amp;"|אמצע שנה",'זה אני - קליטה'!$Z$5:$Z$204,0)),""))</f>
      </c>
      <c r="F160" s="26">
        <f>IF($A160="","",IFERROR(INDEX('זה אני - קליטה'!$AA$5:$AA$204,MATCH($A160&amp;"|אמצע שנה",'זה אני - קליטה'!$Z$5:$Z$204,0)),""))</f>
      </c>
      <c r="G160" s="27">
        <f>IF($A160="","",IFERROR(INDEX('זה אני - קליטה'!$AC$5:$AC$204,MATCH($A160&amp;"|אמצע שנה",'זה אני - קליטה'!$Z$5:$Z$204,0)),""))</f>
      </c>
      <c r="H160" s="37">
        <f>IF($A160="","",IFERROR(INDEX('זה אני - קליטה'!$AG$5:$AG$204,MATCH($A160&amp;"|סוף שנה",'זה אני - קליטה'!$Z$5:$Z$204,0)),""))</f>
      </c>
      <c r="I160" s="26">
        <f>IF($A160="","",IFERROR(INDEX('זה אני - קליטה'!$AA$5:$AA$204,MATCH($A160&amp;"|סוף שנה",'זה אני - קליטה'!$Z$5:$Z$204,0)),""))</f>
      </c>
      <c r="J160" s="27">
        <f>IF($A160="","",IFERROR(INDEX('זה אני - קליטה'!$AC$5:$AC$204,MATCH($A160&amp;"|סוף שנה",'זה אני - קליטה'!$Z$5:$Z$204,0)),""))</f>
      </c>
      <c r="K160" s="36">
        <f>IF(AND(ISNUMBER(B160),ISNUMBER(H160)),H160-B160,"")</f>
      </c>
      <c r="L160" s="26">
        <f>IF(K160="","",IF(K160&gt;=1,"עלייה",IF(K160&lt;=-1,"ירידה","יציב")))</f>
      </c>
    </row>
    <row r="161" ht="15" customHeight="1" spans="1:12" x14ac:dyDescent="0.25">
      <c r="A161" s="29"/>
      <c r="B161" s="37">
        <f>IF($A161="","",IFERROR(INDEX('זה אני - קליטה'!$AG$5:$AG$204,MATCH($A161&amp;"|תחילת שנה",'זה אני - קליטה'!$Z$5:$Z$204,0)),""))</f>
      </c>
      <c r="C161" s="26">
        <f>IF($A161="","",IFERROR(INDEX('זה אני - קליטה'!$AA$5:$AA$204,MATCH($A161&amp;"|תחילת שנה",'זה אני - קליטה'!$Z$5:$Z$204,0)),""))</f>
      </c>
      <c r="D161" s="27">
        <f>IF($A161="","",IFERROR(INDEX('זה אני - קליטה'!$AC$5:$AC$204,MATCH($A161&amp;"|תחילת שנה",'זה אני - קליטה'!$Z$5:$Z$204,0)),""))</f>
      </c>
      <c r="E161" s="37">
        <f>IF($A161="","",IFERROR(INDEX('זה אני - קליטה'!$AG$5:$AG$204,MATCH($A161&amp;"|אמצע שנה",'זה אני - קליטה'!$Z$5:$Z$204,0)),""))</f>
      </c>
      <c r="F161" s="26">
        <f>IF($A161="","",IFERROR(INDEX('זה אני - קליטה'!$AA$5:$AA$204,MATCH($A161&amp;"|אמצע שנה",'זה אני - קליטה'!$Z$5:$Z$204,0)),""))</f>
      </c>
      <c r="G161" s="27">
        <f>IF($A161="","",IFERROR(INDEX('זה אני - קליטה'!$AC$5:$AC$204,MATCH($A161&amp;"|אמצע שנה",'זה אני - קליטה'!$Z$5:$Z$204,0)),""))</f>
      </c>
      <c r="H161" s="37">
        <f>IF($A161="","",IFERROR(INDEX('זה אני - קליטה'!$AG$5:$AG$204,MATCH($A161&amp;"|סוף שנה",'זה אני - קליטה'!$Z$5:$Z$204,0)),""))</f>
      </c>
      <c r="I161" s="26">
        <f>IF($A161="","",IFERROR(INDEX('זה אני - קליטה'!$AA$5:$AA$204,MATCH($A161&amp;"|סוף שנה",'זה אני - קליטה'!$Z$5:$Z$204,0)),""))</f>
      </c>
      <c r="J161" s="27">
        <f>IF($A161="","",IFERROR(INDEX('זה אני - קליטה'!$AC$5:$AC$204,MATCH($A161&amp;"|סוף שנה",'זה אני - קליטה'!$Z$5:$Z$204,0)),""))</f>
      </c>
      <c r="K161" s="36">
        <f>IF(AND(ISNUMBER(B161),ISNUMBER(H161)),H161-B161,"")</f>
      </c>
      <c r="L161" s="26">
        <f>IF(K161="","",IF(K161&gt;=1,"עלייה",IF(K161&lt;=-1,"ירידה","יציב")))</f>
      </c>
    </row>
    <row r="162" ht="15" customHeight="1" spans="1:12" x14ac:dyDescent="0.25">
      <c r="A162" s="29"/>
      <c r="B162" s="37">
        <f>IF($A162="","",IFERROR(INDEX('זה אני - קליטה'!$AG$5:$AG$204,MATCH($A162&amp;"|תחילת שנה",'זה אני - קליטה'!$Z$5:$Z$204,0)),""))</f>
      </c>
      <c r="C162" s="26">
        <f>IF($A162="","",IFERROR(INDEX('זה אני - קליטה'!$AA$5:$AA$204,MATCH($A162&amp;"|תחילת שנה",'זה אני - קליטה'!$Z$5:$Z$204,0)),""))</f>
      </c>
      <c r="D162" s="27">
        <f>IF($A162="","",IFERROR(INDEX('זה אני - קליטה'!$AC$5:$AC$204,MATCH($A162&amp;"|תחילת שנה",'זה אני - קליטה'!$Z$5:$Z$204,0)),""))</f>
      </c>
      <c r="E162" s="37">
        <f>IF($A162="","",IFERROR(INDEX('זה אני - קליטה'!$AG$5:$AG$204,MATCH($A162&amp;"|אמצע שנה",'זה אני - קליטה'!$Z$5:$Z$204,0)),""))</f>
      </c>
      <c r="F162" s="26">
        <f>IF($A162="","",IFERROR(INDEX('זה אני - קליטה'!$AA$5:$AA$204,MATCH($A162&amp;"|אמצע שנה",'זה אני - קליטה'!$Z$5:$Z$204,0)),""))</f>
      </c>
      <c r="G162" s="27">
        <f>IF($A162="","",IFERROR(INDEX('זה אני - קליטה'!$AC$5:$AC$204,MATCH($A162&amp;"|אמצע שנה",'זה אני - קליטה'!$Z$5:$Z$204,0)),""))</f>
      </c>
      <c r="H162" s="37">
        <f>IF($A162="","",IFERROR(INDEX('זה אני - קליטה'!$AG$5:$AG$204,MATCH($A162&amp;"|סוף שנה",'זה אני - קליטה'!$Z$5:$Z$204,0)),""))</f>
      </c>
      <c r="I162" s="26">
        <f>IF($A162="","",IFERROR(INDEX('זה אני - קליטה'!$AA$5:$AA$204,MATCH($A162&amp;"|סוף שנה",'זה אני - קליטה'!$Z$5:$Z$204,0)),""))</f>
      </c>
      <c r="J162" s="27">
        <f>IF($A162="","",IFERROR(INDEX('זה אני - קליטה'!$AC$5:$AC$204,MATCH($A162&amp;"|סוף שנה",'זה אני - קליטה'!$Z$5:$Z$204,0)),""))</f>
      </c>
      <c r="K162" s="36">
        <f>IF(AND(ISNUMBER(B162),ISNUMBER(H162)),H162-B162,"")</f>
      </c>
      <c r="L162" s="26">
        <f>IF(K162="","",IF(K162&gt;=1,"עלייה",IF(K162&lt;=-1,"ירידה","יציב")))</f>
      </c>
    </row>
    <row r="163" ht="15" customHeight="1" spans="1:12" x14ac:dyDescent="0.25">
      <c r="A163" s="29"/>
      <c r="B163" s="37">
        <f>IF($A163="","",IFERROR(INDEX('זה אני - קליטה'!$AG$5:$AG$204,MATCH($A163&amp;"|תחילת שנה",'זה אני - קליטה'!$Z$5:$Z$204,0)),""))</f>
      </c>
      <c r="C163" s="26">
        <f>IF($A163="","",IFERROR(INDEX('זה אני - קליטה'!$AA$5:$AA$204,MATCH($A163&amp;"|תחילת שנה",'זה אני - קליטה'!$Z$5:$Z$204,0)),""))</f>
      </c>
      <c r="D163" s="27">
        <f>IF($A163="","",IFERROR(INDEX('זה אני - קליטה'!$AC$5:$AC$204,MATCH($A163&amp;"|תחילת שנה",'זה אני - קליטה'!$Z$5:$Z$204,0)),""))</f>
      </c>
      <c r="E163" s="37">
        <f>IF($A163="","",IFERROR(INDEX('זה אני - קליטה'!$AG$5:$AG$204,MATCH($A163&amp;"|אמצע שנה",'זה אני - קליטה'!$Z$5:$Z$204,0)),""))</f>
      </c>
      <c r="F163" s="26">
        <f>IF($A163="","",IFERROR(INDEX('זה אני - קליטה'!$AA$5:$AA$204,MATCH($A163&amp;"|אמצע שנה",'זה אני - קליטה'!$Z$5:$Z$204,0)),""))</f>
      </c>
      <c r="G163" s="27">
        <f>IF($A163="","",IFERROR(INDEX('זה אני - קליטה'!$AC$5:$AC$204,MATCH($A163&amp;"|אמצע שנה",'זה אני - קליטה'!$Z$5:$Z$204,0)),""))</f>
      </c>
      <c r="H163" s="37">
        <f>IF($A163="","",IFERROR(INDEX('זה אני - קליטה'!$AG$5:$AG$204,MATCH($A163&amp;"|סוף שנה",'זה אני - קליטה'!$Z$5:$Z$204,0)),""))</f>
      </c>
      <c r="I163" s="26">
        <f>IF($A163="","",IFERROR(INDEX('זה אני - קליטה'!$AA$5:$AA$204,MATCH($A163&amp;"|סוף שנה",'זה אני - קליטה'!$Z$5:$Z$204,0)),""))</f>
      </c>
      <c r="J163" s="27">
        <f>IF($A163="","",IFERROR(INDEX('זה אני - קליטה'!$AC$5:$AC$204,MATCH($A163&amp;"|סוף שנה",'זה אני - קליטה'!$Z$5:$Z$204,0)),""))</f>
      </c>
      <c r="K163" s="36">
        <f>IF(AND(ISNUMBER(B163),ISNUMBER(H163)),H163-B163,"")</f>
      </c>
      <c r="L163" s="26">
        <f>IF(K163="","",IF(K163&gt;=1,"עלייה",IF(K163&lt;=-1,"ירידה","יציב")))</f>
      </c>
    </row>
    <row r="164" ht="15" customHeight="1" spans="1:12" x14ac:dyDescent="0.25">
      <c r="A164" s="29"/>
      <c r="B164" s="37">
        <f>IF($A164="","",IFERROR(INDEX('זה אני - קליטה'!$AG$5:$AG$204,MATCH($A164&amp;"|תחילת שנה",'זה אני - קליטה'!$Z$5:$Z$204,0)),""))</f>
      </c>
      <c r="C164" s="26">
        <f>IF($A164="","",IFERROR(INDEX('זה אני - קליטה'!$AA$5:$AA$204,MATCH($A164&amp;"|תחילת שנה",'זה אני - קליטה'!$Z$5:$Z$204,0)),""))</f>
      </c>
      <c r="D164" s="27">
        <f>IF($A164="","",IFERROR(INDEX('זה אני - קליטה'!$AC$5:$AC$204,MATCH($A164&amp;"|תחילת שנה",'זה אני - קליטה'!$Z$5:$Z$204,0)),""))</f>
      </c>
      <c r="E164" s="37">
        <f>IF($A164="","",IFERROR(INDEX('זה אני - קליטה'!$AG$5:$AG$204,MATCH($A164&amp;"|אמצע שנה",'זה אני - קליטה'!$Z$5:$Z$204,0)),""))</f>
      </c>
      <c r="F164" s="26">
        <f>IF($A164="","",IFERROR(INDEX('זה אני - קליטה'!$AA$5:$AA$204,MATCH($A164&amp;"|אמצע שנה",'זה אני - קליטה'!$Z$5:$Z$204,0)),""))</f>
      </c>
      <c r="G164" s="27">
        <f>IF($A164="","",IFERROR(INDEX('זה אני - קליטה'!$AC$5:$AC$204,MATCH($A164&amp;"|אמצע שנה",'זה אני - קליטה'!$Z$5:$Z$204,0)),""))</f>
      </c>
      <c r="H164" s="37">
        <f>IF($A164="","",IFERROR(INDEX('זה אני - קליטה'!$AG$5:$AG$204,MATCH($A164&amp;"|סוף שנה",'זה אני - קליטה'!$Z$5:$Z$204,0)),""))</f>
      </c>
      <c r="I164" s="26">
        <f>IF($A164="","",IFERROR(INDEX('זה אני - קליטה'!$AA$5:$AA$204,MATCH($A164&amp;"|סוף שנה",'זה אני - קליטה'!$Z$5:$Z$204,0)),""))</f>
      </c>
      <c r="J164" s="27">
        <f>IF($A164="","",IFERROR(INDEX('זה אני - קליטה'!$AC$5:$AC$204,MATCH($A164&amp;"|סוף שנה",'זה אני - קליטה'!$Z$5:$Z$204,0)),""))</f>
      </c>
      <c r="K164" s="36">
        <f>IF(AND(ISNUMBER(B164),ISNUMBER(H164)),H164-B164,"")</f>
      </c>
      <c r="L164" s="26">
        <f>IF(K164="","",IF(K164&gt;=1,"עלייה",IF(K164&lt;=-1,"ירידה","יציב")))</f>
      </c>
    </row>
    <row r="165" ht="15" customHeight="1" spans="1:12" x14ac:dyDescent="0.25">
      <c r="A165" s="29"/>
      <c r="B165" s="37">
        <f>IF($A165="","",IFERROR(INDEX('זה אני - קליטה'!$AG$5:$AG$204,MATCH($A165&amp;"|תחילת שנה",'זה אני - קליטה'!$Z$5:$Z$204,0)),""))</f>
      </c>
      <c r="C165" s="26">
        <f>IF($A165="","",IFERROR(INDEX('זה אני - קליטה'!$AA$5:$AA$204,MATCH($A165&amp;"|תחילת שנה",'זה אני - קליטה'!$Z$5:$Z$204,0)),""))</f>
      </c>
      <c r="D165" s="27">
        <f>IF($A165="","",IFERROR(INDEX('זה אני - קליטה'!$AC$5:$AC$204,MATCH($A165&amp;"|תחילת שנה",'זה אני - קליטה'!$Z$5:$Z$204,0)),""))</f>
      </c>
      <c r="E165" s="37">
        <f>IF($A165="","",IFERROR(INDEX('זה אני - קליטה'!$AG$5:$AG$204,MATCH($A165&amp;"|אמצע שנה",'זה אני - קליטה'!$Z$5:$Z$204,0)),""))</f>
      </c>
      <c r="F165" s="26">
        <f>IF($A165="","",IFERROR(INDEX('זה אני - קליטה'!$AA$5:$AA$204,MATCH($A165&amp;"|אמצע שנה",'זה אני - קליטה'!$Z$5:$Z$204,0)),""))</f>
      </c>
      <c r="G165" s="27">
        <f>IF($A165="","",IFERROR(INDEX('זה אני - קליטה'!$AC$5:$AC$204,MATCH($A165&amp;"|אמצע שנה",'זה אני - קליטה'!$Z$5:$Z$204,0)),""))</f>
      </c>
      <c r="H165" s="37">
        <f>IF($A165="","",IFERROR(INDEX('זה אני - קליטה'!$AG$5:$AG$204,MATCH($A165&amp;"|סוף שנה",'זה אני - קליטה'!$Z$5:$Z$204,0)),""))</f>
      </c>
      <c r="I165" s="26">
        <f>IF($A165="","",IFERROR(INDEX('זה אני - קליטה'!$AA$5:$AA$204,MATCH($A165&amp;"|סוף שנה",'זה אני - קליטה'!$Z$5:$Z$204,0)),""))</f>
      </c>
      <c r="J165" s="27">
        <f>IF($A165="","",IFERROR(INDEX('זה אני - קליטה'!$AC$5:$AC$204,MATCH($A165&amp;"|סוף שנה",'זה אני - קליטה'!$Z$5:$Z$204,0)),""))</f>
      </c>
      <c r="K165" s="36">
        <f>IF(AND(ISNUMBER(B165),ISNUMBER(H165)),H165-B165,"")</f>
      </c>
      <c r="L165" s="26">
        <f>IF(K165="","",IF(K165&gt;=1,"עלייה",IF(K165&lt;=-1,"ירידה","יציב")))</f>
      </c>
    </row>
    <row r="166" ht="15" customHeight="1" spans="1:12" x14ac:dyDescent="0.25">
      <c r="A166" s="29"/>
      <c r="B166" s="37">
        <f>IF($A166="","",IFERROR(INDEX('זה אני - קליטה'!$AG$5:$AG$204,MATCH($A166&amp;"|תחילת שנה",'זה אני - קליטה'!$Z$5:$Z$204,0)),""))</f>
      </c>
      <c r="C166" s="26">
        <f>IF($A166="","",IFERROR(INDEX('זה אני - קליטה'!$AA$5:$AA$204,MATCH($A166&amp;"|תחילת שנה",'זה אני - קליטה'!$Z$5:$Z$204,0)),""))</f>
      </c>
      <c r="D166" s="27">
        <f>IF($A166="","",IFERROR(INDEX('זה אני - קליטה'!$AC$5:$AC$204,MATCH($A166&amp;"|תחילת שנה",'זה אני - קליטה'!$Z$5:$Z$204,0)),""))</f>
      </c>
      <c r="E166" s="37">
        <f>IF($A166="","",IFERROR(INDEX('זה אני - קליטה'!$AG$5:$AG$204,MATCH($A166&amp;"|אמצע שנה",'זה אני - קליטה'!$Z$5:$Z$204,0)),""))</f>
      </c>
      <c r="F166" s="26">
        <f>IF($A166="","",IFERROR(INDEX('זה אני - קליטה'!$AA$5:$AA$204,MATCH($A166&amp;"|אמצע שנה",'זה אני - קליטה'!$Z$5:$Z$204,0)),""))</f>
      </c>
      <c r="G166" s="27">
        <f>IF($A166="","",IFERROR(INDEX('זה אני - קליטה'!$AC$5:$AC$204,MATCH($A166&amp;"|אמצע שנה",'זה אני - קליטה'!$Z$5:$Z$204,0)),""))</f>
      </c>
      <c r="H166" s="37">
        <f>IF($A166="","",IFERROR(INDEX('זה אני - קליטה'!$AG$5:$AG$204,MATCH($A166&amp;"|סוף שנה",'זה אני - קליטה'!$Z$5:$Z$204,0)),""))</f>
      </c>
      <c r="I166" s="26">
        <f>IF($A166="","",IFERROR(INDEX('זה אני - קליטה'!$AA$5:$AA$204,MATCH($A166&amp;"|סוף שנה",'זה אני - קליטה'!$Z$5:$Z$204,0)),""))</f>
      </c>
      <c r="J166" s="27">
        <f>IF($A166="","",IFERROR(INDEX('זה אני - קליטה'!$AC$5:$AC$204,MATCH($A166&amp;"|סוף שנה",'זה אני - קליטה'!$Z$5:$Z$204,0)),""))</f>
      </c>
      <c r="K166" s="36">
        <f>IF(AND(ISNUMBER(B166),ISNUMBER(H166)),H166-B166,"")</f>
      </c>
      <c r="L166" s="26">
        <f>IF(K166="","",IF(K166&gt;=1,"עלייה",IF(K166&lt;=-1,"ירידה","יציב")))</f>
      </c>
    </row>
    <row r="167" ht="15" customHeight="1" spans="1:12" x14ac:dyDescent="0.25">
      <c r="A167" s="29"/>
      <c r="B167" s="37">
        <f>IF($A167="","",IFERROR(INDEX('זה אני - קליטה'!$AG$5:$AG$204,MATCH($A167&amp;"|תחילת שנה",'זה אני - קליטה'!$Z$5:$Z$204,0)),""))</f>
      </c>
      <c r="C167" s="26">
        <f>IF($A167="","",IFERROR(INDEX('זה אני - קליטה'!$AA$5:$AA$204,MATCH($A167&amp;"|תחילת שנה",'זה אני - קליטה'!$Z$5:$Z$204,0)),""))</f>
      </c>
      <c r="D167" s="27">
        <f>IF($A167="","",IFERROR(INDEX('זה אני - קליטה'!$AC$5:$AC$204,MATCH($A167&amp;"|תחילת שנה",'זה אני - קליטה'!$Z$5:$Z$204,0)),""))</f>
      </c>
      <c r="E167" s="37">
        <f>IF($A167="","",IFERROR(INDEX('זה אני - קליטה'!$AG$5:$AG$204,MATCH($A167&amp;"|אמצע שנה",'זה אני - קליטה'!$Z$5:$Z$204,0)),""))</f>
      </c>
      <c r="F167" s="26">
        <f>IF($A167="","",IFERROR(INDEX('זה אני - קליטה'!$AA$5:$AA$204,MATCH($A167&amp;"|אמצע שנה",'זה אני - קליטה'!$Z$5:$Z$204,0)),""))</f>
      </c>
      <c r="G167" s="27">
        <f>IF($A167="","",IFERROR(INDEX('זה אני - קליטה'!$AC$5:$AC$204,MATCH($A167&amp;"|אמצע שנה",'זה אני - קליטה'!$Z$5:$Z$204,0)),""))</f>
      </c>
      <c r="H167" s="37">
        <f>IF($A167="","",IFERROR(INDEX('זה אני - קליטה'!$AG$5:$AG$204,MATCH($A167&amp;"|סוף שנה",'זה אני - קליטה'!$Z$5:$Z$204,0)),""))</f>
      </c>
      <c r="I167" s="26">
        <f>IF($A167="","",IFERROR(INDEX('זה אני - קליטה'!$AA$5:$AA$204,MATCH($A167&amp;"|סוף שנה",'זה אני - קליטה'!$Z$5:$Z$204,0)),""))</f>
      </c>
      <c r="J167" s="27">
        <f>IF($A167="","",IFERROR(INDEX('זה אני - קליטה'!$AC$5:$AC$204,MATCH($A167&amp;"|סוף שנה",'זה אני - קליטה'!$Z$5:$Z$204,0)),""))</f>
      </c>
      <c r="K167" s="36">
        <f>IF(AND(ISNUMBER(B167),ISNUMBER(H167)),H167-B167,"")</f>
      </c>
      <c r="L167" s="26">
        <f>IF(K167="","",IF(K167&gt;=1,"עלייה",IF(K167&lt;=-1,"ירידה","יציב")))</f>
      </c>
    </row>
    <row r="168" ht="15" customHeight="1" spans="1:12" x14ac:dyDescent="0.25">
      <c r="A168" s="29"/>
      <c r="B168" s="37">
        <f>IF($A168="","",IFERROR(INDEX('זה אני - קליטה'!$AG$5:$AG$204,MATCH($A168&amp;"|תחילת שנה",'זה אני - קליטה'!$Z$5:$Z$204,0)),""))</f>
      </c>
      <c r="C168" s="26">
        <f>IF($A168="","",IFERROR(INDEX('זה אני - קליטה'!$AA$5:$AA$204,MATCH($A168&amp;"|תחילת שנה",'זה אני - קליטה'!$Z$5:$Z$204,0)),""))</f>
      </c>
      <c r="D168" s="27">
        <f>IF($A168="","",IFERROR(INDEX('זה אני - קליטה'!$AC$5:$AC$204,MATCH($A168&amp;"|תחילת שנה",'זה אני - קליטה'!$Z$5:$Z$204,0)),""))</f>
      </c>
      <c r="E168" s="37">
        <f>IF($A168="","",IFERROR(INDEX('זה אני - קליטה'!$AG$5:$AG$204,MATCH($A168&amp;"|אמצע שנה",'זה אני - קליטה'!$Z$5:$Z$204,0)),""))</f>
      </c>
      <c r="F168" s="26">
        <f>IF($A168="","",IFERROR(INDEX('זה אני - קליטה'!$AA$5:$AA$204,MATCH($A168&amp;"|אמצע שנה",'זה אני - קליטה'!$Z$5:$Z$204,0)),""))</f>
      </c>
      <c r="G168" s="27">
        <f>IF($A168="","",IFERROR(INDEX('זה אני - קליטה'!$AC$5:$AC$204,MATCH($A168&amp;"|אמצע שנה",'זה אני - קליטה'!$Z$5:$Z$204,0)),""))</f>
      </c>
      <c r="H168" s="37">
        <f>IF($A168="","",IFERROR(INDEX('זה אני - קליטה'!$AG$5:$AG$204,MATCH($A168&amp;"|סוף שנה",'זה אני - קליטה'!$Z$5:$Z$204,0)),""))</f>
      </c>
      <c r="I168" s="26">
        <f>IF($A168="","",IFERROR(INDEX('זה אני - קליטה'!$AA$5:$AA$204,MATCH($A168&amp;"|סוף שנה",'זה אני - קליטה'!$Z$5:$Z$204,0)),""))</f>
      </c>
      <c r="J168" s="27">
        <f>IF($A168="","",IFERROR(INDEX('זה אני - קליטה'!$AC$5:$AC$204,MATCH($A168&amp;"|סוף שנה",'זה אני - קליטה'!$Z$5:$Z$204,0)),""))</f>
      </c>
      <c r="K168" s="36">
        <f>IF(AND(ISNUMBER(B168),ISNUMBER(H168)),H168-B168,"")</f>
      </c>
      <c r="L168" s="26">
        <f>IF(K168="","",IF(K168&gt;=1,"עלייה",IF(K168&lt;=-1,"ירידה","יציב")))</f>
      </c>
    </row>
    <row r="169" ht="15" customHeight="1" spans="1:12" x14ac:dyDescent="0.25">
      <c r="A169" s="29"/>
      <c r="B169" s="37">
        <f>IF($A169="","",IFERROR(INDEX('זה אני - קליטה'!$AG$5:$AG$204,MATCH($A169&amp;"|תחילת שנה",'זה אני - קליטה'!$Z$5:$Z$204,0)),""))</f>
      </c>
      <c r="C169" s="26">
        <f>IF($A169="","",IFERROR(INDEX('זה אני - קליטה'!$AA$5:$AA$204,MATCH($A169&amp;"|תחילת שנה",'זה אני - קליטה'!$Z$5:$Z$204,0)),""))</f>
      </c>
      <c r="D169" s="27">
        <f>IF($A169="","",IFERROR(INDEX('זה אני - קליטה'!$AC$5:$AC$204,MATCH($A169&amp;"|תחילת שנה",'זה אני - קליטה'!$Z$5:$Z$204,0)),""))</f>
      </c>
      <c r="E169" s="37">
        <f>IF($A169="","",IFERROR(INDEX('זה אני - קליטה'!$AG$5:$AG$204,MATCH($A169&amp;"|אמצע שנה",'זה אני - קליטה'!$Z$5:$Z$204,0)),""))</f>
      </c>
      <c r="F169" s="26">
        <f>IF($A169="","",IFERROR(INDEX('זה אני - קליטה'!$AA$5:$AA$204,MATCH($A169&amp;"|אמצע שנה",'זה אני - קליטה'!$Z$5:$Z$204,0)),""))</f>
      </c>
      <c r="G169" s="27">
        <f>IF($A169="","",IFERROR(INDEX('זה אני - קליטה'!$AC$5:$AC$204,MATCH($A169&amp;"|אמצע שנה",'זה אני - קליטה'!$Z$5:$Z$204,0)),""))</f>
      </c>
      <c r="H169" s="37">
        <f>IF($A169="","",IFERROR(INDEX('זה אני - קליטה'!$AG$5:$AG$204,MATCH($A169&amp;"|סוף שנה",'זה אני - קליטה'!$Z$5:$Z$204,0)),""))</f>
      </c>
      <c r="I169" s="26">
        <f>IF($A169="","",IFERROR(INDEX('זה אני - קליטה'!$AA$5:$AA$204,MATCH($A169&amp;"|סוף שנה",'זה אני - קליטה'!$Z$5:$Z$204,0)),""))</f>
      </c>
      <c r="J169" s="27">
        <f>IF($A169="","",IFERROR(INDEX('זה אני - קליטה'!$AC$5:$AC$204,MATCH($A169&amp;"|סוף שנה",'זה אני - קליטה'!$Z$5:$Z$204,0)),""))</f>
      </c>
      <c r="K169" s="36">
        <f>IF(AND(ISNUMBER(B169),ISNUMBER(H169)),H169-B169,"")</f>
      </c>
      <c r="L169" s="26">
        <f>IF(K169="","",IF(K169&gt;=1,"עלייה",IF(K169&lt;=-1,"ירידה","יציב")))</f>
      </c>
    </row>
    <row r="170" ht="15" customHeight="1" spans="1:12" x14ac:dyDescent="0.25">
      <c r="A170" s="29"/>
      <c r="B170" s="37">
        <f>IF($A170="","",IFERROR(INDEX('זה אני - קליטה'!$AG$5:$AG$204,MATCH($A170&amp;"|תחילת שנה",'זה אני - קליטה'!$Z$5:$Z$204,0)),""))</f>
      </c>
      <c r="C170" s="26">
        <f>IF($A170="","",IFERROR(INDEX('זה אני - קליטה'!$AA$5:$AA$204,MATCH($A170&amp;"|תחילת שנה",'זה אני - קליטה'!$Z$5:$Z$204,0)),""))</f>
      </c>
      <c r="D170" s="27">
        <f>IF($A170="","",IFERROR(INDEX('זה אני - קליטה'!$AC$5:$AC$204,MATCH($A170&amp;"|תחילת שנה",'זה אני - קליטה'!$Z$5:$Z$204,0)),""))</f>
      </c>
      <c r="E170" s="37">
        <f>IF($A170="","",IFERROR(INDEX('זה אני - קליטה'!$AG$5:$AG$204,MATCH($A170&amp;"|אמצע שנה",'זה אני - קליטה'!$Z$5:$Z$204,0)),""))</f>
      </c>
      <c r="F170" s="26">
        <f>IF($A170="","",IFERROR(INDEX('זה אני - קליטה'!$AA$5:$AA$204,MATCH($A170&amp;"|אמצע שנה",'זה אני - קליטה'!$Z$5:$Z$204,0)),""))</f>
      </c>
      <c r="G170" s="27">
        <f>IF($A170="","",IFERROR(INDEX('זה אני - קליטה'!$AC$5:$AC$204,MATCH($A170&amp;"|אמצע שנה",'זה אני - קליטה'!$Z$5:$Z$204,0)),""))</f>
      </c>
      <c r="H170" s="37">
        <f>IF($A170="","",IFERROR(INDEX('זה אני - קליטה'!$AG$5:$AG$204,MATCH($A170&amp;"|סוף שנה",'זה אני - קליטה'!$Z$5:$Z$204,0)),""))</f>
      </c>
      <c r="I170" s="26">
        <f>IF($A170="","",IFERROR(INDEX('זה אני - קליטה'!$AA$5:$AA$204,MATCH($A170&amp;"|סוף שנה",'זה אני - קליטה'!$Z$5:$Z$204,0)),""))</f>
      </c>
      <c r="J170" s="27">
        <f>IF($A170="","",IFERROR(INDEX('זה אני - קליטה'!$AC$5:$AC$204,MATCH($A170&amp;"|סוף שנה",'זה אני - קליטה'!$Z$5:$Z$204,0)),""))</f>
      </c>
      <c r="K170" s="36">
        <f>IF(AND(ISNUMBER(B170),ISNUMBER(H170)),H170-B170,"")</f>
      </c>
      <c r="L170" s="26">
        <f>IF(K170="","",IF(K170&gt;=1,"עלייה",IF(K170&lt;=-1,"ירידה","יציב")))</f>
      </c>
    </row>
    <row r="171" ht="15" customHeight="1" spans="1:12" x14ac:dyDescent="0.25">
      <c r="A171" s="29"/>
      <c r="B171" s="37">
        <f>IF($A171="","",IFERROR(INDEX('זה אני - קליטה'!$AG$5:$AG$204,MATCH($A171&amp;"|תחילת שנה",'זה אני - קליטה'!$Z$5:$Z$204,0)),""))</f>
      </c>
      <c r="C171" s="26">
        <f>IF($A171="","",IFERROR(INDEX('זה אני - קליטה'!$AA$5:$AA$204,MATCH($A171&amp;"|תחילת שנה",'זה אני - קליטה'!$Z$5:$Z$204,0)),""))</f>
      </c>
      <c r="D171" s="27">
        <f>IF($A171="","",IFERROR(INDEX('זה אני - קליטה'!$AC$5:$AC$204,MATCH($A171&amp;"|תחילת שנה",'זה אני - קליטה'!$Z$5:$Z$204,0)),""))</f>
      </c>
      <c r="E171" s="37">
        <f>IF($A171="","",IFERROR(INDEX('זה אני - קליטה'!$AG$5:$AG$204,MATCH($A171&amp;"|אמצע שנה",'זה אני - קליטה'!$Z$5:$Z$204,0)),""))</f>
      </c>
      <c r="F171" s="26">
        <f>IF($A171="","",IFERROR(INDEX('זה אני - קליטה'!$AA$5:$AA$204,MATCH($A171&amp;"|אמצע שנה",'זה אני - קליטה'!$Z$5:$Z$204,0)),""))</f>
      </c>
      <c r="G171" s="27">
        <f>IF($A171="","",IFERROR(INDEX('זה אני - קליטה'!$AC$5:$AC$204,MATCH($A171&amp;"|אמצע שנה",'זה אני - קליטה'!$Z$5:$Z$204,0)),""))</f>
      </c>
      <c r="H171" s="37">
        <f>IF($A171="","",IFERROR(INDEX('זה אני - קליטה'!$AG$5:$AG$204,MATCH($A171&amp;"|סוף שנה",'זה אני - קליטה'!$Z$5:$Z$204,0)),""))</f>
      </c>
      <c r="I171" s="26">
        <f>IF($A171="","",IFERROR(INDEX('זה אני - קליטה'!$AA$5:$AA$204,MATCH($A171&amp;"|סוף שנה",'זה אני - קליטה'!$Z$5:$Z$204,0)),""))</f>
      </c>
      <c r="J171" s="27">
        <f>IF($A171="","",IFERROR(INDEX('זה אני - קליטה'!$AC$5:$AC$204,MATCH($A171&amp;"|סוף שנה",'זה אני - קליטה'!$Z$5:$Z$204,0)),""))</f>
      </c>
      <c r="K171" s="36">
        <f>IF(AND(ISNUMBER(B171),ISNUMBER(H171)),H171-B171,"")</f>
      </c>
      <c r="L171" s="26">
        <f>IF(K171="","",IF(K171&gt;=1,"עלייה",IF(K171&lt;=-1,"ירידה","יציב")))</f>
      </c>
    </row>
    <row r="172" ht="15" customHeight="1" spans="1:12" x14ac:dyDescent="0.25">
      <c r="A172" s="29"/>
      <c r="B172" s="37">
        <f>IF($A172="","",IFERROR(INDEX('זה אני - קליטה'!$AG$5:$AG$204,MATCH($A172&amp;"|תחילת שנה",'זה אני - קליטה'!$Z$5:$Z$204,0)),""))</f>
      </c>
      <c r="C172" s="26">
        <f>IF($A172="","",IFERROR(INDEX('זה אני - קליטה'!$AA$5:$AA$204,MATCH($A172&amp;"|תחילת שנה",'זה אני - קליטה'!$Z$5:$Z$204,0)),""))</f>
      </c>
      <c r="D172" s="27">
        <f>IF($A172="","",IFERROR(INDEX('זה אני - קליטה'!$AC$5:$AC$204,MATCH($A172&amp;"|תחילת שנה",'זה אני - קליטה'!$Z$5:$Z$204,0)),""))</f>
      </c>
      <c r="E172" s="37">
        <f>IF($A172="","",IFERROR(INDEX('זה אני - קליטה'!$AG$5:$AG$204,MATCH($A172&amp;"|אמצע שנה",'זה אני - קליטה'!$Z$5:$Z$204,0)),""))</f>
      </c>
      <c r="F172" s="26">
        <f>IF($A172="","",IFERROR(INDEX('זה אני - קליטה'!$AA$5:$AA$204,MATCH($A172&amp;"|אמצע שנה",'זה אני - קליטה'!$Z$5:$Z$204,0)),""))</f>
      </c>
      <c r="G172" s="27">
        <f>IF($A172="","",IFERROR(INDEX('זה אני - קליטה'!$AC$5:$AC$204,MATCH($A172&amp;"|אמצע שנה",'זה אני - קליטה'!$Z$5:$Z$204,0)),""))</f>
      </c>
      <c r="H172" s="37">
        <f>IF($A172="","",IFERROR(INDEX('זה אני - קליטה'!$AG$5:$AG$204,MATCH($A172&amp;"|סוף שנה",'זה אני - קליטה'!$Z$5:$Z$204,0)),""))</f>
      </c>
      <c r="I172" s="26">
        <f>IF($A172="","",IFERROR(INDEX('זה אני - קליטה'!$AA$5:$AA$204,MATCH($A172&amp;"|סוף שנה",'זה אני - קליטה'!$Z$5:$Z$204,0)),""))</f>
      </c>
      <c r="J172" s="27">
        <f>IF($A172="","",IFERROR(INDEX('זה אני - קליטה'!$AC$5:$AC$204,MATCH($A172&amp;"|סוף שנה",'זה אני - קליטה'!$Z$5:$Z$204,0)),""))</f>
      </c>
      <c r="K172" s="36">
        <f>IF(AND(ISNUMBER(B172),ISNUMBER(H172)),H172-B172,"")</f>
      </c>
      <c r="L172" s="26">
        <f>IF(K172="","",IF(K172&gt;=1,"עלייה",IF(K172&lt;=-1,"ירידה","יציב")))</f>
      </c>
    </row>
    <row r="173" ht="15" customHeight="1" spans="1:12" x14ac:dyDescent="0.25">
      <c r="A173" s="29"/>
      <c r="B173" s="37">
        <f>IF($A173="","",IFERROR(INDEX('זה אני - קליטה'!$AG$5:$AG$204,MATCH($A173&amp;"|תחילת שנה",'זה אני - קליטה'!$Z$5:$Z$204,0)),""))</f>
      </c>
      <c r="C173" s="26">
        <f>IF($A173="","",IFERROR(INDEX('זה אני - קליטה'!$AA$5:$AA$204,MATCH($A173&amp;"|תחילת שנה",'זה אני - קליטה'!$Z$5:$Z$204,0)),""))</f>
      </c>
      <c r="D173" s="27">
        <f>IF($A173="","",IFERROR(INDEX('זה אני - קליטה'!$AC$5:$AC$204,MATCH($A173&amp;"|תחילת שנה",'זה אני - קליטה'!$Z$5:$Z$204,0)),""))</f>
      </c>
      <c r="E173" s="37">
        <f>IF($A173="","",IFERROR(INDEX('זה אני - קליטה'!$AG$5:$AG$204,MATCH($A173&amp;"|אמצע שנה",'זה אני - קליטה'!$Z$5:$Z$204,0)),""))</f>
      </c>
      <c r="F173" s="26">
        <f>IF($A173="","",IFERROR(INDEX('זה אני - קליטה'!$AA$5:$AA$204,MATCH($A173&amp;"|אמצע שנה",'זה אני - קליטה'!$Z$5:$Z$204,0)),""))</f>
      </c>
      <c r="G173" s="27">
        <f>IF($A173="","",IFERROR(INDEX('זה אני - קליטה'!$AC$5:$AC$204,MATCH($A173&amp;"|אמצע שנה",'זה אני - קליטה'!$Z$5:$Z$204,0)),""))</f>
      </c>
      <c r="H173" s="37">
        <f>IF($A173="","",IFERROR(INDEX('זה אני - קליטה'!$AG$5:$AG$204,MATCH($A173&amp;"|סוף שנה",'זה אני - קליטה'!$Z$5:$Z$204,0)),""))</f>
      </c>
      <c r="I173" s="26">
        <f>IF($A173="","",IFERROR(INDEX('זה אני - קליטה'!$AA$5:$AA$204,MATCH($A173&amp;"|סוף שנה",'זה אני - קליטה'!$Z$5:$Z$204,0)),""))</f>
      </c>
      <c r="J173" s="27">
        <f>IF($A173="","",IFERROR(INDEX('זה אני - קליטה'!$AC$5:$AC$204,MATCH($A173&amp;"|סוף שנה",'זה אני - קליטה'!$Z$5:$Z$204,0)),""))</f>
      </c>
      <c r="K173" s="36">
        <f>IF(AND(ISNUMBER(B173),ISNUMBER(H173)),H173-B173,"")</f>
      </c>
      <c r="L173" s="26">
        <f>IF(K173="","",IF(K173&gt;=1,"עלייה",IF(K173&lt;=-1,"ירידה","יציב")))</f>
      </c>
    </row>
    <row r="174" ht="15" customHeight="1" spans="1:12" x14ac:dyDescent="0.25">
      <c r="A174" s="29"/>
      <c r="B174" s="37">
        <f>IF($A174="","",IFERROR(INDEX('זה אני - קליטה'!$AG$5:$AG$204,MATCH($A174&amp;"|תחילת שנה",'זה אני - קליטה'!$Z$5:$Z$204,0)),""))</f>
      </c>
      <c r="C174" s="26">
        <f>IF($A174="","",IFERROR(INDEX('זה אני - קליטה'!$AA$5:$AA$204,MATCH($A174&amp;"|תחילת שנה",'זה אני - קליטה'!$Z$5:$Z$204,0)),""))</f>
      </c>
      <c r="D174" s="27">
        <f>IF($A174="","",IFERROR(INDEX('זה אני - קליטה'!$AC$5:$AC$204,MATCH($A174&amp;"|תחילת שנה",'זה אני - קליטה'!$Z$5:$Z$204,0)),""))</f>
      </c>
      <c r="E174" s="37">
        <f>IF($A174="","",IFERROR(INDEX('זה אני - קליטה'!$AG$5:$AG$204,MATCH($A174&amp;"|אמצע שנה",'זה אני - קליטה'!$Z$5:$Z$204,0)),""))</f>
      </c>
      <c r="F174" s="26">
        <f>IF($A174="","",IFERROR(INDEX('זה אני - קליטה'!$AA$5:$AA$204,MATCH($A174&amp;"|אמצע שנה",'זה אני - קליטה'!$Z$5:$Z$204,0)),""))</f>
      </c>
      <c r="G174" s="27">
        <f>IF($A174="","",IFERROR(INDEX('זה אני - קליטה'!$AC$5:$AC$204,MATCH($A174&amp;"|אמצע שנה",'זה אני - קליטה'!$Z$5:$Z$204,0)),""))</f>
      </c>
      <c r="H174" s="37">
        <f>IF($A174="","",IFERROR(INDEX('זה אני - קליטה'!$AG$5:$AG$204,MATCH($A174&amp;"|סוף שנה",'זה אני - קליטה'!$Z$5:$Z$204,0)),""))</f>
      </c>
      <c r="I174" s="26">
        <f>IF($A174="","",IFERROR(INDEX('זה אני - קליטה'!$AA$5:$AA$204,MATCH($A174&amp;"|סוף שנה",'זה אני - קליטה'!$Z$5:$Z$204,0)),""))</f>
      </c>
      <c r="J174" s="27">
        <f>IF($A174="","",IFERROR(INDEX('זה אני - קליטה'!$AC$5:$AC$204,MATCH($A174&amp;"|סוף שנה",'זה אני - קליטה'!$Z$5:$Z$204,0)),""))</f>
      </c>
      <c r="K174" s="36">
        <f>IF(AND(ISNUMBER(B174),ISNUMBER(H174)),H174-B174,"")</f>
      </c>
      <c r="L174" s="26">
        <f>IF(K174="","",IF(K174&gt;=1,"עלייה",IF(K174&lt;=-1,"ירידה","יציב")))</f>
      </c>
    </row>
    <row r="175" ht="15" customHeight="1" spans="1:12" x14ac:dyDescent="0.25">
      <c r="A175" s="29"/>
      <c r="B175" s="37">
        <f>IF($A175="","",IFERROR(INDEX('זה אני - קליטה'!$AG$5:$AG$204,MATCH($A175&amp;"|תחילת שנה",'זה אני - קליטה'!$Z$5:$Z$204,0)),""))</f>
      </c>
      <c r="C175" s="26">
        <f>IF($A175="","",IFERROR(INDEX('זה אני - קליטה'!$AA$5:$AA$204,MATCH($A175&amp;"|תחילת שנה",'זה אני - קליטה'!$Z$5:$Z$204,0)),""))</f>
      </c>
      <c r="D175" s="27">
        <f>IF($A175="","",IFERROR(INDEX('זה אני - קליטה'!$AC$5:$AC$204,MATCH($A175&amp;"|תחילת שנה",'זה אני - קליטה'!$Z$5:$Z$204,0)),""))</f>
      </c>
      <c r="E175" s="37">
        <f>IF($A175="","",IFERROR(INDEX('זה אני - קליטה'!$AG$5:$AG$204,MATCH($A175&amp;"|אמצע שנה",'זה אני - קליטה'!$Z$5:$Z$204,0)),""))</f>
      </c>
      <c r="F175" s="26">
        <f>IF($A175="","",IFERROR(INDEX('זה אני - קליטה'!$AA$5:$AA$204,MATCH($A175&amp;"|אמצע שנה",'זה אני - קליטה'!$Z$5:$Z$204,0)),""))</f>
      </c>
      <c r="G175" s="27">
        <f>IF($A175="","",IFERROR(INDEX('זה אני - קליטה'!$AC$5:$AC$204,MATCH($A175&amp;"|אמצע שנה",'זה אני - קליטה'!$Z$5:$Z$204,0)),""))</f>
      </c>
      <c r="H175" s="37">
        <f>IF($A175="","",IFERROR(INDEX('זה אני - קליטה'!$AG$5:$AG$204,MATCH($A175&amp;"|סוף שנה",'זה אני - קליטה'!$Z$5:$Z$204,0)),""))</f>
      </c>
      <c r="I175" s="26">
        <f>IF($A175="","",IFERROR(INDEX('זה אני - קליטה'!$AA$5:$AA$204,MATCH($A175&amp;"|סוף שנה",'זה אני - קליטה'!$Z$5:$Z$204,0)),""))</f>
      </c>
      <c r="J175" s="27">
        <f>IF($A175="","",IFERROR(INDEX('זה אני - קליטה'!$AC$5:$AC$204,MATCH($A175&amp;"|סוף שנה",'זה אני - קליטה'!$Z$5:$Z$204,0)),""))</f>
      </c>
      <c r="K175" s="36">
        <f>IF(AND(ISNUMBER(B175),ISNUMBER(H175)),H175-B175,"")</f>
      </c>
      <c r="L175" s="26">
        <f>IF(K175="","",IF(K175&gt;=1,"עלייה",IF(K175&lt;=-1,"ירידה","יציב")))</f>
      </c>
    </row>
    <row r="176" ht="15" customHeight="1" spans="1:12" x14ac:dyDescent="0.25">
      <c r="A176" s="29"/>
      <c r="B176" s="37">
        <f>IF($A176="","",IFERROR(INDEX('זה אני - קליטה'!$AG$5:$AG$204,MATCH($A176&amp;"|תחילת שנה",'זה אני - קליטה'!$Z$5:$Z$204,0)),""))</f>
      </c>
      <c r="C176" s="26">
        <f>IF($A176="","",IFERROR(INDEX('זה אני - קליטה'!$AA$5:$AA$204,MATCH($A176&amp;"|תחילת שנה",'זה אני - קליטה'!$Z$5:$Z$204,0)),""))</f>
      </c>
      <c r="D176" s="27">
        <f>IF($A176="","",IFERROR(INDEX('זה אני - קליטה'!$AC$5:$AC$204,MATCH($A176&amp;"|תחילת שנה",'זה אני - קליטה'!$Z$5:$Z$204,0)),""))</f>
      </c>
      <c r="E176" s="37">
        <f>IF($A176="","",IFERROR(INDEX('זה אני - קליטה'!$AG$5:$AG$204,MATCH($A176&amp;"|אמצע שנה",'זה אני - קליטה'!$Z$5:$Z$204,0)),""))</f>
      </c>
      <c r="F176" s="26">
        <f>IF($A176="","",IFERROR(INDEX('זה אני - קליטה'!$AA$5:$AA$204,MATCH($A176&amp;"|אמצע שנה",'זה אני - קליטה'!$Z$5:$Z$204,0)),""))</f>
      </c>
      <c r="G176" s="27">
        <f>IF($A176="","",IFERROR(INDEX('זה אני - קליטה'!$AC$5:$AC$204,MATCH($A176&amp;"|אמצע שנה",'זה אני - קליטה'!$Z$5:$Z$204,0)),""))</f>
      </c>
      <c r="H176" s="37">
        <f>IF($A176="","",IFERROR(INDEX('זה אני - קליטה'!$AG$5:$AG$204,MATCH($A176&amp;"|סוף שנה",'זה אני - קליטה'!$Z$5:$Z$204,0)),""))</f>
      </c>
      <c r="I176" s="26">
        <f>IF($A176="","",IFERROR(INDEX('זה אני - קליטה'!$AA$5:$AA$204,MATCH($A176&amp;"|סוף שנה",'זה אני - קליטה'!$Z$5:$Z$204,0)),""))</f>
      </c>
      <c r="J176" s="27">
        <f>IF($A176="","",IFERROR(INDEX('זה אני - קליטה'!$AC$5:$AC$204,MATCH($A176&amp;"|סוף שנה",'זה אני - קליטה'!$Z$5:$Z$204,0)),""))</f>
      </c>
      <c r="K176" s="36">
        <f>IF(AND(ISNUMBER(B176),ISNUMBER(H176)),H176-B176,"")</f>
      </c>
      <c r="L176" s="26">
        <f>IF(K176="","",IF(K176&gt;=1,"עלייה",IF(K176&lt;=-1,"ירידה","יציב")))</f>
      </c>
    </row>
    <row r="177" ht="15" customHeight="1" spans="1:12" x14ac:dyDescent="0.25">
      <c r="A177" s="29"/>
      <c r="B177" s="37">
        <f>IF($A177="","",IFERROR(INDEX('זה אני - קליטה'!$AG$5:$AG$204,MATCH($A177&amp;"|תחילת שנה",'זה אני - קליטה'!$Z$5:$Z$204,0)),""))</f>
      </c>
      <c r="C177" s="26">
        <f>IF($A177="","",IFERROR(INDEX('זה אני - קליטה'!$AA$5:$AA$204,MATCH($A177&amp;"|תחילת שנה",'זה אני - קליטה'!$Z$5:$Z$204,0)),""))</f>
      </c>
      <c r="D177" s="27">
        <f>IF($A177="","",IFERROR(INDEX('זה אני - קליטה'!$AC$5:$AC$204,MATCH($A177&amp;"|תחילת שנה",'זה אני - קליטה'!$Z$5:$Z$204,0)),""))</f>
      </c>
      <c r="E177" s="37">
        <f>IF($A177="","",IFERROR(INDEX('זה אני - קליטה'!$AG$5:$AG$204,MATCH($A177&amp;"|אמצע שנה",'זה אני - קליטה'!$Z$5:$Z$204,0)),""))</f>
      </c>
      <c r="F177" s="26">
        <f>IF($A177="","",IFERROR(INDEX('זה אני - קליטה'!$AA$5:$AA$204,MATCH($A177&amp;"|אמצע שנה",'זה אני - קליטה'!$Z$5:$Z$204,0)),""))</f>
      </c>
      <c r="G177" s="27">
        <f>IF($A177="","",IFERROR(INDEX('זה אני - קליטה'!$AC$5:$AC$204,MATCH($A177&amp;"|אמצע שנה",'זה אני - קליטה'!$Z$5:$Z$204,0)),""))</f>
      </c>
      <c r="H177" s="37">
        <f>IF($A177="","",IFERROR(INDEX('זה אני - קליטה'!$AG$5:$AG$204,MATCH($A177&amp;"|סוף שנה",'זה אני - קליטה'!$Z$5:$Z$204,0)),""))</f>
      </c>
      <c r="I177" s="26">
        <f>IF($A177="","",IFERROR(INDEX('זה אני - קליטה'!$AA$5:$AA$204,MATCH($A177&amp;"|סוף שנה",'זה אני - קליטה'!$Z$5:$Z$204,0)),""))</f>
      </c>
      <c r="J177" s="27">
        <f>IF($A177="","",IFERROR(INDEX('זה אני - קליטה'!$AC$5:$AC$204,MATCH($A177&amp;"|סוף שנה",'זה אני - קליטה'!$Z$5:$Z$204,0)),""))</f>
      </c>
      <c r="K177" s="36">
        <f>IF(AND(ISNUMBER(B177),ISNUMBER(H177)),H177-B177,"")</f>
      </c>
      <c r="L177" s="26">
        <f>IF(K177="","",IF(K177&gt;=1,"עלייה",IF(K177&lt;=-1,"ירידה","יציב")))</f>
      </c>
    </row>
    <row r="178" ht="15" customHeight="1" spans="1:12" x14ac:dyDescent="0.25">
      <c r="A178" s="29"/>
      <c r="B178" s="37">
        <f>IF($A178="","",IFERROR(INDEX('זה אני - קליטה'!$AG$5:$AG$204,MATCH($A178&amp;"|תחילת שנה",'זה אני - קליטה'!$Z$5:$Z$204,0)),""))</f>
      </c>
      <c r="C178" s="26">
        <f>IF($A178="","",IFERROR(INDEX('זה אני - קליטה'!$AA$5:$AA$204,MATCH($A178&amp;"|תחילת שנה",'זה אני - קליטה'!$Z$5:$Z$204,0)),""))</f>
      </c>
      <c r="D178" s="27">
        <f>IF($A178="","",IFERROR(INDEX('זה אני - קליטה'!$AC$5:$AC$204,MATCH($A178&amp;"|תחילת שנה",'זה אני - קליטה'!$Z$5:$Z$204,0)),""))</f>
      </c>
      <c r="E178" s="37">
        <f>IF($A178="","",IFERROR(INDEX('זה אני - קליטה'!$AG$5:$AG$204,MATCH($A178&amp;"|אמצע שנה",'זה אני - קליטה'!$Z$5:$Z$204,0)),""))</f>
      </c>
      <c r="F178" s="26">
        <f>IF($A178="","",IFERROR(INDEX('זה אני - קליטה'!$AA$5:$AA$204,MATCH($A178&amp;"|אמצע שנה",'זה אני - קליטה'!$Z$5:$Z$204,0)),""))</f>
      </c>
      <c r="G178" s="27">
        <f>IF($A178="","",IFERROR(INDEX('זה אני - קליטה'!$AC$5:$AC$204,MATCH($A178&amp;"|אמצע שנה",'זה אני - קליטה'!$Z$5:$Z$204,0)),""))</f>
      </c>
      <c r="H178" s="37">
        <f>IF($A178="","",IFERROR(INDEX('זה אני - קליטה'!$AG$5:$AG$204,MATCH($A178&amp;"|סוף שנה",'זה אני - קליטה'!$Z$5:$Z$204,0)),""))</f>
      </c>
      <c r="I178" s="26">
        <f>IF($A178="","",IFERROR(INDEX('זה אני - קליטה'!$AA$5:$AA$204,MATCH($A178&amp;"|סוף שנה",'זה אני - קליטה'!$Z$5:$Z$204,0)),""))</f>
      </c>
      <c r="J178" s="27">
        <f>IF($A178="","",IFERROR(INDEX('זה אני - קליטה'!$AC$5:$AC$204,MATCH($A178&amp;"|סוף שנה",'זה אני - קליטה'!$Z$5:$Z$204,0)),""))</f>
      </c>
      <c r="K178" s="36">
        <f>IF(AND(ISNUMBER(B178),ISNUMBER(H178)),H178-B178,"")</f>
      </c>
      <c r="L178" s="26">
        <f>IF(K178="","",IF(K178&gt;=1,"עלייה",IF(K178&lt;=-1,"ירידה","יציב")))</f>
      </c>
    </row>
    <row r="179" ht="15" customHeight="1" spans="1:12" x14ac:dyDescent="0.25">
      <c r="A179" s="29"/>
      <c r="B179" s="37">
        <f>IF($A179="","",IFERROR(INDEX('זה אני - קליטה'!$AG$5:$AG$204,MATCH($A179&amp;"|תחילת שנה",'זה אני - קליטה'!$Z$5:$Z$204,0)),""))</f>
      </c>
      <c r="C179" s="26">
        <f>IF($A179="","",IFERROR(INDEX('זה אני - קליטה'!$AA$5:$AA$204,MATCH($A179&amp;"|תחילת שנה",'זה אני - קליטה'!$Z$5:$Z$204,0)),""))</f>
      </c>
      <c r="D179" s="27">
        <f>IF($A179="","",IFERROR(INDEX('זה אני - קליטה'!$AC$5:$AC$204,MATCH($A179&amp;"|תחילת שנה",'זה אני - קליטה'!$Z$5:$Z$204,0)),""))</f>
      </c>
      <c r="E179" s="37">
        <f>IF($A179="","",IFERROR(INDEX('זה אני - קליטה'!$AG$5:$AG$204,MATCH($A179&amp;"|אמצע שנה",'זה אני - קליטה'!$Z$5:$Z$204,0)),""))</f>
      </c>
      <c r="F179" s="26">
        <f>IF($A179="","",IFERROR(INDEX('זה אני - קליטה'!$AA$5:$AA$204,MATCH($A179&amp;"|אמצע שנה",'זה אני - קליטה'!$Z$5:$Z$204,0)),""))</f>
      </c>
      <c r="G179" s="27">
        <f>IF($A179="","",IFERROR(INDEX('זה אני - קליטה'!$AC$5:$AC$204,MATCH($A179&amp;"|אמצע שנה",'זה אני - קליטה'!$Z$5:$Z$204,0)),""))</f>
      </c>
      <c r="H179" s="37">
        <f>IF($A179="","",IFERROR(INDEX('זה אני - קליטה'!$AG$5:$AG$204,MATCH($A179&amp;"|סוף שנה",'זה אני - קליטה'!$Z$5:$Z$204,0)),""))</f>
      </c>
      <c r="I179" s="26">
        <f>IF($A179="","",IFERROR(INDEX('זה אני - קליטה'!$AA$5:$AA$204,MATCH($A179&amp;"|סוף שנה",'זה אני - קליטה'!$Z$5:$Z$204,0)),""))</f>
      </c>
      <c r="J179" s="27">
        <f>IF($A179="","",IFERROR(INDEX('זה אני - קליטה'!$AC$5:$AC$204,MATCH($A179&amp;"|סוף שנה",'זה אני - קליטה'!$Z$5:$Z$204,0)),""))</f>
      </c>
      <c r="K179" s="36">
        <f>IF(AND(ISNUMBER(B179),ISNUMBER(H179)),H179-B179,"")</f>
      </c>
      <c r="L179" s="26">
        <f>IF(K179="","",IF(K179&gt;=1,"עלייה",IF(K179&lt;=-1,"ירידה","יציב")))</f>
      </c>
    </row>
    <row r="180" ht="15" customHeight="1" spans="1:12" x14ac:dyDescent="0.25">
      <c r="A180" s="29"/>
      <c r="B180" s="37">
        <f>IF($A180="","",IFERROR(INDEX('זה אני - קליטה'!$AG$5:$AG$204,MATCH($A180&amp;"|תחילת שנה",'זה אני - קליטה'!$Z$5:$Z$204,0)),""))</f>
      </c>
      <c r="C180" s="26">
        <f>IF($A180="","",IFERROR(INDEX('זה אני - קליטה'!$AA$5:$AA$204,MATCH($A180&amp;"|תחילת שנה",'זה אני - קליטה'!$Z$5:$Z$204,0)),""))</f>
      </c>
      <c r="D180" s="27">
        <f>IF($A180="","",IFERROR(INDEX('זה אני - קליטה'!$AC$5:$AC$204,MATCH($A180&amp;"|תחילת שנה",'זה אני - קליטה'!$Z$5:$Z$204,0)),""))</f>
      </c>
      <c r="E180" s="37">
        <f>IF($A180="","",IFERROR(INDEX('זה אני - קליטה'!$AG$5:$AG$204,MATCH($A180&amp;"|אמצע שנה",'זה אני - קליטה'!$Z$5:$Z$204,0)),""))</f>
      </c>
      <c r="F180" s="26">
        <f>IF($A180="","",IFERROR(INDEX('זה אני - קליטה'!$AA$5:$AA$204,MATCH($A180&amp;"|אמצע שנה",'זה אני - קליטה'!$Z$5:$Z$204,0)),""))</f>
      </c>
      <c r="G180" s="27">
        <f>IF($A180="","",IFERROR(INDEX('זה אני - קליטה'!$AC$5:$AC$204,MATCH($A180&amp;"|אמצע שנה",'זה אני - קליטה'!$Z$5:$Z$204,0)),""))</f>
      </c>
      <c r="H180" s="37">
        <f>IF($A180="","",IFERROR(INDEX('זה אני - קליטה'!$AG$5:$AG$204,MATCH($A180&amp;"|סוף שנה",'זה אני - קליטה'!$Z$5:$Z$204,0)),""))</f>
      </c>
      <c r="I180" s="26">
        <f>IF($A180="","",IFERROR(INDEX('זה אני - קליטה'!$AA$5:$AA$204,MATCH($A180&amp;"|סוף שנה",'זה אני - קליטה'!$Z$5:$Z$204,0)),""))</f>
      </c>
      <c r="J180" s="27">
        <f>IF($A180="","",IFERROR(INDEX('זה אני - קליטה'!$AC$5:$AC$204,MATCH($A180&amp;"|סוף שנה",'זה אני - קליטה'!$Z$5:$Z$204,0)),""))</f>
      </c>
      <c r="K180" s="36">
        <f>IF(AND(ISNUMBER(B180),ISNUMBER(H180)),H180-B180,"")</f>
      </c>
      <c r="L180" s="26">
        <f>IF(K180="","",IF(K180&gt;=1,"עלייה",IF(K180&lt;=-1,"ירידה","יציב")))</f>
      </c>
    </row>
    <row r="181" ht="15" customHeight="1" spans="1:12" x14ac:dyDescent="0.25">
      <c r="A181" s="29"/>
      <c r="B181" s="37">
        <f>IF($A181="","",IFERROR(INDEX('זה אני - קליטה'!$AG$5:$AG$204,MATCH($A181&amp;"|תחילת שנה",'זה אני - קליטה'!$Z$5:$Z$204,0)),""))</f>
      </c>
      <c r="C181" s="26">
        <f>IF($A181="","",IFERROR(INDEX('זה אני - קליטה'!$AA$5:$AA$204,MATCH($A181&amp;"|תחילת שנה",'זה אני - קליטה'!$Z$5:$Z$204,0)),""))</f>
      </c>
      <c r="D181" s="27">
        <f>IF($A181="","",IFERROR(INDEX('זה אני - קליטה'!$AC$5:$AC$204,MATCH($A181&amp;"|תחילת שנה",'זה אני - קליטה'!$Z$5:$Z$204,0)),""))</f>
      </c>
      <c r="E181" s="37">
        <f>IF($A181="","",IFERROR(INDEX('זה אני - קליטה'!$AG$5:$AG$204,MATCH($A181&amp;"|אמצע שנה",'זה אני - קליטה'!$Z$5:$Z$204,0)),""))</f>
      </c>
      <c r="F181" s="26">
        <f>IF($A181="","",IFERROR(INDEX('זה אני - קליטה'!$AA$5:$AA$204,MATCH($A181&amp;"|אמצע שנה",'זה אני - קליטה'!$Z$5:$Z$204,0)),""))</f>
      </c>
      <c r="G181" s="27">
        <f>IF($A181="","",IFERROR(INDEX('זה אני - קליטה'!$AC$5:$AC$204,MATCH($A181&amp;"|אמצע שנה",'זה אני - קליטה'!$Z$5:$Z$204,0)),""))</f>
      </c>
      <c r="H181" s="37">
        <f>IF($A181="","",IFERROR(INDEX('זה אני - קליטה'!$AG$5:$AG$204,MATCH($A181&amp;"|סוף שנה",'זה אני - קליטה'!$Z$5:$Z$204,0)),""))</f>
      </c>
      <c r="I181" s="26">
        <f>IF($A181="","",IFERROR(INDEX('זה אני - קליטה'!$AA$5:$AA$204,MATCH($A181&amp;"|סוף שנה",'זה אני - קליטה'!$Z$5:$Z$204,0)),""))</f>
      </c>
      <c r="J181" s="27">
        <f>IF($A181="","",IFERROR(INDEX('זה אני - קליטה'!$AC$5:$AC$204,MATCH($A181&amp;"|סוף שנה",'זה אני - קליטה'!$Z$5:$Z$204,0)),""))</f>
      </c>
      <c r="K181" s="36">
        <f>IF(AND(ISNUMBER(B181),ISNUMBER(H181)),H181-B181,"")</f>
      </c>
      <c r="L181" s="26">
        <f>IF(K181="","",IF(K181&gt;=1,"עלייה",IF(K181&lt;=-1,"ירידה","יציב")))</f>
      </c>
    </row>
    <row r="182" ht="15" customHeight="1" spans="1:12" x14ac:dyDescent="0.25">
      <c r="A182" s="29"/>
      <c r="B182" s="37">
        <f>IF($A182="","",IFERROR(INDEX('זה אני - קליטה'!$AG$5:$AG$204,MATCH($A182&amp;"|תחילת שנה",'זה אני - קליטה'!$Z$5:$Z$204,0)),""))</f>
      </c>
      <c r="C182" s="26">
        <f>IF($A182="","",IFERROR(INDEX('זה אני - קליטה'!$AA$5:$AA$204,MATCH($A182&amp;"|תחילת שנה",'זה אני - קליטה'!$Z$5:$Z$204,0)),""))</f>
      </c>
      <c r="D182" s="27">
        <f>IF($A182="","",IFERROR(INDEX('זה אני - קליטה'!$AC$5:$AC$204,MATCH($A182&amp;"|תחילת שנה",'זה אני - קליטה'!$Z$5:$Z$204,0)),""))</f>
      </c>
      <c r="E182" s="37">
        <f>IF($A182="","",IFERROR(INDEX('זה אני - קליטה'!$AG$5:$AG$204,MATCH($A182&amp;"|אמצע שנה",'זה אני - קליטה'!$Z$5:$Z$204,0)),""))</f>
      </c>
      <c r="F182" s="26">
        <f>IF($A182="","",IFERROR(INDEX('זה אני - קליטה'!$AA$5:$AA$204,MATCH($A182&amp;"|אמצע שנה",'זה אני - קליטה'!$Z$5:$Z$204,0)),""))</f>
      </c>
      <c r="G182" s="27">
        <f>IF($A182="","",IFERROR(INDEX('זה אני - קליטה'!$AC$5:$AC$204,MATCH($A182&amp;"|אמצע שנה",'זה אני - קליטה'!$Z$5:$Z$204,0)),""))</f>
      </c>
      <c r="H182" s="37">
        <f>IF($A182="","",IFERROR(INDEX('זה אני - קליטה'!$AG$5:$AG$204,MATCH($A182&amp;"|סוף שנה",'זה אני - קליטה'!$Z$5:$Z$204,0)),""))</f>
      </c>
      <c r="I182" s="26">
        <f>IF($A182="","",IFERROR(INDEX('זה אני - קליטה'!$AA$5:$AA$204,MATCH($A182&amp;"|סוף שנה",'זה אני - קליטה'!$Z$5:$Z$204,0)),""))</f>
      </c>
      <c r="J182" s="27">
        <f>IF($A182="","",IFERROR(INDEX('זה אני - קליטה'!$AC$5:$AC$204,MATCH($A182&amp;"|סוף שנה",'זה אני - קליטה'!$Z$5:$Z$204,0)),""))</f>
      </c>
      <c r="K182" s="36">
        <f>IF(AND(ISNUMBER(B182),ISNUMBER(H182)),H182-B182,"")</f>
      </c>
      <c r="L182" s="26">
        <f>IF(K182="","",IF(K182&gt;=1,"עלייה",IF(K182&lt;=-1,"ירידה","יציב")))</f>
      </c>
    </row>
    <row r="183" ht="15" customHeight="1" spans="1:12" x14ac:dyDescent="0.25">
      <c r="A183" s="29"/>
      <c r="B183" s="37">
        <f>IF($A183="","",IFERROR(INDEX('זה אני - קליטה'!$AG$5:$AG$204,MATCH($A183&amp;"|תחילת שנה",'זה אני - קליטה'!$Z$5:$Z$204,0)),""))</f>
      </c>
      <c r="C183" s="26">
        <f>IF($A183="","",IFERROR(INDEX('זה אני - קליטה'!$AA$5:$AA$204,MATCH($A183&amp;"|תחילת שנה",'זה אני - קליטה'!$Z$5:$Z$204,0)),""))</f>
      </c>
      <c r="D183" s="27">
        <f>IF($A183="","",IFERROR(INDEX('זה אני - קליטה'!$AC$5:$AC$204,MATCH($A183&amp;"|תחילת שנה",'זה אני - קליטה'!$Z$5:$Z$204,0)),""))</f>
      </c>
      <c r="E183" s="37">
        <f>IF($A183="","",IFERROR(INDEX('זה אני - קליטה'!$AG$5:$AG$204,MATCH($A183&amp;"|אמצע שנה",'זה אני - קליטה'!$Z$5:$Z$204,0)),""))</f>
      </c>
      <c r="F183" s="26">
        <f>IF($A183="","",IFERROR(INDEX('זה אני - קליטה'!$AA$5:$AA$204,MATCH($A183&amp;"|אמצע שנה",'זה אני - קליטה'!$Z$5:$Z$204,0)),""))</f>
      </c>
      <c r="G183" s="27">
        <f>IF($A183="","",IFERROR(INDEX('זה אני - קליטה'!$AC$5:$AC$204,MATCH($A183&amp;"|אמצע שנה",'זה אני - קליטה'!$Z$5:$Z$204,0)),""))</f>
      </c>
      <c r="H183" s="37">
        <f>IF($A183="","",IFERROR(INDEX('זה אני - קליטה'!$AG$5:$AG$204,MATCH($A183&amp;"|סוף שנה",'זה אני - קליטה'!$Z$5:$Z$204,0)),""))</f>
      </c>
      <c r="I183" s="26">
        <f>IF($A183="","",IFERROR(INDEX('זה אני - קליטה'!$AA$5:$AA$204,MATCH($A183&amp;"|סוף שנה",'זה אני - קליטה'!$Z$5:$Z$204,0)),""))</f>
      </c>
      <c r="J183" s="27">
        <f>IF($A183="","",IFERROR(INDEX('זה אני - קליטה'!$AC$5:$AC$204,MATCH($A183&amp;"|סוף שנה",'זה אני - קליטה'!$Z$5:$Z$204,0)),""))</f>
      </c>
      <c r="K183" s="36">
        <f>IF(AND(ISNUMBER(B183),ISNUMBER(H183)),H183-B183,"")</f>
      </c>
      <c r="L183" s="26">
        <f>IF(K183="","",IF(K183&gt;=1,"עלייה",IF(K183&lt;=-1,"ירידה","יציב")))</f>
      </c>
    </row>
    <row r="184" ht="15" customHeight="1" spans="1:12" x14ac:dyDescent="0.25">
      <c r="A184" s="29"/>
      <c r="B184" s="37">
        <f>IF($A184="","",IFERROR(INDEX('זה אני - קליטה'!$AG$5:$AG$204,MATCH($A184&amp;"|תחילת שנה",'זה אני - קליטה'!$Z$5:$Z$204,0)),""))</f>
      </c>
      <c r="C184" s="26">
        <f>IF($A184="","",IFERROR(INDEX('זה אני - קליטה'!$AA$5:$AA$204,MATCH($A184&amp;"|תחילת שנה",'זה אני - קליטה'!$Z$5:$Z$204,0)),""))</f>
      </c>
      <c r="D184" s="27">
        <f>IF($A184="","",IFERROR(INDEX('זה אני - קליטה'!$AC$5:$AC$204,MATCH($A184&amp;"|תחילת שנה",'זה אני - קליטה'!$Z$5:$Z$204,0)),""))</f>
      </c>
      <c r="E184" s="37">
        <f>IF($A184="","",IFERROR(INDEX('זה אני - קליטה'!$AG$5:$AG$204,MATCH($A184&amp;"|אמצע שנה",'זה אני - קליטה'!$Z$5:$Z$204,0)),""))</f>
      </c>
      <c r="F184" s="26">
        <f>IF($A184="","",IFERROR(INDEX('זה אני - קליטה'!$AA$5:$AA$204,MATCH($A184&amp;"|אמצע שנה",'זה אני - קליטה'!$Z$5:$Z$204,0)),""))</f>
      </c>
      <c r="G184" s="27">
        <f>IF($A184="","",IFERROR(INDEX('זה אני - קליטה'!$AC$5:$AC$204,MATCH($A184&amp;"|אמצע שנה",'זה אני - קליטה'!$Z$5:$Z$204,0)),""))</f>
      </c>
      <c r="H184" s="37">
        <f>IF($A184="","",IFERROR(INDEX('זה אני - קליטה'!$AG$5:$AG$204,MATCH($A184&amp;"|סוף שנה",'זה אני - קליטה'!$Z$5:$Z$204,0)),""))</f>
      </c>
      <c r="I184" s="26">
        <f>IF($A184="","",IFERROR(INDEX('זה אני - קליטה'!$AA$5:$AA$204,MATCH($A184&amp;"|סוף שנה",'זה אני - קליטה'!$Z$5:$Z$204,0)),""))</f>
      </c>
      <c r="J184" s="27">
        <f>IF($A184="","",IFERROR(INDEX('זה אני - קליטה'!$AC$5:$AC$204,MATCH($A184&amp;"|סוף שנה",'זה אני - קליטה'!$Z$5:$Z$204,0)),""))</f>
      </c>
      <c r="K184" s="36">
        <f>IF(AND(ISNUMBER(B184),ISNUMBER(H184)),H184-B184,"")</f>
      </c>
      <c r="L184" s="26">
        <f>IF(K184="","",IF(K184&gt;=1,"עלייה",IF(K184&lt;=-1,"ירידה","יציב")))</f>
      </c>
    </row>
    <row r="185" ht="15" customHeight="1" spans="1:12" x14ac:dyDescent="0.25">
      <c r="A185" s="29"/>
      <c r="B185" s="37">
        <f>IF($A185="","",IFERROR(INDEX('זה אני - קליטה'!$AG$5:$AG$204,MATCH($A185&amp;"|תחילת שנה",'זה אני - קליטה'!$Z$5:$Z$204,0)),""))</f>
      </c>
      <c r="C185" s="26">
        <f>IF($A185="","",IFERROR(INDEX('זה אני - קליטה'!$AA$5:$AA$204,MATCH($A185&amp;"|תחילת שנה",'זה אני - קליטה'!$Z$5:$Z$204,0)),""))</f>
      </c>
      <c r="D185" s="27">
        <f>IF($A185="","",IFERROR(INDEX('זה אני - קליטה'!$AC$5:$AC$204,MATCH($A185&amp;"|תחילת שנה",'זה אני - קליטה'!$Z$5:$Z$204,0)),""))</f>
      </c>
      <c r="E185" s="37">
        <f>IF($A185="","",IFERROR(INDEX('זה אני - קליטה'!$AG$5:$AG$204,MATCH($A185&amp;"|אמצע שנה",'זה אני - קליטה'!$Z$5:$Z$204,0)),""))</f>
      </c>
      <c r="F185" s="26">
        <f>IF($A185="","",IFERROR(INDEX('זה אני - קליטה'!$AA$5:$AA$204,MATCH($A185&amp;"|אמצע שנה",'זה אני - קליטה'!$Z$5:$Z$204,0)),""))</f>
      </c>
      <c r="G185" s="27">
        <f>IF($A185="","",IFERROR(INDEX('זה אני - קליטה'!$AC$5:$AC$204,MATCH($A185&amp;"|אמצע שנה",'זה אני - קליטה'!$Z$5:$Z$204,0)),""))</f>
      </c>
      <c r="H185" s="37">
        <f>IF($A185="","",IFERROR(INDEX('זה אני - קליטה'!$AG$5:$AG$204,MATCH($A185&amp;"|סוף שנה",'זה אני - קליטה'!$Z$5:$Z$204,0)),""))</f>
      </c>
      <c r="I185" s="26">
        <f>IF($A185="","",IFERROR(INDEX('זה אני - קליטה'!$AA$5:$AA$204,MATCH($A185&amp;"|סוף שנה",'זה אני - קליטה'!$Z$5:$Z$204,0)),""))</f>
      </c>
      <c r="J185" s="27">
        <f>IF($A185="","",IFERROR(INDEX('זה אני - קליטה'!$AC$5:$AC$204,MATCH($A185&amp;"|סוף שנה",'זה אני - קליטה'!$Z$5:$Z$204,0)),""))</f>
      </c>
      <c r="K185" s="36">
        <f>IF(AND(ISNUMBER(B185),ISNUMBER(H185)),H185-B185,"")</f>
      </c>
      <c r="L185" s="26">
        <f>IF(K185="","",IF(K185&gt;=1,"עלייה",IF(K185&lt;=-1,"ירידה","יציב")))</f>
      </c>
    </row>
    <row r="186" ht="15" customHeight="1" spans="1:12" x14ac:dyDescent="0.25">
      <c r="A186" s="29"/>
      <c r="B186" s="37">
        <f>IF($A186="","",IFERROR(INDEX('זה אני - קליטה'!$AG$5:$AG$204,MATCH($A186&amp;"|תחילת שנה",'זה אני - קליטה'!$Z$5:$Z$204,0)),""))</f>
      </c>
      <c r="C186" s="26">
        <f>IF($A186="","",IFERROR(INDEX('זה אני - קליטה'!$AA$5:$AA$204,MATCH($A186&amp;"|תחילת שנה",'זה אני - קליטה'!$Z$5:$Z$204,0)),""))</f>
      </c>
      <c r="D186" s="27">
        <f>IF($A186="","",IFERROR(INDEX('זה אני - קליטה'!$AC$5:$AC$204,MATCH($A186&amp;"|תחילת שנה",'זה אני - קליטה'!$Z$5:$Z$204,0)),""))</f>
      </c>
      <c r="E186" s="37">
        <f>IF($A186="","",IFERROR(INDEX('זה אני - קליטה'!$AG$5:$AG$204,MATCH($A186&amp;"|אמצע שנה",'זה אני - קליטה'!$Z$5:$Z$204,0)),""))</f>
      </c>
      <c r="F186" s="26">
        <f>IF($A186="","",IFERROR(INDEX('זה אני - קליטה'!$AA$5:$AA$204,MATCH($A186&amp;"|אמצע שנה",'זה אני - קליטה'!$Z$5:$Z$204,0)),""))</f>
      </c>
      <c r="G186" s="27">
        <f>IF($A186="","",IFERROR(INDEX('זה אני - קליטה'!$AC$5:$AC$204,MATCH($A186&amp;"|אמצע שנה",'זה אני - קליטה'!$Z$5:$Z$204,0)),""))</f>
      </c>
      <c r="H186" s="37">
        <f>IF($A186="","",IFERROR(INDEX('זה אני - קליטה'!$AG$5:$AG$204,MATCH($A186&amp;"|סוף שנה",'זה אני - קליטה'!$Z$5:$Z$204,0)),""))</f>
      </c>
      <c r="I186" s="26">
        <f>IF($A186="","",IFERROR(INDEX('זה אני - קליטה'!$AA$5:$AA$204,MATCH($A186&amp;"|סוף שנה",'זה אני - קליטה'!$Z$5:$Z$204,0)),""))</f>
      </c>
      <c r="J186" s="27">
        <f>IF($A186="","",IFERROR(INDEX('זה אני - קליטה'!$AC$5:$AC$204,MATCH($A186&amp;"|סוף שנה",'זה אני - קליטה'!$Z$5:$Z$204,0)),""))</f>
      </c>
      <c r="K186" s="36">
        <f>IF(AND(ISNUMBER(B186),ISNUMBER(H186)),H186-B186,"")</f>
      </c>
      <c r="L186" s="26">
        <f>IF(K186="","",IF(K186&gt;=1,"עלייה",IF(K186&lt;=-1,"ירידה","יציב")))</f>
      </c>
    </row>
    <row r="187" ht="15" customHeight="1" spans="1:12" x14ac:dyDescent="0.25">
      <c r="A187" s="29"/>
      <c r="B187" s="37">
        <f>IF($A187="","",IFERROR(INDEX('זה אני - קליטה'!$AG$5:$AG$204,MATCH($A187&amp;"|תחילת שנה",'זה אני - קליטה'!$Z$5:$Z$204,0)),""))</f>
      </c>
      <c r="C187" s="26">
        <f>IF($A187="","",IFERROR(INDEX('זה אני - קליטה'!$AA$5:$AA$204,MATCH($A187&amp;"|תחילת שנה",'זה אני - קליטה'!$Z$5:$Z$204,0)),""))</f>
      </c>
      <c r="D187" s="27">
        <f>IF($A187="","",IFERROR(INDEX('זה אני - קליטה'!$AC$5:$AC$204,MATCH($A187&amp;"|תחילת שנה",'זה אני - קליטה'!$Z$5:$Z$204,0)),""))</f>
      </c>
      <c r="E187" s="37">
        <f>IF($A187="","",IFERROR(INDEX('זה אני - קליטה'!$AG$5:$AG$204,MATCH($A187&amp;"|אמצע שנה",'זה אני - קליטה'!$Z$5:$Z$204,0)),""))</f>
      </c>
      <c r="F187" s="26">
        <f>IF($A187="","",IFERROR(INDEX('זה אני - קליטה'!$AA$5:$AA$204,MATCH($A187&amp;"|אמצע שנה",'זה אני - קליטה'!$Z$5:$Z$204,0)),""))</f>
      </c>
      <c r="G187" s="27">
        <f>IF($A187="","",IFERROR(INDEX('זה אני - קליטה'!$AC$5:$AC$204,MATCH($A187&amp;"|אמצע שנה",'זה אני - קליטה'!$Z$5:$Z$204,0)),""))</f>
      </c>
      <c r="H187" s="37">
        <f>IF($A187="","",IFERROR(INDEX('זה אני - קליטה'!$AG$5:$AG$204,MATCH($A187&amp;"|סוף שנה",'זה אני - קליטה'!$Z$5:$Z$204,0)),""))</f>
      </c>
      <c r="I187" s="26">
        <f>IF($A187="","",IFERROR(INDEX('זה אני - קליטה'!$AA$5:$AA$204,MATCH($A187&amp;"|סוף שנה",'זה אני - קליטה'!$Z$5:$Z$204,0)),""))</f>
      </c>
      <c r="J187" s="27">
        <f>IF($A187="","",IFERROR(INDEX('זה אני - קליטה'!$AC$5:$AC$204,MATCH($A187&amp;"|סוף שנה",'זה אני - קליטה'!$Z$5:$Z$204,0)),""))</f>
      </c>
      <c r="K187" s="36">
        <f>IF(AND(ISNUMBER(B187),ISNUMBER(H187)),H187-B187,"")</f>
      </c>
      <c r="L187" s="26">
        <f>IF(K187="","",IF(K187&gt;=1,"עלייה",IF(K187&lt;=-1,"ירידה","יציב")))</f>
      </c>
    </row>
    <row r="188" ht="15" customHeight="1" spans="1:12" x14ac:dyDescent="0.25">
      <c r="A188" s="29"/>
      <c r="B188" s="37">
        <f>IF($A188="","",IFERROR(INDEX('זה אני - קליטה'!$AG$5:$AG$204,MATCH($A188&amp;"|תחילת שנה",'זה אני - קליטה'!$Z$5:$Z$204,0)),""))</f>
      </c>
      <c r="C188" s="26">
        <f>IF($A188="","",IFERROR(INDEX('זה אני - קליטה'!$AA$5:$AA$204,MATCH($A188&amp;"|תחילת שנה",'זה אני - קליטה'!$Z$5:$Z$204,0)),""))</f>
      </c>
      <c r="D188" s="27">
        <f>IF($A188="","",IFERROR(INDEX('זה אני - קליטה'!$AC$5:$AC$204,MATCH($A188&amp;"|תחילת שנה",'זה אני - קליטה'!$Z$5:$Z$204,0)),""))</f>
      </c>
      <c r="E188" s="37">
        <f>IF($A188="","",IFERROR(INDEX('זה אני - קליטה'!$AG$5:$AG$204,MATCH($A188&amp;"|אמצע שנה",'זה אני - קליטה'!$Z$5:$Z$204,0)),""))</f>
      </c>
      <c r="F188" s="26">
        <f>IF($A188="","",IFERROR(INDEX('זה אני - קליטה'!$AA$5:$AA$204,MATCH($A188&amp;"|אמצע שנה",'זה אני - קליטה'!$Z$5:$Z$204,0)),""))</f>
      </c>
      <c r="G188" s="27">
        <f>IF($A188="","",IFERROR(INDEX('זה אני - קליטה'!$AC$5:$AC$204,MATCH($A188&amp;"|אמצע שנה",'זה אני - קליטה'!$Z$5:$Z$204,0)),""))</f>
      </c>
      <c r="H188" s="37">
        <f>IF($A188="","",IFERROR(INDEX('זה אני - קליטה'!$AG$5:$AG$204,MATCH($A188&amp;"|סוף שנה",'זה אני - קליטה'!$Z$5:$Z$204,0)),""))</f>
      </c>
      <c r="I188" s="26">
        <f>IF($A188="","",IFERROR(INDEX('זה אני - קליטה'!$AA$5:$AA$204,MATCH($A188&amp;"|סוף שנה",'זה אני - קליטה'!$Z$5:$Z$204,0)),""))</f>
      </c>
      <c r="J188" s="27">
        <f>IF($A188="","",IFERROR(INDEX('זה אני - קליטה'!$AC$5:$AC$204,MATCH($A188&amp;"|סוף שנה",'זה אני - קליטה'!$Z$5:$Z$204,0)),""))</f>
      </c>
      <c r="K188" s="36">
        <f>IF(AND(ISNUMBER(B188),ISNUMBER(H188)),H188-B188,"")</f>
      </c>
      <c r="L188" s="26">
        <f>IF(K188="","",IF(K188&gt;=1,"עלייה",IF(K188&lt;=-1,"ירידה","יציב")))</f>
      </c>
    </row>
    <row r="189" ht="15" customHeight="1" spans="1:12" x14ac:dyDescent="0.25">
      <c r="A189" s="29"/>
      <c r="B189" s="37">
        <f>IF($A189="","",IFERROR(INDEX('זה אני - קליטה'!$AG$5:$AG$204,MATCH($A189&amp;"|תחילת שנה",'זה אני - קליטה'!$Z$5:$Z$204,0)),""))</f>
      </c>
      <c r="C189" s="26">
        <f>IF($A189="","",IFERROR(INDEX('זה אני - קליטה'!$AA$5:$AA$204,MATCH($A189&amp;"|תחילת שנה",'זה אני - קליטה'!$Z$5:$Z$204,0)),""))</f>
      </c>
      <c r="D189" s="27">
        <f>IF($A189="","",IFERROR(INDEX('זה אני - קליטה'!$AC$5:$AC$204,MATCH($A189&amp;"|תחילת שנה",'זה אני - קליטה'!$Z$5:$Z$204,0)),""))</f>
      </c>
      <c r="E189" s="37">
        <f>IF($A189="","",IFERROR(INDEX('זה אני - קליטה'!$AG$5:$AG$204,MATCH($A189&amp;"|אמצע שנה",'זה אני - קליטה'!$Z$5:$Z$204,0)),""))</f>
      </c>
      <c r="F189" s="26">
        <f>IF($A189="","",IFERROR(INDEX('זה אני - קליטה'!$AA$5:$AA$204,MATCH($A189&amp;"|אמצע שנה",'זה אני - קליטה'!$Z$5:$Z$204,0)),""))</f>
      </c>
      <c r="G189" s="27">
        <f>IF($A189="","",IFERROR(INDEX('זה אני - קליטה'!$AC$5:$AC$204,MATCH($A189&amp;"|אמצע שנה",'זה אני - קליטה'!$Z$5:$Z$204,0)),""))</f>
      </c>
      <c r="H189" s="37">
        <f>IF($A189="","",IFERROR(INDEX('זה אני - קליטה'!$AG$5:$AG$204,MATCH($A189&amp;"|סוף שנה",'זה אני - קליטה'!$Z$5:$Z$204,0)),""))</f>
      </c>
      <c r="I189" s="26">
        <f>IF($A189="","",IFERROR(INDEX('זה אני - קליטה'!$AA$5:$AA$204,MATCH($A189&amp;"|סוף שנה",'זה אני - קליטה'!$Z$5:$Z$204,0)),""))</f>
      </c>
      <c r="J189" s="27">
        <f>IF($A189="","",IFERROR(INDEX('זה אני - קליטה'!$AC$5:$AC$204,MATCH($A189&amp;"|סוף שנה",'זה אני - קליטה'!$Z$5:$Z$204,0)),""))</f>
      </c>
      <c r="K189" s="36">
        <f>IF(AND(ISNUMBER(B189),ISNUMBER(H189)),H189-B189,"")</f>
      </c>
      <c r="L189" s="26">
        <f>IF(K189="","",IF(K189&gt;=1,"עלייה",IF(K189&lt;=-1,"ירידה","יציב")))</f>
      </c>
    </row>
    <row r="190" ht="15" customHeight="1" spans="1:12" x14ac:dyDescent="0.25">
      <c r="A190" s="29"/>
      <c r="B190" s="37">
        <f>IF($A190="","",IFERROR(INDEX('זה אני - קליטה'!$AG$5:$AG$204,MATCH($A190&amp;"|תחילת שנה",'זה אני - קליטה'!$Z$5:$Z$204,0)),""))</f>
      </c>
      <c r="C190" s="26">
        <f>IF($A190="","",IFERROR(INDEX('זה אני - קליטה'!$AA$5:$AA$204,MATCH($A190&amp;"|תחילת שנה",'זה אני - קליטה'!$Z$5:$Z$204,0)),""))</f>
      </c>
      <c r="D190" s="27">
        <f>IF($A190="","",IFERROR(INDEX('זה אני - קליטה'!$AC$5:$AC$204,MATCH($A190&amp;"|תחילת שנה",'זה אני - קליטה'!$Z$5:$Z$204,0)),""))</f>
      </c>
      <c r="E190" s="37">
        <f>IF($A190="","",IFERROR(INDEX('זה אני - קליטה'!$AG$5:$AG$204,MATCH($A190&amp;"|אמצע שנה",'זה אני - קליטה'!$Z$5:$Z$204,0)),""))</f>
      </c>
      <c r="F190" s="26">
        <f>IF($A190="","",IFERROR(INDEX('זה אני - קליטה'!$AA$5:$AA$204,MATCH($A190&amp;"|אמצע שנה",'זה אני - קליטה'!$Z$5:$Z$204,0)),""))</f>
      </c>
      <c r="G190" s="27">
        <f>IF($A190="","",IFERROR(INDEX('זה אני - קליטה'!$AC$5:$AC$204,MATCH($A190&amp;"|אמצע שנה",'זה אני - קליטה'!$Z$5:$Z$204,0)),""))</f>
      </c>
      <c r="H190" s="37">
        <f>IF($A190="","",IFERROR(INDEX('זה אני - קליטה'!$AG$5:$AG$204,MATCH($A190&amp;"|סוף שנה",'זה אני - קליטה'!$Z$5:$Z$204,0)),""))</f>
      </c>
      <c r="I190" s="26">
        <f>IF($A190="","",IFERROR(INDEX('זה אני - קליטה'!$AA$5:$AA$204,MATCH($A190&amp;"|סוף שנה",'זה אני - קליטה'!$Z$5:$Z$204,0)),""))</f>
      </c>
      <c r="J190" s="27">
        <f>IF($A190="","",IFERROR(INDEX('זה אני - קליטה'!$AC$5:$AC$204,MATCH($A190&amp;"|סוף שנה",'זה אני - קליטה'!$Z$5:$Z$204,0)),""))</f>
      </c>
      <c r="K190" s="36">
        <f>IF(AND(ISNUMBER(B190),ISNUMBER(H190)),H190-B190,"")</f>
      </c>
      <c r="L190" s="26">
        <f>IF(K190="","",IF(K190&gt;=1,"עלייה",IF(K190&lt;=-1,"ירידה","יציב")))</f>
      </c>
    </row>
    <row r="191" ht="15" customHeight="1" spans="1:12" x14ac:dyDescent="0.25">
      <c r="A191" s="29"/>
      <c r="B191" s="37">
        <f>IF($A191="","",IFERROR(INDEX('זה אני - קליטה'!$AG$5:$AG$204,MATCH($A191&amp;"|תחילת שנה",'זה אני - קליטה'!$Z$5:$Z$204,0)),""))</f>
      </c>
      <c r="C191" s="26">
        <f>IF($A191="","",IFERROR(INDEX('זה אני - קליטה'!$AA$5:$AA$204,MATCH($A191&amp;"|תחילת שנה",'זה אני - קליטה'!$Z$5:$Z$204,0)),""))</f>
      </c>
      <c r="D191" s="27">
        <f>IF($A191="","",IFERROR(INDEX('זה אני - קליטה'!$AC$5:$AC$204,MATCH($A191&amp;"|תחילת שנה",'זה אני - קליטה'!$Z$5:$Z$204,0)),""))</f>
      </c>
      <c r="E191" s="37">
        <f>IF($A191="","",IFERROR(INDEX('זה אני - קליטה'!$AG$5:$AG$204,MATCH($A191&amp;"|אמצע שנה",'זה אני - קליטה'!$Z$5:$Z$204,0)),""))</f>
      </c>
      <c r="F191" s="26">
        <f>IF($A191="","",IFERROR(INDEX('זה אני - קליטה'!$AA$5:$AA$204,MATCH($A191&amp;"|אמצע שנה",'זה אני - קליטה'!$Z$5:$Z$204,0)),""))</f>
      </c>
      <c r="G191" s="27">
        <f>IF($A191="","",IFERROR(INDEX('זה אני - קליטה'!$AC$5:$AC$204,MATCH($A191&amp;"|אמצע שנה",'זה אני - קליטה'!$Z$5:$Z$204,0)),""))</f>
      </c>
      <c r="H191" s="37">
        <f>IF($A191="","",IFERROR(INDEX('זה אני - קליטה'!$AG$5:$AG$204,MATCH($A191&amp;"|סוף שנה",'זה אני - קליטה'!$Z$5:$Z$204,0)),""))</f>
      </c>
      <c r="I191" s="26">
        <f>IF($A191="","",IFERROR(INDEX('זה אני - קליטה'!$AA$5:$AA$204,MATCH($A191&amp;"|סוף שנה",'זה אני - קליטה'!$Z$5:$Z$204,0)),""))</f>
      </c>
      <c r="J191" s="27">
        <f>IF($A191="","",IFERROR(INDEX('זה אני - קליטה'!$AC$5:$AC$204,MATCH($A191&amp;"|סוף שנה",'זה אני - קליטה'!$Z$5:$Z$204,0)),""))</f>
      </c>
      <c r="K191" s="36">
        <f>IF(AND(ISNUMBER(B191),ISNUMBER(H191)),H191-B191,"")</f>
      </c>
      <c r="L191" s="26">
        <f>IF(K191="","",IF(K191&gt;=1,"עלייה",IF(K191&lt;=-1,"ירידה","יציב")))</f>
      </c>
    </row>
    <row r="192" ht="15" customHeight="1" spans="1:12" x14ac:dyDescent="0.25">
      <c r="A192" s="29"/>
      <c r="B192" s="37">
        <f>IF($A192="","",IFERROR(INDEX('זה אני - קליטה'!$AG$5:$AG$204,MATCH($A192&amp;"|תחילת שנה",'זה אני - קליטה'!$Z$5:$Z$204,0)),""))</f>
      </c>
      <c r="C192" s="26">
        <f>IF($A192="","",IFERROR(INDEX('זה אני - קליטה'!$AA$5:$AA$204,MATCH($A192&amp;"|תחילת שנה",'זה אני - קליטה'!$Z$5:$Z$204,0)),""))</f>
      </c>
      <c r="D192" s="27">
        <f>IF($A192="","",IFERROR(INDEX('זה אני - קליטה'!$AC$5:$AC$204,MATCH($A192&amp;"|תחילת שנה",'זה אני - קליטה'!$Z$5:$Z$204,0)),""))</f>
      </c>
      <c r="E192" s="37">
        <f>IF($A192="","",IFERROR(INDEX('זה אני - קליטה'!$AG$5:$AG$204,MATCH($A192&amp;"|אמצע שנה",'זה אני - קליטה'!$Z$5:$Z$204,0)),""))</f>
      </c>
      <c r="F192" s="26">
        <f>IF($A192="","",IFERROR(INDEX('זה אני - קליטה'!$AA$5:$AA$204,MATCH($A192&amp;"|אמצע שנה",'זה אני - קליטה'!$Z$5:$Z$204,0)),""))</f>
      </c>
      <c r="G192" s="27">
        <f>IF($A192="","",IFERROR(INDEX('זה אני - קליטה'!$AC$5:$AC$204,MATCH($A192&amp;"|אמצע שנה",'זה אני - קליטה'!$Z$5:$Z$204,0)),""))</f>
      </c>
      <c r="H192" s="37">
        <f>IF($A192="","",IFERROR(INDEX('זה אני - קליטה'!$AG$5:$AG$204,MATCH($A192&amp;"|סוף שנה",'זה אני - קליטה'!$Z$5:$Z$204,0)),""))</f>
      </c>
      <c r="I192" s="26">
        <f>IF($A192="","",IFERROR(INDEX('זה אני - קליטה'!$AA$5:$AA$204,MATCH($A192&amp;"|סוף שנה",'זה אני - קליטה'!$Z$5:$Z$204,0)),""))</f>
      </c>
      <c r="J192" s="27">
        <f>IF($A192="","",IFERROR(INDEX('זה אני - קליטה'!$AC$5:$AC$204,MATCH($A192&amp;"|סוף שנה",'זה אני - קליטה'!$Z$5:$Z$204,0)),""))</f>
      </c>
      <c r="K192" s="36">
        <f>IF(AND(ISNUMBER(B192),ISNUMBER(H192)),H192-B192,"")</f>
      </c>
      <c r="L192" s="26">
        <f>IF(K192="","",IF(K192&gt;=1,"עלייה",IF(K192&lt;=-1,"ירידה","יציב")))</f>
      </c>
    </row>
    <row r="193" ht="15" customHeight="1" spans="1:12" x14ac:dyDescent="0.25">
      <c r="A193" s="29"/>
      <c r="B193" s="37">
        <f>IF($A193="","",IFERROR(INDEX('זה אני - קליטה'!$AG$5:$AG$204,MATCH($A193&amp;"|תחילת שנה",'זה אני - קליטה'!$Z$5:$Z$204,0)),""))</f>
      </c>
      <c r="C193" s="26">
        <f>IF($A193="","",IFERROR(INDEX('זה אני - קליטה'!$AA$5:$AA$204,MATCH($A193&amp;"|תחילת שנה",'זה אני - קליטה'!$Z$5:$Z$204,0)),""))</f>
      </c>
      <c r="D193" s="27">
        <f>IF($A193="","",IFERROR(INDEX('זה אני - קליטה'!$AC$5:$AC$204,MATCH($A193&amp;"|תחילת שנה",'זה אני - קליטה'!$Z$5:$Z$204,0)),""))</f>
      </c>
      <c r="E193" s="37">
        <f>IF($A193="","",IFERROR(INDEX('זה אני - קליטה'!$AG$5:$AG$204,MATCH($A193&amp;"|אמצע שנה",'זה אני - קליטה'!$Z$5:$Z$204,0)),""))</f>
      </c>
      <c r="F193" s="26">
        <f>IF($A193="","",IFERROR(INDEX('זה אני - קליטה'!$AA$5:$AA$204,MATCH($A193&amp;"|אמצע שנה",'זה אני - קליטה'!$Z$5:$Z$204,0)),""))</f>
      </c>
      <c r="G193" s="27">
        <f>IF($A193="","",IFERROR(INDEX('זה אני - קליטה'!$AC$5:$AC$204,MATCH($A193&amp;"|אמצע שנה",'זה אני - קליטה'!$Z$5:$Z$204,0)),""))</f>
      </c>
      <c r="H193" s="37">
        <f>IF($A193="","",IFERROR(INDEX('זה אני - קליטה'!$AG$5:$AG$204,MATCH($A193&amp;"|סוף שנה",'זה אני - קליטה'!$Z$5:$Z$204,0)),""))</f>
      </c>
      <c r="I193" s="26">
        <f>IF($A193="","",IFERROR(INDEX('זה אני - קליטה'!$AA$5:$AA$204,MATCH($A193&amp;"|סוף שנה",'זה אני - קליטה'!$Z$5:$Z$204,0)),""))</f>
      </c>
      <c r="J193" s="27">
        <f>IF($A193="","",IFERROR(INDEX('זה אני - קליטה'!$AC$5:$AC$204,MATCH($A193&amp;"|סוף שנה",'זה אני - קליטה'!$Z$5:$Z$204,0)),""))</f>
      </c>
      <c r="K193" s="36">
        <f>IF(AND(ISNUMBER(B193),ISNUMBER(H193)),H193-B193,"")</f>
      </c>
      <c r="L193" s="26">
        <f>IF(K193="","",IF(K193&gt;=1,"עלייה",IF(K193&lt;=-1,"ירידה","יציב")))</f>
      </c>
    </row>
    <row r="194" ht="15" customHeight="1" spans="1:12" x14ac:dyDescent="0.25">
      <c r="A194" s="29"/>
      <c r="B194" s="37">
        <f>IF($A194="","",IFERROR(INDEX('זה אני - קליטה'!$AG$5:$AG$204,MATCH($A194&amp;"|תחילת שנה",'זה אני - קליטה'!$Z$5:$Z$204,0)),""))</f>
      </c>
      <c r="C194" s="26">
        <f>IF($A194="","",IFERROR(INDEX('זה אני - קליטה'!$AA$5:$AA$204,MATCH($A194&amp;"|תחילת שנה",'זה אני - קליטה'!$Z$5:$Z$204,0)),""))</f>
      </c>
      <c r="D194" s="27">
        <f>IF($A194="","",IFERROR(INDEX('זה אני - קליטה'!$AC$5:$AC$204,MATCH($A194&amp;"|תחילת שנה",'זה אני - קליטה'!$Z$5:$Z$204,0)),""))</f>
      </c>
      <c r="E194" s="37">
        <f>IF($A194="","",IFERROR(INDEX('זה אני - קליטה'!$AG$5:$AG$204,MATCH($A194&amp;"|אמצע שנה",'זה אני - קליטה'!$Z$5:$Z$204,0)),""))</f>
      </c>
      <c r="F194" s="26">
        <f>IF($A194="","",IFERROR(INDEX('זה אני - קליטה'!$AA$5:$AA$204,MATCH($A194&amp;"|אמצע שנה",'זה אני - קליטה'!$Z$5:$Z$204,0)),""))</f>
      </c>
      <c r="G194" s="27">
        <f>IF($A194="","",IFERROR(INDEX('זה אני - קליטה'!$AC$5:$AC$204,MATCH($A194&amp;"|אמצע שנה",'זה אני - קליטה'!$Z$5:$Z$204,0)),""))</f>
      </c>
      <c r="H194" s="37">
        <f>IF($A194="","",IFERROR(INDEX('זה אני - קליטה'!$AG$5:$AG$204,MATCH($A194&amp;"|סוף שנה",'זה אני - קליטה'!$Z$5:$Z$204,0)),""))</f>
      </c>
      <c r="I194" s="26">
        <f>IF($A194="","",IFERROR(INDEX('זה אני - קליטה'!$AA$5:$AA$204,MATCH($A194&amp;"|סוף שנה",'זה אני - קליטה'!$Z$5:$Z$204,0)),""))</f>
      </c>
      <c r="J194" s="27">
        <f>IF($A194="","",IFERROR(INDEX('זה אני - קליטה'!$AC$5:$AC$204,MATCH($A194&amp;"|סוף שנה",'זה אני - קליטה'!$Z$5:$Z$204,0)),""))</f>
      </c>
      <c r="K194" s="36">
        <f>IF(AND(ISNUMBER(B194),ISNUMBER(H194)),H194-B194,"")</f>
      </c>
      <c r="L194" s="26">
        <f>IF(K194="","",IF(K194&gt;=1,"עלייה",IF(K194&lt;=-1,"ירידה","יציב")))</f>
      </c>
    </row>
    <row r="195" ht="15" customHeight="1" spans="1:12" x14ac:dyDescent="0.25">
      <c r="A195" s="29"/>
      <c r="B195" s="37">
        <f>IF($A195="","",IFERROR(INDEX('זה אני - קליטה'!$AG$5:$AG$204,MATCH($A195&amp;"|תחילת שנה",'זה אני - קליטה'!$Z$5:$Z$204,0)),""))</f>
      </c>
      <c r="C195" s="26">
        <f>IF($A195="","",IFERROR(INDEX('זה אני - קליטה'!$AA$5:$AA$204,MATCH($A195&amp;"|תחילת שנה",'זה אני - קליטה'!$Z$5:$Z$204,0)),""))</f>
      </c>
      <c r="D195" s="27">
        <f>IF($A195="","",IFERROR(INDEX('זה אני - קליטה'!$AC$5:$AC$204,MATCH($A195&amp;"|תחילת שנה",'זה אני - קליטה'!$Z$5:$Z$204,0)),""))</f>
      </c>
      <c r="E195" s="37">
        <f>IF($A195="","",IFERROR(INDEX('זה אני - קליטה'!$AG$5:$AG$204,MATCH($A195&amp;"|אמצע שנה",'זה אני - קליטה'!$Z$5:$Z$204,0)),""))</f>
      </c>
      <c r="F195" s="26">
        <f>IF($A195="","",IFERROR(INDEX('זה אני - קליטה'!$AA$5:$AA$204,MATCH($A195&amp;"|אמצע שנה",'זה אני - קליטה'!$Z$5:$Z$204,0)),""))</f>
      </c>
      <c r="G195" s="27">
        <f>IF($A195="","",IFERROR(INDEX('זה אני - קליטה'!$AC$5:$AC$204,MATCH($A195&amp;"|אמצע שנה",'זה אני - קליטה'!$Z$5:$Z$204,0)),""))</f>
      </c>
      <c r="H195" s="37">
        <f>IF($A195="","",IFERROR(INDEX('זה אני - קליטה'!$AG$5:$AG$204,MATCH($A195&amp;"|סוף שנה",'זה אני - קליטה'!$Z$5:$Z$204,0)),""))</f>
      </c>
      <c r="I195" s="26">
        <f>IF($A195="","",IFERROR(INDEX('זה אני - קליטה'!$AA$5:$AA$204,MATCH($A195&amp;"|סוף שנה",'זה אני - קליטה'!$Z$5:$Z$204,0)),""))</f>
      </c>
      <c r="J195" s="27">
        <f>IF($A195="","",IFERROR(INDEX('זה אני - קליטה'!$AC$5:$AC$204,MATCH($A195&amp;"|סוף שנה",'זה אני - קליטה'!$Z$5:$Z$204,0)),""))</f>
      </c>
      <c r="K195" s="36">
        <f>IF(AND(ISNUMBER(B195),ISNUMBER(H195)),H195-B195,"")</f>
      </c>
      <c r="L195" s="26">
        <f>IF(K195="","",IF(K195&gt;=1,"עלייה",IF(K195&lt;=-1,"ירידה","יציב")))</f>
      </c>
    </row>
    <row r="196" ht="15" customHeight="1" spans="1:12" x14ac:dyDescent="0.25">
      <c r="A196" s="29"/>
      <c r="B196" s="37">
        <f>IF($A196="","",IFERROR(INDEX('זה אני - קליטה'!$AG$5:$AG$204,MATCH($A196&amp;"|תחילת שנה",'זה אני - קליטה'!$Z$5:$Z$204,0)),""))</f>
      </c>
      <c r="C196" s="26">
        <f>IF($A196="","",IFERROR(INDEX('זה אני - קליטה'!$AA$5:$AA$204,MATCH($A196&amp;"|תחילת שנה",'זה אני - קליטה'!$Z$5:$Z$204,0)),""))</f>
      </c>
      <c r="D196" s="27">
        <f>IF($A196="","",IFERROR(INDEX('זה אני - קליטה'!$AC$5:$AC$204,MATCH($A196&amp;"|תחילת שנה",'זה אני - קליטה'!$Z$5:$Z$204,0)),""))</f>
      </c>
      <c r="E196" s="37">
        <f>IF($A196="","",IFERROR(INDEX('זה אני - קליטה'!$AG$5:$AG$204,MATCH($A196&amp;"|אמצע שנה",'זה אני - קליטה'!$Z$5:$Z$204,0)),""))</f>
      </c>
      <c r="F196" s="26">
        <f>IF($A196="","",IFERROR(INDEX('זה אני - קליטה'!$AA$5:$AA$204,MATCH($A196&amp;"|אמצע שנה",'זה אני - קליטה'!$Z$5:$Z$204,0)),""))</f>
      </c>
      <c r="G196" s="27">
        <f>IF($A196="","",IFERROR(INDEX('זה אני - קליטה'!$AC$5:$AC$204,MATCH($A196&amp;"|אמצע שנה",'זה אני - קליטה'!$Z$5:$Z$204,0)),""))</f>
      </c>
      <c r="H196" s="37">
        <f>IF($A196="","",IFERROR(INDEX('זה אני - קליטה'!$AG$5:$AG$204,MATCH($A196&amp;"|סוף שנה",'זה אני - קליטה'!$Z$5:$Z$204,0)),""))</f>
      </c>
      <c r="I196" s="26">
        <f>IF($A196="","",IFERROR(INDEX('זה אני - קליטה'!$AA$5:$AA$204,MATCH($A196&amp;"|סוף שנה",'זה אני - קליטה'!$Z$5:$Z$204,0)),""))</f>
      </c>
      <c r="J196" s="27">
        <f>IF($A196="","",IFERROR(INDEX('זה אני - קליטה'!$AC$5:$AC$204,MATCH($A196&amp;"|סוף שנה",'זה אני - קליטה'!$Z$5:$Z$204,0)),""))</f>
      </c>
      <c r="K196" s="36">
        <f>IF(AND(ISNUMBER(B196),ISNUMBER(H196)),H196-B196,"")</f>
      </c>
      <c r="L196" s="26">
        <f>IF(K196="","",IF(K196&gt;=1,"עלייה",IF(K196&lt;=-1,"ירידה","יציב")))</f>
      </c>
    </row>
    <row r="197" ht="15" customHeight="1" spans="1:12" x14ac:dyDescent="0.25">
      <c r="A197" s="29"/>
      <c r="B197" s="37">
        <f>IF($A197="","",IFERROR(INDEX('זה אני - קליטה'!$AG$5:$AG$204,MATCH($A197&amp;"|תחילת שנה",'זה אני - קליטה'!$Z$5:$Z$204,0)),""))</f>
      </c>
      <c r="C197" s="26">
        <f>IF($A197="","",IFERROR(INDEX('זה אני - קליטה'!$AA$5:$AA$204,MATCH($A197&amp;"|תחילת שנה",'זה אני - קליטה'!$Z$5:$Z$204,0)),""))</f>
      </c>
      <c r="D197" s="27">
        <f>IF($A197="","",IFERROR(INDEX('זה אני - קליטה'!$AC$5:$AC$204,MATCH($A197&amp;"|תחילת שנה",'זה אני - קליטה'!$Z$5:$Z$204,0)),""))</f>
      </c>
      <c r="E197" s="37">
        <f>IF($A197="","",IFERROR(INDEX('זה אני - קליטה'!$AG$5:$AG$204,MATCH($A197&amp;"|אמצע שנה",'זה אני - קליטה'!$Z$5:$Z$204,0)),""))</f>
      </c>
      <c r="F197" s="26">
        <f>IF($A197="","",IFERROR(INDEX('זה אני - קליטה'!$AA$5:$AA$204,MATCH($A197&amp;"|אמצע שנה",'זה אני - קליטה'!$Z$5:$Z$204,0)),""))</f>
      </c>
      <c r="G197" s="27">
        <f>IF($A197="","",IFERROR(INDEX('זה אני - קליטה'!$AC$5:$AC$204,MATCH($A197&amp;"|אמצע שנה",'זה אני - קליטה'!$Z$5:$Z$204,0)),""))</f>
      </c>
      <c r="H197" s="37">
        <f>IF($A197="","",IFERROR(INDEX('זה אני - קליטה'!$AG$5:$AG$204,MATCH($A197&amp;"|סוף שנה",'זה אני - קליטה'!$Z$5:$Z$204,0)),""))</f>
      </c>
      <c r="I197" s="26">
        <f>IF($A197="","",IFERROR(INDEX('זה אני - קליטה'!$AA$5:$AA$204,MATCH($A197&amp;"|סוף שנה",'זה אני - קליטה'!$Z$5:$Z$204,0)),""))</f>
      </c>
      <c r="J197" s="27">
        <f>IF($A197="","",IFERROR(INDEX('זה אני - קליטה'!$AC$5:$AC$204,MATCH($A197&amp;"|סוף שנה",'זה אני - קליטה'!$Z$5:$Z$204,0)),""))</f>
      </c>
      <c r="K197" s="36">
        <f>IF(AND(ISNUMBER(B197),ISNUMBER(H197)),H197-B197,"")</f>
      </c>
      <c r="L197" s="26">
        <f>IF(K197="","",IF(K197&gt;=1,"עלייה",IF(K197&lt;=-1,"ירידה","יציב")))</f>
      </c>
    </row>
    <row r="198" ht="15" customHeight="1" spans="1:12" x14ac:dyDescent="0.25">
      <c r="A198" s="29"/>
      <c r="B198" s="37">
        <f>IF($A198="","",IFERROR(INDEX('זה אני - קליטה'!$AG$5:$AG$204,MATCH($A198&amp;"|תחילת שנה",'זה אני - קליטה'!$Z$5:$Z$204,0)),""))</f>
      </c>
      <c r="C198" s="26">
        <f>IF($A198="","",IFERROR(INDEX('זה אני - קליטה'!$AA$5:$AA$204,MATCH($A198&amp;"|תחילת שנה",'זה אני - קליטה'!$Z$5:$Z$204,0)),""))</f>
      </c>
      <c r="D198" s="27">
        <f>IF($A198="","",IFERROR(INDEX('זה אני - קליטה'!$AC$5:$AC$204,MATCH($A198&amp;"|תחילת שנה",'זה אני - קליטה'!$Z$5:$Z$204,0)),""))</f>
      </c>
      <c r="E198" s="37">
        <f>IF($A198="","",IFERROR(INDEX('זה אני - קליטה'!$AG$5:$AG$204,MATCH($A198&amp;"|אמצע שנה",'זה אני - קליטה'!$Z$5:$Z$204,0)),""))</f>
      </c>
      <c r="F198" s="26">
        <f>IF($A198="","",IFERROR(INDEX('זה אני - קליטה'!$AA$5:$AA$204,MATCH($A198&amp;"|אמצע שנה",'זה אני - קליטה'!$Z$5:$Z$204,0)),""))</f>
      </c>
      <c r="G198" s="27">
        <f>IF($A198="","",IFERROR(INDEX('זה אני - קליטה'!$AC$5:$AC$204,MATCH($A198&amp;"|אמצע שנה",'זה אני - קליטה'!$Z$5:$Z$204,0)),""))</f>
      </c>
      <c r="H198" s="37">
        <f>IF($A198="","",IFERROR(INDEX('זה אני - קליטה'!$AG$5:$AG$204,MATCH($A198&amp;"|סוף שנה",'זה אני - קליטה'!$Z$5:$Z$204,0)),""))</f>
      </c>
      <c r="I198" s="26">
        <f>IF($A198="","",IFERROR(INDEX('זה אני - קליטה'!$AA$5:$AA$204,MATCH($A198&amp;"|סוף שנה",'זה אני - קליטה'!$Z$5:$Z$204,0)),""))</f>
      </c>
      <c r="J198" s="27">
        <f>IF($A198="","",IFERROR(INDEX('זה אני - קליטה'!$AC$5:$AC$204,MATCH($A198&amp;"|סוף שנה",'זה אני - קליטה'!$Z$5:$Z$204,0)),""))</f>
      </c>
      <c r="K198" s="36">
        <f>IF(AND(ISNUMBER(B198),ISNUMBER(H198)),H198-B198,"")</f>
      </c>
      <c r="L198" s="26">
        <f>IF(K198="","",IF(K198&gt;=1,"עלייה",IF(K198&lt;=-1,"ירידה","יציב")))</f>
      </c>
    </row>
    <row r="199" ht="15" customHeight="1" spans="1:12" x14ac:dyDescent="0.25">
      <c r="A199" s="29"/>
      <c r="B199" s="37">
        <f>IF($A199="","",IFERROR(INDEX('זה אני - קליטה'!$AG$5:$AG$204,MATCH($A199&amp;"|תחילת שנה",'זה אני - קליטה'!$Z$5:$Z$204,0)),""))</f>
      </c>
      <c r="C199" s="26">
        <f>IF($A199="","",IFERROR(INDEX('זה אני - קליטה'!$AA$5:$AA$204,MATCH($A199&amp;"|תחילת שנה",'זה אני - קליטה'!$Z$5:$Z$204,0)),""))</f>
      </c>
      <c r="D199" s="27">
        <f>IF($A199="","",IFERROR(INDEX('זה אני - קליטה'!$AC$5:$AC$204,MATCH($A199&amp;"|תחילת שנה",'זה אני - קליטה'!$Z$5:$Z$204,0)),""))</f>
      </c>
      <c r="E199" s="37">
        <f>IF($A199="","",IFERROR(INDEX('זה אני - קליטה'!$AG$5:$AG$204,MATCH($A199&amp;"|אמצע שנה",'זה אני - קליטה'!$Z$5:$Z$204,0)),""))</f>
      </c>
      <c r="F199" s="26">
        <f>IF($A199="","",IFERROR(INDEX('זה אני - קליטה'!$AA$5:$AA$204,MATCH($A199&amp;"|אמצע שנה",'זה אני - קליטה'!$Z$5:$Z$204,0)),""))</f>
      </c>
      <c r="G199" s="27">
        <f>IF($A199="","",IFERROR(INDEX('זה אני - קליטה'!$AC$5:$AC$204,MATCH($A199&amp;"|אמצע שנה",'זה אני - קליטה'!$Z$5:$Z$204,0)),""))</f>
      </c>
      <c r="H199" s="37">
        <f>IF($A199="","",IFERROR(INDEX('זה אני - קליטה'!$AG$5:$AG$204,MATCH($A199&amp;"|סוף שנה",'זה אני - קליטה'!$Z$5:$Z$204,0)),""))</f>
      </c>
      <c r="I199" s="26">
        <f>IF($A199="","",IFERROR(INDEX('זה אני - קליטה'!$AA$5:$AA$204,MATCH($A199&amp;"|סוף שנה",'זה אני - קליטה'!$Z$5:$Z$204,0)),""))</f>
      </c>
      <c r="J199" s="27">
        <f>IF($A199="","",IFERROR(INDEX('זה אני - קליטה'!$AC$5:$AC$204,MATCH($A199&amp;"|סוף שנה",'זה אני - קליטה'!$Z$5:$Z$204,0)),""))</f>
      </c>
      <c r="K199" s="36">
        <f>IF(AND(ISNUMBER(B199),ISNUMBER(H199)),H199-B199,"")</f>
      </c>
      <c r="L199" s="26">
        <f>IF(K199="","",IF(K199&gt;=1,"עלייה",IF(K199&lt;=-1,"ירידה","יציב")))</f>
      </c>
    </row>
    <row r="200" ht="15" customHeight="1" spans="1:12" x14ac:dyDescent="0.25">
      <c r="A200" s="29"/>
      <c r="B200" s="37">
        <f>IF($A200="","",IFERROR(INDEX('זה אני - קליטה'!$AG$5:$AG$204,MATCH($A200&amp;"|תחילת שנה",'זה אני - קליטה'!$Z$5:$Z$204,0)),""))</f>
      </c>
      <c r="C200" s="26">
        <f>IF($A200="","",IFERROR(INDEX('זה אני - קליטה'!$AA$5:$AA$204,MATCH($A200&amp;"|תחילת שנה",'זה אני - קליטה'!$Z$5:$Z$204,0)),""))</f>
      </c>
      <c r="D200" s="27">
        <f>IF($A200="","",IFERROR(INDEX('זה אני - קליטה'!$AC$5:$AC$204,MATCH($A200&amp;"|תחילת שנה",'זה אני - קליטה'!$Z$5:$Z$204,0)),""))</f>
      </c>
      <c r="E200" s="37">
        <f>IF($A200="","",IFERROR(INDEX('זה אני - קליטה'!$AG$5:$AG$204,MATCH($A200&amp;"|אמצע שנה",'זה אני - קליטה'!$Z$5:$Z$204,0)),""))</f>
      </c>
      <c r="F200" s="26">
        <f>IF($A200="","",IFERROR(INDEX('זה אני - קליטה'!$AA$5:$AA$204,MATCH($A200&amp;"|אמצע שנה",'זה אני - קליטה'!$Z$5:$Z$204,0)),""))</f>
      </c>
      <c r="G200" s="27">
        <f>IF($A200="","",IFERROR(INDEX('זה אני - קליטה'!$AC$5:$AC$204,MATCH($A200&amp;"|אמצע שנה",'זה אני - קליטה'!$Z$5:$Z$204,0)),""))</f>
      </c>
      <c r="H200" s="37">
        <f>IF($A200="","",IFERROR(INDEX('זה אני - קליטה'!$AG$5:$AG$204,MATCH($A200&amp;"|סוף שנה",'זה אני - קליטה'!$Z$5:$Z$204,0)),""))</f>
      </c>
      <c r="I200" s="26">
        <f>IF($A200="","",IFERROR(INDEX('זה אני - קליטה'!$AA$5:$AA$204,MATCH($A200&amp;"|סוף שנה",'זה אני - קליטה'!$Z$5:$Z$204,0)),""))</f>
      </c>
      <c r="J200" s="27">
        <f>IF($A200="","",IFERROR(INDEX('זה אני - קליטה'!$AC$5:$AC$204,MATCH($A200&amp;"|סוף שנה",'זה אני - קליטה'!$Z$5:$Z$204,0)),""))</f>
      </c>
      <c r="K200" s="36">
        <f>IF(AND(ISNUMBER(B200),ISNUMBER(H200)),H200-B200,"")</f>
      </c>
      <c r="L200" s="26">
        <f>IF(K200="","",IF(K200&gt;=1,"עלייה",IF(K200&lt;=-1,"ירידה","יציב")))</f>
      </c>
    </row>
    <row r="201" ht="15" customHeight="1" spans="1:12" x14ac:dyDescent="0.25">
      <c r="A201" s="29"/>
      <c r="B201" s="37">
        <f>IF($A201="","",IFERROR(INDEX('זה אני - קליטה'!$AG$5:$AG$204,MATCH($A201&amp;"|תחילת שנה",'זה אני - קליטה'!$Z$5:$Z$204,0)),""))</f>
      </c>
      <c r="C201" s="26">
        <f>IF($A201="","",IFERROR(INDEX('זה אני - קליטה'!$AA$5:$AA$204,MATCH($A201&amp;"|תחילת שנה",'זה אני - קליטה'!$Z$5:$Z$204,0)),""))</f>
      </c>
      <c r="D201" s="27">
        <f>IF($A201="","",IFERROR(INDEX('זה אני - קליטה'!$AC$5:$AC$204,MATCH($A201&amp;"|תחילת שנה",'זה אני - קליטה'!$Z$5:$Z$204,0)),""))</f>
      </c>
      <c r="E201" s="37">
        <f>IF($A201="","",IFERROR(INDEX('זה אני - קליטה'!$AG$5:$AG$204,MATCH($A201&amp;"|אמצע שנה",'זה אני - קליטה'!$Z$5:$Z$204,0)),""))</f>
      </c>
      <c r="F201" s="26">
        <f>IF($A201="","",IFERROR(INDEX('זה אני - קליטה'!$AA$5:$AA$204,MATCH($A201&amp;"|אמצע שנה",'זה אני - קליטה'!$Z$5:$Z$204,0)),""))</f>
      </c>
      <c r="G201" s="27">
        <f>IF($A201="","",IFERROR(INDEX('זה אני - קליטה'!$AC$5:$AC$204,MATCH($A201&amp;"|אמצע שנה",'זה אני - קליטה'!$Z$5:$Z$204,0)),""))</f>
      </c>
      <c r="H201" s="37">
        <f>IF($A201="","",IFERROR(INDEX('זה אני - קליטה'!$AG$5:$AG$204,MATCH($A201&amp;"|סוף שנה",'זה אני - קליטה'!$Z$5:$Z$204,0)),""))</f>
      </c>
      <c r="I201" s="26">
        <f>IF($A201="","",IFERROR(INDEX('זה אני - קליטה'!$AA$5:$AA$204,MATCH($A201&amp;"|סוף שנה",'זה אני - קליטה'!$Z$5:$Z$204,0)),""))</f>
      </c>
      <c r="J201" s="27">
        <f>IF($A201="","",IFERROR(INDEX('זה אני - קליטה'!$AC$5:$AC$204,MATCH($A201&amp;"|סוף שנה",'זה אני - קליטה'!$Z$5:$Z$204,0)),""))</f>
      </c>
      <c r="K201" s="36">
        <f>IF(AND(ISNUMBER(B201),ISNUMBER(H201)),H201-B201,"")</f>
      </c>
      <c r="L201" s="26">
        <f>IF(K201="","",IF(K201&gt;=1,"עלייה",IF(K201&lt;=-1,"ירידה","יציב")))</f>
      </c>
    </row>
    <row r="202" ht="15" customHeight="1" spans="1:12" x14ac:dyDescent="0.25">
      <c r="A202" s="29"/>
      <c r="B202" s="37">
        <f>IF($A202="","",IFERROR(INDEX('זה אני - קליטה'!$AG$5:$AG$204,MATCH($A202&amp;"|תחילת שנה",'זה אני - קליטה'!$Z$5:$Z$204,0)),""))</f>
      </c>
      <c r="C202" s="26">
        <f>IF($A202="","",IFERROR(INDEX('זה אני - קליטה'!$AA$5:$AA$204,MATCH($A202&amp;"|תחילת שנה",'זה אני - קליטה'!$Z$5:$Z$204,0)),""))</f>
      </c>
      <c r="D202" s="27">
        <f>IF($A202="","",IFERROR(INDEX('זה אני - קליטה'!$AC$5:$AC$204,MATCH($A202&amp;"|תחילת שנה",'זה אני - קליטה'!$Z$5:$Z$204,0)),""))</f>
      </c>
      <c r="E202" s="37">
        <f>IF($A202="","",IFERROR(INDEX('זה אני - קליטה'!$AG$5:$AG$204,MATCH($A202&amp;"|אמצע שנה",'זה אני - קליטה'!$Z$5:$Z$204,0)),""))</f>
      </c>
      <c r="F202" s="26">
        <f>IF($A202="","",IFERROR(INDEX('זה אני - קליטה'!$AA$5:$AA$204,MATCH($A202&amp;"|אמצע שנה",'זה אני - קליטה'!$Z$5:$Z$204,0)),""))</f>
      </c>
      <c r="G202" s="27">
        <f>IF($A202="","",IFERROR(INDEX('זה אני - קליטה'!$AC$5:$AC$204,MATCH($A202&amp;"|אמצע שנה",'זה אני - קליטה'!$Z$5:$Z$204,0)),""))</f>
      </c>
      <c r="H202" s="37">
        <f>IF($A202="","",IFERROR(INDEX('זה אני - קליטה'!$AG$5:$AG$204,MATCH($A202&amp;"|סוף שנה",'זה אני - קליטה'!$Z$5:$Z$204,0)),""))</f>
      </c>
      <c r="I202" s="26">
        <f>IF($A202="","",IFERROR(INDEX('זה אני - קליטה'!$AA$5:$AA$204,MATCH($A202&amp;"|סוף שנה",'זה אני - קליטה'!$Z$5:$Z$204,0)),""))</f>
      </c>
      <c r="J202" s="27">
        <f>IF($A202="","",IFERROR(INDEX('זה אני - קליטה'!$AC$5:$AC$204,MATCH($A202&amp;"|סוף שנה",'זה אני - קליטה'!$Z$5:$Z$204,0)),""))</f>
      </c>
      <c r="K202" s="36">
        <f>IF(AND(ISNUMBER(B202),ISNUMBER(H202)),H202-B202,"")</f>
      </c>
      <c r="L202" s="26">
        <f>IF(K202="","",IF(K202&gt;=1,"עלייה",IF(K202&lt;=-1,"ירידה","יציב")))</f>
      </c>
    </row>
    <row r="203" ht="15" customHeight="1" spans="1:12" x14ac:dyDescent="0.25">
      <c r="A203" s="29"/>
      <c r="B203" s="37">
        <f>IF($A203="","",IFERROR(INDEX('זה אני - קליטה'!$AG$5:$AG$204,MATCH($A203&amp;"|תחילת שנה",'זה אני - קליטה'!$Z$5:$Z$204,0)),""))</f>
      </c>
      <c r="C203" s="26">
        <f>IF($A203="","",IFERROR(INDEX('זה אני - קליטה'!$AA$5:$AA$204,MATCH($A203&amp;"|תחילת שנה",'זה אני - קליטה'!$Z$5:$Z$204,0)),""))</f>
      </c>
      <c r="D203" s="27">
        <f>IF($A203="","",IFERROR(INDEX('זה אני - קליטה'!$AC$5:$AC$204,MATCH($A203&amp;"|תחילת שנה",'זה אני - קליטה'!$Z$5:$Z$204,0)),""))</f>
      </c>
      <c r="E203" s="37">
        <f>IF($A203="","",IFERROR(INDEX('זה אני - קליטה'!$AG$5:$AG$204,MATCH($A203&amp;"|אמצע שנה",'זה אני - קליטה'!$Z$5:$Z$204,0)),""))</f>
      </c>
      <c r="F203" s="26">
        <f>IF($A203="","",IFERROR(INDEX('זה אני - קליטה'!$AA$5:$AA$204,MATCH($A203&amp;"|אמצע שנה",'זה אני - קליטה'!$Z$5:$Z$204,0)),""))</f>
      </c>
      <c r="G203" s="27">
        <f>IF($A203="","",IFERROR(INDEX('זה אני - קליטה'!$AC$5:$AC$204,MATCH($A203&amp;"|אמצע שנה",'זה אני - קליטה'!$Z$5:$Z$204,0)),""))</f>
      </c>
      <c r="H203" s="37">
        <f>IF($A203="","",IFERROR(INDEX('זה אני - קליטה'!$AG$5:$AG$204,MATCH($A203&amp;"|סוף שנה",'זה אני - קליטה'!$Z$5:$Z$204,0)),""))</f>
      </c>
      <c r="I203" s="26">
        <f>IF($A203="","",IFERROR(INDEX('זה אני - קליטה'!$AA$5:$AA$204,MATCH($A203&amp;"|סוף שנה",'זה אני - קליטה'!$Z$5:$Z$204,0)),""))</f>
      </c>
      <c r="J203" s="27">
        <f>IF($A203="","",IFERROR(INDEX('זה אני - קליטה'!$AC$5:$AC$204,MATCH($A203&amp;"|סוף שנה",'זה אני - קליטה'!$Z$5:$Z$204,0)),""))</f>
      </c>
      <c r="K203" s="36">
        <f>IF(AND(ISNUMBER(B203),ISNUMBER(H203)),H203-B203,"")</f>
      </c>
      <c r="L203" s="26">
        <f>IF(K203="","",IF(K203&gt;=1,"עלייה",IF(K203&lt;=-1,"ירידה","יציב")))</f>
      </c>
    </row>
    <row r="204" ht="15" customHeight="1" spans="1:12" x14ac:dyDescent="0.25">
      <c r="A204" s="29"/>
      <c r="B204" s="37">
        <f>IF($A204="","",IFERROR(INDEX('זה אני - קליטה'!$AG$5:$AG$204,MATCH($A204&amp;"|תחילת שנה",'זה אני - קליטה'!$Z$5:$Z$204,0)),""))</f>
      </c>
      <c r="C204" s="26">
        <f>IF($A204="","",IFERROR(INDEX('זה אני - קליטה'!$AA$5:$AA$204,MATCH($A204&amp;"|תחילת שנה",'זה אני - קליטה'!$Z$5:$Z$204,0)),""))</f>
      </c>
      <c r="D204" s="27">
        <f>IF($A204="","",IFERROR(INDEX('זה אני - קליטה'!$AC$5:$AC$204,MATCH($A204&amp;"|תחילת שנה",'זה אני - קליטה'!$Z$5:$Z$204,0)),""))</f>
      </c>
      <c r="E204" s="37">
        <f>IF($A204="","",IFERROR(INDEX('זה אני - קליטה'!$AG$5:$AG$204,MATCH($A204&amp;"|אמצע שנה",'זה אני - קליטה'!$Z$5:$Z$204,0)),""))</f>
      </c>
      <c r="F204" s="26">
        <f>IF($A204="","",IFERROR(INDEX('זה אני - קליטה'!$AA$5:$AA$204,MATCH($A204&amp;"|אמצע שנה",'זה אני - קליטה'!$Z$5:$Z$204,0)),""))</f>
      </c>
      <c r="G204" s="27">
        <f>IF($A204="","",IFERROR(INDEX('זה אני - קליטה'!$AC$5:$AC$204,MATCH($A204&amp;"|אמצע שנה",'זה אני - קליטה'!$Z$5:$Z$204,0)),""))</f>
      </c>
      <c r="H204" s="37">
        <f>IF($A204="","",IFERROR(INDEX('זה אני - קליטה'!$AG$5:$AG$204,MATCH($A204&amp;"|סוף שנה",'זה אני - קליטה'!$Z$5:$Z$204,0)),""))</f>
      </c>
      <c r="I204" s="26">
        <f>IF($A204="","",IFERROR(INDEX('זה אני - קליטה'!$AA$5:$AA$204,MATCH($A204&amp;"|סוף שנה",'זה אני - קליטה'!$Z$5:$Z$204,0)),""))</f>
      </c>
      <c r="J204" s="27">
        <f>IF($A204="","",IFERROR(INDEX('זה אני - קליטה'!$AC$5:$AC$204,MATCH($A204&amp;"|סוף שנה",'זה אני - קליטה'!$Z$5:$Z$204,0)),""))</f>
      </c>
      <c r="K204" s="36">
        <f>IF(AND(ISNUMBER(B204),ISNUMBER(H204)),H204-B204,"")</f>
      </c>
      <c r="L204" s="26">
        <f>IF(K204="","",IF(K204&gt;=1,"עלייה",IF(K204&lt;=-1,"ירידה","יציב")))</f>
      </c>
    </row>
  </sheetData>
  <mergeCells count="4">
    <mergeCell ref="B3:D3"/>
    <mergeCell ref="E3:G3"/>
    <mergeCell ref="H3:J3"/>
    <mergeCell ref="K3:L3"/>
  </mergeCells>
  <conditionalFormatting sqref="L5:L204">
    <cfRule type="cellIs" dxfId="4" priority="2" operator="equal">
      <formula>"עלייה"</formula>
    </cfRule>
    <cfRule type="cellIs" dxfId="5" priority="3" operator="equal">
      <formula>"ירידה"</formula>
    </cfRule>
  </conditionalFormatting>
  <conditionalFormatting sqref="B5:B204">
    <cfRule type="colorScale" priority="4">
      <colorScale>
        <cfvo type="num" val="0"/>
        <cfvo type="num" val="1.5"/>
        <cfvo type="num" val="3"/>
        <color rgb="FFF9B5B8"/>
        <color rgb="FFFFE07A"/>
        <color rgb="FF8FD19E"/>
      </colorScale>
    </cfRule>
  </conditionalFormatting>
  <conditionalFormatting sqref="E5:E204">
    <cfRule type="colorScale" priority="5">
      <colorScale>
        <cfvo type="num" val="0"/>
        <cfvo type="num" val="1.5"/>
        <cfvo type="num" val="3"/>
        <color rgb="FFF9B5B8"/>
        <color rgb="FFFFE07A"/>
        <color rgb="FF8FD19E"/>
      </colorScale>
    </cfRule>
  </conditionalFormatting>
  <conditionalFormatting sqref="H5:H204">
    <cfRule type="colorScale" priority="6">
      <colorScale>
        <cfvo type="num" val="0"/>
        <cfvo type="num" val="1.5"/>
        <cfvo type="num" val="3"/>
        <color rgb="FFF9B5B8"/>
        <color rgb="FFFFE07A"/>
        <color rgb="FF8FD19E"/>
      </colorScale>
    </cfRule>
  </conditionalFormatting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3FB8"/>
  </sheetPr>
  <dimension ref="A1:S204"/>
  <sheetViews>
    <sheetView workbookViewId="0" zoomScale="100" zoomScaleNormal="100" view="normal">
      <pane xSplit="1" ySplit="4" topLeftCell="B5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1" width="18" customWidth="1"/>
    <col min="2" max="19" width="12" customWidth="1"/>
  </cols>
  <sheetData>
    <row r="1" ht="19.7" customHeight="1" spans="1:1" x14ac:dyDescent="0.25">
      <c r="A1" s="10" t="s">
        <v>143</v>
      </c>
    </row>
    <row r="2" ht="15" customHeight="1" spans="1:1" x14ac:dyDescent="0.25">
      <c r="A2" s="11" t="s">
        <v>144</v>
      </c>
    </row>
    <row r="3" ht="15" customHeight="1" spans="2:19" x14ac:dyDescent="0.25">
      <c r="B3" s="14" t="s">
        <v>93</v>
      </c>
      <c r="C3" s="14"/>
      <c r="D3" s="14"/>
      <c r="E3" s="14"/>
      <c r="F3" s="14"/>
      <c r="G3" s="14"/>
      <c r="H3" s="15" t="s">
        <v>133</v>
      </c>
      <c r="I3" s="15"/>
      <c r="J3" s="15"/>
      <c r="K3" s="15"/>
      <c r="L3" s="15"/>
      <c r="M3" s="15"/>
      <c r="N3" s="35" t="s">
        <v>134</v>
      </c>
      <c r="O3" s="35"/>
      <c r="P3" s="35"/>
      <c r="Q3" s="35"/>
      <c r="R3" s="35"/>
      <c r="S3" s="35"/>
    </row>
    <row r="4" ht="57.75" customHeight="1" spans="1:19" x14ac:dyDescent="0.25">
      <c r="A4" s="17" t="s">
        <v>49</v>
      </c>
      <c r="B4" s="19" t="s">
        <v>145</v>
      </c>
      <c r="C4" s="19" t="s">
        <v>16</v>
      </c>
      <c r="D4" s="19" t="s">
        <v>136</v>
      </c>
      <c r="E4" s="19" t="s">
        <v>146</v>
      </c>
      <c r="F4" s="19" t="s">
        <v>147</v>
      </c>
      <c r="G4" s="19" t="s">
        <v>148</v>
      </c>
      <c r="H4" s="20" t="s">
        <v>145</v>
      </c>
      <c r="I4" s="20" t="s">
        <v>16</v>
      </c>
      <c r="J4" s="20" t="s">
        <v>136</v>
      </c>
      <c r="K4" s="20" t="s">
        <v>146</v>
      </c>
      <c r="L4" s="20" t="s">
        <v>147</v>
      </c>
      <c r="M4" s="20" t="s">
        <v>148</v>
      </c>
      <c r="N4" s="22" t="s">
        <v>145</v>
      </c>
      <c r="O4" s="22" t="s">
        <v>16</v>
      </c>
      <c r="P4" s="22" t="s">
        <v>136</v>
      </c>
      <c r="Q4" s="22" t="s">
        <v>146</v>
      </c>
      <c r="R4" s="22" t="s">
        <v>147</v>
      </c>
      <c r="S4" s="22" t="s">
        <v>148</v>
      </c>
    </row>
    <row r="5" ht="15" customHeight="1" spans="1:19" x14ac:dyDescent="0.25">
      <c r="A5" s="25" t="s">
        <v>92</v>
      </c>
      <c r="B5" s="37">
        <f>IF($A5="","",COUNTIFS('רווחה - קליטה'!$B$5:$B$204,$A5,'רווחה - קליטה'!$C$5:$C$204,"תחילת שנה"))</f>
        <v>1</v>
      </c>
      <c r="C5" s="28">
        <f>IF($A5="","",IFERROR(AVERAGEIFS('רווחה - קליטה'!$AQ$5:$AQ$204,'רווחה - קליטה'!$B$5:$B$204,$A5,'רווחה - קליטה'!$C$5:$C$204,"תחילת שנה"),""))</f>
        <v>2.11111111111111</v>
      </c>
      <c r="D5" s="27">
        <f>IF($A5="","",IFERROR(AVERAGEIFS('רווחה - קליטה'!$AK$5:$AK$204,'רווחה - קליטה'!$B$5:$B$204,$A5,'רווחה - קליטה'!$C$5:$C$204,"תחילת שנה"),""))</f>
        <v>0.75</v>
      </c>
      <c r="E5" s="27">
        <f>IF($A5="","",IFERROR(COUNTIFS('רווחה - קליטה'!$B$5:$B$204,$A5,'רווחה - קליטה'!$C$5:$C$204,"תחילת שנה",'רווחה - קליטה'!$AS$5:$AS$204,"אמין")/COUNTIFS('רווחה - קליטה'!$B$5:$B$204,$A5,'רווחה - קליטה'!$C$5:$C$204,"תחילת שנה"),""))</f>
        <v>1</v>
      </c>
      <c r="F5" s="37">
        <f>IF($A5="","",COUNTIFS('זה אני - קליטה'!$B$5:$B$204,$A5,'זה אני - קליטה'!$C$5:$C$204,"תחילת שנה"))</f>
        <v>1</v>
      </c>
      <c r="G5" s="28">
        <f>IF($A5="","",IFERROR(AVERAGEIFS('זה אני - קליטה'!$AG$5:$AG$204,'זה אני - קליטה'!$B$5:$B$204,$A5,'זה אני - קליטה'!$C$5:$C$204,"תחילת שנה"),""))</f>
        <v>1</v>
      </c>
      <c r="H5" s="37">
        <f>IF($A5="","",COUNTIFS('רווחה - קליטה'!$B$5:$B$204,$A5,'רווחה - קליטה'!$C$5:$C$204,"אמצע שנה"))</f>
        <v>0</v>
      </c>
      <c r="I5" s="28">
        <f>IF($A5="","",IFERROR(AVERAGEIFS('רווחה - קליטה'!$AQ$5:$AQ$204,'רווחה - קליטה'!$B$5:$B$204,$A5,'רווחה - קליטה'!$C$5:$C$204,"אמצע שנה"),""))</f>
      </c>
      <c r="J5" s="27">
        <f>IF($A5="","",IFERROR(AVERAGEIFS('רווחה - קליטה'!$AK$5:$AK$204,'רווחה - קליטה'!$B$5:$B$204,$A5,'רווחה - קליטה'!$C$5:$C$204,"אמצע שנה"),""))</f>
      </c>
      <c r="K5" s="27">
        <f>IF($A5="","",IFERROR(COUNTIFS('רווחה - קליטה'!$B$5:$B$204,$A5,'רווחה - קליטה'!$C$5:$C$204,"אמצע שנה",'רווחה - קליטה'!$AS$5:$AS$204,"אמין")/COUNTIFS('רווחה - קליטה'!$B$5:$B$204,$A5,'רווחה - קליטה'!$C$5:$C$204,"אמצע שנה"),""))</f>
      </c>
      <c r="L5" s="37">
        <f>IF($A5="","",COUNTIFS('זה אני - קליטה'!$B$5:$B$204,$A5,'זה אני - קליטה'!$C$5:$C$204,"אמצע שנה"))</f>
        <v>0</v>
      </c>
      <c r="M5" s="28">
        <f>IF($A5="","",IFERROR(AVERAGEIFS('זה אני - קליטה'!$AG$5:$AG$204,'זה אני - קליטה'!$B$5:$B$204,$A5,'זה אני - קליטה'!$C$5:$C$204,"אמצע שנה"),""))</f>
      </c>
      <c r="N5" s="37">
        <f>IF($A5="","",COUNTIFS('רווחה - קליטה'!$B$5:$B$204,$A5,'רווחה - קליטה'!$C$5:$C$204,"סוף שנה"))</f>
        <v>0</v>
      </c>
      <c r="O5" s="28">
        <f>IF($A5="","",IFERROR(AVERAGEIFS('רווחה - קליטה'!$AQ$5:$AQ$204,'רווחה - קליטה'!$B$5:$B$204,$A5,'רווחה - קליטה'!$C$5:$C$204,"סוף שנה"),""))</f>
      </c>
      <c r="P5" s="27">
        <f>IF($A5="","",IFERROR(AVERAGEIFS('רווחה - קליטה'!$AK$5:$AK$204,'רווחה - קליטה'!$B$5:$B$204,$A5,'רווחה - קליטה'!$C$5:$C$204,"סוף שנה"),""))</f>
      </c>
      <c r="Q5" s="27">
        <f>IF($A5="","",IFERROR(COUNTIFS('רווחה - קליטה'!$B$5:$B$204,$A5,'רווחה - קליטה'!$C$5:$C$204,"סוף שנה",'רווחה - קליטה'!$AS$5:$AS$204,"אמין")/COUNTIFS('רווחה - קליטה'!$B$5:$B$204,$A5,'רווחה - קליטה'!$C$5:$C$204,"סוף שנה"),""))</f>
      </c>
      <c r="R5" s="37">
        <f>IF($A5="","",COUNTIFS('זה אני - קליטה'!$B$5:$B$204,$A5,'זה אני - קליטה'!$C$5:$C$204,"סוף שנה"))</f>
        <v>0</v>
      </c>
      <c r="S5" s="28">
        <f>IF($A5="","",IFERROR(AVERAGEIFS('זה אני - קליטה'!$AG$5:$AG$204,'זה אני - קליטה'!$B$5:$B$204,$A5,'זה אני - קליטה'!$C$5:$C$204,"סוף שנה"),""))</f>
      </c>
    </row>
    <row r="6" ht="15" customHeight="1" spans="1:19" x14ac:dyDescent="0.25">
      <c r="A6" s="29"/>
      <c r="B6" s="37">
        <f>IF($A6="","",COUNTIFS('רווחה - קליטה'!$B$5:$B$204,$A6,'רווחה - קליטה'!$C$5:$C$204,"תחילת שנה"))</f>
      </c>
      <c r="C6" s="28">
        <f>IF($A6="","",IFERROR(AVERAGEIFS('רווחה - קליטה'!$AQ$5:$AQ$204,'רווחה - קליטה'!$B$5:$B$204,$A6,'רווחה - קליטה'!$C$5:$C$204,"תחילת שנה"),""))</f>
      </c>
      <c r="D6" s="27">
        <f>IF($A6="","",IFERROR(AVERAGEIFS('רווחה - קליטה'!$AK$5:$AK$204,'רווחה - קליטה'!$B$5:$B$204,$A6,'רווחה - קליטה'!$C$5:$C$204,"תחילת שנה"),""))</f>
      </c>
      <c r="E6" s="27">
        <f>IF($A6="","",IFERROR(COUNTIFS('רווחה - קליטה'!$B$5:$B$204,$A6,'רווחה - קליטה'!$C$5:$C$204,"תחילת שנה",'רווחה - קליטה'!$AS$5:$AS$204,"אמין")/COUNTIFS('רווחה - קליטה'!$B$5:$B$204,$A6,'רווחה - קליטה'!$C$5:$C$204,"תחילת שנה"),""))</f>
      </c>
      <c r="F6" s="37">
        <f>IF($A6="","",COUNTIFS('זה אני - קליטה'!$B$5:$B$204,$A6,'זה אני - קליטה'!$C$5:$C$204,"תחילת שנה"))</f>
      </c>
      <c r="G6" s="28">
        <f>IF($A6="","",IFERROR(AVERAGEIFS('זה אני - קליטה'!$AG$5:$AG$204,'זה אני - קליטה'!$B$5:$B$204,$A6,'זה אני - קליטה'!$C$5:$C$204,"תחילת שנה"),""))</f>
      </c>
      <c r="H6" s="37">
        <f>IF($A6="","",COUNTIFS('רווחה - קליטה'!$B$5:$B$204,$A6,'רווחה - קליטה'!$C$5:$C$204,"אמצע שנה"))</f>
      </c>
      <c r="I6" s="28">
        <f>IF($A6="","",IFERROR(AVERAGEIFS('רווחה - קליטה'!$AQ$5:$AQ$204,'רווחה - קליטה'!$B$5:$B$204,$A6,'רווחה - קליטה'!$C$5:$C$204,"אמצע שנה"),""))</f>
      </c>
      <c r="J6" s="27">
        <f>IF($A6="","",IFERROR(AVERAGEIFS('רווחה - קליטה'!$AK$5:$AK$204,'רווחה - קליטה'!$B$5:$B$204,$A6,'רווחה - קליטה'!$C$5:$C$204,"אמצע שנה"),""))</f>
      </c>
      <c r="K6" s="27">
        <f>IF($A6="","",IFERROR(COUNTIFS('רווחה - קליטה'!$B$5:$B$204,$A6,'רווחה - קליטה'!$C$5:$C$204,"אמצע שנה",'רווחה - קליטה'!$AS$5:$AS$204,"אמין")/COUNTIFS('רווחה - קליטה'!$B$5:$B$204,$A6,'רווחה - קליטה'!$C$5:$C$204,"אמצע שנה"),""))</f>
      </c>
      <c r="L6" s="37">
        <f>IF($A6="","",COUNTIFS('זה אני - קליטה'!$B$5:$B$204,$A6,'זה אני - קליטה'!$C$5:$C$204,"אמצע שנה"))</f>
      </c>
      <c r="M6" s="28">
        <f>IF($A6="","",IFERROR(AVERAGEIFS('זה אני - קליטה'!$AG$5:$AG$204,'זה אני - קליטה'!$B$5:$B$204,$A6,'זה אני - קליטה'!$C$5:$C$204,"אמצע שנה"),""))</f>
      </c>
      <c r="N6" s="37">
        <f>IF($A6="","",COUNTIFS('רווחה - קליטה'!$B$5:$B$204,$A6,'רווחה - קליטה'!$C$5:$C$204,"סוף שנה"))</f>
      </c>
      <c r="O6" s="28">
        <f>IF($A6="","",IFERROR(AVERAGEIFS('רווחה - קליטה'!$AQ$5:$AQ$204,'רווחה - קליטה'!$B$5:$B$204,$A6,'רווחה - קליטה'!$C$5:$C$204,"סוף שנה"),""))</f>
      </c>
      <c r="P6" s="27">
        <f>IF($A6="","",IFERROR(AVERAGEIFS('רווחה - קליטה'!$AK$5:$AK$204,'רווחה - קליטה'!$B$5:$B$204,$A6,'רווחה - קליטה'!$C$5:$C$204,"סוף שנה"),""))</f>
      </c>
      <c r="Q6" s="27">
        <f>IF($A6="","",IFERROR(COUNTIFS('רווחה - קליטה'!$B$5:$B$204,$A6,'רווחה - קליטה'!$C$5:$C$204,"סוף שנה",'רווחה - קליטה'!$AS$5:$AS$204,"אמין")/COUNTIFS('רווחה - קליטה'!$B$5:$B$204,$A6,'רווחה - קליטה'!$C$5:$C$204,"סוף שנה"),""))</f>
      </c>
      <c r="R6" s="37">
        <f>IF($A6="","",COUNTIFS('זה אני - קליטה'!$B$5:$B$204,$A6,'זה אני - קליטה'!$C$5:$C$204,"סוף שנה"))</f>
      </c>
      <c r="S6" s="28">
        <f>IF($A6="","",IFERROR(AVERAGEIFS('זה אני - קליטה'!$AG$5:$AG$204,'זה אני - קליטה'!$B$5:$B$204,$A6,'זה אני - קליטה'!$C$5:$C$204,"סוף שנה"),""))</f>
      </c>
    </row>
    <row r="7" ht="15" customHeight="1" spans="1:19" x14ac:dyDescent="0.25">
      <c r="A7" s="29"/>
      <c r="B7" s="37">
        <f>IF($A7="","",COUNTIFS('רווחה - קליטה'!$B$5:$B$204,$A7,'רווחה - קליטה'!$C$5:$C$204,"תחילת שנה"))</f>
      </c>
      <c r="C7" s="28">
        <f>IF($A7="","",IFERROR(AVERAGEIFS('רווחה - קליטה'!$AQ$5:$AQ$204,'רווחה - קליטה'!$B$5:$B$204,$A7,'רווחה - קליטה'!$C$5:$C$204,"תחילת שנה"),""))</f>
      </c>
      <c r="D7" s="27">
        <f>IF($A7="","",IFERROR(AVERAGEIFS('רווחה - קליטה'!$AK$5:$AK$204,'רווחה - קליטה'!$B$5:$B$204,$A7,'רווחה - קליטה'!$C$5:$C$204,"תחילת שנה"),""))</f>
      </c>
      <c r="E7" s="27">
        <f>IF($A7="","",IFERROR(COUNTIFS('רווחה - קליטה'!$B$5:$B$204,$A7,'רווחה - קליטה'!$C$5:$C$204,"תחילת שנה",'רווחה - קליטה'!$AS$5:$AS$204,"אמין")/COUNTIFS('רווחה - קליטה'!$B$5:$B$204,$A7,'רווחה - קליטה'!$C$5:$C$204,"תחילת שנה"),""))</f>
      </c>
      <c r="F7" s="37">
        <f>IF($A7="","",COUNTIFS('זה אני - קליטה'!$B$5:$B$204,$A7,'זה אני - קליטה'!$C$5:$C$204,"תחילת שנה"))</f>
      </c>
      <c r="G7" s="28">
        <f>IF($A7="","",IFERROR(AVERAGEIFS('זה אני - קליטה'!$AG$5:$AG$204,'זה אני - קליטה'!$B$5:$B$204,$A7,'זה אני - קליטה'!$C$5:$C$204,"תחילת שנה"),""))</f>
      </c>
      <c r="H7" s="37">
        <f>IF($A7="","",COUNTIFS('רווחה - קליטה'!$B$5:$B$204,$A7,'רווחה - קליטה'!$C$5:$C$204,"אמצע שנה"))</f>
      </c>
      <c r="I7" s="28">
        <f>IF($A7="","",IFERROR(AVERAGEIFS('רווחה - קליטה'!$AQ$5:$AQ$204,'רווחה - קליטה'!$B$5:$B$204,$A7,'רווחה - קליטה'!$C$5:$C$204,"אמצע שנה"),""))</f>
      </c>
      <c r="J7" s="27">
        <f>IF($A7="","",IFERROR(AVERAGEIFS('רווחה - קליטה'!$AK$5:$AK$204,'רווחה - קליטה'!$B$5:$B$204,$A7,'רווחה - קליטה'!$C$5:$C$204,"אמצע שנה"),""))</f>
      </c>
      <c r="K7" s="27">
        <f>IF($A7="","",IFERROR(COUNTIFS('רווחה - קליטה'!$B$5:$B$204,$A7,'רווחה - קליטה'!$C$5:$C$204,"אמצע שנה",'רווחה - קליטה'!$AS$5:$AS$204,"אמין")/COUNTIFS('רווחה - קליטה'!$B$5:$B$204,$A7,'רווחה - קליטה'!$C$5:$C$204,"אמצע שנה"),""))</f>
      </c>
      <c r="L7" s="37">
        <f>IF($A7="","",COUNTIFS('זה אני - קליטה'!$B$5:$B$204,$A7,'זה אני - קליטה'!$C$5:$C$204,"אמצע שנה"))</f>
      </c>
      <c r="M7" s="28">
        <f>IF($A7="","",IFERROR(AVERAGEIFS('זה אני - קליטה'!$AG$5:$AG$204,'זה אני - קליטה'!$B$5:$B$204,$A7,'זה אני - קליטה'!$C$5:$C$204,"אמצע שנה"),""))</f>
      </c>
      <c r="N7" s="37">
        <f>IF($A7="","",COUNTIFS('רווחה - קליטה'!$B$5:$B$204,$A7,'רווחה - קליטה'!$C$5:$C$204,"סוף שנה"))</f>
      </c>
      <c r="O7" s="28">
        <f>IF($A7="","",IFERROR(AVERAGEIFS('רווחה - קליטה'!$AQ$5:$AQ$204,'רווחה - קליטה'!$B$5:$B$204,$A7,'רווחה - קליטה'!$C$5:$C$204,"סוף שנה"),""))</f>
      </c>
      <c r="P7" s="27">
        <f>IF($A7="","",IFERROR(AVERAGEIFS('רווחה - קליטה'!$AK$5:$AK$204,'רווחה - קליטה'!$B$5:$B$204,$A7,'רווחה - קליטה'!$C$5:$C$204,"סוף שנה"),""))</f>
      </c>
      <c r="Q7" s="27">
        <f>IF($A7="","",IFERROR(COUNTIFS('רווחה - קליטה'!$B$5:$B$204,$A7,'רווחה - קליטה'!$C$5:$C$204,"סוף שנה",'רווחה - קליטה'!$AS$5:$AS$204,"אמין")/COUNTIFS('רווחה - קליטה'!$B$5:$B$204,$A7,'רווחה - קליטה'!$C$5:$C$204,"סוף שנה"),""))</f>
      </c>
      <c r="R7" s="37">
        <f>IF($A7="","",COUNTIFS('זה אני - קליטה'!$B$5:$B$204,$A7,'זה אני - קליטה'!$C$5:$C$204,"סוף שנה"))</f>
      </c>
      <c r="S7" s="28">
        <f>IF($A7="","",IFERROR(AVERAGEIFS('זה אני - קליטה'!$AG$5:$AG$204,'זה אני - קליטה'!$B$5:$B$204,$A7,'זה אני - קליטה'!$C$5:$C$204,"סוף שנה"),""))</f>
      </c>
    </row>
    <row r="8" ht="15" customHeight="1" spans="1:19" x14ac:dyDescent="0.25">
      <c r="A8" s="29"/>
      <c r="B8" s="37">
        <f>IF($A8="","",COUNTIFS('רווחה - קליטה'!$B$5:$B$204,$A8,'רווחה - קליטה'!$C$5:$C$204,"תחילת שנה"))</f>
      </c>
      <c r="C8" s="28">
        <f>IF($A8="","",IFERROR(AVERAGEIFS('רווחה - קליטה'!$AQ$5:$AQ$204,'רווחה - קליטה'!$B$5:$B$204,$A8,'רווחה - קליטה'!$C$5:$C$204,"תחילת שנה"),""))</f>
      </c>
      <c r="D8" s="27">
        <f>IF($A8="","",IFERROR(AVERAGEIFS('רווחה - קליטה'!$AK$5:$AK$204,'רווחה - קליטה'!$B$5:$B$204,$A8,'רווחה - קליטה'!$C$5:$C$204,"תחילת שנה"),""))</f>
      </c>
      <c r="E8" s="27">
        <f>IF($A8="","",IFERROR(COUNTIFS('רווחה - קליטה'!$B$5:$B$204,$A8,'רווחה - קליטה'!$C$5:$C$204,"תחילת שנה",'רווחה - קליטה'!$AS$5:$AS$204,"אמין")/COUNTIFS('רווחה - קליטה'!$B$5:$B$204,$A8,'רווחה - קליטה'!$C$5:$C$204,"תחילת שנה"),""))</f>
      </c>
      <c r="F8" s="37">
        <f>IF($A8="","",COUNTIFS('זה אני - קליטה'!$B$5:$B$204,$A8,'זה אני - קליטה'!$C$5:$C$204,"תחילת שנה"))</f>
      </c>
      <c r="G8" s="28">
        <f>IF($A8="","",IFERROR(AVERAGEIFS('זה אני - קליטה'!$AG$5:$AG$204,'זה אני - קליטה'!$B$5:$B$204,$A8,'זה אני - קליטה'!$C$5:$C$204,"תחילת שנה"),""))</f>
      </c>
      <c r="H8" s="37">
        <f>IF($A8="","",COUNTIFS('רווחה - קליטה'!$B$5:$B$204,$A8,'רווחה - קליטה'!$C$5:$C$204,"אמצע שנה"))</f>
      </c>
      <c r="I8" s="28">
        <f>IF($A8="","",IFERROR(AVERAGEIFS('רווחה - קליטה'!$AQ$5:$AQ$204,'רווחה - קליטה'!$B$5:$B$204,$A8,'רווחה - קליטה'!$C$5:$C$204,"אמצע שנה"),""))</f>
      </c>
      <c r="J8" s="27">
        <f>IF($A8="","",IFERROR(AVERAGEIFS('רווחה - קליטה'!$AK$5:$AK$204,'רווחה - קליטה'!$B$5:$B$204,$A8,'רווחה - קליטה'!$C$5:$C$204,"אמצע שנה"),""))</f>
      </c>
      <c r="K8" s="27">
        <f>IF($A8="","",IFERROR(COUNTIFS('רווחה - קליטה'!$B$5:$B$204,$A8,'רווחה - קליטה'!$C$5:$C$204,"אמצע שנה",'רווחה - קליטה'!$AS$5:$AS$204,"אמין")/COUNTIFS('רווחה - קליטה'!$B$5:$B$204,$A8,'רווחה - קליטה'!$C$5:$C$204,"אמצע שנה"),""))</f>
      </c>
      <c r="L8" s="37">
        <f>IF($A8="","",COUNTIFS('זה אני - קליטה'!$B$5:$B$204,$A8,'זה אני - קליטה'!$C$5:$C$204,"אמצע שנה"))</f>
      </c>
      <c r="M8" s="28">
        <f>IF($A8="","",IFERROR(AVERAGEIFS('זה אני - קליטה'!$AG$5:$AG$204,'זה אני - קליטה'!$B$5:$B$204,$A8,'זה אני - קליטה'!$C$5:$C$204,"אמצע שנה"),""))</f>
      </c>
      <c r="N8" s="37">
        <f>IF($A8="","",COUNTIFS('רווחה - קליטה'!$B$5:$B$204,$A8,'רווחה - קליטה'!$C$5:$C$204,"סוף שנה"))</f>
      </c>
      <c r="O8" s="28">
        <f>IF($A8="","",IFERROR(AVERAGEIFS('רווחה - קליטה'!$AQ$5:$AQ$204,'רווחה - קליטה'!$B$5:$B$204,$A8,'רווחה - קליטה'!$C$5:$C$204,"סוף שנה"),""))</f>
      </c>
      <c r="P8" s="27">
        <f>IF($A8="","",IFERROR(AVERAGEIFS('רווחה - קליטה'!$AK$5:$AK$204,'רווחה - קליטה'!$B$5:$B$204,$A8,'רווחה - קליטה'!$C$5:$C$204,"סוף שנה"),""))</f>
      </c>
      <c r="Q8" s="27">
        <f>IF($A8="","",IFERROR(COUNTIFS('רווחה - קליטה'!$B$5:$B$204,$A8,'רווחה - קליטה'!$C$5:$C$204,"סוף שנה",'רווחה - קליטה'!$AS$5:$AS$204,"אמין")/COUNTIFS('רווחה - קליטה'!$B$5:$B$204,$A8,'רווחה - קליטה'!$C$5:$C$204,"סוף שנה"),""))</f>
      </c>
      <c r="R8" s="37">
        <f>IF($A8="","",COUNTIFS('זה אני - קליטה'!$B$5:$B$204,$A8,'זה אני - קליטה'!$C$5:$C$204,"סוף שנה"))</f>
      </c>
      <c r="S8" s="28">
        <f>IF($A8="","",IFERROR(AVERAGEIFS('זה אני - קליטה'!$AG$5:$AG$204,'זה אני - קליטה'!$B$5:$B$204,$A8,'זה אני - קליטה'!$C$5:$C$204,"סוף שנה"),""))</f>
      </c>
    </row>
    <row r="9" ht="15" customHeight="1" spans="1:19" x14ac:dyDescent="0.25">
      <c r="A9" s="29"/>
      <c r="B9" s="37">
        <f>IF($A9="","",COUNTIFS('רווחה - קליטה'!$B$5:$B$204,$A9,'רווחה - קליטה'!$C$5:$C$204,"תחילת שנה"))</f>
      </c>
      <c r="C9" s="28">
        <f>IF($A9="","",IFERROR(AVERAGEIFS('רווחה - קליטה'!$AQ$5:$AQ$204,'רווחה - קליטה'!$B$5:$B$204,$A9,'רווחה - קליטה'!$C$5:$C$204,"תחילת שנה"),""))</f>
      </c>
      <c r="D9" s="27">
        <f>IF($A9="","",IFERROR(AVERAGEIFS('רווחה - קליטה'!$AK$5:$AK$204,'רווחה - קליטה'!$B$5:$B$204,$A9,'רווחה - קליטה'!$C$5:$C$204,"תחילת שנה"),""))</f>
      </c>
      <c r="E9" s="27">
        <f>IF($A9="","",IFERROR(COUNTIFS('רווחה - קליטה'!$B$5:$B$204,$A9,'רווחה - קליטה'!$C$5:$C$204,"תחילת שנה",'רווחה - קליטה'!$AS$5:$AS$204,"אמין")/COUNTIFS('רווחה - קליטה'!$B$5:$B$204,$A9,'רווחה - קליטה'!$C$5:$C$204,"תחילת שנה"),""))</f>
      </c>
      <c r="F9" s="37">
        <f>IF($A9="","",COUNTIFS('זה אני - קליטה'!$B$5:$B$204,$A9,'זה אני - קליטה'!$C$5:$C$204,"תחילת שנה"))</f>
      </c>
      <c r="G9" s="28">
        <f>IF($A9="","",IFERROR(AVERAGEIFS('זה אני - קליטה'!$AG$5:$AG$204,'זה אני - קליטה'!$B$5:$B$204,$A9,'זה אני - קליטה'!$C$5:$C$204,"תחילת שנה"),""))</f>
      </c>
      <c r="H9" s="37">
        <f>IF($A9="","",COUNTIFS('רווחה - קליטה'!$B$5:$B$204,$A9,'רווחה - קליטה'!$C$5:$C$204,"אמצע שנה"))</f>
      </c>
      <c r="I9" s="28">
        <f>IF($A9="","",IFERROR(AVERAGEIFS('רווחה - קליטה'!$AQ$5:$AQ$204,'רווחה - קליטה'!$B$5:$B$204,$A9,'רווחה - קליטה'!$C$5:$C$204,"אמצע שנה"),""))</f>
      </c>
      <c r="J9" s="27">
        <f>IF($A9="","",IFERROR(AVERAGEIFS('רווחה - קליטה'!$AK$5:$AK$204,'רווחה - קליטה'!$B$5:$B$204,$A9,'רווחה - קליטה'!$C$5:$C$204,"אמצע שנה"),""))</f>
      </c>
      <c r="K9" s="27">
        <f>IF($A9="","",IFERROR(COUNTIFS('רווחה - קליטה'!$B$5:$B$204,$A9,'רווחה - קליטה'!$C$5:$C$204,"אמצע שנה",'רווחה - קליטה'!$AS$5:$AS$204,"אמין")/COUNTIFS('רווחה - קליטה'!$B$5:$B$204,$A9,'רווחה - קליטה'!$C$5:$C$204,"אמצע שנה"),""))</f>
      </c>
      <c r="L9" s="37">
        <f>IF($A9="","",COUNTIFS('זה אני - קליטה'!$B$5:$B$204,$A9,'זה אני - קליטה'!$C$5:$C$204,"אמצע שנה"))</f>
      </c>
      <c r="M9" s="28">
        <f>IF($A9="","",IFERROR(AVERAGEIFS('זה אני - קליטה'!$AG$5:$AG$204,'זה אני - קליטה'!$B$5:$B$204,$A9,'זה אני - קליטה'!$C$5:$C$204,"אמצע שנה"),""))</f>
      </c>
      <c r="N9" s="37">
        <f>IF($A9="","",COUNTIFS('רווחה - קליטה'!$B$5:$B$204,$A9,'רווחה - קליטה'!$C$5:$C$204,"סוף שנה"))</f>
      </c>
      <c r="O9" s="28">
        <f>IF($A9="","",IFERROR(AVERAGEIFS('רווחה - קליטה'!$AQ$5:$AQ$204,'רווחה - קליטה'!$B$5:$B$204,$A9,'רווחה - קליטה'!$C$5:$C$204,"סוף שנה"),""))</f>
      </c>
      <c r="P9" s="27">
        <f>IF($A9="","",IFERROR(AVERAGEIFS('רווחה - קליטה'!$AK$5:$AK$204,'רווחה - קליטה'!$B$5:$B$204,$A9,'רווחה - קליטה'!$C$5:$C$204,"סוף שנה"),""))</f>
      </c>
      <c r="Q9" s="27">
        <f>IF($A9="","",IFERROR(COUNTIFS('רווחה - קליטה'!$B$5:$B$204,$A9,'רווחה - קליטה'!$C$5:$C$204,"סוף שנה",'רווחה - קליטה'!$AS$5:$AS$204,"אמין")/COUNTIFS('רווחה - קליטה'!$B$5:$B$204,$A9,'רווחה - קליטה'!$C$5:$C$204,"סוף שנה"),""))</f>
      </c>
      <c r="R9" s="37">
        <f>IF($A9="","",COUNTIFS('זה אני - קליטה'!$B$5:$B$204,$A9,'זה אני - קליטה'!$C$5:$C$204,"סוף שנה"))</f>
      </c>
      <c r="S9" s="28">
        <f>IF($A9="","",IFERROR(AVERAGEIFS('זה אני - קליטה'!$AG$5:$AG$204,'זה אני - קליטה'!$B$5:$B$204,$A9,'זה אני - קליטה'!$C$5:$C$204,"סוף שנה"),""))</f>
      </c>
    </row>
    <row r="10" ht="15" customHeight="1" spans="1:19" x14ac:dyDescent="0.25">
      <c r="A10" s="29"/>
      <c r="B10" s="37">
        <f>IF($A10="","",COUNTIFS('רווחה - קליטה'!$B$5:$B$204,$A10,'רווחה - קליטה'!$C$5:$C$204,"תחילת שנה"))</f>
      </c>
      <c r="C10" s="28">
        <f>IF($A10="","",IFERROR(AVERAGEIFS('רווחה - קליטה'!$AQ$5:$AQ$204,'רווחה - קליטה'!$B$5:$B$204,$A10,'רווחה - קליטה'!$C$5:$C$204,"תחילת שנה"),""))</f>
      </c>
      <c r="D10" s="27">
        <f>IF($A10="","",IFERROR(AVERAGEIFS('רווחה - קליטה'!$AK$5:$AK$204,'רווחה - קליטה'!$B$5:$B$204,$A10,'רווחה - קליטה'!$C$5:$C$204,"תחילת שנה"),""))</f>
      </c>
      <c r="E10" s="27">
        <f>IF($A10="","",IFERROR(COUNTIFS('רווחה - קליטה'!$B$5:$B$204,$A10,'רווחה - קליטה'!$C$5:$C$204,"תחילת שנה",'רווחה - קליטה'!$AS$5:$AS$204,"אמין")/COUNTIFS('רווחה - קליטה'!$B$5:$B$204,$A10,'רווחה - קליטה'!$C$5:$C$204,"תחילת שנה"),""))</f>
      </c>
      <c r="F10" s="37">
        <f>IF($A10="","",COUNTIFS('זה אני - קליטה'!$B$5:$B$204,$A10,'זה אני - קליטה'!$C$5:$C$204,"תחילת שנה"))</f>
      </c>
      <c r="G10" s="28">
        <f>IF($A10="","",IFERROR(AVERAGEIFS('זה אני - קליטה'!$AG$5:$AG$204,'זה אני - קליטה'!$B$5:$B$204,$A10,'זה אני - קליטה'!$C$5:$C$204,"תחילת שנה"),""))</f>
      </c>
      <c r="H10" s="37">
        <f>IF($A10="","",COUNTIFS('רווחה - קליטה'!$B$5:$B$204,$A10,'רווחה - קליטה'!$C$5:$C$204,"אמצע שנה"))</f>
      </c>
      <c r="I10" s="28">
        <f>IF($A10="","",IFERROR(AVERAGEIFS('רווחה - קליטה'!$AQ$5:$AQ$204,'רווחה - קליטה'!$B$5:$B$204,$A10,'רווחה - קליטה'!$C$5:$C$204,"אמצע שנה"),""))</f>
      </c>
      <c r="J10" s="27">
        <f>IF($A10="","",IFERROR(AVERAGEIFS('רווחה - קליטה'!$AK$5:$AK$204,'רווחה - קליטה'!$B$5:$B$204,$A10,'רווחה - קליטה'!$C$5:$C$204,"אמצע שנה"),""))</f>
      </c>
      <c r="K10" s="27">
        <f>IF($A10="","",IFERROR(COUNTIFS('רווחה - קליטה'!$B$5:$B$204,$A10,'רווחה - קליטה'!$C$5:$C$204,"אמצע שנה",'רווחה - קליטה'!$AS$5:$AS$204,"אמין")/COUNTIFS('רווחה - קליטה'!$B$5:$B$204,$A10,'רווחה - קליטה'!$C$5:$C$204,"אמצע שנה"),""))</f>
      </c>
      <c r="L10" s="37">
        <f>IF($A10="","",COUNTIFS('זה אני - קליטה'!$B$5:$B$204,$A10,'זה אני - קליטה'!$C$5:$C$204,"אמצע שנה"))</f>
      </c>
      <c r="M10" s="28">
        <f>IF($A10="","",IFERROR(AVERAGEIFS('זה אני - קליטה'!$AG$5:$AG$204,'זה אני - קליטה'!$B$5:$B$204,$A10,'זה אני - קליטה'!$C$5:$C$204,"אמצע שנה"),""))</f>
      </c>
      <c r="N10" s="37">
        <f>IF($A10="","",COUNTIFS('רווחה - קליטה'!$B$5:$B$204,$A10,'רווחה - קליטה'!$C$5:$C$204,"סוף שנה"))</f>
      </c>
      <c r="O10" s="28">
        <f>IF($A10="","",IFERROR(AVERAGEIFS('רווחה - קליטה'!$AQ$5:$AQ$204,'רווחה - קליטה'!$B$5:$B$204,$A10,'רווחה - קליטה'!$C$5:$C$204,"סוף שנה"),""))</f>
      </c>
      <c r="P10" s="27">
        <f>IF($A10="","",IFERROR(AVERAGEIFS('רווחה - קליטה'!$AK$5:$AK$204,'רווחה - קליטה'!$B$5:$B$204,$A10,'רווחה - קליטה'!$C$5:$C$204,"סוף שנה"),""))</f>
      </c>
      <c r="Q10" s="27">
        <f>IF($A10="","",IFERROR(COUNTIFS('רווחה - קליטה'!$B$5:$B$204,$A10,'רווחה - קליטה'!$C$5:$C$204,"סוף שנה",'רווחה - קליטה'!$AS$5:$AS$204,"אמין")/COUNTIFS('רווחה - קליטה'!$B$5:$B$204,$A10,'רווחה - קליטה'!$C$5:$C$204,"סוף שנה"),""))</f>
      </c>
      <c r="R10" s="37">
        <f>IF($A10="","",COUNTIFS('זה אני - קליטה'!$B$5:$B$204,$A10,'זה אני - קליטה'!$C$5:$C$204,"סוף שנה"))</f>
      </c>
      <c r="S10" s="28">
        <f>IF($A10="","",IFERROR(AVERAGEIFS('זה אני - קליטה'!$AG$5:$AG$204,'זה אני - קליטה'!$B$5:$B$204,$A10,'זה אני - קליטה'!$C$5:$C$204,"סוף שנה"),""))</f>
      </c>
    </row>
    <row r="11" ht="15" customHeight="1" spans="1:19" x14ac:dyDescent="0.25">
      <c r="A11" s="29"/>
      <c r="B11" s="37">
        <f>IF($A11="","",COUNTIFS('רווחה - קליטה'!$B$5:$B$204,$A11,'רווחה - קליטה'!$C$5:$C$204,"תחילת שנה"))</f>
      </c>
      <c r="C11" s="28">
        <f>IF($A11="","",IFERROR(AVERAGEIFS('רווחה - קליטה'!$AQ$5:$AQ$204,'רווחה - קליטה'!$B$5:$B$204,$A11,'רווחה - קליטה'!$C$5:$C$204,"תחילת שנה"),""))</f>
      </c>
      <c r="D11" s="27">
        <f>IF($A11="","",IFERROR(AVERAGEIFS('רווחה - קליטה'!$AK$5:$AK$204,'רווחה - קליטה'!$B$5:$B$204,$A11,'רווחה - קליטה'!$C$5:$C$204,"תחילת שנה"),""))</f>
      </c>
      <c r="E11" s="27">
        <f>IF($A11="","",IFERROR(COUNTIFS('רווחה - קליטה'!$B$5:$B$204,$A11,'רווחה - קליטה'!$C$5:$C$204,"תחילת שנה",'רווחה - קליטה'!$AS$5:$AS$204,"אמין")/COUNTIFS('רווחה - קליטה'!$B$5:$B$204,$A11,'רווחה - קליטה'!$C$5:$C$204,"תחילת שנה"),""))</f>
      </c>
      <c r="F11" s="37">
        <f>IF($A11="","",COUNTIFS('זה אני - קליטה'!$B$5:$B$204,$A11,'זה אני - קליטה'!$C$5:$C$204,"תחילת שנה"))</f>
      </c>
      <c r="G11" s="28">
        <f>IF($A11="","",IFERROR(AVERAGEIFS('זה אני - קליטה'!$AG$5:$AG$204,'זה אני - קליטה'!$B$5:$B$204,$A11,'זה אני - קליטה'!$C$5:$C$204,"תחילת שנה"),""))</f>
      </c>
      <c r="H11" s="37">
        <f>IF($A11="","",COUNTIFS('רווחה - קליטה'!$B$5:$B$204,$A11,'רווחה - קליטה'!$C$5:$C$204,"אמצע שנה"))</f>
      </c>
      <c r="I11" s="28">
        <f>IF($A11="","",IFERROR(AVERAGEIFS('רווחה - קליטה'!$AQ$5:$AQ$204,'רווחה - קליטה'!$B$5:$B$204,$A11,'רווחה - קליטה'!$C$5:$C$204,"אמצע שנה"),""))</f>
      </c>
      <c r="J11" s="27">
        <f>IF($A11="","",IFERROR(AVERAGEIFS('רווחה - קליטה'!$AK$5:$AK$204,'רווחה - קליטה'!$B$5:$B$204,$A11,'רווחה - קליטה'!$C$5:$C$204,"אמצע שנה"),""))</f>
      </c>
      <c r="K11" s="27">
        <f>IF($A11="","",IFERROR(COUNTIFS('רווחה - קליטה'!$B$5:$B$204,$A11,'רווחה - קליטה'!$C$5:$C$204,"אמצע שנה",'רווחה - קליטה'!$AS$5:$AS$204,"אמין")/COUNTIFS('רווחה - קליטה'!$B$5:$B$204,$A11,'רווחה - קליטה'!$C$5:$C$204,"אמצע שנה"),""))</f>
      </c>
      <c r="L11" s="37">
        <f>IF($A11="","",COUNTIFS('זה אני - קליטה'!$B$5:$B$204,$A11,'זה אני - קליטה'!$C$5:$C$204,"אמצע שנה"))</f>
      </c>
      <c r="M11" s="28">
        <f>IF($A11="","",IFERROR(AVERAGEIFS('זה אני - קליטה'!$AG$5:$AG$204,'זה אני - קליטה'!$B$5:$B$204,$A11,'זה אני - קליטה'!$C$5:$C$204,"אמצע שנה"),""))</f>
      </c>
      <c r="N11" s="37">
        <f>IF($A11="","",COUNTIFS('רווחה - קליטה'!$B$5:$B$204,$A11,'רווחה - קליטה'!$C$5:$C$204,"סוף שנה"))</f>
      </c>
      <c r="O11" s="28">
        <f>IF($A11="","",IFERROR(AVERAGEIFS('רווחה - קליטה'!$AQ$5:$AQ$204,'רווחה - קליטה'!$B$5:$B$204,$A11,'רווחה - קליטה'!$C$5:$C$204,"סוף שנה"),""))</f>
      </c>
      <c r="P11" s="27">
        <f>IF($A11="","",IFERROR(AVERAGEIFS('רווחה - קליטה'!$AK$5:$AK$204,'רווחה - קליטה'!$B$5:$B$204,$A11,'רווחה - קליטה'!$C$5:$C$204,"סוף שנה"),""))</f>
      </c>
      <c r="Q11" s="27">
        <f>IF($A11="","",IFERROR(COUNTIFS('רווחה - קליטה'!$B$5:$B$204,$A11,'רווחה - קליטה'!$C$5:$C$204,"סוף שנה",'רווחה - קליטה'!$AS$5:$AS$204,"אמין")/COUNTIFS('רווחה - קליטה'!$B$5:$B$204,$A11,'רווחה - קליטה'!$C$5:$C$204,"סוף שנה"),""))</f>
      </c>
      <c r="R11" s="37">
        <f>IF($A11="","",COUNTIFS('זה אני - קליטה'!$B$5:$B$204,$A11,'זה אני - קליטה'!$C$5:$C$204,"סוף שנה"))</f>
      </c>
      <c r="S11" s="28">
        <f>IF($A11="","",IFERROR(AVERAGEIFS('זה אני - קליטה'!$AG$5:$AG$204,'זה אני - קליטה'!$B$5:$B$204,$A11,'זה אני - קליטה'!$C$5:$C$204,"סוף שנה"),""))</f>
      </c>
    </row>
    <row r="12" ht="15" customHeight="1" spans="1:19" x14ac:dyDescent="0.25">
      <c r="A12" s="29"/>
      <c r="B12" s="37">
        <f>IF($A12="","",COUNTIFS('רווחה - קליטה'!$B$5:$B$204,$A12,'רווחה - קליטה'!$C$5:$C$204,"תחילת שנה"))</f>
      </c>
      <c r="C12" s="28">
        <f>IF($A12="","",IFERROR(AVERAGEIFS('רווחה - קליטה'!$AQ$5:$AQ$204,'רווחה - קליטה'!$B$5:$B$204,$A12,'רווחה - קליטה'!$C$5:$C$204,"תחילת שנה"),""))</f>
      </c>
      <c r="D12" s="27">
        <f>IF($A12="","",IFERROR(AVERAGEIFS('רווחה - קליטה'!$AK$5:$AK$204,'רווחה - קליטה'!$B$5:$B$204,$A12,'רווחה - קליטה'!$C$5:$C$204,"תחילת שנה"),""))</f>
      </c>
      <c r="E12" s="27">
        <f>IF($A12="","",IFERROR(COUNTIFS('רווחה - קליטה'!$B$5:$B$204,$A12,'רווחה - קליטה'!$C$5:$C$204,"תחילת שנה",'רווחה - קליטה'!$AS$5:$AS$204,"אמין")/COUNTIFS('רווחה - קליטה'!$B$5:$B$204,$A12,'רווחה - קליטה'!$C$5:$C$204,"תחילת שנה"),""))</f>
      </c>
      <c r="F12" s="37">
        <f>IF($A12="","",COUNTIFS('זה אני - קליטה'!$B$5:$B$204,$A12,'זה אני - קליטה'!$C$5:$C$204,"תחילת שנה"))</f>
      </c>
      <c r="G12" s="28">
        <f>IF($A12="","",IFERROR(AVERAGEIFS('זה אני - קליטה'!$AG$5:$AG$204,'זה אני - קליטה'!$B$5:$B$204,$A12,'זה אני - קליטה'!$C$5:$C$204,"תחילת שנה"),""))</f>
      </c>
      <c r="H12" s="37">
        <f>IF($A12="","",COUNTIFS('רווחה - קליטה'!$B$5:$B$204,$A12,'רווחה - קליטה'!$C$5:$C$204,"אמצע שנה"))</f>
      </c>
      <c r="I12" s="28">
        <f>IF($A12="","",IFERROR(AVERAGEIFS('רווחה - קליטה'!$AQ$5:$AQ$204,'רווחה - קליטה'!$B$5:$B$204,$A12,'רווחה - קליטה'!$C$5:$C$204,"אמצע שנה"),""))</f>
      </c>
      <c r="J12" s="27">
        <f>IF($A12="","",IFERROR(AVERAGEIFS('רווחה - קליטה'!$AK$5:$AK$204,'רווחה - קליטה'!$B$5:$B$204,$A12,'רווחה - קליטה'!$C$5:$C$204,"אמצע שנה"),""))</f>
      </c>
      <c r="K12" s="27">
        <f>IF($A12="","",IFERROR(COUNTIFS('רווחה - קליטה'!$B$5:$B$204,$A12,'רווחה - קליטה'!$C$5:$C$204,"אמצע שנה",'רווחה - קליטה'!$AS$5:$AS$204,"אמין")/COUNTIFS('רווחה - קליטה'!$B$5:$B$204,$A12,'רווחה - קליטה'!$C$5:$C$204,"אמצע שנה"),""))</f>
      </c>
      <c r="L12" s="37">
        <f>IF($A12="","",COUNTIFS('זה אני - קליטה'!$B$5:$B$204,$A12,'זה אני - קליטה'!$C$5:$C$204,"אמצע שנה"))</f>
      </c>
      <c r="M12" s="28">
        <f>IF($A12="","",IFERROR(AVERAGEIFS('זה אני - קליטה'!$AG$5:$AG$204,'זה אני - קליטה'!$B$5:$B$204,$A12,'זה אני - קליטה'!$C$5:$C$204,"אמצע שנה"),""))</f>
      </c>
      <c r="N12" s="37">
        <f>IF($A12="","",COUNTIFS('רווחה - קליטה'!$B$5:$B$204,$A12,'רווחה - קליטה'!$C$5:$C$204,"סוף שנה"))</f>
      </c>
      <c r="O12" s="28">
        <f>IF($A12="","",IFERROR(AVERAGEIFS('רווחה - קליטה'!$AQ$5:$AQ$204,'רווחה - קליטה'!$B$5:$B$204,$A12,'רווחה - קליטה'!$C$5:$C$204,"סוף שנה"),""))</f>
      </c>
      <c r="P12" s="27">
        <f>IF($A12="","",IFERROR(AVERAGEIFS('רווחה - קליטה'!$AK$5:$AK$204,'רווחה - קליטה'!$B$5:$B$204,$A12,'רווחה - קליטה'!$C$5:$C$204,"סוף שנה"),""))</f>
      </c>
      <c r="Q12" s="27">
        <f>IF($A12="","",IFERROR(COUNTIFS('רווחה - קליטה'!$B$5:$B$204,$A12,'רווחה - קליטה'!$C$5:$C$204,"סוף שנה",'רווחה - קליטה'!$AS$5:$AS$204,"אמין")/COUNTIFS('רווחה - קליטה'!$B$5:$B$204,$A12,'רווחה - קליטה'!$C$5:$C$204,"סוף שנה"),""))</f>
      </c>
      <c r="R12" s="37">
        <f>IF($A12="","",COUNTIFS('זה אני - קליטה'!$B$5:$B$204,$A12,'זה אני - קליטה'!$C$5:$C$204,"סוף שנה"))</f>
      </c>
      <c r="S12" s="28">
        <f>IF($A12="","",IFERROR(AVERAGEIFS('זה אני - קליטה'!$AG$5:$AG$204,'זה אני - קליטה'!$B$5:$B$204,$A12,'זה אני - קליטה'!$C$5:$C$204,"סוף שנה"),""))</f>
      </c>
    </row>
    <row r="13" ht="15" customHeight="1" spans="1:19" x14ac:dyDescent="0.25">
      <c r="A13" s="29"/>
      <c r="B13" s="37">
        <f>IF($A13="","",COUNTIFS('רווחה - קליטה'!$B$5:$B$204,$A13,'רווחה - קליטה'!$C$5:$C$204,"תחילת שנה"))</f>
      </c>
      <c r="C13" s="28">
        <f>IF($A13="","",IFERROR(AVERAGEIFS('רווחה - קליטה'!$AQ$5:$AQ$204,'רווחה - קליטה'!$B$5:$B$204,$A13,'רווחה - קליטה'!$C$5:$C$204,"תחילת שנה"),""))</f>
      </c>
      <c r="D13" s="27">
        <f>IF($A13="","",IFERROR(AVERAGEIFS('רווחה - קליטה'!$AK$5:$AK$204,'רווחה - קליטה'!$B$5:$B$204,$A13,'רווחה - קליטה'!$C$5:$C$204,"תחילת שנה"),""))</f>
      </c>
      <c r="E13" s="27">
        <f>IF($A13="","",IFERROR(COUNTIFS('רווחה - קליטה'!$B$5:$B$204,$A13,'רווחה - קליטה'!$C$5:$C$204,"תחילת שנה",'רווחה - קליטה'!$AS$5:$AS$204,"אמין")/COUNTIFS('רווחה - קליטה'!$B$5:$B$204,$A13,'רווחה - קליטה'!$C$5:$C$204,"תחילת שנה"),""))</f>
      </c>
      <c r="F13" s="37">
        <f>IF($A13="","",COUNTIFS('זה אני - קליטה'!$B$5:$B$204,$A13,'זה אני - קליטה'!$C$5:$C$204,"תחילת שנה"))</f>
      </c>
      <c r="G13" s="28">
        <f>IF($A13="","",IFERROR(AVERAGEIFS('זה אני - קליטה'!$AG$5:$AG$204,'זה אני - קליטה'!$B$5:$B$204,$A13,'זה אני - קליטה'!$C$5:$C$204,"תחילת שנה"),""))</f>
      </c>
      <c r="H13" s="37">
        <f>IF($A13="","",COUNTIFS('רווחה - קליטה'!$B$5:$B$204,$A13,'רווחה - קליטה'!$C$5:$C$204,"אמצע שנה"))</f>
      </c>
      <c r="I13" s="28">
        <f>IF($A13="","",IFERROR(AVERAGEIFS('רווחה - קליטה'!$AQ$5:$AQ$204,'רווחה - קליטה'!$B$5:$B$204,$A13,'רווחה - קליטה'!$C$5:$C$204,"אמצע שנה"),""))</f>
      </c>
      <c r="J13" s="27">
        <f>IF($A13="","",IFERROR(AVERAGEIFS('רווחה - קליטה'!$AK$5:$AK$204,'רווחה - קליטה'!$B$5:$B$204,$A13,'רווחה - קליטה'!$C$5:$C$204,"אמצע שנה"),""))</f>
      </c>
      <c r="K13" s="27">
        <f>IF($A13="","",IFERROR(COUNTIFS('רווחה - קליטה'!$B$5:$B$204,$A13,'רווחה - קליטה'!$C$5:$C$204,"אמצע שנה",'רווחה - קליטה'!$AS$5:$AS$204,"אמין")/COUNTIFS('רווחה - קליטה'!$B$5:$B$204,$A13,'רווחה - קליטה'!$C$5:$C$204,"אמצע שנה"),""))</f>
      </c>
      <c r="L13" s="37">
        <f>IF($A13="","",COUNTIFS('זה אני - קליטה'!$B$5:$B$204,$A13,'זה אני - קליטה'!$C$5:$C$204,"אמצע שנה"))</f>
      </c>
      <c r="M13" s="28">
        <f>IF($A13="","",IFERROR(AVERAGEIFS('זה אני - קליטה'!$AG$5:$AG$204,'זה אני - קליטה'!$B$5:$B$204,$A13,'זה אני - קליטה'!$C$5:$C$204,"אמצע שנה"),""))</f>
      </c>
      <c r="N13" s="37">
        <f>IF($A13="","",COUNTIFS('רווחה - קליטה'!$B$5:$B$204,$A13,'רווחה - קליטה'!$C$5:$C$204,"סוף שנה"))</f>
      </c>
      <c r="O13" s="28">
        <f>IF($A13="","",IFERROR(AVERAGEIFS('רווחה - קליטה'!$AQ$5:$AQ$204,'רווחה - קליטה'!$B$5:$B$204,$A13,'רווחה - קליטה'!$C$5:$C$204,"סוף שנה"),""))</f>
      </c>
      <c r="P13" s="27">
        <f>IF($A13="","",IFERROR(AVERAGEIFS('רווחה - קליטה'!$AK$5:$AK$204,'רווחה - קליטה'!$B$5:$B$204,$A13,'רווחה - קליטה'!$C$5:$C$204,"סוף שנה"),""))</f>
      </c>
      <c r="Q13" s="27">
        <f>IF($A13="","",IFERROR(COUNTIFS('רווחה - קליטה'!$B$5:$B$204,$A13,'רווחה - קליטה'!$C$5:$C$204,"סוף שנה",'רווחה - קליטה'!$AS$5:$AS$204,"אמין")/COUNTIFS('רווחה - קליטה'!$B$5:$B$204,$A13,'רווחה - קליטה'!$C$5:$C$204,"סוף שנה"),""))</f>
      </c>
      <c r="R13" s="37">
        <f>IF($A13="","",COUNTIFS('זה אני - קליטה'!$B$5:$B$204,$A13,'זה אני - קליטה'!$C$5:$C$204,"סוף שנה"))</f>
      </c>
      <c r="S13" s="28">
        <f>IF($A13="","",IFERROR(AVERAGEIFS('זה אני - קליטה'!$AG$5:$AG$204,'זה אני - קליטה'!$B$5:$B$204,$A13,'זה אני - קליטה'!$C$5:$C$204,"סוף שנה"),""))</f>
      </c>
    </row>
    <row r="14" ht="15" customHeight="1" spans="1:19" x14ac:dyDescent="0.25">
      <c r="A14" s="29"/>
      <c r="B14" s="37">
        <f>IF($A14="","",COUNTIFS('רווחה - קליטה'!$B$5:$B$204,$A14,'רווחה - קליטה'!$C$5:$C$204,"תחילת שנה"))</f>
      </c>
      <c r="C14" s="28">
        <f>IF($A14="","",IFERROR(AVERAGEIFS('רווחה - קליטה'!$AQ$5:$AQ$204,'רווחה - קליטה'!$B$5:$B$204,$A14,'רווחה - קליטה'!$C$5:$C$204,"תחילת שנה"),""))</f>
      </c>
      <c r="D14" s="27">
        <f>IF($A14="","",IFERROR(AVERAGEIFS('רווחה - קליטה'!$AK$5:$AK$204,'רווחה - קליטה'!$B$5:$B$204,$A14,'רווחה - קליטה'!$C$5:$C$204,"תחילת שנה"),""))</f>
      </c>
      <c r="E14" s="27">
        <f>IF($A14="","",IFERROR(COUNTIFS('רווחה - קליטה'!$B$5:$B$204,$A14,'רווחה - קליטה'!$C$5:$C$204,"תחילת שנה",'רווחה - קליטה'!$AS$5:$AS$204,"אמין")/COUNTIFS('רווחה - קליטה'!$B$5:$B$204,$A14,'רווחה - קליטה'!$C$5:$C$204,"תחילת שנה"),""))</f>
      </c>
      <c r="F14" s="37">
        <f>IF($A14="","",COUNTIFS('זה אני - קליטה'!$B$5:$B$204,$A14,'זה אני - קליטה'!$C$5:$C$204,"תחילת שנה"))</f>
      </c>
      <c r="G14" s="28">
        <f>IF($A14="","",IFERROR(AVERAGEIFS('זה אני - קליטה'!$AG$5:$AG$204,'זה אני - קליטה'!$B$5:$B$204,$A14,'זה אני - קליטה'!$C$5:$C$204,"תחילת שנה"),""))</f>
      </c>
      <c r="H14" s="37">
        <f>IF($A14="","",COUNTIFS('רווחה - קליטה'!$B$5:$B$204,$A14,'רווחה - קליטה'!$C$5:$C$204,"אמצע שנה"))</f>
      </c>
      <c r="I14" s="28">
        <f>IF($A14="","",IFERROR(AVERAGEIFS('רווחה - קליטה'!$AQ$5:$AQ$204,'רווחה - קליטה'!$B$5:$B$204,$A14,'רווחה - קליטה'!$C$5:$C$204,"אמצע שנה"),""))</f>
      </c>
      <c r="J14" s="27">
        <f>IF($A14="","",IFERROR(AVERAGEIFS('רווחה - קליטה'!$AK$5:$AK$204,'רווחה - קליטה'!$B$5:$B$204,$A14,'רווחה - קליטה'!$C$5:$C$204,"אמצע שנה"),""))</f>
      </c>
      <c r="K14" s="27">
        <f>IF($A14="","",IFERROR(COUNTIFS('רווחה - קליטה'!$B$5:$B$204,$A14,'רווחה - קליטה'!$C$5:$C$204,"אמצע שנה",'רווחה - קליטה'!$AS$5:$AS$204,"אמין")/COUNTIFS('רווחה - קליטה'!$B$5:$B$204,$A14,'רווחה - קליטה'!$C$5:$C$204,"אמצע שנה"),""))</f>
      </c>
      <c r="L14" s="37">
        <f>IF($A14="","",COUNTIFS('זה אני - קליטה'!$B$5:$B$204,$A14,'זה אני - קליטה'!$C$5:$C$204,"אמצע שנה"))</f>
      </c>
      <c r="M14" s="28">
        <f>IF($A14="","",IFERROR(AVERAGEIFS('זה אני - קליטה'!$AG$5:$AG$204,'זה אני - קליטה'!$B$5:$B$204,$A14,'זה אני - קליטה'!$C$5:$C$204,"אמצע שנה"),""))</f>
      </c>
      <c r="N14" s="37">
        <f>IF($A14="","",COUNTIFS('רווחה - קליטה'!$B$5:$B$204,$A14,'רווחה - קליטה'!$C$5:$C$204,"סוף שנה"))</f>
      </c>
      <c r="O14" s="28">
        <f>IF($A14="","",IFERROR(AVERAGEIFS('רווחה - קליטה'!$AQ$5:$AQ$204,'רווחה - קליטה'!$B$5:$B$204,$A14,'רווחה - קליטה'!$C$5:$C$204,"סוף שנה"),""))</f>
      </c>
      <c r="P14" s="27">
        <f>IF($A14="","",IFERROR(AVERAGEIFS('רווחה - קליטה'!$AK$5:$AK$204,'רווחה - קליטה'!$B$5:$B$204,$A14,'רווחה - קליטה'!$C$5:$C$204,"סוף שנה"),""))</f>
      </c>
      <c r="Q14" s="27">
        <f>IF($A14="","",IFERROR(COUNTIFS('רווחה - קליטה'!$B$5:$B$204,$A14,'רווחה - קליטה'!$C$5:$C$204,"סוף שנה",'רווחה - קליטה'!$AS$5:$AS$204,"אמין")/COUNTIFS('רווחה - קליטה'!$B$5:$B$204,$A14,'רווחה - קליטה'!$C$5:$C$204,"סוף שנה"),""))</f>
      </c>
      <c r="R14" s="37">
        <f>IF($A14="","",COUNTIFS('זה אני - קליטה'!$B$5:$B$204,$A14,'זה אני - קליטה'!$C$5:$C$204,"סוף שנה"))</f>
      </c>
      <c r="S14" s="28">
        <f>IF($A14="","",IFERROR(AVERAGEIFS('זה אני - קליטה'!$AG$5:$AG$204,'זה אני - קליטה'!$B$5:$B$204,$A14,'זה אני - קליטה'!$C$5:$C$204,"סוף שנה"),""))</f>
      </c>
    </row>
    <row r="15" ht="15" customHeight="1" spans="1:19" x14ac:dyDescent="0.25">
      <c r="A15" s="29"/>
      <c r="B15" s="37">
        <f>IF($A15="","",COUNTIFS('רווחה - קליטה'!$B$5:$B$204,$A15,'רווחה - קליטה'!$C$5:$C$204,"תחילת שנה"))</f>
      </c>
      <c r="C15" s="28">
        <f>IF($A15="","",IFERROR(AVERAGEIFS('רווחה - קליטה'!$AQ$5:$AQ$204,'רווחה - קליטה'!$B$5:$B$204,$A15,'רווחה - קליטה'!$C$5:$C$204,"תחילת שנה"),""))</f>
      </c>
      <c r="D15" s="27">
        <f>IF($A15="","",IFERROR(AVERAGEIFS('רווחה - קליטה'!$AK$5:$AK$204,'רווחה - קליטה'!$B$5:$B$204,$A15,'רווחה - קליטה'!$C$5:$C$204,"תחילת שנה"),""))</f>
      </c>
      <c r="E15" s="27">
        <f>IF($A15="","",IFERROR(COUNTIFS('רווחה - קליטה'!$B$5:$B$204,$A15,'רווחה - קליטה'!$C$5:$C$204,"תחילת שנה",'רווחה - קליטה'!$AS$5:$AS$204,"אמין")/COUNTIFS('רווחה - קליטה'!$B$5:$B$204,$A15,'רווחה - קליטה'!$C$5:$C$204,"תחילת שנה"),""))</f>
      </c>
      <c r="F15" s="37">
        <f>IF($A15="","",COUNTIFS('זה אני - קליטה'!$B$5:$B$204,$A15,'זה אני - קליטה'!$C$5:$C$204,"תחילת שנה"))</f>
      </c>
      <c r="G15" s="28">
        <f>IF($A15="","",IFERROR(AVERAGEIFS('זה אני - קליטה'!$AG$5:$AG$204,'זה אני - קליטה'!$B$5:$B$204,$A15,'זה אני - קליטה'!$C$5:$C$204,"תחילת שנה"),""))</f>
      </c>
      <c r="H15" s="37">
        <f>IF($A15="","",COUNTIFS('רווחה - קליטה'!$B$5:$B$204,$A15,'רווחה - קליטה'!$C$5:$C$204,"אמצע שנה"))</f>
      </c>
      <c r="I15" s="28">
        <f>IF($A15="","",IFERROR(AVERAGEIFS('רווחה - קליטה'!$AQ$5:$AQ$204,'רווחה - קליטה'!$B$5:$B$204,$A15,'רווחה - קליטה'!$C$5:$C$204,"אמצע שנה"),""))</f>
      </c>
      <c r="J15" s="27">
        <f>IF($A15="","",IFERROR(AVERAGEIFS('רווחה - קליטה'!$AK$5:$AK$204,'רווחה - קליטה'!$B$5:$B$204,$A15,'רווחה - קליטה'!$C$5:$C$204,"אמצע שנה"),""))</f>
      </c>
      <c r="K15" s="27">
        <f>IF($A15="","",IFERROR(COUNTIFS('רווחה - קליטה'!$B$5:$B$204,$A15,'רווחה - קליטה'!$C$5:$C$204,"אמצע שנה",'רווחה - קליטה'!$AS$5:$AS$204,"אמין")/COUNTIFS('רווחה - קליטה'!$B$5:$B$204,$A15,'רווחה - קליטה'!$C$5:$C$204,"אמצע שנה"),""))</f>
      </c>
      <c r="L15" s="37">
        <f>IF($A15="","",COUNTIFS('זה אני - קליטה'!$B$5:$B$204,$A15,'זה אני - קליטה'!$C$5:$C$204,"אמצע שנה"))</f>
      </c>
      <c r="M15" s="28">
        <f>IF($A15="","",IFERROR(AVERAGEIFS('זה אני - קליטה'!$AG$5:$AG$204,'זה אני - קליטה'!$B$5:$B$204,$A15,'זה אני - קליטה'!$C$5:$C$204,"אמצע שנה"),""))</f>
      </c>
      <c r="N15" s="37">
        <f>IF($A15="","",COUNTIFS('רווחה - קליטה'!$B$5:$B$204,$A15,'רווחה - קליטה'!$C$5:$C$204,"סוף שנה"))</f>
      </c>
      <c r="O15" s="28">
        <f>IF($A15="","",IFERROR(AVERAGEIFS('רווחה - קליטה'!$AQ$5:$AQ$204,'רווחה - קליטה'!$B$5:$B$204,$A15,'רווחה - קליטה'!$C$5:$C$204,"סוף שנה"),""))</f>
      </c>
      <c r="P15" s="27">
        <f>IF($A15="","",IFERROR(AVERAGEIFS('רווחה - קליטה'!$AK$5:$AK$204,'רווחה - קליטה'!$B$5:$B$204,$A15,'רווחה - קליטה'!$C$5:$C$204,"סוף שנה"),""))</f>
      </c>
      <c r="Q15" s="27">
        <f>IF($A15="","",IFERROR(COUNTIFS('רווחה - קליטה'!$B$5:$B$204,$A15,'רווחה - קליטה'!$C$5:$C$204,"סוף שנה",'רווחה - קליטה'!$AS$5:$AS$204,"אמין")/COUNTIFS('רווחה - קליטה'!$B$5:$B$204,$A15,'רווחה - קליטה'!$C$5:$C$204,"סוף שנה"),""))</f>
      </c>
      <c r="R15" s="37">
        <f>IF($A15="","",COUNTIFS('זה אני - קליטה'!$B$5:$B$204,$A15,'זה אני - קליטה'!$C$5:$C$204,"סוף שנה"))</f>
      </c>
      <c r="S15" s="28">
        <f>IF($A15="","",IFERROR(AVERAGEIFS('זה אני - קליטה'!$AG$5:$AG$204,'זה אני - קליטה'!$B$5:$B$204,$A15,'זה אני - קליטה'!$C$5:$C$204,"סוף שנה"),""))</f>
      </c>
    </row>
    <row r="16" ht="15" customHeight="1" spans="1:19" x14ac:dyDescent="0.25">
      <c r="A16" s="29"/>
      <c r="B16" s="37">
        <f>IF($A16="","",COUNTIFS('רווחה - קליטה'!$B$5:$B$204,$A16,'רווחה - קליטה'!$C$5:$C$204,"תחילת שנה"))</f>
      </c>
      <c r="C16" s="28">
        <f>IF($A16="","",IFERROR(AVERAGEIFS('רווחה - קליטה'!$AQ$5:$AQ$204,'רווחה - קליטה'!$B$5:$B$204,$A16,'רווחה - קליטה'!$C$5:$C$204,"תחילת שנה"),""))</f>
      </c>
      <c r="D16" s="27">
        <f>IF($A16="","",IFERROR(AVERAGEIFS('רווחה - קליטה'!$AK$5:$AK$204,'רווחה - קליטה'!$B$5:$B$204,$A16,'רווחה - קליטה'!$C$5:$C$204,"תחילת שנה"),""))</f>
      </c>
      <c r="E16" s="27">
        <f>IF($A16="","",IFERROR(COUNTIFS('רווחה - קליטה'!$B$5:$B$204,$A16,'רווחה - קליטה'!$C$5:$C$204,"תחילת שנה",'רווחה - קליטה'!$AS$5:$AS$204,"אמין")/COUNTIFS('רווחה - קליטה'!$B$5:$B$204,$A16,'רווחה - קליטה'!$C$5:$C$204,"תחילת שנה"),""))</f>
      </c>
      <c r="F16" s="37">
        <f>IF($A16="","",COUNTIFS('זה אני - קליטה'!$B$5:$B$204,$A16,'זה אני - קליטה'!$C$5:$C$204,"תחילת שנה"))</f>
      </c>
      <c r="G16" s="28">
        <f>IF($A16="","",IFERROR(AVERAGEIFS('זה אני - קליטה'!$AG$5:$AG$204,'זה אני - קליטה'!$B$5:$B$204,$A16,'זה אני - קליטה'!$C$5:$C$204,"תחילת שנה"),""))</f>
      </c>
      <c r="H16" s="37">
        <f>IF($A16="","",COUNTIFS('רווחה - קליטה'!$B$5:$B$204,$A16,'רווחה - קליטה'!$C$5:$C$204,"אמצע שנה"))</f>
      </c>
      <c r="I16" s="28">
        <f>IF($A16="","",IFERROR(AVERAGEIFS('רווחה - קליטה'!$AQ$5:$AQ$204,'רווחה - קליטה'!$B$5:$B$204,$A16,'רווחה - קליטה'!$C$5:$C$204,"אמצע שנה"),""))</f>
      </c>
      <c r="J16" s="27">
        <f>IF($A16="","",IFERROR(AVERAGEIFS('רווחה - קליטה'!$AK$5:$AK$204,'רווחה - קליטה'!$B$5:$B$204,$A16,'רווחה - קליטה'!$C$5:$C$204,"אמצע שנה"),""))</f>
      </c>
      <c r="K16" s="27">
        <f>IF($A16="","",IFERROR(COUNTIFS('רווחה - קליטה'!$B$5:$B$204,$A16,'רווחה - קליטה'!$C$5:$C$204,"אמצע שנה",'רווחה - קליטה'!$AS$5:$AS$204,"אמין")/COUNTIFS('רווחה - קליטה'!$B$5:$B$204,$A16,'רווחה - קליטה'!$C$5:$C$204,"אמצע שנה"),""))</f>
      </c>
      <c r="L16" s="37">
        <f>IF($A16="","",COUNTIFS('זה אני - קליטה'!$B$5:$B$204,$A16,'זה אני - קליטה'!$C$5:$C$204,"אמצע שנה"))</f>
      </c>
      <c r="M16" s="28">
        <f>IF($A16="","",IFERROR(AVERAGEIFS('זה אני - קליטה'!$AG$5:$AG$204,'זה אני - קליטה'!$B$5:$B$204,$A16,'זה אני - קליטה'!$C$5:$C$204,"אמצע שנה"),""))</f>
      </c>
      <c r="N16" s="37">
        <f>IF($A16="","",COUNTIFS('רווחה - קליטה'!$B$5:$B$204,$A16,'רווחה - קליטה'!$C$5:$C$204,"סוף שנה"))</f>
      </c>
      <c r="O16" s="28">
        <f>IF($A16="","",IFERROR(AVERAGEIFS('רווחה - קליטה'!$AQ$5:$AQ$204,'רווחה - קליטה'!$B$5:$B$204,$A16,'רווחה - קליטה'!$C$5:$C$204,"סוף שנה"),""))</f>
      </c>
      <c r="P16" s="27">
        <f>IF($A16="","",IFERROR(AVERAGEIFS('רווחה - קליטה'!$AK$5:$AK$204,'רווחה - קליטה'!$B$5:$B$204,$A16,'רווחה - קליטה'!$C$5:$C$204,"סוף שנה"),""))</f>
      </c>
      <c r="Q16" s="27">
        <f>IF($A16="","",IFERROR(COUNTIFS('רווחה - קליטה'!$B$5:$B$204,$A16,'רווחה - קליטה'!$C$5:$C$204,"סוף שנה",'רווחה - קליטה'!$AS$5:$AS$204,"אמין")/COUNTIFS('רווחה - קליטה'!$B$5:$B$204,$A16,'רווחה - קליטה'!$C$5:$C$204,"סוף שנה"),""))</f>
      </c>
      <c r="R16" s="37">
        <f>IF($A16="","",COUNTIFS('זה אני - קליטה'!$B$5:$B$204,$A16,'זה אני - קליטה'!$C$5:$C$204,"סוף שנה"))</f>
      </c>
      <c r="S16" s="28">
        <f>IF($A16="","",IFERROR(AVERAGEIFS('זה אני - קליטה'!$AG$5:$AG$204,'זה אני - קליטה'!$B$5:$B$204,$A16,'זה אני - קליטה'!$C$5:$C$204,"סוף שנה"),""))</f>
      </c>
    </row>
    <row r="17" ht="15" customHeight="1" spans="1:19" x14ac:dyDescent="0.25">
      <c r="A17" s="29"/>
      <c r="B17" s="37">
        <f>IF($A17="","",COUNTIFS('רווחה - קליטה'!$B$5:$B$204,$A17,'רווחה - קליטה'!$C$5:$C$204,"תחילת שנה"))</f>
      </c>
      <c r="C17" s="28">
        <f>IF($A17="","",IFERROR(AVERAGEIFS('רווחה - קליטה'!$AQ$5:$AQ$204,'רווחה - קליטה'!$B$5:$B$204,$A17,'רווחה - קליטה'!$C$5:$C$204,"תחילת שנה"),""))</f>
      </c>
      <c r="D17" s="27">
        <f>IF($A17="","",IFERROR(AVERAGEIFS('רווחה - קליטה'!$AK$5:$AK$204,'רווחה - קליטה'!$B$5:$B$204,$A17,'רווחה - קליטה'!$C$5:$C$204,"תחילת שנה"),""))</f>
      </c>
      <c r="E17" s="27">
        <f>IF($A17="","",IFERROR(COUNTIFS('רווחה - קליטה'!$B$5:$B$204,$A17,'רווחה - קליטה'!$C$5:$C$204,"תחילת שנה",'רווחה - קליטה'!$AS$5:$AS$204,"אמין")/COUNTIFS('רווחה - קליטה'!$B$5:$B$204,$A17,'רווחה - קליטה'!$C$5:$C$204,"תחילת שנה"),""))</f>
      </c>
      <c r="F17" s="37">
        <f>IF($A17="","",COUNTIFS('זה אני - קליטה'!$B$5:$B$204,$A17,'זה אני - קליטה'!$C$5:$C$204,"תחילת שנה"))</f>
      </c>
      <c r="G17" s="28">
        <f>IF($A17="","",IFERROR(AVERAGEIFS('זה אני - קליטה'!$AG$5:$AG$204,'זה אני - קליטה'!$B$5:$B$204,$A17,'זה אני - קליטה'!$C$5:$C$204,"תחילת שנה"),""))</f>
      </c>
      <c r="H17" s="37">
        <f>IF($A17="","",COUNTIFS('רווחה - קליטה'!$B$5:$B$204,$A17,'רווחה - קליטה'!$C$5:$C$204,"אמצע שנה"))</f>
      </c>
      <c r="I17" s="28">
        <f>IF($A17="","",IFERROR(AVERAGEIFS('רווחה - קליטה'!$AQ$5:$AQ$204,'רווחה - קליטה'!$B$5:$B$204,$A17,'רווחה - קליטה'!$C$5:$C$204,"אמצע שנה"),""))</f>
      </c>
      <c r="J17" s="27">
        <f>IF($A17="","",IFERROR(AVERAGEIFS('רווחה - קליטה'!$AK$5:$AK$204,'רווחה - קליטה'!$B$5:$B$204,$A17,'רווחה - קליטה'!$C$5:$C$204,"אמצע שנה"),""))</f>
      </c>
      <c r="K17" s="27">
        <f>IF($A17="","",IFERROR(COUNTIFS('רווחה - קליטה'!$B$5:$B$204,$A17,'רווחה - קליטה'!$C$5:$C$204,"אמצע שנה",'רווחה - קליטה'!$AS$5:$AS$204,"אמין")/COUNTIFS('רווחה - קליטה'!$B$5:$B$204,$A17,'רווחה - קליטה'!$C$5:$C$204,"אמצע שנה"),""))</f>
      </c>
      <c r="L17" s="37">
        <f>IF($A17="","",COUNTIFS('זה אני - קליטה'!$B$5:$B$204,$A17,'זה אני - קליטה'!$C$5:$C$204,"אמצע שנה"))</f>
      </c>
      <c r="M17" s="28">
        <f>IF($A17="","",IFERROR(AVERAGEIFS('זה אני - קליטה'!$AG$5:$AG$204,'זה אני - קליטה'!$B$5:$B$204,$A17,'זה אני - קליטה'!$C$5:$C$204,"אמצע שנה"),""))</f>
      </c>
      <c r="N17" s="37">
        <f>IF($A17="","",COUNTIFS('רווחה - קליטה'!$B$5:$B$204,$A17,'רווחה - קליטה'!$C$5:$C$204,"סוף שנה"))</f>
      </c>
      <c r="O17" s="28">
        <f>IF($A17="","",IFERROR(AVERAGEIFS('רווחה - קליטה'!$AQ$5:$AQ$204,'רווחה - קליטה'!$B$5:$B$204,$A17,'רווחה - קליטה'!$C$5:$C$204,"סוף שנה"),""))</f>
      </c>
      <c r="P17" s="27">
        <f>IF($A17="","",IFERROR(AVERAGEIFS('רווחה - קליטה'!$AK$5:$AK$204,'רווחה - קליטה'!$B$5:$B$204,$A17,'רווחה - קליטה'!$C$5:$C$204,"סוף שנה"),""))</f>
      </c>
      <c r="Q17" s="27">
        <f>IF($A17="","",IFERROR(COUNTIFS('רווחה - קליטה'!$B$5:$B$204,$A17,'רווחה - קליטה'!$C$5:$C$204,"סוף שנה",'רווחה - קליטה'!$AS$5:$AS$204,"אמין")/COUNTIFS('רווחה - קליטה'!$B$5:$B$204,$A17,'רווחה - קליטה'!$C$5:$C$204,"סוף שנה"),""))</f>
      </c>
      <c r="R17" s="37">
        <f>IF($A17="","",COUNTIFS('זה אני - קליטה'!$B$5:$B$204,$A17,'זה אני - קליטה'!$C$5:$C$204,"סוף שנה"))</f>
      </c>
      <c r="S17" s="28">
        <f>IF($A17="","",IFERROR(AVERAGEIFS('זה אני - קליטה'!$AG$5:$AG$204,'זה אני - קליטה'!$B$5:$B$204,$A17,'זה אני - קליטה'!$C$5:$C$204,"סוף שנה"),""))</f>
      </c>
    </row>
    <row r="18" ht="15" customHeight="1" spans="1:19" x14ac:dyDescent="0.25">
      <c r="A18" s="29"/>
      <c r="B18" s="37">
        <f>IF($A18="","",COUNTIFS('רווחה - קליטה'!$B$5:$B$204,$A18,'רווחה - קליטה'!$C$5:$C$204,"תחילת שנה"))</f>
      </c>
      <c r="C18" s="28">
        <f>IF($A18="","",IFERROR(AVERAGEIFS('רווחה - קליטה'!$AQ$5:$AQ$204,'רווחה - קליטה'!$B$5:$B$204,$A18,'רווחה - קליטה'!$C$5:$C$204,"תחילת שנה"),""))</f>
      </c>
      <c r="D18" s="27">
        <f>IF($A18="","",IFERROR(AVERAGEIFS('רווחה - קליטה'!$AK$5:$AK$204,'רווחה - קליטה'!$B$5:$B$204,$A18,'רווחה - קליטה'!$C$5:$C$204,"תחילת שנה"),""))</f>
      </c>
      <c r="E18" s="27">
        <f>IF($A18="","",IFERROR(COUNTIFS('רווחה - קליטה'!$B$5:$B$204,$A18,'רווחה - קליטה'!$C$5:$C$204,"תחילת שנה",'רווחה - קליטה'!$AS$5:$AS$204,"אמין")/COUNTIFS('רווחה - קליטה'!$B$5:$B$204,$A18,'רווחה - קליטה'!$C$5:$C$204,"תחילת שנה"),""))</f>
      </c>
      <c r="F18" s="37">
        <f>IF($A18="","",COUNTIFS('זה אני - קליטה'!$B$5:$B$204,$A18,'זה אני - קליטה'!$C$5:$C$204,"תחילת שנה"))</f>
      </c>
      <c r="G18" s="28">
        <f>IF($A18="","",IFERROR(AVERAGEIFS('זה אני - קליטה'!$AG$5:$AG$204,'זה אני - קליטה'!$B$5:$B$204,$A18,'זה אני - קליטה'!$C$5:$C$204,"תחילת שנה"),""))</f>
      </c>
      <c r="H18" s="37">
        <f>IF($A18="","",COUNTIFS('רווחה - קליטה'!$B$5:$B$204,$A18,'רווחה - קליטה'!$C$5:$C$204,"אמצע שנה"))</f>
      </c>
      <c r="I18" s="28">
        <f>IF($A18="","",IFERROR(AVERAGEIFS('רווחה - קליטה'!$AQ$5:$AQ$204,'רווחה - קליטה'!$B$5:$B$204,$A18,'רווחה - קליטה'!$C$5:$C$204,"אמצע שנה"),""))</f>
      </c>
      <c r="J18" s="27">
        <f>IF($A18="","",IFERROR(AVERAGEIFS('רווחה - קליטה'!$AK$5:$AK$204,'רווחה - קליטה'!$B$5:$B$204,$A18,'רווחה - קליטה'!$C$5:$C$204,"אמצע שנה"),""))</f>
      </c>
      <c r="K18" s="27">
        <f>IF($A18="","",IFERROR(COUNTIFS('רווחה - קליטה'!$B$5:$B$204,$A18,'רווחה - קליטה'!$C$5:$C$204,"אמצע שנה",'רווחה - קליטה'!$AS$5:$AS$204,"אמין")/COUNTIFS('רווחה - קליטה'!$B$5:$B$204,$A18,'רווחה - קליטה'!$C$5:$C$204,"אמצע שנה"),""))</f>
      </c>
      <c r="L18" s="37">
        <f>IF($A18="","",COUNTIFS('זה אני - קליטה'!$B$5:$B$204,$A18,'זה אני - קליטה'!$C$5:$C$204,"אמצע שנה"))</f>
      </c>
      <c r="M18" s="28">
        <f>IF($A18="","",IFERROR(AVERAGEIFS('זה אני - קליטה'!$AG$5:$AG$204,'זה אני - קליטה'!$B$5:$B$204,$A18,'זה אני - קליטה'!$C$5:$C$204,"אמצע שנה"),""))</f>
      </c>
      <c r="N18" s="37">
        <f>IF($A18="","",COUNTIFS('רווחה - קליטה'!$B$5:$B$204,$A18,'רווחה - קליטה'!$C$5:$C$204,"סוף שנה"))</f>
      </c>
      <c r="O18" s="28">
        <f>IF($A18="","",IFERROR(AVERAGEIFS('רווחה - קליטה'!$AQ$5:$AQ$204,'רווחה - קליטה'!$B$5:$B$204,$A18,'רווחה - קליטה'!$C$5:$C$204,"סוף שנה"),""))</f>
      </c>
      <c r="P18" s="27">
        <f>IF($A18="","",IFERROR(AVERAGEIFS('רווחה - קליטה'!$AK$5:$AK$204,'רווחה - קליטה'!$B$5:$B$204,$A18,'רווחה - קליטה'!$C$5:$C$204,"סוף שנה"),""))</f>
      </c>
      <c r="Q18" s="27">
        <f>IF($A18="","",IFERROR(COUNTIFS('רווחה - קליטה'!$B$5:$B$204,$A18,'רווחה - קליטה'!$C$5:$C$204,"סוף שנה",'רווחה - קליטה'!$AS$5:$AS$204,"אמין")/COUNTIFS('רווחה - קליטה'!$B$5:$B$204,$A18,'רווחה - קליטה'!$C$5:$C$204,"סוף שנה"),""))</f>
      </c>
      <c r="R18" s="37">
        <f>IF($A18="","",COUNTIFS('זה אני - קליטה'!$B$5:$B$204,$A18,'זה אני - קליטה'!$C$5:$C$204,"סוף שנה"))</f>
      </c>
      <c r="S18" s="28">
        <f>IF($A18="","",IFERROR(AVERAGEIFS('זה אני - קליטה'!$AG$5:$AG$204,'זה אני - קליטה'!$B$5:$B$204,$A18,'זה אני - קליטה'!$C$5:$C$204,"סוף שנה"),""))</f>
      </c>
    </row>
    <row r="19" ht="15" customHeight="1" spans="1:19" x14ac:dyDescent="0.25">
      <c r="A19" s="29"/>
      <c r="B19" s="37">
        <f>IF($A19="","",COUNTIFS('רווחה - קליטה'!$B$5:$B$204,$A19,'רווחה - קליטה'!$C$5:$C$204,"תחילת שנה"))</f>
      </c>
      <c r="C19" s="28">
        <f>IF($A19="","",IFERROR(AVERAGEIFS('רווחה - קליטה'!$AQ$5:$AQ$204,'רווחה - קליטה'!$B$5:$B$204,$A19,'רווחה - קליטה'!$C$5:$C$204,"תחילת שנה"),""))</f>
      </c>
      <c r="D19" s="27">
        <f>IF($A19="","",IFERROR(AVERAGEIFS('רווחה - קליטה'!$AK$5:$AK$204,'רווחה - קליטה'!$B$5:$B$204,$A19,'רווחה - קליטה'!$C$5:$C$204,"תחילת שנה"),""))</f>
      </c>
      <c r="E19" s="27">
        <f>IF($A19="","",IFERROR(COUNTIFS('רווחה - קליטה'!$B$5:$B$204,$A19,'רווחה - קליטה'!$C$5:$C$204,"תחילת שנה",'רווחה - קליטה'!$AS$5:$AS$204,"אמין")/COUNTIFS('רווחה - קליטה'!$B$5:$B$204,$A19,'רווחה - קליטה'!$C$5:$C$204,"תחילת שנה"),""))</f>
      </c>
      <c r="F19" s="37">
        <f>IF($A19="","",COUNTIFS('זה אני - קליטה'!$B$5:$B$204,$A19,'זה אני - קליטה'!$C$5:$C$204,"תחילת שנה"))</f>
      </c>
      <c r="G19" s="28">
        <f>IF($A19="","",IFERROR(AVERAGEIFS('זה אני - קליטה'!$AG$5:$AG$204,'זה אני - קליטה'!$B$5:$B$204,$A19,'זה אני - קליטה'!$C$5:$C$204,"תחילת שנה"),""))</f>
      </c>
      <c r="H19" s="37">
        <f>IF($A19="","",COUNTIFS('רווחה - קליטה'!$B$5:$B$204,$A19,'רווחה - קליטה'!$C$5:$C$204,"אמצע שנה"))</f>
      </c>
      <c r="I19" s="28">
        <f>IF($A19="","",IFERROR(AVERAGEIFS('רווחה - קליטה'!$AQ$5:$AQ$204,'רווחה - קליטה'!$B$5:$B$204,$A19,'רווחה - קליטה'!$C$5:$C$204,"אמצע שנה"),""))</f>
      </c>
      <c r="J19" s="27">
        <f>IF($A19="","",IFERROR(AVERAGEIFS('רווחה - קליטה'!$AK$5:$AK$204,'רווחה - קליטה'!$B$5:$B$204,$A19,'רווחה - קליטה'!$C$5:$C$204,"אמצע שנה"),""))</f>
      </c>
      <c r="K19" s="27">
        <f>IF($A19="","",IFERROR(COUNTIFS('רווחה - קליטה'!$B$5:$B$204,$A19,'רווחה - קליטה'!$C$5:$C$204,"אמצע שנה",'רווחה - קליטה'!$AS$5:$AS$204,"אמין")/COUNTIFS('רווחה - קליטה'!$B$5:$B$204,$A19,'רווחה - קליטה'!$C$5:$C$204,"אמצע שנה"),""))</f>
      </c>
      <c r="L19" s="37">
        <f>IF($A19="","",COUNTIFS('זה אני - קליטה'!$B$5:$B$204,$A19,'זה אני - קליטה'!$C$5:$C$204,"אמצע שנה"))</f>
      </c>
      <c r="M19" s="28">
        <f>IF($A19="","",IFERROR(AVERAGEIFS('זה אני - קליטה'!$AG$5:$AG$204,'זה אני - קליטה'!$B$5:$B$204,$A19,'זה אני - קליטה'!$C$5:$C$204,"אמצע שנה"),""))</f>
      </c>
      <c r="N19" s="37">
        <f>IF($A19="","",COUNTIFS('רווחה - קליטה'!$B$5:$B$204,$A19,'רווחה - קליטה'!$C$5:$C$204,"סוף שנה"))</f>
      </c>
      <c r="O19" s="28">
        <f>IF($A19="","",IFERROR(AVERAGEIFS('רווחה - קליטה'!$AQ$5:$AQ$204,'רווחה - קליטה'!$B$5:$B$204,$A19,'רווחה - קליטה'!$C$5:$C$204,"סוף שנה"),""))</f>
      </c>
      <c r="P19" s="27">
        <f>IF($A19="","",IFERROR(AVERAGEIFS('רווחה - קליטה'!$AK$5:$AK$204,'רווחה - קליטה'!$B$5:$B$204,$A19,'רווחה - קליטה'!$C$5:$C$204,"סוף שנה"),""))</f>
      </c>
      <c r="Q19" s="27">
        <f>IF($A19="","",IFERROR(COUNTIFS('רווחה - קליטה'!$B$5:$B$204,$A19,'רווחה - קליטה'!$C$5:$C$204,"סוף שנה",'רווחה - קליטה'!$AS$5:$AS$204,"אמין")/COUNTIFS('רווחה - קליטה'!$B$5:$B$204,$A19,'רווחה - קליטה'!$C$5:$C$204,"סוף שנה"),""))</f>
      </c>
      <c r="R19" s="37">
        <f>IF($A19="","",COUNTIFS('זה אני - קליטה'!$B$5:$B$204,$A19,'זה אני - קליטה'!$C$5:$C$204,"סוף שנה"))</f>
      </c>
      <c r="S19" s="28">
        <f>IF($A19="","",IFERROR(AVERAGEIFS('זה אני - קליטה'!$AG$5:$AG$204,'זה אני - קליטה'!$B$5:$B$204,$A19,'זה אני - קליטה'!$C$5:$C$204,"סוף שנה"),""))</f>
      </c>
    </row>
    <row r="20" ht="15" customHeight="1" spans="1:19" x14ac:dyDescent="0.25">
      <c r="A20" s="29"/>
      <c r="B20" s="37">
        <f>IF($A20="","",COUNTIFS('רווחה - קליטה'!$B$5:$B$204,$A20,'רווחה - קליטה'!$C$5:$C$204,"תחילת שנה"))</f>
      </c>
      <c r="C20" s="28">
        <f>IF($A20="","",IFERROR(AVERAGEIFS('רווחה - קליטה'!$AQ$5:$AQ$204,'רווחה - קליטה'!$B$5:$B$204,$A20,'רווחה - קליטה'!$C$5:$C$204,"תחילת שנה"),""))</f>
      </c>
      <c r="D20" s="27">
        <f>IF($A20="","",IFERROR(AVERAGEIFS('רווחה - קליטה'!$AK$5:$AK$204,'רווחה - קליטה'!$B$5:$B$204,$A20,'רווחה - קליטה'!$C$5:$C$204,"תחילת שנה"),""))</f>
      </c>
      <c r="E20" s="27">
        <f>IF($A20="","",IFERROR(COUNTIFS('רווחה - קליטה'!$B$5:$B$204,$A20,'רווחה - קליטה'!$C$5:$C$204,"תחילת שנה",'רווחה - קליטה'!$AS$5:$AS$204,"אמין")/COUNTIFS('רווחה - קליטה'!$B$5:$B$204,$A20,'רווחה - קליטה'!$C$5:$C$204,"תחילת שנה"),""))</f>
      </c>
      <c r="F20" s="37">
        <f>IF($A20="","",COUNTIFS('זה אני - קליטה'!$B$5:$B$204,$A20,'זה אני - קליטה'!$C$5:$C$204,"תחילת שנה"))</f>
      </c>
      <c r="G20" s="28">
        <f>IF($A20="","",IFERROR(AVERAGEIFS('זה אני - קליטה'!$AG$5:$AG$204,'זה אני - קליטה'!$B$5:$B$204,$A20,'זה אני - קליטה'!$C$5:$C$204,"תחילת שנה"),""))</f>
      </c>
      <c r="H20" s="37">
        <f>IF($A20="","",COUNTIFS('רווחה - קליטה'!$B$5:$B$204,$A20,'רווחה - קליטה'!$C$5:$C$204,"אמצע שנה"))</f>
      </c>
      <c r="I20" s="28">
        <f>IF($A20="","",IFERROR(AVERAGEIFS('רווחה - קליטה'!$AQ$5:$AQ$204,'רווחה - קליטה'!$B$5:$B$204,$A20,'רווחה - קליטה'!$C$5:$C$204,"אמצע שנה"),""))</f>
      </c>
      <c r="J20" s="27">
        <f>IF($A20="","",IFERROR(AVERAGEIFS('רווחה - קליטה'!$AK$5:$AK$204,'רווחה - קליטה'!$B$5:$B$204,$A20,'רווחה - קליטה'!$C$5:$C$204,"אמצע שנה"),""))</f>
      </c>
      <c r="K20" s="27">
        <f>IF($A20="","",IFERROR(COUNTIFS('רווחה - קליטה'!$B$5:$B$204,$A20,'רווחה - קליטה'!$C$5:$C$204,"אמצע שנה",'רווחה - קליטה'!$AS$5:$AS$204,"אמין")/COUNTIFS('רווחה - קליטה'!$B$5:$B$204,$A20,'רווחה - קליטה'!$C$5:$C$204,"אמצע שנה"),""))</f>
      </c>
      <c r="L20" s="37">
        <f>IF($A20="","",COUNTIFS('זה אני - קליטה'!$B$5:$B$204,$A20,'זה אני - קליטה'!$C$5:$C$204,"אמצע שנה"))</f>
      </c>
      <c r="M20" s="28">
        <f>IF($A20="","",IFERROR(AVERAGEIFS('זה אני - קליטה'!$AG$5:$AG$204,'זה אני - קליטה'!$B$5:$B$204,$A20,'זה אני - קליטה'!$C$5:$C$204,"אמצע שנה"),""))</f>
      </c>
      <c r="N20" s="37">
        <f>IF($A20="","",COUNTIFS('רווחה - קליטה'!$B$5:$B$204,$A20,'רווחה - קליטה'!$C$5:$C$204,"סוף שנה"))</f>
      </c>
      <c r="O20" s="28">
        <f>IF($A20="","",IFERROR(AVERAGEIFS('רווחה - קליטה'!$AQ$5:$AQ$204,'רווחה - קליטה'!$B$5:$B$204,$A20,'רווחה - קליטה'!$C$5:$C$204,"סוף שנה"),""))</f>
      </c>
      <c r="P20" s="27">
        <f>IF($A20="","",IFERROR(AVERAGEIFS('רווחה - קליטה'!$AK$5:$AK$204,'רווחה - קליטה'!$B$5:$B$204,$A20,'רווחה - קליטה'!$C$5:$C$204,"סוף שנה"),""))</f>
      </c>
      <c r="Q20" s="27">
        <f>IF($A20="","",IFERROR(COUNTIFS('רווחה - קליטה'!$B$5:$B$204,$A20,'רווחה - קליטה'!$C$5:$C$204,"סוף שנה",'רווחה - קליטה'!$AS$5:$AS$204,"אמין")/COUNTIFS('רווחה - קליטה'!$B$5:$B$204,$A20,'רווחה - קליטה'!$C$5:$C$204,"סוף שנה"),""))</f>
      </c>
      <c r="R20" s="37">
        <f>IF($A20="","",COUNTIFS('זה אני - קליטה'!$B$5:$B$204,$A20,'זה אני - קליטה'!$C$5:$C$204,"סוף שנה"))</f>
      </c>
      <c r="S20" s="28">
        <f>IF($A20="","",IFERROR(AVERAGEIFS('זה אני - קליטה'!$AG$5:$AG$204,'זה אני - קליטה'!$B$5:$B$204,$A20,'זה אני - קליטה'!$C$5:$C$204,"סוף שנה"),""))</f>
      </c>
    </row>
    <row r="21" ht="15" customHeight="1" spans="1:19" x14ac:dyDescent="0.25">
      <c r="A21" s="29"/>
      <c r="B21" s="37">
        <f>IF($A21="","",COUNTIFS('רווחה - קליטה'!$B$5:$B$204,$A21,'רווחה - קליטה'!$C$5:$C$204,"תחילת שנה"))</f>
      </c>
      <c r="C21" s="28">
        <f>IF($A21="","",IFERROR(AVERAGEIFS('רווחה - קליטה'!$AQ$5:$AQ$204,'רווחה - קליטה'!$B$5:$B$204,$A21,'רווחה - קליטה'!$C$5:$C$204,"תחילת שנה"),""))</f>
      </c>
      <c r="D21" s="27">
        <f>IF($A21="","",IFERROR(AVERAGEIFS('רווחה - קליטה'!$AK$5:$AK$204,'רווחה - קליטה'!$B$5:$B$204,$A21,'רווחה - קליטה'!$C$5:$C$204,"תחילת שנה"),""))</f>
      </c>
      <c r="E21" s="27">
        <f>IF($A21="","",IFERROR(COUNTIFS('רווחה - קליטה'!$B$5:$B$204,$A21,'רווחה - קליטה'!$C$5:$C$204,"תחילת שנה",'רווחה - קליטה'!$AS$5:$AS$204,"אמין")/COUNTIFS('רווחה - קליטה'!$B$5:$B$204,$A21,'רווחה - קליטה'!$C$5:$C$204,"תחילת שנה"),""))</f>
      </c>
      <c r="F21" s="37">
        <f>IF($A21="","",COUNTIFS('זה אני - קליטה'!$B$5:$B$204,$A21,'זה אני - קליטה'!$C$5:$C$204,"תחילת שנה"))</f>
      </c>
      <c r="G21" s="28">
        <f>IF($A21="","",IFERROR(AVERAGEIFS('זה אני - קליטה'!$AG$5:$AG$204,'זה אני - קליטה'!$B$5:$B$204,$A21,'זה אני - קליטה'!$C$5:$C$204,"תחילת שנה"),""))</f>
      </c>
      <c r="H21" s="37">
        <f>IF($A21="","",COUNTIFS('רווחה - קליטה'!$B$5:$B$204,$A21,'רווחה - קליטה'!$C$5:$C$204,"אמצע שנה"))</f>
      </c>
      <c r="I21" s="28">
        <f>IF($A21="","",IFERROR(AVERAGEIFS('רווחה - קליטה'!$AQ$5:$AQ$204,'רווחה - קליטה'!$B$5:$B$204,$A21,'רווחה - קליטה'!$C$5:$C$204,"אמצע שנה"),""))</f>
      </c>
      <c r="J21" s="27">
        <f>IF($A21="","",IFERROR(AVERAGEIFS('רווחה - קליטה'!$AK$5:$AK$204,'רווחה - קליטה'!$B$5:$B$204,$A21,'רווחה - קליטה'!$C$5:$C$204,"אמצע שנה"),""))</f>
      </c>
      <c r="K21" s="27">
        <f>IF($A21="","",IFERROR(COUNTIFS('רווחה - קליטה'!$B$5:$B$204,$A21,'רווחה - קליטה'!$C$5:$C$204,"אמצע שנה",'רווחה - קליטה'!$AS$5:$AS$204,"אמין")/COUNTIFS('רווחה - קליטה'!$B$5:$B$204,$A21,'רווחה - קליטה'!$C$5:$C$204,"אמצע שנה"),""))</f>
      </c>
      <c r="L21" s="37">
        <f>IF($A21="","",COUNTIFS('זה אני - קליטה'!$B$5:$B$204,$A21,'זה אני - קליטה'!$C$5:$C$204,"אמצע שנה"))</f>
      </c>
      <c r="M21" s="28">
        <f>IF($A21="","",IFERROR(AVERAGEIFS('זה אני - קליטה'!$AG$5:$AG$204,'זה אני - קליטה'!$B$5:$B$204,$A21,'זה אני - קליטה'!$C$5:$C$204,"אמצע שנה"),""))</f>
      </c>
      <c r="N21" s="37">
        <f>IF($A21="","",COUNTIFS('רווחה - קליטה'!$B$5:$B$204,$A21,'רווחה - קליטה'!$C$5:$C$204,"סוף שנה"))</f>
      </c>
      <c r="O21" s="28">
        <f>IF($A21="","",IFERROR(AVERAGEIFS('רווחה - קליטה'!$AQ$5:$AQ$204,'רווחה - קליטה'!$B$5:$B$204,$A21,'רווחה - קליטה'!$C$5:$C$204,"סוף שנה"),""))</f>
      </c>
      <c r="P21" s="27">
        <f>IF($A21="","",IFERROR(AVERAGEIFS('רווחה - קליטה'!$AK$5:$AK$204,'רווחה - קליטה'!$B$5:$B$204,$A21,'רווחה - קליטה'!$C$5:$C$204,"סוף שנה"),""))</f>
      </c>
      <c r="Q21" s="27">
        <f>IF($A21="","",IFERROR(COUNTIFS('רווחה - קליטה'!$B$5:$B$204,$A21,'רווחה - קליטה'!$C$5:$C$204,"סוף שנה",'רווחה - קליטה'!$AS$5:$AS$204,"אמין")/COUNTIFS('רווחה - קליטה'!$B$5:$B$204,$A21,'רווחה - קליטה'!$C$5:$C$204,"סוף שנה"),""))</f>
      </c>
      <c r="R21" s="37">
        <f>IF($A21="","",COUNTIFS('זה אני - קליטה'!$B$5:$B$204,$A21,'זה אני - קליטה'!$C$5:$C$204,"סוף שנה"))</f>
      </c>
      <c r="S21" s="28">
        <f>IF($A21="","",IFERROR(AVERAGEIFS('זה אני - קליטה'!$AG$5:$AG$204,'זה אני - קליטה'!$B$5:$B$204,$A21,'זה אני - קליטה'!$C$5:$C$204,"סוף שנה"),""))</f>
      </c>
    </row>
    <row r="22" ht="15" customHeight="1" spans="1:19" x14ac:dyDescent="0.25">
      <c r="A22" s="29"/>
      <c r="B22" s="37">
        <f>IF($A22="","",COUNTIFS('רווחה - קליטה'!$B$5:$B$204,$A22,'רווחה - קליטה'!$C$5:$C$204,"תחילת שנה"))</f>
      </c>
      <c r="C22" s="28">
        <f>IF($A22="","",IFERROR(AVERAGEIFS('רווחה - קליטה'!$AQ$5:$AQ$204,'רווחה - קליטה'!$B$5:$B$204,$A22,'רווחה - קליטה'!$C$5:$C$204,"תחילת שנה"),""))</f>
      </c>
      <c r="D22" s="27">
        <f>IF($A22="","",IFERROR(AVERAGEIFS('רווחה - קליטה'!$AK$5:$AK$204,'רווחה - קליטה'!$B$5:$B$204,$A22,'רווחה - קליטה'!$C$5:$C$204,"תחילת שנה"),""))</f>
      </c>
      <c r="E22" s="27">
        <f>IF($A22="","",IFERROR(COUNTIFS('רווחה - קליטה'!$B$5:$B$204,$A22,'רווחה - קליטה'!$C$5:$C$204,"תחילת שנה",'רווחה - קליטה'!$AS$5:$AS$204,"אמין")/COUNTIFS('רווחה - קליטה'!$B$5:$B$204,$A22,'רווחה - קליטה'!$C$5:$C$204,"תחילת שנה"),""))</f>
      </c>
      <c r="F22" s="37">
        <f>IF($A22="","",COUNTIFS('זה אני - קליטה'!$B$5:$B$204,$A22,'זה אני - קליטה'!$C$5:$C$204,"תחילת שנה"))</f>
      </c>
      <c r="G22" s="28">
        <f>IF($A22="","",IFERROR(AVERAGEIFS('זה אני - קליטה'!$AG$5:$AG$204,'זה אני - קליטה'!$B$5:$B$204,$A22,'זה אני - קליטה'!$C$5:$C$204,"תחילת שנה"),""))</f>
      </c>
      <c r="H22" s="37">
        <f>IF($A22="","",COUNTIFS('רווחה - קליטה'!$B$5:$B$204,$A22,'רווחה - קליטה'!$C$5:$C$204,"אמצע שנה"))</f>
      </c>
      <c r="I22" s="28">
        <f>IF($A22="","",IFERROR(AVERAGEIFS('רווחה - קליטה'!$AQ$5:$AQ$204,'רווחה - קליטה'!$B$5:$B$204,$A22,'רווחה - קליטה'!$C$5:$C$204,"אמצע שנה"),""))</f>
      </c>
      <c r="J22" s="27">
        <f>IF($A22="","",IFERROR(AVERAGEIFS('רווחה - קליטה'!$AK$5:$AK$204,'רווחה - קליטה'!$B$5:$B$204,$A22,'רווחה - קליטה'!$C$5:$C$204,"אמצע שנה"),""))</f>
      </c>
      <c r="K22" s="27">
        <f>IF($A22="","",IFERROR(COUNTIFS('רווחה - קליטה'!$B$5:$B$204,$A22,'רווחה - קליטה'!$C$5:$C$204,"אמצע שנה",'רווחה - קליטה'!$AS$5:$AS$204,"אמין")/COUNTIFS('רווחה - קליטה'!$B$5:$B$204,$A22,'רווחה - קליטה'!$C$5:$C$204,"אמצע שנה"),""))</f>
      </c>
      <c r="L22" s="37">
        <f>IF($A22="","",COUNTIFS('זה אני - קליטה'!$B$5:$B$204,$A22,'זה אני - קליטה'!$C$5:$C$204,"אמצע שנה"))</f>
      </c>
      <c r="M22" s="28">
        <f>IF($A22="","",IFERROR(AVERAGEIFS('זה אני - קליטה'!$AG$5:$AG$204,'זה אני - קליטה'!$B$5:$B$204,$A22,'זה אני - קליטה'!$C$5:$C$204,"אמצע שנה"),""))</f>
      </c>
      <c r="N22" s="37">
        <f>IF($A22="","",COUNTIFS('רווחה - קליטה'!$B$5:$B$204,$A22,'רווחה - קליטה'!$C$5:$C$204,"סוף שנה"))</f>
      </c>
      <c r="O22" s="28">
        <f>IF($A22="","",IFERROR(AVERAGEIFS('רווחה - קליטה'!$AQ$5:$AQ$204,'רווחה - קליטה'!$B$5:$B$204,$A22,'רווחה - קליטה'!$C$5:$C$204,"סוף שנה"),""))</f>
      </c>
      <c r="P22" s="27">
        <f>IF($A22="","",IFERROR(AVERAGEIFS('רווחה - קליטה'!$AK$5:$AK$204,'רווחה - קליטה'!$B$5:$B$204,$A22,'רווחה - קליטה'!$C$5:$C$204,"סוף שנה"),""))</f>
      </c>
      <c r="Q22" s="27">
        <f>IF($A22="","",IFERROR(COUNTIFS('רווחה - קליטה'!$B$5:$B$204,$A22,'רווחה - קליטה'!$C$5:$C$204,"סוף שנה",'רווחה - קליטה'!$AS$5:$AS$204,"אמין")/COUNTIFS('רווחה - קליטה'!$B$5:$B$204,$A22,'רווחה - קליטה'!$C$5:$C$204,"סוף שנה"),""))</f>
      </c>
      <c r="R22" s="37">
        <f>IF($A22="","",COUNTIFS('זה אני - קליטה'!$B$5:$B$204,$A22,'זה אני - קליטה'!$C$5:$C$204,"סוף שנה"))</f>
      </c>
      <c r="S22" s="28">
        <f>IF($A22="","",IFERROR(AVERAGEIFS('זה אני - קליטה'!$AG$5:$AG$204,'זה אני - קליטה'!$B$5:$B$204,$A22,'זה אני - קליטה'!$C$5:$C$204,"סוף שנה"),""))</f>
      </c>
    </row>
    <row r="23" ht="15" customHeight="1" spans="1:19" x14ac:dyDescent="0.25">
      <c r="A23" s="29"/>
      <c r="B23" s="37">
        <f>IF($A23="","",COUNTIFS('רווחה - קליטה'!$B$5:$B$204,$A23,'רווחה - קליטה'!$C$5:$C$204,"תחילת שנה"))</f>
      </c>
      <c r="C23" s="28">
        <f>IF($A23="","",IFERROR(AVERAGEIFS('רווחה - קליטה'!$AQ$5:$AQ$204,'רווחה - קליטה'!$B$5:$B$204,$A23,'רווחה - קליטה'!$C$5:$C$204,"תחילת שנה"),""))</f>
      </c>
      <c r="D23" s="27">
        <f>IF($A23="","",IFERROR(AVERAGEIFS('רווחה - קליטה'!$AK$5:$AK$204,'רווחה - קליטה'!$B$5:$B$204,$A23,'רווחה - קליטה'!$C$5:$C$204,"תחילת שנה"),""))</f>
      </c>
      <c r="E23" s="27">
        <f>IF($A23="","",IFERROR(COUNTIFS('רווחה - קליטה'!$B$5:$B$204,$A23,'רווחה - קליטה'!$C$5:$C$204,"תחילת שנה",'רווחה - קליטה'!$AS$5:$AS$204,"אמין")/COUNTIFS('רווחה - קליטה'!$B$5:$B$204,$A23,'רווחה - קליטה'!$C$5:$C$204,"תחילת שנה"),""))</f>
      </c>
      <c r="F23" s="37">
        <f>IF($A23="","",COUNTIFS('זה אני - קליטה'!$B$5:$B$204,$A23,'זה אני - קליטה'!$C$5:$C$204,"תחילת שנה"))</f>
      </c>
      <c r="G23" s="28">
        <f>IF($A23="","",IFERROR(AVERAGEIFS('זה אני - קליטה'!$AG$5:$AG$204,'זה אני - קליטה'!$B$5:$B$204,$A23,'זה אני - קליטה'!$C$5:$C$204,"תחילת שנה"),""))</f>
      </c>
      <c r="H23" s="37">
        <f>IF($A23="","",COUNTIFS('רווחה - קליטה'!$B$5:$B$204,$A23,'רווחה - קליטה'!$C$5:$C$204,"אמצע שנה"))</f>
      </c>
      <c r="I23" s="28">
        <f>IF($A23="","",IFERROR(AVERAGEIFS('רווחה - קליטה'!$AQ$5:$AQ$204,'רווחה - קליטה'!$B$5:$B$204,$A23,'רווחה - קליטה'!$C$5:$C$204,"אמצע שנה"),""))</f>
      </c>
      <c r="J23" s="27">
        <f>IF($A23="","",IFERROR(AVERAGEIFS('רווחה - קליטה'!$AK$5:$AK$204,'רווחה - קליטה'!$B$5:$B$204,$A23,'רווחה - קליטה'!$C$5:$C$204,"אמצע שנה"),""))</f>
      </c>
      <c r="K23" s="27">
        <f>IF($A23="","",IFERROR(COUNTIFS('רווחה - קליטה'!$B$5:$B$204,$A23,'רווחה - קליטה'!$C$5:$C$204,"אמצע שנה",'רווחה - קליטה'!$AS$5:$AS$204,"אמין")/COUNTIFS('רווחה - קליטה'!$B$5:$B$204,$A23,'רווחה - קליטה'!$C$5:$C$204,"אמצע שנה"),""))</f>
      </c>
      <c r="L23" s="37">
        <f>IF($A23="","",COUNTIFS('זה אני - קליטה'!$B$5:$B$204,$A23,'זה אני - קליטה'!$C$5:$C$204,"אמצע שנה"))</f>
      </c>
      <c r="M23" s="28">
        <f>IF($A23="","",IFERROR(AVERAGEIFS('זה אני - קליטה'!$AG$5:$AG$204,'זה אני - קליטה'!$B$5:$B$204,$A23,'זה אני - קליטה'!$C$5:$C$204,"אמצע שנה"),""))</f>
      </c>
      <c r="N23" s="37">
        <f>IF($A23="","",COUNTIFS('רווחה - קליטה'!$B$5:$B$204,$A23,'רווחה - קליטה'!$C$5:$C$204,"סוף שנה"))</f>
      </c>
      <c r="O23" s="28">
        <f>IF($A23="","",IFERROR(AVERAGEIFS('רווחה - קליטה'!$AQ$5:$AQ$204,'רווחה - קליטה'!$B$5:$B$204,$A23,'רווחה - קליטה'!$C$5:$C$204,"סוף שנה"),""))</f>
      </c>
      <c r="P23" s="27">
        <f>IF($A23="","",IFERROR(AVERAGEIFS('רווחה - קליטה'!$AK$5:$AK$204,'רווחה - קליטה'!$B$5:$B$204,$A23,'רווחה - קליטה'!$C$5:$C$204,"סוף שנה"),""))</f>
      </c>
      <c r="Q23" s="27">
        <f>IF($A23="","",IFERROR(COUNTIFS('רווחה - קליטה'!$B$5:$B$204,$A23,'רווחה - קליטה'!$C$5:$C$204,"סוף שנה",'רווחה - קליטה'!$AS$5:$AS$204,"אמין")/COUNTIFS('רווחה - קליטה'!$B$5:$B$204,$A23,'רווחה - קליטה'!$C$5:$C$204,"סוף שנה"),""))</f>
      </c>
      <c r="R23" s="37">
        <f>IF($A23="","",COUNTIFS('זה אני - קליטה'!$B$5:$B$204,$A23,'זה אני - קליטה'!$C$5:$C$204,"סוף שנה"))</f>
      </c>
      <c r="S23" s="28">
        <f>IF($A23="","",IFERROR(AVERAGEIFS('זה אני - קליטה'!$AG$5:$AG$204,'זה אני - קליטה'!$B$5:$B$204,$A23,'זה אני - קליטה'!$C$5:$C$204,"סוף שנה"),""))</f>
      </c>
    </row>
    <row r="24" ht="15" customHeight="1" spans="1:19" x14ac:dyDescent="0.25">
      <c r="A24" s="29"/>
      <c r="B24" s="37">
        <f>IF($A24="","",COUNTIFS('רווחה - קליטה'!$B$5:$B$204,$A24,'רווחה - קליטה'!$C$5:$C$204,"תחילת שנה"))</f>
      </c>
      <c r="C24" s="28">
        <f>IF($A24="","",IFERROR(AVERAGEIFS('רווחה - קליטה'!$AQ$5:$AQ$204,'רווחה - קליטה'!$B$5:$B$204,$A24,'רווחה - קליטה'!$C$5:$C$204,"תחילת שנה"),""))</f>
      </c>
      <c r="D24" s="27">
        <f>IF($A24="","",IFERROR(AVERAGEIFS('רווחה - קליטה'!$AK$5:$AK$204,'רווחה - קליטה'!$B$5:$B$204,$A24,'רווחה - קליטה'!$C$5:$C$204,"תחילת שנה"),""))</f>
      </c>
      <c r="E24" s="27">
        <f>IF($A24="","",IFERROR(COUNTIFS('רווחה - קליטה'!$B$5:$B$204,$A24,'רווחה - קליטה'!$C$5:$C$204,"תחילת שנה",'רווחה - קליטה'!$AS$5:$AS$204,"אמין")/COUNTIFS('רווחה - קליטה'!$B$5:$B$204,$A24,'רווחה - קליטה'!$C$5:$C$204,"תחילת שנה"),""))</f>
      </c>
      <c r="F24" s="37">
        <f>IF($A24="","",COUNTIFS('זה אני - קליטה'!$B$5:$B$204,$A24,'זה אני - קליטה'!$C$5:$C$204,"תחילת שנה"))</f>
      </c>
      <c r="G24" s="28">
        <f>IF($A24="","",IFERROR(AVERAGEIFS('זה אני - קליטה'!$AG$5:$AG$204,'זה אני - קליטה'!$B$5:$B$204,$A24,'זה אני - קליטה'!$C$5:$C$204,"תחילת שנה"),""))</f>
      </c>
      <c r="H24" s="37">
        <f>IF($A24="","",COUNTIFS('רווחה - קליטה'!$B$5:$B$204,$A24,'רווחה - קליטה'!$C$5:$C$204,"אמצע שנה"))</f>
      </c>
      <c r="I24" s="28">
        <f>IF($A24="","",IFERROR(AVERAGEIFS('רווחה - קליטה'!$AQ$5:$AQ$204,'רווחה - קליטה'!$B$5:$B$204,$A24,'רווחה - קליטה'!$C$5:$C$204,"אמצע שנה"),""))</f>
      </c>
      <c r="J24" s="27">
        <f>IF($A24="","",IFERROR(AVERAGEIFS('רווחה - קליטה'!$AK$5:$AK$204,'רווחה - קליטה'!$B$5:$B$204,$A24,'רווחה - קליטה'!$C$5:$C$204,"אמצע שנה"),""))</f>
      </c>
      <c r="K24" s="27">
        <f>IF($A24="","",IFERROR(COUNTIFS('רווחה - קליטה'!$B$5:$B$204,$A24,'רווחה - קליטה'!$C$5:$C$204,"אמצע שנה",'רווחה - קליטה'!$AS$5:$AS$204,"אמין")/COUNTIFS('רווחה - קליטה'!$B$5:$B$204,$A24,'רווחה - קליטה'!$C$5:$C$204,"אמצע שנה"),""))</f>
      </c>
      <c r="L24" s="37">
        <f>IF($A24="","",COUNTIFS('זה אני - קליטה'!$B$5:$B$204,$A24,'זה אני - קליטה'!$C$5:$C$204,"אמצע שנה"))</f>
      </c>
      <c r="M24" s="28">
        <f>IF($A24="","",IFERROR(AVERAGEIFS('זה אני - קליטה'!$AG$5:$AG$204,'זה אני - קליטה'!$B$5:$B$204,$A24,'זה אני - קליטה'!$C$5:$C$204,"אמצע שנה"),""))</f>
      </c>
      <c r="N24" s="37">
        <f>IF($A24="","",COUNTIFS('רווחה - קליטה'!$B$5:$B$204,$A24,'רווחה - קליטה'!$C$5:$C$204,"סוף שנה"))</f>
      </c>
      <c r="O24" s="28">
        <f>IF($A24="","",IFERROR(AVERAGEIFS('רווחה - קליטה'!$AQ$5:$AQ$204,'רווחה - קליטה'!$B$5:$B$204,$A24,'רווחה - קליטה'!$C$5:$C$204,"סוף שנה"),""))</f>
      </c>
      <c r="P24" s="27">
        <f>IF($A24="","",IFERROR(AVERAGEIFS('רווחה - קליטה'!$AK$5:$AK$204,'רווחה - קליטה'!$B$5:$B$204,$A24,'רווחה - קליטה'!$C$5:$C$204,"סוף שנה"),""))</f>
      </c>
      <c r="Q24" s="27">
        <f>IF($A24="","",IFERROR(COUNTIFS('רווחה - קליטה'!$B$5:$B$204,$A24,'רווחה - קליטה'!$C$5:$C$204,"סוף שנה",'רווחה - קליטה'!$AS$5:$AS$204,"אמין")/COUNTIFS('רווחה - קליטה'!$B$5:$B$204,$A24,'רווחה - קליטה'!$C$5:$C$204,"סוף שנה"),""))</f>
      </c>
      <c r="R24" s="37">
        <f>IF($A24="","",COUNTIFS('זה אני - קליטה'!$B$5:$B$204,$A24,'זה אני - קליטה'!$C$5:$C$204,"סוף שנה"))</f>
      </c>
      <c r="S24" s="28">
        <f>IF($A24="","",IFERROR(AVERAGEIFS('זה אני - קליטה'!$AG$5:$AG$204,'זה אני - קליטה'!$B$5:$B$204,$A24,'זה אני - קליטה'!$C$5:$C$204,"סוף שנה"),""))</f>
      </c>
    </row>
    <row r="25" ht="15" customHeight="1" spans="1:19" x14ac:dyDescent="0.25">
      <c r="A25" s="29"/>
      <c r="B25" s="37">
        <f>IF($A25="","",COUNTIFS('רווחה - קליטה'!$B$5:$B$204,$A25,'רווחה - קליטה'!$C$5:$C$204,"תחילת שנה"))</f>
      </c>
      <c r="C25" s="28">
        <f>IF($A25="","",IFERROR(AVERAGEIFS('רווחה - קליטה'!$AQ$5:$AQ$204,'רווחה - קליטה'!$B$5:$B$204,$A25,'רווחה - קליטה'!$C$5:$C$204,"תחילת שנה"),""))</f>
      </c>
      <c r="D25" s="27">
        <f>IF($A25="","",IFERROR(AVERAGEIFS('רווחה - קליטה'!$AK$5:$AK$204,'רווחה - קליטה'!$B$5:$B$204,$A25,'רווחה - קליטה'!$C$5:$C$204,"תחילת שנה"),""))</f>
      </c>
      <c r="E25" s="27">
        <f>IF($A25="","",IFERROR(COUNTIFS('רווחה - קליטה'!$B$5:$B$204,$A25,'רווחה - קליטה'!$C$5:$C$204,"תחילת שנה",'רווחה - קליטה'!$AS$5:$AS$204,"אמין")/COUNTIFS('רווחה - קליטה'!$B$5:$B$204,$A25,'רווחה - קליטה'!$C$5:$C$204,"תחילת שנה"),""))</f>
      </c>
      <c r="F25" s="37">
        <f>IF($A25="","",COUNTIFS('זה אני - קליטה'!$B$5:$B$204,$A25,'זה אני - קליטה'!$C$5:$C$204,"תחילת שנה"))</f>
      </c>
      <c r="G25" s="28">
        <f>IF($A25="","",IFERROR(AVERAGEIFS('זה אני - קליטה'!$AG$5:$AG$204,'זה אני - קליטה'!$B$5:$B$204,$A25,'זה אני - קליטה'!$C$5:$C$204,"תחילת שנה"),""))</f>
      </c>
      <c r="H25" s="37">
        <f>IF($A25="","",COUNTIFS('רווחה - קליטה'!$B$5:$B$204,$A25,'רווחה - קליטה'!$C$5:$C$204,"אמצע שנה"))</f>
      </c>
      <c r="I25" s="28">
        <f>IF($A25="","",IFERROR(AVERAGEIFS('רווחה - קליטה'!$AQ$5:$AQ$204,'רווחה - קליטה'!$B$5:$B$204,$A25,'רווחה - קליטה'!$C$5:$C$204,"אמצע שנה"),""))</f>
      </c>
      <c r="J25" s="27">
        <f>IF($A25="","",IFERROR(AVERAGEIFS('רווחה - קליטה'!$AK$5:$AK$204,'רווחה - קליטה'!$B$5:$B$204,$A25,'רווחה - קליטה'!$C$5:$C$204,"אמצע שנה"),""))</f>
      </c>
      <c r="K25" s="27">
        <f>IF($A25="","",IFERROR(COUNTIFS('רווחה - קליטה'!$B$5:$B$204,$A25,'רווחה - קליטה'!$C$5:$C$204,"אמצע שנה",'רווחה - קליטה'!$AS$5:$AS$204,"אמין")/COUNTIFS('רווחה - קליטה'!$B$5:$B$204,$A25,'רווחה - קליטה'!$C$5:$C$204,"אמצע שנה"),""))</f>
      </c>
      <c r="L25" s="37">
        <f>IF($A25="","",COUNTIFS('זה אני - קליטה'!$B$5:$B$204,$A25,'זה אני - קליטה'!$C$5:$C$204,"אמצע שנה"))</f>
      </c>
      <c r="M25" s="28">
        <f>IF($A25="","",IFERROR(AVERAGEIFS('זה אני - קליטה'!$AG$5:$AG$204,'זה אני - קליטה'!$B$5:$B$204,$A25,'זה אני - קליטה'!$C$5:$C$204,"אמצע שנה"),""))</f>
      </c>
      <c r="N25" s="37">
        <f>IF($A25="","",COUNTIFS('רווחה - קליטה'!$B$5:$B$204,$A25,'רווחה - קליטה'!$C$5:$C$204,"סוף שנה"))</f>
      </c>
      <c r="O25" s="28">
        <f>IF($A25="","",IFERROR(AVERAGEIFS('רווחה - קליטה'!$AQ$5:$AQ$204,'רווחה - קליטה'!$B$5:$B$204,$A25,'רווחה - קליטה'!$C$5:$C$204,"סוף שנה"),""))</f>
      </c>
      <c r="P25" s="27">
        <f>IF($A25="","",IFERROR(AVERAGEIFS('רווחה - קליטה'!$AK$5:$AK$204,'רווחה - קליטה'!$B$5:$B$204,$A25,'רווחה - קליטה'!$C$5:$C$204,"סוף שנה"),""))</f>
      </c>
      <c r="Q25" s="27">
        <f>IF($A25="","",IFERROR(COUNTIFS('רווחה - קליטה'!$B$5:$B$204,$A25,'רווחה - קליטה'!$C$5:$C$204,"סוף שנה",'רווחה - קליטה'!$AS$5:$AS$204,"אמין")/COUNTIFS('רווחה - קליטה'!$B$5:$B$204,$A25,'רווחה - קליטה'!$C$5:$C$204,"סוף שנה"),""))</f>
      </c>
      <c r="R25" s="37">
        <f>IF($A25="","",COUNTIFS('זה אני - קליטה'!$B$5:$B$204,$A25,'זה אני - קליטה'!$C$5:$C$204,"סוף שנה"))</f>
      </c>
      <c r="S25" s="28">
        <f>IF($A25="","",IFERROR(AVERAGEIFS('זה אני - קליטה'!$AG$5:$AG$204,'זה אני - קליטה'!$B$5:$B$204,$A25,'זה אני - קליטה'!$C$5:$C$204,"סוף שנה"),""))</f>
      </c>
    </row>
    <row r="26" ht="15" customHeight="1" spans="1:19" x14ac:dyDescent="0.25">
      <c r="A26" s="29"/>
      <c r="B26" s="37">
        <f>IF($A26="","",COUNTIFS('רווחה - קליטה'!$B$5:$B$204,$A26,'רווחה - קליטה'!$C$5:$C$204,"תחילת שנה"))</f>
      </c>
      <c r="C26" s="28">
        <f>IF($A26="","",IFERROR(AVERAGEIFS('רווחה - קליטה'!$AQ$5:$AQ$204,'רווחה - קליטה'!$B$5:$B$204,$A26,'רווחה - קליטה'!$C$5:$C$204,"תחילת שנה"),""))</f>
      </c>
      <c r="D26" s="27">
        <f>IF($A26="","",IFERROR(AVERAGEIFS('רווחה - קליטה'!$AK$5:$AK$204,'רווחה - קליטה'!$B$5:$B$204,$A26,'רווחה - קליטה'!$C$5:$C$204,"תחילת שנה"),""))</f>
      </c>
      <c r="E26" s="27">
        <f>IF($A26="","",IFERROR(COUNTIFS('רווחה - קליטה'!$B$5:$B$204,$A26,'רווחה - קליטה'!$C$5:$C$204,"תחילת שנה",'רווחה - קליטה'!$AS$5:$AS$204,"אמין")/COUNTIFS('רווחה - קליטה'!$B$5:$B$204,$A26,'רווחה - קליטה'!$C$5:$C$204,"תחילת שנה"),""))</f>
      </c>
      <c r="F26" s="37">
        <f>IF($A26="","",COUNTIFS('זה אני - קליטה'!$B$5:$B$204,$A26,'זה אני - קליטה'!$C$5:$C$204,"תחילת שנה"))</f>
      </c>
      <c r="G26" s="28">
        <f>IF($A26="","",IFERROR(AVERAGEIFS('זה אני - קליטה'!$AG$5:$AG$204,'זה אני - קליטה'!$B$5:$B$204,$A26,'זה אני - קליטה'!$C$5:$C$204,"תחילת שנה"),""))</f>
      </c>
      <c r="H26" s="37">
        <f>IF($A26="","",COUNTIFS('רווחה - קליטה'!$B$5:$B$204,$A26,'רווחה - קליטה'!$C$5:$C$204,"אמצע שנה"))</f>
      </c>
      <c r="I26" s="28">
        <f>IF($A26="","",IFERROR(AVERAGEIFS('רווחה - קליטה'!$AQ$5:$AQ$204,'רווחה - קליטה'!$B$5:$B$204,$A26,'רווחה - קליטה'!$C$5:$C$204,"אמצע שנה"),""))</f>
      </c>
      <c r="J26" s="27">
        <f>IF($A26="","",IFERROR(AVERAGEIFS('רווחה - קליטה'!$AK$5:$AK$204,'רווחה - קליטה'!$B$5:$B$204,$A26,'רווחה - קליטה'!$C$5:$C$204,"אמצע שנה"),""))</f>
      </c>
      <c r="K26" s="27">
        <f>IF($A26="","",IFERROR(COUNTIFS('רווחה - קליטה'!$B$5:$B$204,$A26,'רווחה - קליטה'!$C$5:$C$204,"אמצע שנה",'רווחה - קליטה'!$AS$5:$AS$204,"אמין")/COUNTIFS('רווחה - קליטה'!$B$5:$B$204,$A26,'רווחה - קליטה'!$C$5:$C$204,"אמצע שנה"),""))</f>
      </c>
      <c r="L26" s="37">
        <f>IF($A26="","",COUNTIFS('זה אני - קליטה'!$B$5:$B$204,$A26,'זה אני - קליטה'!$C$5:$C$204,"אמצע שנה"))</f>
      </c>
      <c r="M26" s="28">
        <f>IF($A26="","",IFERROR(AVERAGEIFS('זה אני - קליטה'!$AG$5:$AG$204,'זה אני - קליטה'!$B$5:$B$204,$A26,'זה אני - קליטה'!$C$5:$C$204,"אמצע שנה"),""))</f>
      </c>
      <c r="N26" s="37">
        <f>IF($A26="","",COUNTIFS('רווחה - קליטה'!$B$5:$B$204,$A26,'רווחה - קליטה'!$C$5:$C$204,"סוף שנה"))</f>
      </c>
      <c r="O26" s="28">
        <f>IF($A26="","",IFERROR(AVERAGEIFS('רווחה - קליטה'!$AQ$5:$AQ$204,'רווחה - קליטה'!$B$5:$B$204,$A26,'רווחה - קליטה'!$C$5:$C$204,"סוף שנה"),""))</f>
      </c>
      <c r="P26" s="27">
        <f>IF($A26="","",IFERROR(AVERAGEIFS('רווחה - קליטה'!$AK$5:$AK$204,'רווחה - קליטה'!$B$5:$B$204,$A26,'רווחה - קליטה'!$C$5:$C$204,"סוף שנה"),""))</f>
      </c>
      <c r="Q26" s="27">
        <f>IF($A26="","",IFERROR(COUNTIFS('רווחה - קליטה'!$B$5:$B$204,$A26,'רווחה - קליטה'!$C$5:$C$204,"סוף שנה",'רווחה - קליטה'!$AS$5:$AS$204,"אמין")/COUNTIFS('רווחה - קליטה'!$B$5:$B$204,$A26,'רווחה - קליטה'!$C$5:$C$204,"סוף שנה"),""))</f>
      </c>
      <c r="R26" s="37">
        <f>IF($A26="","",COUNTIFS('זה אני - קליטה'!$B$5:$B$204,$A26,'זה אני - קליטה'!$C$5:$C$204,"סוף שנה"))</f>
      </c>
      <c r="S26" s="28">
        <f>IF($A26="","",IFERROR(AVERAGEIFS('זה אני - קליטה'!$AG$5:$AG$204,'זה אני - קליטה'!$B$5:$B$204,$A26,'זה אני - קליטה'!$C$5:$C$204,"סוף שנה"),""))</f>
      </c>
    </row>
    <row r="27" ht="15" customHeight="1" spans="1:19" x14ac:dyDescent="0.25">
      <c r="A27" s="29"/>
      <c r="B27" s="37">
        <f>IF($A27="","",COUNTIFS('רווחה - קליטה'!$B$5:$B$204,$A27,'רווחה - קליטה'!$C$5:$C$204,"תחילת שנה"))</f>
      </c>
      <c r="C27" s="28">
        <f>IF($A27="","",IFERROR(AVERAGEIFS('רווחה - קליטה'!$AQ$5:$AQ$204,'רווחה - קליטה'!$B$5:$B$204,$A27,'רווחה - קליטה'!$C$5:$C$204,"תחילת שנה"),""))</f>
      </c>
      <c r="D27" s="27">
        <f>IF($A27="","",IFERROR(AVERAGEIFS('רווחה - קליטה'!$AK$5:$AK$204,'רווחה - קליטה'!$B$5:$B$204,$A27,'רווחה - קליטה'!$C$5:$C$204,"תחילת שנה"),""))</f>
      </c>
      <c r="E27" s="27">
        <f>IF($A27="","",IFERROR(COUNTIFS('רווחה - קליטה'!$B$5:$B$204,$A27,'רווחה - קליטה'!$C$5:$C$204,"תחילת שנה",'רווחה - קליטה'!$AS$5:$AS$204,"אמין")/COUNTIFS('רווחה - קליטה'!$B$5:$B$204,$A27,'רווחה - קליטה'!$C$5:$C$204,"תחילת שנה"),""))</f>
      </c>
      <c r="F27" s="37">
        <f>IF($A27="","",COUNTIFS('זה אני - קליטה'!$B$5:$B$204,$A27,'זה אני - קליטה'!$C$5:$C$204,"תחילת שנה"))</f>
      </c>
      <c r="G27" s="28">
        <f>IF($A27="","",IFERROR(AVERAGEIFS('זה אני - קליטה'!$AG$5:$AG$204,'זה אני - קליטה'!$B$5:$B$204,$A27,'זה אני - קליטה'!$C$5:$C$204,"תחילת שנה"),""))</f>
      </c>
      <c r="H27" s="37">
        <f>IF($A27="","",COUNTIFS('רווחה - קליטה'!$B$5:$B$204,$A27,'רווחה - קליטה'!$C$5:$C$204,"אמצע שנה"))</f>
      </c>
      <c r="I27" s="28">
        <f>IF($A27="","",IFERROR(AVERAGEIFS('רווחה - קליטה'!$AQ$5:$AQ$204,'רווחה - קליטה'!$B$5:$B$204,$A27,'רווחה - קליטה'!$C$5:$C$204,"אמצע שנה"),""))</f>
      </c>
      <c r="J27" s="27">
        <f>IF($A27="","",IFERROR(AVERAGEIFS('רווחה - קליטה'!$AK$5:$AK$204,'רווחה - קליטה'!$B$5:$B$204,$A27,'רווחה - קליטה'!$C$5:$C$204,"אמצע שנה"),""))</f>
      </c>
      <c r="K27" s="27">
        <f>IF($A27="","",IFERROR(COUNTIFS('רווחה - קליטה'!$B$5:$B$204,$A27,'רווחה - קליטה'!$C$5:$C$204,"אמצע שנה",'רווחה - קליטה'!$AS$5:$AS$204,"אמין")/COUNTIFS('רווחה - קליטה'!$B$5:$B$204,$A27,'רווחה - קליטה'!$C$5:$C$204,"אמצע שנה"),""))</f>
      </c>
      <c r="L27" s="37">
        <f>IF($A27="","",COUNTIFS('זה אני - קליטה'!$B$5:$B$204,$A27,'זה אני - קליטה'!$C$5:$C$204,"אמצע שנה"))</f>
      </c>
      <c r="M27" s="28">
        <f>IF($A27="","",IFERROR(AVERAGEIFS('זה אני - קליטה'!$AG$5:$AG$204,'זה אני - קליטה'!$B$5:$B$204,$A27,'זה אני - קליטה'!$C$5:$C$204,"אמצע שנה"),""))</f>
      </c>
      <c r="N27" s="37">
        <f>IF($A27="","",COUNTIFS('רווחה - קליטה'!$B$5:$B$204,$A27,'רווחה - קליטה'!$C$5:$C$204,"סוף שנה"))</f>
      </c>
      <c r="O27" s="28">
        <f>IF($A27="","",IFERROR(AVERAGEIFS('רווחה - קליטה'!$AQ$5:$AQ$204,'רווחה - קליטה'!$B$5:$B$204,$A27,'רווחה - קליטה'!$C$5:$C$204,"סוף שנה"),""))</f>
      </c>
      <c r="P27" s="27">
        <f>IF($A27="","",IFERROR(AVERAGEIFS('רווחה - קליטה'!$AK$5:$AK$204,'רווחה - קליטה'!$B$5:$B$204,$A27,'רווחה - קליטה'!$C$5:$C$204,"סוף שנה"),""))</f>
      </c>
      <c r="Q27" s="27">
        <f>IF($A27="","",IFERROR(COUNTIFS('רווחה - קליטה'!$B$5:$B$204,$A27,'רווחה - קליטה'!$C$5:$C$204,"סוף שנה",'רווחה - קליטה'!$AS$5:$AS$204,"אמין")/COUNTIFS('רווחה - קליטה'!$B$5:$B$204,$A27,'רווחה - קליטה'!$C$5:$C$204,"סוף שנה"),""))</f>
      </c>
      <c r="R27" s="37">
        <f>IF($A27="","",COUNTIFS('זה אני - קליטה'!$B$5:$B$204,$A27,'זה אני - קליטה'!$C$5:$C$204,"סוף שנה"))</f>
      </c>
      <c r="S27" s="28">
        <f>IF($A27="","",IFERROR(AVERAGEIFS('זה אני - קליטה'!$AG$5:$AG$204,'זה אני - קליטה'!$B$5:$B$204,$A27,'זה אני - קליטה'!$C$5:$C$204,"סוף שנה"),""))</f>
      </c>
    </row>
    <row r="28" ht="15" customHeight="1" spans="1:19" x14ac:dyDescent="0.25">
      <c r="A28" s="29"/>
      <c r="B28" s="37">
        <f>IF($A28="","",COUNTIFS('רווחה - קליטה'!$B$5:$B$204,$A28,'רווחה - קליטה'!$C$5:$C$204,"תחילת שנה"))</f>
      </c>
      <c r="C28" s="28">
        <f>IF($A28="","",IFERROR(AVERAGEIFS('רווחה - קליטה'!$AQ$5:$AQ$204,'רווחה - קליטה'!$B$5:$B$204,$A28,'רווחה - קליטה'!$C$5:$C$204,"תחילת שנה"),""))</f>
      </c>
      <c r="D28" s="27">
        <f>IF($A28="","",IFERROR(AVERAGEIFS('רווחה - קליטה'!$AK$5:$AK$204,'רווחה - קליטה'!$B$5:$B$204,$A28,'רווחה - קליטה'!$C$5:$C$204,"תחילת שנה"),""))</f>
      </c>
      <c r="E28" s="27">
        <f>IF($A28="","",IFERROR(COUNTIFS('רווחה - קליטה'!$B$5:$B$204,$A28,'רווחה - קליטה'!$C$5:$C$204,"תחילת שנה",'רווחה - קליטה'!$AS$5:$AS$204,"אמין")/COUNTIFS('רווחה - קליטה'!$B$5:$B$204,$A28,'רווחה - קליטה'!$C$5:$C$204,"תחילת שנה"),""))</f>
      </c>
      <c r="F28" s="37">
        <f>IF($A28="","",COUNTIFS('זה אני - קליטה'!$B$5:$B$204,$A28,'זה אני - קליטה'!$C$5:$C$204,"תחילת שנה"))</f>
      </c>
      <c r="G28" s="28">
        <f>IF($A28="","",IFERROR(AVERAGEIFS('זה אני - קליטה'!$AG$5:$AG$204,'זה אני - קליטה'!$B$5:$B$204,$A28,'זה אני - קליטה'!$C$5:$C$204,"תחילת שנה"),""))</f>
      </c>
      <c r="H28" s="37">
        <f>IF($A28="","",COUNTIFS('רווחה - קליטה'!$B$5:$B$204,$A28,'רווחה - קליטה'!$C$5:$C$204,"אמצע שנה"))</f>
      </c>
      <c r="I28" s="28">
        <f>IF($A28="","",IFERROR(AVERAGEIFS('רווחה - קליטה'!$AQ$5:$AQ$204,'רווחה - קליטה'!$B$5:$B$204,$A28,'רווחה - קליטה'!$C$5:$C$204,"אמצע שנה"),""))</f>
      </c>
      <c r="J28" s="27">
        <f>IF($A28="","",IFERROR(AVERAGEIFS('רווחה - קליטה'!$AK$5:$AK$204,'רווחה - קליטה'!$B$5:$B$204,$A28,'רווחה - קליטה'!$C$5:$C$204,"אמצע שנה"),""))</f>
      </c>
      <c r="K28" s="27">
        <f>IF($A28="","",IFERROR(COUNTIFS('רווחה - קליטה'!$B$5:$B$204,$A28,'רווחה - קליטה'!$C$5:$C$204,"אמצע שנה",'רווחה - קליטה'!$AS$5:$AS$204,"אמין")/COUNTIFS('רווחה - קליטה'!$B$5:$B$204,$A28,'רווחה - קליטה'!$C$5:$C$204,"אמצע שנה"),""))</f>
      </c>
      <c r="L28" s="37">
        <f>IF($A28="","",COUNTIFS('זה אני - קליטה'!$B$5:$B$204,$A28,'זה אני - קליטה'!$C$5:$C$204,"אמצע שנה"))</f>
      </c>
      <c r="M28" s="28">
        <f>IF($A28="","",IFERROR(AVERAGEIFS('זה אני - קליטה'!$AG$5:$AG$204,'זה אני - קליטה'!$B$5:$B$204,$A28,'זה אני - קליטה'!$C$5:$C$204,"אמצע שנה"),""))</f>
      </c>
      <c r="N28" s="37">
        <f>IF($A28="","",COUNTIFS('רווחה - קליטה'!$B$5:$B$204,$A28,'רווחה - קליטה'!$C$5:$C$204,"סוף שנה"))</f>
      </c>
      <c r="O28" s="28">
        <f>IF($A28="","",IFERROR(AVERAGEIFS('רווחה - קליטה'!$AQ$5:$AQ$204,'רווחה - קליטה'!$B$5:$B$204,$A28,'רווחה - קליטה'!$C$5:$C$204,"סוף שנה"),""))</f>
      </c>
      <c r="P28" s="27">
        <f>IF($A28="","",IFERROR(AVERAGEIFS('רווחה - קליטה'!$AK$5:$AK$204,'רווחה - קליטה'!$B$5:$B$204,$A28,'רווחה - קליטה'!$C$5:$C$204,"סוף שנה"),""))</f>
      </c>
      <c r="Q28" s="27">
        <f>IF($A28="","",IFERROR(COUNTIFS('רווחה - קליטה'!$B$5:$B$204,$A28,'רווחה - קליטה'!$C$5:$C$204,"סוף שנה",'רווחה - קליטה'!$AS$5:$AS$204,"אמין")/COUNTIFS('רווחה - קליטה'!$B$5:$B$204,$A28,'רווחה - קליטה'!$C$5:$C$204,"סוף שנה"),""))</f>
      </c>
      <c r="R28" s="37">
        <f>IF($A28="","",COUNTIFS('זה אני - קליטה'!$B$5:$B$204,$A28,'זה אני - קליטה'!$C$5:$C$204,"סוף שנה"))</f>
      </c>
      <c r="S28" s="28">
        <f>IF($A28="","",IFERROR(AVERAGEIFS('זה אני - קליטה'!$AG$5:$AG$204,'זה אני - קליטה'!$B$5:$B$204,$A28,'זה אני - קליטה'!$C$5:$C$204,"סוף שנה"),""))</f>
      </c>
    </row>
    <row r="29" ht="15" customHeight="1" spans="1:19" x14ac:dyDescent="0.25">
      <c r="A29" s="29"/>
      <c r="B29" s="37">
        <f>IF($A29="","",COUNTIFS('רווחה - קליטה'!$B$5:$B$204,$A29,'רווחה - קליטה'!$C$5:$C$204,"תחילת שנה"))</f>
      </c>
      <c r="C29" s="28">
        <f>IF($A29="","",IFERROR(AVERAGEIFS('רווחה - קליטה'!$AQ$5:$AQ$204,'רווחה - קליטה'!$B$5:$B$204,$A29,'רווחה - קליטה'!$C$5:$C$204,"תחילת שנה"),""))</f>
      </c>
      <c r="D29" s="27">
        <f>IF($A29="","",IFERROR(AVERAGEIFS('רווחה - קליטה'!$AK$5:$AK$204,'רווחה - קליטה'!$B$5:$B$204,$A29,'רווחה - קליטה'!$C$5:$C$204,"תחילת שנה"),""))</f>
      </c>
      <c r="E29" s="27">
        <f>IF($A29="","",IFERROR(COUNTIFS('רווחה - קליטה'!$B$5:$B$204,$A29,'רווחה - קליטה'!$C$5:$C$204,"תחילת שנה",'רווחה - קליטה'!$AS$5:$AS$204,"אמין")/COUNTIFS('רווחה - קליטה'!$B$5:$B$204,$A29,'רווחה - קליטה'!$C$5:$C$204,"תחילת שנה"),""))</f>
      </c>
      <c r="F29" s="37">
        <f>IF($A29="","",COUNTIFS('זה אני - קליטה'!$B$5:$B$204,$A29,'זה אני - קליטה'!$C$5:$C$204,"תחילת שנה"))</f>
      </c>
      <c r="G29" s="28">
        <f>IF($A29="","",IFERROR(AVERAGEIFS('זה אני - קליטה'!$AG$5:$AG$204,'זה אני - קליטה'!$B$5:$B$204,$A29,'זה אני - קליטה'!$C$5:$C$204,"תחילת שנה"),""))</f>
      </c>
      <c r="H29" s="37">
        <f>IF($A29="","",COUNTIFS('רווחה - קליטה'!$B$5:$B$204,$A29,'רווחה - קליטה'!$C$5:$C$204,"אמצע שנה"))</f>
      </c>
      <c r="I29" s="28">
        <f>IF($A29="","",IFERROR(AVERAGEIFS('רווחה - קליטה'!$AQ$5:$AQ$204,'רווחה - קליטה'!$B$5:$B$204,$A29,'רווחה - קליטה'!$C$5:$C$204,"אמצע שנה"),""))</f>
      </c>
      <c r="J29" s="27">
        <f>IF($A29="","",IFERROR(AVERAGEIFS('רווחה - קליטה'!$AK$5:$AK$204,'רווחה - קליטה'!$B$5:$B$204,$A29,'רווחה - קליטה'!$C$5:$C$204,"אמצע שנה"),""))</f>
      </c>
      <c r="K29" s="27">
        <f>IF($A29="","",IFERROR(COUNTIFS('רווחה - קליטה'!$B$5:$B$204,$A29,'רווחה - קליטה'!$C$5:$C$204,"אמצע שנה",'רווחה - קליטה'!$AS$5:$AS$204,"אמין")/COUNTIFS('רווחה - קליטה'!$B$5:$B$204,$A29,'רווחה - קליטה'!$C$5:$C$204,"אמצע שנה"),""))</f>
      </c>
      <c r="L29" s="37">
        <f>IF($A29="","",COUNTIFS('זה אני - קליטה'!$B$5:$B$204,$A29,'זה אני - קליטה'!$C$5:$C$204,"אמצע שנה"))</f>
      </c>
      <c r="M29" s="28">
        <f>IF($A29="","",IFERROR(AVERAGEIFS('זה אני - קליטה'!$AG$5:$AG$204,'זה אני - קליטה'!$B$5:$B$204,$A29,'זה אני - קליטה'!$C$5:$C$204,"אמצע שנה"),""))</f>
      </c>
      <c r="N29" s="37">
        <f>IF($A29="","",COUNTIFS('רווחה - קליטה'!$B$5:$B$204,$A29,'רווחה - קליטה'!$C$5:$C$204,"סוף שנה"))</f>
      </c>
      <c r="O29" s="28">
        <f>IF($A29="","",IFERROR(AVERAGEIFS('רווחה - קליטה'!$AQ$5:$AQ$204,'רווחה - קליטה'!$B$5:$B$204,$A29,'רווחה - קליטה'!$C$5:$C$204,"סוף שנה"),""))</f>
      </c>
      <c r="P29" s="27">
        <f>IF($A29="","",IFERROR(AVERAGEIFS('רווחה - קליטה'!$AK$5:$AK$204,'רווחה - קליטה'!$B$5:$B$204,$A29,'רווחה - קליטה'!$C$5:$C$204,"סוף שנה"),""))</f>
      </c>
      <c r="Q29" s="27">
        <f>IF($A29="","",IFERROR(COUNTIFS('רווחה - קליטה'!$B$5:$B$204,$A29,'רווחה - קליטה'!$C$5:$C$204,"סוף שנה",'רווחה - קליטה'!$AS$5:$AS$204,"אמין")/COUNTIFS('רווחה - קליטה'!$B$5:$B$204,$A29,'רווחה - קליטה'!$C$5:$C$204,"סוף שנה"),""))</f>
      </c>
      <c r="R29" s="37">
        <f>IF($A29="","",COUNTIFS('זה אני - קליטה'!$B$5:$B$204,$A29,'זה אני - קליטה'!$C$5:$C$204,"סוף שנה"))</f>
      </c>
      <c r="S29" s="28">
        <f>IF($A29="","",IFERROR(AVERAGEIFS('זה אני - קליטה'!$AG$5:$AG$204,'זה אני - קליטה'!$B$5:$B$204,$A29,'זה אני - קליטה'!$C$5:$C$204,"סוף שנה"),""))</f>
      </c>
    </row>
    <row r="30" ht="15" customHeight="1" spans="1:19" x14ac:dyDescent="0.25">
      <c r="A30" s="29"/>
      <c r="B30" s="37">
        <f>IF($A30="","",COUNTIFS('רווחה - קליטה'!$B$5:$B$204,$A30,'רווחה - קליטה'!$C$5:$C$204,"תחילת שנה"))</f>
      </c>
      <c r="C30" s="28">
        <f>IF($A30="","",IFERROR(AVERAGEIFS('רווחה - קליטה'!$AQ$5:$AQ$204,'רווחה - קליטה'!$B$5:$B$204,$A30,'רווחה - קליטה'!$C$5:$C$204,"תחילת שנה"),""))</f>
      </c>
      <c r="D30" s="27">
        <f>IF($A30="","",IFERROR(AVERAGEIFS('רווחה - קליטה'!$AK$5:$AK$204,'רווחה - קליטה'!$B$5:$B$204,$A30,'רווחה - קליטה'!$C$5:$C$204,"תחילת שנה"),""))</f>
      </c>
      <c r="E30" s="27">
        <f>IF($A30="","",IFERROR(COUNTIFS('רווחה - קליטה'!$B$5:$B$204,$A30,'רווחה - קליטה'!$C$5:$C$204,"תחילת שנה",'רווחה - קליטה'!$AS$5:$AS$204,"אמין")/COUNTIFS('רווחה - קליטה'!$B$5:$B$204,$A30,'רווחה - קליטה'!$C$5:$C$204,"תחילת שנה"),""))</f>
      </c>
      <c r="F30" s="37">
        <f>IF($A30="","",COUNTIFS('זה אני - קליטה'!$B$5:$B$204,$A30,'זה אני - קליטה'!$C$5:$C$204,"תחילת שנה"))</f>
      </c>
      <c r="G30" s="28">
        <f>IF($A30="","",IFERROR(AVERAGEIFS('זה אני - קליטה'!$AG$5:$AG$204,'זה אני - קליטה'!$B$5:$B$204,$A30,'זה אני - קליטה'!$C$5:$C$204,"תחילת שנה"),""))</f>
      </c>
      <c r="H30" s="37">
        <f>IF($A30="","",COUNTIFS('רווחה - קליטה'!$B$5:$B$204,$A30,'רווחה - קליטה'!$C$5:$C$204,"אמצע שנה"))</f>
      </c>
      <c r="I30" s="28">
        <f>IF($A30="","",IFERROR(AVERAGEIFS('רווחה - קליטה'!$AQ$5:$AQ$204,'רווחה - קליטה'!$B$5:$B$204,$A30,'רווחה - קליטה'!$C$5:$C$204,"אמצע שנה"),""))</f>
      </c>
      <c r="J30" s="27">
        <f>IF($A30="","",IFERROR(AVERAGEIFS('רווחה - קליטה'!$AK$5:$AK$204,'רווחה - קליטה'!$B$5:$B$204,$A30,'רווחה - קליטה'!$C$5:$C$204,"אמצע שנה"),""))</f>
      </c>
      <c r="K30" s="27">
        <f>IF($A30="","",IFERROR(COUNTIFS('רווחה - קליטה'!$B$5:$B$204,$A30,'רווחה - קליטה'!$C$5:$C$204,"אמצע שנה",'רווחה - קליטה'!$AS$5:$AS$204,"אמין")/COUNTIFS('רווחה - קליטה'!$B$5:$B$204,$A30,'רווחה - קליטה'!$C$5:$C$204,"אמצע שנה"),""))</f>
      </c>
      <c r="L30" s="37">
        <f>IF($A30="","",COUNTIFS('זה אני - קליטה'!$B$5:$B$204,$A30,'זה אני - קליטה'!$C$5:$C$204,"אמצע שנה"))</f>
      </c>
      <c r="M30" s="28">
        <f>IF($A30="","",IFERROR(AVERAGEIFS('זה אני - קליטה'!$AG$5:$AG$204,'זה אני - קליטה'!$B$5:$B$204,$A30,'זה אני - קליטה'!$C$5:$C$204,"אמצע שנה"),""))</f>
      </c>
      <c r="N30" s="37">
        <f>IF($A30="","",COUNTIFS('רווחה - קליטה'!$B$5:$B$204,$A30,'רווחה - קליטה'!$C$5:$C$204,"סוף שנה"))</f>
      </c>
      <c r="O30" s="28">
        <f>IF($A30="","",IFERROR(AVERAGEIFS('רווחה - קליטה'!$AQ$5:$AQ$204,'רווחה - קליטה'!$B$5:$B$204,$A30,'רווחה - קליטה'!$C$5:$C$204,"סוף שנה"),""))</f>
      </c>
      <c r="P30" s="27">
        <f>IF($A30="","",IFERROR(AVERAGEIFS('רווחה - קליטה'!$AK$5:$AK$204,'רווחה - קליטה'!$B$5:$B$204,$A30,'רווחה - קליטה'!$C$5:$C$204,"סוף שנה"),""))</f>
      </c>
      <c r="Q30" s="27">
        <f>IF($A30="","",IFERROR(COUNTIFS('רווחה - קליטה'!$B$5:$B$204,$A30,'רווחה - קליטה'!$C$5:$C$204,"סוף שנה",'רווחה - קליטה'!$AS$5:$AS$204,"אמין")/COUNTIFS('רווחה - קליטה'!$B$5:$B$204,$A30,'רווחה - קליטה'!$C$5:$C$204,"סוף שנה"),""))</f>
      </c>
      <c r="R30" s="37">
        <f>IF($A30="","",COUNTIFS('זה אני - קליטה'!$B$5:$B$204,$A30,'זה אני - קליטה'!$C$5:$C$204,"סוף שנה"))</f>
      </c>
      <c r="S30" s="28">
        <f>IF($A30="","",IFERROR(AVERAGEIFS('זה אני - קליטה'!$AG$5:$AG$204,'זה אני - קליטה'!$B$5:$B$204,$A30,'זה אני - קליטה'!$C$5:$C$204,"סוף שנה"),""))</f>
      </c>
    </row>
    <row r="31" ht="15" customHeight="1" spans="1:19" x14ac:dyDescent="0.25">
      <c r="A31" s="29"/>
      <c r="B31" s="37">
        <f>IF($A31="","",COUNTIFS('רווחה - קליטה'!$B$5:$B$204,$A31,'רווחה - קליטה'!$C$5:$C$204,"תחילת שנה"))</f>
      </c>
      <c r="C31" s="28">
        <f>IF($A31="","",IFERROR(AVERAGEIFS('רווחה - קליטה'!$AQ$5:$AQ$204,'רווחה - קליטה'!$B$5:$B$204,$A31,'רווחה - קליטה'!$C$5:$C$204,"תחילת שנה"),""))</f>
      </c>
      <c r="D31" s="27">
        <f>IF($A31="","",IFERROR(AVERAGEIFS('רווחה - קליטה'!$AK$5:$AK$204,'רווחה - קליטה'!$B$5:$B$204,$A31,'רווחה - קליטה'!$C$5:$C$204,"תחילת שנה"),""))</f>
      </c>
      <c r="E31" s="27">
        <f>IF($A31="","",IFERROR(COUNTIFS('רווחה - קליטה'!$B$5:$B$204,$A31,'רווחה - קליטה'!$C$5:$C$204,"תחילת שנה",'רווחה - קליטה'!$AS$5:$AS$204,"אמין")/COUNTIFS('רווחה - קליטה'!$B$5:$B$204,$A31,'רווחה - קליטה'!$C$5:$C$204,"תחילת שנה"),""))</f>
      </c>
      <c r="F31" s="37">
        <f>IF($A31="","",COUNTIFS('זה אני - קליטה'!$B$5:$B$204,$A31,'זה אני - קליטה'!$C$5:$C$204,"תחילת שנה"))</f>
      </c>
      <c r="G31" s="28">
        <f>IF($A31="","",IFERROR(AVERAGEIFS('זה אני - קליטה'!$AG$5:$AG$204,'זה אני - קליטה'!$B$5:$B$204,$A31,'זה אני - קליטה'!$C$5:$C$204,"תחילת שנה"),""))</f>
      </c>
      <c r="H31" s="37">
        <f>IF($A31="","",COUNTIFS('רווחה - קליטה'!$B$5:$B$204,$A31,'רווחה - קליטה'!$C$5:$C$204,"אמצע שנה"))</f>
      </c>
      <c r="I31" s="28">
        <f>IF($A31="","",IFERROR(AVERAGEIFS('רווחה - קליטה'!$AQ$5:$AQ$204,'רווחה - קליטה'!$B$5:$B$204,$A31,'רווחה - קליטה'!$C$5:$C$204,"אמצע שנה"),""))</f>
      </c>
      <c r="J31" s="27">
        <f>IF($A31="","",IFERROR(AVERAGEIFS('רווחה - קליטה'!$AK$5:$AK$204,'רווחה - קליטה'!$B$5:$B$204,$A31,'רווחה - קליטה'!$C$5:$C$204,"אמצע שנה"),""))</f>
      </c>
      <c r="K31" s="27">
        <f>IF($A31="","",IFERROR(COUNTIFS('רווחה - קליטה'!$B$5:$B$204,$A31,'רווחה - קליטה'!$C$5:$C$204,"אמצע שנה",'רווחה - קליטה'!$AS$5:$AS$204,"אמין")/COUNTIFS('רווחה - קליטה'!$B$5:$B$204,$A31,'רווחה - קליטה'!$C$5:$C$204,"אמצע שנה"),""))</f>
      </c>
      <c r="L31" s="37">
        <f>IF($A31="","",COUNTIFS('זה אני - קליטה'!$B$5:$B$204,$A31,'זה אני - קליטה'!$C$5:$C$204,"אמצע שנה"))</f>
      </c>
      <c r="M31" s="28">
        <f>IF($A31="","",IFERROR(AVERAGEIFS('זה אני - קליטה'!$AG$5:$AG$204,'זה אני - קליטה'!$B$5:$B$204,$A31,'זה אני - קליטה'!$C$5:$C$204,"אמצע שנה"),""))</f>
      </c>
      <c r="N31" s="37">
        <f>IF($A31="","",COUNTIFS('רווחה - קליטה'!$B$5:$B$204,$A31,'רווחה - קליטה'!$C$5:$C$204,"סוף שנה"))</f>
      </c>
      <c r="O31" s="28">
        <f>IF($A31="","",IFERROR(AVERAGEIFS('רווחה - קליטה'!$AQ$5:$AQ$204,'רווחה - קליטה'!$B$5:$B$204,$A31,'רווחה - קליטה'!$C$5:$C$204,"סוף שנה"),""))</f>
      </c>
      <c r="P31" s="27">
        <f>IF($A31="","",IFERROR(AVERAGEIFS('רווחה - קליטה'!$AK$5:$AK$204,'רווחה - קליטה'!$B$5:$B$204,$A31,'רווחה - קליטה'!$C$5:$C$204,"סוף שנה"),""))</f>
      </c>
      <c r="Q31" s="27">
        <f>IF($A31="","",IFERROR(COUNTIFS('רווחה - קליטה'!$B$5:$B$204,$A31,'רווחה - קליטה'!$C$5:$C$204,"סוף שנה",'רווחה - קליטה'!$AS$5:$AS$204,"אמין")/COUNTIFS('רווחה - קליטה'!$B$5:$B$204,$A31,'רווחה - קליטה'!$C$5:$C$204,"סוף שנה"),""))</f>
      </c>
      <c r="R31" s="37">
        <f>IF($A31="","",COUNTIFS('זה אני - קליטה'!$B$5:$B$204,$A31,'זה אני - קליטה'!$C$5:$C$204,"סוף שנה"))</f>
      </c>
      <c r="S31" s="28">
        <f>IF($A31="","",IFERROR(AVERAGEIFS('זה אני - קליטה'!$AG$5:$AG$204,'זה אני - קליטה'!$B$5:$B$204,$A31,'זה אני - קליטה'!$C$5:$C$204,"סוף שנה"),""))</f>
      </c>
    </row>
    <row r="32" ht="15" customHeight="1" spans="1:19" x14ac:dyDescent="0.25">
      <c r="A32" s="29"/>
      <c r="B32" s="37">
        <f>IF($A32="","",COUNTIFS('רווחה - קליטה'!$B$5:$B$204,$A32,'רווחה - קליטה'!$C$5:$C$204,"תחילת שנה"))</f>
      </c>
      <c r="C32" s="28">
        <f>IF($A32="","",IFERROR(AVERAGEIFS('רווחה - קליטה'!$AQ$5:$AQ$204,'רווחה - קליטה'!$B$5:$B$204,$A32,'רווחה - קליטה'!$C$5:$C$204,"תחילת שנה"),""))</f>
      </c>
      <c r="D32" s="27">
        <f>IF($A32="","",IFERROR(AVERAGEIFS('רווחה - קליטה'!$AK$5:$AK$204,'רווחה - קליטה'!$B$5:$B$204,$A32,'רווחה - קליטה'!$C$5:$C$204,"תחילת שנה"),""))</f>
      </c>
      <c r="E32" s="27">
        <f>IF($A32="","",IFERROR(COUNTIFS('רווחה - קליטה'!$B$5:$B$204,$A32,'רווחה - קליטה'!$C$5:$C$204,"תחילת שנה",'רווחה - קליטה'!$AS$5:$AS$204,"אמין")/COUNTIFS('רווחה - קליטה'!$B$5:$B$204,$A32,'רווחה - קליטה'!$C$5:$C$204,"תחילת שנה"),""))</f>
      </c>
      <c r="F32" s="37">
        <f>IF($A32="","",COUNTIFS('זה אני - קליטה'!$B$5:$B$204,$A32,'זה אני - קליטה'!$C$5:$C$204,"תחילת שנה"))</f>
      </c>
      <c r="G32" s="28">
        <f>IF($A32="","",IFERROR(AVERAGEIFS('זה אני - קליטה'!$AG$5:$AG$204,'זה אני - קליטה'!$B$5:$B$204,$A32,'זה אני - קליטה'!$C$5:$C$204,"תחילת שנה"),""))</f>
      </c>
      <c r="H32" s="37">
        <f>IF($A32="","",COUNTIFS('רווחה - קליטה'!$B$5:$B$204,$A32,'רווחה - קליטה'!$C$5:$C$204,"אמצע שנה"))</f>
      </c>
      <c r="I32" s="28">
        <f>IF($A32="","",IFERROR(AVERAGEIFS('רווחה - קליטה'!$AQ$5:$AQ$204,'רווחה - קליטה'!$B$5:$B$204,$A32,'רווחה - קליטה'!$C$5:$C$204,"אמצע שנה"),""))</f>
      </c>
      <c r="J32" s="27">
        <f>IF($A32="","",IFERROR(AVERAGEIFS('רווחה - קליטה'!$AK$5:$AK$204,'רווחה - קליטה'!$B$5:$B$204,$A32,'רווחה - קליטה'!$C$5:$C$204,"אמצע שנה"),""))</f>
      </c>
      <c r="K32" s="27">
        <f>IF($A32="","",IFERROR(COUNTIFS('רווחה - קליטה'!$B$5:$B$204,$A32,'רווחה - קליטה'!$C$5:$C$204,"אמצע שנה",'רווחה - קליטה'!$AS$5:$AS$204,"אמין")/COUNTIFS('רווחה - קליטה'!$B$5:$B$204,$A32,'רווחה - קליטה'!$C$5:$C$204,"אמצע שנה"),""))</f>
      </c>
      <c r="L32" s="37">
        <f>IF($A32="","",COUNTIFS('זה אני - קליטה'!$B$5:$B$204,$A32,'זה אני - קליטה'!$C$5:$C$204,"אמצע שנה"))</f>
      </c>
      <c r="M32" s="28">
        <f>IF($A32="","",IFERROR(AVERAGEIFS('זה אני - קליטה'!$AG$5:$AG$204,'זה אני - קליטה'!$B$5:$B$204,$A32,'זה אני - קליטה'!$C$5:$C$204,"אמצע שנה"),""))</f>
      </c>
      <c r="N32" s="37">
        <f>IF($A32="","",COUNTIFS('רווחה - קליטה'!$B$5:$B$204,$A32,'רווחה - קליטה'!$C$5:$C$204,"סוף שנה"))</f>
      </c>
      <c r="O32" s="28">
        <f>IF($A32="","",IFERROR(AVERAGEIFS('רווחה - קליטה'!$AQ$5:$AQ$204,'רווחה - קליטה'!$B$5:$B$204,$A32,'רווחה - קליטה'!$C$5:$C$204,"סוף שנה"),""))</f>
      </c>
      <c r="P32" s="27">
        <f>IF($A32="","",IFERROR(AVERAGEIFS('רווחה - קליטה'!$AK$5:$AK$204,'רווחה - קליטה'!$B$5:$B$204,$A32,'רווחה - קליטה'!$C$5:$C$204,"סוף שנה"),""))</f>
      </c>
      <c r="Q32" s="27">
        <f>IF($A32="","",IFERROR(COUNTIFS('רווחה - קליטה'!$B$5:$B$204,$A32,'רווחה - קליטה'!$C$5:$C$204,"סוף שנה",'רווחה - קליטה'!$AS$5:$AS$204,"אמין")/COUNTIFS('רווחה - קליטה'!$B$5:$B$204,$A32,'רווחה - קליטה'!$C$5:$C$204,"סוף שנה"),""))</f>
      </c>
      <c r="R32" s="37">
        <f>IF($A32="","",COUNTIFS('זה אני - קליטה'!$B$5:$B$204,$A32,'זה אני - קליטה'!$C$5:$C$204,"סוף שנה"))</f>
      </c>
      <c r="S32" s="28">
        <f>IF($A32="","",IFERROR(AVERAGEIFS('זה אני - קליטה'!$AG$5:$AG$204,'זה אני - קליטה'!$B$5:$B$204,$A32,'זה אני - קליטה'!$C$5:$C$204,"סוף שנה"),""))</f>
      </c>
    </row>
    <row r="33" ht="15" customHeight="1" spans="1:19" x14ac:dyDescent="0.25">
      <c r="A33" s="29"/>
      <c r="B33" s="37">
        <f>IF($A33="","",COUNTIFS('רווחה - קליטה'!$B$5:$B$204,$A33,'רווחה - קליטה'!$C$5:$C$204,"תחילת שנה"))</f>
      </c>
      <c r="C33" s="28">
        <f>IF($A33="","",IFERROR(AVERAGEIFS('רווחה - קליטה'!$AQ$5:$AQ$204,'רווחה - קליטה'!$B$5:$B$204,$A33,'רווחה - קליטה'!$C$5:$C$204,"תחילת שנה"),""))</f>
      </c>
      <c r="D33" s="27">
        <f>IF($A33="","",IFERROR(AVERAGEIFS('רווחה - קליטה'!$AK$5:$AK$204,'רווחה - קליטה'!$B$5:$B$204,$A33,'רווחה - קליטה'!$C$5:$C$204,"תחילת שנה"),""))</f>
      </c>
      <c r="E33" s="27">
        <f>IF($A33="","",IFERROR(COUNTIFS('רווחה - קליטה'!$B$5:$B$204,$A33,'רווחה - קליטה'!$C$5:$C$204,"תחילת שנה",'רווחה - קליטה'!$AS$5:$AS$204,"אמין")/COUNTIFS('רווחה - קליטה'!$B$5:$B$204,$A33,'רווחה - קליטה'!$C$5:$C$204,"תחילת שנה"),""))</f>
      </c>
      <c r="F33" s="37">
        <f>IF($A33="","",COUNTIFS('זה אני - קליטה'!$B$5:$B$204,$A33,'זה אני - קליטה'!$C$5:$C$204,"תחילת שנה"))</f>
      </c>
      <c r="G33" s="28">
        <f>IF($A33="","",IFERROR(AVERAGEIFS('זה אני - קליטה'!$AG$5:$AG$204,'זה אני - קליטה'!$B$5:$B$204,$A33,'זה אני - קליטה'!$C$5:$C$204,"תחילת שנה"),""))</f>
      </c>
      <c r="H33" s="37">
        <f>IF($A33="","",COUNTIFS('רווחה - קליטה'!$B$5:$B$204,$A33,'רווחה - קליטה'!$C$5:$C$204,"אמצע שנה"))</f>
      </c>
      <c r="I33" s="28">
        <f>IF($A33="","",IFERROR(AVERAGEIFS('רווחה - קליטה'!$AQ$5:$AQ$204,'רווחה - קליטה'!$B$5:$B$204,$A33,'רווחה - קליטה'!$C$5:$C$204,"אמצע שנה"),""))</f>
      </c>
      <c r="J33" s="27">
        <f>IF($A33="","",IFERROR(AVERAGEIFS('רווחה - קליטה'!$AK$5:$AK$204,'רווחה - קליטה'!$B$5:$B$204,$A33,'רווחה - קליטה'!$C$5:$C$204,"אמצע שנה"),""))</f>
      </c>
      <c r="K33" s="27">
        <f>IF($A33="","",IFERROR(COUNTIFS('רווחה - קליטה'!$B$5:$B$204,$A33,'רווחה - קליטה'!$C$5:$C$204,"אמצע שנה",'רווחה - קליטה'!$AS$5:$AS$204,"אמין")/COUNTIFS('רווחה - קליטה'!$B$5:$B$204,$A33,'רווחה - קליטה'!$C$5:$C$204,"אמצע שנה"),""))</f>
      </c>
      <c r="L33" s="37">
        <f>IF($A33="","",COUNTIFS('זה אני - קליטה'!$B$5:$B$204,$A33,'זה אני - קליטה'!$C$5:$C$204,"אמצע שנה"))</f>
      </c>
      <c r="M33" s="28">
        <f>IF($A33="","",IFERROR(AVERAGEIFS('זה אני - קליטה'!$AG$5:$AG$204,'זה אני - קליטה'!$B$5:$B$204,$A33,'זה אני - קליטה'!$C$5:$C$204,"אמצע שנה"),""))</f>
      </c>
      <c r="N33" s="37">
        <f>IF($A33="","",COUNTIFS('רווחה - קליטה'!$B$5:$B$204,$A33,'רווחה - קליטה'!$C$5:$C$204,"סוף שנה"))</f>
      </c>
      <c r="O33" s="28">
        <f>IF($A33="","",IFERROR(AVERAGEIFS('רווחה - קליטה'!$AQ$5:$AQ$204,'רווחה - קליטה'!$B$5:$B$204,$A33,'רווחה - קליטה'!$C$5:$C$204,"סוף שנה"),""))</f>
      </c>
      <c r="P33" s="27">
        <f>IF($A33="","",IFERROR(AVERAGEIFS('רווחה - קליטה'!$AK$5:$AK$204,'רווחה - קליטה'!$B$5:$B$204,$A33,'רווחה - קליטה'!$C$5:$C$204,"סוף שנה"),""))</f>
      </c>
      <c r="Q33" s="27">
        <f>IF($A33="","",IFERROR(COUNTIFS('רווחה - קליטה'!$B$5:$B$204,$A33,'רווחה - קליטה'!$C$5:$C$204,"סוף שנה",'רווחה - קליטה'!$AS$5:$AS$204,"אמין")/COUNTIFS('רווחה - קליטה'!$B$5:$B$204,$A33,'רווחה - קליטה'!$C$5:$C$204,"סוף שנה"),""))</f>
      </c>
      <c r="R33" s="37">
        <f>IF($A33="","",COUNTIFS('זה אני - קליטה'!$B$5:$B$204,$A33,'זה אני - קליטה'!$C$5:$C$204,"סוף שנה"))</f>
      </c>
      <c r="S33" s="28">
        <f>IF($A33="","",IFERROR(AVERAGEIFS('זה אני - קליטה'!$AG$5:$AG$204,'זה אני - קליטה'!$B$5:$B$204,$A33,'זה אני - קליטה'!$C$5:$C$204,"סוף שנה"),""))</f>
      </c>
    </row>
    <row r="34" ht="15" customHeight="1" spans="1:19" x14ac:dyDescent="0.25">
      <c r="A34" s="29"/>
      <c r="B34" s="37">
        <f>IF($A34="","",COUNTIFS('רווחה - קליטה'!$B$5:$B$204,$A34,'רווחה - קליטה'!$C$5:$C$204,"תחילת שנה"))</f>
      </c>
      <c r="C34" s="28">
        <f>IF($A34="","",IFERROR(AVERAGEIFS('רווחה - קליטה'!$AQ$5:$AQ$204,'רווחה - קליטה'!$B$5:$B$204,$A34,'רווחה - קליטה'!$C$5:$C$204,"תחילת שנה"),""))</f>
      </c>
      <c r="D34" s="27">
        <f>IF($A34="","",IFERROR(AVERAGEIFS('רווחה - קליטה'!$AK$5:$AK$204,'רווחה - קליטה'!$B$5:$B$204,$A34,'רווחה - קליטה'!$C$5:$C$204,"תחילת שנה"),""))</f>
      </c>
      <c r="E34" s="27">
        <f>IF($A34="","",IFERROR(COUNTIFS('רווחה - קליטה'!$B$5:$B$204,$A34,'רווחה - קליטה'!$C$5:$C$204,"תחילת שנה",'רווחה - קליטה'!$AS$5:$AS$204,"אמין")/COUNTIFS('רווחה - קליטה'!$B$5:$B$204,$A34,'רווחה - קליטה'!$C$5:$C$204,"תחילת שנה"),""))</f>
      </c>
      <c r="F34" s="37">
        <f>IF($A34="","",COUNTIFS('זה אני - קליטה'!$B$5:$B$204,$A34,'זה אני - קליטה'!$C$5:$C$204,"תחילת שנה"))</f>
      </c>
      <c r="G34" s="28">
        <f>IF($A34="","",IFERROR(AVERAGEIFS('זה אני - קליטה'!$AG$5:$AG$204,'זה אני - קליטה'!$B$5:$B$204,$A34,'זה אני - קליטה'!$C$5:$C$204,"תחילת שנה"),""))</f>
      </c>
      <c r="H34" s="37">
        <f>IF($A34="","",COUNTIFS('רווחה - קליטה'!$B$5:$B$204,$A34,'רווחה - קליטה'!$C$5:$C$204,"אמצע שנה"))</f>
      </c>
      <c r="I34" s="28">
        <f>IF($A34="","",IFERROR(AVERAGEIFS('רווחה - קליטה'!$AQ$5:$AQ$204,'רווחה - קליטה'!$B$5:$B$204,$A34,'רווחה - קליטה'!$C$5:$C$204,"אמצע שנה"),""))</f>
      </c>
      <c r="J34" s="27">
        <f>IF($A34="","",IFERROR(AVERAGEIFS('רווחה - קליטה'!$AK$5:$AK$204,'רווחה - קליטה'!$B$5:$B$204,$A34,'רווחה - קליטה'!$C$5:$C$204,"אמצע שנה"),""))</f>
      </c>
      <c r="K34" s="27">
        <f>IF($A34="","",IFERROR(COUNTIFS('רווחה - קליטה'!$B$5:$B$204,$A34,'רווחה - קליטה'!$C$5:$C$204,"אמצע שנה",'רווחה - קליטה'!$AS$5:$AS$204,"אמין")/COUNTIFS('רווחה - קליטה'!$B$5:$B$204,$A34,'רווחה - קליטה'!$C$5:$C$204,"אמצע שנה"),""))</f>
      </c>
      <c r="L34" s="37">
        <f>IF($A34="","",COUNTIFS('זה אני - קליטה'!$B$5:$B$204,$A34,'זה אני - קליטה'!$C$5:$C$204,"אמצע שנה"))</f>
      </c>
      <c r="M34" s="28">
        <f>IF($A34="","",IFERROR(AVERAGEIFS('זה אני - קליטה'!$AG$5:$AG$204,'זה אני - קליטה'!$B$5:$B$204,$A34,'זה אני - קליטה'!$C$5:$C$204,"אמצע שנה"),""))</f>
      </c>
      <c r="N34" s="37">
        <f>IF($A34="","",COUNTIFS('רווחה - קליטה'!$B$5:$B$204,$A34,'רווחה - קליטה'!$C$5:$C$204,"סוף שנה"))</f>
      </c>
      <c r="O34" s="28">
        <f>IF($A34="","",IFERROR(AVERAGEIFS('רווחה - קליטה'!$AQ$5:$AQ$204,'רווחה - קליטה'!$B$5:$B$204,$A34,'רווחה - קליטה'!$C$5:$C$204,"סוף שנה"),""))</f>
      </c>
      <c r="P34" s="27">
        <f>IF($A34="","",IFERROR(AVERAGEIFS('רווחה - קליטה'!$AK$5:$AK$204,'רווחה - קליטה'!$B$5:$B$204,$A34,'רווחה - קליטה'!$C$5:$C$204,"סוף שנה"),""))</f>
      </c>
      <c r="Q34" s="27">
        <f>IF($A34="","",IFERROR(COUNTIFS('רווחה - קליטה'!$B$5:$B$204,$A34,'רווחה - קליטה'!$C$5:$C$204,"סוף שנה",'רווחה - קליטה'!$AS$5:$AS$204,"אמין")/COUNTIFS('רווחה - קליטה'!$B$5:$B$204,$A34,'רווחה - קליטה'!$C$5:$C$204,"סוף שנה"),""))</f>
      </c>
      <c r="R34" s="37">
        <f>IF($A34="","",COUNTIFS('זה אני - קליטה'!$B$5:$B$204,$A34,'זה אני - קליטה'!$C$5:$C$204,"סוף שנה"))</f>
      </c>
      <c r="S34" s="28">
        <f>IF($A34="","",IFERROR(AVERAGEIFS('זה אני - קליטה'!$AG$5:$AG$204,'זה אני - קליטה'!$B$5:$B$204,$A34,'זה אני - קליטה'!$C$5:$C$204,"סוף שנה"),""))</f>
      </c>
    </row>
    <row r="35" ht="15" customHeight="1" spans="1:19" x14ac:dyDescent="0.25">
      <c r="A35" s="29"/>
      <c r="B35" s="37">
        <f>IF($A35="","",COUNTIFS('רווחה - קליטה'!$B$5:$B$204,$A35,'רווחה - קליטה'!$C$5:$C$204,"תחילת שנה"))</f>
      </c>
      <c r="C35" s="28">
        <f>IF($A35="","",IFERROR(AVERAGEIFS('רווחה - קליטה'!$AQ$5:$AQ$204,'רווחה - קליטה'!$B$5:$B$204,$A35,'רווחה - קליטה'!$C$5:$C$204,"תחילת שנה"),""))</f>
      </c>
      <c r="D35" s="27">
        <f>IF($A35="","",IFERROR(AVERAGEIFS('רווחה - קליטה'!$AK$5:$AK$204,'רווחה - קליטה'!$B$5:$B$204,$A35,'רווחה - קליטה'!$C$5:$C$204,"תחילת שנה"),""))</f>
      </c>
      <c r="E35" s="27">
        <f>IF($A35="","",IFERROR(COUNTIFS('רווחה - קליטה'!$B$5:$B$204,$A35,'רווחה - קליטה'!$C$5:$C$204,"תחילת שנה",'רווחה - קליטה'!$AS$5:$AS$204,"אמין")/COUNTIFS('רווחה - קליטה'!$B$5:$B$204,$A35,'רווחה - קליטה'!$C$5:$C$204,"תחילת שנה"),""))</f>
      </c>
      <c r="F35" s="37">
        <f>IF($A35="","",COUNTIFS('זה אני - קליטה'!$B$5:$B$204,$A35,'זה אני - קליטה'!$C$5:$C$204,"תחילת שנה"))</f>
      </c>
      <c r="G35" s="28">
        <f>IF($A35="","",IFERROR(AVERAGEIFS('זה אני - קליטה'!$AG$5:$AG$204,'זה אני - קליטה'!$B$5:$B$204,$A35,'זה אני - קליטה'!$C$5:$C$204,"תחילת שנה"),""))</f>
      </c>
      <c r="H35" s="37">
        <f>IF($A35="","",COUNTIFS('רווחה - קליטה'!$B$5:$B$204,$A35,'רווחה - קליטה'!$C$5:$C$204,"אמצע שנה"))</f>
      </c>
      <c r="I35" s="28">
        <f>IF($A35="","",IFERROR(AVERAGEIFS('רווחה - קליטה'!$AQ$5:$AQ$204,'רווחה - קליטה'!$B$5:$B$204,$A35,'רווחה - קליטה'!$C$5:$C$204,"אמצע שנה"),""))</f>
      </c>
      <c r="J35" s="27">
        <f>IF($A35="","",IFERROR(AVERAGEIFS('רווחה - קליטה'!$AK$5:$AK$204,'רווחה - קליטה'!$B$5:$B$204,$A35,'רווחה - קליטה'!$C$5:$C$204,"אמצע שנה"),""))</f>
      </c>
      <c r="K35" s="27">
        <f>IF($A35="","",IFERROR(COUNTIFS('רווחה - קליטה'!$B$5:$B$204,$A35,'רווחה - קליטה'!$C$5:$C$204,"אמצע שנה",'רווחה - קליטה'!$AS$5:$AS$204,"אמין")/COUNTIFS('רווחה - קליטה'!$B$5:$B$204,$A35,'רווחה - קליטה'!$C$5:$C$204,"אמצע שנה"),""))</f>
      </c>
      <c r="L35" s="37">
        <f>IF($A35="","",COUNTIFS('זה אני - קליטה'!$B$5:$B$204,$A35,'זה אני - קליטה'!$C$5:$C$204,"אמצע שנה"))</f>
      </c>
      <c r="M35" s="28">
        <f>IF($A35="","",IFERROR(AVERAGEIFS('זה אני - קליטה'!$AG$5:$AG$204,'זה אני - קליטה'!$B$5:$B$204,$A35,'זה אני - קליטה'!$C$5:$C$204,"אמצע שנה"),""))</f>
      </c>
      <c r="N35" s="37">
        <f>IF($A35="","",COUNTIFS('רווחה - קליטה'!$B$5:$B$204,$A35,'רווחה - קליטה'!$C$5:$C$204,"סוף שנה"))</f>
      </c>
      <c r="O35" s="28">
        <f>IF($A35="","",IFERROR(AVERAGEIFS('רווחה - קליטה'!$AQ$5:$AQ$204,'רווחה - קליטה'!$B$5:$B$204,$A35,'רווחה - קליטה'!$C$5:$C$204,"סוף שנה"),""))</f>
      </c>
      <c r="P35" s="27">
        <f>IF($A35="","",IFERROR(AVERAGEIFS('רווחה - קליטה'!$AK$5:$AK$204,'רווחה - קליטה'!$B$5:$B$204,$A35,'רווחה - קליטה'!$C$5:$C$204,"סוף שנה"),""))</f>
      </c>
      <c r="Q35" s="27">
        <f>IF($A35="","",IFERROR(COUNTIFS('רווחה - קליטה'!$B$5:$B$204,$A35,'רווחה - קליטה'!$C$5:$C$204,"סוף שנה",'רווחה - קליטה'!$AS$5:$AS$204,"אמין")/COUNTIFS('רווחה - קליטה'!$B$5:$B$204,$A35,'רווחה - קליטה'!$C$5:$C$204,"סוף שנה"),""))</f>
      </c>
      <c r="R35" s="37">
        <f>IF($A35="","",COUNTIFS('זה אני - קליטה'!$B$5:$B$204,$A35,'זה אני - קליטה'!$C$5:$C$204,"סוף שנה"))</f>
      </c>
      <c r="S35" s="28">
        <f>IF($A35="","",IFERROR(AVERAGEIFS('זה אני - קליטה'!$AG$5:$AG$204,'זה אני - קליטה'!$B$5:$B$204,$A35,'זה אני - קליטה'!$C$5:$C$204,"סוף שנה"),""))</f>
      </c>
    </row>
    <row r="36" ht="15" customHeight="1" spans="1:19" x14ac:dyDescent="0.25">
      <c r="A36" s="29"/>
      <c r="B36" s="37">
        <f>IF($A36="","",COUNTIFS('רווחה - קליטה'!$B$5:$B$204,$A36,'רווחה - קליטה'!$C$5:$C$204,"תחילת שנה"))</f>
      </c>
      <c r="C36" s="28">
        <f>IF($A36="","",IFERROR(AVERAGEIFS('רווחה - קליטה'!$AQ$5:$AQ$204,'רווחה - קליטה'!$B$5:$B$204,$A36,'רווחה - קליטה'!$C$5:$C$204,"תחילת שנה"),""))</f>
      </c>
      <c r="D36" s="27">
        <f>IF($A36="","",IFERROR(AVERAGEIFS('רווחה - קליטה'!$AK$5:$AK$204,'רווחה - קליטה'!$B$5:$B$204,$A36,'רווחה - קליטה'!$C$5:$C$204,"תחילת שנה"),""))</f>
      </c>
      <c r="E36" s="27">
        <f>IF($A36="","",IFERROR(COUNTIFS('רווחה - קליטה'!$B$5:$B$204,$A36,'רווחה - קליטה'!$C$5:$C$204,"תחילת שנה",'רווחה - קליטה'!$AS$5:$AS$204,"אמין")/COUNTIFS('רווחה - קליטה'!$B$5:$B$204,$A36,'רווחה - קליטה'!$C$5:$C$204,"תחילת שנה"),""))</f>
      </c>
      <c r="F36" s="37">
        <f>IF($A36="","",COUNTIFS('זה אני - קליטה'!$B$5:$B$204,$A36,'זה אני - קליטה'!$C$5:$C$204,"תחילת שנה"))</f>
      </c>
      <c r="G36" s="28">
        <f>IF($A36="","",IFERROR(AVERAGEIFS('זה אני - קליטה'!$AG$5:$AG$204,'זה אני - קליטה'!$B$5:$B$204,$A36,'זה אני - קליטה'!$C$5:$C$204,"תחילת שנה"),""))</f>
      </c>
      <c r="H36" s="37">
        <f>IF($A36="","",COUNTIFS('רווחה - קליטה'!$B$5:$B$204,$A36,'רווחה - קליטה'!$C$5:$C$204,"אמצע שנה"))</f>
      </c>
      <c r="I36" s="28">
        <f>IF($A36="","",IFERROR(AVERAGEIFS('רווחה - קליטה'!$AQ$5:$AQ$204,'רווחה - קליטה'!$B$5:$B$204,$A36,'רווחה - קליטה'!$C$5:$C$204,"אמצע שנה"),""))</f>
      </c>
      <c r="J36" s="27">
        <f>IF($A36="","",IFERROR(AVERAGEIFS('רווחה - קליטה'!$AK$5:$AK$204,'רווחה - קליטה'!$B$5:$B$204,$A36,'רווחה - קליטה'!$C$5:$C$204,"אמצע שנה"),""))</f>
      </c>
      <c r="K36" s="27">
        <f>IF($A36="","",IFERROR(COUNTIFS('רווחה - קליטה'!$B$5:$B$204,$A36,'רווחה - קליטה'!$C$5:$C$204,"אמצע שנה",'רווחה - קליטה'!$AS$5:$AS$204,"אמין")/COUNTIFS('רווחה - קליטה'!$B$5:$B$204,$A36,'רווחה - קליטה'!$C$5:$C$204,"אמצע שנה"),""))</f>
      </c>
      <c r="L36" s="37">
        <f>IF($A36="","",COUNTIFS('זה אני - קליטה'!$B$5:$B$204,$A36,'זה אני - קליטה'!$C$5:$C$204,"אמצע שנה"))</f>
      </c>
      <c r="M36" s="28">
        <f>IF($A36="","",IFERROR(AVERAGEIFS('זה אני - קליטה'!$AG$5:$AG$204,'זה אני - קליטה'!$B$5:$B$204,$A36,'זה אני - קליטה'!$C$5:$C$204,"אמצע שנה"),""))</f>
      </c>
      <c r="N36" s="37">
        <f>IF($A36="","",COUNTIFS('רווחה - קליטה'!$B$5:$B$204,$A36,'רווחה - קליטה'!$C$5:$C$204,"סוף שנה"))</f>
      </c>
      <c r="O36" s="28">
        <f>IF($A36="","",IFERROR(AVERAGEIFS('רווחה - קליטה'!$AQ$5:$AQ$204,'רווחה - קליטה'!$B$5:$B$204,$A36,'רווחה - קליטה'!$C$5:$C$204,"סוף שנה"),""))</f>
      </c>
      <c r="P36" s="27">
        <f>IF($A36="","",IFERROR(AVERAGEIFS('רווחה - קליטה'!$AK$5:$AK$204,'רווחה - קליטה'!$B$5:$B$204,$A36,'רווחה - קליטה'!$C$5:$C$204,"סוף שנה"),""))</f>
      </c>
      <c r="Q36" s="27">
        <f>IF($A36="","",IFERROR(COUNTIFS('רווחה - קליטה'!$B$5:$B$204,$A36,'רווחה - קליטה'!$C$5:$C$204,"סוף שנה",'רווחה - קליטה'!$AS$5:$AS$204,"אמין")/COUNTIFS('רווחה - קליטה'!$B$5:$B$204,$A36,'רווחה - קליטה'!$C$5:$C$204,"סוף שנה"),""))</f>
      </c>
      <c r="R36" s="37">
        <f>IF($A36="","",COUNTIFS('זה אני - קליטה'!$B$5:$B$204,$A36,'זה אני - קליטה'!$C$5:$C$204,"סוף שנה"))</f>
      </c>
      <c r="S36" s="28">
        <f>IF($A36="","",IFERROR(AVERAGEIFS('זה אני - קליטה'!$AG$5:$AG$204,'זה אני - קליטה'!$B$5:$B$204,$A36,'זה אני - קליטה'!$C$5:$C$204,"סוף שנה"),""))</f>
      </c>
    </row>
    <row r="37" ht="15" customHeight="1" spans="1:19" x14ac:dyDescent="0.25">
      <c r="A37" s="29"/>
      <c r="B37" s="37">
        <f>IF($A37="","",COUNTIFS('רווחה - קליטה'!$B$5:$B$204,$A37,'רווחה - קליטה'!$C$5:$C$204,"תחילת שנה"))</f>
      </c>
      <c r="C37" s="28">
        <f>IF($A37="","",IFERROR(AVERAGEIFS('רווחה - קליטה'!$AQ$5:$AQ$204,'רווחה - קליטה'!$B$5:$B$204,$A37,'רווחה - קליטה'!$C$5:$C$204,"תחילת שנה"),""))</f>
      </c>
      <c r="D37" s="27">
        <f>IF($A37="","",IFERROR(AVERAGEIFS('רווחה - קליטה'!$AK$5:$AK$204,'רווחה - קליטה'!$B$5:$B$204,$A37,'רווחה - קליטה'!$C$5:$C$204,"תחילת שנה"),""))</f>
      </c>
      <c r="E37" s="27">
        <f>IF($A37="","",IFERROR(COUNTIFS('רווחה - קליטה'!$B$5:$B$204,$A37,'רווחה - קליטה'!$C$5:$C$204,"תחילת שנה",'רווחה - קליטה'!$AS$5:$AS$204,"אמין")/COUNTIFS('רווחה - קליטה'!$B$5:$B$204,$A37,'רווחה - קליטה'!$C$5:$C$204,"תחילת שנה"),""))</f>
      </c>
      <c r="F37" s="37">
        <f>IF($A37="","",COUNTIFS('זה אני - קליטה'!$B$5:$B$204,$A37,'זה אני - קליטה'!$C$5:$C$204,"תחילת שנה"))</f>
      </c>
      <c r="G37" s="28">
        <f>IF($A37="","",IFERROR(AVERAGEIFS('זה אני - קליטה'!$AG$5:$AG$204,'זה אני - קליטה'!$B$5:$B$204,$A37,'זה אני - קליטה'!$C$5:$C$204,"תחילת שנה"),""))</f>
      </c>
      <c r="H37" s="37">
        <f>IF($A37="","",COUNTIFS('רווחה - קליטה'!$B$5:$B$204,$A37,'רווחה - קליטה'!$C$5:$C$204,"אמצע שנה"))</f>
      </c>
      <c r="I37" s="28">
        <f>IF($A37="","",IFERROR(AVERAGEIFS('רווחה - קליטה'!$AQ$5:$AQ$204,'רווחה - קליטה'!$B$5:$B$204,$A37,'רווחה - קליטה'!$C$5:$C$204,"אמצע שנה"),""))</f>
      </c>
      <c r="J37" s="27">
        <f>IF($A37="","",IFERROR(AVERAGEIFS('רווחה - קליטה'!$AK$5:$AK$204,'רווחה - קליטה'!$B$5:$B$204,$A37,'רווחה - קליטה'!$C$5:$C$204,"אמצע שנה"),""))</f>
      </c>
      <c r="K37" s="27">
        <f>IF($A37="","",IFERROR(COUNTIFS('רווחה - קליטה'!$B$5:$B$204,$A37,'רווחה - קליטה'!$C$5:$C$204,"אמצע שנה",'רווחה - קליטה'!$AS$5:$AS$204,"אמין")/COUNTIFS('רווחה - קליטה'!$B$5:$B$204,$A37,'רווחה - קליטה'!$C$5:$C$204,"אמצע שנה"),""))</f>
      </c>
      <c r="L37" s="37">
        <f>IF($A37="","",COUNTIFS('זה אני - קליטה'!$B$5:$B$204,$A37,'זה אני - קליטה'!$C$5:$C$204,"אמצע שנה"))</f>
      </c>
      <c r="M37" s="28">
        <f>IF($A37="","",IFERROR(AVERAGEIFS('זה אני - קליטה'!$AG$5:$AG$204,'זה אני - קליטה'!$B$5:$B$204,$A37,'זה אני - קליטה'!$C$5:$C$204,"אמצע שנה"),""))</f>
      </c>
      <c r="N37" s="37">
        <f>IF($A37="","",COUNTIFS('רווחה - קליטה'!$B$5:$B$204,$A37,'רווחה - קליטה'!$C$5:$C$204,"סוף שנה"))</f>
      </c>
      <c r="O37" s="28">
        <f>IF($A37="","",IFERROR(AVERAGEIFS('רווחה - קליטה'!$AQ$5:$AQ$204,'רווחה - קליטה'!$B$5:$B$204,$A37,'רווחה - קליטה'!$C$5:$C$204,"סוף שנה"),""))</f>
      </c>
      <c r="P37" s="27">
        <f>IF($A37="","",IFERROR(AVERAGEIFS('רווחה - קליטה'!$AK$5:$AK$204,'רווחה - קליטה'!$B$5:$B$204,$A37,'רווחה - קליטה'!$C$5:$C$204,"סוף שנה"),""))</f>
      </c>
      <c r="Q37" s="27">
        <f>IF($A37="","",IFERROR(COUNTIFS('רווחה - קליטה'!$B$5:$B$204,$A37,'רווחה - קליטה'!$C$5:$C$204,"סוף שנה",'רווחה - קליטה'!$AS$5:$AS$204,"אמין")/COUNTIFS('רווחה - קליטה'!$B$5:$B$204,$A37,'רווחה - קליטה'!$C$5:$C$204,"סוף שנה"),""))</f>
      </c>
      <c r="R37" s="37">
        <f>IF($A37="","",COUNTIFS('זה אני - קליטה'!$B$5:$B$204,$A37,'זה אני - קליטה'!$C$5:$C$204,"סוף שנה"))</f>
      </c>
      <c r="S37" s="28">
        <f>IF($A37="","",IFERROR(AVERAGEIFS('זה אני - קליטה'!$AG$5:$AG$204,'זה אני - קליטה'!$B$5:$B$204,$A37,'זה אני - קליטה'!$C$5:$C$204,"סוף שנה"),""))</f>
      </c>
    </row>
    <row r="38" ht="15" customHeight="1" spans="1:19" x14ac:dyDescent="0.25">
      <c r="A38" s="29"/>
      <c r="B38" s="37">
        <f>IF($A38="","",COUNTIFS('רווחה - קליטה'!$B$5:$B$204,$A38,'רווחה - קליטה'!$C$5:$C$204,"תחילת שנה"))</f>
      </c>
      <c r="C38" s="28">
        <f>IF($A38="","",IFERROR(AVERAGEIFS('רווחה - קליטה'!$AQ$5:$AQ$204,'רווחה - קליטה'!$B$5:$B$204,$A38,'רווחה - קליטה'!$C$5:$C$204,"תחילת שנה"),""))</f>
      </c>
      <c r="D38" s="27">
        <f>IF($A38="","",IFERROR(AVERAGEIFS('רווחה - קליטה'!$AK$5:$AK$204,'רווחה - קליטה'!$B$5:$B$204,$A38,'רווחה - קליטה'!$C$5:$C$204,"תחילת שנה"),""))</f>
      </c>
      <c r="E38" s="27">
        <f>IF($A38="","",IFERROR(COUNTIFS('רווחה - קליטה'!$B$5:$B$204,$A38,'רווחה - קליטה'!$C$5:$C$204,"תחילת שנה",'רווחה - קליטה'!$AS$5:$AS$204,"אמין")/COUNTIFS('רווחה - קליטה'!$B$5:$B$204,$A38,'רווחה - קליטה'!$C$5:$C$204,"תחילת שנה"),""))</f>
      </c>
      <c r="F38" s="37">
        <f>IF($A38="","",COUNTIFS('זה אני - קליטה'!$B$5:$B$204,$A38,'זה אני - קליטה'!$C$5:$C$204,"תחילת שנה"))</f>
      </c>
      <c r="G38" s="28">
        <f>IF($A38="","",IFERROR(AVERAGEIFS('זה אני - קליטה'!$AG$5:$AG$204,'זה אני - קליטה'!$B$5:$B$204,$A38,'זה אני - קליטה'!$C$5:$C$204,"תחילת שנה"),""))</f>
      </c>
      <c r="H38" s="37">
        <f>IF($A38="","",COUNTIFS('רווחה - קליטה'!$B$5:$B$204,$A38,'רווחה - קליטה'!$C$5:$C$204,"אמצע שנה"))</f>
      </c>
      <c r="I38" s="28">
        <f>IF($A38="","",IFERROR(AVERAGEIFS('רווחה - קליטה'!$AQ$5:$AQ$204,'רווחה - קליטה'!$B$5:$B$204,$A38,'רווחה - קליטה'!$C$5:$C$204,"אמצע שנה"),""))</f>
      </c>
      <c r="J38" s="27">
        <f>IF($A38="","",IFERROR(AVERAGEIFS('רווחה - קליטה'!$AK$5:$AK$204,'רווחה - קליטה'!$B$5:$B$204,$A38,'רווחה - קליטה'!$C$5:$C$204,"אמצע שנה"),""))</f>
      </c>
      <c r="K38" s="27">
        <f>IF($A38="","",IFERROR(COUNTIFS('רווחה - קליטה'!$B$5:$B$204,$A38,'רווחה - קליטה'!$C$5:$C$204,"אמצע שנה",'רווחה - קליטה'!$AS$5:$AS$204,"אמין")/COUNTIFS('רווחה - קליטה'!$B$5:$B$204,$A38,'רווחה - קליטה'!$C$5:$C$204,"אמצע שנה"),""))</f>
      </c>
      <c r="L38" s="37">
        <f>IF($A38="","",COUNTIFS('זה אני - קליטה'!$B$5:$B$204,$A38,'זה אני - קליטה'!$C$5:$C$204,"אמצע שנה"))</f>
      </c>
      <c r="M38" s="28">
        <f>IF($A38="","",IFERROR(AVERAGEIFS('זה אני - קליטה'!$AG$5:$AG$204,'זה אני - קליטה'!$B$5:$B$204,$A38,'זה אני - קליטה'!$C$5:$C$204,"אמצע שנה"),""))</f>
      </c>
      <c r="N38" s="37">
        <f>IF($A38="","",COUNTIFS('רווחה - קליטה'!$B$5:$B$204,$A38,'רווחה - קליטה'!$C$5:$C$204,"סוף שנה"))</f>
      </c>
      <c r="O38" s="28">
        <f>IF($A38="","",IFERROR(AVERAGEIFS('רווחה - קליטה'!$AQ$5:$AQ$204,'רווחה - קליטה'!$B$5:$B$204,$A38,'רווחה - קליטה'!$C$5:$C$204,"סוף שנה"),""))</f>
      </c>
      <c r="P38" s="27">
        <f>IF($A38="","",IFERROR(AVERAGEIFS('רווחה - קליטה'!$AK$5:$AK$204,'רווחה - קליטה'!$B$5:$B$204,$A38,'רווחה - קליטה'!$C$5:$C$204,"סוף שנה"),""))</f>
      </c>
      <c r="Q38" s="27">
        <f>IF($A38="","",IFERROR(COUNTIFS('רווחה - קליטה'!$B$5:$B$204,$A38,'רווחה - קליטה'!$C$5:$C$204,"סוף שנה",'רווחה - קליטה'!$AS$5:$AS$204,"אמין")/COUNTIFS('רווחה - קליטה'!$B$5:$B$204,$A38,'רווחה - קליטה'!$C$5:$C$204,"סוף שנה"),""))</f>
      </c>
      <c r="R38" s="37">
        <f>IF($A38="","",COUNTIFS('זה אני - קליטה'!$B$5:$B$204,$A38,'זה אני - קליטה'!$C$5:$C$204,"סוף שנה"))</f>
      </c>
      <c r="S38" s="28">
        <f>IF($A38="","",IFERROR(AVERAGEIFS('זה אני - קליטה'!$AG$5:$AG$204,'זה אני - קליטה'!$B$5:$B$204,$A38,'זה אני - קליטה'!$C$5:$C$204,"סוף שנה"),""))</f>
      </c>
    </row>
    <row r="39" ht="15" customHeight="1" spans="1:19" x14ac:dyDescent="0.25">
      <c r="A39" s="29"/>
      <c r="B39" s="37">
        <f>IF($A39="","",COUNTIFS('רווחה - קליטה'!$B$5:$B$204,$A39,'רווחה - קליטה'!$C$5:$C$204,"תחילת שנה"))</f>
      </c>
      <c r="C39" s="28">
        <f>IF($A39="","",IFERROR(AVERAGEIFS('רווחה - קליטה'!$AQ$5:$AQ$204,'רווחה - קליטה'!$B$5:$B$204,$A39,'רווחה - קליטה'!$C$5:$C$204,"תחילת שנה"),""))</f>
      </c>
      <c r="D39" s="27">
        <f>IF($A39="","",IFERROR(AVERAGEIFS('רווחה - קליטה'!$AK$5:$AK$204,'רווחה - קליטה'!$B$5:$B$204,$A39,'רווחה - קליטה'!$C$5:$C$204,"תחילת שנה"),""))</f>
      </c>
      <c r="E39" s="27">
        <f>IF($A39="","",IFERROR(COUNTIFS('רווחה - קליטה'!$B$5:$B$204,$A39,'רווחה - קליטה'!$C$5:$C$204,"תחילת שנה",'רווחה - קליטה'!$AS$5:$AS$204,"אמין")/COUNTIFS('רווחה - קליטה'!$B$5:$B$204,$A39,'רווחה - קליטה'!$C$5:$C$204,"תחילת שנה"),""))</f>
      </c>
      <c r="F39" s="37">
        <f>IF($A39="","",COUNTIFS('זה אני - קליטה'!$B$5:$B$204,$A39,'זה אני - קליטה'!$C$5:$C$204,"תחילת שנה"))</f>
      </c>
      <c r="G39" s="28">
        <f>IF($A39="","",IFERROR(AVERAGEIFS('זה אני - קליטה'!$AG$5:$AG$204,'זה אני - קליטה'!$B$5:$B$204,$A39,'זה אני - קליטה'!$C$5:$C$204,"תחילת שנה"),""))</f>
      </c>
      <c r="H39" s="37">
        <f>IF($A39="","",COUNTIFS('רווחה - קליטה'!$B$5:$B$204,$A39,'רווחה - קליטה'!$C$5:$C$204,"אמצע שנה"))</f>
      </c>
      <c r="I39" s="28">
        <f>IF($A39="","",IFERROR(AVERAGEIFS('רווחה - קליטה'!$AQ$5:$AQ$204,'רווחה - קליטה'!$B$5:$B$204,$A39,'רווחה - קליטה'!$C$5:$C$204,"אמצע שנה"),""))</f>
      </c>
      <c r="J39" s="27">
        <f>IF($A39="","",IFERROR(AVERAGEIFS('רווחה - קליטה'!$AK$5:$AK$204,'רווחה - קליטה'!$B$5:$B$204,$A39,'רווחה - קליטה'!$C$5:$C$204,"אמצע שנה"),""))</f>
      </c>
      <c r="K39" s="27">
        <f>IF($A39="","",IFERROR(COUNTIFS('רווחה - קליטה'!$B$5:$B$204,$A39,'רווחה - קליטה'!$C$5:$C$204,"אמצע שנה",'רווחה - קליטה'!$AS$5:$AS$204,"אמין")/COUNTIFS('רווחה - קליטה'!$B$5:$B$204,$A39,'רווחה - קליטה'!$C$5:$C$204,"אמצע שנה"),""))</f>
      </c>
      <c r="L39" s="37">
        <f>IF($A39="","",COUNTIFS('זה אני - קליטה'!$B$5:$B$204,$A39,'זה אני - קליטה'!$C$5:$C$204,"אמצע שנה"))</f>
      </c>
      <c r="M39" s="28">
        <f>IF($A39="","",IFERROR(AVERAGEIFS('זה אני - קליטה'!$AG$5:$AG$204,'זה אני - קליטה'!$B$5:$B$204,$A39,'זה אני - קליטה'!$C$5:$C$204,"אמצע שנה"),""))</f>
      </c>
      <c r="N39" s="37">
        <f>IF($A39="","",COUNTIFS('רווחה - קליטה'!$B$5:$B$204,$A39,'רווחה - קליטה'!$C$5:$C$204,"סוף שנה"))</f>
      </c>
      <c r="O39" s="28">
        <f>IF($A39="","",IFERROR(AVERAGEIFS('רווחה - קליטה'!$AQ$5:$AQ$204,'רווחה - קליטה'!$B$5:$B$204,$A39,'רווחה - קליטה'!$C$5:$C$204,"סוף שנה"),""))</f>
      </c>
      <c r="P39" s="27">
        <f>IF($A39="","",IFERROR(AVERAGEIFS('רווחה - קליטה'!$AK$5:$AK$204,'רווחה - קליטה'!$B$5:$B$204,$A39,'רווחה - קליטה'!$C$5:$C$204,"סוף שנה"),""))</f>
      </c>
      <c r="Q39" s="27">
        <f>IF($A39="","",IFERROR(COUNTIFS('רווחה - קליטה'!$B$5:$B$204,$A39,'רווחה - קליטה'!$C$5:$C$204,"סוף שנה",'רווחה - קליטה'!$AS$5:$AS$204,"אמין")/COUNTIFS('רווחה - קליטה'!$B$5:$B$204,$A39,'רווחה - קליטה'!$C$5:$C$204,"סוף שנה"),""))</f>
      </c>
      <c r="R39" s="37">
        <f>IF($A39="","",COUNTIFS('זה אני - קליטה'!$B$5:$B$204,$A39,'זה אני - קליטה'!$C$5:$C$204,"סוף שנה"))</f>
      </c>
      <c r="S39" s="28">
        <f>IF($A39="","",IFERROR(AVERAGEIFS('זה אני - קליטה'!$AG$5:$AG$204,'זה אני - קליטה'!$B$5:$B$204,$A39,'זה אני - קליטה'!$C$5:$C$204,"סוף שנה"),""))</f>
      </c>
    </row>
    <row r="40" ht="15" customHeight="1" spans="1:19" x14ac:dyDescent="0.25">
      <c r="A40" s="29"/>
      <c r="B40" s="37">
        <f>IF($A40="","",COUNTIFS('רווחה - קליטה'!$B$5:$B$204,$A40,'רווחה - קליטה'!$C$5:$C$204,"תחילת שנה"))</f>
      </c>
      <c r="C40" s="28">
        <f>IF($A40="","",IFERROR(AVERAGEIFS('רווחה - קליטה'!$AQ$5:$AQ$204,'רווחה - קליטה'!$B$5:$B$204,$A40,'רווחה - קליטה'!$C$5:$C$204,"תחילת שנה"),""))</f>
      </c>
      <c r="D40" s="27">
        <f>IF($A40="","",IFERROR(AVERAGEIFS('רווחה - קליטה'!$AK$5:$AK$204,'רווחה - קליטה'!$B$5:$B$204,$A40,'רווחה - קליטה'!$C$5:$C$204,"תחילת שנה"),""))</f>
      </c>
      <c r="E40" s="27">
        <f>IF($A40="","",IFERROR(COUNTIFS('רווחה - קליטה'!$B$5:$B$204,$A40,'רווחה - קליטה'!$C$5:$C$204,"תחילת שנה",'רווחה - קליטה'!$AS$5:$AS$204,"אמין")/COUNTIFS('רווחה - קליטה'!$B$5:$B$204,$A40,'רווחה - קליטה'!$C$5:$C$204,"תחילת שנה"),""))</f>
      </c>
      <c r="F40" s="37">
        <f>IF($A40="","",COUNTIFS('זה אני - קליטה'!$B$5:$B$204,$A40,'זה אני - קליטה'!$C$5:$C$204,"תחילת שנה"))</f>
      </c>
      <c r="G40" s="28">
        <f>IF($A40="","",IFERROR(AVERAGEIFS('זה אני - קליטה'!$AG$5:$AG$204,'זה אני - קליטה'!$B$5:$B$204,$A40,'זה אני - קליטה'!$C$5:$C$204,"תחילת שנה"),""))</f>
      </c>
      <c r="H40" s="37">
        <f>IF($A40="","",COUNTIFS('רווחה - קליטה'!$B$5:$B$204,$A40,'רווחה - קליטה'!$C$5:$C$204,"אמצע שנה"))</f>
      </c>
      <c r="I40" s="28">
        <f>IF($A40="","",IFERROR(AVERAGEIFS('רווחה - קליטה'!$AQ$5:$AQ$204,'רווחה - קליטה'!$B$5:$B$204,$A40,'רווחה - קליטה'!$C$5:$C$204,"אמצע שנה"),""))</f>
      </c>
      <c r="J40" s="27">
        <f>IF($A40="","",IFERROR(AVERAGEIFS('רווחה - קליטה'!$AK$5:$AK$204,'רווחה - קליטה'!$B$5:$B$204,$A40,'רווחה - קליטה'!$C$5:$C$204,"אמצע שנה"),""))</f>
      </c>
      <c r="K40" s="27">
        <f>IF($A40="","",IFERROR(COUNTIFS('רווחה - קליטה'!$B$5:$B$204,$A40,'רווחה - קליטה'!$C$5:$C$204,"אמצע שנה",'רווחה - קליטה'!$AS$5:$AS$204,"אמין")/COUNTIFS('רווחה - קליטה'!$B$5:$B$204,$A40,'רווחה - קליטה'!$C$5:$C$204,"אמצע שנה"),""))</f>
      </c>
      <c r="L40" s="37">
        <f>IF($A40="","",COUNTIFS('זה אני - קליטה'!$B$5:$B$204,$A40,'זה אני - קליטה'!$C$5:$C$204,"אמצע שנה"))</f>
      </c>
      <c r="M40" s="28">
        <f>IF($A40="","",IFERROR(AVERAGEIFS('זה אני - קליטה'!$AG$5:$AG$204,'זה אני - קליטה'!$B$5:$B$204,$A40,'זה אני - קליטה'!$C$5:$C$204,"אמצע שנה"),""))</f>
      </c>
      <c r="N40" s="37">
        <f>IF($A40="","",COUNTIFS('רווחה - קליטה'!$B$5:$B$204,$A40,'רווחה - קליטה'!$C$5:$C$204,"סוף שנה"))</f>
      </c>
      <c r="O40" s="28">
        <f>IF($A40="","",IFERROR(AVERAGEIFS('רווחה - קליטה'!$AQ$5:$AQ$204,'רווחה - קליטה'!$B$5:$B$204,$A40,'רווחה - קליטה'!$C$5:$C$204,"סוף שנה"),""))</f>
      </c>
      <c r="P40" s="27">
        <f>IF($A40="","",IFERROR(AVERAGEIFS('רווחה - קליטה'!$AK$5:$AK$204,'רווחה - קליטה'!$B$5:$B$204,$A40,'רווחה - קליטה'!$C$5:$C$204,"סוף שנה"),""))</f>
      </c>
      <c r="Q40" s="27">
        <f>IF($A40="","",IFERROR(COUNTIFS('רווחה - קליטה'!$B$5:$B$204,$A40,'רווחה - קליטה'!$C$5:$C$204,"סוף שנה",'רווחה - קליטה'!$AS$5:$AS$204,"אמין")/COUNTIFS('רווחה - קליטה'!$B$5:$B$204,$A40,'רווחה - קליטה'!$C$5:$C$204,"סוף שנה"),""))</f>
      </c>
      <c r="R40" s="37">
        <f>IF($A40="","",COUNTIFS('זה אני - קליטה'!$B$5:$B$204,$A40,'זה אני - קליטה'!$C$5:$C$204,"סוף שנה"))</f>
      </c>
      <c r="S40" s="28">
        <f>IF($A40="","",IFERROR(AVERAGEIFS('זה אני - קליטה'!$AG$5:$AG$204,'זה אני - קליטה'!$B$5:$B$204,$A40,'זה אני - קליטה'!$C$5:$C$204,"סוף שנה"),""))</f>
      </c>
    </row>
    <row r="41" ht="15" customHeight="1" spans="1:19" x14ac:dyDescent="0.25">
      <c r="A41" s="29"/>
      <c r="B41" s="37">
        <f>IF($A41="","",COUNTIFS('רווחה - קליטה'!$B$5:$B$204,$A41,'רווחה - קליטה'!$C$5:$C$204,"תחילת שנה"))</f>
      </c>
      <c r="C41" s="28">
        <f>IF($A41="","",IFERROR(AVERAGEIFS('רווחה - קליטה'!$AQ$5:$AQ$204,'רווחה - קליטה'!$B$5:$B$204,$A41,'רווחה - קליטה'!$C$5:$C$204,"תחילת שנה"),""))</f>
      </c>
      <c r="D41" s="27">
        <f>IF($A41="","",IFERROR(AVERAGEIFS('רווחה - קליטה'!$AK$5:$AK$204,'רווחה - קליטה'!$B$5:$B$204,$A41,'רווחה - קליטה'!$C$5:$C$204,"תחילת שנה"),""))</f>
      </c>
      <c r="E41" s="27">
        <f>IF($A41="","",IFERROR(COUNTIFS('רווחה - קליטה'!$B$5:$B$204,$A41,'רווחה - קליטה'!$C$5:$C$204,"תחילת שנה",'רווחה - קליטה'!$AS$5:$AS$204,"אמין")/COUNTIFS('רווחה - קליטה'!$B$5:$B$204,$A41,'רווחה - קליטה'!$C$5:$C$204,"תחילת שנה"),""))</f>
      </c>
      <c r="F41" s="37">
        <f>IF($A41="","",COUNTIFS('זה אני - קליטה'!$B$5:$B$204,$A41,'זה אני - קליטה'!$C$5:$C$204,"תחילת שנה"))</f>
      </c>
      <c r="G41" s="28">
        <f>IF($A41="","",IFERROR(AVERAGEIFS('זה אני - קליטה'!$AG$5:$AG$204,'זה אני - קליטה'!$B$5:$B$204,$A41,'זה אני - קליטה'!$C$5:$C$204,"תחילת שנה"),""))</f>
      </c>
      <c r="H41" s="37">
        <f>IF($A41="","",COUNTIFS('רווחה - קליטה'!$B$5:$B$204,$A41,'רווחה - קליטה'!$C$5:$C$204,"אמצע שנה"))</f>
      </c>
      <c r="I41" s="28">
        <f>IF($A41="","",IFERROR(AVERAGEIFS('רווחה - קליטה'!$AQ$5:$AQ$204,'רווחה - קליטה'!$B$5:$B$204,$A41,'רווחה - קליטה'!$C$5:$C$204,"אמצע שנה"),""))</f>
      </c>
      <c r="J41" s="27">
        <f>IF($A41="","",IFERROR(AVERAGEIFS('רווחה - קליטה'!$AK$5:$AK$204,'רווחה - קליטה'!$B$5:$B$204,$A41,'רווחה - קליטה'!$C$5:$C$204,"אמצע שנה"),""))</f>
      </c>
      <c r="K41" s="27">
        <f>IF($A41="","",IFERROR(COUNTIFS('רווחה - קליטה'!$B$5:$B$204,$A41,'רווחה - קליטה'!$C$5:$C$204,"אמצע שנה",'רווחה - קליטה'!$AS$5:$AS$204,"אמין")/COUNTIFS('רווחה - קליטה'!$B$5:$B$204,$A41,'רווחה - קליטה'!$C$5:$C$204,"אמצע שנה"),""))</f>
      </c>
      <c r="L41" s="37">
        <f>IF($A41="","",COUNTIFS('זה אני - קליטה'!$B$5:$B$204,$A41,'זה אני - קליטה'!$C$5:$C$204,"אמצע שנה"))</f>
      </c>
      <c r="M41" s="28">
        <f>IF($A41="","",IFERROR(AVERAGEIFS('זה אני - קליטה'!$AG$5:$AG$204,'זה אני - קליטה'!$B$5:$B$204,$A41,'זה אני - קליטה'!$C$5:$C$204,"אמצע שנה"),""))</f>
      </c>
      <c r="N41" s="37">
        <f>IF($A41="","",COUNTIFS('רווחה - קליטה'!$B$5:$B$204,$A41,'רווחה - קליטה'!$C$5:$C$204,"סוף שנה"))</f>
      </c>
      <c r="O41" s="28">
        <f>IF($A41="","",IFERROR(AVERAGEIFS('רווחה - קליטה'!$AQ$5:$AQ$204,'רווחה - קליטה'!$B$5:$B$204,$A41,'רווחה - קליטה'!$C$5:$C$204,"סוף שנה"),""))</f>
      </c>
      <c r="P41" s="27">
        <f>IF($A41="","",IFERROR(AVERAGEIFS('רווחה - קליטה'!$AK$5:$AK$204,'רווחה - קליטה'!$B$5:$B$204,$A41,'רווחה - קליטה'!$C$5:$C$204,"סוף שנה"),""))</f>
      </c>
      <c r="Q41" s="27">
        <f>IF($A41="","",IFERROR(COUNTIFS('רווחה - קליטה'!$B$5:$B$204,$A41,'רווחה - קליטה'!$C$5:$C$204,"סוף שנה",'רווחה - קליטה'!$AS$5:$AS$204,"אמין")/COUNTIFS('רווחה - קליטה'!$B$5:$B$204,$A41,'רווחה - קליטה'!$C$5:$C$204,"סוף שנה"),""))</f>
      </c>
      <c r="R41" s="37">
        <f>IF($A41="","",COUNTIFS('זה אני - קליטה'!$B$5:$B$204,$A41,'זה אני - קליטה'!$C$5:$C$204,"סוף שנה"))</f>
      </c>
      <c r="S41" s="28">
        <f>IF($A41="","",IFERROR(AVERAGEIFS('זה אני - קליטה'!$AG$5:$AG$204,'זה אני - קליטה'!$B$5:$B$204,$A41,'זה אני - קליטה'!$C$5:$C$204,"סוף שנה"),""))</f>
      </c>
    </row>
    <row r="42" ht="15" customHeight="1" spans="1:19" x14ac:dyDescent="0.25">
      <c r="A42" s="29"/>
      <c r="B42" s="37">
        <f>IF($A42="","",COUNTIFS('רווחה - קליטה'!$B$5:$B$204,$A42,'רווחה - קליטה'!$C$5:$C$204,"תחילת שנה"))</f>
      </c>
      <c r="C42" s="28">
        <f>IF($A42="","",IFERROR(AVERAGEIFS('רווחה - קליטה'!$AQ$5:$AQ$204,'רווחה - קליטה'!$B$5:$B$204,$A42,'רווחה - קליטה'!$C$5:$C$204,"תחילת שנה"),""))</f>
      </c>
      <c r="D42" s="27">
        <f>IF($A42="","",IFERROR(AVERAGEIFS('רווחה - קליטה'!$AK$5:$AK$204,'רווחה - קליטה'!$B$5:$B$204,$A42,'רווחה - קליטה'!$C$5:$C$204,"תחילת שנה"),""))</f>
      </c>
      <c r="E42" s="27">
        <f>IF($A42="","",IFERROR(COUNTIFS('רווחה - קליטה'!$B$5:$B$204,$A42,'רווחה - קליטה'!$C$5:$C$204,"תחילת שנה",'רווחה - קליטה'!$AS$5:$AS$204,"אמין")/COUNTIFS('רווחה - קליטה'!$B$5:$B$204,$A42,'רווחה - קליטה'!$C$5:$C$204,"תחילת שנה"),""))</f>
      </c>
      <c r="F42" s="37">
        <f>IF($A42="","",COUNTIFS('זה אני - קליטה'!$B$5:$B$204,$A42,'זה אני - קליטה'!$C$5:$C$204,"תחילת שנה"))</f>
      </c>
      <c r="G42" s="28">
        <f>IF($A42="","",IFERROR(AVERAGEIFS('זה אני - קליטה'!$AG$5:$AG$204,'זה אני - קליטה'!$B$5:$B$204,$A42,'זה אני - קליטה'!$C$5:$C$204,"תחילת שנה"),""))</f>
      </c>
      <c r="H42" s="37">
        <f>IF($A42="","",COUNTIFS('רווחה - קליטה'!$B$5:$B$204,$A42,'רווחה - קליטה'!$C$5:$C$204,"אמצע שנה"))</f>
      </c>
      <c r="I42" s="28">
        <f>IF($A42="","",IFERROR(AVERAGEIFS('רווחה - קליטה'!$AQ$5:$AQ$204,'רווחה - קליטה'!$B$5:$B$204,$A42,'רווחה - קליטה'!$C$5:$C$204,"אמצע שנה"),""))</f>
      </c>
      <c r="J42" s="27">
        <f>IF($A42="","",IFERROR(AVERAGEIFS('רווחה - קליטה'!$AK$5:$AK$204,'רווחה - קליטה'!$B$5:$B$204,$A42,'רווחה - קליטה'!$C$5:$C$204,"אמצע שנה"),""))</f>
      </c>
      <c r="K42" s="27">
        <f>IF($A42="","",IFERROR(COUNTIFS('רווחה - קליטה'!$B$5:$B$204,$A42,'רווחה - קליטה'!$C$5:$C$204,"אמצע שנה",'רווחה - קליטה'!$AS$5:$AS$204,"אמין")/COUNTIFS('רווחה - קליטה'!$B$5:$B$204,$A42,'רווחה - קליטה'!$C$5:$C$204,"אמצע שנה"),""))</f>
      </c>
      <c r="L42" s="37">
        <f>IF($A42="","",COUNTIFS('זה אני - קליטה'!$B$5:$B$204,$A42,'זה אני - קליטה'!$C$5:$C$204,"אמצע שנה"))</f>
      </c>
      <c r="M42" s="28">
        <f>IF($A42="","",IFERROR(AVERAGEIFS('זה אני - קליטה'!$AG$5:$AG$204,'זה אני - קליטה'!$B$5:$B$204,$A42,'זה אני - קליטה'!$C$5:$C$204,"אמצע שנה"),""))</f>
      </c>
      <c r="N42" s="37">
        <f>IF($A42="","",COUNTIFS('רווחה - קליטה'!$B$5:$B$204,$A42,'רווחה - קליטה'!$C$5:$C$204,"סוף שנה"))</f>
      </c>
      <c r="O42" s="28">
        <f>IF($A42="","",IFERROR(AVERAGEIFS('רווחה - קליטה'!$AQ$5:$AQ$204,'רווחה - קליטה'!$B$5:$B$204,$A42,'רווחה - קליטה'!$C$5:$C$204,"סוף שנה"),""))</f>
      </c>
      <c r="P42" s="27">
        <f>IF($A42="","",IFERROR(AVERAGEIFS('רווחה - קליטה'!$AK$5:$AK$204,'רווחה - קליטה'!$B$5:$B$204,$A42,'רווחה - קליטה'!$C$5:$C$204,"סוף שנה"),""))</f>
      </c>
      <c r="Q42" s="27">
        <f>IF($A42="","",IFERROR(COUNTIFS('רווחה - קליטה'!$B$5:$B$204,$A42,'רווחה - קליטה'!$C$5:$C$204,"סוף שנה",'רווחה - קליטה'!$AS$5:$AS$204,"אמין")/COUNTIFS('רווחה - קליטה'!$B$5:$B$204,$A42,'רווחה - קליטה'!$C$5:$C$204,"סוף שנה"),""))</f>
      </c>
      <c r="R42" s="37">
        <f>IF($A42="","",COUNTIFS('זה אני - קליטה'!$B$5:$B$204,$A42,'זה אני - קליטה'!$C$5:$C$204,"סוף שנה"))</f>
      </c>
      <c r="S42" s="28">
        <f>IF($A42="","",IFERROR(AVERAGEIFS('זה אני - קליטה'!$AG$5:$AG$204,'זה אני - קליטה'!$B$5:$B$204,$A42,'זה אני - קליטה'!$C$5:$C$204,"סוף שנה"),""))</f>
      </c>
    </row>
    <row r="43" ht="15" customHeight="1" spans="1:19" x14ac:dyDescent="0.25">
      <c r="A43" s="29"/>
      <c r="B43" s="37">
        <f>IF($A43="","",COUNTIFS('רווחה - קליטה'!$B$5:$B$204,$A43,'רווחה - קליטה'!$C$5:$C$204,"תחילת שנה"))</f>
      </c>
      <c r="C43" s="28">
        <f>IF($A43="","",IFERROR(AVERAGEIFS('רווחה - קליטה'!$AQ$5:$AQ$204,'רווחה - קליטה'!$B$5:$B$204,$A43,'רווחה - קליטה'!$C$5:$C$204,"תחילת שנה"),""))</f>
      </c>
      <c r="D43" s="27">
        <f>IF($A43="","",IFERROR(AVERAGEIFS('רווחה - קליטה'!$AK$5:$AK$204,'רווחה - קליטה'!$B$5:$B$204,$A43,'רווחה - קליטה'!$C$5:$C$204,"תחילת שנה"),""))</f>
      </c>
      <c r="E43" s="27">
        <f>IF($A43="","",IFERROR(COUNTIFS('רווחה - קליטה'!$B$5:$B$204,$A43,'רווחה - קליטה'!$C$5:$C$204,"תחילת שנה",'רווחה - קליטה'!$AS$5:$AS$204,"אמין")/COUNTIFS('רווחה - קליטה'!$B$5:$B$204,$A43,'רווחה - קליטה'!$C$5:$C$204,"תחילת שנה"),""))</f>
      </c>
      <c r="F43" s="37">
        <f>IF($A43="","",COUNTIFS('זה אני - קליטה'!$B$5:$B$204,$A43,'זה אני - קליטה'!$C$5:$C$204,"תחילת שנה"))</f>
      </c>
      <c r="G43" s="28">
        <f>IF($A43="","",IFERROR(AVERAGEIFS('זה אני - קליטה'!$AG$5:$AG$204,'זה אני - קליטה'!$B$5:$B$204,$A43,'זה אני - קליטה'!$C$5:$C$204,"תחילת שנה"),""))</f>
      </c>
      <c r="H43" s="37">
        <f>IF($A43="","",COUNTIFS('רווחה - קליטה'!$B$5:$B$204,$A43,'רווחה - קליטה'!$C$5:$C$204,"אמצע שנה"))</f>
      </c>
      <c r="I43" s="28">
        <f>IF($A43="","",IFERROR(AVERAGEIFS('רווחה - קליטה'!$AQ$5:$AQ$204,'רווחה - קליטה'!$B$5:$B$204,$A43,'רווחה - קליטה'!$C$5:$C$204,"אמצע שנה"),""))</f>
      </c>
      <c r="J43" s="27">
        <f>IF($A43="","",IFERROR(AVERAGEIFS('רווחה - קליטה'!$AK$5:$AK$204,'רווחה - קליטה'!$B$5:$B$204,$A43,'רווחה - קליטה'!$C$5:$C$204,"אמצע שנה"),""))</f>
      </c>
      <c r="K43" s="27">
        <f>IF($A43="","",IFERROR(COUNTIFS('רווחה - קליטה'!$B$5:$B$204,$A43,'רווחה - קליטה'!$C$5:$C$204,"אמצע שנה",'רווחה - קליטה'!$AS$5:$AS$204,"אמין")/COUNTIFS('רווחה - קליטה'!$B$5:$B$204,$A43,'רווחה - קליטה'!$C$5:$C$204,"אמצע שנה"),""))</f>
      </c>
      <c r="L43" s="37">
        <f>IF($A43="","",COUNTIFS('זה אני - קליטה'!$B$5:$B$204,$A43,'זה אני - קליטה'!$C$5:$C$204,"אמצע שנה"))</f>
      </c>
      <c r="M43" s="28">
        <f>IF($A43="","",IFERROR(AVERAGEIFS('זה אני - קליטה'!$AG$5:$AG$204,'זה אני - קליטה'!$B$5:$B$204,$A43,'זה אני - קליטה'!$C$5:$C$204,"אמצע שנה"),""))</f>
      </c>
      <c r="N43" s="37">
        <f>IF($A43="","",COUNTIFS('רווחה - קליטה'!$B$5:$B$204,$A43,'רווחה - קליטה'!$C$5:$C$204,"סוף שנה"))</f>
      </c>
      <c r="O43" s="28">
        <f>IF($A43="","",IFERROR(AVERAGEIFS('רווחה - קליטה'!$AQ$5:$AQ$204,'רווחה - קליטה'!$B$5:$B$204,$A43,'רווחה - קליטה'!$C$5:$C$204,"סוף שנה"),""))</f>
      </c>
      <c r="P43" s="27">
        <f>IF($A43="","",IFERROR(AVERAGEIFS('רווחה - קליטה'!$AK$5:$AK$204,'רווחה - קליטה'!$B$5:$B$204,$A43,'רווחה - קליטה'!$C$5:$C$204,"סוף שנה"),""))</f>
      </c>
      <c r="Q43" s="27">
        <f>IF($A43="","",IFERROR(COUNTIFS('רווחה - קליטה'!$B$5:$B$204,$A43,'רווחה - קליטה'!$C$5:$C$204,"סוף שנה",'רווחה - קליטה'!$AS$5:$AS$204,"אמין")/COUNTIFS('רווחה - קליטה'!$B$5:$B$204,$A43,'רווחה - קליטה'!$C$5:$C$204,"סוף שנה"),""))</f>
      </c>
      <c r="R43" s="37">
        <f>IF($A43="","",COUNTIFS('זה אני - קליטה'!$B$5:$B$204,$A43,'זה אני - קליטה'!$C$5:$C$204,"סוף שנה"))</f>
      </c>
      <c r="S43" s="28">
        <f>IF($A43="","",IFERROR(AVERAGEIFS('זה אני - קליטה'!$AG$5:$AG$204,'זה אני - קליטה'!$B$5:$B$204,$A43,'זה אני - קליטה'!$C$5:$C$204,"סוף שנה"),""))</f>
      </c>
    </row>
    <row r="44" ht="15" customHeight="1" spans="1:19" x14ac:dyDescent="0.25">
      <c r="A44" s="29"/>
      <c r="B44" s="37">
        <f>IF($A44="","",COUNTIFS('רווחה - קליטה'!$B$5:$B$204,$A44,'רווחה - קליטה'!$C$5:$C$204,"תחילת שנה"))</f>
      </c>
      <c r="C44" s="28">
        <f>IF($A44="","",IFERROR(AVERAGEIFS('רווחה - קליטה'!$AQ$5:$AQ$204,'רווחה - קליטה'!$B$5:$B$204,$A44,'רווחה - קליטה'!$C$5:$C$204,"תחילת שנה"),""))</f>
      </c>
      <c r="D44" s="27">
        <f>IF($A44="","",IFERROR(AVERAGEIFS('רווחה - קליטה'!$AK$5:$AK$204,'רווחה - קליטה'!$B$5:$B$204,$A44,'רווחה - קליטה'!$C$5:$C$204,"תחילת שנה"),""))</f>
      </c>
      <c r="E44" s="27">
        <f>IF($A44="","",IFERROR(COUNTIFS('רווחה - קליטה'!$B$5:$B$204,$A44,'רווחה - קליטה'!$C$5:$C$204,"תחילת שנה",'רווחה - קליטה'!$AS$5:$AS$204,"אמין")/COUNTIFS('רווחה - קליטה'!$B$5:$B$204,$A44,'רווחה - קליטה'!$C$5:$C$204,"תחילת שנה"),""))</f>
      </c>
      <c r="F44" s="37">
        <f>IF($A44="","",COUNTIFS('זה אני - קליטה'!$B$5:$B$204,$A44,'זה אני - קליטה'!$C$5:$C$204,"תחילת שנה"))</f>
      </c>
      <c r="G44" s="28">
        <f>IF($A44="","",IFERROR(AVERAGEIFS('זה אני - קליטה'!$AG$5:$AG$204,'זה אני - קליטה'!$B$5:$B$204,$A44,'זה אני - קליטה'!$C$5:$C$204,"תחילת שנה"),""))</f>
      </c>
      <c r="H44" s="37">
        <f>IF($A44="","",COUNTIFS('רווחה - קליטה'!$B$5:$B$204,$A44,'רווחה - קליטה'!$C$5:$C$204,"אמצע שנה"))</f>
      </c>
      <c r="I44" s="28">
        <f>IF($A44="","",IFERROR(AVERAGEIFS('רווחה - קליטה'!$AQ$5:$AQ$204,'רווחה - קליטה'!$B$5:$B$204,$A44,'רווחה - קליטה'!$C$5:$C$204,"אמצע שנה"),""))</f>
      </c>
      <c r="J44" s="27">
        <f>IF($A44="","",IFERROR(AVERAGEIFS('רווחה - קליטה'!$AK$5:$AK$204,'רווחה - קליטה'!$B$5:$B$204,$A44,'רווחה - קליטה'!$C$5:$C$204,"אמצע שנה"),""))</f>
      </c>
      <c r="K44" s="27">
        <f>IF($A44="","",IFERROR(COUNTIFS('רווחה - קליטה'!$B$5:$B$204,$A44,'רווחה - קליטה'!$C$5:$C$204,"אמצע שנה",'רווחה - קליטה'!$AS$5:$AS$204,"אמין")/COUNTIFS('רווחה - קליטה'!$B$5:$B$204,$A44,'רווחה - קליטה'!$C$5:$C$204,"אמצע שנה"),""))</f>
      </c>
      <c r="L44" s="37">
        <f>IF($A44="","",COUNTIFS('זה אני - קליטה'!$B$5:$B$204,$A44,'זה אני - קליטה'!$C$5:$C$204,"אמצע שנה"))</f>
      </c>
      <c r="M44" s="28">
        <f>IF($A44="","",IFERROR(AVERAGEIFS('זה אני - קליטה'!$AG$5:$AG$204,'זה אני - קליטה'!$B$5:$B$204,$A44,'זה אני - קליטה'!$C$5:$C$204,"אמצע שנה"),""))</f>
      </c>
      <c r="N44" s="37">
        <f>IF($A44="","",COUNTIFS('רווחה - קליטה'!$B$5:$B$204,$A44,'רווחה - קליטה'!$C$5:$C$204,"סוף שנה"))</f>
      </c>
      <c r="O44" s="28">
        <f>IF($A44="","",IFERROR(AVERAGEIFS('רווחה - קליטה'!$AQ$5:$AQ$204,'רווחה - קליטה'!$B$5:$B$204,$A44,'רווחה - קליטה'!$C$5:$C$204,"סוף שנה"),""))</f>
      </c>
      <c r="P44" s="27">
        <f>IF($A44="","",IFERROR(AVERAGEIFS('רווחה - קליטה'!$AK$5:$AK$204,'רווחה - קליטה'!$B$5:$B$204,$A44,'רווחה - קליטה'!$C$5:$C$204,"סוף שנה"),""))</f>
      </c>
      <c r="Q44" s="27">
        <f>IF($A44="","",IFERROR(COUNTIFS('רווחה - קליטה'!$B$5:$B$204,$A44,'רווחה - קליטה'!$C$5:$C$204,"סוף שנה",'רווחה - קליטה'!$AS$5:$AS$204,"אמין")/COUNTIFS('רווחה - קליטה'!$B$5:$B$204,$A44,'רווחה - קליטה'!$C$5:$C$204,"סוף שנה"),""))</f>
      </c>
      <c r="R44" s="37">
        <f>IF($A44="","",COUNTIFS('זה אני - קליטה'!$B$5:$B$204,$A44,'זה אני - קליטה'!$C$5:$C$204,"סוף שנה"))</f>
      </c>
      <c r="S44" s="28">
        <f>IF($A44="","",IFERROR(AVERAGEIFS('זה אני - קליטה'!$AG$5:$AG$204,'זה אני - קליטה'!$B$5:$B$204,$A44,'זה אני - קליטה'!$C$5:$C$204,"סוף שנה"),""))</f>
      </c>
    </row>
    <row r="45" ht="15" customHeight="1" spans="1:19" x14ac:dyDescent="0.2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</row>
    <row r="46" ht="15" customHeight="1" spans="1:19" x14ac:dyDescent="0.2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</row>
    <row r="47" ht="15" customHeight="1" spans="1:19" x14ac:dyDescent="0.2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</row>
    <row r="48" ht="15" customHeight="1" spans="1:19" x14ac:dyDescent="0.2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</row>
    <row r="49" ht="15" customHeight="1" spans="1:19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</row>
    <row r="50" ht="15" customHeight="1" spans="1:19" x14ac:dyDescent="0.2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</row>
    <row r="51" ht="15" customHeight="1" spans="1:19" x14ac:dyDescent="0.2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</row>
    <row r="52" ht="15" customHeight="1" spans="1:19" x14ac:dyDescent="0.2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</row>
    <row r="53" ht="15" customHeight="1" spans="1:19" x14ac:dyDescent="0.2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</row>
    <row r="54" ht="15" customHeight="1" spans="1:19" x14ac:dyDescent="0.2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</row>
    <row r="55" ht="15" customHeight="1" spans="1:19" x14ac:dyDescent="0.2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</row>
    <row r="56" ht="15" customHeight="1" spans="1:19" x14ac:dyDescent="0.2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</row>
    <row r="57" ht="15" customHeight="1" spans="1:19" x14ac:dyDescent="0.2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</row>
    <row r="58" ht="15" customHeight="1" spans="1:19" x14ac:dyDescent="0.2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</row>
    <row r="59" ht="15" customHeight="1" spans="1:19" x14ac:dyDescent="0.2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</row>
    <row r="60" ht="15" customHeight="1" spans="1:19" x14ac:dyDescent="0.2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</row>
    <row r="61" ht="15" customHeight="1" spans="1:19" x14ac:dyDescent="0.2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</row>
    <row r="62" ht="15" customHeight="1" spans="1:19" x14ac:dyDescent="0.2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</row>
    <row r="63" ht="15" customHeight="1" spans="1:19" x14ac:dyDescent="0.2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</row>
    <row r="64" ht="15" customHeight="1" spans="1:19" x14ac:dyDescent="0.2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</row>
    <row r="65" ht="15" customHeight="1" spans="1:19" x14ac:dyDescent="0.2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</row>
    <row r="66" ht="15" customHeight="1" spans="1:19" x14ac:dyDescent="0.2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</row>
    <row r="67" ht="15" customHeight="1" spans="1:19" x14ac:dyDescent="0.2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</row>
    <row r="68" ht="15" customHeight="1" spans="1:19" x14ac:dyDescent="0.2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</row>
    <row r="69" ht="15" customHeight="1" spans="1:19" x14ac:dyDescent="0.2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</row>
    <row r="70" ht="15" customHeight="1" spans="1:19" x14ac:dyDescent="0.2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</row>
    <row r="71" ht="15" customHeight="1" spans="1:19" x14ac:dyDescent="0.2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</row>
    <row r="72" ht="15" customHeight="1" spans="1:19" x14ac:dyDescent="0.2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</row>
    <row r="73" ht="15" customHeight="1" spans="1:19" x14ac:dyDescent="0.2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</row>
    <row r="74" ht="15" customHeight="1" spans="1:19" x14ac:dyDescent="0.2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</row>
    <row r="75" ht="15" customHeight="1" spans="1:19" x14ac:dyDescent="0.2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</row>
    <row r="76" ht="15" customHeight="1" spans="1:19" x14ac:dyDescent="0.2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</row>
    <row r="77" ht="15" customHeight="1" spans="1:19" x14ac:dyDescent="0.2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</row>
    <row r="78" ht="15" customHeight="1" spans="1:19" x14ac:dyDescent="0.2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</row>
    <row r="79" ht="15" customHeight="1" spans="1:19" x14ac:dyDescent="0.2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</row>
    <row r="80" ht="15" customHeight="1" spans="1:19" x14ac:dyDescent="0.2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</row>
    <row r="81" ht="15" customHeight="1" spans="1:19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</row>
    <row r="82" ht="15" customHeight="1" spans="1:19" x14ac:dyDescent="0.2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</row>
    <row r="83" ht="15" customHeight="1" spans="1:19" x14ac:dyDescent="0.2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</row>
    <row r="84" ht="15" customHeight="1" spans="1:19" x14ac:dyDescent="0.2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</row>
    <row r="85" ht="15" customHeight="1" spans="1:19" x14ac:dyDescent="0.2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</row>
    <row r="86" ht="15" customHeight="1" spans="1:19" x14ac:dyDescent="0.2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</row>
    <row r="87" ht="15" customHeight="1" spans="1:19" x14ac:dyDescent="0.2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</row>
    <row r="88" ht="15" customHeight="1" spans="1:19" x14ac:dyDescent="0.2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</row>
    <row r="89" ht="15" customHeight="1" spans="1:19" x14ac:dyDescent="0.2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</row>
    <row r="90" ht="15" customHeight="1" spans="1:19" x14ac:dyDescent="0.2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</row>
    <row r="91" ht="15" customHeight="1" spans="1:19" x14ac:dyDescent="0.2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</row>
    <row r="92" ht="15" customHeight="1" spans="1:19" x14ac:dyDescent="0.2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</row>
    <row r="93" ht="15" customHeight="1" spans="1:19" x14ac:dyDescent="0.2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</row>
    <row r="94" ht="15" customHeight="1" spans="1:19" x14ac:dyDescent="0.2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</row>
    <row r="95" ht="15" customHeight="1" spans="1:19" x14ac:dyDescent="0.2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</row>
    <row r="96" ht="15" customHeight="1" spans="1:19" x14ac:dyDescent="0.2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</row>
    <row r="97" ht="15" customHeight="1" spans="1:19" x14ac:dyDescent="0.2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</row>
    <row r="98" ht="15" customHeight="1" spans="1:19" x14ac:dyDescent="0.2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</row>
    <row r="99" ht="15" customHeight="1" spans="1:19" x14ac:dyDescent="0.2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</row>
    <row r="100" ht="15" customHeight="1" spans="1:19" x14ac:dyDescent="0.2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</row>
    <row r="101" ht="15" customHeight="1" spans="1:19" x14ac:dyDescent="0.2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</row>
    <row r="102" ht="15" customHeight="1" spans="1:19" x14ac:dyDescent="0.2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</row>
    <row r="103" ht="15" customHeight="1" spans="1:19" x14ac:dyDescent="0.25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</row>
    <row r="104" ht="15" customHeight="1" spans="1:19" x14ac:dyDescent="0.25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</row>
    <row r="105" ht="15" customHeight="1" spans="1:19" x14ac:dyDescent="0.2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</row>
    <row r="106" ht="15" customHeight="1" spans="1:19" x14ac:dyDescent="0.25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</row>
    <row r="107" ht="15" customHeight="1" spans="1:19" x14ac:dyDescent="0.25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</row>
    <row r="108" ht="15" customHeight="1" spans="1:19" x14ac:dyDescent="0.25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</row>
    <row r="109" ht="15" customHeight="1" spans="1:19" x14ac:dyDescent="0.25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</row>
    <row r="110" ht="15" customHeight="1" spans="1:19" x14ac:dyDescent="0.25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</row>
    <row r="111" ht="15" customHeight="1" spans="1:19" x14ac:dyDescent="0.25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</row>
    <row r="112" ht="15" customHeight="1" spans="1:19" x14ac:dyDescent="0.2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</row>
    <row r="113" ht="15" customHeight="1" spans="1:19" x14ac:dyDescent="0.25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</row>
    <row r="114" ht="15" customHeight="1" spans="1:19" x14ac:dyDescent="0.25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</row>
    <row r="115" ht="15" customHeight="1" spans="1:19" x14ac:dyDescent="0.2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</row>
    <row r="116" ht="15" customHeight="1" spans="1:19" x14ac:dyDescent="0.25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</row>
    <row r="117" ht="15" customHeight="1" spans="1:19" x14ac:dyDescent="0.25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</row>
    <row r="118" ht="15" customHeight="1" spans="1:19" x14ac:dyDescent="0.25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</row>
    <row r="119" ht="15" customHeight="1" spans="1:19" x14ac:dyDescent="0.25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</row>
    <row r="120" ht="15" customHeight="1" spans="1:19" x14ac:dyDescent="0.2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</row>
    <row r="121" ht="15" customHeight="1" spans="1:19" x14ac:dyDescent="0.25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</row>
    <row r="122" ht="15" customHeight="1" spans="1:19" x14ac:dyDescent="0.25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</row>
    <row r="123" ht="15" customHeight="1" spans="1:19" x14ac:dyDescent="0.25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</row>
    <row r="124" ht="15" customHeight="1" spans="1:19" x14ac:dyDescent="0.25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</row>
    <row r="125" ht="15" customHeight="1" spans="1:19" x14ac:dyDescent="0.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</row>
    <row r="126" ht="15" customHeight="1" spans="1:19" x14ac:dyDescent="0.25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</row>
    <row r="127" ht="15" customHeight="1" spans="1:19" x14ac:dyDescent="0.25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</row>
    <row r="128" ht="15" customHeight="1" spans="1:19" x14ac:dyDescent="0.25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</row>
    <row r="129" ht="15" customHeight="1" spans="1:19" x14ac:dyDescent="0.25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</row>
    <row r="130" ht="15" customHeight="1" spans="1:19" x14ac:dyDescent="0.25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</row>
    <row r="131" ht="15" customHeight="1" spans="1:19" x14ac:dyDescent="0.25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</row>
    <row r="132" ht="15" customHeight="1" spans="1:19" x14ac:dyDescent="0.25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</row>
    <row r="133" ht="15" customHeight="1" spans="1:19" x14ac:dyDescent="0.25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</row>
    <row r="134" ht="15" customHeight="1" spans="1:19" x14ac:dyDescent="0.25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</row>
    <row r="135" ht="15" customHeight="1" spans="1:19" x14ac:dyDescent="0.2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</row>
    <row r="136" ht="15" customHeight="1" spans="1:19" x14ac:dyDescent="0.25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</row>
    <row r="137" ht="15" customHeight="1" spans="1:19" x14ac:dyDescent="0.25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</row>
    <row r="138" ht="15" customHeight="1" spans="1:19" x14ac:dyDescent="0.25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</row>
    <row r="139" ht="15" customHeight="1" spans="1:19" x14ac:dyDescent="0.25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</row>
    <row r="140" ht="15" customHeight="1" spans="1:19" x14ac:dyDescent="0.25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</row>
    <row r="141" ht="15" customHeight="1" spans="1:19" x14ac:dyDescent="0.25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</row>
    <row r="142" ht="15" customHeight="1" spans="1:19" x14ac:dyDescent="0.25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</row>
    <row r="143" ht="15" customHeight="1" spans="1:19" x14ac:dyDescent="0.25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</row>
    <row r="144" ht="15" customHeight="1" spans="1:19" x14ac:dyDescent="0.25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</row>
    <row r="145" ht="15" customHeight="1" spans="1:19" x14ac:dyDescent="0.2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</row>
    <row r="146" ht="15" customHeight="1" spans="1:19" x14ac:dyDescent="0.25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</row>
    <row r="147" ht="15" customHeight="1" spans="1:19" x14ac:dyDescent="0.25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</row>
    <row r="148" ht="15" customHeight="1" spans="1:19" x14ac:dyDescent="0.25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</row>
    <row r="149" ht="15" customHeight="1" spans="1:19" x14ac:dyDescent="0.25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</row>
    <row r="150" ht="15" customHeight="1" spans="1:19" x14ac:dyDescent="0.25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</row>
    <row r="151" ht="15" customHeight="1" spans="1:19" x14ac:dyDescent="0.25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</row>
    <row r="152" ht="15" customHeight="1" spans="1:19" x14ac:dyDescent="0.25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</row>
    <row r="153" ht="15" customHeight="1" spans="1:19" x14ac:dyDescent="0.25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</row>
    <row r="154" ht="15" customHeight="1" spans="1:19" x14ac:dyDescent="0.25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</row>
    <row r="155" ht="15" customHeight="1" spans="1:19" x14ac:dyDescent="0.2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</row>
    <row r="156" ht="15" customHeight="1" spans="1:19" x14ac:dyDescent="0.25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</row>
    <row r="157" ht="15" customHeight="1" spans="1:19" x14ac:dyDescent="0.25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</row>
    <row r="158" ht="15" customHeight="1" spans="1:19" x14ac:dyDescent="0.25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</row>
    <row r="159" ht="15" customHeight="1" spans="1:19" x14ac:dyDescent="0.25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</row>
    <row r="160" ht="15" customHeight="1" spans="1:19" x14ac:dyDescent="0.25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</row>
    <row r="161" ht="15" customHeight="1" spans="1:19" x14ac:dyDescent="0.25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</row>
    <row r="162" ht="15" customHeight="1" spans="1:19" x14ac:dyDescent="0.25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</row>
    <row r="163" ht="15" customHeight="1" spans="1:19" x14ac:dyDescent="0.25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</row>
    <row r="164" ht="15" customHeight="1" spans="1:19" x14ac:dyDescent="0.25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</row>
    <row r="165" ht="15" customHeight="1" spans="1:19" x14ac:dyDescent="0.2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</row>
    <row r="166" ht="15" customHeight="1" spans="1:19" x14ac:dyDescent="0.25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</row>
    <row r="167" ht="15" customHeight="1" spans="1:19" x14ac:dyDescent="0.25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</row>
    <row r="168" ht="15" customHeight="1" spans="1:19" x14ac:dyDescent="0.25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</row>
    <row r="169" ht="15" customHeight="1" spans="1:19" x14ac:dyDescent="0.25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</row>
    <row r="170" ht="15" customHeight="1" spans="1:19" x14ac:dyDescent="0.25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</row>
    <row r="171" ht="15" customHeight="1" spans="1:19" x14ac:dyDescent="0.25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</row>
    <row r="172" ht="15" customHeight="1" spans="1:19" x14ac:dyDescent="0.25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</row>
    <row r="173" ht="15" customHeight="1" spans="1:19" x14ac:dyDescent="0.25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</row>
    <row r="174" ht="15" customHeight="1" spans="1:19" x14ac:dyDescent="0.25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</row>
    <row r="175" ht="15" customHeight="1" spans="1:19" x14ac:dyDescent="0.2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</row>
    <row r="176" ht="15" customHeight="1" spans="1:19" x14ac:dyDescent="0.25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</row>
    <row r="177" ht="15" customHeight="1" spans="1:19" x14ac:dyDescent="0.25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</row>
    <row r="178" ht="15" customHeight="1" spans="1:19" x14ac:dyDescent="0.25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</row>
    <row r="179" ht="15" customHeight="1" spans="1:19" x14ac:dyDescent="0.25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</row>
    <row r="180" ht="15" customHeight="1" spans="1:19" x14ac:dyDescent="0.25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</row>
    <row r="181" ht="15" customHeight="1" spans="1:19" x14ac:dyDescent="0.25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</row>
    <row r="182" ht="15" customHeight="1" spans="1:19" x14ac:dyDescent="0.25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</row>
    <row r="183" ht="15" customHeight="1" spans="1:19" x14ac:dyDescent="0.25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</row>
    <row r="184" ht="15" customHeight="1" spans="1:19" x14ac:dyDescent="0.25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</row>
    <row r="185" ht="15" customHeight="1" spans="1:19" x14ac:dyDescent="0.2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</row>
    <row r="186" ht="15" customHeight="1" spans="1:19" x14ac:dyDescent="0.25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</row>
    <row r="187" ht="15" customHeight="1" spans="1:19" x14ac:dyDescent="0.25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</row>
    <row r="188" ht="15" customHeight="1" spans="1:19" x14ac:dyDescent="0.25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</row>
    <row r="189" ht="15" customHeight="1" spans="1:19" x14ac:dyDescent="0.25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</row>
    <row r="190" ht="15" customHeight="1" spans="1:19" x14ac:dyDescent="0.25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</row>
    <row r="191" ht="15" customHeight="1" spans="1:19" x14ac:dyDescent="0.25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</row>
    <row r="192" ht="15" customHeight="1" spans="1:19" x14ac:dyDescent="0.25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</row>
    <row r="193" ht="15" customHeight="1" spans="1:19" x14ac:dyDescent="0.25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</row>
    <row r="194" ht="15" customHeight="1" spans="1:19" x14ac:dyDescent="0.25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</row>
    <row r="195" ht="15" customHeight="1" spans="1:19" x14ac:dyDescent="0.2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</row>
    <row r="196" ht="15" customHeight="1" spans="1:19" x14ac:dyDescent="0.25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</row>
    <row r="197" ht="15" customHeight="1" spans="1:19" x14ac:dyDescent="0.25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</row>
    <row r="198" ht="15" customHeight="1" spans="1:19" x14ac:dyDescent="0.25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</row>
    <row r="199" ht="15" customHeight="1" spans="1:19" x14ac:dyDescent="0.25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</row>
    <row r="200" ht="15" customHeight="1" spans="1:19" x14ac:dyDescent="0.25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</row>
    <row r="201" ht="15" customHeight="1" spans="1:19" x14ac:dyDescent="0.25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</row>
    <row r="202" ht="15" customHeight="1" spans="1:19" x14ac:dyDescent="0.25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</row>
    <row r="203" ht="15" customHeight="1" spans="1:19" x14ac:dyDescent="0.25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</row>
    <row r="204" ht="15" customHeight="1" spans="1:19" x14ac:dyDescent="0.25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</row>
  </sheetData>
  <mergeCells count="3">
    <mergeCell ref="B3:G3"/>
    <mergeCell ref="H3:M3"/>
    <mergeCell ref="N3:S3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הסבר</vt:lpstr>
      <vt:lpstr>רווחה - קליטה</vt:lpstr>
      <vt:lpstr>זה אני - קליטה</vt:lpstr>
      <vt:lpstr>רווחה - מעקב</vt:lpstr>
      <vt:lpstr>זה אני - מעקב</vt:lpstr>
      <vt:lpstr>סיכום כיתתי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2026-10-10T23:02:49Z</dcterms:created>
  <dcterms:modified xsi:type="dcterms:W3CDTF">2026-10-10T23:02:50Z</dcterms:modified>
</cp:coreProperties>
</file>