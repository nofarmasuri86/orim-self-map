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סבר" sheetId="1" state="visible" r:id="rId3"/>
    <sheet name="זה אני - קליטה" sheetId="2" state="visible" r:id="rId4"/>
    <sheet name="זה אני - מעקב" sheetId="3" state="visible" r:id="rId5"/>
    <sheet name="רווחה - קליטה" sheetId="4" state="visible" r:id="rId6"/>
    <sheet name="רווחה - מעקב" sheetId="5" state="visible" r:id="rId7"/>
    <sheet name="סיכום כיתתי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<sst xmlns="http://schemas.openxmlformats.org/spreadsheetml/2006/main" count="268" uniqueCount="169">
  <si>
    <t xml:space="preserve">מיפוי מותאם – קליטה וניתוח</t>
  </si>
  <si>
    <t xml:space="preserve">בית ספר אורים · שאלונים לתלמידים בתפקוד סיעודי</t>
  </si>
  <si>
    <t xml:space="preserve">איך עובדים עם הקובץ</t>
  </si>
  <si>
    <t xml:space="preserve">1. מה ממלאים</t>
  </si>
  <si>
    <t xml:space="preserve">רק את התאים הצהובים. התאים האפורים מחשבים לבד, לא כותבים בהם.</t>
  </si>
  <si>
    <t xml:space="preserve">2. שורה אחת לכל מילוי</t>
  </si>
  <si>
    <t xml:space="preserve">כל מילוי = שורה בגיליון הקליטה של השאלון. שלושה מועדים = שלוש שורות לכל תלמיד/ה.</t>
  </si>
  <si>
    <t xml:space="preserve">3. רשימות נפתחות</t>
  </si>
  <si>
    <t xml:space="preserve">״אני יכול/ה״: כן / קצת / עוד לא. בדיקת הצוות: רוב הזמן / לפעמים / עדיין לא. תצפית: 3 = הרבה, 2 = לפעמים, 1 = כמעט לא.</t>
  </si>
  <si>
    <t xml:space="preserve">4. שורת הדוגמה</t>
  </si>
  <si>
    <t xml:space="preserve">השורה הראשונה בכל גיליון היא דוגמה (״תלמיד לדוגמה״). בקובץ שיורד מהאתר היא כבר מוחלפת בנתונים.</t>
  </si>
  <si>
    <t xml:space="preserve">5. גיליונות המעקב</t>
  </si>
  <si>
    <t xml:space="preserve">שם תלמיד/ה בעמודה הצהובה, בדיוק כמו בקליטה. הנתונים לכל מועד מתמלאים לבד.</t>
  </si>
  <si>
    <t xml:space="preserve">6. סיכום כיתתי</t>
  </si>
  <si>
    <t xml:space="preserve">שם כיתה בעמודה הצהובה, והממוצעים מתמלאים לבד.</t>
  </si>
  <si>
    <t xml:space="preserve">״זה אני״: תפיסת מסוגלות (שאלון התלמיד)</t>
  </si>
  <si>
    <t xml:space="preserve">מסוגלות לפי תחום</t>
  </si>
  <si>
    <t xml:space="preserve">חברתי, למידה, רגשות, עצמאות: שתי שאלות ״אני יכול/ה״ בכל תחום. כן = 1, קצת = ½, עוד לא = 0. 100% = התלמיד/ה בטוח/ה ביכולת בכל השאלות.</t>
  </si>
  <si>
    <t xml:space="preserve">מסוגלות כוללת</t>
  </si>
  <si>
    <t xml:space="preserve">ממוצע 8 שאלות ״אני יכול/ה״. זה המדד המרכזי לשינוי בתפיסה העצמית לאורך השנה.</t>
  </si>
  <si>
    <t xml:space="preserve">מה הצוות רואה</t>
  </si>
  <si>
    <t xml:space="preserve">אותן 8 יכולות, לפי הצוות: רוב הזמן = 1, לפעמים = ½, עדיין לא = 0.</t>
  </si>
  <si>
    <t xml:space="preserve">דיוק</t>
  </si>
  <si>
    <t xml:space="preserve">עד כמה התלמיד/ה מעריך/ה את עצמו/ה כמו שהצוות רואה. 100% = התאמה מלאה. דיוק שעולה = היכרות עצמית טובה יותר.</t>
  </si>
  <si>
    <t xml:space="preserve">הערכת יתר / חסר</t>
  </si>
  <si>
    <t xml:space="preserve">יתר = התלמיד/ה העריך/ה את עצמו/ה גבוה מהצוות. חסר = נמוך מהצוות.</t>
  </si>
  <si>
    <t xml:space="preserve">זיהוי עצמי</t>
  </si>
  <si>
    <t xml:space="preserve">מלא = בחר/ה בתמונה שלו/ה, ״כן״ על התמונה שלו/ה ו״לא״ על תמונה של ילד/ה אחר/ת. חלקי = חלק מזה.</t>
  </si>
  <si>
    <t xml:space="preserve">שינוי ומגמה</t>
  </si>
  <si>
    <t xml:space="preserve">ההפרש במסוגלות הכוללת בין סוף שנה לתחילת שנה. 25 נקודות אחוז ומעלה = ״עלייה״ או ״ירידה״ (כ־2 תשובות). כלל אצבע, לא סף סטטיסטי.</t>
  </si>
  <si>
    <t xml:space="preserve">״רווחה והשתתפות״ (תוספת לבחירה)</t>
  </si>
  <si>
    <t xml:space="preserve">מדד תצפית (1–3)</t>
  </si>
  <si>
    <t xml:space="preserve">ממוצע 9 שאלות התצפית של הצוות. מתאר רווחה והשתתפות, לא תפיסה עצמית.</t>
  </si>
  <si>
    <t xml:space="preserve">התאמה בחימום / אמינות</t>
  </si>
  <si>
    <t xml:space="preserve">האם התלמיד/ה ענה/תה על שאלות החימום כמו שהצוות ציפה. ״לפרש בזהירות״ = לא תואם או ״לא ברור״.</t>
  </si>
  <si>
    <t xml:space="preserve">מקרא צבעים</t>
  </si>
  <si>
    <t xml:space="preserve">למילוי</t>
  </si>
  <si>
    <t xml:space="preserve">תא שממלאים</t>
  </si>
  <si>
    <t xml:space="preserve">מחושב</t>
  </si>
  <si>
    <t xml:space="preserve">נוסחה, לא לגעת</t>
  </si>
  <si>
    <t xml:space="preserve">״זה אני״ – תפיסת מסוגלות – קליטה</t>
  </si>
  <si>
    <t xml:space="preserve">שורה לכל מילוי. ממלאים רק תאים צהובים. השורה הראשונה היא דוגמה.</t>
  </si>
  <si>
    <t xml:space="preserve">פרטי המילוי</t>
  </si>
  <si>
    <t xml:space="preserve">אני יכול/ה – תשובת התלמיד/ה (כן · קצת · עוד לא)</t>
  </si>
  <si>
    <t xml:space="preserve">מה הצוות רואה (רוב הזמן · לפעמים · עדיין לא)</t>
  </si>
  <si>
    <t xml:space="preserve">גאווה ושייכות</t>
  </si>
  <si>
    <t xml:space="preserve">חישובים אוטומטיים</t>
  </si>
  <si>
    <t xml:space="preserve">שם התלמיד/ה</t>
  </si>
  <si>
    <t xml:space="preserve">כיתה</t>
  </si>
  <si>
    <t xml:space="preserve">מועד</t>
  </si>
  <si>
    <t xml:space="preserve">תאריך</t>
  </si>
  <si>
    <t xml:space="preserve">ממלא/ת</t>
  </si>
  <si>
    <t xml:space="preserve">אופן תשובה</t>
  </si>
  <si>
    <t xml:space="preserve">הבנת השאלות</t>
  </si>
  <si>
    <t xml:space="preserve">איפה אני? (בחירת תמונה)</t>
  </si>
  <si>
    <t xml:space="preserve">זה אני? (התמונה שלו/ה)</t>
  </si>
  <si>
    <t xml:space="preserve">זה אני? (תמונה אחרת)</t>
  </si>
  <si>
    <t xml:space="preserve">תלמיד/ה: להגיד שלום</t>
  </si>
  <si>
    <t xml:space="preserve">תלמיד/ה: לשחק עם חבר/ה</t>
  </si>
  <si>
    <t xml:space="preserve">תלמיד/ה: להפעיל מתג או מסך</t>
  </si>
  <si>
    <t xml:space="preserve">תלמיד/ה: להשתתף בפעילות</t>
  </si>
  <si>
    <t xml:space="preserve">תלמיד/ה: להראות שאני שמח/ה</t>
  </si>
  <si>
    <t xml:space="preserve">תלמיד/ה: להירגע כשעוזרים</t>
  </si>
  <si>
    <t xml:space="preserve">תלמיד/ה: לבחור מה אני רוצה</t>
  </si>
  <si>
    <t xml:space="preserve">תלמיד/ה: לעזור באוכל או בלבוש</t>
  </si>
  <si>
    <t xml:space="preserve">צוות: להגיד שלום</t>
  </si>
  <si>
    <t xml:space="preserve">צוות: לשחק עם חבר/ה</t>
  </si>
  <si>
    <t xml:space="preserve">צוות: להפעיל מתג או מסך</t>
  </si>
  <si>
    <t xml:space="preserve">צוות: להשתתף בפעילות</t>
  </si>
  <si>
    <t xml:space="preserve">צוות: להראות שאני שמח/ה</t>
  </si>
  <si>
    <t xml:space="preserve">צוות: להירגע כשעוזרים</t>
  </si>
  <si>
    <t xml:space="preserve">צוות: לבחור מה אני רוצה</t>
  </si>
  <si>
    <t xml:space="preserve">צוות: לעזור באוכל או בלבוש</t>
  </si>
  <si>
    <t xml:space="preserve">את זה אני עשיתי</t>
  </si>
  <si>
    <t xml:space="preserve">זו הכיתה שלי</t>
  </si>
  <si>
    <t xml:space="preserve">תצפית: מראה גאווה (3/2/1)</t>
  </si>
  <si>
    <t xml:space="preserve">מספר תשובות (2/3)</t>
  </si>
  <si>
    <t xml:space="preserve">הערות</t>
  </si>
  <si>
    <t xml:space="preserve">מפתח</t>
  </si>
  <si>
    <t xml:space="preserve">מסוגלות: חברתי</t>
  </si>
  <si>
    <t xml:space="preserve">מסוגלות: למידה</t>
  </si>
  <si>
    <t xml:space="preserve">מסוגלות: רגשות</t>
  </si>
  <si>
    <t xml:space="preserve">מסוגלות: עצמאות</t>
  </si>
  <si>
    <t xml:space="preserve">הערכת יתר</t>
  </si>
  <si>
    <t xml:space="preserve">הערכת חסר</t>
  </si>
  <si>
    <t xml:space="preserve">גאווה – ״כן״</t>
  </si>
  <si>
    <t xml:space="preserve">תלמיד לדוגמה</t>
  </si>
  <si>
    <t xml:space="preserve">כיתה לדוגמה</t>
  </si>
  <si>
    <t xml:space="preserve">תחילת שנה</t>
  </si>
  <si>
    <t xml:space="preserve">11/11/2026</t>
  </si>
  <si>
    <t xml:space="preserve">נופר</t>
  </si>
  <si>
    <t xml:space="preserve">מגע או לחיצה</t>
  </si>
  <si>
    <t xml:space="preserve">חלקית</t>
  </si>
  <si>
    <t xml:space="preserve">בחר/ה בעצמו/ה</t>
  </si>
  <si>
    <t xml:space="preserve">כן</t>
  </si>
  <si>
    <t xml:space="preserve">לא</t>
  </si>
  <si>
    <t xml:space="preserve">קצת</t>
  </si>
  <si>
    <t xml:space="preserve">עוד לא</t>
  </si>
  <si>
    <t xml:space="preserve">לא ענה</t>
  </si>
  <si>
    <t xml:space="preserve">רוב הזמן</t>
  </si>
  <si>
    <t xml:space="preserve">לפעמים</t>
  </si>
  <si>
    <t xml:space="preserve">עדיין לא</t>
  </si>
  <si>
    <t xml:space="preserve">דוגמה – למחוק</t>
  </si>
  <si>
    <t xml:space="preserve">״זה אני״ – תפיסת מסוגלות לאורך השנה</t>
  </si>
  <si>
    <t xml:space="preserve">שם תלמיד/ה בעמודה הצהובה, בדיוק כמו בגיליון הקליטה. השינוי מחושב על המסוגלות הכוללת.</t>
  </si>
  <si>
    <t xml:space="preserve">אמצע שנה</t>
  </si>
  <si>
    <t xml:space="preserve">סוף שנה</t>
  </si>
  <si>
    <t xml:space="preserve">שינוי לאורך השנה</t>
  </si>
  <si>
    <t xml:space="preserve">חברתי</t>
  </si>
  <si>
    <t xml:space="preserve">למידה</t>
  </si>
  <si>
    <t xml:space="preserve">רגשות</t>
  </si>
  <si>
    <t xml:space="preserve">עצמאות</t>
  </si>
  <si>
    <t xml:space="preserve">שינוי: סוף מול תחילת שנה</t>
  </si>
  <si>
    <t xml:space="preserve">מגמה</t>
  </si>
  <si>
    <t xml:space="preserve">מיפוי רווחה והשתתפות – קליטה</t>
  </si>
  <si>
    <t xml:space="preserve">שורה לכל מילוי. ממלאים רק תאים צהובים. השורה הראשונה היא דוגמה, מוחקים אותה.</t>
  </si>
  <si>
    <t xml:space="preserve">חימום</t>
  </si>
  <si>
    <t xml:space="preserve">תשובות התלמיד/ה</t>
  </si>
  <si>
    <t xml:space="preserve">תצפית הצוות (3 = הרבה · 2 = לפעמים · 1 = כמעט לא)</t>
  </si>
  <si>
    <t xml:space="preserve">מוזיקה – צפוי</t>
  </si>
  <si>
    <t xml:space="preserve">מוזיקה – תשובה</t>
  </si>
  <si>
    <t xml:space="preserve">בועות – צפוי</t>
  </si>
  <si>
    <t xml:space="preserve">בועות – תשובה</t>
  </si>
  <si>
    <t xml:space="preserve">להיות עם הילדים</t>
  </si>
  <si>
    <t xml:space="preserve">שמח/ה כשמדברים איתי</t>
  </si>
  <si>
    <t xml:space="preserve">אוהב/ת את הפעילויות</t>
  </si>
  <si>
    <t xml:space="preserve">אוהב/ת לשחק ולנסות</t>
  </si>
  <si>
    <t xml:space="preserve">רגוע ונעים לי</t>
  </si>
  <si>
    <t xml:space="preserve">אוהב/ת לבחור בעצמי</t>
  </si>
  <si>
    <t xml:space="preserve">אוהב/ת לעזור ולהשתתף</t>
  </si>
  <si>
    <t xml:space="preserve">המבוגרים נחמדים</t>
  </si>
  <si>
    <t xml:space="preserve">אוהב/ת להגיע</t>
  </si>
  <si>
    <t xml:space="preserve">מגיב/ה לקרבה</t>
  </si>
  <si>
    <t xml:space="preserve">יוזם/ת קשר</t>
  </si>
  <si>
    <t xml:space="preserve">מתעניין/ת בפעילות</t>
  </si>
  <si>
    <t xml:space="preserve">מעורב/ת לאורך זמן</t>
  </si>
  <si>
    <t xml:space="preserve">רגוע/ה ונינוח/ה</t>
  </si>
  <si>
    <t xml:space="preserve">מביע/ה אי־נוחות מובנת</t>
  </si>
  <si>
    <t xml:space="preserve">מביע/ה בחירה</t>
  </si>
  <si>
    <t xml:space="preserve">משתתף/ת ביומיום</t>
  </si>
  <si>
    <t xml:space="preserve">שמח/ה בבוקר</t>
  </si>
  <si>
    <t xml:space="preserve">חברתי – תלמיד</t>
  </si>
  <si>
    <t xml:space="preserve">למידה – תלמיד</t>
  </si>
  <si>
    <t xml:space="preserve">רגשי – תלמיד</t>
  </si>
  <si>
    <t xml:space="preserve">השתתפות – תלמיד</t>
  </si>
  <si>
    <t xml:space="preserve">בית הספר – תלמיד</t>
  </si>
  <si>
    <t xml:space="preserve">תלמיד – סה״כ ״כן״</t>
  </si>
  <si>
    <t xml:space="preserve">תצפית חברתי</t>
  </si>
  <si>
    <t xml:space="preserve">תצפית למידה</t>
  </si>
  <si>
    <t xml:space="preserve">תצפית רגשי</t>
  </si>
  <si>
    <t xml:space="preserve">תצפית השתתפות</t>
  </si>
  <si>
    <t xml:space="preserve">תצפית אקלים</t>
  </si>
  <si>
    <t xml:space="preserve">מדד תצפית כולל</t>
  </si>
  <si>
    <t xml:space="preserve">התאמה בחימום</t>
  </si>
  <si>
    <t xml:space="preserve">אמינות המילוי</t>
  </si>
  <si>
    <t xml:space="preserve">מבט</t>
  </si>
  <si>
    <t xml:space="preserve">הבין/ה</t>
  </si>
  <si>
    <t xml:space="preserve">רווחה והשתתפות – מעקב לאורך השנה</t>
  </si>
  <si>
    <t xml:space="preserve">כותבים שם תלמיד/ה בעמודה הצהובה, בדיוק כמו בגיליון הקליטה. השאר מתמלא לבד. השינוי מחושב על מדד התצפית.</t>
  </si>
  <si>
    <t xml:space="preserve">תלמיד/ה – ״כן״</t>
  </si>
  <si>
    <t xml:space="preserve">אמינות</t>
  </si>
  <si>
    <t xml:space="preserve">סיכום כיתתי</t>
  </si>
  <si>
    <t xml:space="preserve">כותבים שם כיתה בעמודה הצהובה, בדיוק כמו בגיליונות הקליטה. הממוצעים מתמלאים לבד.</t>
  </si>
  <si>
    <t xml:space="preserve">מילויי ״זה אני״</t>
  </si>
  <si>
    <t xml:space="preserve">מסוגלות ממוצעת</t>
  </si>
  <si>
    <t xml:space="preserve">דיוק ממוצע</t>
  </si>
  <si>
    <t xml:space="preserve">מילויי רווחה</t>
  </si>
  <si>
    <t xml:space="preserve">רווחה: תצפית (1–3)</t>
  </si>
  <si>
    <t xml:space="preserve">רווחה: אמינים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</si>
</sst>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\+0%;\-0%;0%"/>
    <numFmt numFmtId="167" formatCode="0.0"/>
    <numFmt numFmtId="168" formatCode="\+0.0;\-0.0;0"/>
    <numFmt numFmtId="169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A4F"/>
      <name val="Arial"/>
      <family val="0"/>
      <charset val="1"/>
    </font>
    <font>
      <sz val="10"/>
      <name val="Arial"/>
      <family val="0"/>
      <charset val="1"/>
    </font>
    <font>
      <sz val="10"/>
      <color rgb="FF56607E"/>
      <name val="Arial"/>
      <family val="0"/>
      <charset val="1"/>
    </font>
    <font>
      <b val="true"/>
      <sz val="10"/>
      <color rgb="FF1E2A4F"/>
      <name val="Arial"/>
      <family val="0"/>
      <charset val="1"/>
    </font>
    <font>
      <b val="true"/>
      <sz val="12"/>
      <color rgb="FF24448F"/>
      <name val="Arial"/>
      <family val="0"/>
      <charset val="1"/>
    </font>
    <font>
      <b val="true"/>
      <sz val="11"/>
      <color rgb="FF1E2A4F"/>
      <name val="Arial"/>
      <family val="0"/>
      <charset val="1"/>
    </font>
    <font>
      <b val="true"/>
      <sz val="11"/>
      <color rgb="FFB4541A"/>
      <name val="Arial"/>
      <family val="0"/>
      <charset val="1"/>
    </font>
    <font>
      <b val="true"/>
      <sz val="11"/>
      <color rgb="FF17775A"/>
      <name val="Arial"/>
      <family val="0"/>
      <charset val="1"/>
    </font>
    <font>
      <b val="true"/>
      <sz val="11"/>
      <color rgb="FF0F5E4A"/>
      <name val="Arial"/>
      <family val="0"/>
      <charset val="1"/>
    </font>
    <font>
      <b val="true"/>
      <sz val="11"/>
      <color rgb="FFC2295A"/>
      <name val="Arial"/>
      <family val="0"/>
      <charset val="1"/>
    </font>
    <font>
      <b val="true"/>
      <sz val="11"/>
      <color rgb="FF3A44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5B00"/>
      <name val="Arial"/>
      <family val="0"/>
      <charset val="1"/>
    </font>
    <font>
      <b val="true"/>
      <sz val="11"/>
      <color rgb="FF24448F"/>
      <name val="Arial"/>
      <family val="0"/>
      <charset val="1"/>
    </font>
    <font>
      <b val="true"/>
      <sz val="11"/>
      <color rgb="FF5B3FB8"/>
      <name val="Arial"/>
      <family val="0"/>
      <charset val="1"/>
    </font>
    <font>
      <b val="true"/>
      <sz val="11"/>
      <color rgb="FF5B6584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7D1"/>
        <bgColor rgb="FFEEF2F8"/>
      </patternFill>
    </fill>
    <fill>
      <patternFill patternType="solid">
        <fgColor rgb="FFEEF2F8"/>
        <bgColor rgb="FFFFFFFF"/>
      </patternFill>
    </fill>
    <fill>
      <patternFill patternType="solid">
        <fgColor rgb="FF1E2A4F"/>
        <bgColor rgb="FF3A4466"/>
      </patternFill>
    </fill>
    <fill>
      <patternFill patternType="solid">
        <fgColor rgb="FFB4541A"/>
        <bgColor rgb="FF7A5B00"/>
      </patternFill>
    </fill>
    <fill>
      <patternFill patternType="solid">
        <fgColor rgb="FF24448F"/>
        <bgColor rgb="FF3A4466"/>
      </patternFill>
    </fill>
    <fill>
      <patternFill patternType="solid">
        <fgColor rgb="FF17775A"/>
        <bgColor rgb="FF0F5E4A"/>
      </patternFill>
    </fill>
    <fill>
      <patternFill patternType="solid">
        <fgColor rgb="FFC2295A"/>
        <bgColor rgb="FF9B1C24"/>
      </patternFill>
    </fill>
    <fill>
      <patternFill patternType="solid">
        <fgColor rgb="FF5B3FB8"/>
        <bgColor rgb="FF56607E"/>
      </patternFill>
    </fill>
    <fill>
      <patternFill patternType="solid">
        <fgColor rgb="FF0F5E4A"/>
        <bgColor rgb="FF17775A"/>
      </patternFill>
    </fill>
    <fill>
      <patternFill patternType="solid">
        <fgColor rgb="FF3A4466"/>
        <bgColor rgb="FF24448F"/>
      </patternFill>
    </fill>
    <fill>
      <patternFill patternType="solid">
        <fgColor rgb="FF5B6584"/>
        <bgColor rgb="FF56607E"/>
      </patternFill>
    </fill>
    <fill>
      <patternFill patternType="solid">
        <fgColor rgb="FF13879A"/>
        <bgColor rgb="FF17775A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D1E3"/>
      </left>
      <right style="thin">
        <color rgb="FFC9D1E3"/>
      </right>
      <top style="thin">
        <color rgb="FFC9D1E3"/>
      </top>
      <bottom style="thin">
        <color rgb="FFC9D1E3"/>
      </bottom>
      <diagonal/>
    </border>
    <border diagonalUp="false" diagonalDown="false">
      <left/>
      <right/>
      <top/>
      <bottom style="medium">
        <color rgb="FF1E2A4F"/>
      </bottom>
      <diagonal/>
    </border>
    <border diagonalUp="false" diagonalDown="false">
      <left/>
      <right/>
      <top/>
      <bottom style="medium">
        <color rgb="FFB4541A"/>
      </bottom>
      <diagonal/>
    </border>
    <border diagonalUp="false" diagonalDown="false">
      <left/>
      <right/>
      <top/>
      <bottom style="medium">
        <color rgb="FF17775A"/>
      </bottom>
      <diagonal/>
    </border>
    <border diagonalUp="false" diagonalDown="false">
      <left/>
      <right/>
      <top/>
      <bottom style="medium">
        <color rgb="FF0F5E4A"/>
      </bottom>
      <diagonal/>
    </border>
    <border diagonalUp="false" diagonalDown="false">
      <left/>
      <right/>
      <top/>
      <bottom style="medium">
        <color rgb="FFC2295A"/>
      </bottom>
      <diagonal/>
    </border>
    <border diagonalUp="false" diagonalDown="false">
      <left/>
      <right/>
      <top/>
      <bottom style="medium">
        <color rgb="FF3A4466"/>
      </bottom>
      <diagonal/>
    </border>
    <border diagonalUp="false" diagonalDown="false">
      <left/>
      <right/>
      <top/>
      <bottom style="medium">
        <color rgb="FF24448F"/>
      </bottom>
      <diagonal/>
    </border>
    <border diagonalUp="false" diagonalDown="false">
      <left/>
      <right/>
      <top/>
      <bottom style="medium">
        <color rgb="FF5B3FB8"/>
      </bottom>
      <diagonal/>
    </border>
    <border diagonalUp="false" diagonalDown="false">
      <left/>
      <right/>
      <top/>
      <bottom style="medium">
        <color rgb="FF5B658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7775A"/>
      </font>
      <fill>
        <patternFill>
          <bgColor rgb="FFD2EFE1"/>
        </patternFill>
      </fill>
    </dxf>
    <dxf>
      <font>
        <name val="Arial"/>
        <charset val="1"/>
        <family val="0"/>
        <b val="1"/>
        <color rgb="FF9B1C24"/>
      </font>
      <fill>
        <patternFill>
          <bgColor rgb="FFFDE2E3"/>
        </patternFill>
      </fill>
    </dxf>
    <dxf>
      <fill>
        <patternFill>
          <bgColor rgb="FFFDE2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E4A"/>
      <rgbColor rgb="FF000080"/>
      <rgbColor rgb="FF7A5B00"/>
      <rgbColor rgb="FF800080"/>
      <rgbColor rgb="FF13879A"/>
      <rgbColor rgb="FFC0C0C0"/>
      <rgbColor rgb="FF56607E"/>
      <rgbColor rgb="FF9999FF"/>
      <rgbColor rgb="FFC2295A"/>
      <rgbColor rgb="FFFFF7D1"/>
      <rgbColor rgb="FFEEF2F8"/>
      <rgbColor rgb="FF660066"/>
      <rgbColor rgb="FFFF8080"/>
      <rgbColor rgb="FF0066CC"/>
      <rgbColor rgb="FFC9D1E3"/>
      <rgbColor rgb="FF000080"/>
      <rgbColor rgb="FFFF00FF"/>
      <rgbColor rgb="FFFFFF00"/>
      <rgbColor rgb="FF00FFFF"/>
      <rgbColor rgb="FF800080"/>
      <rgbColor rgb="FF800000"/>
      <rgbColor rgb="FF17775A"/>
      <rgbColor rgb="FF0000FF"/>
      <rgbColor rgb="FF00CCFF"/>
      <rgbColor rgb="FFCCFFFF"/>
      <rgbColor rgb="FFD2EFE1"/>
      <rgbColor rgb="FFFFFF99"/>
      <rgbColor rgb="FF99CCFF"/>
      <rgbColor rgb="FFFF99CC"/>
      <rgbColor rgb="FFCC99FF"/>
      <rgbColor rgb="FFFDE2E3"/>
      <rgbColor rgb="FF5B3FB8"/>
      <rgbColor rgb="FF33CCCC"/>
      <rgbColor rgb="FF99CC00"/>
      <rgbColor rgb="FFF2B705"/>
      <rgbColor rgb="FFFF9900"/>
      <rgbColor rgb="FFFF6600"/>
      <rgbColor rgb="FF5B6584"/>
      <rgbColor rgb="FF969696"/>
      <rgbColor rgb="FF3A4466"/>
      <rgbColor rgb="FF339966"/>
      <rgbColor rgb="FF003300"/>
      <rgbColor rgb="FF333300"/>
      <rgbColor rgb="FF9B1C24"/>
      <rgbColor rgb="FFB4541A"/>
      <rgbColor rgb="FF24448F"/>
      <rgbColor rgb="FF1E2A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B705"/>
    <pageSetUpPr fitToPage="false"/>
  </sheetPr>
  <dimension ref="A1:B3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35.8" hidden="false" customHeight="false" outlineLevel="0" collapsed="false">
      <c r="A1" s="1" t="s">
        <v>0</v>
      </c>
      <c r="B1" s="2"/>
    </row>
    <row r="2" customFormat="false" ht="23.8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4"/>
      <c r="B3" s="2"/>
    </row>
    <row r="4" customFormat="false" ht="15" hidden="false" customHeight="false" outlineLevel="0" collapsed="false">
      <c r="A4" s="5" t="s">
        <v>2</v>
      </c>
      <c r="B4" s="2"/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4" t="s">
        <v>5</v>
      </c>
      <c r="B6" s="2" t="s">
        <v>6</v>
      </c>
    </row>
    <row r="7" customFormat="false" ht="15" hidden="false" customHeight="false" outlineLevel="0" collapsed="false">
      <c r="A7" s="4" t="s">
        <v>7</v>
      </c>
      <c r="B7" s="2" t="s">
        <v>8</v>
      </c>
    </row>
    <row r="8" customFormat="false" ht="15" hidden="false" customHeight="false" outlineLevel="0" collapsed="false">
      <c r="A8" s="4" t="s">
        <v>9</v>
      </c>
      <c r="B8" s="2" t="s">
        <v>10</v>
      </c>
    </row>
    <row r="9" customFormat="false" ht="15" hidden="false" customHeight="false" outlineLevel="0" collapsed="false">
      <c r="A9" s="4" t="s">
        <v>11</v>
      </c>
      <c r="B9" s="2" t="s">
        <v>12</v>
      </c>
    </row>
    <row r="10" customFormat="false" ht="15" hidden="false" customHeight="false" outlineLevel="0" collapsed="false">
      <c r="A10" s="4" t="s">
        <v>13</v>
      </c>
      <c r="B10" s="2" t="s">
        <v>14</v>
      </c>
    </row>
    <row r="11" customFormat="false" ht="15" hidden="false" customHeight="false" outlineLevel="0" collapsed="false">
      <c r="A11" s="4"/>
      <c r="B11" s="2"/>
    </row>
    <row r="12" customFormat="false" ht="26.85" hidden="false" customHeight="false" outlineLevel="0" collapsed="false">
      <c r="A12" s="5" t="s">
        <v>15</v>
      </c>
      <c r="B12" s="2"/>
    </row>
    <row r="13" customFormat="false" ht="23.85" hidden="false" customHeight="false" outlineLevel="0" collapsed="false">
      <c r="A13" s="4" t="s">
        <v>16</v>
      </c>
      <c r="B13" s="2" t="s">
        <v>17</v>
      </c>
    </row>
    <row r="14" customFormat="false" ht="15" hidden="false" customHeight="false" outlineLevel="0" collapsed="false">
      <c r="A14" s="4" t="s">
        <v>18</v>
      </c>
      <c r="B14" s="2" t="s">
        <v>19</v>
      </c>
    </row>
    <row r="15" customFormat="false" ht="15" hidden="false" customHeight="false" outlineLevel="0" collapsed="false">
      <c r="A15" s="4" t="s">
        <v>20</v>
      </c>
      <c r="B15" s="2" t="s">
        <v>21</v>
      </c>
    </row>
    <row r="16" customFormat="false" ht="15" hidden="false" customHeight="false" outlineLevel="0" collapsed="false">
      <c r="A16" s="4" t="s">
        <v>22</v>
      </c>
      <c r="B16" s="2" t="s">
        <v>23</v>
      </c>
    </row>
    <row r="17" customFormat="false" ht="15" hidden="false" customHeight="false" outlineLevel="0" collapsed="false">
      <c r="A17" s="4" t="s">
        <v>24</v>
      </c>
      <c r="B17" s="2" t="s">
        <v>25</v>
      </c>
    </row>
    <row r="18" customFormat="false" ht="15" hidden="false" customHeight="false" outlineLevel="0" collapsed="false">
      <c r="A18" s="4" t="s">
        <v>26</v>
      </c>
      <c r="B18" s="2" t="s">
        <v>27</v>
      </c>
    </row>
    <row r="19" customFormat="false" ht="23.85" hidden="false" customHeight="false" outlineLevel="0" collapsed="false">
      <c r="A19" s="4" t="s">
        <v>28</v>
      </c>
      <c r="B19" s="2" t="s">
        <v>29</v>
      </c>
    </row>
    <row r="20" customFormat="false" ht="15" hidden="false" customHeight="false" outlineLevel="0" collapsed="false">
      <c r="A20" s="4"/>
      <c r="B20" s="2"/>
    </row>
    <row r="21" customFormat="false" ht="26.85" hidden="false" customHeight="false" outlineLevel="0" collapsed="false">
      <c r="A21" s="5" t="s">
        <v>30</v>
      </c>
      <c r="B21" s="2"/>
    </row>
    <row r="22" customFormat="false" ht="15" hidden="false" customHeight="false" outlineLevel="0" collapsed="false">
      <c r="A22" s="4" t="s">
        <v>31</v>
      </c>
      <c r="B22" s="2" t="s">
        <v>32</v>
      </c>
    </row>
    <row r="23" customFormat="false" ht="15" hidden="false" customHeight="false" outlineLevel="0" collapsed="false">
      <c r="A23" s="4" t="s">
        <v>33</v>
      </c>
      <c r="B23" s="2" t="s">
        <v>34</v>
      </c>
    </row>
    <row r="28" customFormat="false" ht="15" hidden="false" customHeight="false" outlineLevel="0" collapsed="false">
      <c r="A28" s="6" t="s">
        <v>35</v>
      </c>
    </row>
    <row r="29" customFormat="false" ht="15" hidden="false" customHeight="false" outlineLevel="0" collapsed="false">
      <c r="A29" s="7" t="s">
        <v>36</v>
      </c>
      <c r="B29" s="8" t="s">
        <v>37</v>
      </c>
    </row>
    <row r="30" customFormat="false" ht="15" hidden="false" customHeight="false" outlineLevel="0" collapsed="false">
      <c r="A30" s="9" t="s">
        <v>38</v>
      </c>
      <c r="B30" s="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41A"/>
    <pageSetUpPr fitToPage="false"/>
  </sheetPr>
  <dimension ref="A1:AQ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0" min="8" style="0" width="14"/>
    <col collapsed="false" customWidth="true" hidden="false" outlineLevel="0" max="30" min="11" style="0" width="12"/>
    <col collapsed="false" customWidth="true" hidden="false" outlineLevel="0" max="31" min="31" style="0" width="26"/>
    <col collapsed="false" customWidth="true" hidden="false" outlineLevel="0" max="32" min="32" style="0" width="18"/>
    <col collapsed="false" customWidth="true" hidden="false" outlineLevel="0" max="43" min="33" style="0" width="12"/>
  </cols>
  <sheetData>
    <row r="1" customFormat="false" ht="19.7" hidden="false" customHeight="false" outlineLevel="0" collapsed="false">
      <c r="A1" s="10" t="s">
        <v>40</v>
      </c>
    </row>
    <row r="2" customFormat="false" ht="15" hidden="false" customHeight="false" outlineLevel="0" collapsed="false">
      <c r="A2" s="11" t="s">
        <v>41</v>
      </c>
    </row>
    <row r="3" customFormat="false" ht="15" hidden="false" customHeight="false" outlineLevel="0" collapsed="false">
      <c r="A3" s="12" t="s">
        <v>42</v>
      </c>
      <c r="B3" s="12"/>
      <c r="C3" s="12"/>
      <c r="D3" s="12"/>
      <c r="E3" s="12"/>
      <c r="F3" s="12"/>
      <c r="G3" s="12"/>
      <c r="H3" s="13" t="s">
        <v>26</v>
      </c>
      <c r="I3" s="13"/>
      <c r="J3" s="13"/>
      <c r="K3" s="14" t="s">
        <v>43</v>
      </c>
      <c r="L3" s="14"/>
      <c r="M3" s="14"/>
      <c r="N3" s="14"/>
      <c r="O3" s="14"/>
      <c r="P3" s="14"/>
      <c r="Q3" s="14"/>
      <c r="R3" s="14"/>
      <c r="S3" s="15" t="s">
        <v>44</v>
      </c>
      <c r="T3" s="15"/>
      <c r="U3" s="15"/>
      <c r="V3" s="15"/>
      <c r="W3" s="15"/>
      <c r="X3" s="15"/>
      <c r="Y3" s="15"/>
      <c r="Z3" s="15"/>
      <c r="AA3" s="16" t="s">
        <v>45</v>
      </c>
      <c r="AB3" s="16"/>
      <c r="AC3" s="16"/>
      <c r="AD3" s="16"/>
      <c r="AF3" s="17" t="s">
        <v>46</v>
      </c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</row>
    <row r="4" customFormat="false" ht="57.75" hidden="false" customHeight="true" outlineLevel="0" collapsed="false">
      <c r="A4" s="18" t="s">
        <v>47</v>
      </c>
      <c r="B4" s="18" t="s">
        <v>48</v>
      </c>
      <c r="C4" s="18" t="s">
        <v>49</v>
      </c>
      <c r="D4" s="18" t="s">
        <v>50</v>
      </c>
      <c r="E4" s="18" t="s">
        <v>51</v>
      </c>
      <c r="F4" s="18" t="s">
        <v>52</v>
      </c>
      <c r="G4" s="18" t="s">
        <v>53</v>
      </c>
      <c r="H4" s="19" t="s">
        <v>54</v>
      </c>
      <c r="I4" s="19" t="s">
        <v>55</v>
      </c>
      <c r="J4" s="19" t="s">
        <v>56</v>
      </c>
      <c r="K4" s="20" t="s">
        <v>57</v>
      </c>
      <c r="L4" s="20" t="s">
        <v>58</v>
      </c>
      <c r="M4" s="21" t="s">
        <v>59</v>
      </c>
      <c r="N4" s="21" t="s">
        <v>60</v>
      </c>
      <c r="O4" s="22" t="s">
        <v>61</v>
      </c>
      <c r="P4" s="22" t="s">
        <v>62</v>
      </c>
      <c r="Q4" s="23" t="s">
        <v>63</v>
      </c>
      <c r="R4" s="23" t="s">
        <v>64</v>
      </c>
      <c r="S4" s="24" t="s">
        <v>65</v>
      </c>
      <c r="T4" s="24" t="s">
        <v>66</v>
      </c>
      <c r="U4" s="24" t="s">
        <v>67</v>
      </c>
      <c r="V4" s="24" t="s">
        <v>68</v>
      </c>
      <c r="W4" s="24" t="s">
        <v>69</v>
      </c>
      <c r="X4" s="24" t="s">
        <v>70</v>
      </c>
      <c r="Y4" s="24" t="s">
        <v>71</v>
      </c>
      <c r="Z4" s="24" t="s">
        <v>72</v>
      </c>
      <c r="AA4" s="22" t="s">
        <v>73</v>
      </c>
      <c r="AB4" s="22" t="s">
        <v>74</v>
      </c>
      <c r="AC4" s="22" t="s">
        <v>75</v>
      </c>
      <c r="AD4" s="22" t="s">
        <v>76</v>
      </c>
      <c r="AE4" s="18" t="s">
        <v>77</v>
      </c>
      <c r="AF4" s="25" t="s">
        <v>78</v>
      </c>
      <c r="AG4" s="25" t="s">
        <v>26</v>
      </c>
      <c r="AH4" s="25" t="s">
        <v>79</v>
      </c>
      <c r="AI4" s="25" t="s">
        <v>80</v>
      </c>
      <c r="AJ4" s="25" t="s">
        <v>81</v>
      </c>
      <c r="AK4" s="25" t="s">
        <v>82</v>
      </c>
      <c r="AL4" s="25" t="s">
        <v>18</v>
      </c>
      <c r="AM4" s="25" t="s">
        <v>20</v>
      </c>
      <c r="AN4" s="25" t="s">
        <v>22</v>
      </c>
      <c r="AO4" s="25" t="s">
        <v>83</v>
      </c>
      <c r="AP4" s="25" t="s">
        <v>84</v>
      </c>
      <c r="AQ4" s="25" t="s">
        <v>85</v>
      </c>
    </row>
    <row r="5" customFormat="false" ht="15" hidden="false" customHeight="false" outlineLevel="0" collapsed="false">
      <c r="A5" s="26" t="s">
        <v>86</v>
      </c>
      <c r="B5" s="26" t="s">
        <v>87</v>
      </c>
      <c r="C5" s="26" t="s">
        <v>88</v>
      </c>
      <c r="D5" s="26" t="s">
        <v>89</v>
      </c>
      <c r="E5" s="26" t="s">
        <v>90</v>
      </c>
      <c r="F5" s="26" t="s">
        <v>91</v>
      </c>
      <c r="G5" s="26" t="s">
        <v>92</v>
      </c>
      <c r="H5" s="26" t="s">
        <v>93</v>
      </c>
      <c r="I5" s="26" t="s">
        <v>94</v>
      </c>
      <c r="J5" s="26" t="s">
        <v>95</v>
      </c>
      <c r="K5" s="26" t="s">
        <v>94</v>
      </c>
      <c r="L5" s="26" t="s">
        <v>96</v>
      </c>
      <c r="M5" s="26" t="s">
        <v>94</v>
      </c>
      <c r="N5" s="26" t="s">
        <v>94</v>
      </c>
      <c r="O5" s="26" t="s">
        <v>97</v>
      </c>
      <c r="P5" s="26" t="s">
        <v>96</v>
      </c>
      <c r="Q5" s="26" t="s">
        <v>94</v>
      </c>
      <c r="R5" s="26" t="s">
        <v>98</v>
      </c>
      <c r="S5" s="26" t="s">
        <v>99</v>
      </c>
      <c r="T5" s="26" t="s">
        <v>100</v>
      </c>
      <c r="U5" s="26" t="s">
        <v>99</v>
      </c>
      <c r="V5" s="26" t="s">
        <v>100</v>
      </c>
      <c r="W5" s="26" t="s">
        <v>100</v>
      </c>
      <c r="X5" s="26" t="s">
        <v>101</v>
      </c>
      <c r="Y5" s="26" t="s">
        <v>99</v>
      </c>
      <c r="Z5" s="26" t="s">
        <v>100</v>
      </c>
      <c r="AA5" s="26" t="s">
        <v>94</v>
      </c>
      <c r="AB5" s="26" t="s">
        <v>94</v>
      </c>
      <c r="AC5" s="26" t="n">
        <v>2</v>
      </c>
      <c r="AD5" s="26" t="n">
        <v>3</v>
      </c>
      <c r="AE5" s="26" t="s">
        <v>102</v>
      </c>
      <c r="AF5" s="27" t="str">
        <f aca="false">IF($A5="","",$A5&amp;"|"&amp;$C5)</f>
        <v>תלמיד לדוגמה|תחילת שנה</v>
      </c>
      <c r="AG5" s="27" t="str">
        <f aca="false">IF($A5="","",IF(OR(H5="לא נבדק",H5=""),"לא נבדק",IF(AND(H5="בחר/ה בעצמו/ה",I5="כן",J5="לא"),"מלא",IF(OR(H5="בחר/ה בעצמו/ה",I5="כן"),"חלקי","עדיין לא"))))</f>
        <v>מלא</v>
      </c>
      <c r="AH5" s="28" t="n">
        <f aca="false">IF($A5="","",IFERROR((COUNTIF(K5:L5,"כן")+0.5*COUNTIF(K5:L5,"קצת"))/(COUNTIF(K5:L5,"כן")+COUNTIF(K5:L5,"קצת")+COUNTIF(K5:L5,"עוד לא")),""))</f>
        <v>0.75</v>
      </c>
      <c r="AI5" s="28" t="n">
        <f aca="false">IF($A5="","",IFERROR((COUNTIF(M5:N5,"כן")+0.5*COUNTIF(M5:N5,"קצת"))/(COUNTIF(M5:N5,"כן")+COUNTIF(M5:N5,"קצת")+COUNTIF(M5:N5,"עוד לא")),""))</f>
        <v>1</v>
      </c>
      <c r="AJ5" s="28" t="n">
        <f aca="false">IF($A5="","",IFERROR((COUNTIF(O5:P5,"כן")+0.5*COUNTIF(O5:P5,"קצת"))/(COUNTIF(O5:P5,"כן")+COUNTIF(O5:P5,"קצת")+COUNTIF(O5:P5,"עוד לא")),""))</f>
        <v>0.25</v>
      </c>
      <c r="AK5" s="28" t="n">
        <f aca="false">IF($A5="","",IFERROR((COUNTIF(Q5:R5,"כן")+0.5*COUNTIF(Q5:R5,"קצת"))/(COUNTIF(Q5:R5,"כן")+COUNTIF(Q5:R5,"קצת")+COUNTIF(Q5:R5,"עוד לא")),""))</f>
        <v>1</v>
      </c>
      <c r="AL5" s="28" t="n">
        <f aca="false">IF($A5="","",IFERROR((COUNTIF(K5:R5,"כן")+0.5*COUNTIF(K5:R5,"קצת"))/(COUNTIF(K5:R5,"כן")+COUNTIF(K5:R5,"קצת")+COUNTIF(K5:R5,"עוד לא")),""))</f>
        <v>0.714285714285714</v>
      </c>
      <c r="AM5" s="28" t="n">
        <f aca="false">IF($A5="","",IFERROR((COUNTIF(S5:Z5,"רוב הזמן")+0.5*COUNTIF(S5:Z5,"לפעמים"))/(COUNTIF(S5:Z5,"רוב הזמן")+COUNTIF(S5:Z5,"לפעמים")+COUNTIF(S5:Z5,"עדיין לא")),""))</f>
        <v>0.625</v>
      </c>
      <c r="AN5" s="28" t="n">
        <f aca="false">IF($A5="","",IFERROR(1-SUMPRODUCT(ABS(((K5:R5="כן")+0.5*(K5:R5="קצת"))-((S5:Z5="רוב הזמן")+0.5*(S5:Z5="לפעמים")))*(((K5:R5="כן")+(K5:R5="קצת")+(K5:R5="עוד לא"))*((S5:Z5="רוב הזמן")+(S5:Z5="לפעמים")+(S5:Z5="עדיין לא"))))/SUMPRODUCT((((K5:R5="כן")+(K5:R5="קצת")+(K5:R5="עוד לא"))*((S5:Z5="רוב הזמן")+(S5:Z5="לפעמים")+(S5:Z5="עדיין לא")))),""))</f>
        <v>0.785714285714286</v>
      </c>
      <c r="AO5" s="27" t="n">
        <f aca="false">IF($A5="","",SUMPRODUCT(((((K5:R5="כן")+0.5*(K5:R5="קצת"))-((S5:Z5="רוב הזמן")+0.5*(S5:Z5="לפעמים")))&gt;0.01)*(((K5:R5="כן")+(K5:R5="קצת")+(K5:R5="עוד לא"))*((S5:Z5="רוב הזמן")+(S5:Z5="לפעמים")+(S5:Z5="עדיין לא")))))</f>
        <v>2</v>
      </c>
      <c r="AP5" s="27" t="n">
        <f aca="false">IF($A5="","",SUMPRODUCT(((((S5:Z5="רוב הזמן")+0.5*(S5:Z5="לפעמים"))-((K5:R5="כן")+0.5*(K5:R5="קצת")))&gt;0.01)*(((K5:R5="כן")+(K5:R5="קצת")+(K5:R5="עוד לא"))*((S5:Z5="רוב הזמן")+(S5:Z5="לפעמים")+(S5:Z5="עדיין לא")))))</f>
        <v>1</v>
      </c>
      <c r="AQ5" s="27" t="n">
        <f aca="false">IF($A5="","",COUNTIF(AA5:AB5,"כן"))</f>
        <v>2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7" t="str">
        <f aca="false">IF($A6="","",$A6&amp;"|"&amp;$C6)</f>
        <v/>
      </c>
      <c r="AG6" s="27" t="str">
        <f aca="false">IF($A6="","",IF(OR(H6="לא נבדק",H6=""),"לא נבדק",IF(AND(H6="בחר/ה בעצמו/ה",I6="כן",J6="לא"),"מלא",IF(OR(H6="בחר/ה בעצמו/ה",I6="כן"),"חלקי","עדיין לא"))))</f>
        <v/>
      </c>
      <c r="AH6" s="28" t="str">
        <f aca="false">IF($A6="","",IFERROR((COUNTIF(K6:L6,"כן")+0.5*COUNTIF(K6:L6,"קצת"))/(COUNTIF(K6:L6,"כן")+COUNTIF(K6:L6,"קצת")+COUNTIF(K6:L6,"עוד לא")),""))</f>
        <v/>
      </c>
      <c r="AI6" s="28" t="str">
        <f aca="false">IF($A6="","",IFERROR((COUNTIF(M6:N6,"כן")+0.5*COUNTIF(M6:N6,"קצת"))/(COUNTIF(M6:N6,"כן")+COUNTIF(M6:N6,"קצת")+COUNTIF(M6:N6,"עוד לא")),""))</f>
        <v/>
      </c>
      <c r="AJ6" s="28" t="str">
        <f aca="false">IF($A6="","",IFERROR((COUNTIF(O6:P6,"כן")+0.5*COUNTIF(O6:P6,"קצת"))/(COUNTIF(O6:P6,"כן")+COUNTIF(O6:P6,"קצת")+COUNTIF(O6:P6,"עוד לא")),""))</f>
        <v/>
      </c>
      <c r="AK6" s="28" t="str">
        <f aca="false">IF($A6="","",IFERROR((COUNTIF(Q6:R6,"כן")+0.5*COUNTIF(Q6:R6,"קצת"))/(COUNTIF(Q6:R6,"כן")+COUNTIF(Q6:R6,"קצת")+COUNTIF(Q6:R6,"עוד לא")),""))</f>
        <v/>
      </c>
      <c r="AL6" s="28" t="str">
        <f aca="false">IF($A6="","",IFERROR((COUNTIF(K6:R6,"כן")+0.5*COUNTIF(K6:R6,"קצת"))/(COUNTIF(K6:R6,"כן")+COUNTIF(K6:R6,"קצת")+COUNTIF(K6:R6,"עוד לא")),""))</f>
        <v/>
      </c>
      <c r="AM6" s="28" t="str">
        <f aca="false">IF($A6="","",IFERROR((COUNTIF(S6:Z6,"רוב הזמן")+0.5*COUNTIF(S6:Z6,"לפעמים"))/(COUNTIF(S6:Z6,"רוב הזמן")+COUNTIF(S6:Z6,"לפעמים")+COUNTIF(S6:Z6,"עדיין לא")),""))</f>
        <v/>
      </c>
      <c r="AN6" s="28" t="str">
        <f aca="false">IF($A6="","",IFERROR(1-SUMPRODUCT(ABS(((K6:R6="כן")+0.5*(K6:R6="קצת"))-((S6:Z6="רוב הזמן")+0.5*(S6:Z6="לפעמים")))*(((K6:R6="כן")+(K6:R6="קצת")+(K6:R6="עוד לא"))*((S6:Z6="רוב הזמן")+(S6:Z6="לפעמים")+(S6:Z6="עדיין לא"))))/SUMPRODUCT((((K6:R6="כן")+(K6:R6="קצת")+(K6:R6="עוד לא"))*((S6:Z6="רוב הזמן")+(S6:Z6="לפעמים")+(S6:Z6="עדיין לא")))),""))</f>
        <v/>
      </c>
      <c r="AO6" s="27" t="str">
        <f aca="false">IF($A6="","",SUMPRODUCT(((((K6:R6="כן")+0.5*(K6:R6="קצת"))-((S6:Z6="רוב הזמן")+0.5*(S6:Z6="לפעמים")))&gt;0.01)*(((K6:R6="כן")+(K6:R6="קצת")+(K6:R6="עוד לא"))*((S6:Z6="רוב הזמן")+(S6:Z6="לפעמים")+(S6:Z6="עדיין לא")))))</f>
        <v/>
      </c>
      <c r="AP6" s="27" t="str">
        <f aca="false">IF($A6="","",SUMPRODUCT(((((S6:Z6="רוב הזמן")+0.5*(S6:Z6="לפעמים"))-((K6:R6="כן")+0.5*(K6:R6="קצת")))&gt;0.01)*(((K6:R6="כן")+(K6:R6="קצת")+(K6:R6="עוד לא"))*((S6:Z6="רוב הזמן")+(S6:Z6="לפעמים")+(S6:Z6="עדיין לא")))))</f>
        <v/>
      </c>
      <c r="AQ6" s="27" t="str">
        <f aca="false">IF($A6="","",COUNTIF(AA6:AB6,"כן"))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7" t="str">
        <f aca="false">IF($A7="","",$A7&amp;"|"&amp;$C7)</f>
        <v/>
      </c>
      <c r="AG7" s="27" t="str">
        <f aca="false">IF($A7="","",IF(OR(H7="לא נבדק",H7=""),"לא נבדק",IF(AND(H7="בחר/ה בעצמו/ה",I7="כן",J7="לא"),"מלא",IF(OR(H7="בחר/ה בעצמו/ה",I7="כן"),"חלקי","עדיין לא"))))</f>
        <v/>
      </c>
      <c r="AH7" s="28" t="str">
        <f aca="false">IF($A7="","",IFERROR((COUNTIF(K7:L7,"כן")+0.5*COUNTIF(K7:L7,"קצת"))/(COUNTIF(K7:L7,"כן")+COUNTIF(K7:L7,"קצת")+COUNTIF(K7:L7,"עוד לא")),""))</f>
        <v/>
      </c>
      <c r="AI7" s="28" t="str">
        <f aca="false">IF($A7="","",IFERROR((COUNTIF(M7:N7,"כן")+0.5*COUNTIF(M7:N7,"קצת"))/(COUNTIF(M7:N7,"כן")+COUNTIF(M7:N7,"קצת")+COUNTIF(M7:N7,"עוד לא")),""))</f>
        <v/>
      </c>
      <c r="AJ7" s="28" t="str">
        <f aca="false">IF($A7="","",IFERROR((COUNTIF(O7:P7,"כן")+0.5*COUNTIF(O7:P7,"קצת"))/(COUNTIF(O7:P7,"כן")+COUNTIF(O7:P7,"קצת")+COUNTIF(O7:P7,"עוד לא")),""))</f>
        <v/>
      </c>
      <c r="AK7" s="28" t="str">
        <f aca="false">IF($A7="","",IFERROR((COUNTIF(Q7:R7,"כן")+0.5*COUNTIF(Q7:R7,"קצת"))/(COUNTIF(Q7:R7,"כן")+COUNTIF(Q7:R7,"קצת")+COUNTIF(Q7:R7,"עוד לא")),""))</f>
        <v/>
      </c>
      <c r="AL7" s="28" t="str">
        <f aca="false">IF($A7="","",IFERROR((COUNTIF(K7:R7,"כן")+0.5*COUNTIF(K7:R7,"קצת"))/(COUNTIF(K7:R7,"כן")+COUNTIF(K7:R7,"קצת")+COUNTIF(K7:R7,"עוד לא")),""))</f>
        <v/>
      </c>
      <c r="AM7" s="28" t="str">
        <f aca="false">IF($A7="","",IFERROR((COUNTIF(S7:Z7,"רוב הזמן")+0.5*COUNTIF(S7:Z7,"לפעמים"))/(COUNTIF(S7:Z7,"רוב הזמן")+COUNTIF(S7:Z7,"לפעמים")+COUNTIF(S7:Z7,"עדיין לא")),""))</f>
        <v/>
      </c>
      <c r="AN7" s="28" t="str">
        <f aca="false">IF($A7="","",IFERROR(1-SUMPRODUCT(ABS(((K7:R7="כן")+0.5*(K7:R7="קצת"))-((S7:Z7="רוב הזמן")+0.5*(S7:Z7="לפעמים")))*(((K7:R7="כן")+(K7:R7="קצת")+(K7:R7="עוד לא"))*((S7:Z7="רוב הזמן")+(S7:Z7="לפעמים")+(S7:Z7="עדיין לא"))))/SUMPRODUCT((((K7:R7="כן")+(K7:R7="קצת")+(K7:R7="עוד לא"))*((S7:Z7="רוב הזמן")+(S7:Z7="לפעמים")+(S7:Z7="עדיין לא")))),""))</f>
        <v/>
      </c>
      <c r="AO7" s="27" t="str">
        <f aca="false">IF($A7="","",SUMPRODUCT(((((K7:R7="כן")+0.5*(K7:R7="קצת"))-((S7:Z7="רוב הזמן")+0.5*(S7:Z7="לפעמים")))&gt;0.01)*(((K7:R7="כן")+(K7:R7="קצת")+(K7:R7="עוד לא"))*((S7:Z7="רוב הזמן")+(S7:Z7="לפעמים")+(S7:Z7="עדיין לא")))))</f>
        <v/>
      </c>
      <c r="AP7" s="27" t="str">
        <f aca="false">IF($A7="","",SUMPRODUCT(((((S7:Z7="רוב הזמן")+0.5*(S7:Z7="לפעמים"))-((K7:R7="כן")+0.5*(K7:R7="קצת")))&gt;0.01)*(((K7:R7="כן")+(K7:R7="קצת")+(K7:R7="עוד לא"))*((S7:Z7="רוב הזמן")+(S7:Z7="לפעמים")+(S7:Z7="עדיין לא")))))</f>
        <v/>
      </c>
      <c r="AQ7" s="27" t="str">
        <f aca="false">IF($A7="","",COUNTIF(AA7:AB7,"כן"))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7" t="str">
        <f aca="false">IF($A8="","",$A8&amp;"|"&amp;$C8)</f>
        <v/>
      </c>
      <c r="AG8" s="27" t="str">
        <f aca="false">IF($A8="","",IF(OR(H8="לא נבדק",H8=""),"לא נבדק",IF(AND(H8="בחר/ה בעצמו/ה",I8="כן",J8="לא"),"מלא",IF(OR(H8="בחר/ה בעצמו/ה",I8="כן"),"חלקי","עדיין לא"))))</f>
        <v/>
      </c>
      <c r="AH8" s="28" t="str">
        <f aca="false">IF($A8="","",IFERROR((COUNTIF(K8:L8,"כן")+0.5*COUNTIF(K8:L8,"קצת"))/(COUNTIF(K8:L8,"כן")+COUNTIF(K8:L8,"קצת")+COUNTIF(K8:L8,"עוד לא")),""))</f>
        <v/>
      </c>
      <c r="AI8" s="28" t="str">
        <f aca="false">IF($A8="","",IFERROR((COUNTIF(M8:N8,"כן")+0.5*COUNTIF(M8:N8,"קצת"))/(COUNTIF(M8:N8,"כן")+COUNTIF(M8:N8,"קצת")+COUNTIF(M8:N8,"עוד לא")),""))</f>
        <v/>
      </c>
      <c r="AJ8" s="28" t="str">
        <f aca="false">IF($A8="","",IFERROR((COUNTIF(O8:P8,"כן")+0.5*COUNTIF(O8:P8,"קצת"))/(COUNTIF(O8:P8,"כן")+COUNTIF(O8:P8,"קצת")+COUNTIF(O8:P8,"עוד לא")),""))</f>
        <v/>
      </c>
      <c r="AK8" s="28" t="str">
        <f aca="false">IF($A8="","",IFERROR((COUNTIF(Q8:R8,"כן")+0.5*COUNTIF(Q8:R8,"קצת"))/(COUNTIF(Q8:R8,"כן")+COUNTIF(Q8:R8,"קצת")+COUNTIF(Q8:R8,"עוד לא")),""))</f>
        <v/>
      </c>
      <c r="AL8" s="28" t="str">
        <f aca="false">IF($A8="","",IFERROR((COUNTIF(K8:R8,"כן")+0.5*COUNTIF(K8:R8,"קצת"))/(COUNTIF(K8:R8,"כן")+COUNTIF(K8:R8,"קצת")+COUNTIF(K8:R8,"עוד לא")),""))</f>
        <v/>
      </c>
      <c r="AM8" s="28" t="str">
        <f aca="false">IF($A8="","",IFERROR((COUNTIF(S8:Z8,"רוב הזמן")+0.5*COUNTIF(S8:Z8,"לפעמים"))/(COUNTIF(S8:Z8,"רוב הזמן")+COUNTIF(S8:Z8,"לפעמים")+COUNTIF(S8:Z8,"עדיין לא")),""))</f>
        <v/>
      </c>
      <c r="AN8" s="28" t="str">
        <f aca="false">IF($A8="","",IFERROR(1-SUMPRODUCT(ABS(((K8:R8="כן")+0.5*(K8:R8="קצת"))-((S8:Z8="רוב הזמן")+0.5*(S8:Z8="לפעמים")))*(((K8:R8="כן")+(K8:R8="קצת")+(K8:R8="עוד לא"))*((S8:Z8="רוב הזמן")+(S8:Z8="לפעמים")+(S8:Z8="עדיין לא"))))/SUMPRODUCT((((K8:R8="כן")+(K8:R8="קצת")+(K8:R8="עוד לא"))*((S8:Z8="רוב הזמן")+(S8:Z8="לפעמים")+(S8:Z8="עדיין לא")))),""))</f>
        <v/>
      </c>
      <c r="AO8" s="27" t="str">
        <f aca="false">IF($A8="","",SUMPRODUCT(((((K8:R8="כן")+0.5*(K8:R8="קצת"))-((S8:Z8="רוב הזמן")+0.5*(S8:Z8="לפעמים")))&gt;0.01)*(((K8:R8="כן")+(K8:R8="קצת")+(K8:R8="עוד לא"))*((S8:Z8="רוב הזמן")+(S8:Z8="לפעמים")+(S8:Z8="עדיין לא")))))</f>
        <v/>
      </c>
      <c r="AP8" s="27" t="str">
        <f aca="false">IF($A8="","",SUMPRODUCT(((((S8:Z8="רוב הזמן")+0.5*(S8:Z8="לפעמים"))-((K8:R8="כן")+0.5*(K8:R8="קצת")))&gt;0.01)*(((K8:R8="כן")+(K8:R8="קצת")+(K8:R8="עוד לא"))*((S8:Z8="רוב הזמן")+(S8:Z8="לפעמים")+(S8:Z8="עדיין לא")))))</f>
        <v/>
      </c>
      <c r="AQ8" s="27" t="str">
        <f aca="false">IF($A8="","",COUNTIF(AA8:AB8,"כן"))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7" t="str">
        <f aca="false">IF($A9="","",$A9&amp;"|"&amp;$C9)</f>
        <v/>
      </c>
      <c r="AG9" s="27" t="str">
        <f aca="false">IF($A9="","",IF(OR(H9="לא נבדק",H9=""),"לא נבדק",IF(AND(H9="בחר/ה בעצמו/ה",I9="כן",J9="לא"),"מלא",IF(OR(H9="בחר/ה בעצמו/ה",I9="כן"),"חלקי","עדיין לא"))))</f>
        <v/>
      </c>
      <c r="AH9" s="28" t="str">
        <f aca="false">IF($A9="","",IFERROR((COUNTIF(K9:L9,"כן")+0.5*COUNTIF(K9:L9,"קצת"))/(COUNTIF(K9:L9,"כן")+COUNTIF(K9:L9,"קצת")+COUNTIF(K9:L9,"עוד לא")),""))</f>
        <v/>
      </c>
      <c r="AI9" s="28" t="str">
        <f aca="false">IF($A9="","",IFERROR((COUNTIF(M9:N9,"כן")+0.5*COUNTIF(M9:N9,"קצת"))/(COUNTIF(M9:N9,"כן")+COUNTIF(M9:N9,"קצת")+COUNTIF(M9:N9,"עוד לא")),""))</f>
        <v/>
      </c>
      <c r="AJ9" s="28" t="str">
        <f aca="false">IF($A9="","",IFERROR((COUNTIF(O9:P9,"כן")+0.5*COUNTIF(O9:P9,"קצת"))/(COUNTIF(O9:P9,"כן")+COUNTIF(O9:P9,"קצת")+COUNTIF(O9:P9,"עוד לא")),""))</f>
        <v/>
      </c>
      <c r="AK9" s="28" t="str">
        <f aca="false">IF($A9="","",IFERROR((COUNTIF(Q9:R9,"כן")+0.5*COUNTIF(Q9:R9,"קצת"))/(COUNTIF(Q9:R9,"כן")+COUNTIF(Q9:R9,"קצת")+COUNTIF(Q9:R9,"עוד לא")),""))</f>
        <v/>
      </c>
      <c r="AL9" s="28" t="str">
        <f aca="false">IF($A9="","",IFERROR((COUNTIF(K9:R9,"כן")+0.5*COUNTIF(K9:R9,"קצת"))/(COUNTIF(K9:R9,"כן")+COUNTIF(K9:R9,"קצת")+COUNTIF(K9:R9,"עוד לא")),""))</f>
        <v/>
      </c>
      <c r="AM9" s="28" t="str">
        <f aca="false">IF($A9="","",IFERROR((COUNTIF(S9:Z9,"רוב הזמן")+0.5*COUNTIF(S9:Z9,"לפעמים"))/(COUNTIF(S9:Z9,"רוב הזמן")+COUNTIF(S9:Z9,"לפעמים")+COUNTIF(S9:Z9,"עדיין לא")),""))</f>
        <v/>
      </c>
      <c r="AN9" s="28" t="str">
        <f aca="false">IF($A9="","",IFERROR(1-SUMPRODUCT(ABS(((K9:R9="כן")+0.5*(K9:R9="קצת"))-((S9:Z9="רוב הזמן")+0.5*(S9:Z9="לפעמים")))*(((K9:R9="כן")+(K9:R9="קצת")+(K9:R9="עוד לא"))*((S9:Z9="רוב הזמן")+(S9:Z9="לפעמים")+(S9:Z9="עדיין לא"))))/SUMPRODUCT((((K9:R9="כן")+(K9:R9="קצת")+(K9:R9="עוד לא"))*((S9:Z9="רוב הזמן")+(S9:Z9="לפעמים")+(S9:Z9="עדיין לא")))),""))</f>
        <v/>
      </c>
      <c r="AO9" s="27" t="str">
        <f aca="false">IF($A9="","",SUMPRODUCT(((((K9:R9="כן")+0.5*(K9:R9="קצת"))-((S9:Z9="רוב הזמן")+0.5*(S9:Z9="לפעמים")))&gt;0.01)*(((K9:R9="כן")+(K9:R9="קצת")+(K9:R9="עוד לא"))*((S9:Z9="רוב הזמן")+(S9:Z9="לפעמים")+(S9:Z9="עדיין לא")))))</f>
        <v/>
      </c>
      <c r="AP9" s="27" t="str">
        <f aca="false">IF($A9="","",SUMPRODUCT(((((S9:Z9="רוב הזמן")+0.5*(S9:Z9="לפעמים"))-((K9:R9="כן")+0.5*(K9:R9="קצת")))&gt;0.01)*(((K9:R9="כן")+(K9:R9="קצת")+(K9:R9="עוד לא"))*((S9:Z9="רוב הזמן")+(S9:Z9="לפעמים")+(S9:Z9="עדיין לא")))))</f>
        <v/>
      </c>
      <c r="AQ9" s="27" t="str">
        <f aca="false">IF($A9="","",COUNTIF(AA9:AB9,"כן"))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7" t="str">
        <f aca="false">IF($A10="","",$A10&amp;"|"&amp;$C10)</f>
        <v/>
      </c>
      <c r="AG10" s="27" t="str">
        <f aca="false">IF($A10="","",IF(OR(H10="לא נבדק",H10=""),"לא נבדק",IF(AND(H10="בחר/ה בעצמו/ה",I10="כן",J10="לא"),"מלא",IF(OR(H10="בחר/ה בעצמו/ה",I10="כן"),"חלקי","עדיין לא"))))</f>
        <v/>
      </c>
      <c r="AH10" s="28" t="str">
        <f aca="false">IF($A10="","",IFERROR((COUNTIF(K10:L10,"כן")+0.5*COUNTIF(K10:L10,"קצת"))/(COUNTIF(K10:L10,"כן")+COUNTIF(K10:L10,"קצת")+COUNTIF(K10:L10,"עוד לא")),""))</f>
        <v/>
      </c>
      <c r="AI10" s="28" t="str">
        <f aca="false">IF($A10="","",IFERROR((COUNTIF(M10:N10,"כן")+0.5*COUNTIF(M10:N10,"קצת"))/(COUNTIF(M10:N10,"כן")+COUNTIF(M10:N10,"קצת")+COUNTIF(M10:N10,"עוד לא")),""))</f>
        <v/>
      </c>
      <c r="AJ10" s="28" t="str">
        <f aca="false">IF($A10="","",IFERROR((COUNTIF(O10:P10,"כן")+0.5*COUNTIF(O10:P10,"קצת"))/(COUNTIF(O10:P10,"כן")+COUNTIF(O10:P10,"קצת")+COUNTIF(O10:P10,"עוד לא")),""))</f>
        <v/>
      </c>
      <c r="AK10" s="28" t="str">
        <f aca="false">IF($A10="","",IFERROR((COUNTIF(Q10:R10,"כן")+0.5*COUNTIF(Q10:R10,"קצת"))/(COUNTIF(Q10:R10,"כן")+COUNTIF(Q10:R10,"קצת")+COUNTIF(Q10:R10,"עוד לא")),""))</f>
        <v/>
      </c>
      <c r="AL10" s="28" t="str">
        <f aca="false">IF($A10="","",IFERROR((COUNTIF(K10:R10,"כן")+0.5*COUNTIF(K10:R10,"קצת"))/(COUNTIF(K10:R10,"כן")+COUNTIF(K10:R10,"קצת")+COUNTIF(K10:R10,"עוד לא")),""))</f>
        <v/>
      </c>
      <c r="AM10" s="28" t="str">
        <f aca="false">IF($A10="","",IFERROR((COUNTIF(S10:Z10,"רוב הזמן")+0.5*COUNTIF(S10:Z10,"לפעמים"))/(COUNTIF(S10:Z10,"רוב הזמן")+COUNTIF(S10:Z10,"לפעמים")+COUNTIF(S10:Z10,"עדיין לא")),""))</f>
        <v/>
      </c>
      <c r="AN10" s="28" t="str">
        <f aca="false">IF($A10="","",IFERROR(1-SUMPRODUCT(ABS(((K10:R10="כן")+0.5*(K10:R10="קצת"))-((S10:Z10="רוב הזמן")+0.5*(S10:Z10="לפעמים")))*(((K10:R10="כן")+(K10:R10="קצת")+(K10:R10="עוד לא"))*((S10:Z10="רוב הזמן")+(S10:Z10="לפעמים")+(S10:Z10="עדיין לא"))))/SUMPRODUCT((((K10:R10="כן")+(K10:R10="קצת")+(K10:R10="עוד לא"))*((S10:Z10="רוב הזמן")+(S10:Z10="לפעמים")+(S10:Z10="עדיין לא")))),""))</f>
        <v/>
      </c>
      <c r="AO10" s="27" t="str">
        <f aca="false">IF($A10="","",SUMPRODUCT(((((K10:R10="כן")+0.5*(K10:R10="קצת"))-((S10:Z10="רוב הזמן")+0.5*(S10:Z10="לפעמים")))&gt;0.01)*(((K10:R10="כן")+(K10:R10="קצת")+(K10:R10="עוד לא"))*((S10:Z10="רוב הזמן")+(S10:Z10="לפעמים")+(S10:Z10="עדיין לא")))))</f>
        <v/>
      </c>
      <c r="AP10" s="27" t="str">
        <f aca="false">IF($A10="","",SUMPRODUCT(((((S10:Z10="רוב הזמן")+0.5*(S10:Z10="לפעמים"))-((K10:R10="כן")+0.5*(K10:R10="קצת")))&gt;0.01)*(((K10:R10="כן")+(K10:R10="קצת")+(K10:R10="עוד לא"))*((S10:Z10="רוב הזמן")+(S10:Z10="לפעמים")+(S10:Z10="עדיין לא")))))</f>
        <v/>
      </c>
      <c r="AQ10" s="27" t="str">
        <f aca="false">IF($A10="","",COUNTIF(AA10:AB10,"כן"))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7" t="str">
        <f aca="false">IF($A11="","",$A11&amp;"|"&amp;$C11)</f>
        <v/>
      </c>
      <c r="AG11" s="27" t="str">
        <f aca="false">IF($A11="","",IF(OR(H11="לא נבדק",H11=""),"לא נבדק",IF(AND(H11="בחר/ה בעצמו/ה",I11="כן",J11="לא"),"מלא",IF(OR(H11="בחר/ה בעצמו/ה",I11="כן"),"חלקי","עדיין לא"))))</f>
        <v/>
      </c>
      <c r="AH11" s="28" t="str">
        <f aca="false">IF($A11="","",IFERROR((COUNTIF(K11:L11,"כן")+0.5*COUNTIF(K11:L11,"קצת"))/(COUNTIF(K11:L11,"כן")+COUNTIF(K11:L11,"קצת")+COUNTIF(K11:L11,"עוד לא")),""))</f>
        <v/>
      </c>
      <c r="AI11" s="28" t="str">
        <f aca="false">IF($A11="","",IFERROR((COUNTIF(M11:N11,"כן")+0.5*COUNTIF(M11:N11,"קצת"))/(COUNTIF(M11:N11,"כן")+COUNTIF(M11:N11,"קצת")+COUNTIF(M11:N11,"עוד לא")),""))</f>
        <v/>
      </c>
      <c r="AJ11" s="28" t="str">
        <f aca="false">IF($A11="","",IFERROR((COUNTIF(O11:P11,"כן")+0.5*COUNTIF(O11:P11,"קצת"))/(COUNTIF(O11:P11,"כן")+COUNTIF(O11:P11,"קצת")+COUNTIF(O11:P11,"עוד לא")),""))</f>
        <v/>
      </c>
      <c r="AK11" s="28" t="str">
        <f aca="false">IF($A11="","",IFERROR((COUNTIF(Q11:R11,"כן")+0.5*COUNTIF(Q11:R11,"קצת"))/(COUNTIF(Q11:R11,"כן")+COUNTIF(Q11:R11,"קצת")+COUNTIF(Q11:R11,"עוד לא")),""))</f>
        <v/>
      </c>
      <c r="AL11" s="28" t="str">
        <f aca="false">IF($A11="","",IFERROR((COUNTIF(K11:R11,"כן")+0.5*COUNTIF(K11:R11,"קצת"))/(COUNTIF(K11:R11,"כן")+COUNTIF(K11:R11,"קצת")+COUNTIF(K11:R11,"עוד לא")),""))</f>
        <v/>
      </c>
      <c r="AM11" s="28" t="str">
        <f aca="false">IF($A11="","",IFERROR((COUNTIF(S11:Z11,"רוב הזמן")+0.5*COUNTIF(S11:Z11,"לפעמים"))/(COUNTIF(S11:Z11,"רוב הזמן")+COUNTIF(S11:Z11,"לפעמים")+COUNTIF(S11:Z11,"עדיין לא")),""))</f>
        <v/>
      </c>
      <c r="AN11" s="28" t="str">
        <f aca="false">IF($A11="","",IFERROR(1-SUMPRODUCT(ABS(((K11:R11="כן")+0.5*(K11:R11="קצת"))-((S11:Z11="רוב הזמן")+0.5*(S11:Z11="לפעמים")))*(((K11:R11="כן")+(K11:R11="קצת")+(K11:R11="עוד לא"))*((S11:Z11="רוב הזמן")+(S11:Z11="לפעמים")+(S11:Z11="עדיין לא"))))/SUMPRODUCT((((K11:R11="כן")+(K11:R11="קצת")+(K11:R11="עוד לא"))*((S11:Z11="רוב הזמן")+(S11:Z11="לפעמים")+(S11:Z11="עדיין לא")))),""))</f>
        <v/>
      </c>
      <c r="AO11" s="27" t="str">
        <f aca="false">IF($A11="","",SUMPRODUCT(((((K11:R11="כן")+0.5*(K11:R11="קצת"))-((S11:Z11="רוב הזמן")+0.5*(S11:Z11="לפעמים")))&gt;0.01)*(((K11:R11="כן")+(K11:R11="קצת")+(K11:R11="עוד לא"))*((S11:Z11="רוב הזמן")+(S11:Z11="לפעמים")+(S11:Z11="עדיין לא")))))</f>
        <v/>
      </c>
      <c r="AP11" s="27" t="str">
        <f aca="false">IF($A11="","",SUMPRODUCT(((((S11:Z11="רוב הזמן")+0.5*(S11:Z11="לפעמים"))-((K11:R11="כן")+0.5*(K11:R11="קצת")))&gt;0.01)*(((K11:R11="כן")+(K11:R11="קצת")+(K11:R11="עוד לא"))*((S11:Z11="רוב הזמן")+(S11:Z11="לפעמים")+(S11:Z11="עדיין לא")))))</f>
        <v/>
      </c>
      <c r="AQ11" s="27" t="str">
        <f aca="false">IF($A11="","",COUNTIF(AA11:AB11,"כן"))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7" t="str">
        <f aca="false">IF($A12="","",$A12&amp;"|"&amp;$C12)</f>
        <v/>
      </c>
      <c r="AG12" s="27" t="str">
        <f aca="false">IF($A12="","",IF(OR(H12="לא נבדק",H12=""),"לא נבדק",IF(AND(H12="בחר/ה בעצמו/ה",I12="כן",J12="לא"),"מלא",IF(OR(H12="בחר/ה בעצמו/ה",I12="כן"),"חלקי","עדיין לא"))))</f>
        <v/>
      </c>
      <c r="AH12" s="28" t="str">
        <f aca="false">IF($A12="","",IFERROR((COUNTIF(K12:L12,"כן")+0.5*COUNTIF(K12:L12,"קצת"))/(COUNTIF(K12:L12,"כן")+COUNTIF(K12:L12,"קצת")+COUNTIF(K12:L12,"עוד לא")),""))</f>
        <v/>
      </c>
      <c r="AI12" s="28" t="str">
        <f aca="false">IF($A12="","",IFERROR((COUNTIF(M12:N12,"כן")+0.5*COUNTIF(M12:N12,"קצת"))/(COUNTIF(M12:N12,"כן")+COUNTIF(M12:N12,"קצת")+COUNTIF(M12:N12,"עוד לא")),""))</f>
        <v/>
      </c>
      <c r="AJ12" s="28" t="str">
        <f aca="false">IF($A12="","",IFERROR((COUNTIF(O12:P12,"כן")+0.5*COUNTIF(O12:P12,"קצת"))/(COUNTIF(O12:P12,"כן")+COUNTIF(O12:P12,"קצת")+COUNTIF(O12:P12,"עוד לא")),""))</f>
        <v/>
      </c>
      <c r="AK12" s="28" t="str">
        <f aca="false">IF($A12="","",IFERROR((COUNTIF(Q12:R12,"כן")+0.5*COUNTIF(Q12:R12,"קצת"))/(COUNTIF(Q12:R12,"כן")+COUNTIF(Q12:R12,"קצת")+COUNTIF(Q12:R12,"עוד לא")),""))</f>
        <v/>
      </c>
      <c r="AL12" s="28" t="str">
        <f aca="false">IF($A12="","",IFERROR((COUNTIF(K12:R12,"כן")+0.5*COUNTIF(K12:R12,"קצת"))/(COUNTIF(K12:R12,"כן")+COUNTIF(K12:R12,"קצת")+COUNTIF(K12:R12,"עוד לא")),""))</f>
        <v/>
      </c>
      <c r="AM12" s="28" t="str">
        <f aca="false">IF($A12="","",IFERROR((COUNTIF(S12:Z12,"רוב הזמן")+0.5*COUNTIF(S12:Z12,"לפעמים"))/(COUNTIF(S12:Z12,"רוב הזמן")+COUNTIF(S12:Z12,"לפעמים")+COUNTIF(S12:Z12,"עדיין לא")),""))</f>
        <v/>
      </c>
      <c r="AN12" s="28" t="str">
        <f aca="false">IF($A12="","",IFERROR(1-SUMPRODUCT(ABS(((K12:R12="כן")+0.5*(K12:R12="קצת"))-((S12:Z12="רוב הזמן")+0.5*(S12:Z12="לפעמים")))*(((K12:R12="כן")+(K12:R12="קצת")+(K12:R12="עוד לא"))*((S12:Z12="רוב הזמן")+(S12:Z12="לפעמים")+(S12:Z12="עדיין לא"))))/SUMPRODUCT((((K12:R12="כן")+(K12:R12="קצת")+(K12:R12="עוד לא"))*((S12:Z12="רוב הזמן")+(S12:Z12="לפעמים")+(S12:Z12="עדיין לא")))),""))</f>
        <v/>
      </c>
      <c r="AO12" s="27" t="str">
        <f aca="false">IF($A12="","",SUMPRODUCT(((((K12:R12="כן")+0.5*(K12:R12="קצת"))-((S12:Z12="רוב הזמן")+0.5*(S12:Z12="לפעמים")))&gt;0.01)*(((K12:R12="כן")+(K12:R12="קצת")+(K12:R12="עוד לא"))*((S12:Z12="רוב הזמן")+(S12:Z12="לפעמים")+(S12:Z12="עדיין לא")))))</f>
        <v/>
      </c>
      <c r="AP12" s="27" t="str">
        <f aca="false">IF($A12="","",SUMPRODUCT(((((S12:Z12="רוב הזמן")+0.5*(S12:Z12="לפעמים"))-((K12:R12="כן")+0.5*(K12:R12="קצת")))&gt;0.01)*(((K12:R12="כן")+(K12:R12="קצת")+(K12:R12="עוד לא"))*((S12:Z12="רוב הזמן")+(S12:Z12="לפעמים")+(S12:Z12="עדיין לא")))))</f>
        <v/>
      </c>
      <c r="AQ12" s="27" t="str">
        <f aca="false">IF($A12="","",COUNTIF(AA12:AB12,"כן"))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7" t="str">
        <f aca="false">IF($A13="","",$A13&amp;"|"&amp;$C13)</f>
        <v/>
      </c>
      <c r="AG13" s="27" t="str">
        <f aca="false">IF($A13="","",IF(OR(H13="לא נבדק",H13=""),"לא נבדק",IF(AND(H13="בחר/ה בעצמו/ה",I13="כן",J13="לא"),"מלא",IF(OR(H13="בחר/ה בעצמו/ה",I13="כן"),"חלקי","עדיין לא"))))</f>
        <v/>
      </c>
      <c r="AH13" s="28" t="str">
        <f aca="false">IF($A13="","",IFERROR((COUNTIF(K13:L13,"כן")+0.5*COUNTIF(K13:L13,"קצת"))/(COUNTIF(K13:L13,"כן")+COUNTIF(K13:L13,"קצת")+COUNTIF(K13:L13,"עוד לא")),""))</f>
        <v/>
      </c>
      <c r="AI13" s="28" t="str">
        <f aca="false">IF($A13="","",IFERROR((COUNTIF(M13:N13,"כן")+0.5*COUNTIF(M13:N13,"קצת"))/(COUNTIF(M13:N13,"כן")+COUNTIF(M13:N13,"קצת")+COUNTIF(M13:N13,"עוד לא")),""))</f>
        <v/>
      </c>
      <c r="AJ13" s="28" t="str">
        <f aca="false">IF($A13="","",IFERROR((COUNTIF(O13:P13,"כן")+0.5*COUNTIF(O13:P13,"קצת"))/(COUNTIF(O13:P13,"כן")+COUNTIF(O13:P13,"קצת")+COUNTIF(O13:P13,"עוד לא")),""))</f>
        <v/>
      </c>
      <c r="AK13" s="28" t="str">
        <f aca="false">IF($A13="","",IFERROR((COUNTIF(Q13:R13,"כן")+0.5*COUNTIF(Q13:R13,"קצת"))/(COUNTIF(Q13:R13,"כן")+COUNTIF(Q13:R13,"קצת")+COUNTIF(Q13:R13,"עוד לא")),""))</f>
        <v/>
      </c>
      <c r="AL13" s="28" t="str">
        <f aca="false">IF($A13="","",IFERROR((COUNTIF(K13:R13,"כן")+0.5*COUNTIF(K13:R13,"קצת"))/(COUNTIF(K13:R13,"כן")+COUNTIF(K13:R13,"קצת")+COUNTIF(K13:R13,"עוד לא")),""))</f>
        <v/>
      </c>
      <c r="AM13" s="28" t="str">
        <f aca="false">IF($A13="","",IFERROR((COUNTIF(S13:Z13,"רוב הזמן")+0.5*COUNTIF(S13:Z13,"לפעמים"))/(COUNTIF(S13:Z13,"רוב הזמן")+COUNTIF(S13:Z13,"לפעמים")+COUNTIF(S13:Z13,"עדיין לא")),""))</f>
        <v/>
      </c>
      <c r="AN13" s="28" t="str">
        <f aca="false">IF($A13="","",IFERROR(1-SUMPRODUCT(ABS(((K13:R13="כן")+0.5*(K13:R13="קצת"))-((S13:Z13="רוב הזמן")+0.5*(S13:Z13="לפעמים")))*(((K13:R13="כן")+(K13:R13="קצת")+(K13:R13="עוד לא"))*((S13:Z13="רוב הזמן")+(S13:Z13="לפעמים")+(S13:Z13="עדיין לא"))))/SUMPRODUCT((((K13:R13="כן")+(K13:R13="קצת")+(K13:R13="עוד לא"))*((S13:Z13="רוב הזמן")+(S13:Z13="לפעמים")+(S13:Z13="עדיין לא")))),""))</f>
        <v/>
      </c>
      <c r="AO13" s="27" t="str">
        <f aca="false">IF($A13="","",SUMPRODUCT(((((K13:R13="כן")+0.5*(K13:R13="קצת"))-((S13:Z13="רוב הזמן")+0.5*(S13:Z13="לפעמים")))&gt;0.01)*(((K13:R13="כן")+(K13:R13="קצת")+(K13:R13="עוד לא"))*((S13:Z13="רוב הזמן")+(S13:Z13="לפעמים")+(S13:Z13="עדיין לא")))))</f>
        <v/>
      </c>
      <c r="AP13" s="27" t="str">
        <f aca="false">IF($A13="","",SUMPRODUCT(((((S13:Z13="רוב הזמן")+0.5*(S13:Z13="לפעמים"))-((K13:R13="כן")+0.5*(K13:R13="קצת")))&gt;0.01)*(((K13:R13="כן")+(K13:R13="קצת")+(K13:R13="עוד לא"))*((S13:Z13="רוב הזמן")+(S13:Z13="לפעמים")+(S13:Z13="עדיין לא")))))</f>
        <v/>
      </c>
      <c r="AQ13" s="27" t="str">
        <f aca="false">IF($A13="","",COUNTIF(AA13:AB13,"כן"))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7" t="str">
        <f aca="false">IF($A14="","",$A14&amp;"|"&amp;$C14)</f>
        <v/>
      </c>
      <c r="AG14" s="27" t="str">
        <f aca="false">IF($A14="","",IF(OR(H14="לא נבדק",H14=""),"לא נבדק",IF(AND(H14="בחר/ה בעצמו/ה",I14="כן",J14="לא"),"מלא",IF(OR(H14="בחר/ה בעצמו/ה",I14="כן"),"חלקי","עדיין לא"))))</f>
        <v/>
      </c>
      <c r="AH14" s="28" t="str">
        <f aca="false">IF($A14="","",IFERROR((COUNTIF(K14:L14,"כן")+0.5*COUNTIF(K14:L14,"קצת"))/(COUNTIF(K14:L14,"כן")+COUNTIF(K14:L14,"קצת")+COUNTIF(K14:L14,"עוד לא")),""))</f>
        <v/>
      </c>
      <c r="AI14" s="28" t="str">
        <f aca="false">IF($A14="","",IFERROR((COUNTIF(M14:N14,"כן")+0.5*COUNTIF(M14:N14,"קצת"))/(COUNTIF(M14:N14,"כן")+COUNTIF(M14:N14,"קצת")+COUNTIF(M14:N14,"עוד לא")),""))</f>
        <v/>
      </c>
      <c r="AJ14" s="28" t="str">
        <f aca="false">IF($A14="","",IFERROR((COUNTIF(O14:P14,"כן")+0.5*COUNTIF(O14:P14,"קצת"))/(COUNTIF(O14:P14,"כן")+COUNTIF(O14:P14,"קצת")+COUNTIF(O14:P14,"עוד לא")),""))</f>
        <v/>
      </c>
      <c r="AK14" s="28" t="str">
        <f aca="false">IF($A14="","",IFERROR((COUNTIF(Q14:R14,"כן")+0.5*COUNTIF(Q14:R14,"קצת"))/(COUNTIF(Q14:R14,"כן")+COUNTIF(Q14:R14,"קצת")+COUNTIF(Q14:R14,"עוד לא")),""))</f>
        <v/>
      </c>
      <c r="AL14" s="28" t="str">
        <f aca="false">IF($A14="","",IFERROR((COUNTIF(K14:R14,"כן")+0.5*COUNTIF(K14:R14,"קצת"))/(COUNTIF(K14:R14,"כן")+COUNTIF(K14:R14,"קצת")+COUNTIF(K14:R14,"עוד לא")),""))</f>
        <v/>
      </c>
      <c r="AM14" s="28" t="str">
        <f aca="false">IF($A14="","",IFERROR((COUNTIF(S14:Z14,"רוב הזמן")+0.5*COUNTIF(S14:Z14,"לפעמים"))/(COUNTIF(S14:Z14,"רוב הזמן")+COUNTIF(S14:Z14,"לפעמים")+COUNTIF(S14:Z14,"עדיין לא")),""))</f>
        <v/>
      </c>
      <c r="AN14" s="28" t="str">
        <f aca="false">IF($A14="","",IFERROR(1-SUMPRODUCT(ABS(((K14:R14="כן")+0.5*(K14:R14="קצת"))-((S14:Z14="רוב הזמן")+0.5*(S14:Z14="לפעמים")))*(((K14:R14="כן")+(K14:R14="קצת")+(K14:R14="עוד לא"))*((S14:Z14="רוב הזמן")+(S14:Z14="לפעמים")+(S14:Z14="עדיין לא"))))/SUMPRODUCT((((K14:R14="כן")+(K14:R14="קצת")+(K14:R14="עוד לא"))*((S14:Z14="רוב הזמן")+(S14:Z14="לפעמים")+(S14:Z14="עדיין לא")))),""))</f>
        <v/>
      </c>
      <c r="AO14" s="27" t="str">
        <f aca="false">IF($A14="","",SUMPRODUCT(((((K14:R14="כן")+0.5*(K14:R14="קצת"))-((S14:Z14="רוב הזמן")+0.5*(S14:Z14="לפעמים")))&gt;0.01)*(((K14:R14="כן")+(K14:R14="קצת")+(K14:R14="עוד לא"))*((S14:Z14="רוב הזמן")+(S14:Z14="לפעמים")+(S14:Z14="עדיין לא")))))</f>
        <v/>
      </c>
      <c r="AP14" s="27" t="str">
        <f aca="false">IF($A14="","",SUMPRODUCT(((((S14:Z14="רוב הזמן")+0.5*(S14:Z14="לפעמים"))-((K14:R14="כן")+0.5*(K14:R14="קצת")))&gt;0.01)*(((K14:R14="כן")+(K14:R14="קצת")+(K14:R14="עוד לא"))*((S14:Z14="רוב הזמן")+(S14:Z14="לפעמים")+(S14:Z14="עדיין לא")))))</f>
        <v/>
      </c>
      <c r="AQ14" s="27" t="str">
        <f aca="false">IF($A14="","",COUNTIF(AA14:AB14,"כן"))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7" t="str">
        <f aca="false">IF($A15="","",$A15&amp;"|"&amp;$C15)</f>
        <v/>
      </c>
      <c r="AG15" s="27" t="str">
        <f aca="false">IF($A15="","",IF(OR(H15="לא נבדק",H15=""),"לא נבדק",IF(AND(H15="בחר/ה בעצמו/ה",I15="כן",J15="לא"),"מלא",IF(OR(H15="בחר/ה בעצמו/ה",I15="כן"),"חלקי","עדיין לא"))))</f>
        <v/>
      </c>
      <c r="AH15" s="28" t="str">
        <f aca="false">IF($A15="","",IFERROR((COUNTIF(K15:L15,"כן")+0.5*COUNTIF(K15:L15,"קצת"))/(COUNTIF(K15:L15,"כן")+COUNTIF(K15:L15,"קצת")+COUNTIF(K15:L15,"עוד לא")),""))</f>
        <v/>
      </c>
      <c r="AI15" s="28" t="str">
        <f aca="false">IF($A15="","",IFERROR((COUNTIF(M15:N15,"כן")+0.5*COUNTIF(M15:N15,"קצת"))/(COUNTIF(M15:N15,"כן")+COUNTIF(M15:N15,"קצת")+COUNTIF(M15:N15,"עוד לא")),""))</f>
        <v/>
      </c>
      <c r="AJ15" s="28" t="str">
        <f aca="false">IF($A15="","",IFERROR((COUNTIF(O15:P15,"כן")+0.5*COUNTIF(O15:P15,"קצת"))/(COUNTIF(O15:P15,"כן")+COUNTIF(O15:P15,"קצת")+COUNTIF(O15:P15,"עוד לא")),""))</f>
        <v/>
      </c>
      <c r="AK15" s="28" t="str">
        <f aca="false">IF($A15="","",IFERROR((COUNTIF(Q15:R15,"כן")+0.5*COUNTIF(Q15:R15,"קצת"))/(COUNTIF(Q15:R15,"כן")+COUNTIF(Q15:R15,"קצת")+COUNTIF(Q15:R15,"עוד לא")),""))</f>
        <v/>
      </c>
      <c r="AL15" s="28" t="str">
        <f aca="false">IF($A15="","",IFERROR((COUNTIF(K15:R15,"כן")+0.5*COUNTIF(K15:R15,"קצת"))/(COUNTIF(K15:R15,"כן")+COUNTIF(K15:R15,"קצת")+COUNTIF(K15:R15,"עוד לא")),""))</f>
        <v/>
      </c>
      <c r="AM15" s="28" t="str">
        <f aca="false">IF($A15="","",IFERROR((COUNTIF(S15:Z15,"רוב הזמן")+0.5*COUNTIF(S15:Z15,"לפעמים"))/(COUNTIF(S15:Z15,"רוב הזמן")+COUNTIF(S15:Z15,"לפעמים")+COUNTIF(S15:Z15,"עדיין לא")),""))</f>
        <v/>
      </c>
      <c r="AN15" s="28" t="str">
        <f aca="false">IF($A15="","",IFERROR(1-SUMPRODUCT(ABS(((K15:R15="כן")+0.5*(K15:R15="קצת"))-((S15:Z15="רוב הזמן")+0.5*(S15:Z15="לפעמים")))*(((K15:R15="כן")+(K15:R15="קצת")+(K15:R15="עוד לא"))*((S15:Z15="רוב הזמן")+(S15:Z15="לפעמים")+(S15:Z15="עדיין לא"))))/SUMPRODUCT((((K15:R15="כן")+(K15:R15="קצת")+(K15:R15="עוד לא"))*((S15:Z15="רוב הזמן")+(S15:Z15="לפעמים")+(S15:Z15="עדיין לא")))),""))</f>
        <v/>
      </c>
      <c r="AO15" s="27" t="str">
        <f aca="false">IF($A15="","",SUMPRODUCT(((((K15:R15="כן")+0.5*(K15:R15="קצת"))-((S15:Z15="רוב הזמן")+0.5*(S15:Z15="לפעמים")))&gt;0.01)*(((K15:R15="כן")+(K15:R15="קצת")+(K15:R15="עוד לא"))*((S15:Z15="רוב הזמן")+(S15:Z15="לפעמים")+(S15:Z15="עדיין לא")))))</f>
        <v/>
      </c>
      <c r="AP15" s="27" t="str">
        <f aca="false">IF($A15="","",SUMPRODUCT(((((S15:Z15="רוב הזמן")+0.5*(S15:Z15="לפעמים"))-((K15:R15="כן")+0.5*(K15:R15="קצת")))&gt;0.01)*(((K15:R15="כן")+(K15:R15="קצת")+(K15:R15="עוד לא"))*((S15:Z15="רוב הזמן")+(S15:Z15="לפעמים")+(S15:Z15="עדיין לא")))))</f>
        <v/>
      </c>
      <c r="AQ15" s="27" t="str">
        <f aca="false">IF($A15="","",COUNTIF(AA15:AB15,"כן"))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7" t="str">
        <f aca="false">IF($A16="","",$A16&amp;"|"&amp;$C16)</f>
        <v/>
      </c>
      <c r="AG16" s="27" t="str">
        <f aca="false">IF($A16="","",IF(OR(H16="לא נבדק",H16=""),"לא נבדק",IF(AND(H16="בחר/ה בעצמו/ה",I16="כן",J16="לא"),"מלא",IF(OR(H16="בחר/ה בעצמו/ה",I16="כן"),"חלקי","עדיין לא"))))</f>
        <v/>
      </c>
      <c r="AH16" s="28" t="str">
        <f aca="false">IF($A16="","",IFERROR((COUNTIF(K16:L16,"כן")+0.5*COUNTIF(K16:L16,"קצת"))/(COUNTIF(K16:L16,"כן")+COUNTIF(K16:L16,"קצת")+COUNTIF(K16:L16,"עוד לא")),""))</f>
        <v/>
      </c>
      <c r="AI16" s="28" t="str">
        <f aca="false">IF($A16="","",IFERROR((COUNTIF(M16:N16,"כן")+0.5*COUNTIF(M16:N16,"קצת"))/(COUNTIF(M16:N16,"כן")+COUNTIF(M16:N16,"קצת")+COUNTIF(M16:N16,"עוד לא")),""))</f>
        <v/>
      </c>
      <c r="AJ16" s="28" t="str">
        <f aca="false">IF($A16="","",IFERROR((COUNTIF(O16:P16,"כן")+0.5*COUNTIF(O16:P16,"קצת"))/(COUNTIF(O16:P16,"כן")+COUNTIF(O16:P16,"קצת")+COUNTIF(O16:P16,"עוד לא")),""))</f>
        <v/>
      </c>
      <c r="AK16" s="28" t="str">
        <f aca="false">IF($A16="","",IFERROR((COUNTIF(Q16:R16,"כן")+0.5*COUNTIF(Q16:R16,"קצת"))/(COUNTIF(Q16:R16,"כן")+COUNTIF(Q16:R16,"קצת")+COUNTIF(Q16:R16,"עוד לא")),""))</f>
        <v/>
      </c>
      <c r="AL16" s="28" t="str">
        <f aca="false">IF($A16="","",IFERROR((COUNTIF(K16:R16,"כן")+0.5*COUNTIF(K16:R16,"קצת"))/(COUNTIF(K16:R16,"כן")+COUNTIF(K16:R16,"קצת")+COUNTIF(K16:R16,"עוד לא")),""))</f>
        <v/>
      </c>
      <c r="AM16" s="28" t="str">
        <f aca="false">IF($A16="","",IFERROR((COUNTIF(S16:Z16,"רוב הזמן")+0.5*COUNTIF(S16:Z16,"לפעמים"))/(COUNTIF(S16:Z16,"רוב הזמן")+COUNTIF(S16:Z16,"לפעמים")+COUNTIF(S16:Z16,"עדיין לא")),""))</f>
        <v/>
      </c>
      <c r="AN16" s="28" t="str">
        <f aca="false">IF($A16="","",IFERROR(1-SUMPRODUCT(ABS(((K16:R16="כן")+0.5*(K16:R16="קצת"))-((S16:Z16="רוב הזמן")+0.5*(S16:Z16="לפעמים")))*(((K16:R16="כן")+(K16:R16="קצת")+(K16:R16="עוד לא"))*((S16:Z16="רוב הזמן")+(S16:Z16="לפעמים")+(S16:Z16="עדיין לא"))))/SUMPRODUCT((((K16:R16="כן")+(K16:R16="קצת")+(K16:R16="עוד לא"))*((S16:Z16="רוב הזמן")+(S16:Z16="לפעמים")+(S16:Z16="עדיין לא")))),""))</f>
        <v/>
      </c>
      <c r="AO16" s="27" t="str">
        <f aca="false">IF($A16="","",SUMPRODUCT(((((K16:R16="כן")+0.5*(K16:R16="קצת"))-((S16:Z16="רוב הזמן")+0.5*(S16:Z16="לפעמים")))&gt;0.01)*(((K16:R16="כן")+(K16:R16="קצת")+(K16:R16="עוד לא"))*((S16:Z16="רוב הזמן")+(S16:Z16="לפעמים")+(S16:Z16="עדיין לא")))))</f>
        <v/>
      </c>
      <c r="AP16" s="27" t="str">
        <f aca="false">IF($A16="","",SUMPRODUCT(((((S16:Z16="רוב הזמן")+0.5*(S16:Z16="לפעמים"))-((K16:R16="כן")+0.5*(K16:R16="קצת")))&gt;0.01)*(((K16:R16="כן")+(K16:R16="קצת")+(K16:R16="עוד לא"))*((S16:Z16="רוב הזמן")+(S16:Z16="לפעמים")+(S16:Z16="עדיין לא")))))</f>
        <v/>
      </c>
      <c r="AQ16" s="27" t="str">
        <f aca="false">IF($A16="","",COUNTIF(AA16:AB16,"כן"))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7" t="str">
        <f aca="false">IF($A17="","",$A17&amp;"|"&amp;$C17)</f>
        <v/>
      </c>
      <c r="AG17" s="27" t="str">
        <f aca="false">IF($A17="","",IF(OR(H17="לא נבדק",H17=""),"לא נבדק",IF(AND(H17="בחר/ה בעצמו/ה",I17="כן",J17="לא"),"מלא",IF(OR(H17="בחר/ה בעצמו/ה",I17="כן"),"חלקי","עדיין לא"))))</f>
        <v/>
      </c>
      <c r="AH17" s="28" t="str">
        <f aca="false">IF($A17="","",IFERROR((COUNTIF(K17:L17,"כן")+0.5*COUNTIF(K17:L17,"קצת"))/(COUNTIF(K17:L17,"כן")+COUNTIF(K17:L17,"קצת")+COUNTIF(K17:L17,"עוד לא")),""))</f>
        <v/>
      </c>
      <c r="AI17" s="28" t="str">
        <f aca="false">IF($A17="","",IFERROR((COUNTIF(M17:N17,"כן")+0.5*COUNTIF(M17:N17,"קצת"))/(COUNTIF(M17:N17,"כן")+COUNTIF(M17:N17,"קצת")+COUNTIF(M17:N17,"עוד לא")),""))</f>
        <v/>
      </c>
      <c r="AJ17" s="28" t="str">
        <f aca="false">IF($A17="","",IFERROR((COUNTIF(O17:P17,"כן")+0.5*COUNTIF(O17:P17,"קצת"))/(COUNTIF(O17:P17,"כן")+COUNTIF(O17:P17,"קצת")+COUNTIF(O17:P17,"עוד לא")),""))</f>
        <v/>
      </c>
      <c r="AK17" s="28" t="str">
        <f aca="false">IF($A17="","",IFERROR((COUNTIF(Q17:R17,"כן")+0.5*COUNTIF(Q17:R17,"קצת"))/(COUNTIF(Q17:R17,"כן")+COUNTIF(Q17:R17,"קצת")+COUNTIF(Q17:R17,"עוד לא")),""))</f>
        <v/>
      </c>
      <c r="AL17" s="28" t="str">
        <f aca="false">IF($A17="","",IFERROR((COUNTIF(K17:R17,"כן")+0.5*COUNTIF(K17:R17,"קצת"))/(COUNTIF(K17:R17,"כן")+COUNTIF(K17:R17,"קצת")+COUNTIF(K17:R17,"עוד לא")),""))</f>
        <v/>
      </c>
      <c r="AM17" s="28" t="str">
        <f aca="false">IF($A17="","",IFERROR((COUNTIF(S17:Z17,"רוב הזמן")+0.5*COUNTIF(S17:Z17,"לפעמים"))/(COUNTIF(S17:Z17,"רוב הזמן")+COUNTIF(S17:Z17,"לפעמים")+COUNTIF(S17:Z17,"עדיין לא")),""))</f>
        <v/>
      </c>
      <c r="AN17" s="28" t="str">
        <f aca="false">IF($A17="","",IFERROR(1-SUMPRODUCT(ABS(((K17:R17="כן")+0.5*(K17:R17="קצת"))-((S17:Z17="רוב הזמן")+0.5*(S17:Z17="לפעמים")))*(((K17:R17="כן")+(K17:R17="קצת")+(K17:R17="עוד לא"))*((S17:Z17="רוב הזמן")+(S17:Z17="לפעמים")+(S17:Z17="עדיין לא"))))/SUMPRODUCT((((K17:R17="כן")+(K17:R17="קצת")+(K17:R17="עוד לא"))*((S17:Z17="רוב הזמן")+(S17:Z17="לפעמים")+(S17:Z17="עדיין לא")))),""))</f>
        <v/>
      </c>
      <c r="AO17" s="27" t="str">
        <f aca="false">IF($A17="","",SUMPRODUCT(((((K17:R17="כן")+0.5*(K17:R17="קצת"))-((S17:Z17="רוב הזמן")+0.5*(S17:Z17="לפעמים")))&gt;0.01)*(((K17:R17="כן")+(K17:R17="קצת")+(K17:R17="עוד לא"))*((S17:Z17="רוב הזמן")+(S17:Z17="לפעמים")+(S17:Z17="עדיין לא")))))</f>
        <v/>
      </c>
      <c r="AP17" s="27" t="str">
        <f aca="false">IF($A17="","",SUMPRODUCT(((((S17:Z17="רוב הזמן")+0.5*(S17:Z17="לפעמים"))-((K17:R17="כן")+0.5*(K17:R17="קצת")))&gt;0.01)*(((K17:R17="כן")+(K17:R17="קצת")+(K17:R17="עוד לא"))*((S17:Z17="רוב הזמן")+(S17:Z17="לפעמים")+(S17:Z17="עדיין לא")))))</f>
        <v/>
      </c>
      <c r="AQ17" s="27" t="str">
        <f aca="false">IF($A17="","",COUNTIF(AA17:AB17,"כן"))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7" t="str">
        <f aca="false">IF($A18="","",$A18&amp;"|"&amp;$C18)</f>
        <v/>
      </c>
      <c r="AG18" s="27" t="str">
        <f aca="false">IF($A18="","",IF(OR(H18="לא נבדק",H18=""),"לא נבדק",IF(AND(H18="בחר/ה בעצמו/ה",I18="כן",J18="לא"),"מלא",IF(OR(H18="בחר/ה בעצמו/ה",I18="כן"),"חלקי","עדיין לא"))))</f>
        <v/>
      </c>
      <c r="AH18" s="28" t="str">
        <f aca="false">IF($A18="","",IFERROR((COUNTIF(K18:L18,"כן")+0.5*COUNTIF(K18:L18,"קצת"))/(COUNTIF(K18:L18,"כן")+COUNTIF(K18:L18,"קצת")+COUNTIF(K18:L18,"עוד לא")),""))</f>
        <v/>
      </c>
      <c r="AI18" s="28" t="str">
        <f aca="false">IF($A18="","",IFERROR((COUNTIF(M18:N18,"כן")+0.5*COUNTIF(M18:N18,"קצת"))/(COUNTIF(M18:N18,"כן")+COUNTIF(M18:N18,"קצת")+COUNTIF(M18:N18,"עוד לא")),""))</f>
        <v/>
      </c>
      <c r="AJ18" s="28" t="str">
        <f aca="false">IF($A18="","",IFERROR((COUNTIF(O18:P18,"כן")+0.5*COUNTIF(O18:P18,"קצת"))/(COUNTIF(O18:P18,"כן")+COUNTIF(O18:P18,"קצת")+COUNTIF(O18:P18,"עוד לא")),""))</f>
        <v/>
      </c>
      <c r="AK18" s="28" t="str">
        <f aca="false">IF($A18="","",IFERROR((COUNTIF(Q18:R18,"כן")+0.5*COUNTIF(Q18:R18,"קצת"))/(COUNTIF(Q18:R18,"כן")+COUNTIF(Q18:R18,"קצת")+COUNTIF(Q18:R18,"עוד לא")),""))</f>
        <v/>
      </c>
      <c r="AL18" s="28" t="str">
        <f aca="false">IF($A18="","",IFERROR((COUNTIF(K18:R18,"כן")+0.5*COUNTIF(K18:R18,"קצת"))/(COUNTIF(K18:R18,"כן")+COUNTIF(K18:R18,"קצת")+COUNTIF(K18:R18,"עוד לא")),""))</f>
        <v/>
      </c>
      <c r="AM18" s="28" t="str">
        <f aca="false">IF($A18="","",IFERROR((COUNTIF(S18:Z18,"רוב הזמן")+0.5*COUNTIF(S18:Z18,"לפעמים"))/(COUNTIF(S18:Z18,"רוב הזמן")+COUNTIF(S18:Z18,"לפעמים")+COUNTIF(S18:Z18,"עדיין לא")),""))</f>
        <v/>
      </c>
      <c r="AN18" s="28" t="str">
        <f aca="false">IF($A18="","",IFERROR(1-SUMPRODUCT(ABS(((K18:R18="כן")+0.5*(K18:R18="קצת"))-((S18:Z18="רוב הזמן")+0.5*(S18:Z18="לפעמים")))*(((K18:R18="כן")+(K18:R18="קצת")+(K18:R18="עוד לא"))*((S18:Z18="רוב הזמן")+(S18:Z18="לפעמים")+(S18:Z18="עדיין לא"))))/SUMPRODUCT((((K18:R18="כן")+(K18:R18="קצת")+(K18:R18="עוד לא"))*((S18:Z18="רוב הזמן")+(S18:Z18="לפעמים")+(S18:Z18="עדיין לא")))),""))</f>
        <v/>
      </c>
      <c r="AO18" s="27" t="str">
        <f aca="false">IF($A18="","",SUMPRODUCT(((((K18:R18="כן")+0.5*(K18:R18="קצת"))-((S18:Z18="רוב הזמן")+0.5*(S18:Z18="לפעמים")))&gt;0.01)*(((K18:R18="כן")+(K18:R18="קצת")+(K18:R18="עוד לא"))*((S18:Z18="רוב הזמן")+(S18:Z18="לפעמים")+(S18:Z18="עדיין לא")))))</f>
        <v/>
      </c>
      <c r="AP18" s="27" t="str">
        <f aca="false">IF($A18="","",SUMPRODUCT(((((S18:Z18="רוב הזמן")+0.5*(S18:Z18="לפעמים"))-((K18:R18="כן")+0.5*(K18:R18="קצת")))&gt;0.01)*(((K18:R18="כן")+(K18:R18="קצת")+(K18:R18="עוד לא"))*((S18:Z18="רוב הזמן")+(S18:Z18="לפעמים")+(S18:Z18="עדיין לא")))))</f>
        <v/>
      </c>
      <c r="AQ18" s="27" t="str">
        <f aca="false">IF($A18="","",COUNTIF(AA18:AB18,"כן"))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7" t="str">
        <f aca="false">IF($A19="","",$A19&amp;"|"&amp;$C19)</f>
        <v/>
      </c>
      <c r="AG19" s="27" t="str">
        <f aca="false">IF($A19="","",IF(OR(H19="לא נבדק",H19=""),"לא נבדק",IF(AND(H19="בחר/ה בעצמו/ה",I19="כן",J19="לא"),"מלא",IF(OR(H19="בחר/ה בעצמו/ה",I19="כן"),"חלקי","עדיין לא"))))</f>
        <v/>
      </c>
      <c r="AH19" s="28" t="str">
        <f aca="false">IF($A19="","",IFERROR((COUNTIF(K19:L19,"כן")+0.5*COUNTIF(K19:L19,"קצת"))/(COUNTIF(K19:L19,"כן")+COUNTIF(K19:L19,"קצת")+COUNTIF(K19:L19,"עוד לא")),""))</f>
        <v/>
      </c>
      <c r="AI19" s="28" t="str">
        <f aca="false">IF($A19="","",IFERROR((COUNTIF(M19:N19,"כן")+0.5*COUNTIF(M19:N19,"קצת"))/(COUNTIF(M19:N19,"כן")+COUNTIF(M19:N19,"קצת")+COUNTIF(M19:N19,"עוד לא")),""))</f>
        <v/>
      </c>
      <c r="AJ19" s="28" t="str">
        <f aca="false">IF($A19="","",IFERROR((COUNTIF(O19:P19,"כן")+0.5*COUNTIF(O19:P19,"קצת"))/(COUNTIF(O19:P19,"כן")+COUNTIF(O19:P19,"קצת")+COUNTIF(O19:P19,"עוד לא")),""))</f>
        <v/>
      </c>
      <c r="AK19" s="28" t="str">
        <f aca="false">IF($A19="","",IFERROR((COUNTIF(Q19:R19,"כן")+0.5*COUNTIF(Q19:R19,"קצת"))/(COUNTIF(Q19:R19,"כן")+COUNTIF(Q19:R19,"קצת")+COUNTIF(Q19:R19,"עוד לא")),""))</f>
        <v/>
      </c>
      <c r="AL19" s="28" t="str">
        <f aca="false">IF($A19="","",IFERROR((COUNTIF(K19:R19,"כן")+0.5*COUNTIF(K19:R19,"קצת"))/(COUNTIF(K19:R19,"כן")+COUNTIF(K19:R19,"קצת")+COUNTIF(K19:R19,"עוד לא")),""))</f>
        <v/>
      </c>
      <c r="AM19" s="28" t="str">
        <f aca="false">IF($A19="","",IFERROR((COUNTIF(S19:Z19,"רוב הזמן")+0.5*COUNTIF(S19:Z19,"לפעמים"))/(COUNTIF(S19:Z19,"רוב הזמן")+COUNTIF(S19:Z19,"לפעמים")+COUNTIF(S19:Z19,"עדיין לא")),""))</f>
        <v/>
      </c>
      <c r="AN19" s="28" t="str">
        <f aca="false">IF($A19="","",IFERROR(1-SUMPRODUCT(ABS(((K19:R19="כן")+0.5*(K19:R19="קצת"))-((S19:Z19="רוב הזמן")+0.5*(S19:Z19="לפעמים")))*(((K19:R19="כן")+(K19:R19="קצת")+(K19:R19="עוד לא"))*((S19:Z19="רוב הזמן")+(S19:Z19="לפעמים")+(S19:Z19="עדיין לא"))))/SUMPRODUCT((((K19:R19="כן")+(K19:R19="קצת")+(K19:R19="עוד לא"))*((S19:Z19="רוב הזמן")+(S19:Z19="לפעמים")+(S19:Z19="עדיין לא")))),""))</f>
        <v/>
      </c>
      <c r="AO19" s="27" t="str">
        <f aca="false">IF($A19="","",SUMPRODUCT(((((K19:R19="כן")+0.5*(K19:R19="קצת"))-((S19:Z19="רוב הזמן")+0.5*(S19:Z19="לפעמים")))&gt;0.01)*(((K19:R19="כן")+(K19:R19="קצת")+(K19:R19="עוד לא"))*((S19:Z19="רוב הזמן")+(S19:Z19="לפעמים")+(S19:Z19="עדיין לא")))))</f>
        <v/>
      </c>
      <c r="AP19" s="27" t="str">
        <f aca="false">IF($A19="","",SUMPRODUCT(((((S19:Z19="רוב הזמן")+0.5*(S19:Z19="לפעמים"))-((K19:R19="כן")+0.5*(K19:R19="קצת")))&gt;0.01)*(((K19:R19="כן")+(K19:R19="קצת")+(K19:R19="עוד לא"))*((S19:Z19="רוב הזמן")+(S19:Z19="לפעמים")+(S19:Z19="עדיין לא")))))</f>
        <v/>
      </c>
      <c r="AQ19" s="27" t="str">
        <f aca="false">IF($A19="","",COUNTIF(AA19:AB19,"כן"))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7" t="str">
        <f aca="false">IF($A20="","",$A20&amp;"|"&amp;$C20)</f>
        <v/>
      </c>
      <c r="AG20" s="27" t="str">
        <f aca="false">IF($A20="","",IF(OR(H20="לא נבדק",H20=""),"לא נבדק",IF(AND(H20="בחר/ה בעצמו/ה",I20="כן",J20="לא"),"מלא",IF(OR(H20="בחר/ה בעצמו/ה",I20="כן"),"חלקי","עדיין לא"))))</f>
        <v/>
      </c>
      <c r="AH20" s="28" t="str">
        <f aca="false">IF($A20="","",IFERROR((COUNTIF(K20:L20,"כן")+0.5*COUNTIF(K20:L20,"קצת"))/(COUNTIF(K20:L20,"כן")+COUNTIF(K20:L20,"קצת")+COUNTIF(K20:L20,"עוד לא")),""))</f>
        <v/>
      </c>
      <c r="AI20" s="28" t="str">
        <f aca="false">IF($A20="","",IFERROR((COUNTIF(M20:N20,"כן")+0.5*COUNTIF(M20:N20,"קצת"))/(COUNTIF(M20:N20,"כן")+COUNTIF(M20:N20,"קצת")+COUNTIF(M20:N20,"עוד לא")),""))</f>
        <v/>
      </c>
      <c r="AJ20" s="28" t="str">
        <f aca="false">IF($A20="","",IFERROR((COUNTIF(O20:P20,"כן")+0.5*COUNTIF(O20:P20,"קצת"))/(COUNTIF(O20:P20,"כן")+COUNTIF(O20:P20,"קצת")+COUNTIF(O20:P20,"עוד לא")),""))</f>
        <v/>
      </c>
      <c r="AK20" s="28" t="str">
        <f aca="false">IF($A20="","",IFERROR((COUNTIF(Q20:R20,"כן")+0.5*COUNTIF(Q20:R20,"קצת"))/(COUNTIF(Q20:R20,"כן")+COUNTIF(Q20:R20,"קצת")+COUNTIF(Q20:R20,"עוד לא")),""))</f>
        <v/>
      </c>
      <c r="AL20" s="28" t="str">
        <f aca="false">IF($A20="","",IFERROR((COUNTIF(K20:R20,"כן")+0.5*COUNTIF(K20:R20,"קצת"))/(COUNTIF(K20:R20,"כן")+COUNTIF(K20:R20,"קצת")+COUNTIF(K20:R20,"עוד לא")),""))</f>
        <v/>
      </c>
      <c r="AM20" s="28" t="str">
        <f aca="false">IF($A20="","",IFERROR((COUNTIF(S20:Z20,"רוב הזמן")+0.5*COUNTIF(S20:Z20,"לפעמים"))/(COUNTIF(S20:Z20,"רוב הזמן")+COUNTIF(S20:Z20,"לפעמים")+COUNTIF(S20:Z20,"עדיין לא")),""))</f>
        <v/>
      </c>
      <c r="AN20" s="28" t="str">
        <f aca="false">IF($A20="","",IFERROR(1-SUMPRODUCT(ABS(((K20:R20="כן")+0.5*(K20:R20="קצת"))-((S20:Z20="רוב הזמן")+0.5*(S20:Z20="לפעמים")))*(((K20:R20="כן")+(K20:R20="קצת")+(K20:R20="עוד לא"))*((S20:Z20="רוב הזמן")+(S20:Z20="לפעמים")+(S20:Z20="עדיין לא"))))/SUMPRODUCT((((K20:R20="כן")+(K20:R20="קצת")+(K20:R20="עוד לא"))*((S20:Z20="רוב הזמן")+(S20:Z20="לפעמים")+(S20:Z20="עדיין לא")))),""))</f>
        <v/>
      </c>
      <c r="AO20" s="27" t="str">
        <f aca="false">IF($A20="","",SUMPRODUCT(((((K20:R20="כן")+0.5*(K20:R20="קצת"))-((S20:Z20="רוב הזמן")+0.5*(S20:Z20="לפעמים")))&gt;0.01)*(((K20:R20="כן")+(K20:R20="קצת")+(K20:R20="עוד לא"))*((S20:Z20="רוב הזמן")+(S20:Z20="לפעמים")+(S20:Z20="עדיין לא")))))</f>
        <v/>
      </c>
      <c r="AP20" s="27" t="str">
        <f aca="false">IF($A20="","",SUMPRODUCT(((((S20:Z20="רוב הזמן")+0.5*(S20:Z20="לפעמים"))-((K20:R20="כן")+0.5*(K20:R20="קצת")))&gt;0.01)*(((K20:R20="כן")+(K20:R20="קצת")+(K20:R20="עוד לא"))*((S20:Z20="רוב הזמן")+(S20:Z20="לפעמים")+(S20:Z20="עדיין לא")))))</f>
        <v/>
      </c>
      <c r="AQ20" s="27" t="str">
        <f aca="false">IF($A20="","",COUNTIF(AA20:AB20,"כן"))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7" t="str">
        <f aca="false">IF($A21="","",$A21&amp;"|"&amp;$C21)</f>
        <v/>
      </c>
      <c r="AG21" s="27" t="str">
        <f aca="false">IF($A21="","",IF(OR(H21="לא נבדק",H21=""),"לא נבדק",IF(AND(H21="בחר/ה בעצמו/ה",I21="כן",J21="לא"),"מלא",IF(OR(H21="בחר/ה בעצמו/ה",I21="כן"),"חלקי","עדיין לא"))))</f>
        <v/>
      </c>
      <c r="AH21" s="28" t="str">
        <f aca="false">IF($A21="","",IFERROR((COUNTIF(K21:L21,"כן")+0.5*COUNTIF(K21:L21,"קצת"))/(COUNTIF(K21:L21,"כן")+COUNTIF(K21:L21,"קצת")+COUNTIF(K21:L21,"עוד לא")),""))</f>
        <v/>
      </c>
      <c r="AI21" s="28" t="str">
        <f aca="false">IF($A21="","",IFERROR((COUNTIF(M21:N21,"כן")+0.5*COUNTIF(M21:N21,"קצת"))/(COUNTIF(M21:N21,"כן")+COUNTIF(M21:N21,"קצת")+COUNTIF(M21:N21,"עוד לא")),""))</f>
        <v/>
      </c>
      <c r="AJ21" s="28" t="str">
        <f aca="false">IF($A21="","",IFERROR((COUNTIF(O21:P21,"כן")+0.5*COUNTIF(O21:P21,"קצת"))/(COUNTIF(O21:P21,"כן")+COUNTIF(O21:P21,"קצת")+COUNTIF(O21:P21,"עוד לא")),""))</f>
        <v/>
      </c>
      <c r="AK21" s="28" t="str">
        <f aca="false">IF($A21="","",IFERROR((COUNTIF(Q21:R21,"כן")+0.5*COUNTIF(Q21:R21,"קצת"))/(COUNTIF(Q21:R21,"כן")+COUNTIF(Q21:R21,"קצת")+COUNTIF(Q21:R21,"עוד לא")),""))</f>
        <v/>
      </c>
      <c r="AL21" s="28" t="str">
        <f aca="false">IF($A21="","",IFERROR((COUNTIF(K21:R21,"כן")+0.5*COUNTIF(K21:R21,"קצת"))/(COUNTIF(K21:R21,"כן")+COUNTIF(K21:R21,"קצת")+COUNTIF(K21:R21,"עוד לא")),""))</f>
        <v/>
      </c>
      <c r="AM21" s="28" t="str">
        <f aca="false">IF($A21="","",IFERROR((COUNTIF(S21:Z21,"רוב הזמן")+0.5*COUNTIF(S21:Z21,"לפעמים"))/(COUNTIF(S21:Z21,"רוב הזמן")+COUNTIF(S21:Z21,"לפעמים")+COUNTIF(S21:Z21,"עדיין לא")),""))</f>
        <v/>
      </c>
      <c r="AN21" s="28" t="str">
        <f aca="false">IF($A21="","",IFERROR(1-SUMPRODUCT(ABS(((K21:R21="כן")+0.5*(K21:R21="קצת"))-((S21:Z21="רוב הזמן")+0.5*(S21:Z21="לפעמים")))*(((K21:R21="כן")+(K21:R21="קצת")+(K21:R21="עוד לא"))*((S21:Z21="רוב הזמן")+(S21:Z21="לפעמים")+(S21:Z21="עדיין לא"))))/SUMPRODUCT((((K21:R21="כן")+(K21:R21="קצת")+(K21:R21="עוד לא"))*((S21:Z21="רוב הזמן")+(S21:Z21="לפעמים")+(S21:Z21="עדיין לא")))),""))</f>
        <v/>
      </c>
      <c r="AO21" s="27" t="str">
        <f aca="false">IF($A21="","",SUMPRODUCT(((((K21:R21="כן")+0.5*(K21:R21="קצת"))-((S21:Z21="רוב הזמן")+0.5*(S21:Z21="לפעמים")))&gt;0.01)*(((K21:R21="כן")+(K21:R21="קצת")+(K21:R21="עוד לא"))*((S21:Z21="רוב הזמן")+(S21:Z21="לפעמים")+(S21:Z21="עדיין לא")))))</f>
        <v/>
      </c>
      <c r="AP21" s="27" t="str">
        <f aca="false">IF($A21="","",SUMPRODUCT(((((S21:Z21="רוב הזמן")+0.5*(S21:Z21="לפעמים"))-((K21:R21="כן")+0.5*(K21:R21="קצת")))&gt;0.01)*(((K21:R21="כן")+(K21:R21="קצת")+(K21:R21="עוד לא"))*((S21:Z21="רוב הזמן")+(S21:Z21="לפעמים")+(S21:Z21="עדיין לא")))))</f>
        <v/>
      </c>
      <c r="AQ21" s="27" t="str">
        <f aca="false">IF($A21="","",COUNTIF(AA21:AB21,"כן"))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7" t="str">
        <f aca="false">IF($A22="","",$A22&amp;"|"&amp;$C22)</f>
        <v/>
      </c>
      <c r="AG22" s="27" t="str">
        <f aca="false">IF($A22="","",IF(OR(H22="לא נבדק",H22=""),"לא נבדק",IF(AND(H22="בחר/ה בעצמו/ה",I22="כן",J22="לא"),"מלא",IF(OR(H22="בחר/ה בעצמו/ה",I22="כן"),"חלקי","עדיין לא"))))</f>
        <v/>
      </c>
      <c r="AH22" s="28" t="str">
        <f aca="false">IF($A22="","",IFERROR((COUNTIF(K22:L22,"כן")+0.5*COUNTIF(K22:L22,"קצת"))/(COUNTIF(K22:L22,"כן")+COUNTIF(K22:L22,"קצת")+COUNTIF(K22:L22,"עוד לא")),""))</f>
        <v/>
      </c>
      <c r="AI22" s="28" t="str">
        <f aca="false">IF($A22="","",IFERROR((COUNTIF(M22:N22,"כן")+0.5*COUNTIF(M22:N22,"קצת"))/(COUNTIF(M22:N22,"כן")+COUNTIF(M22:N22,"קצת")+COUNTIF(M22:N22,"עוד לא")),""))</f>
        <v/>
      </c>
      <c r="AJ22" s="28" t="str">
        <f aca="false">IF($A22="","",IFERROR((COUNTIF(O22:P22,"כן")+0.5*COUNTIF(O22:P22,"קצת"))/(COUNTIF(O22:P22,"כן")+COUNTIF(O22:P22,"קצת")+COUNTIF(O22:P22,"עוד לא")),""))</f>
        <v/>
      </c>
      <c r="AK22" s="28" t="str">
        <f aca="false">IF($A22="","",IFERROR((COUNTIF(Q22:R22,"כן")+0.5*COUNTIF(Q22:R22,"קצת"))/(COUNTIF(Q22:R22,"כן")+COUNTIF(Q22:R22,"קצת")+COUNTIF(Q22:R22,"עוד לא")),""))</f>
        <v/>
      </c>
      <c r="AL22" s="28" t="str">
        <f aca="false">IF($A22="","",IFERROR((COUNTIF(K22:R22,"כן")+0.5*COUNTIF(K22:R22,"קצת"))/(COUNTIF(K22:R22,"כן")+COUNTIF(K22:R22,"קצת")+COUNTIF(K22:R22,"עוד לא")),""))</f>
        <v/>
      </c>
      <c r="AM22" s="28" t="str">
        <f aca="false">IF($A22="","",IFERROR((COUNTIF(S22:Z22,"רוב הזמן")+0.5*COUNTIF(S22:Z22,"לפעמים"))/(COUNTIF(S22:Z22,"רוב הזמן")+COUNTIF(S22:Z22,"לפעמים")+COUNTIF(S22:Z22,"עדיין לא")),""))</f>
        <v/>
      </c>
      <c r="AN22" s="28" t="str">
        <f aca="false">IF($A22="","",IFERROR(1-SUMPRODUCT(ABS(((K22:R22="כן")+0.5*(K22:R22="קצת"))-((S22:Z22="רוב הזמן")+0.5*(S22:Z22="לפעמים")))*(((K22:R22="כן")+(K22:R22="קצת")+(K22:R22="עוד לא"))*((S22:Z22="רוב הזמן")+(S22:Z22="לפעמים")+(S22:Z22="עדיין לא"))))/SUMPRODUCT((((K22:R22="כן")+(K22:R22="קצת")+(K22:R22="עוד לא"))*((S22:Z22="רוב הזמן")+(S22:Z22="לפעמים")+(S22:Z22="עדיין לא")))),""))</f>
        <v/>
      </c>
      <c r="AO22" s="27" t="str">
        <f aca="false">IF($A22="","",SUMPRODUCT(((((K22:R22="כן")+0.5*(K22:R22="קצת"))-((S22:Z22="רוב הזמן")+0.5*(S22:Z22="לפעמים")))&gt;0.01)*(((K22:R22="כן")+(K22:R22="קצת")+(K22:R22="עוד לא"))*((S22:Z22="רוב הזמן")+(S22:Z22="לפעמים")+(S22:Z22="עדיין לא")))))</f>
        <v/>
      </c>
      <c r="AP22" s="27" t="str">
        <f aca="false">IF($A22="","",SUMPRODUCT(((((S22:Z22="רוב הזמן")+0.5*(S22:Z22="לפעמים"))-((K22:R22="כן")+0.5*(K22:R22="קצת")))&gt;0.01)*(((K22:R22="כן")+(K22:R22="קצת")+(K22:R22="עוד לא"))*((S22:Z22="רוב הזמן")+(S22:Z22="לפעמים")+(S22:Z22="עדיין לא")))))</f>
        <v/>
      </c>
      <c r="AQ22" s="27" t="str">
        <f aca="false">IF($A22="","",COUNTIF(AA22:AB22,"כן"))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7" t="str">
        <f aca="false">IF($A23="","",$A23&amp;"|"&amp;$C23)</f>
        <v/>
      </c>
      <c r="AG23" s="27" t="str">
        <f aca="false">IF($A23="","",IF(OR(H23="לא נבדק",H23=""),"לא נבדק",IF(AND(H23="בחר/ה בעצמו/ה",I23="כן",J23="לא"),"מלא",IF(OR(H23="בחר/ה בעצמו/ה",I23="כן"),"חלקי","עדיין לא"))))</f>
        <v/>
      </c>
      <c r="AH23" s="28" t="str">
        <f aca="false">IF($A23="","",IFERROR((COUNTIF(K23:L23,"כן")+0.5*COUNTIF(K23:L23,"קצת"))/(COUNTIF(K23:L23,"כן")+COUNTIF(K23:L23,"קצת")+COUNTIF(K23:L23,"עוד לא")),""))</f>
        <v/>
      </c>
      <c r="AI23" s="28" t="str">
        <f aca="false">IF($A23="","",IFERROR((COUNTIF(M23:N23,"כן")+0.5*COUNTIF(M23:N23,"קצת"))/(COUNTIF(M23:N23,"כן")+COUNTIF(M23:N23,"קצת")+COUNTIF(M23:N23,"עוד לא")),""))</f>
        <v/>
      </c>
      <c r="AJ23" s="28" t="str">
        <f aca="false">IF($A23="","",IFERROR((COUNTIF(O23:P23,"כן")+0.5*COUNTIF(O23:P23,"קצת"))/(COUNTIF(O23:P23,"כן")+COUNTIF(O23:P23,"קצת")+COUNTIF(O23:P23,"עוד לא")),""))</f>
        <v/>
      </c>
      <c r="AK23" s="28" t="str">
        <f aca="false">IF($A23="","",IFERROR((COUNTIF(Q23:R23,"כן")+0.5*COUNTIF(Q23:R23,"קצת"))/(COUNTIF(Q23:R23,"כן")+COUNTIF(Q23:R23,"קצת")+COUNTIF(Q23:R23,"עוד לא")),""))</f>
        <v/>
      </c>
      <c r="AL23" s="28" t="str">
        <f aca="false">IF($A23="","",IFERROR((COUNTIF(K23:R23,"כן")+0.5*COUNTIF(K23:R23,"קצת"))/(COUNTIF(K23:R23,"כן")+COUNTIF(K23:R23,"קצת")+COUNTIF(K23:R23,"עוד לא")),""))</f>
        <v/>
      </c>
      <c r="AM23" s="28" t="str">
        <f aca="false">IF($A23="","",IFERROR((COUNTIF(S23:Z23,"רוב הזמן")+0.5*COUNTIF(S23:Z23,"לפעמים"))/(COUNTIF(S23:Z23,"רוב הזמן")+COUNTIF(S23:Z23,"לפעמים")+COUNTIF(S23:Z23,"עדיין לא")),""))</f>
        <v/>
      </c>
      <c r="AN23" s="28" t="str">
        <f aca="false">IF($A23="","",IFERROR(1-SUMPRODUCT(ABS(((K23:R23="כן")+0.5*(K23:R23="קצת"))-((S23:Z23="רוב הזמן")+0.5*(S23:Z23="לפעמים")))*(((K23:R23="כן")+(K23:R23="קצת")+(K23:R23="עוד לא"))*((S23:Z23="רוב הזמן")+(S23:Z23="לפעמים")+(S23:Z23="עדיין לא"))))/SUMPRODUCT((((K23:R23="כן")+(K23:R23="קצת")+(K23:R23="עוד לא"))*((S23:Z23="רוב הזמן")+(S23:Z23="לפעמים")+(S23:Z23="עדיין לא")))),""))</f>
        <v/>
      </c>
      <c r="AO23" s="27" t="str">
        <f aca="false">IF($A23="","",SUMPRODUCT(((((K23:R23="כן")+0.5*(K23:R23="קצת"))-((S23:Z23="רוב הזמן")+0.5*(S23:Z23="לפעמים")))&gt;0.01)*(((K23:R23="כן")+(K23:R23="קצת")+(K23:R23="עוד לא"))*((S23:Z23="רוב הזמן")+(S23:Z23="לפעמים")+(S23:Z23="עדיין לא")))))</f>
        <v/>
      </c>
      <c r="AP23" s="27" t="str">
        <f aca="false">IF($A23="","",SUMPRODUCT(((((S23:Z23="רוב הזמן")+0.5*(S23:Z23="לפעמים"))-((K23:R23="כן")+0.5*(K23:R23="קצת")))&gt;0.01)*(((K23:R23="כן")+(K23:R23="קצת")+(K23:R23="עוד לא"))*((S23:Z23="רוב הזמן")+(S23:Z23="לפעמים")+(S23:Z23="עדיין לא")))))</f>
        <v/>
      </c>
      <c r="AQ23" s="27" t="str">
        <f aca="false">IF($A23="","",COUNTIF(AA23:AB23,"כן"))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7" t="str">
        <f aca="false">IF($A24="","",$A24&amp;"|"&amp;$C24)</f>
        <v/>
      </c>
      <c r="AG24" s="27" t="str">
        <f aca="false">IF($A24="","",IF(OR(H24="לא נבדק",H24=""),"לא נבדק",IF(AND(H24="בחר/ה בעצמו/ה",I24="כן",J24="לא"),"מלא",IF(OR(H24="בחר/ה בעצמו/ה",I24="כן"),"חלקי","עדיין לא"))))</f>
        <v/>
      </c>
      <c r="AH24" s="28" t="str">
        <f aca="false">IF($A24="","",IFERROR((COUNTIF(K24:L24,"כן")+0.5*COUNTIF(K24:L24,"קצת"))/(COUNTIF(K24:L24,"כן")+COUNTIF(K24:L24,"קצת")+COUNTIF(K24:L24,"עוד לא")),""))</f>
        <v/>
      </c>
      <c r="AI24" s="28" t="str">
        <f aca="false">IF($A24="","",IFERROR((COUNTIF(M24:N24,"כן")+0.5*COUNTIF(M24:N24,"קצת"))/(COUNTIF(M24:N24,"כן")+COUNTIF(M24:N24,"קצת")+COUNTIF(M24:N24,"עוד לא")),""))</f>
        <v/>
      </c>
      <c r="AJ24" s="28" t="str">
        <f aca="false">IF($A24="","",IFERROR((COUNTIF(O24:P24,"כן")+0.5*COUNTIF(O24:P24,"קצת"))/(COUNTIF(O24:P24,"כן")+COUNTIF(O24:P24,"קצת")+COUNTIF(O24:P24,"עוד לא")),""))</f>
        <v/>
      </c>
      <c r="AK24" s="28" t="str">
        <f aca="false">IF($A24="","",IFERROR((COUNTIF(Q24:R24,"כן")+0.5*COUNTIF(Q24:R24,"קצת"))/(COUNTIF(Q24:R24,"כן")+COUNTIF(Q24:R24,"קצת")+COUNTIF(Q24:R24,"עוד לא")),""))</f>
        <v/>
      </c>
      <c r="AL24" s="28" t="str">
        <f aca="false">IF($A24="","",IFERROR((COUNTIF(K24:R24,"כן")+0.5*COUNTIF(K24:R24,"קצת"))/(COUNTIF(K24:R24,"כן")+COUNTIF(K24:R24,"קצת")+COUNTIF(K24:R24,"עוד לא")),""))</f>
        <v/>
      </c>
      <c r="AM24" s="28" t="str">
        <f aca="false">IF($A24="","",IFERROR((COUNTIF(S24:Z24,"רוב הזמן")+0.5*COUNTIF(S24:Z24,"לפעמים"))/(COUNTIF(S24:Z24,"רוב הזמן")+COUNTIF(S24:Z24,"לפעמים")+COUNTIF(S24:Z24,"עדיין לא")),""))</f>
        <v/>
      </c>
      <c r="AN24" s="28" t="str">
        <f aca="false">IF($A24="","",IFERROR(1-SUMPRODUCT(ABS(((K24:R24="כן")+0.5*(K24:R24="קצת"))-((S24:Z24="רוב הזמן")+0.5*(S24:Z24="לפעמים")))*(((K24:R24="כן")+(K24:R24="קצת")+(K24:R24="עוד לא"))*((S24:Z24="רוב הזמן")+(S24:Z24="לפעמים")+(S24:Z24="עדיין לא"))))/SUMPRODUCT((((K24:R24="כן")+(K24:R24="קצת")+(K24:R24="עוד לא"))*((S24:Z24="רוב הזמן")+(S24:Z24="לפעמים")+(S24:Z24="עדיין לא")))),""))</f>
        <v/>
      </c>
      <c r="AO24" s="27" t="str">
        <f aca="false">IF($A24="","",SUMPRODUCT(((((K24:R24="כן")+0.5*(K24:R24="קצת"))-((S24:Z24="רוב הזמן")+0.5*(S24:Z24="לפעמים")))&gt;0.01)*(((K24:R24="כן")+(K24:R24="קצת")+(K24:R24="עוד לא"))*((S24:Z24="רוב הזמן")+(S24:Z24="לפעמים")+(S24:Z24="עדיין לא")))))</f>
        <v/>
      </c>
      <c r="AP24" s="27" t="str">
        <f aca="false">IF($A24="","",SUMPRODUCT(((((S24:Z24="רוב הזמן")+0.5*(S24:Z24="לפעמים"))-((K24:R24="כן")+0.5*(K24:R24="קצת")))&gt;0.01)*(((K24:R24="כן")+(K24:R24="קצת")+(K24:R24="עוד לא"))*((S24:Z24="רוב הזמן")+(S24:Z24="לפעמים")+(S24:Z24="עדיין לא")))))</f>
        <v/>
      </c>
      <c r="AQ24" s="27" t="str">
        <f aca="false">IF($A24="","",COUNTIF(AA24:AB24,"כן"))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7" t="str">
        <f aca="false">IF($A25="","",$A25&amp;"|"&amp;$C25)</f>
        <v/>
      </c>
      <c r="AG25" s="27" t="str">
        <f aca="false">IF($A25="","",IF(OR(H25="לא נבדק",H25=""),"לא נבדק",IF(AND(H25="בחר/ה בעצמו/ה",I25="כן",J25="לא"),"מלא",IF(OR(H25="בחר/ה בעצמו/ה",I25="כן"),"חלקי","עדיין לא"))))</f>
        <v/>
      </c>
      <c r="AH25" s="28" t="str">
        <f aca="false">IF($A25="","",IFERROR((COUNTIF(K25:L25,"כן")+0.5*COUNTIF(K25:L25,"קצת"))/(COUNTIF(K25:L25,"כן")+COUNTIF(K25:L25,"קצת")+COUNTIF(K25:L25,"עוד לא")),""))</f>
        <v/>
      </c>
      <c r="AI25" s="28" t="str">
        <f aca="false">IF($A25="","",IFERROR((COUNTIF(M25:N25,"כן")+0.5*COUNTIF(M25:N25,"קצת"))/(COUNTIF(M25:N25,"כן")+COUNTIF(M25:N25,"קצת")+COUNTIF(M25:N25,"עוד לא")),""))</f>
        <v/>
      </c>
      <c r="AJ25" s="28" t="str">
        <f aca="false">IF($A25="","",IFERROR((COUNTIF(O25:P25,"כן")+0.5*COUNTIF(O25:P25,"קצת"))/(COUNTIF(O25:P25,"כן")+COUNTIF(O25:P25,"קצת")+COUNTIF(O25:P25,"עוד לא")),""))</f>
        <v/>
      </c>
      <c r="AK25" s="28" t="str">
        <f aca="false">IF($A25="","",IFERROR((COUNTIF(Q25:R25,"כן")+0.5*COUNTIF(Q25:R25,"קצת"))/(COUNTIF(Q25:R25,"כן")+COUNTIF(Q25:R25,"קצת")+COUNTIF(Q25:R25,"עוד לא")),""))</f>
        <v/>
      </c>
      <c r="AL25" s="28" t="str">
        <f aca="false">IF($A25="","",IFERROR((COUNTIF(K25:R25,"כן")+0.5*COUNTIF(K25:R25,"קצת"))/(COUNTIF(K25:R25,"כן")+COUNTIF(K25:R25,"קצת")+COUNTIF(K25:R25,"עוד לא")),""))</f>
        <v/>
      </c>
      <c r="AM25" s="28" t="str">
        <f aca="false">IF($A25="","",IFERROR((COUNTIF(S25:Z25,"רוב הזמן")+0.5*COUNTIF(S25:Z25,"לפעמים"))/(COUNTIF(S25:Z25,"רוב הזמן")+COUNTIF(S25:Z25,"לפעמים")+COUNTIF(S25:Z25,"עדיין לא")),""))</f>
        <v/>
      </c>
      <c r="AN25" s="28" t="str">
        <f aca="false">IF($A25="","",IFERROR(1-SUMPRODUCT(ABS(((K25:R25="כן")+0.5*(K25:R25="קצת"))-((S25:Z25="רוב הזמן")+0.5*(S25:Z25="לפעמים")))*(((K25:R25="כן")+(K25:R25="קצת")+(K25:R25="עוד לא"))*((S25:Z25="רוב הזמן")+(S25:Z25="לפעמים")+(S25:Z25="עדיין לא"))))/SUMPRODUCT((((K25:R25="כן")+(K25:R25="קצת")+(K25:R25="עוד לא"))*((S25:Z25="רוב הזמן")+(S25:Z25="לפעמים")+(S25:Z25="עדיין לא")))),""))</f>
        <v/>
      </c>
      <c r="AO25" s="27" t="str">
        <f aca="false">IF($A25="","",SUMPRODUCT(((((K25:R25="כן")+0.5*(K25:R25="קצת"))-((S25:Z25="רוב הזמן")+0.5*(S25:Z25="לפעמים")))&gt;0.01)*(((K25:R25="כן")+(K25:R25="קצת")+(K25:R25="עוד לא"))*((S25:Z25="רוב הזמן")+(S25:Z25="לפעמים")+(S25:Z25="עדיין לא")))))</f>
        <v/>
      </c>
      <c r="AP25" s="27" t="str">
        <f aca="false">IF($A25="","",SUMPRODUCT(((((S25:Z25="רוב הזמן")+0.5*(S25:Z25="לפעמים"))-((K25:R25="כן")+0.5*(K25:R25="קצת")))&gt;0.01)*(((K25:R25="כן")+(K25:R25="קצת")+(K25:R25="עוד לא"))*((S25:Z25="רוב הזמן")+(S25:Z25="לפעמים")+(S25:Z25="עדיין לא")))))</f>
        <v/>
      </c>
      <c r="AQ25" s="27" t="str">
        <f aca="false">IF($A25="","",COUNTIF(AA25:AB25,"כן"))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7" t="str">
        <f aca="false">IF($A26="","",$A26&amp;"|"&amp;$C26)</f>
        <v/>
      </c>
      <c r="AG26" s="27" t="str">
        <f aca="false">IF($A26="","",IF(OR(H26="לא נבדק",H26=""),"לא נבדק",IF(AND(H26="בחר/ה בעצמו/ה",I26="כן",J26="לא"),"מלא",IF(OR(H26="בחר/ה בעצמו/ה",I26="כן"),"חלקי","עדיין לא"))))</f>
        <v/>
      </c>
      <c r="AH26" s="28" t="str">
        <f aca="false">IF($A26="","",IFERROR((COUNTIF(K26:L26,"כן")+0.5*COUNTIF(K26:L26,"קצת"))/(COUNTIF(K26:L26,"כן")+COUNTIF(K26:L26,"קצת")+COUNTIF(K26:L26,"עוד לא")),""))</f>
        <v/>
      </c>
      <c r="AI26" s="28" t="str">
        <f aca="false">IF($A26="","",IFERROR((COUNTIF(M26:N26,"כן")+0.5*COUNTIF(M26:N26,"קצת"))/(COUNTIF(M26:N26,"כן")+COUNTIF(M26:N26,"קצת")+COUNTIF(M26:N26,"עוד לא")),""))</f>
        <v/>
      </c>
      <c r="AJ26" s="28" t="str">
        <f aca="false">IF($A26="","",IFERROR((COUNTIF(O26:P26,"כן")+0.5*COUNTIF(O26:P26,"קצת"))/(COUNTIF(O26:P26,"כן")+COUNTIF(O26:P26,"קצת")+COUNTIF(O26:P26,"עוד לא")),""))</f>
        <v/>
      </c>
      <c r="AK26" s="28" t="str">
        <f aca="false">IF($A26="","",IFERROR((COUNTIF(Q26:R26,"כן")+0.5*COUNTIF(Q26:R26,"קצת"))/(COUNTIF(Q26:R26,"כן")+COUNTIF(Q26:R26,"קצת")+COUNTIF(Q26:R26,"עוד לא")),""))</f>
        <v/>
      </c>
      <c r="AL26" s="28" t="str">
        <f aca="false">IF($A26="","",IFERROR((COUNTIF(K26:R26,"כן")+0.5*COUNTIF(K26:R26,"קצת"))/(COUNTIF(K26:R26,"כן")+COUNTIF(K26:R26,"קצת")+COUNTIF(K26:R26,"עוד לא")),""))</f>
        <v/>
      </c>
      <c r="AM26" s="28" t="str">
        <f aca="false">IF($A26="","",IFERROR((COUNTIF(S26:Z26,"רוב הזמן")+0.5*COUNTIF(S26:Z26,"לפעמים"))/(COUNTIF(S26:Z26,"רוב הזמן")+COUNTIF(S26:Z26,"לפעמים")+COUNTIF(S26:Z26,"עדיין לא")),""))</f>
        <v/>
      </c>
      <c r="AN26" s="28" t="str">
        <f aca="false">IF($A26="","",IFERROR(1-SUMPRODUCT(ABS(((K26:R26="כן")+0.5*(K26:R26="קצת"))-((S26:Z26="רוב הזמן")+0.5*(S26:Z26="לפעמים")))*(((K26:R26="כן")+(K26:R26="קצת")+(K26:R26="עוד לא"))*((S26:Z26="רוב הזמן")+(S26:Z26="לפעמים")+(S26:Z26="עדיין לא"))))/SUMPRODUCT((((K26:R26="כן")+(K26:R26="קצת")+(K26:R26="עוד לא"))*((S26:Z26="רוב הזמן")+(S26:Z26="לפעמים")+(S26:Z26="עדיין לא")))),""))</f>
        <v/>
      </c>
      <c r="AO26" s="27" t="str">
        <f aca="false">IF($A26="","",SUMPRODUCT(((((K26:R26="כן")+0.5*(K26:R26="קצת"))-((S26:Z26="רוב הזמן")+0.5*(S26:Z26="לפעמים")))&gt;0.01)*(((K26:R26="כן")+(K26:R26="קצת")+(K26:R26="עוד לא"))*((S26:Z26="רוב הזמן")+(S26:Z26="לפעמים")+(S26:Z26="עדיין לא")))))</f>
        <v/>
      </c>
      <c r="AP26" s="27" t="str">
        <f aca="false">IF($A26="","",SUMPRODUCT(((((S26:Z26="רוב הזמן")+0.5*(S26:Z26="לפעמים"))-((K26:R26="כן")+0.5*(K26:R26="קצת")))&gt;0.01)*(((K26:R26="כן")+(K26:R26="קצת")+(K26:R26="עוד לא"))*((S26:Z26="רוב הזמן")+(S26:Z26="לפעמים")+(S26:Z26="עדיין לא")))))</f>
        <v/>
      </c>
      <c r="AQ26" s="27" t="str">
        <f aca="false">IF($A26="","",COUNTIF(AA26:AB26,"כן"))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7" t="str">
        <f aca="false">IF($A27="","",$A27&amp;"|"&amp;$C27)</f>
        <v/>
      </c>
      <c r="AG27" s="27" t="str">
        <f aca="false">IF($A27="","",IF(OR(H27="לא נבדק",H27=""),"לא נבדק",IF(AND(H27="בחר/ה בעצמו/ה",I27="כן",J27="לא"),"מלא",IF(OR(H27="בחר/ה בעצמו/ה",I27="כן"),"חלקי","עדיין לא"))))</f>
        <v/>
      </c>
      <c r="AH27" s="28" t="str">
        <f aca="false">IF($A27="","",IFERROR((COUNTIF(K27:L27,"כן")+0.5*COUNTIF(K27:L27,"קצת"))/(COUNTIF(K27:L27,"כן")+COUNTIF(K27:L27,"קצת")+COUNTIF(K27:L27,"עוד לא")),""))</f>
        <v/>
      </c>
      <c r="AI27" s="28" t="str">
        <f aca="false">IF($A27="","",IFERROR((COUNTIF(M27:N27,"כן")+0.5*COUNTIF(M27:N27,"קצת"))/(COUNTIF(M27:N27,"כן")+COUNTIF(M27:N27,"קצת")+COUNTIF(M27:N27,"עוד לא")),""))</f>
        <v/>
      </c>
      <c r="AJ27" s="28" t="str">
        <f aca="false">IF($A27="","",IFERROR((COUNTIF(O27:P27,"כן")+0.5*COUNTIF(O27:P27,"קצת"))/(COUNTIF(O27:P27,"כן")+COUNTIF(O27:P27,"קצת")+COUNTIF(O27:P27,"עוד לא")),""))</f>
        <v/>
      </c>
      <c r="AK27" s="28" t="str">
        <f aca="false">IF($A27="","",IFERROR((COUNTIF(Q27:R27,"כן")+0.5*COUNTIF(Q27:R27,"קצת"))/(COUNTIF(Q27:R27,"כן")+COUNTIF(Q27:R27,"קצת")+COUNTIF(Q27:R27,"עוד לא")),""))</f>
        <v/>
      </c>
      <c r="AL27" s="28" t="str">
        <f aca="false">IF($A27="","",IFERROR((COUNTIF(K27:R27,"כן")+0.5*COUNTIF(K27:R27,"קצת"))/(COUNTIF(K27:R27,"כן")+COUNTIF(K27:R27,"קצת")+COUNTIF(K27:R27,"עוד לא")),""))</f>
        <v/>
      </c>
      <c r="AM27" s="28" t="str">
        <f aca="false">IF($A27="","",IFERROR((COUNTIF(S27:Z27,"רוב הזמן")+0.5*COUNTIF(S27:Z27,"לפעמים"))/(COUNTIF(S27:Z27,"רוב הזמן")+COUNTIF(S27:Z27,"לפעמים")+COUNTIF(S27:Z27,"עדיין לא")),""))</f>
        <v/>
      </c>
      <c r="AN27" s="28" t="str">
        <f aca="false">IF($A27="","",IFERROR(1-SUMPRODUCT(ABS(((K27:R27="כן")+0.5*(K27:R27="קצת"))-((S27:Z27="רוב הזמן")+0.5*(S27:Z27="לפעמים")))*(((K27:R27="כן")+(K27:R27="קצת")+(K27:R27="עוד לא"))*((S27:Z27="רוב הזמן")+(S27:Z27="לפעמים")+(S27:Z27="עדיין לא"))))/SUMPRODUCT((((K27:R27="כן")+(K27:R27="קצת")+(K27:R27="עוד לא"))*((S27:Z27="רוב הזמן")+(S27:Z27="לפעמים")+(S27:Z27="עדיין לא")))),""))</f>
        <v/>
      </c>
      <c r="AO27" s="27" t="str">
        <f aca="false">IF($A27="","",SUMPRODUCT(((((K27:R27="כן")+0.5*(K27:R27="קצת"))-((S27:Z27="רוב הזמן")+0.5*(S27:Z27="לפעמים")))&gt;0.01)*(((K27:R27="כן")+(K27:R27="קצת")+(K27:R27="עוד לא"))*((S27:Z27="רוב הזמן")+(S27:Z27="לפעמים")+(S27:Z27="עדיין לא")))))</f>
        <v/>
      </c>
      <c r="AP27" s="27" t="str">
        <f aca="false">IF($A27="","",SUMPRODUCT(((((S27:Z27="רוב הזמן")+0.5*(S27:Z27="לפעמים"))-((K27:R27="כן")+0.5*(K27:R27="קצת")))&gt;0.01)*(((K27:R27="כן")+(K27:R27="קצת")+(K27:R27="עוד לא"))*((S27:Z27="רוב הזמן")+(S27:Z27="לפעמים")+(S27:Z27="עדיין לא")))))</f>
        <v/>
      </c>
      <c r="AQ27" s="27" t="str">
        <f aca="false">IF($A27="","",COUNTIF(AA27:AB27,"כן"))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7" t="str">
        <f aca="false">IF($A28="","",$A28&amp;"|"&amp;$C28)</f>
        <v/>
      </c>
      <c r="AG28" s="27" t="str">
        <f aca="false">IF($A28="","",IF(OR(H28="לא נבדק",H28=""),"לא נבדק",IF(AND(H28="בחר/ה בעצמו/ה",I28="כן",J28="לא"),"מלא",IF(OR(H28="בחר/ה בעצמו/ה",I28="כן"),"חלקי","עדיין לא"))))</f>
        <v/>
      </c>
      <c r="AH28" s="28" t="str">
        <f aca="false">IF($A28="","",IFERROR((COUNTIF(K28:L28,"כן")+0.5*COUNTIF(K28:L28,"קצת"))/(COUNTIF(K28:L28,"כן")+COUNTIF(K28:L28,"קצת")+COUNTIF(K28:L28,"עוד לא")),""))</f>
        <v/>
      </c>
      <c r="AI28" s="28" t="str">
        <f aca="false">IF($A28="","",IFERROR((COUNTIF(M28:N28,"כן")+0.5*COUNTIF(M28:N28,"קצת"))/(COUNTIF(M28:N28,"כן")+COUNTIF(M28:N28,"קצת")+COUNTIF(M28:N28,"עוד לא")),""))</f>
        <v/>
      </c>
      <c r="AJ28" s="28" t="str">
        <f aca="false">IF($A28="","",IFERROR((COUNTIF(O28:P28,"כן")+0.5*COUNTIF(O28:P28,"קצת"))/(COUNTIF(O28:P28,"כן")+COUNTIF(O28:P28,"קצת")+COUNTIF(O28:P28,"עוד לא")),""))</f>
        <v/>
      </c>
      <c r="AK28" s="28" t="str">
        <f aca="false">IF($A28="","",IFERROR((COUNTIF(Q28:R28,"כן")+0.5*COUNTIF(Q28:R28,"קצת"))/(COUNTIF(Q28:R28,"כן")+COUNTIF(Q28:R28,"קצת")+COUNTIF(Q28:R28,"עוד לא")),""))</f>
        <v/>
      </c>
      <c r="AL28" s="28" t="str">
        <f aca="false">IF($A28="","",IFERROR((COUNTIF(K28:R28,"כן")+0.5*COUNTIF(K28:R28,"קצת"))/(COUNTIF(K28:R28,"כן")+COUNTIF(K28:R28,"קצת")+COUNTIF(K28:R28,"עוד לא")),""))</f>
        <v/>
      </c>
      <c r="AM28" s="28" t="str">
        <f aca="false">IF($A28="","",IFERROR((COUNTIF(S28:Z28,"רוב הזמן")+0.5*COUNTIF(S28:Z28,"לפעמים"))/(COUNTIF(S28:Z28,"רוב הזמן")+COUNTIF(S28:Z28,"לפעמים")+COUNTIF(S28:Z28,"עדיין לא")),""))</f>
        <v/>
      </c>
      <c r="AN28" s="28" t="str">
        <f aca="false">IF($A28="","",IFERROR(1-SUMPRODUCT(ABS(((K28:R28="כן")+0.5*(K28:R28="קצת"))-((S28:Z28="רוב הזמן")+0.5*(S28:Z28="לפעמים")))*(((K28:R28="כן")+(K28:R28="קצת")+(K28:R28="עוד לא"))*((S28:Z28="רוב הזמן")+(S28:Z28="לפעמים")+(S28:Z28="עדיין לא"))))/SUMPRODUCT((((K28:R28="כן")+(K28:R28="קצת")+(K28:R28="עוד לא"))*((S28:Z28="רוב הזמן")+(S28:Z28="לפעמים")+(S28:Z28="עדיין לא")))),""))</f>
        <v/>
      </c>
      <c r="AO28" s="27" t="str">
        <f aca="false">IF($A28="","",SUMPRODUCT(((((K28:R28="כן")+0.5*(K28:R28="קצת"))-((S28:Z28="רוב הזמן")+0.5*(S28:Z28="לפעמים")))&gt;0.01)*(((K28:R28="כן")+(K28:R28="קצת")+(K28:R28="עוד לא"))*((S28:Z28="רוב הזמן")+(S28:Z28="לפעמים")+(S28:Z28="עדיין לא")))))</f>
        <v/>
      </c>
      <c r="AP28" s="27" t="str">
        <f aca="false">IF($A28="","",SUMPRODUCT(((((S28:Z28="רוב הזמן")+0.5*(S28:Z28="לפעמים"))-((K28:R28="כן")+0.5*(K28:R28="קצת")))&gt;0.01)*(((K28:R28="כן")+(K28:R28="קצת")+(K28:R28="עוד לא"))*((S28:Z28="רוב הזמן")+(S28:Z28="לפעמים")+(S28:Z28="עדיין לא")))))</f>
        <v/>
      </c>
      <c r="AQ28" s="27" t="str">
        <f aca="false">IF($A28="","",COUNTIF(AA28:AB28,"כן"))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7" t="str">
        <f aca="false">IF($A29="","",$A29&amp;"|"&amp;$C29)</f>
        <v/>
      </c>
      <c r="AG29" s="27" t="str">
        <f aca="false">IF($A29="","",IF(OR(H29="לא נבדק",H29=""),"לא נבדק",IF(AND(H29="בחר/ה בעצמו/ה",I29="כן",J29="לא"),"מלא",IF(OR(H29="בחר/ה בעצמו/ה",I29="כן"),"חלקי","עדיין לא"))))</f>
        <v/>
      </c>
      <c r="AH29" s="28" t="str">
        <f aca="false">IF($A29="","",IFERROR((COUNTIF(K29:L29,"כן")+0.5*COUNTIF(K29:L29,"קצת"))/(COUNTIF(K29:L29,"כן")+COUNTIF(K29:L29,"קצת")+COUNTIF(K29:L29,"עוד לא")),""))</f>
        <v/>
      </c>
      <c r="AI29" s="28" t="str">
        <f aca="false">IF($A29="","",IFERROR((COUNTIF(M29:N29,"כן")+0.5*COUNTIF(M29:N29,"קצת"))/(COUNTIF(M29:N29,"כן")+COUNTIF(M29:N29,"קצת")+COUNTIF(M29:N29,"עוד לא")),""))</f>
        <v/>
      </c>
      <c r="AJ29" s="28" t="str">
        <f aca="false">IF($A29="","",IFERROR((COUNTIF(O29:P29,"כן")+0.5*COUNTIF(O29:P29,"קצת"))/(COUNTIF(O29:P29,"כן")+COUNTIF(O29:P29,"קצת")+COUNTIF(O29:P29,"עוד לא")),""))</f>
        <v/>
      </c>
      <c r="AK29" s="28" t="str">
        <f aca="false">IF($A29="","",IFERROR((COUNTIF(Q29:R29,"כן")+0.5*COUNTIF(Q29:R29,"קצת"))/(COUNTIF(Q29:R29,"כן")+COUNTIF(Q29:R29,"קצת")+COUNTIF(Q29:R29,"עוד לא")),""))</f>
        <v/>
      </c>
      <c r="AL29" s="28" t="str">
        <f aca="false">IF($A29="","",IFERROR((COUNTIF(K29:R29,"כן")+0.5*COUNTIF(K29:R29,"קצת"))/(COUNTIF(K29:R29,"כן")+COUNTIF(K29:R29,"קצת")+COUNTIF(K29:R29,"עוד לא")),""))</f>
        <v/>
      </c>
      <c r="AM29" s="28" t="str">
        <f aca="false">IF($A29="","",IFERROR((COUNTIF(S29:Z29,"רוב הזמן")+0.5*COUNTIF(S29:Z29,"לפעמים"))/(COUNTIF(S29:Z29,"רוב הזמן")+COUNTIF(S29:Z29,"לפעמים")+COUNTIF(S29:Z29,"עדיין לא")),""))</f>
        <v/>
      </c>
      <c r="AN29" s="28" t="str">
        <f aca="false">IF($A29="","",IFERROR(1-SUMPRODUCT(ABS(((K29:R29="כן")+0.5*(K29:R29="קצת"))-((S29:Z29="רוב הזמן")+0.5*(S29:Z29="לפעמים")))*(((K29:R29="כן")+(K29:R29="קצת")+(K29:R29="עוד לא"))*((S29:Z29="רוב הזמן")+(S29:Z29="לפעמים")+(S29:Z29="עדיין לא"))))/SUMPRODUCT((((K29:R29="כן")+(K29:R29="קצת")+(K29:R29="עוד לא"))*((S29:Z29="רוב הזמן")+(S29:Z29="לפעמים")+(S29:Z29="עדיין לא")))),""))</f>
        <v/>
      </c>
      <c r="AO29" s="27" t="str">
        <f aca="false">IF($A29="","",SUMPRODUCT(((((K29:R29="כן")+0.5*(K29:R29="קצת"))-((S29:Z29="רוב הזמן")+0.5*(S29:Z29="לפעמים")))&gt;0.01)*(((K29:R29="כן")+(K29:R29="קצת")+(K29:R29="עוד לא"))*((S29:Z29="רוב הזמן")+(S29:Z29="לפעמים")+(S29:Z29="עדיין לא")))))</f>
        <v/>
      </c>
      <c r="AP29" s="27" t="str">
        <f aca="false">IF($A29="","",SUMPRODUCT(((((S29:Z29="רוב הזמן")+0.5*(S29:Z29="לפעמים"))-((K29:R29="כן")+0.5*(K29:R29="קצת")))&gt;0.01)*(((K29:R29="כן")+(K29:R29="קצת")+(K29:R29="עוד לא"))*((S29:Z29="רוב הזמן")+(S29:Z29="לפעמים")+(S29:Z29="עדיין לא")))))</f>
        <v/>
      </c>
      <c r="AQ29" s="27" t="str">
        <f aca="false">IF($A29="","",COUNTIF(AA29:AB29,"כן"))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7" t="str">
        <f aca="false">IF($A30="","",$A30&amp;"|"&amp;$C30)</f>
        <v/>
      </c>
      <c r="AG30" s="27" t="str">
        <f aca="false">IF($A30="","",IF(OR(H30="לא נבדק",H30=""),"לא נבדק",IF(AND(H30="בחר/ה בעצמו/ה",I30="כן",J30="לא"),"מלא",IF(OR(H30="בחר/ה בעצמו/ה",I30="כן"),"חלקי","עדיין לא"))))</f>
        <v/>
      </c>
      <c r="AH30" s="28" t="str">
        <f aca="false">IF($A30="","",IFERROR((COUNTIF(K30:L30,"כן")+0.5*COUNTIF(K30:L30,"קצת"))/(COUNTIF(K30:L30,"כן")+COUNTIF(K30:L30,"קצת")+COUNTIF(K30:L30,"עוד לא")),""))</f>
        <v/>
      </c>
      <c r="AI30" s="28" t="str">
        <f aca="false">IF($A30="","",IFERROR((COUNTIF(M30:N30,"כן")+0.5*COUNTIF(M30:N30,"קצת"))/(COUNTIF(M30:N30,"כן")+COUNTIF(M30:N30,"קצת")+COUNTIF(M30:N30,"עוד לא")),""))</f>
        <v/>
      </c>
      <c r="AJ30" s="28" t="str">
        <f aca="false">IF($A30="","",IFERROR((COUNTIF(O30:P30,"כן")+0.5*COUNTIF(O30:P30,"קצת"))/(COUNTIF(O30:P30,"כן")+COUNTIF(O30:P30,"קצת")+COUNTIF(O30:P30,"עוד לא")),""))</f>
        <v/>
      </c>
      <c r="AK30" s="28" t="str">
        <f aca="false">IF($A30="","",IFERROR((COUNTIF(Q30:R30,"כן")+0.5*COUNTIF(Q30:R30,"קצת"))/(COUNTIF(Q30:R30,"כן")+COUNTIF(Q30:R30,"קצת")+COUNTIF(Q30:R30,"עוד לא")),""))</f>
        <v/>
      </c>
      <c r="AL30" s="28" t="str">
        <f aca="false">IF($A30="","",IFERROR((COUNTIF(K30:R30,"כן")+0.5*COUNTIF(K30:R30,"קצת"))/(COUNTIF(K30:R30,"כן")+COUNTIF(K30:R30,"קצת")+COUNTIF(K30:R30,"עוד לא")),""))</f>
        <v/>
      </c>
      <c r="AM30" s="28" t="str">
        <f aca="false">IF($A30="","",IFERROR((COUNTIF(S30:Z30,"רוב הזמן")+0.5*COUNTIF(S30:Z30,"לפעמים"))/(COUNTIF(S30:Z30,"רוב הזמן")+COUNTIF(S30:Z30,"לפעמים")+COUNTIF(S30:Z30,"עדיין לא")),""))</f>
        <v/>
      </c>
      <c r="AN30" s="28" t="str">
        <f aca="false">IF($A30="","",IFERROR(1-SUMPRODUCT(ABS(((K30:R30="כן")+0.5*(K30:R30="קצת"))-((S30:Z30="רוב הזמן")+0.5*(S30:Z30="לפעמים")))*(((K30:R30="כן")+(K30:R30="קצת")+(K30:R30="עוד לא"))*((S30:Z30="רוב הזמן")+(S30:Z30="לפעמים")+(S30:Z30="עדיין לא"))))/SUMPRODUCT((((K30:R30="כן")+(K30:R30="קצת")+(K30:R30="עוד לא"))*((S30:Z30="רוב הזמן")+(S30:Z30="לפעמים")+(S30:Z30="עדיין לא")))),""))</f>
        <v/>
      </c>
      <c r="AO30" s="27" t="str">
        <f aca="false">IF($A30="","",SUMPRODUCT(((((K30:R30="כן")+0.5*(K30:R30="קצת"))-((S30:Z30="רוב הזמן")+0.5*(S30:Z30="לפעמים")))&gt;0.01)*(((K30:R30="כן")+(K30:R30="קצת")+(K30:R30="עוד לא"))*((S30:Z30="רוב הזמן")+(S30:Z30="לפעמים")+(S30:Z30="עדיין לא")))))</f>
        <v/>
      </c>
      <c r="AP30" s="27" t="str">
        <f aca="false">IF($A30="","",SUMPRODUCT(((((S30:Z30="רוב הזמן")+0.5*(S30:Z30="לפעמים"))-((K30:R30="כן")+0.5*(K30:R30="קצת")))&gt;0.01)*(((K30:R30="כן")+(K30:R30="קצת")+(K30:R30="עוד לא"))*((S30:Z30="רוב הזמן")+(S30:Z30="לפעמים")+(S30:Z30="עדיין לא")))))</f>
        <v/>
      </c>
      <c r="AQ30" s="27" t="str">
        <f aca="false">IF($A30="","",COUNTIF(AA30:AB30,"כן"))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7" t="str">
        <f aca="false">IF($A31="","",$A31&amp;"|"&amp;$C31)</f>
        <v/>
      </c>
      <c r="AG31" s="27" t="str">
        <f aca="false">IF($A31="","",IF(OR(H31="לא נבדק",H31=""),"לא נבדק",IF(AND(H31="בחר/ה בעצמו/ה",I31="כן",J31="לא"),"מלא",IF(OR(H31="בחר/ה בעצמו/ה",I31="כן"),"חלקי","עדיין לא"))))</f>
        <v/>
      </c>
      <c r="AH31" s="28" t="str">
        <f aca="false">IF($A31="","",IFERROR((COUNTIF(K31:L31,"כן")+0.5*COUNTIF(K31:L31,"קצת"))/(COUNTIF(K31:L31,"כן")+COUNTIF(K31:L31,"קצת")+COUNTIF(K31:L31,"עוד לא")),""))</f>
        <v/>
      </c>
      <c r="AI31" s="28" t="str">
        <f aca="false">IF($A31="","",IFERROR((COUNTIF(M31:N31,"כן")+0.5*COUNTIF(M31:N31,"קצת"))/(COUNTIF(M31:N31,"כן")+COUNTIF(M31:N31,"קצת")+COUNTIF(M31:N31,"עוד לא")),""))</f>
        <v/>
      </c>
      <c r="AJ31" s="28" t="str">
        <f aca="false">IF($A31="","",IFERROR((COUNTIF(O31:P31,"כן")+0.5*COUNTIF(O31:P31,"קצת"))/(COUNTIF(O31:P31,"כן")+COUNTIF(O31:P31,"קצת")+COUNTIF(O31:P31,"עוד לא")),""))</f>
        <v/>
      </c>
      <c r="AK31" s="28" t="str">
        <f aca="false">IF($A31="","",IFERROR((COUNTIF(Q31:R31,"כן")+0.5*COUNTIF(Q31:R31,"קצת"))/(COUNTIF(Q31:R31,"כן")+COUNTIF(Q31:R31,"קצת")+COUNTIF(Q31:R31,"עוד לא")),""))</f>
        <v/>
      </c>
      <c r="AL31" s="28" t="str">
        <f aca="false">IF($A31="","",IFERROR((COUNTIF(K31:R31,"כן")+0.5*COUNTIF(K31:R31,"קצת"))/(COUNTIF(K31:R31,"כן")+COUNTIF(K31:R31,"קצת")+COUNTIF(K31:R31,"עוד לא")),""))</f>
        <v/>
      </c>
      <c r="AM31" s="28" t="str">
        <f aca="false">IF($A31="","",IFERROR((COUNTIF(S31:Z31,"רוב הזמן")+0.5*COUNTIF(S31:Z31,"לפעמים"))/(COUNTIF(S31:Z31,"רוב הזמן")+COUNTIF(S31:Z31,"לפעמים")+COUNTIF(S31:Z31,"עדיין לא")),""))</f>
        <v/>
      </c>
      <c r="AN31" s="28" t="str">
        <f aca="false">IF($A31="","",IFERROR(1-SUMPRODUCT(ABS(((K31:R31="כן")+0.5*(K31:R31="קצת"))-((S31:Z31="רוב הזמן")+0.5*(S31:Z31="לפעמים")))*(((K31:R31="כן")+(K31:R31="קצת")+(K31:R31="עוד לא"))*((S31:Z31="רוב הזמן")+(S31:Z31="לפעמים")+(S31:Z31="עדיין לא"))))/SUMPRODUCT((((K31:R31="כן")+(K31:R31="קצת")+(K31:R31="עוד לא"))*((S31:Z31="רוב הזמן")+(S31:Z31="לפעמים")+(S31:Z31="עדיין לא")))),""))</f>
        <v/>
      </c>
      <c r="AO31" s="27" t="str">
        <f aca="false">IF($A31="","",SUMPRODUCT(((((K31:R31="כן")+0.5*(K31:R31="קצת"))-((S31:Z31="רוב הזמן")+0.5*(S31:Z31="לפעמים")))&gt;0.01)*(((K31:R31="כן")+(K31:R31="קצת")+(K31:R31="עוד לא"))*((S31:Z31="רוב הזמן")+(S31:Z31="לפעמים")+(S31:Z31="עדיין לא")))))</f>
        <v/>
      </c>
      <c r="AP31" s="27" t="str">
        <f aca="false">IF($A31="","",SUMPRODUCT(((((S31:Z31="רוב הזמן")+0.5*(S31:Z31="לפעמים"))-((K31:R31="כן")+0.5*(K31:R31="קצת")))&gt;0.01)*(((K31:R31="כן")+(K31:R31="קצת")+(K31:R31="עוד לא"))*((S31:Z31="רוב הזמן")+(S31:Z31="לפעמים")+(S31:Z31="עדיין לא")))))</f>
        <v/>
      </c>
      <c r="AQ31" s="27" t="str">
        <f aca="false">IF($A31="","",COUNTIF(AA31:AB31,"כן"))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7" t="str">
        <f aca="false">IF($A32="","",$A32&amp;"|"&amp;$C32)</f>
        <v/>
      </c>
      <c r="AG32" s="27" t="str">
        <f aca="false">IF($A32="","",IF(OR(H32="לא נבדק",H32=""),"לא נבדק",IF(AND(H32="בחר/ה בעצמו/ה",I32="כן",J32="לא"),"מלא",IF(OR(H32="בחר/ה בעצמו/ה",I32="כן"),"חלקי","עדיין לא"))))</f>
        <v/>
      </c>
      <c r="AH32" s="28" t="str">
        <f aca="false">IF($A32="","",IFERROR((COUNTIF(K32:L32,"כן")+0.5*COUNTIF(K32:L32,"קצת"))/(COUNTIF(K32:L32,"כן")+COUNTIF(K32:L32,"קצת")+COUNTIF(K32:L32,"עוד לא")),""))</f>
        <v/>
      </c>
      <c r="AI32" s="28" t="str">
        <f aca="false">IF($A32="","",IFERROR((COUNTIF(M32:N32,"כן")+0.5*COUNTIF(M32:N32,"קצת"))/(COUNTIF(M32:N32,"כן")+COUNTIF(M32:N32,"קצת")+COUNTIF(M32:N32,"עוד לא")),""))</f>
        <v/>
      </c>
      <c r="AJ32" s="28" t="str">
        <f aca="false">IF($A32="","",IFERROR((COUNTIF(O32:P32,"כן")+0.5*COUNTIF(O32:P32,"קצת"))/(COUNTIF(O32:P32,"כן")+COUNTIF(O32:P32,"קצת")+COUNTIF(O32:P32,"עוד לא")),""))</f>
        <v/>
      </c>
      <c r="AK32" s="28" t="str">
        <f aca="false">IF($A32="","",IFERROR((COUNTIF(Q32:R32,"כן")+0.5*COUNTIF(Q32:R32,"קצת"))/(COUNTIF(Q32:R32,"כן")+COUNTIF(Q32:R32,"קצת")+COUNTIF(Q32:R32,"עוד לא")),""))</f>
        <v/>
      </c>
      <c r="AL32" s="28" t="str">
        <f aca="false">IF($A32="","",IFERROR((COUNTIF(K32:R32,"כן")+0.5*COUNTIF(K32:R32,"קצת"))/(COUNTIF(K32:R32,"כן")+COUNTIF(K32:R32,"קצת")+COUNTIF(K32:R32,"עוד לא")),""))</f>
        <v/>
      </c>
      <c r="AM32" s="28" t="str">
        <f aca="false">IF($A32="","",IFERROR((COUNTIF(S32:Z32,"רוב הזמן")+0.5*COUNTIF(S32:Z32,"לפעמים"))/(COUNTIF(S32:Z32,"רוב הזמן")+COUNTIF(S32:Z32,"לפעמים")+COUNTIF(S32:Z32,"עדיין לא")),""))</f>
        <v/>
      </c>
      <c r="AN32" s="28" t="str">
        <f aca="false">IF($A32="","",IFERROR(1-SUMPRODUCT(ABS(((K32:R32="כן")+0.5*(K32:R32="קצת"))-((S32:Z32="רוב הזמן")+0.5*(S32:Z32="לפעמים")))*(((K32:R32="כן")+(K32:R32="קצת")+(K32:R32="עוד לא"))*((S32:Z32="רוב הזמן")+(S32:Z32="לפעמים")+(S32:Z32="עדיין לא"))))/SUMPRODUCT((((K32:R32="כן")+(K32:R32="קצת")+(K32:R32="עוד לא"))*((S32:Z32="רוב הזמן")+(S32:Z32="לפעמים")+(S32:Z32="עדיין לא")))),""))</f>
        <v/>
      </c>
      <c r="AO32" s="27" t="str">
        <f aca="false">IF($A32="","",SUMPRODUCT(((((K32:R32="כן")+0.5*(K32:R32="קצת"))-((S32:Z32="רוב הזמן")+0.5*(S32:Z32="לפעמים")))&gt;0.01)*(((K32:R32="כן")+(K32:R32="קצת")+(K32:R32="עוד לא"))*((S32:Z32="רוב הזמן")+(S32:Z32="לפעמים")+(S32:Z32="עדיין לא")))))</f>
        <v/>
      </c>
      <c r="AP32" s="27" t="str">
        <f aca="false">IF($A32="","",SUMPRODUCT(((((S32:Z32="רוב הזמן")+0.5*(S32:Z32="לפעמים"))-((K32:R32="כן")+0.5*(K32:R32="קצת")))&gt;0.01)*(((K32:R32="כן")+(K32:R32="קצת")+(K32:R32="עוד לא"))*((S32:Z32="רוב הזמן")+(S32:Z32="לפעמים")+(S32:Z32="עדיין לא")))))</f>
        <v/>
      </c>
      <c r="AQ32" s="27" t="str">
        <f aca="false">IF($A32="","",COUNTIF(AA32:AB32,"כן"))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7" t="str">
        <f aca="false">IF($A33="","",$A33&amp;"|"&amp;$C33)</f>
        <v/>
      </c>
      <c r="AG33" s="27" t="str">
        <f aca="false">IF($A33="","",IF(OR(H33="לא נבדק",H33=""),"לא נבדק",IF(AND(H33="בחר/ה בעצמו/ה",I33="כן",J33="לא"),"מלא",IF(OR(H33="בחר/ה בעצמו/ה",I33="כן"),"חלקי","עדיין לא"))))</f>
        <v/>
      </c>
      <c r="AH33" s="28" t="str">
        <f aca="false">IF($A33="","",IFERROR((COUNTIF(K33:L33,"כן")+0.5*COUNTIF(K33:L33,"קצת"))/(COUNTIF(K33:L33,"כן")+COUNTIF(K33:L33,"קצת")+COUNTIF(K33:L33,"עוד לא")),""))</f>
        <v/>
      </c>
      <c r="AI33" s="28" t="str">
        <f aca="false">IF($A33="","",IFERROR((COUNTIF(M33:N33,"כן")+0.5*COUNTIF(M33:N33,"קצת"))/(COUNTIF(M33:N33,"כן")+COUNTIF(M33:N33,"קצת")+COUNTIF(M33:N33,"עוד לא")),""))</f>
        <v/>
      </c>
      <c r="AJ33" s="28" t="str">
        <f aca="false">IF($A33="","",IFERROR((COUNTIF(O33:P33,"כן")+0.5*COUNTIF(O33:P33,"קצת"))/(COUNTIF(O33:P33,"כן")+COUNTIF(O33:P33,"קצת")+COUNTIF(O33:P33,"עוד לא")),""))</f>
        <v/>
      </c>
      <c r="AK33" s="28" t="str">
        <f aca="false">IF($A33="","",IFERROR((COUNTIF(Q33:R33,"כן")+0.5*COUNTIF(Q33:R33,"קצת"))/(COUNTIF(Q33:R33,"כן")+COUNTIF(Q33:R33,"קצת")+COUNTIF(Q33:R33,"עוד לא")),""))</f>
        <v/>
      </c>
      <c r="AL33" s="28" t="str">
        <f aca="false">IF($A33="","",IFERROR((COUNTIF(K33:R33,"כן")+0.5*COUNTIF(K33:R33,"קצת"))/(COUNTIF(K33:R33,"כן")+COUNTIF(K33:R33,"קצת")+COUNTIF(K33:R33,"עוד לא")),""))</f>
        <v/>
      </c>
      <c r="AM33" s="28" t="str">
        <f aca="false">IF($A33="","",IFERROR((COUNTIF(S33:Z33,"רוב הזמן")+0.5*COUNTIF(S33:Z33,"לפעמים"))/(COUNTIF(S33:Z33,"רוב הזמן")+COUNTIF(S33:Z33,"לפעמים")+COUNTIF(S33:Z33,"עדיין לא")),""))</f>
        <v/>
      </c>
      <c r="AN33" s="28" t="str">
        <f aca="false">IF($A33="","",IFERROR(1-SUMPRODUCT(ABS(((K33:R33="כן")+0.5*(K33:R33="קצת"))-((S33:Z33="רוב הזמן")+0.5*(S33:Z33="לפעמים")))*(((K33:R33="כן")+(K33:R33="קצת")+(K33:R33="עוד לא"))*((S33:Z33="רוב הזמן")+(S33:Z33="לפעמים")+(S33:Z33="עדיין לא"))))/SUMPRODUCT((((K33:R33="כן")+(K33:R33="קצת")+(K33:R33="עוד לא"))*((S33:Z33="רוב הזמן")+(S33:Z33="לפעמים")+(S33:Z33="עדיין לא")))),""))</f>
        <v/>
      </c>
      <c r="AO33" s="27" t="str">
        <f aca="false">IF($A33="","",SUMPRODUCT(((((K33:R33="כן")+0.5*(K33:R33="קצת"))-((S33:Z33="רוב הזמן")+0.5*(S33:Z33="לפעמים")))&gt;0.01)*(((K33:R33="כן")+(K33:R33="קצת")+(K33:R33="עוד לא"))*((S33:Z33="רוב הזמן")+(S33:Z33="לפעמים")+(S33:Z33="עדיין לא")))))</f>
        <v/>
      </c>
      <c r="AP33" s="27" t="str">
        <f aca="false">IF($A33="","",SUMPRODUCT(((((S33:Z33="רוב הזמן")+0.5*(S33:Z33="לפעמים"))-((K33:R33="כן")+0.5*(K33:R33="קצת")))&gt;0.01)*(((K33:R33="כן")+(K33:R33="קצת")+(K33:R33="עוד לא"))*((S33:Z33="רוב הזמן")+(S33:Z33="לפעמים")+(S33:Z33="עדיין לא")))))</f>
        <v/>
      </c>
      <c r="AQ33" s="27" t="str">
        <f aca="false">IF($A33="","",COUNTIF(AA33:AB33,"כן"))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7" t="str">
        <f aca="false">IF($A34="","",$A34&amp;"|"&amp;$C34)</f>
        <v/>
      </c>
      <c r="AG34" s="27" t="str">
        <f aca="false">IF($A34="","",IF(OR(H34="לא נבדק",H34=""),"לא נבדק",IF(AND(H34="בחר/ה בעצמו/ה",I34="כן",J34="לא"),"מלא",IF(OR(H34="בחר/ה בעצמו/ה",I34="כן"),"חלקי","עדיין לא"))))</f>
        <v/>
      </c>
      <c r="AH34" s="28" t="str">
        <f aca="false">IF($A34="","",IFERROR((COUNTIF(K34:L34,"כן")+0.5*COUNTIF(K34:L34,"קצת"))/(COUNTIF(K34:L34,"כן")+COUNTIF(K34:L34,"קצת")+COUNTIF(K34:L34,"עוד לא")),""))</f>
        <v/>
      </c>
      <c r="AI34" s="28" t="str">
        <f aca="false">IF($A34="","",IFERROR((COUNTIF(M34:N34,"כן")+0.5*COUNTIF(M34:N34,"קצת"))/(COUNTIF(M34:N34,"כן")+COUNTIF(M34:N34,"קצת")+COUNTIF(M34:N34,"עוד לא")),""))</f>
        <v/>
      </c>
      <c r="AJ34" s="28" t="str">
        <f aca="false">IF($A34="","",IFERROR((COUNTIF(O34:P34,"כן")+0.5*COUNTIF(O34:P34,"קצת"))/(COUNTIF(O34:P34,"כן")+COUNTIF(O34:P34,"קצת")+COUNTIF(O34:P34,"עוד לא")),""))</f>
        <v/>
      </c>
      <c r="AK34" s="28" t="str">
        <f aca="false">IF($A34="","",IFERROR((COUNTIF(Q34:R34,"כן")+0.5*COUNTIF(Q34:R34,"קצת"))/(COUNTIF(Q34:R34,"כן")+COUNTIF(Q34:R34,"קצת")+COUNTIF(Q34:R34,"עוד לא")),""))</f>
        <v/>
      </c>
      <c r="AL34" s="28" t="str">
        <f aca="false">IF($A34="","",IFERROR((COUNTIF(K34:R34,"כן")+0.5*COUNTIF(K34:R34,"קצת"))/(COUNTIF(K34:R34,"כן")+COUNTIF(K34:R34,"קצת")+COUNTIF(K34:R34,"עוד לא")),""))</f>
        <v/>
      </c>
      <c r="AM34" s="28" t="str">
        <f aca="false">IF($A34="","",IFERROR((COUNTIF(S34:Z34,"רוב הזמן")+0.5*COUNTIF(S34:Z34,"לפעמים"))/(COUNTIF(S34:Z34,"רוב הזמן")+COUNTIF(S34:Z34,"לפעמים")+COUNTIF(S34:Z34,"עדיין לא")),""))</f>
        <v/>
      </c>
      <c r="AN34" s="28" t="str">
        <f aca="false">IF($A34="","",IFERROR(1-SUMPRODUCT(ABS(((K34:R34="כן")+0.5*(K34:R34="קצת"))-((S34:Z34="רוב הזמן")+0.5*(S34:Z34="לפעמים")))*(((K34:R34="כן")+(K34:R34="קצת")+(K34:R34="עוד לא"))*((S34:Z34="רוב הזמן")+(S34:Z34="לפעמים")+(S34:Z34="עדיין לא"))))/SUMPRODUCT((((K34:R34="כן")+(K34:R34="קצת")+(K34:R34="עוד לא"))*((S34:Z34="רוב הזמן")+(S34:Z34="לפעמים")+(S34:Z34="עדיין לא")))),""))</f>
        <v/>
      </c>
      <c r="AO34" s="27" t="str">
        <f aca="false">IF($A34="","",SUMPRODUCT(((((K34:R34="כן")+0.5*(K34:R34="קצת"))-((S34:Z34="רוב הזמן")+0.5*(S34:Z34="לפעמים")))&gt;0.01)*(((K34:R34="כן")+(K34:R34="קצת")+(K34:R34="עוד לא"))*((S34:Z34="רוב הזמן")+(S34:Z34="לפעמים")+(S34:Z34="עדיין לא")))))</f>
        <v/>
      </c>
      <c r="AP34" s="27" t="str">
        <f aca="false">IF($A34="","",SUMPRODUCT(((((S34:Z34="רוב הזמן")+0.5*(S34:Z34="לפעמים"))-((K34:R34="כן")+0.5*(K34:R34="קצת")))&gt;0.01)*(((K34:R34="כן")+(K34:R34="קצת")+(K34:R34="עוד לא"))*((S34:Z34="רוב הזמן")+(S34:Z34="לפעמים")+(S34:Z34="עדיין לא")))))</f>
        <v/>
      </c>
      <c r="AQ34" s="27" t="str">
        <f aca="false">IF($A34="","",COUNTIF(AA34:AB34,"כן"))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7" t="str">
        <f aca="false">IF($A35="","",$A35&amp;"|"&amp;$C35)</f>
        <v/>
      </c>
      <c r="AG35" s="27" t="str">
        <f aca="false">IF($A35="","",IF(OR(H35="לא נבדק",H35=""),"לא נבדק",IF(AND(H35="בחר/ה בעצמו/ה",I35="כן",J35="לא"),"מלא",IF(OR(H35="בחר/ה בעצמו/ה",I35="כן"),"חלקי","עדיין לא"))))</f>
        <v/>
      </c>
      <c r="AH35" s="28" t="str">
        <f aca="false">IF($A35="","",IFERROR((COUNTIF(K35:L35,"כן")+0.5*COUNTIF(K35:L35,"קצת"))/(COUNTIF(K35:L35,"כן")+COUNTIF(K35:L35,"קצת")+COUNTIF(K35:L35,"עוד לא")),""))</f>
        <v/>
      </c>
      <c r="AI35" s="28" t="str">
        <f aca="false">IF($A35="","",IFERROR((COUNTIF(M35:N35,"כן")+0.5*COUNTIF(M35:N35,"קצת"))/(COUNTIF(M35:N35,"כן")+COUNTIF(M35:N35,"קצת")+COUNTIF(M35:N35,"עוד לא")),""))</f>
        <v/>
      </c>
      <c r="AJ35" s="28" t="str">
        <f aca="false">IF($A35="","",IFERROR((COUNTIF(O35:P35,"כן")+0.5*COUNTIF(O35:P35,"קצת"))/(COUNTIF(O35:P35,"כן")+COUNTIF(O35:P35,"קצת")+COUNTIF(O35:P35,"עוד לא")),""))</f>
        <v/>
      </c>
      <c r="AK35" s="28" t="str">
        <f aca="false">IF($A35="","",IFERROR((COUNTIF(Q35:R35,"כן")+0.5*COUNTIF(Q35:R35,"קצת"))/(COUNTIF(Q35:R35,"כן")+COUNTIF(Q35:R35,"קצת")+COUNTIF(Q35:R35,"עוד לא")),""))</f>
        <v/>
      </c>
      <c r="AL35" s="28" t="str">
        <f aca="false">IF($A35="","",IFERROR((COUNTIF(K35:R35,"כן")+0.5*COUNTIF(K35:R35,"קצת"))/(COUNTIF(K35:R35,"כן")+COUNTIF(K35:R35,"קצת")+COUNTIF(K35:R35,"עוד לא")),""))</f>
        <v/>
      </c>
      <c r="AM35" s="28" t="str">
        <f aca="false">IF($A35="","",IFERROR((COUNTIF(S35:Z35,"רוב הזמן")+0.5*COUNTIF(S35:Z35,"לפעמים"))/(COUNTIF(S35:Z35,"רוב הזמן")+COUNTIF(S35:Z35,"לפעמים")+COUNTIF(S35:Z35,"עדיין לא")),""))</f>
        <v/>
      </c>
      <c r="AN35" s="28" t="str">
        <f aca="false">IF($A35="","",IFERROR(1-SUMPRODUCT(ABS(((K35:R35="כן")+0.5*(K35:R35="קצת"))-((S35:Z35="רוב הזמן")+0.5*(S35:Z35="לפעמים")))*(((K35:R35="כן")+(K35:R35="קצת")+(K35:R35="עוד לא"))*((S35:Z35="רוב הזמן")+(S35:Z35="לפעמים")+(S35:Z35="עדיין לא"))))/SUMPRODUCT((((K35:R35="כן")+(K35:R35="קצת")+(K35:R35="עוד לא"))*((S35:Z35="רוב הזמן")+(S35:Z35="לפעמים")+(S35:Z35="עדיין לא")))),""))</f>
        <v/>
      </c>
      <c r="AO35" s="27" t="str">
        <f aca="false">IF($A35="","",SUMPRODUCT(((((K35:R35="כן")+0.5*(K35:R35="קצת"))-((S35:Z35="רוב הזמן")+0.5*(S35:Z35="לפעמים")))&gt;0.01)*(((K35:R35="כן")+(K35:R35="קצת")+(K35:R35="עוד לא"))*((S35:Z35="רוב הזמן")+(S35:Z35="לפעמים")+(S35:Z35="עדיין לא")))))</f>
        <v/>
      </c>
      <c r="AP35" s="27" t="str">
        <f aca="false">IF($A35="","",SUMPRODUCT(((((S35:Z35="רוב הזמן")+0.5*(S35:Z35="לפעמים"))-((K35:R35="כן")+0.5*(K35:R35="קצת")))&gt;0.01)*(((K35:R35="כן")+(K35:R35="קצת")+(K35:R35="עוד לא"))*((S35:Z35="רוב הזמן")+(S35:Z35="לפעמים")+(S35:Z35="עדיין לא")))))</f>
        <v/>
      </c>
      <c r="AQ35" s="27" t="str">
        <f aca="false">IF($A35="","",COUNTIF(AA35:AB35,"כן"))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7" t="str">
        <f aca="false">IF($A36="","",$A36&amp;"|"&amp;$C36)</f>
        <v/>
      </c>
      <c r="AG36" s="27" t="str">
        <f aca="false">IF($A36="","",IF(OR(H36="לא נבדק",H36=""),"לא נבדק",IF(AND(H36="בחר/ה בעצמו/ה",I36="כן",J36="לא"),"מלא",IF(OR(H36="בחר/ה בעצמו/ה",I36="כן"),"חלקי","עדיין לא"))))</f>
        <v/>
      </c>
      <c r="AH36" s="28" t="str">
        <f aca="false">IF($A36="","",IFERROR((COUNTIF(K36:L36,"כן")+0.5*COUNTIF(K36:L36,"קצת"))/(COUNTIF(K36:L36,"כן")+COUNTIF(K36:L36,"קצת")+COUNTIF(K36:L36,"עוד לא")),""))</f>
        <v/>
      </c>
      <c r="AI36" s="28" t="str">
        <f aca="false">IF($A36="","",IFERROR((COUNTIF(M36:N36,"כן")+0.5*COUNTIF(M36:N36,"קצת"))/(COUNTIF(M36:N36,"כן")+COUNTIF(M36:N36,"קצת")+COUNTIF(M36:N36,"עוד לא")),""))</f>
        <v/>
      </c>
      <c r="AJ36" s="28" t="str">
        <f aca="false">IF($A36="","",IFERROR((COUNTIF(O36:P36,"כן")+0.5*COUNTIF(O36:P36,"קצת"))/(COUNTIF(O36:P36,"כן")+COUNTIF(O36:P36,"קצת")+COUNTIF(O36:P36,"עוד לא")),""))</f>
        <v/>
      </c>
      <c r="AK36" s="28" t="str">
        <f aca="false">IF($A36="","",IFERROR((COUNTIF(Q36:R36,"כן")+0.5*COUNTIF(Q36:R36,"קצת"))/(COUNTIF(Q36:R36,"כן")+COUNTIF(Q36:R36,"קצת")+COUNTIF(Q36:R36,"עוד לא")),""))</f>
        <v/>
      </c>
      <c r="AL36" s="28" t="str">
        <f aca="false">IF($A36="","",IFERROR((COUNTIF(K36:R36,"כן")+0.5*COUNTIF(K36:R36,"קצת"))/(COUNTIF(K36:R36,"כן")+COUNTIF(K36:R36,"קצת")+COUNTIF(K36:R36,"עוד לא")),""))</f>
        <v/>
      </c>
      <c r="AM36" s="28" t="str">
        <f aca="false">IF($A36="","",IFERROR((COUNTIF(S36:Z36,"רוב הזמן")+0.5*COUNTIF(S36:Z36,"לפעמים"))/(COUNTIF(S36:Z36,"רוב הזמן")+COUNTIF(S36:Z36,"לפעמים")+COUNTIF(S36:Z36,"עדיין לא")),""))</f>
        <v/>
      </c>
      <c r="AN36" s="28" t="str">
        <f aca="false">IF($A36="","",IFERROR(1-SUMPRODUCT(ABS(((K36:R36="כן")+0.5*(K36:R36="קצת"))-((S36:Z36="רוב הזמן")+0.5*(S36:Z36="לפעמים")))*(((K36:R36="כן")+(K36:R36="קצת")+(K36:R36="עוד לא"))*((S36:Z36="רוב הזמן")+(S36:Z36="לפעמים")+(S36:Z36="עדיין לא"))))/SUMPRODUCT((((K36:R36="כן")+(K36:R36="קצת")+(K36:R36="עוד לא"))*((S36:Z36="רוב הזמן")+(S36:Z36="לפעמים")+(S36:Z36="עדיין לא")))),""))</f>
        <v/>
      </c>
      <c r="AO36" s="27" t="str">
        <f aca="false">IF($A36="","",SUMPRODUCT(((((K36:R36="כן")+0.5*(K36:R36="קצת"))-((S36:Z36="רוב הזמן")+0.5*(S36:Z36="לפעמים")))&gt;0.01)*(((K36:R36="כן")+(K36:R36="קצת")+(K36:R36="עוד לא"))*((S36:Z36="רוב הזמן")+(S36:Z36="לפעמים")+(S36:Z36="עדיין לא")))))</f>
        <v/>
      </c>
      <c r="AP36" s="27" t="str">
        <f aca="false">IF($A36="","",SUMPRODUCT(((((S36:Z36="רוב הזמן")+0.5*(S36:Z36="לפעמים"))-((K36:R36="כן")+0.5*(K36:R36="קצת")))&gt;0.01)*(((K36:R36="כן")+(K36:R36="קצת")+(K36:R36="עוד לא"))*((S36:Z36="רוב הזמן")+(S36:Z36="לפעמים")+(S36:Z36="עדיין לא")))))</f>
        <v/>
      </c>
      <c r="AQ36" s="27" t="str">
        <f aca="false">IF($A36="","",COUNTIF(AA36:AB36,"כן"))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7" t="str">
        <f aca="false">IF($A37="","",$A37&amp;"|"&amp;$C37)</f>
        <v/>
      </c>
      <c r="AG37" s="27" t="str">
        <f aca="false">IF($A37="","",IF(OR(H37="לא נבדק",H37=""),"לא נבדק",IF(AND(H37="בחר/ה בעצמו/ה",I37="כן",J37="לא"),"מלא",IF(OR(H37="בחר/ה בעצמו/ה",I37="כן"),"חלקי","עדיין לא"))))</f>
        <v/>
      </c>
      <c r="AH37" s="28" t="str">
        <f aca="false">IF($A37="","",IFERROR((COUNTIF(K37:L37,"כן")+0.5*COUNTIF(K37:L37,"קצת"))/(COUNTIF(K37:L37,"כן")+COUNTIF(K37:L37,"קצת")+COUNTIF(K37:L37,"עוד לא")),""))</f>
        <v/>
      </c>
      <c r="AI37" s="28" t="str">
        <f aca="false">IF($A37="","",IFERROR((COUNTIF(M37:N37,"כן")+0.5*COUNTIF(M37:N37,"קצת"))/(COUNTIF(M37:N37,"כן")+COUNTIF(M37:N37,"קצת")+COUNTIF(M37:N37,"עוד לא")),""))</f>
        <v/>
      </c>
      <c r="AJ37" s="28" t="str">
        <f aca="false">IF($A37="","",IFERROR((COUNTIF(O37:P37,"כן")+0.5*COUNTIF(O37:P37,"קצת"))/(COUNTIF(O37:P37,"כן")+COUNTIF(O37:P37,"קצת")+COUNTIF(O37:P37,"עוד לא")),""))</f>
        <v/>
      </c>
      <c r="AK37" s="28" t="str">
        <f aca="false">IF($A37="","",IFERROR((COUNTIF(Q37:R37,"כן")+0.5*COUNTIF(Q37:R37,"קצת"))/(COUNTIF(Q37:R37,"כן")+COUNTIF(Q37:R37,"קצת")+COUNTIF(Q37:R37,"עוד לא")),""))</f>
        <v/>
      </c>
      <c r="AL37" s="28" t="str">
        <f aca="false">IF($A37="","",IFERROR((COUNTIF(K37:R37,"כן")+0.5*COUNTIF(K37:R37,"קצת"))/(COUNTIF(K37:R37,"כן")+COUNTIF(K37:R37,"קצת")+COUNTIF(K37:R37,"עוד לא")),""))</f>
        <v/>
      </c>
      <c r="AM37" s="28" t="str">
        <f aca="false">IF($A37="","",IFERROR((COUNTIF(S37:Z37,"רוב הזמן")+0.5*COUNTIF(S37:Z37,"לפעמים"))/(COUNTIF(S37:Z37,"רוב הזמן")+COUNTIF(S37:Z37,"לפעמים")+COUNTIF(S37:Z37,"עדיין לא")),""))</f>
        <v/>
      </c>
      <c r="AN37" s="28" t="str">
        <f aca="false">IF($A37="","",IFERROR(1-SUMPRODUCT(ABS(((K37:R37="כן")+0.5*(K37:R37="קצת"))-((S37:Z37="רוב הזמן")+0.5*(S37:Z37="לפעמים")))*(((K37:R37="כן")+(K37:R37="קצת")+(K37:R37="עוד לא"))*((S37:Z37="רוב הזמן")+(S37:Z37="לפעמים")+(S37:Z37="עדיין לא"))))/SUMPRODUCT((((K37:R37="כן")+(K37:R37="קצת")+(K37:R37="עוד לא"))*((S37:Z37="רוב הזמן")+(S37:Z37="לפעמים")+(S37:Z37="עדיין לא")))),""))</f>
        <v/>
      </c>
      <c r="AO37" s="27" t="str">
        <f aca="false">IF($A37="","",SUMPRODUCT(((((K37:R37="כן")+0.5*(K37:R37="קצת"))-((S37:Z37="רוב הזמן")+0.5*(S37:Z37="לפעמים")))&gt;0.01)*(((K37:R37="כן")+(K37:R37="קצת")+(K37:R37="עוד לא"))*((S37:Z37="רוב הזמן")+(S37:Z37="לפעמים")+(S37:Z37="עדיין לא")))))</f>
        <v/>
      </c>
      <c r="AP37" s="27" t="str">
        <f aca="false">IF($A37="","",SUMPRODUCT(((((S37:Z37="רוב הזמן")+0.5*(S37:Z37="לפעמים"))-((K37:R37="כן")+0.5*(K37:R37="קצת")))&gt;0.01)*(((K37:R37="כן")+(K37:R37="קצת")+(K37:R37="עוד לא"))*((S37:Z37="רוב הזמן")+(S37:Z37="לפעמים")+(S37:Z37="עדיין לא")))))</f>
        <v/>
      </c>
      <c r="AQ37" s="27" t="str">
        <f aca="false">IF($A37="","",COUNTIF(AA37:AB37,"כן"))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7" t="str">
        <f aca="false">IF($A38="","",$A38&amp;"|"&amp;$C38)</f>
        <v/>
      </c>
      <c r="AG38" s="27" t="str">
        <f aca="false">IF($A38="","",IF(OR(H38="לא נבדק",H38=""),"לא נבדק",IF(AND(H38="בחר/ה בעצמו/ה",I38="כן",J38="לא"),"מלא",IF(OR(H38="בחר/ה בעצמו/ה",I38="כן"),"חלקי","עדיין לא"))))</f>
        <v/>
      </c>
      <c r="AH38" s="28" t="str">
        <f aca="false">IF($A38="","",IFERROR((COUNTIF(K38:L38,"כן")+0.5*COUNTIF(K38:L38,"קצת"))/(COUNTIF(K38:L38,"כן")+COUNTIF(K38:L38,"קצת")+COUNTIF(K38:L38,"עוד לא")),""))</f>
        <v/>
      </c>
      <c r="AI38" s="28" t="str">
        <f aca="false">IF($A38="","",IFERROR((COUNTIF(M38:N38,"כן")+0.5*COUNTIF(M38:N38,"קצת"))/(COUNTIF(M38:N38,"כן")+COUNTIF(M38:N38,"קצת")+COUNTIF(M38:N38,"עוד לא")),""))</f>
        <v/>
      </c>
      <c r="AJ38" s="28" t="str">
        <f aca="false">IF($A38="","",IFERROR((COUNTIF(O38:P38,"כן")+0.5*COUNTIF(O38:P38,"קצת"))/(COUNTIF(O38:P38,"כן")+COUNTIF(O38:P38,"קצת")+COUNTIF(O38:P38,"עוד לא")),""))</f>
        <v/>
      </c>
      <c r="AK38" s="28" t="str">
        <f aca="false">IF($A38="","",IFERROR((COUNTIF(Q38:R38,"כן")+0.5*COUNTIF(Q38:R38,"קצת"))/(COUNTIF(Q38:R38,"כן")+COUNTIF(Q38:R38,"קצת")+COUNTIF(Q38:R38,"עוד לא")),""))</f>
        <v/>
      </c>
      <c r="AL38" s="28" t="str">
        <f aca="false">IF($A38="","",IFERROR((COUNTIF(K38:R38,"כן")+0.5*COUNTIF(K38:R38,"קצת"))/(COUNTIF(K38:R38,"כן")+COUNTIF(K38:R38,"קצת")+COUNTIF(K38:R38,"עוד לא")),""))</f>
        <v/>
      </c>
      <c r="AM38" s="28" t="str">
        <f aca="false">IF($A38="","",IFERROR((COUNTIF(S38:Z38,"רוב הזמן")+0.5*COUNTIF(S38:Z38,"לפעמים"))/(COUNTIF(S38:Z38,"רוב הזמן")+COUNTIF(S38:Z38,"לפעמים")+COUNTIF(S38:Z38,"עדיין לא")),""))</f>
        <v/>
      </c>
      <c r="AN38" s="28" t="str">
        <f aca="false">IF($A38="","",IFERROR(1-SUMPRODUCT(ABS(((K38:R38="כן")+0.5*(K38:R38="קצת"))-((S38:Z38="רוב הזמן")+0.5*(S38:Z38="לפעמים")))*(((K38:R38="כן")+(K38:R38="קצת")+(K38:R38="עוד לא"))*((S38:Z38="רוב הזמן")+(S38:Z38="לפעמים")+(S38:Z38="עדיין לא"))))/SUMPRODUCT((((K38:R38="כן")+(K38:R38="קצת")+(K38:R38="עוד לא"))*((S38:Z38="רוב הזמן")+(S38:Z38="לפעמים")+(S38:Z38="עדיין לא")))),""))</f>
        <v/>
      </c>
      <c r="AO38" s="27" t="str">
        <f aca="false">IF($A38="","",SUMPRODUCT(((((K38:R38="כן")+0.5*(K38:R38="קצת"))-((S38:Z38="רוב הזמן")+0.5*(S38:Z38="לפעמים")))&gt;0.01)*(((K38:R38="כן")+(K38:R38="קצת")+(K38:R38="עוד לא"))*((S38:Z38="רוב הזמן")+(S38:Z38="לפעמים")+(S38:Z38="עדיין לא")))))</f>
        <v/>
      </c>
      <c r="AP38" s="27" t="str">
        <f aca="false">IF($A38="","",SUMPRODUCT(((((S38:Z38="רוב הזמן")+0.5*(S38:Z38="לפעמים"))-((K38:R38="כן")+0.5*(K38:R38="קצת")))&gt;0.01)*(((K38:R38="כן")+(K38:R38="קצת")+(K38:R38="עוד לא"))*((S38:Z38="רוב הזמן")+(S38:Z38="לפעמים")+(S38:Z38="עדיין לא")))))</f>
        <v/>
      </c>
      <c r="AQ38" s="27" t="str">
        <f aca="false">IF($A38="","",COUNTIF(AA38:AB38,"כן"))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7" t="str">
        <f aca="false">IF($A39="","",$A39&amp;"|"&amp;$C39)</f>
        <v/>
      </c>
      <c r="AG39" s="27" t="str">
        <f aca="false">IF($A39="","",IF(OR(H39="לא נבדק",H39=""),"לא נבדק",IF(AND(H39="בחר/ה בעצמו/ה",I39="כן",J39="לא"),"מלא",IF(OR(H39="בחר/ה בעצמו/ה",I39="כן"),"חלקי","עדיין לא"))))</f>
        <v/>
      </c>
      <c r="AH39" s="28" t="str">
        <f aca="false">IF($A39="","",IFERROR((COUNTIF(K39:L39,"כן")+0.5*COUNTIF(K39:L39,"קצת"))/(COUNTIF(K39:L39,"כן")+COUNTIF(K39:L39,"קצת")+COUNTIF(K39:L39,"עוד לא")),""))</f>
        <v/>
      </c>
      <c r="AI39" s="28" t="str">
        <f aca="false">IF($A39="","",IFERROR((COUNTIF(M39:N39,"כן")+0.5*COUNTIF(M39:N39,"קצת"))/(COUNTIF(M39:N39,"כן")+COUNTIF(M39:N39,"קצת")+COUNTIF(M39:N39,"עוד לא")),""))</f>
        <v/>
      </c>
      <c r="AJ39" s="28" t="str">
        <f aca="false">IF($A39="","",IFERROR((COUNTIF(O39:P39,"כן")+0.5*COUNTIF(O39:P39,"קצת"))/(COUNTIF(O39:P39,"כן")+COUNTIF(O39:P39,"קצת")+COUNTIF(O39:P39,"עוד לא")),""))</f>
        <v/>
      </c>
      <c r="AK39" s="28" t="str">
        <f aca="false">IF($A39="","",IFERROR((COUNTIF(Q39:R39,"כן")+0.5*COUNTIF(Q39:R39,"קצת"))/(COUNTIF(Q39:R39,"כן")+COUNTIF(Q39:R39,"קצת")+COUNTIF(Q39:R39,"עוד לא")),""))</f>
        <v/>
      </c>
      <c r="AL39" s="28" t="str">
        <f aca="false">IF($A39="","",IFERROR((COUNTIF(K39:R39,"כן")+0.5*COUNTIF(K39:R39,"קצת"))/(COUNTIF(K39:R39,"כן")+COUNTIF(K39:R39,"קצת")+COUNTIF(K39:R39,"עוד לא")),""))</f>
        <v/>
      </c>
      <c r="AM39" s="28" t="str">
        <f aca="false">IF($A39="","",IFERROR((COUNTIF(S39:Z39,"רוב הזמן")+0.5*COUNTIF(S39:Z39,"לפעמים"))/(COUNTIF(S39:Z39,"רוב הזמן")+COUNTIF(S39:Z39,"לפעמים")+COUNTIF(S39:Z39,"עדיין לא")),""))</f>
        <v/>
      </c>
      <c r="AN39" s="28" t="str">
        <f aca="false">IF($A39="","",IFERROR(1-SUMPRODUCT(ABS(((K39:R39="כן")+0.5*(K39:R39="קצת"))-((S39:Z39="רוב הזמן")+0.5*(S39:Z39="לפעמים")))*(((K39:R39="כן")+(K39:R39="קצת")+(K39:R39="עוד לא"))*((S39:Z39="רוב הזמן")+(S39:Z39="לפעמים")+(S39:Z39="עדיין לא"))))/SUMPRODUCT((((K39:R39="כן")+(K39:R39="קצת")+(K39:R39="עוד לא"))*((S39:Z39="רוב הזמן")+(S39:Z39="לפעמים")+(S39:Z39="עדיין לא")))),""))</f>
        <v/>
      </c>
      <c r="AO39" s="27" t="str">
        <f aca="false">IF($A39="","",SUMPRODUCT(((((K39:R39="כן")+0.5*(K39:R39="קצת"))-((S39:Z39="רוב הזמן")+0.5*(S39:Z39="לפעמים")))&gt;0.01)*(((K39:R39="כן")+(K39:R39="קצת")+(K39:R39="עוד לא"))*((S39:Z39="רוב הזמן")+(S39:Z39="לפעמים")+(S39:Z39="עדיין לא")))))</f>
        <v/>
      </c>
      <c r="AP39" s="27" t="str">
        <f aca="false">IF($A39="","",SUMPRODUCT(((((S39:Z39="רוב הזמן")+0.5*(S39:Z39="לפעמים"))-((K39:R39="כן")+0.5*(K39:R39="קצת")))&gt;0.01)*(((K39:R39="כן")+(K39:R39="קצת")+(K39:R39="עוד לא"))*((S39:Z39="רוב הזמן")+(S39:Z39="לפעמים")+(S39:Z39="עדיין לא")))))</f>
        <v/>
      </c>
      <c r="AQ39" s="27" t="str">
        <f aca="false">IF($A39="","",COUNTIF(AA39:AB39,"כן"))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7" t="str">
        <f aca="false">IF($A40="","",$A40&amp;"|"&amp;$C40)</f>
        <v/>
      </c>
      <c r="AG40" s="27" t="str">
        <f aca="false">IF($A40="","",IF(OR(H40="לא נבדק",H40=""),"לא נבדק",IF(AND(H40="בחר/ה בעצמו/ה",I40="כן",J40="לא"),"מלא",IF(OR(H40="בחר/ה בעצמו/ה",I40="כן"),"חלקי","עדיין לא"))))</f>
        <v/>
      </c>
      <c r="AH40" s="28" t="str">
        <f aca="false">IF($A40="","",IFERROR((COUNTIF(K40:L40,"כן")+0.5*COUNTIF(K40:L40,"קצת"))/(COUNTIF(K40:L40,"כן")+COUNTIF(K40:L40,"קצת")+COUNTIF(K40:L40,"עוד לא")),""))</f>
        <v/>
      </c>
      <c r="AI40" s="28" t="str">
        <f aca="false">IF($A40="","",IFERROR((COUNTIF(M40:N40,"כן")+0.5*COUNTIF(M40:N40,"קצת"))/(COUNTIF(M40:N40,"כן")+COUNTIF(M40:N40,"קצת")+COUNTIF(M40:N40,"עוד לא")),""))</f>
        <v/>
      </c>
      <c r="AJ40" s="28" t="str">
        <f aca="false">IF($A40="","",IFERROR((COUNTIF(O40:P40,"כן")+0.5*COUNTIF(O40:P40,"קצת"))/(COUNTIF(O40:P40,"כן")+COUNTIF(O40:P40,"קצת")+COUNTIF(O40:P40,"עוד לא")),""))</f>
        <v/>
      </c>
      <c r="AK40" s="28" t="str">
        <f aca="false">IF($A40="","",IFERROR((COUNTIF(Q40:R40,"כן")+0.5*COUNTIF(Q40:R40,"קצת"))/(COUNTIF(Q40:R40,"כן")+COUNTIF(Q40:R40,"קצת")+COUNTIF(Q40:R40,"עוד לא")),""))</f>
        <v/>
      </c>
      <c r="AL40" s="28" t="str">
        <f aca="false">IF($A40="","",IFERROR((COUNTIF(K40:R40,"כן")+0.5*COUNTIF(K40:R40,"קצת"))/(COUNTIF(K40:R40,"כן")+COUNTIF(K40:R40,"קצת")+COUNTIF(K40:R40,"עוד לא")),""))</f>
        <v/>
      </c>
      <c r="AM40" s="28" t="str">
        <f aca="false">IF($A40="","",IFERROR((COUNTIF(S40:Z40,"רוב הזמן")+0.5*COUNTIF(S40:Z40,"לפעמים"))/(COUNTIF(S40:Z40,"רוב הזמן")+COUNTIF(S40:Z40,"לפעמים")+COUNTIF(S40:Z40,"עדיין לא")),""))</f>
        <v/>
      </c>
      <c r="AN40" s="28" t="str">
        <f aca="false">IF($A40="","",IFERROR(1-SUMPRODUCT(ABS(((K40:R40="כן")+0.5*(K40:R40="קצת"))-((S40:Z40="רוב הזמן")+0.5*(S40:Z40="לפעמים")))*(((K40:R40="כן")+(K40:R40="קצת")+(K40:R40="עוד לא"))*((S40:Z40="רוב הזמן")+(S40:Z40="לפעמים")+(S40:Z40="עדיין לא"))))/SUMPRODUCT((((K40:R40="כן")+(K40:R40="קצת")+(K40:R40="עוד לא"))*((S40:Z40="רוב הזמן")+(S40:Z40="לפעמים")+(S40:Z40="עדיין לא")))),""))</f>
        <v/>
      </c>
      <c r="AO40" s="27" t="str">
        <f aca="false">IF($A40="","",SUMPRODUCT(((((K40:R40="כן")+0.5*(K40:R40="קצת"))-((S40:Z40="רוב הזמן")+0.5*(S40:Z40="לפעמים")))&gt;0.01)*(((K40:R40="כן")+(K40:R40="קצת")+(K40:R40="עוד לא"))*((S40:Z40="רוב הזמן")+(S40:Z40="לפעמים")+(S40:Z40="עדיין לא")))))</f>
        <v/>
      </c>
      <c r="AP40" s="27" t="str">
        <f aca="false">IF($A40="","",SUMPRODUCT(((((S40:Z40="רוב הזמן")+0.5*(S40:Z40="לפעמים"))-((K40:R40="כן")+0.5*(K40:R40="קצת")))&gt;0.01)*(((K40:R40="כן")+(K40:R40="קצת")+(K40:R40="עוד לא"))*((S40:Z40="רוב הזמן")+(S40:Z40="לפעמים")+(S40:Z40="עדיין לא")))))</f>
        <v/>
      </c>
      <c r="AQ40" s="27" t="str">
        <f aca="false">IF($A40="","",COUNTIF(AA40:AB40,"כן"))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7" t="str">
        <f aca="false">IF($A41="","",$A41&amp;"|"&amp;$C41)</f>
        <v/>
      </c>
      <c r="AG41" s="27" t="str">
        <f aca="false">IF($A41="","",IF(OR(H41="לא נבדק",H41=""),"לא נבדק",IF(AND(H41="בחר/ה בעצמו/ה",I41="כן",J41="לא"),"מלא",IF(OR(H41="בחר/ה בעצמו/ה",I41="כן"),"חלקי","עדיין לא"))))</f>
        <v/>
      </c>
      <c r="AH41" s="28" t="str">
        <f aca="false">IF($A41="","",IFERROR((COUNTIF(K41:L41,"כן")+0.5*COUNTIF(K41:L41,"קצת"))/(COUNTIF(K41:L41,"כן")+COUNTIF(K41:L41,"קצת")+COUNTIF(K41:L41,"עוד לא")),""))</f>
        <v/>
      </c>
      <c r="AI41" s="28" t="str">
        <f aca="false">IF($A41="","",IFERROR((COUNTIF(M41:N41,"כן")+0.5*COUNTIF(M41:N41,"קצת"))/(COUNTIF(M41:N41,"כן")+COUNTIF(M41:N41,"קצת")+COUNTIF(M41:N41,"עוד לא")),""))</f>
        <v/>
      </c>
      <c r="AJ41" s="28" t="str">
        <f aca="false">IF($A41="","",IFERROR((COUNTIF(O41:P41,"כן")+0.5*COUNTIF(O41:P41,"קצת"))/(COUNTIF(O41:P41,"כן")+COUNTIF(O41:P41,"קצת")+COUNTIF(O41:P41,"עוד לא")),""))</f>
        <v/>
      </c>
      <c r="AK41" s="28" t="str">
        <f aca="false">IF($A41="","",IFERROR((COUNTIF(Q41:R41,"כן")+0.5*COUNTIF(Q41:R41,"קצת"))/(COUNTIF(Q41:R41,"כן")+COUNTIF(Q41:R41,"קצת")+COUNTIF(Q41:R41,"עוד לא")),""))</f>
        <v/>
      </c>
      <c r="AL41" s="28" t="str">
        <f aca="false">IF($A41="","",IFERROR((COUNTIF(K41:R41,"כן")+0.5*COUNTIF(K41:R41,"קצת"))/(COUNTIF(K41:R41,"כן")+COUNTIF(K41:R41,"קצת")+COUNTIF(K41:R41,"עוד לא")),""))</f>
        <v/>
      </c>
      <c r="AM41" s="28" t="str">
        <f aca="false">IF($A41="","",IFERROR((COUNTIF(S41:Z41,"רוב הזמן")+0.5*COUNTIF(S41:Z41,"לפעמים"))/(COUNTIF(S41:Z41,"רוב הזמן")+COUNTIF(S41:Z41,"לפעמים")+COUNTIF(S41:Z41,"עדיין לא")),""))</f>
        <v/>
      </c>
      <c r="AN41" s="28" t="str">
        <f aca="false">IF($A41="","",IFERROR(1-SUMPRODUCT(ABS(((K41:R41="כן")+0.5*(K41:R41="קצת"))-((S41:Z41="רוב הזמן")+0.5*(S41:Z41="לפעמים")))*(((K41:R41="כן")+(K41:R41="קצת")+(K41:R41="עוד לא"))*((S41:Z41="רוב הזמן")+(S41:Z41="לפעמים")+(S41:Z41="עדיין לא"))))/SUMPRODUCT((((K41:R41="כן")+(K41:R41="קצת")+(K41:R41="עוד לא"))*((S41:Z41="רוב הזמן")+(S41:Z41="לפעמים")+(S41:Z41="עדיין לא")))),""))</f>
        <v/>
      </c>
      <c r="AO41" s="27" t="str">
        <f aca="false">IF($A41="","",SUMPRODUCT(((((K41:R41="כן")+0.5*(K41:R41="קצת"))-((S41:Z41="רוב הזמן")+0.5*(S41:Z41="לפעמים")))&gt;0.01)*(((K41:R41="כן")+(K41:R41="קצת")+(K41:R41="עוד לא"))*((S41:Z41="רוב הזמן")+(S41:Z41="לפעמים")+(S41:Z41="עדיין לא")))))</f>
        <v/>
      </c>
      <c r="AP41" s="27" t="str">
        <f aca="false">IF($A41="","",SUMPRODUCT(((((S41:Z41="רוב הזמן")+0.5*(S41:Z41="לפעמים"))-((K41:R41="כן")+0.5*(K41:R41="קצת")))&gt;0.01)*(((K41:R41="כן")+(K41:R41="קצת")+(K41:R41="עוד לא"))*((S41:Z41="רוב הזמן")+(S41:Z41="לפעמים")+(S41:Z41="עדיין לא")))))</f>
        <v/>
      </c>
      <c r="AQ41" s="27" t="str">
        <f aca="false">IF($A41="","",COUNTIF(AA41:AB41,"כן"))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7" t="str">
        <f aca="false">IF($A42="","",$A42&amp;"|"&amp;$C42)</f>
        <v/>
      </c>
      <c r="AG42" s="27" t="str">
        <f aca="false">IF($A42="","",IF(OR(H42="לא נבדק",H42=""),"לא נבדק",IF(AND(H42="בחר/ה בעצמו/ה",I42="כן",J42="לא"),"מלא",IF(OR(H42="בחר/ה בעצמו/ה",I42="כן"),"חלקי","עדיין לא"))))</f>
        <v/>
      </c>
      <c r="AH42" s="28" t="str">
        <f aca="false">IF($A42="","",IFERROR((COUNTIF(K42:L42,"כן")+0.5*COUNTIF(K42:L42,"קצת"))/(COUNTIF(K42:L42,"כן")+COUNTIF(K42:L42,"קצת")+COUNTIF(K42:L42,"עוד לא")),""))</f>
        <v/>
      </c>
      <c r="AI42" s="28" t="str">
        <f aca="false">IF($A42="","",IFERROR((COUNTIF(M42:N42,"כן")+0.5*COUNTIF(M42:N42,"קצת"))/(COUNTIF(M42:N42,"כן")+COUNTIF(M42:N42,"קצת")+COUNTIF(M42:N42,"עוד לא")),""))</f>
        <v/>
      </c>
      <c r="AJ42" s="28" t="str">
        <f aca="false">IF($A42="","",IFERROR((COUNTIF(O42:P42,"כן")+0.5*COUNTIF(O42:P42,"קצת"))/(COUNTIF(O42:P42,"כן")+COUNTIF(O42:P42,"קצת")+COUNTIF(O42:P42,"עוד לא")),""))</f>
        <v/>
      </c>
      <c r="AK42" s="28" t="str">
        <f aca="false">IF($A42="","",IFERROR((COUNTIF(Q42:R42,"כן")+0.5*COUNTIF(Q42:R42,"קצת"))/(COUNTIF(Q42:R42,"כן")+COUNTIF(Q42:R42,"קצת")+COUNTIF(Q42:R42,"עוד לא")),""))</f>
        <v/>
      </c>
      <c r="AL42" s="28" t="str">
        <f aca="false">IF($A42="","",IFERROR((COUNTIF(K42:R42,"כן")+0.5*COUNTIF(K42:R42,"קצת"))/(COUNTIF(K42:R42,"כן")+COUNTIF(K42:R42,"קצת")+COUNTIF(K42:R42,"עוד לא")),""))</f>
        <v/>
      </c>
      <c r="AM42" s="28" t="str">
        <f aca="false">IF($A42="","",IFERROR((COUNTIF(S42:Z42,"רוב הזמן")+0.5*COUNTIF(S42:Z42,"לפעמים"))/(COUNTIF(S42:Z42,"רוב הזמן")+COUNTIF(S42:Z42,"לפעמים")+COUNTIF(S42:Z42,"עדיין לא")),""))</f>
        <v/>
      </c>
      <c r="AN42" s="28" t="str">
        <f aca="false">IF($A42="","",IFERROR(1-SUMPRODUCT(ABS(((K42:R42="כן")+0.5*(K42:R42="קצת"))-((S42:Z42="רוב הזמן")+0.5*(S42:Z42="לפעמים")))*(((K42:R42="כן")+(K42:R42="קצת")+(K42:R42="עוד לא"))*((S42:Z42="רוב הזמן")+(S42:Z42="לפעמים")+(S42:Z42="עדיין לא"))))/SUMPRODUCT((((K42:R42="כן")+(K42:R42="קצת")+(K42:R42="עוד לא"))*((S42:Z42="רוב הזמן")+(S42:Z42="לפעמים")+(S42:Z42="עדיין לא")))),""))</f>
        <v/>
      </c>
      <c r="AO42" s="27" t="str">
        <f aca="false">IF($A42="","",SUMPRODUCT(((((K42:R42="כן")+0.5*(K42:R42="קצת"))-((S42:Z42="רוב הזמן")+0.5*(S42:Z42="לפעמים")))&gt;0.01)*(((K42:R42="כן")+(K42:R42="קצת")+(K42:R42="עוד לא"))*((S42:Z42="רוב הזמן")+(S42:Z42="לפעמים")+(S42:Z42="עדיין לא")))))</f>
        <v/>
      </c>
      <c r="AP42" s="27" t="str">
        <f aca="false">IF($A42="","",SUMPRODUCT(((((S42:Z42="רוב הזמן")+0.5*(S42:Z42="לפעמים"))-((K42:R42="כן")+0.5*(K42:R42="קצת")))&gt;0.01)*(((K42:R42="כן")+(K42:R42="קצת")+(K42:R42="עוד לא"))*((S42:Z42="רוב הזמן")+(S42:Z42="לפעמים")+(S42:Z42="עדיין לא")))))</f>
        <v/>
      </c>
      <c r="AQ42" s="27" t="str">
        <f aca="false">IF($A42="","",COUNTIF(AA42:AB42,"כן"))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7" t="str">
        <f aca="false">IF($A43="","",$A43&amp;"|"&amp;$C43)</f>
        <v/>
      </c>
      <c r="AG43" s="27" t="str">
        <f aca="false">IF($A43="","",IF(OR(H43="לא נבדק",H43=""),"לא נבדק",IF(AND(H43="בחר/ה בעצמו/ה",I43="כן",J43="לא"),"מלא",IF(OR(H43="בחר/ה בעצמו/ה",I43="כן"),"חלקי","עדיין לא"))))</f>
        <v/>
      </c>
      <c r="AH43" s="28" t="str">
        <f aca="false">IF($A43="","",IFERROR((COUNTIF(K43:L43,"כן")+0.5*COUNTIF(K43:L43,"קצת"))/(COUNTIF(K43:L43,"כן")+COUNTIF(K43:L43,"קצת")+COUNTIF(K43:L43,"עוד לא")),""))</f>
        <v/>
      </c>
      <c r="AI43" s="28" t="str">
        <f aca="false">IF($A43="","",IFERROR((COUNTIF(M43:N43,"כן")+0.5*COUNTIF(M43:N43,"קצת"))/(COUNTIF(M43:N43,"כן")+COUNTIF(M43:N43,"קצת")+COUNTIF(M43:N43,"עוד לא")),""))</f>
        <v/>
      </c>
      <c r="AJ43" s="28" t="str">
        <f aca="false">IF($A43="","",IFERROR((COUNTIF(O43:P43,"כן")+0.5*COUNTIF(O43:P43,"קצת"))/(COUNTIF(O43:P43,"כן")+COUNTIF(O43:P43,"קצת")+COUNTIF(O43:P43,"עוד לא")),""))</f>
        <v/>
      </c>
      <c r="AK43" s="28" t="str">
        <f aca="false">IF($A43="","",IFERROR((COUNTIF(Q43:R43,"כן")+0.5*COUNTIF(Q43:R43,"קצת"))/(COUNTIF(Q43:R43,"כן")+COUNTIF(Q43:R43,"קצת")+COUNTIF(Q43:R43,"עוד לא")),""))</f>
        <v/>
      </c>
      <c r="AL43" s="28" t="str">
        <f aca="false">IF($A43="","",IFERROR((COUNTIF(K43:R43,"כן")+0.5*COUNTIF(K43:R43,"קצת"))/(COUNTIF(K43:R43,"כן")+COUNTIF(K43:R43,"קצת")+COUNTIF(K43:R43,"עוד לא")),""))</f>
        <v/>
      </c>
      <c r="AM43" s="28" t="str">
        <f aca="false">IF($A43="","",IFERROR((COUNTIF(S43:Z43,"רוב הזמן")+0.5*COUNTIF(S43:Z43,"לפעמים"))/(COUNTIF(S43:Z43,"רוב הזמן")+COUNTIF(S43:Z43,"לפעמים")+COUNTIF(S43:Z43,"עדיין לא")),""))</f>
        <v/>
      </c>
      <c r="AN43" s="28" t="str">
        <f aca="false">IF($A43="","",IFERROR(1-SUMPRODUCT(ABS(((K43:R43="כן")+0.5*(K43:R43="קצת"))-((S43:Z43="רוב הזמן")+0.5*(S43:Z43="לפעמים")))*(((K43:R43="כן")+(K43:R43="קצת")+(K43:R43="עוד לא"))*((S43:Z43="רוב הזמן")+(S43:Z43="לפעמים")+(S43:Z43="עדיין לא"))))/SUMPRODUCT((((K43:R43="כן")+(K43:R43="קצת")+(K43:R43="עוד לא"))*((S43:Z43="רוב הזמן")+(S43:Z43="לפעמים")+(S43:Z43="עדיין לא")))),""))</f>
        <v/>
      </c>
      <c r="AO43" s="27" t="str">
        <f aca="false">IF($A43="","",SUMPRODUCT(((((K43:R43="כן")+0.5*(K43:R43="קצת"))-((S43:Z43="רוב הזמן")+0.5*(S43:Z43="לפעמים")))&gt;0.01)*(((K43:R43="כן")+(K43:R43="קצת")+(K43:R43="עוד לא"))*((S43:Z43="רוב הזמן")+(S43:Z43="לפעמים")+(S43:Z43="עדיין לא")))))</f>
        <v/>
      </c>
      <c r="AP43" s="27" t="str">
        <f aca="false">IF($A43="","",SUMPRODUCT(((((S43:Z43="רוב הזמן")+0.5*(S43:Z43="לפעמים"))-((K43:R43="כן")+0.5*(K43:R43="קצת")))&gt;0.01)*(((K43:R43="כן")+(K43:R43="קצת")+(K43:R43="עוד לא"))*((S43:Z43="רוב הזמן")+(S43:Z43="לפעמים")+(S43:Z43="עדיין לא")))))</f>
        <v/>
      </c>
      <c r="AQ43" s="27" t="str">
        <f aca="false">IF($A43="","",COUNTIF(AA43:AB43,"כן"))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7" t="str">
        <f aca="false">IF($A44="","",$A44&amp;"|"&amp;$C44)</f>
        <v/>
      </c>
      <c r="AG44" s="27" t="str">
        <f aca="false">IF($A44="","",IF(OR(H44="לא נבדק",H44=""),"לא נבדק",IF(AND(H44="בחר/ה בעצמו/ה",I44="כן",J44="לא"),"מלא",IF(OR(H44="בחר/ה בעצמו/ה",I44="כן"),"חלקי","עדיין לא"))))</f>
        <v/>
      </c>
      <c r="AH44" s="28" t="str">
        <f aca="false">IF($A44="","",IFERROR((COUNTIF(K44:L44,"כן")+0.5*COUNTIF(K44:L44,"קצת"))/(COUNTIF(K44:L44,"כן")+COUNTIF(K44:L44,"קצת")+COUNTIF(K44:L44,"עוד לא")),""))</f>
        <v/>
      </c>
      <c r="AI44" s="28" t="str">
        <f aca="false">IF($A44="","",IFERROR((COUNTIF(M44:N44,"כן")+0.5*COUNTIF(M44:N44,"קצת"))/(COUNTIF(M44:N44,"כן")+COUNTIF(M44:N44,"קצת")+COUNTIF(M44:N44,"עוד לא")),""))</f>
        <v/>
      </c>
      <c r="AJ44" s="28" t="str">
        <f aca="false">IF($A44="","",IFERROR((COUNTIF(O44:P44,"כן")+0.5*COUNTIF(O44:P44,"קצת"))/(COUNTIF(O44:P44,"כן")+COUNTIF(O44:P44,"קצת")+COUNTIF(O44:P44,"עוד לא")),""))</f>
        <v/>
      </c>
      <c r="AK44" s="28" t="str">
        <f aca="false">IF($A44="","",IFERROR((COUNTIF(Q44:R44,"כן")+0.5*COUNTIF(Q44:R44,"קצת"))/(COUNTIF(Q44:R44,"כן")+COUNTIF(Q44:R44,"קצת")+COUNTIF(Q44:R44,"עוד לא")),""))</f>
        <v/>
      </c>
      <c r="AL44" s="28" t="str">
        <f aca="false">IF($A44="","",IFERROR((COUNTIF(K44:R44,"כן")+0.5*COUNTIF(K44:R44,"קצת"))/(COUNTIF(K44:R44,"כן")+COUNTIF(K44:R44,"קצת")+COUNTIF(K44:R44,"עוד לא")),""))</f>
        <v/>
      </c>
      <c r="AM44" s="28" t="str">
        <f aca="false">IF($A44="","",IFERROR((COUNTIF(S44:Z44,"רוב הזמן")+0.5*COUNTIF(S44:Z44,"לפעמים"))/(COUNTIF(S44:Z44,"רוב הזמן")+COUNTIF(S44:Z44,"לפעמים")+COUNTIF(S44:Z44,"עדיין לא")),""))</f>
        <v/>
      </c>
      <c r="AN44" s="28" t="str">
        <f aca="false">IF($A44="","",IFERROR(1-SUMPRODUCT(ABS(((K44:R44="כן")+0.5*(K44:R44="קצת"))-((S44:Z44="רוב הזמן")+0.5*(S44:Z44="לפעמים")))*(((K44:R44="כן")+(K44:R44="קצת")+(K44:R44="עוד לא"))*((S44:Z44="רוב הזמן")+(S44:Z44="לפעמים")+(S44:Z44="עדיין לא"))))/SUMPRODUCT((((K44:R44="כן")+(K44:R44="קצת")+(K44:R44="עוד לא"))*((S44:Z44="רוב הזמן")+(S44:Z44="לפעמים")+(S44:Z44="עדיין לא")))),""))</f>
        <v/>
      </c>
      <c r="AO44" s="27" t="str">
        <f aca="false">IF($A44="","",SUMPRODUCT(((((K44:R44="כן")+0.5*(K44:R44="קצת"))-((S44:Z44="רוב הזמן")+0.5*(S44:Z44="לפעמים")))&gt;0.01)*(((K44:R44="כן")+(K44:R44="קצת")+(K44:R44="עוד לא"))*((S44:Z44="רוב הזמן")+(S44:Z44="לפעמים")+(S44:Z44="עדיין לא")))))</f>
        <v/>
      </c>
      <c r="AP44" s="27" t="str">
        <f aca="false">IF($A44="","",SUMPRODUCT(((((S44:Z44="רוב הזמן")+0.5*(S44:Z44="לפעמים"))-((K44:R44="כן")+0.5*(K44:R44="קצת")))&gt;0.01)*(((K44:R44="כן")+(K44:R44="קצת")+(K44:R44="עוד לא"))*((S44:Z44="רוב הזמן")+(S44:Z44="לפעמים")+(S44:Z44="עדיין לא")))))</f>
        <v/>
      </c>
      <c r="AQ44" s="27" t="str">
        <f aca="false">IF($A44="","",COUNTIF(AA44:AB44,"כן"))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7" t="str">
        <f aca="false">IF($A45="","",$A45&amp;"|"&amp;$C45)</f>
        <v/>
      </c>
      <c r="AG45" s="27" t="str">
        <f aca="false">IF($A45="","",IF(OR(H45="לא נבדק",H45=""),"לא נבדק",IF(AND(H45="בחר/ה בעצמו/ה",I45="כן",J45="לא"),"מלא",IF(OR(H45="בחר/ה בעצמו/ה",I45="כן"),"חלקי","עדיין לא"))))</f>
        <v/>
      </c>
      <c r="AH45" s="28" t="str">
        <f aca="false">IF($A45="","",IFERROR((COUNTIF(K45:L45,"כן")+0.5*COUNTIF(K45:L45,"קצת"))/(COUNTIF(K45:L45,"כן")+COUNTIF(K45:L45,"קצת")+COUNTIF(K45:L45,"עוד לא")),""))</f>
        <v/>
      </c>
      <c r="AI45" s="28" t="str">
        <f aca="false">IF($A45="","",IFERROR((COUNTIF(M45:N45,"כן")+0.5*COUNTIF(M45:N45,"קצת"))/(COUNTIF(M45:N45,"כן")+COUNTIF(M45:N45,"קצת")+COUNTIF(M45:N45,"עוד לא")),""))</f>
        <v/>
      </c>
      <c r="AJ45" s="28" t="str">
        <f aca="false">IF($A45="","",IFERROR((COUNTIF(O45:P45,"כן")+0.5*COUNTIF(O45:P45,"קצת"))/(COUNTIF(O45:P45,"כן")+COUNTIF(O45:P45,"קצת")+COUNTIF(O45:P45,"עוד לא")),""))</f>
        <v/>
      </c>
      <c r="AK45" s="28" t="str">
        <f aca="false">IF($A45="","",IFERROR((COUNTIF(Q45:R45,"כן")+0.5*COUNTIF(Q45:R45,"קצת"))/(COUNTIF(Q45:R45,"כן")+COUNTIF(Q45:R45,"קצת")+COUNTIF(Q45:R45,"עוד לא")),""))</f>
        <v/>
      </c>
      <c r="AL45" s="28" t="str">
        <f aca="false">IF($A45="","",IFERROR((COUNTIF(K45:R45,"כן")+0.5*COUNTIF(K45:R45,"קצת"))/(COUNTIF(K45:R45,"כן")+COUNTIF(K45:R45,"קצת")+COUNTIF(K45:R45,"עוד לא")),""))</f>
        <v/>
      </c>
      <c r="AM45" s="28" t="str">
        <f aca="false">IF($A45="","",IFERROR((COUNTIF(S45:Z45,"רוב הזמן")+0.5*COUNTIF(S45:Z45,"לפעמים"))/(COUNTIF(S45:Z45,"רוב הזמן")+COUNTIF(S45:Z45,"לפעמים")+COUNTIF(S45:Z45,"עדיין לא")),""))</f>
        <v/>
      </c>
      <c r="AN45" s="28" t="str">
        <f aca="false">IF($A45="","",IFERROR(1-SUMPRODUCT(ABS(((K45:R45="כן")+0.5*(K45:R45="קצת"))-((S45:Z45="רוב הזמן")+0.5*(S45:Z45="לפעמים")))*(((K45:R45="כן")+(K45:R45="קצת")+(K45:R45="עוד לא"))*((S45:Z45="רוב הזמן")+(S45:Z45="לפעמים")+(S45:Z45="עדיין לא"))))/SUMPRODUCT((((K45:R45="כן")+(K45:R45="קצת")+(K45:R45="עוד לא"))*((S45:Z45="רוב הזמן")+(S45:Z45="לפעמים")+(S45:Z45="עדיין לא")))),""))</f>
        <v/>
      </c>
      <c r="AO45" s="27" t="str">
        <f aca="false">IF($A45="","",SUMPRODUCT(((((K45:R45="כן")+0.5*(K45:R45="קצת"))-((S45:Z45="רוב הזמן")+0.5*(S45:Z45="לפעמים")))&gt;0.01)*(((K45:R45="כן")+(K45:R45="קצת")+(K45:R45="עוד לא"))*((S45:Z45="רוב הזמן")+(S45:Z45="לפעמים")+(S45:Z45="עדיין לא")))))</f>
        <v/>
      </c>
      <c r="AP45" s="27" t="str">
        <f aca="false">IF($A45="","",SUMPRODUCT(((((S45:Z45="רוב הזמן")+0.5*(S45:Z45="לפעמים"))-((K45:R45="כן")+0.5*(K45:R45="קצת")))&gt;0.01)*(((K45:R45="כן")+(K45:R45="קצת")+(K45:R45="עוד לא"))*((S45:Z45="רוב הזמן")+(S45:Z45="לפעמים")+(S45:Z45="עדיין לא")))))</f>
        <v/>
      </c>
      <c r="AQ45" s="27" t="str">
        <f aca="false">IF($A45="","",COUNTIF(AA45:AB45,"כן"))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7" t="str">
        <f aca="false">IF($A46="","",$A46&amp;"|"&amp;$C46)</f>
        <v/>
      </c>
      <c r="AG46" s="27" t="str">
        <f aca="false">IF($A46="","",IF(OR(H46="לא נבדק",H46=""),"לא נבדק",IF(AND(H46="בחר/ה בעצמו/ה",I46="כן",J46="לא"),"מלא",IF(OR(H46="בחר/ה בעצמו/ה",I46="כן"),"חלקי","עדיין לא"))))</f>
        <v/>
      </c>
      <c r="AH46" s="28" t="str">
        <f aca="false">IF($A46="","",IFERROR((COUNTIF(K46:L46,"כן")+0.5*COUNTIF(K46:L46,"קצת"))/(COUNTIF(K46:L46,"כן")+COUNTIF(K46:L46,"קצת")+COUNTIF(K46:L46,"עוד לא")),""))</f>
        <v/>
      </c>
      <c r="AI46" s="28" t="str">
        <f aca="false">IF($A46="","",IFERROR((COUNTIF(M46:N46,"כן")+0.5*COUNTIF(M46:N46,"קצת"))/(COUNTIF(M46:N46,"כן")+COUNTIF(M46:N46,"קצת")+COUNTIF(M46:N46,"עוד לא")),""))</f>
        <v/>
      </c>
      <c r="AJ46" s="28" t="str">
        <f aca="false">IF($A46="","",IFERROR((COUNTIF(O46:P46,"כן")+0.5*COUNTIF(O46:P46,"קצת"))/(COUNTIF(O46:P46,"כן")+COUNTIF(O46:P46,"קצת")+COUNTIF(O46:P46,"עוד לא")),""))</f>
        <v/>
      </c>
      <c r="AK46" s="28" t="str">
        <f aca="false">IF($A46="","",IFERROR((COUNTIF(Q46:R46,"כן")+0.5*COUNTIF(Q46:R46,"קצת"))/(COUNTIF(Q46:R46,"כן")+COUNTIF(Q46:R46,"קצת")+COUNTIF(Q46:R46,"עוד לא")),""))</f>
        <v/>
      </c>
      <c r="AL46" s="28" t="str">
        <f aca="false">IF($A46="","",IFERROR((COUNTIF(K46:R46,"כן")+0.5*COUNTIF(K46:R46,"קצת"))/(COUNTIF(K46:R46,"כן")+COUNTIF(K46:R46,"קצת")+COUNTIF(K46:R46,"עוד לא")),""))</f>
        <v/>
      </c>
      <c r="AM46" s="28" t="str">
        <f aca="false">IF($A46="","",IFERROR((COUNTIF(S46:Z46,"רוב הזמן")+0.5*COUNTIF(S46:Z46,"לפעמים"))/(COUNTIF(S46:Z46,"רוב הזמן")+COUNTIF(S46:Z46,"לפעמים")+COUNTIF(S46:Z46,"עדיין לא")),""))</f>
        <v/>
      </c>
      <c r="AN46" s="28" t="str">
        <f aca="false">IF($A46="","",IFERROR(1-SUMPRODUCT(ABS(((K46:R46="כן")+0.5*(K46:R46="קצת"))-((S46:Z46="רוב הזמן")+0.5*(S46:Z46="לפעמים")))*(((K46:R46="כן")+(K46:R46="קצת")+(K46:R46="עוד לא"))*((S46:Z46="רוב הזמן")+(S46:Z46="לפעמים")+(S46:Z46="עדיין לא"))))/SUMPRODUCT((((K46:R46="כן")+(K46:R46="קצת")+(K46:R46="עוד לא"))*((S46:Z46="רוב הזמן")+(S46:Z46="לפעמים")+(S46:Z46="עדיין לא")))),""))</f>
        <v/>
      </c>
      <c r="AO46" s="27" t="str">
        <f aca="false">IF($A46="","",SUMPRODUCT(((((K46:R46="כן")+0.5*(K46:R46="קצת"))-((S46:Z46="רוב הזמן")+0.5*(S46:Z46="לפעמים")))&gt;0.01)*(((K46:R46="כן")+(K46:R46="קצת")+(K46:R46="עוד לא"))*((S46:Z46="רוב הזמן")+(S46:Z46="לפעמים")+(S46:Z46="עדיין לא")))))</f>
        <v/>
      </c>
      <c r="AP46" s="27" t="str">
        <f aca="false">IF($A46="","",SUMPRODUCT(((((S46:Z46="רוב הזמן")+0.5*(S46:Z46="לפעמים"))-((K46:R46="כן")+0.5*(K46:R46="קצת")))&gt;0.01)*(((K46:R46="כן")+(K46:R46="קצת")+(K46:R46="עוד לא"))*((S46:Z46="רוב הזמן")+(S46:Z46="לפעמים")+(S46:Z46="עדיין לא")))))</f>
        <v/>
      </c>
      <c r="AQ46" s="27" t="str">
        <f aca="false">IF($A46="","",COUNTIF(AA46:AB46,"כן"))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7" t="str">
        <f aca="false">IF($A47="","",$A47&amp;"|"&amp;$C47)</f>
        <v/>
      </c>
      <c r="AG47" s="27" t="str">
        <f aca="false">IF($A47="","",IF(OR(H47="לא נבדק",H47=""),"לא נבדק",IF(AND(H47="בחר/ה בעצמו/ה",I47="כן",J47="לא"),"מלא",IF(OR(H47="בחר/ה בעצמו/ה",I47="כן"),"חלקי","עדיין לא"))))</f>
        <v/>
      </c>
      <c r="AH47" s="28" t="str">
        <f aca="false">IF($A47="","",IFERROR((COUNTIF(K47:L47,"כן")+0.5*COUNTIF(K47:L47,"קצת"))/(COUNTIF(K47:L47,"כן")+COUNTIF(K47:L47,"קצת")+COUNTIF(K47:L47,"עוד לא")),""))</f>
        <v/>
      </c>
      <c r="AI47" s="28" t="str">
        <f aca="false">IF($A47="","",IFERROR((COUNTIF(M47:N47,"כן")+0.5*COUNTIF(M47:N47,"קצת"))/(COUNTIF(M47:N47,"כן")+COUNTIF(M47:N47,"קצת")+COUNTIF(M47:N47,"עוד לא")),""))</f>
        <v/>
      </c>
      <c r="AJ47" s="28" t="str">
        <f aca="false">IF($A47="","",IFERROR((COUNTIF(O47:P47,"כן")+0.5*COUNTIF(O47:P47,"קצת"))/(COUNTIF(O47:P47,"כן")+COUNTIF(O47:P47,"קצת")+COUNTIF(O47:P47,"עוד לא")),""))</f>
        <v/>
      </c>
      <c r="AK47" s="28" t="str">
        <f aca="false">IF($A47="","",IFERROR((COUNTIF(Q47:R47,"כן")+0.5*COUNTIF(Q47:R47,"קצת"))/(COUNTIF(Q47:R47,"כן")+COUNTIF(Q47:R47,"קצת")+COUNTIF(Q47:R47,"עוד לא")),""))</f>
        <v/>
      </c>
      <c r="AL47" s="28" t="str">
        <f aca="false">IF($A47="","",IFERROR((COUNTIF(K47:R47,"כן")+0.5*COUNTIF(K47:R47,"קצת"))/(COUNTIF(K47:R47,"כן")+COUNTIF(K47:R47,"קצת")+COUNTIF(K47:R47,"עוד לא")),""))</f>
        <v/>
      </c>
      <c r="AM47" s="28" t="str">
        <f aca="false">IF($A47="","",IFERROR((COUNTIF(S47:Z47,"רוב הזמן")+0.5*COUNTIF(S47:Z47,"לפעמים"))/(COUNTIF(S47:Z47,"רוב הזמן")+COUNTIF(S47:Z47,"לפעמים")+COUNTIF(S47:Z47,"עדיין לא")),""))</f>
        <v/>
      </c>
      <c r="AN47" s="28" t="str">
        <f aca="false">IF($A47="","",IFERROR(1-SUMPRODUCT(ABS(((K47:R47="כן")+0.5*(K47:R47="קצת"))-((S47:Z47="רוב הזמן")+0.5*(S47:Z47="לפעמים")))*(((K47:R47="כן")+(K47:R47="קצת")+(K47:R47="עוד לא"))*((S47:Z47="רוב הזמן")+(S47:Z47="לפעמים")+(S47:Z47="עדיין לא"))))/SUMPRODUCT((((K47:R47="כן")+(K47:R47="קצת")+(K47:R47="עוד לא"))*((S47:Z47="רוב הזמן")+(S47:Z47="לפעמים")+(S47:Z47="עדיין לא")))),""))</f>
        <v/>
      </c>
      <c r="AO47" s="27" t="str">
        <f aca="false">IF($A47="","",SUMPRODUCT(((((K47:R47="כן")+0.5*(K47:R47="קצת"))-((S47:Z47="רוב הזמן")+0.5*(S47:Z47="לפעמים")))&gt;0.01)*(((K47:R47="כן")+(K47:R47="קצת")+(K47:R47="עוד לא"))*((S47:Z47="רוב הזמן")+(S47:Z47="לפעמים")+(S47:Z47="עדיין לא")))))</f>
        <v/>
      </c>
      <c r="AP47" s="27" t="str">
        <f aca="false">IF($A47="","",SUMPRODUCT(((((S47:Z47="רוב הזמן")+0.5*(S47:Z47="לפעמים"))-((K47:R47="כן")+0.5*(K47:R47="קצת")))&gt;0.01)*(((K47:R47="כן")+(K47:R47="קצת")+(K47:R47="עוד לא"))*((S47:Z47="רוב הזמן")+(S47:Z47="לפעמים")+(S47:Z47="עדיין לא")))))</f>
        <v/>
      </c>
      <c r="AQ47" s="27" t="str">
        <f aca="false">IF($A47="","",COUNTIF(AA47:AB47,"כן"))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7" t="str">
        <f aca="false">IF($A48="","",$A48&amp;"|"&amp;$C48)</f>
        <v/>
      </c>
      <c r="AG48" s="27" t="str">
        <f aca="false">IF($A48="","",IF(OR(H48="לא נבדק",H48=""),"לא נבדק",IF(AND(H48="בחר/ה בעצמו/ה",I48="כן",J48="לא"),"מלא",IF(OR(H48="בחר/ה בעצמו/ה",I48="כן"),"חלקי","עדיין לא"))))</f>
        <v/>
      </c>
      <c r="AH48" s="28" t="str">
        <f aca="false">IF($A48="","",IFERROR((COUNTIF(K48:L48,"כן")+0.5*COUNTIF(K48:L48,"קצת"))/(COUNTIF(K48:L48,"כן")+COUNTIF(K48:L48,"קצת")+COUNTIF(K48:L48,"עוד לא")),""))</f>
        <v/>
      </c>
      <c r="AI48" s="28" t="str">
        <f aca="false">IF($A48="","",IFERROR((COUNTIF(M48:N48,"כן")+0.5*COUNTIF(M48:N48,"קצת"))/(COUNTIF(M48:N48,"כן")+COUNTIF(M48:N48,"קצת")+COUNTIF(M48:N48,"עוד לא")),""))</f>
        <v/>
      </c>
      <c r="AJ48" s="28" t="str">
        <f aca="false">IF($A48="","",IFERROR((COUNTIF(O48:P48,"כן")+0.5*COUNTIF(O48:P48,"קצת"))/(COUNTIF(O48:P48,"כן")+COUNTIF(O48:P48,"קצת")+COUNTIF(O48:P48,"עוד לא")),""))</f>
        <v/>
      </c>
      <c r="AK48" s="28" t="str">
        <f aca="false">IF($A48="","",IFERROR((COUNTIF(Q48:R48,"כן")+0.5*COUNTIF(Q48:R48,"קצת"))/(COUNTIF(Q48:R48,"כן")+COUNTIF(Q48:R48,"קצת")+COUNTIF(Q48:R48,"עוד לא")),""))</f>
        <v/>
      </c>
      <c r="AL48" s="28" t="str">
        <f aca="false">IF($A48="","",IFERROR((COUNTIF(K48:R48,"כן")+0.5*COUNTIF(K48:R48,"קצת"))/(COUNTIF(K48:R48,"כן")+COUNTIF(K48:R48,"קצת")+COUNTIF(K48:R48,"עוד לא")),""))</f>
        <v/>
      </c>
      <c r="AM48" s="28" t="str">
        <f aca="false">IF($A48="","",IFERROR((COUNTIF(S48:Z48,"רוב הזמן")+0.5*COUNTIF(S48:Z48,"לפעמים"))/(COUNTIF(S48:Z48,"רוב הזמן")+COUNTIF(S48:Z48,"לפעמים")+COUNTIF(S48:Z48,"עדיין לא")),""))</f>
        <v/>
      </c>
      <c r="AN48" s="28" t="str">
        <f aca="false">IF($A48="","",IFERROR(1-SUMPRODUCT(ABS(((K48:R48="כן")+0.5*(K48:R48="קצת"))-((S48:Z48="רוב הזמן")+0.5*(S48:Z48="לפעמים")))*(((K48:R48="כן")+(K48:R48="קצת")+(K48:R48="עוד לא"))*((S48:Z48="רוב הזמן")+(S48:Z48="לפעמים")+(S48:Z48="עדיין לא"))))/SUMPRODUCT((((K48:R48="כן")+(K48:R48="קצת")+(K48:R48="עוד לא"))*((S48:Z48="רוב הזמן")+(S48:Z48="לפעמים")+(S48:Z48="עדיין לא")))),""))</f>
        <v/>
      </c>
      <c r="AO48" s="27" t="str">
        <f aca="false">IF($A48="","",SUMPRODUCT(((((K48:R48="כן")+0.5*(K48:R48="קצת"))-((S48:Z48="רוב הזמן")+0.5*(S48:Z48="לפעמים")))&gt;0.01)*(((K48:R48="כן")+(K48:R48="קצת")+(K48:R48="עוד לא"))*((S48:Z48="רוב הזמן")+(S48:Z48="לפעמים")+(S48:Z48="עדיין לא")))))</f>
        <v/>
      </c>
      <c r="AP48" s="27" t="str">
        <f aca="false">IF($A48="","",SUMPRODUCT(((((S48:Z48="רוב הזמן")+0.5*(S48:Z48="לפעמים"))-((K48:R48="כן")+0.5*(K48:R48="קצת")))&gt;0.01)*(((K48:R48="כן")+(K48:R48="קצת")+(K48:R48="עוד לא"))*((S48:Z48="רוב הזמן")+(S48:Z48="לפעמים")+(S48:Z48="עדיין לא")))))</f>
        <v/>
      </c>
      <c r="AQ48" s="27" t="str">
        <f aca="false">IF($A48="","",COUNTIF(AA48:AB48,"כן"))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7" t="str">
        <f aca="false">IF($A49="","",$A49&amp;"|"&amp;$C49)</f>
        <v/>
      </c>
      <c r="AG49" s="27" t="str">
        <f aca="false">IF($A49="","",IF(OR(H49="לא נבדק",H49=""),"לא נבדק",IF(AND(H49="בחר/ה בעצמו/ה",I49="כן",J49="לא"),"מלא",IF(OR(H49="בחר/ה בעצמו/ה",I49="כן"),"חלקי","עדיין לא"))))</f>
        <v/>
      </c>
      <c r="AH49" s="28" t="str">
        <f aca="false">IF($A49="","",IFERROR((COUNTIF(K49:L49,"כן")+0.5*COUNTIF(K49:L49,"קצת"))/(COUNTIF(K49:L49,"כן")+COUNTIF(K49:L49,"קצת")+COUNTIF(K49:L49,"עוד לא")),""))</f>
        <v/>
      </c>
      <c r="AI49" s="28" t="str">
        <f aca="false">IF($A49="","",IFERROR((COUNTIF(M49:N49,"כן")+0.5*COUNTIF(M49:N49,"קצת"))/(COUNTIF(M49:N49,"כן")+COUNTIF(M49:N49,"קצת")+COUNTIF(M49:N49,"עוד לא")),""))</f>
        <v/>
      </c>
      <c r="AJ49" s="28" t="str">
        <f aca="false">IF($A49="","",IFERROR((COUNTIF(O49:P49,"כן")+0.5*COUNTIF(O49:P49,"קצת"))/(COUNTIF(O49:P49,"כן")+COUNTIF(O49:P49,"קצת")+COUNTIF(O49:P49,"עוד לא")),""))</f>
        <v/>
      </c>
      <c r="AK49" s="28" t="str">
        <f aca="false">IF($A49="","",IFERROR((COUNTIF(Q49:R49,"כן")+0.5*COUNTIF(Q49:R49,"קצת"))/(COUNTIF(Q49:R49,"כן")+COUNTIF(Q49:R49,"קצת")+COUNTIF(Q49:R49,"עוד לא")),""))</f>
        <v/>
      </c>
      <c r="AL49" s="28" t="str">
        <f aca="false">IF($A49="","",IFERROR((COUNTIF(K49:R49,"כן")+0.5*COUNTIF(K49:R49,"קצת"))/(COUNTIF(K49:R49,"כן")+COUNTIF(K49:R49,"קצת")+COUNTIF(K49:R49,"עוד לא")),""))</f>
        <v/>
      </c>
      <c r="AM49" s="28" t="str">
        <f aca="false">IF($A49="","",IFERROR((COUNTIF(S49:Z49,"רוב הזמן")+0.5*COUNTIF(S49:Z49,"לפעמים"))/(COUNTIF(S49:Z49,"רוב הזמן")+COUNTIF(S49:Z49,"לפעמים")+COUNTIF(S49:Z49,"עדיין לא")),""))</f>
        <v/>
      </c>
      <c r="AN49" s="28" t="str">
        <f aca="false">IF($A49="","",IFERROR(1-SUMPRODUCT(ABS(((K49:R49="כן")+0.5*(K49:R49="קצת"))-((S49:Z49="רוב הזמן")+0.5*(S49:Z49="לפעמים")))*(((K49:R49="כן")+(K49:R49="קצת")+(K49:R49="עוד לא"))*((S49:Z49="רוב הזמן")+(S49:Z49="לפעמים")+(S49:Z49="עדיין לא"))))/SUMPRODUCT((((K49:R49="כן")+(K49:R49="קצת")+(K49:R49="עוד לא"))*((S49:Z49="רוב הזמן")+(S49:Z49="לפעמים")+(S49:Z49="עדיין לא")))),""))</f>
        <v/>
      </c>
      <c r="AO49" s="27" t="str">
        <f aca="false">IF($A49="","",SUMPRODUCT(((((K49:R49="כן")+0.5*(K49:R49="קצת"))-((S49:Z49="רוב הזמן")+0.5*(S49:Z49="לפעמים")))&gt;0.01)*(((K49:R49="כן")+(K49:R49="קצת")+(K49:R49="עוד לא"))*((S49:Z49="רוב הזמן")+(S49:Z49="לפעמים")+(S49:Z49="עדיין לא")))))</f>
        <v/>
      </c>
      <c r="AP49" s="27" t="str">
        <f aca="false">IF($A49="","",SUMPRODUCT(((((S49:Z49="רוב הזמן")+0.5*(S49:Z49="לפעמים"))-((K49:R49="כן")+0.5*(K49:R49="קצת")))&gt;0.01)*(((K49:R49="כן")+(K49:R49="קצת")+(K49:R49="עוד לא"))*((S49:Z49="רוב הזמן")+(S49:Z49="לפעמים")+(S49:Z49="עדיין לא")))))</f>
        <v/>
      </c>
      <c r="AQ49" s="27" t="str">
        <f aca="false">IF($A49="","",COUNTIF(AA49:AB49,"כן"))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7" t="str">
        <f aca="false">IF($A50="","",$A50&amp;"|"&amp;$C50)</f>
        <v/>
      </c>
      <c r="AG50" s="27" t="str">
        <f aca="false">IF($A50="","",IF(OR(H50="לא נבדק",H50=""),"לא נבדק",IF(AND(H50="בחר/ה בעצמו/ה",I50="כן",J50="לא"),"מלא",IF(OR(H50="בחר/ה בעצמו/ה",I50="כן"),"חלקי","עדיין לא"))))</f>
        <v/>
      </c>
      <c r="AH50" s="28" t="str">
        <f aca="false">IF($A50="","",IFERROR((COUNTIF(K50:L50,"כן")+0.5*COUNTIF(K50:L50,"קצת"))/(COUNTIF(K50:L50,"כן")+COUNTIF(K50:L50,"קצת")+COUNTIF(K50:L50,"עוד לא")),""))</f>
        <v/>
      </c>
      <c r="AI50" s="28" t="str">
        <f aca="false">IF($A50="","",IFERROR((COUNTIF(M50:N50,"כן")+0.5*COUNTIF(M50:N50,"קצת"))/(COUNTIF(M50:N50,"כן")+COUNTIF(M50:N50,"קצת")+COUNTIF(M50:N50,"עוד לא")),""))</f>
        <v/>
      </c>
      <c r="AJ50" s="28" t="str">
        <f aca="false">IF($A50="","",IFERROR((COUNTIF(O50:P50,"כן")+0.5*COUNTIF(O50:P50,"קצת"))/(COUNTIF(O50:P50,"כן")+COUNTIF(O50:P50,"קצת")+COUNTIF(O50:P50,"עוד לא")),""))</f>
        <v/>
      </c>
      <c r="AK50" s="28" t="str">
        <f aca="false">IF($A50="","",IFERROR((COUNTIF(Q50:R50,"כן")+0.5*COUNTIF(Q50:R50,"קצת"))/(COUNTIF(Q50:R50,"כן")+COUNTIF(Q50:R50,"קצת")+COUNTIF(Q50:R50,"עוד לא")),""))</f>
        <v/>
      </c>
      <c r="AL50" s="28" t="str">
        <f aca="false">IF($A50="","",IFERROR((COUNTIF(K50:R50,"כן")+0.5*COUNTIF(K50:R50,"קצת"))/(COUNTIF(K50:R50,"כן")+COUNTIF(K50:R50,"קצת")+COUNTIF(K50:R50,"עוד לא")),""))</f>
        <v/>
      </c>
      <c r="AM50" s="28" t="str">
        <f aca="false">IF($A50="","",IFERROR((COUNTIF(S50:Z50,"רוב הזמן")+0.5*COUNTIF(S50:Z50,"לפעמים"))/(COUNTIF(S50:Z50,"רוב הזמן")+COUNTIF(S50:Z50,"לפעמים")+COUNTIF(S50:Z50,"עדיין לא")),""))</f>
        <v/>
      </c>
      <c r="AN50" s="28" t="str">
        <f aca="false">IF($A50="","",IFERROR(1-SUMPRODUCT(ABS(((K50:R50="כן")+0.5*(K50:R50="קצת"))-((S50:Z50="רוב הזמן")+0.5*(S50:Z50="לפעמים")))*(((K50:R50="כן")+(K50:R50="קצת")+(K50:R50="עוד לא"))*((S50:Z50="רוב הזמן")+(S50:Z50="לפעמים")+(S50:Z50="עדיין לא"))))/SUMPRODUCT((((K50:R50="כן")+(K50:R50="קצת")+(K50:R50="עוד לא"))*((S50:Z50="רוב הזמן")+(S50:Z50="לפעמים")+(S50:Z50="עדיין לא")))),""))</f>
        <v/>
      </c>
      <c r="AO50" s="27" t="str">
        <f aca="false">IF($A50="","",SUMPRODUCT(((((K50:R50="כן")+0.5*(K50:R50="קצת"))-((S50:Z50="רוב הזמן")+0.5*(S50:Z50="לפעמים")))&gt;0.01)*(((K50:R50="כן")+(K50:R50="קצת")+(K50:R50="עוד לא"))*((S50:Z50="רוב הזמן")+(S50:Z50="לפעמים")+(S50:Z50="עדיין לא")))))</f>
        <v/>
      </c>
      <c r="AP50" s="27" t="str">
        <f aca="false">IF($A50="","",SUMPRODUCT(((((S50:Z50="רוב הזמן")+0.5*(S50:Z50="לפעמים"))-((K50:R50="כן")+0.5*(K50:R50="קצת")))&gt;0.01)*(((K50:R50="כן")+(K50:R50="קצת")+(K50:R50="עוד לא"))*((S50:Z50="רוב הזמן")+(S50:Z50="לפעמים")+(S50:Z50="עדיין לא")))))</f>
        <v/>
      </c>
      <c r="AQ50" s="27" t="str">
        <f aca="false">IF($A50="","",COUNTIF(AA50:AB50,"כן"))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7" t="str">
        <f aca="false">IF($A51="","",$A51&amp;"|"&amp;$C51)</f>
        <v/>
      </c>
      <c r="AG51" s="27" t="str">
        <f aca="false">IF($A51="","",IF(OR(H51="לא נבדק",H51=""),"לא נבדק",IF(AND(H51="בחר/ה בעצמו/ה",I51="כן",J51="לא"),"מלא",IF(OR(H51="בחר/ה בעצמו/ה",I51="כן"),"חלקי","עדיין לא"))))</f>
        <v/>
      </c>
      <c r="AH51" s="28" t="str">
        <f aca="false">IF($A51="","",IFERROR((COUNTIF(K51:L51,"כן")+0.5*COUNTIF(K51:L51,"קצת"))/(COUNTIF(K51:L51,"כן")+COUNTIF(K51:L51,"קצת")+COUNTIF(K51:L51,"עוד לא")),""))</f>
        <v/>
      </c>
      <c r="AI51" s="28" t="str">
        <f aca="false">IF($A51="","",IFERROR((COUNTIF(M51:N51,"כן")+0.5*COUNTIF(M51:N51,"קצת"))/(COUNTIF(M51:N51,"כן")+COUNTIF(M51:N51,"קצת")+COUNTIF(M51:N51,"עוד לא")),""))</f>
        <v/>
      </c>
      <c r="AJ51" s="28" t="str">
        <f aca="false">IF($A51="","",IFERROR((COUNTIF(O51:P51,"כן")+0.5*COUNTIF(O51:P51,"קצת"))/(COUNTIF(O51:P51,"כן")+COUNTIF(O51:P51,"קצת")+COUNTIF(O51:P51,"עוד לא")),""))</f>
        <v/>
      </c>
      <c r="AK51" s="28" t="str">
        <f aca="false">IF($A51="","",IFERROR((COUNTIF(Q51:R51,"כן")+0.5*COUNTIF(Q51:R51,"קצת"))/(COUNTIF(Q51:R51,"כן")+COUNTIF(Q51:R51,"קצת")+COUNTIF(Q51:R51,"עוד לא")),""))</f>
        <v/>
      </c>
      <c r="AL51" s="28" t="str">
        <f aca="false">IF($A51="","",IFERROR((COUNTIF(K51:R51,"כן")+0.5*COUNTIF(K51:R51,"קצת"))/(COUNTIF(K51:R51,"כן")+COUNTIF(K51:R51,"קצת")+COUNTIF(K51:R51,"עוד לא")),""))</f>
        <v/>
      </c>
      <c r="AM51" s="28" t="str">
        <f aca="false">IF($A51="","",IFERROR((COUNTIF(S51:Z51,"רוב הזמן")+0.5*COUNTIF(S51:Z51,"לפעמים"))/(COUNTIF(S51:Z51,"רוב הזמן")+COUNTIF(S51:Z51,"לפעמים")+COUNTIF(S51:Z51,"עדיין לא")),""))</f>
        <v/>
      </c>
      <c r="AN51" s="28" t="str">
        <f aca="false">IF($A51="","",IFERROR(1-SUMPRODUCT(ABS(((K51:R51="כן")+0.5*(K51:R51="קצת"))-((S51:Z51="רוב הזמן")+0.5*(S51:Z51="לפעמים")))*(((K51:R51="כן")+(K51:R51="קצת")+(K51:R51="עוד לא"))*((S51:Z51="רוב הזמן")+(S51:Z51="לפעמים")+(S51:Z51="עדיין לא"))))/SUMPRODUCT((((K51:R51="כן")+(K51:R51="קצת")+(K51:R51="עוד לא"))*((S51:Z51="רוב הזמן")+(S51:Z51="לפעמים")+(S51:Z51="עדיין לא")))),""))</f>
        <v/>
      </c>
      <c r="AO51" s="27" t="str">
        <f aca="false">IF($A51="","",SUMPRODUCT(((((K51:R51="כן")+0.5*(K51:R51="קצת"))-((S51:Z51="רוב הזמן")+0.5*(S51:Z51="לפעמים")))&gt;0.01)*(((K51:R51="כן")+(K51:R51="קצת")+(K51:R51="עוד לא"))*((S51:Z51="רוב הזמן")+(S51:Z51="לפעמים")+(S51:Z51="עדיין לא")))))</f>
        <v/>
      </c>
      <c r="AP51" s="27" t="str">
        <f aca="false">IF($A51="","",SUMPRODUCT(((((S51:Z51="רוב הזמן")+0.5*(S51:Z51="לפעמים"))-((K51:R51="כן")+0.5*(K51:R51="קצת")))&gt;0.01)*(((K51:R51="כן")+(K51:R51="קצת")+(K51:R51="עוד לא"))*((S51:Z51="רוב הזמן")+(S51:Z51="לפעמים")+(S51:Z51="עדיין לא")))))</f>
        <v/>
      </c>
      <c r="AQ51" s="27" t="str">
        <f aca="false">IF($A51="","",COUNTIF(AA51:AB51,"כן"))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7" t="str">
        <f aca="false">IF($A52="","",$A52&amp;"|"&amp;$C52)</f>
        <v/>
      </c>
      <c r="AG52" s="27" t="str">
        <f aca="false">IF($A52="","",IF(OR(H52="לא נבדק",H52=""),"לא נבדק",IF(AND(H52="בחר/ה בעצמו/ה",I52="כן",J52="לא"),"מלא",IF(OR(H52="בחר/ה בעצמו/ה",I52="כן"),"חלקי","עדיין לא"))))</f>
        <v/>
      </c>
      <c r="AH52" s="28" t="str">
        <f aca="false">IF($A52="","",IFERROR((COUNTIF(K52:L52,"כן")+0.5*COUNTIF(K52:L52,"קצת"))/(COUNTIF(K52:L52,"כן")+COUNTIF(K52:L52,"קצת")+COUNTIF(K52:L52,"עוד לא")),""))</f>
        <v/>
      </c>
      <c r="AI52" s="28" t="str">
        <f aca="false">IF($A52="","",IFERROR((COUNTIF(M52:N52,"כן")+0.5*COUNTIF(M52:N52,"קצת"))/(COUNTIF(M52:N52,"כן")+COUNTIF(M52:N52,"קצת")+COUNTIF(M52:N52,"עוד לא")),""))</f>
        <v/>
      </c>
      <c r="AJ52" s="28" t="str">
        <f aca="false">IF($A52="","",IFERROR((COUNTIF(O52:P52,"כן")+0.5*COUNTIF(O52:P52,"קצת"))/(COUNTIF(O52:P52,"כן")+COUNTIF(O52:P52,"קצת")+COUNTIF(O52:P52,"עוד לא")),""))</f>
        <v/>
      </c>
      <c r="AK52" s="28" t="str">
        <f aca="false">IF($A52="","",IFERROR((COUNTIF(Q52:R52,"כן")+0.5*COUNTIF(Q52:R52,"קצת"))/(COUNTIF(Q52:R52,"כן")+COUNTIF(Q52:R52,"קצת")+COUNTIF(Q52:R52,"עוד לא")),""))</f>
        <v/>
      </c>
      <c r="AL52" s="28" t="str">
        <f aca="false">IF($A52="","",IFERROR((COUNTIF(K52:R52,"כן")+0.5*COUNTIF(K52:R52,"קצת"))/(COUNTIF(K52:R52,"כן")+COUNTIF(K52:R52,"קצת")+COUNTIF(K52:R52,"עוד לא")),""))</f>
        <v/>
      </c>
      <c r="AM52" s="28" t="str">
        <f aca="false">IF($A52="","",IFERROR((COUNTIF(S52:Z52,"רוב הזמן")+0.5*COUNTIF(S52:Z52,"לפעמים"))/(COUNTIF(S52:Z52,"רוב הזמן")+COUNTIF(S52:Z52,"לפעמים")+COUNTIF(S52:Z52,"עדיין לא")),""))</f>
        <v/>
      </c>
      <c r="AN52" s="28" t="str">
        <f aca="false">IF($A52="","",IFERROR(1-SUMPRODUCT(ABS(((K52:R52="כן")+0.5*(K52:R52="קצת"))-((S52:Z52="רוב הזמן")+0.5*(S52:Z52="לפעמים")))*(((K52:R52="כן")+(K52:R52="קצת")+(K52:R52="עוד לא"))*((S52:Z52="רוב הזמן")+(S52:Z52="לפעמים")+(S52:Z52="עדיין לא"))))/SUMPRODUCT((((K52:R52="כן")+(K52:R52="קצת")+(K52:R52="עוד לא"))*((S52:Z52="רוב הזמן")+(S52:Z52="לפעמים")+(S52:Z52="עדיין לא")))),""))</f>
        <v/>
      </c>
      <c r="AO52" s="27" t="str">
        <f aca="false">IF($A52="","",SUMPRODUCT(((((K52:R52="כן")+0.5*(K52:R52="קצת"))-((S52:Z52="רוב הזמן")+0.5*(S52:Z52="לפעמים")))&gt;0.01)*(((K52:R52="כן")+(K52:R52="קצת")+(K52:R52="עוד לא"))*((S52:Z52="רוב הזמן")+(S52:Z52="לפעמים")+(S52:Z52="עדיין לא")))))</f>
        <v/>
      </c>
      <c r="AP52" s="27" t="str">
        <f aca="false">IF($A52="","",SUMPRODUCT(((((S52:Z52="רוב הזמן")+0.5*(S52:Z52="לפעמים"))-((K52:R52="כן")+0.5*(K52:R52="קצת")))&gt;0.01)*(((K52:R52="כן")+(K52:R52="קצת")+(K52:R52="עוד לא"))*((S52:Z52="רוב הזמן")+(S52:Z52="לפעמים")+(S52:Z52="עדיין לא")))))</f>
        <v/>
      </c>
      <c r="AQ52" s="27" t="str">
        <f aca="false">IF($A52="","",COUNTIF(AA52:AB52,"כן"))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7" t="str">
        <f aca="false">IF($A53="","",$A53&amp;"|"&amp;$C53)</f>
        <v/>
      </c>
      <c r="AG53" s="27" t="str">
        <f aca="false">IF($A53="","",IF(OR(H53="לא נבדק",H53=""),"לא נבדק",IF(AND(H53="בחר/ה בעצמו/ה",I53="כן",J53="לא"),"מלא",IF(OR(H53="בחר/ה בעצמו/ה",I53="כן"),"חלקי","עדיין לא"))))</f>
        <v/>
      </c>
      <c r="AH53" s="28" t="str">
        <f aca="false">IF($A53="","",IFERROR((COUNTIF(K53:L53,"כן")+0.5*COUNTIF(K53:L53,"קצת"))/(COUNTIF(K53:L53,"כן")+COUNTIF(K53:L53,"קצת")+COUNTIF(K53:L53,"עוד לא")),""))</f>
        <v/>
      </c>
      <c r="AI53" s="28" t="str">
        <f aca="false">IF($A53="","",IFERROR((COUNTIF(M53:N53,"כן")+0.5*COUNTIF(M53:N53,"קצת"))/(COUNTIF(M53:N53,"כן")+COUNTIF(M53:N53,"קצת")+COUNTIF(M53:N53,"עוד לא")),""))</f>
        <v/>
      </c>
      <c r="AJ53" s="28" t="str">
        <f aca="false">IF($A53="","",IFERROR((COUNTIF(O53:P53,"כן")+0.5*COUNTIF(O53:P53,"קצת"))/(COUNTIF(O53:P53,"כן")+COUNTIF(O53:P53,"קצת")+COUNTIF(O53:P53,"עוד לא")),""))</f>
        <v/>
      </c>
      <c r="AK53" s="28" t="str">
        <f aca="false">IF($A53="","",IFERROR((COUNTIF(Q53:R53,"כן")+0.5*COUNTIF(Q53:R53,"קצת"))/(COUNTIF(Q53:R53,"כן")+COUNTIF(Q53:R53,"קצת")+COUNTIF(Q53:R53,"עוד לא")),""))</f>
        <v/>
      </c>
      <c r="AL53" s="28" t="str">
        <f aca="false">IF($A53="","",IFERROR((COUNTIF(K53:R53,"כן")+0.5*COUNTIF(K53:R53,"קצת"))/(COUNTIF(K53:R53,"כן")+COUNTIF(K53:R53,"קצת")+COUNTIF(K53:R53,"עוד לא")),""))</f>
        <v/>
      </c>
      <c r="AM53" s="28" t="str">
        <f aca="false">IF($A53="","",IFERROR((COUNTIF(S53:Z53,"רוב הזמן")+0.5*COUNTIF(S53:Z53,"לפעמים"))/(COUNTIF(S53:Z53,"רוב הזמן")+COUNTIF(S53:Z53,"לפעמים")+COUNTIF(S53:Z53,"עדיין לא")),""))</f>
        <v/>
      </c>
      <c r="AN53" s="28" t="str">
        <f aca="false">IF($A53="","",IFERROR(1-SUMPRODUCT(ABS(((K53:R53="כן")+0.5*(K53:R53="קצת"))-((S53:Z53="רוב הזמן")+0.5*(S53:Z53="לפעמים")))*(((K53:R53="כן")+(K53:R53="קצת")+(K53:R53="עוד לא"))*((S53:Z53="רוב הזמן")+(S53:Z53="לפעמים")+(S53:Z53="עדיין לא"))))/SUMPRODUCT((((K53:R53="כן")+(K53:R53="קצת")+(K53:R53="עוד לא"))*((S53:Z53="רוב הזמן")+(S53:Z53="לפעמים")+(S53:Z53="עדיין לא")))),""))</f>
        <v/>
      </c>
      <c r="AO53" s="27" t="str">
        <f aca="false">IF($A53="","",SUMPRODUCT(((((K53:R53="כן")+0.5*(K53:R53="קצת"))-((S53:Z53="רוב הזמן")+0.5*(S53:Z53="לפעמים")))&gt;0.01)*(((K53:R53="כן")+(K53:R53="קצת")+(K53:R53="עוד לא"))*((S53:Z53="רוב הזמן")+(S53:Z53="לפעמים")+(S53:Z53="עדיין לא")))))</f>
        <v/>
      </c>
      <c r="AP53" s="27" t="str">
        <f aca="false">IF($A53="","",SUMPRODUCT(((((S53:Z53="רוב הזמן")+0.5*(S53:Z53="לפעמים"))-((K53:R53="כן")+0.5*(K53:R53="קצת")))&gt;0.01)*(((K53:R53="כן")+(K53:R53="קצת")+(K53:R53="עוד לא"))*((S53:Z53="רוב הזמן")+(S53:Z53="לפעמים")+(S53:Z53="עדיין לא")))))</f>
        <v/>
      </c>
      <c r="AQ53" s="27" t="str">
        <f aca="false">IF($A53="","",COUNTIF(AA53:AB53,"כן"))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7" t="str">
        <f aca="false">IF($A54="","",$A54&amp;"|"&amp;$C54)</f>
        <v/>
      </c>
      <c r="AG54" s="27" t="str">
        <f aca="false">IF($A54="","",IF(OR(H54="לא נבדק",H54=""),"לא נבדק",IF(AND(H54="בחר/ה בעצמו/ה",I54="כן",J54="לא"),"מלא",IF(OR(H54="בחר/ה בעצמו/ה",I54="כן"),"חלקי","עדיין לא"))))</f>
        <v/>
      </c>
      <c r="AH54" s="28" t="str">
        <f aca="false">IF($A54="","",IFERROR((COUNTIF(K54:L54,"כן")+0.5*COUNTIF(K54:L54,"קצת"))/(COUNTIF(K54:L54,"כן")+COUNTIF(K54:L54,"קצת")+COUNTIF(K54:L54,"עוד לא")),""))</f>
        <v/>
      </c>
      <c r="AI54" s="28" t="str">
        <f aca="false">IF($A54="","",IFERROR((COUNTIF(M54:N54,"כן")+0.5*COUNTIF(M54:N54,"קצת"))/(COUNTIF(M54:N54,"כן")+COUNTIF(M54:N54,"קצת")+COUNTIF(M54:N54,"עוד לא")),""))</f>
        <v/>
      </c>
      <c r="AJ54" s="28" t="str">
        <f aca="false">IF($A54="","",IFERROR((COUNTIF(O54:P54,"כן")+0.5*COUNTIF(O54:P54,"קצת"))/(COUNTIF(O54:P54,"כן")+COUNTIF(O54:P54,"קצת")+COUNTIF(O54:P54,"עוד לא")),""))</f>
        <v/>
      </c>
      <c r="AK54" s="28" t="str">
        <f aca="false">IF($A54="","",IFERROR((COUNTIF(Q54:R54,"כן")+0.5*COUNTIF(Q54:R54,"קצת"))/(COUNTIF(Q54:R54,"כן")+COUNTIF(Q54:R54,"קצת")+COUNTIF(Q54:R54,"עוד לא")),""))</f>
        <v/>
      </c>
      <c r="AL54" s="28" t="str">
        <f aca="false">IF($A54="","",IFERROR((COUNTIF(K54:R54,"כן")+0.5*COUNTIF(K54:R54,"קצת"))/(COUNTIF(K54:R54,"כן")+COUNTIF(K54:R54,"קצת")+COUNTIF(K54:R54,"עוד לא")),""))</f>
        <v/>
      </c>
      <c r="AM54" s="28" t="str">
        <f aca="false">IF($A54="","",IFERROR((COUNTIF(S54:Z54,"רוב הזמן")+0.5*COUNTIF(S54:Z54,"לפעמים"))/(COUNTIF(S54:Z54,"רוב הזמן")+COUNTIF(S54:Z54,"לפעמים")+COUNTIF(S54:Z54,"עדיין לא")),""))</f>
        <v/>
      </c>
      <c r="AN54" s="28" t="str">
        <f aca="false">IF($A54="","",IFERROR(1-SUMPRODUCT(ABS(((K54:R54="כן")+0.5*(K54:R54="קצת"))-((S54:Z54="רוב הזמן")+0.5*(S54:Z54="לפעמים")))*(((K54:R54="כן")+(K54:R54="קצת")+(K54:R54="עוד לא"))*((S54:Z54="רוב הזמן")+(S54:Z54="לפעמים")+(S54:Z54="עדיין לא"))))/SUMPRODUCT((((K54:R54="כן")+(K54:R54="קצת")+(K54:R54="עוד לא"))*((S54:Z54="רוב הזמן")+(S54:Z54="לפעמים")+(S54:Z54="עדיין לא")))),""))</f>
        <v/>
      </c>
      <c r="AO54" s="27" t="str">
        <f aca="false">IF($A54="","",SUMPRODUCT(((((K54:R54="כן")+0.5*(K54:R54="קצת"))-((S54:Z54="רוב הזמן")+0.5*(S54:Z54="לפעמים")))&gt;0.01)*(((K54:R54="כן")+(K54:R54="קצת")+(K54:R54="עוד לא"))*((S54:Z54="רוב הזמן")+(S54:Z54="לפעמים")+(S54:Z54="עדיין לא")))))</f>
        <v/>
      </c>
      <c r="AP54" s="27" t="str">
        <f aca="false">IF($A54="","",SUMPRODUCT(((((S54:Z54="רוב הזמן")+0.5*(S54:Z54="לפעמים"))-((K54:R54="כן")+0.5*(K54:R54="קצת")))&gt;0.01)*(((K54:R54="כן")+(K54:R54="קצת")+(K54:R54="עוד לא"))*((S54:Z54="רוב הזמן")+(S54:Z54="לפעמים")+(S54:Z54="עדיין לא")))))</f>
        <v/>
      </c>
      <c r="AQ54" s="27" t="str">
        <f aca="false">IF($A54="","",COUNTIF(AA54:AB54,"כן"))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7" t="str">
        <f aca="false">IF($A55="","",$A55&amp;"|"&amp;$C55)</f>
        <v/>
      </c>
      <c r="AG55" s="27" t="str">
        <f aca="false">IF($A55="","",IF(OR(H55="לא נבדק",H55=""),"לא נבדק",IF(AND(H55="בחר/ה בעצמו/ה",I55="כן",J55="לא"),"מלא",IF(OR(H55="בחר/ה בעצמו/ה",I55="כן"),"חלקי","עדיין לא"))))</f>
        <v/>
      </c>
      <c r="AH55" s="28" t="str">
        <f aca="false">IF($A55="","",IFERROR((COUNTIF(K55:L55,"כן")+0.5*COUNTIF(K55:L55,"קצת"))/(COUNTIF(K55:L55,"כן")+COUNTIF(K55:L55,"קצת")+COUNTIF(K55:L55,"עוד לא")),""))</f>
        <v/>
      </c>
      <c r="AI55" s="28" t="str">
        <f aca="false">IF($A55="","",IFERROR((COUNTIF(M55:N55,"כן")+0.5*COUNTIF(M55:N55,"קצת"))/(COUNTIF(M55:N55,"כן")+COUNTIF(M55:N55,"קצת")+COUNTIF(M55:N55,"עוד לא")),""))</f>
        <v/>
      </c>
      <c r="AJ55" s="28" t="str">
        <f aca="false">IF($A55="","",IFERROR((COUNTIF(O55:P55,"כן")+0.5*COUNTIF(O55:P55,"קצת"))/(COUNTIF(O55:P55,"כן")+COUNTIF(O55:P55,"קצת")+COUNTIF(O55:P55,"עוד לא")),""))</f>
        <v/>
      </c>
      <c r="AK55" s="28" t="str">
        <f aca="false">IF($A55="","",IFERROR((COUNTIF(Q55:R55,"כן")+0.5*COUNTIF(Q55:R55,"קצת"))/(COUNTIF(Q55:R55,"כן")+COUNTIF(Q55:R55,"קצת")+COUNTIF(Q55:R55,"עוד לא")),""))</f>
        <v/>
      </c>
      <c r="AL55" s="28" t="str">
        <f aca="false">IF($A55="","",IFERROR((COUNTIF(K55:R55,"כן")+0.5*COUNTIF(K55:R55,"קצת"))/(COUNTIF(K55:R55,"כן")+COUNTIF(K55:R55,"קצת")+COUNTIF(K55:R55,"עוד לא")),""))</f>
        <v/>
      </c>
      <c r="AM55" s="28" t="str">
        <f aca="false">IF($A55="","",IFERROR((COUNTIF(S55:Z55,"רוב הזמן")+0.5*COUNTIF(S55:Z55,"לפעמים"))/(COUNTIF(S55:Z55,"רוב הזמן")+COUNTIF(S55:Z55,"לפעמים")+COUNTIF(S55:Z55,"עדיין לא")),""))</f>
        <v/>
      </c>
      <c r="AN55" s="28" t="str">
        <f aca="false">IF($A55="","",IFERROR(1-SUMPRODUCT(ABS(((K55:R55="כן")+0.5*(K55:R55="קצת"))-((S55:Z55="רוב הזמן")+0.5*(S55:Z55="לפעמים")))*(((K55:R55="כן")+(K55:R55="קצת")+(K55:R55="עוד לא"))*((S55:Z55="רוב הזמן")+(S55:Z55="לפעמים")+(S55:Z55="עדיין לא"))))/SUMPRODUCT((((K55:R55="כן")+(K55:R55="קצת")+(K55:R55="עוד לא"))*((S55:Z55="רוב הזמן")+(S55:Z55="לפעמים")+(S55:Z55="עדיין לא")))),""))</f>
        <v/>
      </c>
      <c r="AO55" s="27" t="str">
        <f aca="false">IF($A55="","",SUMPRODUCT(((((K55:R55="כן")+0.5*(K55:R55="קצת"))-((S55:Z55="רוב הזמן")+0.5*(S55:Z55="לפעמים")))&gt;0.01)*(((K55:R55="כן")+(K55:R55="קצת")+(K55:R55="עוד לא"))*((S55:Z55="רוב הזמן")+(S55:Z55="לפעמים")+(S55:Z55="עדיין לא")))))</f>
        <v/>
      </c>
      <c r="AP55" s="27" t="str">
        <f aca="false">IF($A55="","",SUMPRODUCT(((((S55:Z55="רוב הזמן")+0.5*(S55:Z55="לפעמים"))-((K55:R55="כן")+0.5*(K55:R55="קצת")))&gt;0.01)*(((K55:R55="כן")+(K55:R55="קצת")+(K55:R55="עוד לא"))*((S55:Z55="רוב הזמן")+(S55:Z55="לפעמים")+(S55:Z55="עדיין לא")))))</f>
        <v/>
      </c>
      <c r="AQ55" s="27" t="str">
        <f aca="false">IF($A55="","",COUNTIF(AA55:AB55,"כן"))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7" t="str">
        <f aca="false">IF($A56="","",$A56&amp;"|"&amp;$C56)</f>
        <v/>
      </c>
      <c r="AG56" s="27" t="str">
        <f aca="false">IF($A56="","",IF(OR(H56="לא נבדק",H56=""),"לא נבדק",IF(AND(H56="בחר/ה בעצמו/ה",I56="כן",J56="לא"),"מלא",IF(OR(H56="בחר/ה בעצמו/ה",I56="כן"),"חלקי","עדיין לא"))))</f>
        <v/>
      </c>
      <c r="AH56" s="28" t="str">
        <f aca="false">IF($A56="","",IFERROR((COUNTIF(K56:L56,"כן")+0.5*COUNTIF(K56:L56,"קצת"))/(COUNTIF(K56:L56,"כן")+COUNTIF(K56:L56,"קצת")+COUNTIF(K56:L56,"עוד לא")),""))</f>
        <v/>
      </c>
      <c r="AI56" s="28" t="str">
        <f aca="false">IF($A56="","",IFERROR((COUNTIF(M56:N56,"כן")+0.5*COUNTIF(M56:N56,"קצת"))/(COUNTIF(M56:N56,"כן")+COUNTIF(M56:N56,"קצת")+COUNTIF(M56:N56,"עוד לא")),""))</f>
        <v/>
      </c>
      <c r="AJ56" s="28" t="str">
        <f aca="false">IF($A56="","",IFERROR((COUNTIF(O56:P56,"כן")+0.5*COUNTIF(O56:P56,"קצת"))/(COUNTIF(O56:P56,"כן")+COUNTIF(O56:P56,"קצת")+COUNTIF(O56:P56,"עוד לא")),""))</f>
        <v/>
      </c>
      <c r="AK56" s="28" t="str">
        <f aca="false">IF($A56="","",IFERROR((COUNTIF(Q56:R56,"כן")+0.5*COUNTIF(Q56:R56,"קצת"))/(COUNTIF(Q56:R56,"כן")+COUNTIF(Q56:R56,"קצת")+COUNTIF(Q56:R56,"עוד לא")),""))</f>
        <v/>
      </c>
      <c r="AL56" s="28" t="str">
        <f aca="false">IF($A56="","",IFERROR((COUNTIF(K56:R56,"כן")+0.5*COUNTIF(K56:R56,"קצת"))/(COUNTIF(K56:R56,"כן")+COUNTIF(K56:R56,"קצת")+COUNTIF(K56:R56,"עוד לא")),""))</f>
        <v/>
      </c>
      <c r="AM56" s="28" t="str">
        <f aca="false">IF($A56="","",IFERROR((COUNTIF(S56:Z56,"רוב הזמן")+0.5*COUNTIF(S56:Z56,"לפעמים"))/(COUNTIF(S56:Z56,"רוב הזמן")+COUNTIF(S56:Z56,"לפעמים")+COUNTIF(S56:Z56,"עדיין לא")),""))</f>
        <v/>
      </c>
      <c r="AN56" s="28" t="str">
        <f aca="false">IF($A56="","",IFERROR(1-SUMPRODUCT(ABS(((K56:R56="כן")+0.5*(K56:R56="קצת"))-((S56:Z56="רוב הזמן")+0.5*(S56:Z56="לפעמים")))*(((K56:R56="כן")+(K56:R56="קצת")+(K56:R56="עוד לא"))*((S56:Z56="רוב הזמן")+(S56:Z56="לפעמים")+(S56:Z56="עדיין לא"))))/SUMPRODUCT((((K56:R56="כן")+(K56:R56="קצת")+(K56:R56="עוד לא"))*((S56:Z56="רוב הזמן")+(S56:Z56="לפעמים")+(S56:Z56="עדיין לא")))),""))</f>
        <v/>
      </c>
      <c r="AO56" s="27" t="str">
        <f aca="false">IF($A56="","",SUMPRODUCT(((((K56:R56="כן")+0.5*(K56:R56="קצת"))-((S56:Z56="רוב הזמן")+0.5*(S56:Z56="לפעמים")))&gt;0.01)*(((K56:R56="כן")+(K56:R56="קצת")+(K56:R56="עוד לא"))*((S56:Z56="רוב הזמן")+(S56:Z56="לפעמים")+(S56:Z56="עדיין לא")))))</f>
        <v/>
      </c>
      <c r="AP56" s="27" t="str">
        <f aca="false">IF($A56="","",SUMPRODUCT(((((S56:Z56="רוב הזמן")+0.5*(S56:Z56="לפעמים"))-((K56:R56="כן")+0.5*(K56:R56="קצת")))&gt;0.01)*(((K56:R56="כן")+(K56:R56="קצת")+(K56:R56="עוד לא"))*((S56:Z56="רוב הזמן")+(S56:Z56="לפעמים")+(S56:Z56="עדיין לא")))))</f>
        <v/>
      </c>
      <c r="AQ56" s="27" t="str">
        <f aca="false">IF($A56="","",COUNTIF(AA56:AB56,"כן"))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7" t="str">
        <f aca="false">IF($A57="","",$A57&amp;"|"&amp;$C57)</f>
        <v/>
      </c>
      <c r="AG57" s="27" t="str">
        <f aca="false">IF($A57="","",IF(OR(H57="לא נבדק",H57=""),"לא נבדק",IF(AND(H57="בחר/ה בעצמו/ה",I57="כן",J57="לא"),"מלא",IF(OR(H57="בחר/ה בעצמו/ה",I57="כן"),"חלקי","עדיין לא"))))</f>
        <v/>
      </c>
      <c r="AH57" s="28" t="str">
        <f aca="false">IF($A57="","",IFERROR((COUNTIF(K57:L57,"כן")+0.5*COUNTIF(K57:L57,"קצת"))/(COUNTIF(K57:L57,"כן")+COUNTIF(K57:L57,"קצת")+COUNTIF(K57:L57,"עוד לא")),""))</f>
        <v/>
      </c>
      <c r="AI57" s="28" t="str">
        <f aca="false">IF($A57="","",IFERROR((COUNTIF(M57:N57,"כן")+0.5*COUNTIF(M57:N57,"קצת"))/(COUNTIF(M57:N57,"כן")+COUNTIF(M57:N57,"קצת")+COUNTIF(M57:N57,"עוד לא")),""))</f>
        <v/>
      </c>
      <c r="AJ57" s="28" t="str">
        <f aca="false">IF($A57="","",IFERROR((COUNTIF(O57:P57,"כן")+0.5*COUNTIF(O57:P57,"קצת"))/(COUNTIF(O57:P57,"כן")+COUNTIF(O57:P57,"קצת")+COUNTIF(O57:P57,"עוד לא")),""))</f>
        <v/>
      </c>
      <c r="AK57" s="28" t="str">
        <f aca="false">IF($A57="","",IFERROR((COUNTIF(Q57:R57,"כן")+0.5*COUNTIF(Q57:R57,"קצת"))/(COUNTIF(Q57:R57,"כן")+COUNTIF(Q57:R57,"קצת")+COUNTIF(Q57:R57,"עוד לא")),""))</f>
        <v/>
      </c>
      <c r="AL57" s="28" t="str">
        <f aca="false">IF($A57="","",IFERROR((COUNTIF(K57:R57,"כן")+0.5*COUNTIF(K57:R57,"קצת"))/(COUNTIF(K57:R57,"כן")+COUNTIF(K57:R57,"קצת")+COUNTIF(K57:R57,"עוד לא")),""))</f>
        <v/>
      </c>
      <c r="AM57" s="28" t="str">
        <f aca="false">IF($A57="","",IFERROR((COUNTIF(S57:Z57,"רוב הזמן")+0.5*COUNTIF(S57:Z57,"לפעמים"))/(COUNTIF(S57:Z57,"רוב הזמן")+COUNTIF(S57:Z57,"לפעמים")+COUNTIF(S57:Z57,"עדיין לא")),""))</f>
        <v/>
      </c>
      <c r="AN57" s="28" t="str">
        <f aca="false">IF($A57="","",IFERROR(1-SUMPRODUCT(ABS(((K57:R57="כן")+0.5*(K57:R57="קצת"))-((S57:Z57="רוב הזמן")+0.5*(S57:Z57="לפעמים")))*(((K57:R57="כן")+(K57:R57="קצת")+(K57:R57="עוד לא"))*((S57:Z57="רוב הזמן")+(S57:Z57="לפעמים")+(S57:Z57="עדיין לא"))))/SUMPRODUCT((((K57:R57="כן")+(K57:R57="קצת")+(K57:R57="עוד לא"))*((S57:Z57="רוב הזמן")+(S57:Z57="לפעמים")+(S57:Z57="עדיין לא")))),""))</f>
        <v/>
      </c>
      <c r="AO57" s="27" t="str">
        <f aca="false">IF($A57="","",SUMPRODUCT(((((K57:R57="כן")+0.5*(K57:R57="קצת"))-((S57:Z57="רוב הזמן")+0.5*(S57:Z57="לפעמים")))&gt;0.01)*(((K57:R57="כן")+(K57:R57="קצת")+(K57:R57="עוד לא"))*((S57:Z57="רוב הזמן")+(S57:Z57="לפעמים")+(S57:Z57="עדיין לא")))))</f>
        <v/>
      </c>
      <c r="AP57" s="27" t="str">
        <f aca="false">IF($A57="","",SUMPRODUCT(((((S57:Z57="רוב הזמן")+0.5*(S57:Z57="לפעמים"))-((K57:R57="כן")+0.5*(K57:R57="קצת")))&gt;0.01)*(((K57:R57="כן")+(K57:R57="קצת")+(K57:R57="עוד לא"))*((S57:Z57="רוב הזמן")+(S57:Z57="לפעמים")+(S57:Z57="עדיין לא")))))</f>
        <v/>
      </c>
      <c r="AQ57" s="27" t="str">
        <f aca="false">IF($A57="","",COUNTIF(AA57:AB57,"כן"))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7" t="str">
        <f aca="false">IF($A58="","",$A58&amp;"|"&amp;$C58)</f>
        <v/>
      </c>
      <c r="AG58" s="27" t="str">
        <f aca="false">IF($A58="","",IF(OR(H58="לא נבדק",H58=""),"לא נבדק",IF(AND(H58="בחר/ה בעצמו/ה",I58="כן",J58="לא"),"מלא",IF(OR(H58="בחר/ה בעצמו/ה",I58="כן"),"חלקי","עדיין לא"))))</f>
        <v/>
      </c>
      <c r="AH58" s="28" t="str">
        <f aca="false">IF($A58="","",IFERROR((COUNTIF(K58:L58,"כן")+0.5*COUNTIF(K58:L58,"קצת"))/(COUNTIF(K58:L58,"כן")+COUNTIF(K58:L58,"קצת")+COUNTIF(K58:L58,"עוד לא")),""))</f>
        <v/>
      </c>
      <c r="AI58" s="28" t="str">
        <f aca="false">IF($A58="","",IFERROR((COUNTIF(M58:N58,"כן")+0.5*COUNTIF(M58:N58,"קצת"))/(COUNTIF(M58:N58,"כן")+COUNTIF(M58:N58,"קצת")+COUNTIF(M58:N58,"עוד לא")),""))</f>
        <v/>
      </c>
      <c r="AJ58" s="28" t="str">
        <f aca="false">IF($A58="","",IFERROR((COUNTIF(O58:P58,"כן")+0.5*COUNTIF(O58:P58,"קצת"))/(COUNTIF(O58:P58,"כן")+COUNTIF(O58:P58,"קצת")+COUNTIF(O58:P58,"עוד לא")),""))</f>
        <v/>
      </c>
      <c r="AK58" s="28" t="str">
        <f aca="false">IF($A58="","",IFERROR((COUNTIF(Q58:R58,"כן")+0.5*COUNTIF(Q58:R58,"קצת"))/(COUNTIF(Q58:R58,"כן")+COUNTIF(Q58:R58,"קצת")+COUNTIF(Q58:R58,"עוד לא")),""))</f>
        <v/>
      </c>
      <c r="AL58" s="28" t="str">
        <f aca="false">IF($A58="","",IFERROR((COUNTIF(K58:R58,"כן")+0.5*COUNTIF(K58:R58,"קצת"))/(COUNTIF(K58:R58,"כן")+COUNTIF(K58:R58,"קצת")+COUNTIF(K58:R58,"עוד לא")),""))</f>
        <v/>
      </c>
      <c r="AM58" s="28" t="str">
        <f aca="false">IF($A58="","",IFERROR((COUNTIF(S58:Z58,"רוב הזמן")+0.5*COUNTIF(S58:Z58,"לפעמים"))/(COUNTIF(S58:Z58,"רוב הזמן")+COUNTIF(S58:Z58,"לפעמים")+COUNTIF(S58:Z58,"עדיין לא")),""))</f>
        <v/>
      </c>
      <c r="AN58" s="28" t="str">
        <f aca="false">IF($A58="","",IFERROR(1-SUMPRODUCT(ABS(((K58:R58="כן")+0.5*(K58:R58="קצת"))-((S58:Z58="רוב הזמן")+0.5*(S58:Z58="לפעמים")))*(((K58:R58="כן")+(K58:R58="קצת")+(K58:R58="עוד לא"))*((S58:Z58="רוב הזמן")+(S58:Z58="לפעמים")+(S58:Z58="עדיין לא"))))/SUMPRODUCT((((K58:R58="כן")+(K58:R58="קצת")+(K58:R58="עוד לא"))*((S58:Z58="רוב הזמן")+(S58:Z58="לפעמים")+(S58:Z58="עדיין לא")))),""))</f>
        <v/>
      </c>
      <c r="AO58" s="27" t="str">
        <f aca="false">IF($A58="","",SUMPRODUCT(((((K58:R58="כן")+0.5*(K58:R58="קצת"))-((S58:Z58="רוב הזמן")+0.5*(S58:Z58="לפעמים")))&gt;0.01)*(((K58:R58="כן")+(K58:R58="קצת")+(K58:R58="עוד לא"))*((S58:Z58="רוב הזמן")+(S58:Z58="לפעמים")+(S58:Z58="עדיין לא")))))</f>
        <v/>
      </c>
      <c r="AP58" s="27" t="str">
        <f aca="false">IF($A58="","",SUMPRODUCT(((((S58:Z58="רוב הזמן")+0.5*(S58:Z58="לפעמים"))-((K58:R58="כן")+0.5*(K58:R58="קצת")))&gt;0.01)*(((K58:R58="כן")+(K58:R58="קצת")+(K58:R58="עוד לא"))*((S58:Z58="רוב הזמן")+(S58:Z58="לפעמים")+(S58:Z58="עדיין לא")))))</f>
        <v/>
      </c>
      <c r="AQ58" s="27" t="str">
        <f aca="false">IF($A58="","",COUNTIF(AA58:AB58,"כן"))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7" t="str">
        <f aca="false">IF($A59="","",$A59&amp;"|"&amp;$C59)</f>
        <v/>
      </c>
      <c r="AG59" s="27" t="str">
        <f aca="false">IF($A59="","",IF(OR(H59="לא נבדק",H59=""),"לא נבדק",IF(AND(H59="בחר/ה בעצמו/ה",I59="כן",J59="לא"),"מלא",IF(OR(H59="בחר/ה בעצמו/ה",I59="כן"),"חלקי","עדיין לא"))))</f>
        <v/>
      </c>
      <c r="AH59" s="28" t="str">
        <f aca="false">IF($A59="","",IFERROR((COUNTIF(K59:L59,"כן")+0.5*COUNTIF(K59:L59,"קצת"))/(COUNTIF(K59:L59,"כן")+COUNTIF(K59:L59,"קצת")+COUNTIF(K59:L59,"עוד לא")),""))</f>
        <v/>
      </c>
      <c r="AI59" s="28" t="str">
        <f aca="false">IF($A59="","",IFERROR((COUNTIF(M59:N59,"כן")+0.5*COUNTIF(M59:N59,"קצת"))/(COUNTIF(M59:N59,"כן")+COUNTIF(M59:N59,"קצת")+COUNTIF(M59:N59,"עוד לא")),""))</f>
        <v/>
      </c>
      <c r="AJ59" s="28" t="str">
        <f aca="false">IF($A59="","",IFERROR((COUNTIF(O59:P59,"כן")+0.5*COUNTIF(O59:P59,"קצת"))/(COUNTIF(O59:P59,"כן")+COUNTIF(O59:P59,"קצת")+COUNTIF(O59:P59,"עוד לא")),""))</f>
        <v/>
      </c>
      <c r="AK59" s="28" t="str">
        <f aca="false">IF($A59="","",IFERROR((COUNTIF(Q59:R59,"כן")+0.5*COUNTIF(Q59:R59,"קצת"))/(COUNTIF(Q59:R59,"כן")+COUNTIF(Q59:R59,"קצת")+COUNTIF(Q59:R59,"עוד לא")),""))</f>
        <v/>
      </c>
      <c r="AL59" s="28" t="str">
        <f aca="false">IF($A59="","",IFERROR((COUNTIF(K59:R59,"כן")+0.5*COUNTIF(K59:R59,"קצת"))/(COUNTIF(K59:R59,"כן")+COUNTIF(K59:R59,"קצת")+COUNTIF(K59:R59,"עוד לא")),""))</f>
        <v/>
      </c>
      <c r="AM59" s="28" t="str">
        <f aca="false">IF($A59="","",IFERROR((COUNTIF(S59:Z59,"רוב הזמן")+0.5*COUNTIF(S59:Z59,"לפעמים"))/(COUNTIF(S59:Z59,"רוב הזמן")+COUNTIF(S59:Z59,"לפעמים")+COUNTIF(S59:Z59,"עדיין לא")),""))</f>
        <v/>
      </c>
      <c r="AN59" s="28" t="str">
        <f aca="false">IF($A59="","",IFERROR(1-SUMPRODUCT(ABS(((K59:R59="כן")+0.5*(K59:R59="קצת"))-((S59:Z59="רוב הזמן")+0.5*(S59:Z59="לפעמים")))*(((K59:R59="כן")+(K59:R59="קצת")+(K59:R59="עוד לא"))*((S59:Z59="רוב הזמן")+(S59:Z59="לפעמים")+(S59:Z59="עדיין לא"))))/SUMPRODUCT((((K59:R59="כן")+(K59:R59="קצת")+(K59:R59="עוד לא"))*((S59:Z59="רוב הזמן")+(S59:Z59="לפעמים")+(S59:Z59="עדיין לא")))),""))</f>
        <v/>
      </c>
      <c r="AO59" s="27" t="str">
        <f aca="false">IF($A59="","",SUMPRODUCT(((((K59:R59="כן")+0.5*(K59:R59="קצת"))-((S59:Z59="רוב הזמן")+0.5*(S59:Z59="לפעמים")))&gt;0.01)*(((K59:R59="כן")+(K59:R59="קצת")+(K59:R59="עוד לא"))*((S59:Z59="רוב הזמן")+(S59:Z59="לפעמים")+(S59:Z59="עדיין לא")))))</f>
        <v/>
      </c>
      <c r="AP59" s="27" t="str">
        <f aca="false">IF($A59="","",SUMPRODUCT(((((S59:Z59="רוב הזמן")+0.5*(S59:Z59="לפעמים"))-((K59:R59="כן")+0.5*(K59:R59="קצת")))&gt;0.01)*(((K59:R59="כן")+(K59:R59="קצת")+(K59:R59="עוד לא"))*((S59:Z59="רוב הזמן")+(S59:Z59="לפעמים")+(S59:Z59="עדיין לא")))))</f>
        <v/>
      </c>
      <c r="AQ59" s="27" t="str">
        <f aca="false">IF($A59="","",COUNTIF(AA59:AB59,"כן"))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7" t="str">
        <f aca="false">IF($A60="","",$A60&amp;"|"&amp;$C60)</f>
        <v/>
      </c>
      <c r="AG60" s="27" t="str">
        <f aca="false">IF($A60="","",IF(OR(H60="לא נבדק",H60=""),"לא נבדק",IF(AND(H60="בחר/ה בעצמו/ה",I60="כן",J60="לא"),"מלא",IF(OR(H60="בחר/ה בעצמו/ה",I60="כן"),"חלקי","עדיין לא"))))</f>
        <v/>
      </c>
      <c r="AH60" s="28" t="str">
        <f aca="false">IF($A60="","",IFERROR((COUNTIF(K60:L60,"כן")+0.5*COUNTIF(K60:L60,"קצת"))/(COUNTIF(K60:L60,"כן")+COUNTIF(K60:L60,"קצת")+COUNTIF(K60:L60,"עוד לא")),""))</f>
        <v/>
      </c>
      <c r="AI60" s="28" t="str">
        <f aca="false">IF($A60="","",IFERROR((COUNTIF(M60:N60,"כן")+0.5*COUNTIF(M60:N60,"קצת"))/(COUNTIF(M60:N60,"כן")+COUNTIF(M60:N60,"קצת")+COUNTIF(M60:N60,"עוד לא")),""))</f>
        <v/>
      </c>
      <c r="AJ60" s="28" t="str">
        <f aca="false">IF($A60="","",IFERROR((COUNTIF(O60:P60,"כן")+0.5*COUNTIF(O60:P60,"קצת"))/(COUNTIF(O60:P60,"כן")+COUNTIF(O60:P60,"קצת")+COUNTIF(O60:P60,"עוד לא")),""))</f>
        <v/>
      </c>
      <c r="AK60" s="28" t="str">
        <f aca="false">IF($A60="","",IFERROR((COUNTIF(Q60:R60,"כן")+0.5*COUNTIF(Q60:R60,"קצת"))/(COUNTIF(Q60:R60,"כן")+COUNTIF(Q60:R60,"קצת")+COUNTIF(Q60:R60,"עוד לא")),""))</f>
        <v/>
      </c>
      <c r="AL60" s="28" t="str">
        <f aca="false">IF($A60="","",IFERROR((COUNTIF(K60:R60,"כן")+0.5*COUNTIF(K60:R60,"קצת"))/(COUNTIF(K60:R60,"כן")+COUNTIF(K60:R60,"קצת")+COUNTIF(K60:R60,"עוד לא")),""))</f>
        <v/>
      </c>
      <c r="AM60" s="28" t="str">
        <f aca="false">IF($A60="","",IFERROR((COUNTIF(S60:Z60,"רוב הזמן")+0.5*COUNTIF(S60:Z60,"לפעמים"))/(COUNTIF(S60:Z60,"רוב הזמן")+COUNTIF(S60:Z60,"לפעמים")+COUNTIF(S60:Z60,"עדיין לא")),""))</f>
        <v/>
      </c>
      <c r="AN60" s="28" t="str">
        <f aca="false">IF($A60="","",IFERROR(1-SUMPRODUCT(ABS(((K60:R60="כן")+0.5*(K60:R60="קצת"))-((S60:Z60="רוב הזמן")+0.5*(S60:Z60="לפעמים")))*(((K60:R60="כן")+(K60:R60="קצת")+(K60:R60="עוד לא"))*((S60:Z60="רוב הזמן")+(S60:Z60="לפעמים")+(S60:Z60="עדיין לא"))))/SUMPRODUCT((((K60:R60="כן")+(K60:R60="קצת")+(K60:R60="עוד לא"))*((S60:Z60="רוב הזמן")+(S60:Z60="לפעמים")+(S60:Z60="עדיין לא")))),""))</f>
        <v/>
      </c>
      <c r="AO60" s="27" t="str">
        <f aca="false">IF($A60="","",SUMPRODUCT(((((K60:R60="כן")+0.5*(K60:R60="קצת"))-((S60:Z60="רוב הזמן")+0.5*(S60:Z60="לפעמים")))&gt;0.01)*(((K60:R60="כן")+(K60:R60="קצת")+(K60:R60="עוד לא"))*((S60:Z60="רוב הזמן")+(S60:Z60="לפעמים")+(S60:Z60="עדיין לא")))))</f>
        <v/>
      </c>
      <c r="AP60" s="27" t="str">
        <f aca="false">IF($A60="","",SUMPRODUCT(((((S60:Z60="רוב הזמן")+0.5*(S60:Z60="לפעמים"))-((K60:R60="כן")+0.5*(K60:R60="קצת")))&gt;0.01)*(((K60:R60="כן")+(K60:R60="קצת")+(K60:R60="עוד לא"))*((S60:Z60="רוב הזמן")+(S60:Z60="לפעמים")+(S60:Z60="עדיין לא")))))</f>
        <v/>
      </c>
      <c r="AQ60" s="27" t="str">
        <f aca="false">IF($A60="","",COUNTIF(AA60:AB60,"כן"))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7" t="str">
        <f aca="false">IF($A61="","",$A61&amp;"|"&amp;$C61)</f>
        <v/>
      </c>
      <c r="AG61" s="27" t="str">
        <f aca="false">IF($A61="","",IF(OR(H61="לא נבדק",H61=""),"לא נבדק",IF(AND(H61="בחר/ה בעצמו/ה",I61="כן",J61="לא"),"מלא",IF(OR(H61="בחר/ה בעצמו/ה",I61="כן"),"חלקי","עדיין לא"))))</f>
        <v/>
      </c>
      <c r="AH61" s="28" t="str">
        <f aca="false">IF($A61="","",IFERROR((COUNTIF(K61:L61,"כן")+0.5*COUNTIF(K61:L61,"קצת"))/(COUNTIF(K61:L61,"כן")+COUNTIF(K61:L61,"קצת")+COUNTIF(K61:L61,"עוד לא")),""))</f>
        <v/>
      </c>
      <c r="AI61" s="28" t="str">
        <f aca="false">IF($A61="","",IFERROR((COUNTIF(M61:N61,"כן")+0.5*COUNTIF(M61:N61,"קצת"))/(COUNTIF(M61:N61,"כן")+COUNTIF(M61:N61,"קצת")+COUNTIF(M61:N61,"עוד לא")),""))</f>
        <v/>
      </c>
      <c r="AJ61" s="28" t="str">
        <f aca="false">IF($A61="","",IFERROR((COUNTIF(O61:P61,"כן")+0.5*COUNTIF(O61:P61,"קצת"))/(COUNTIF(O61:P61,"כן")+COUNTIF(O61:P61,"קצת")+COUNTIF(O61:P61,"עוד לא")),""))</f>
        <v/>
      </c>
      <c r="AK61" s="28" t="str">
        <f aca="false">IF($A61="","",IFERROR((COUNTIF(Q61:R61,"כן")+0.5*COUNTIF(Q61:R61,"קצת"))/(COUNTIF(Q61:R61,"כן")+COUNTIF(Q61:R61,"קצת")+COUNTIF(Q61:R61,"עוד לא")),""))</f>
        <v/>
      </c>
      <c r="AL61" s="28" t="str">
        <f aca="false">IF($A61="","",IFERROR((COUNTIF(K61:R61,"כן")+0.5*COUNTIF(K61:R61,"קצת"))/(COUNTIF(K61:R61,"כן")+COUNTIF(K61:R61,"קצת")+COUNTIF(K61:R61,"עוד לא")),""))</f>
        <v/>
      </c>
      <c r="AM61" s="28" t="str">
        <f aca="false">IF($A61="","",IFERROR((COUNTIF(S61:Z61,"רוב הזמן")+0.5*COUNTIF(S61:Z61,"לפעמים"))/(COUNTIF(S61:Z61,"רוב הזמן")+COUNTIF(S61:Z61,"לפעמים")+COUNTIF(S61:Z61,"עדיין לא")),""))</f>
        <v/>
      </c>
      <c r="AN61" s="28" t="str">
        <f aca="false">IF($A61="","",IFERROR(1-SUMPRODUCT(ABS(((K61:R61="כן")+0.5*(K61:R61="קצת"))-((S61:Z61="רוב הזמן")+0.5*(S61:Z61="לפעמים")))*(((K61:R61="כן")+(K61:R61="קצת")+(K61:R61="עוד לא"))*((S61:Z61="רוב הזמן")+(S61:Z61="לפעמים")+(S61:Z61="עדיין לא"))))/SUMPRODUCT((((K61:R61="כן")+(K61:R61="קצת")+(K61:R61="עוד לא"))*((S61:Z61="רוב הזמן")+(S61:Z61="לפעמים")+(S61:Z61="עדיין לא")))),""))</f>
        <v/>
      </c>
      <c r="AO61" s="27" t="str">
        <f aca="false">IF($A61="","",SUMPRODUCT(((((K61:R61="כן")+0.5*(K61:R61="קצת"))-((S61:Z61="רוב הזמן")+0.5*(S61:Z61="לפעמים")))&gt;0.01)*(((K61:R61="כן")+(K61:R61="קצת")+(K61:R61="עוד לא"))*((S61:Z61="רוב הזמן")+(S61:Z61="לפעמים")+(S61:Z61="עדיין לא")))))</f>
        <v/>
      </c>
      <c r="AP61" s="27" t="str">
        <f aca="false">IF($A61="","",SUMPRODUCT(((((S61:Z61="רוב הזמן")+0.5*(S61:Z61="לפעמים"))-((K61:R61="כן")+0.5*(K61:R61="קצת")))&gt;0.01)*(((K61:R61="כן")+(K61:R61="קצת")+(K61:R61="עוד לא"))*((S61:Z61="רוב הזמן")+(S61:Z61="לפעמים")+(S61:Z61="עדיין לא")))))</f>
        <v/>
      </c>
      <c r="AQ61" s="27" t="str">
        <f aca="false">IF($A61="","",COUNTIF(AA61:AB61,"כן"))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7" t="str">
        <f aca="false">IF($A62="","",$A62&amp;"|"&amp;$C62)</f>
        <v/>
      </c>
      <c r="AG62" s="27" t="str">
        <f aca="false">IF($A62="","",IF(OR(H62="לא נבדק",H62=""),"לא נבדק",IF(AND(H62="בחר/ה בעצמו/ה",I62="כן",J62="לא"),"מלא",IF(OR(H62="בחר/ה בעצמו/ה",I62="כן"),"חלקי","עדיין לא"))))</f>
        <v/>
      </c>
      <c r="AH62" s="28" t="str">
        <f aca="false">IF($A62="","",IFERROR((COUNTIF(K62:L62,"כן")+0.5*COUNTIF(K62:L62,"קצת"))/(COUNTIF(K62:L62,"כן")+COUNTIF(K62:L62,"קצת")+COUNTIF(K62:L62,"עוד לא")),""))</f>
        <v/>
      </c>
      <c r="AI62" s="28" t="str">
        <f aca="false">IF($A62="","",IFERROR((COUNTIF(M62:N62,"כן")+0.5*COUNTIF(M62:N62,"קצת"))/(COUNTIF(M62:N62,"כן")+COUNTIF(M62:N62,"קצת")+COUNTIF(M62:N62,"עוד לא")),""))</f>
        <v/>
      </c>
      <c r="AJ62" s="28" t="str">
        <f aca="false">IF($A62="","",IFERROR((COUNTIF(O62:P62,"כן")+0.5*COUNTIF(O62:P62,"קצת"))/(COUNTIF(O62:P62,"כן")+COUNTIF(O62:P62,"קצת")+COUNTIF(O62:P62,"עוד לא")),""))</f>
        <v/>
      </c>
      <c r="AK62" s="28" t="str">
        <f aca="false">IF($A62="","",IFERROR((COUNTIF(Q62:R62,"כן")+0.5*COUNTIF(Q62:R62,"קצת"))/(COUNTIF(Q62:R62,"כן")+COUNTIF(Q62:R62,"קצת")+COUNTIF(Q62:R62,"עוד לא")),""))</f>
        <v/>
      </c>
      <c r="AL62" s="28" t="str">
        <f aca="false">IF($A62="","",IFERROR((COUNTIF(K62:R62,"כן")+0.5*COUNTIF(K62:R62,"קצת"))/(COUNTIF(K62:R62,"כן")+COUNTIF(K62:R62,"קצת")+COUNTIF(K62:R62,"עוד לא")),""))</f>
        <v/>
      </c>
      <c r="AM62" s="28" t="str">
        <f aca="false">IF($A62="","",IFERROR((COUNTIF(S62:Z62,"רוב הזמן")+0.5*COUNTIF(S62:Z62,"לפעמים"))/(COUNTIF(S62:Z62,"רוב הזמן")+COUNTIF(S62:Z62,"לפעמים")+COUNTIF(S62:Z62,"עדיין לא")),""))</f>
        <v/>
      </c>
      <c r="AN62" s="28" t="str">
        <f aca="false">IF($A62="","",IFERROR(1-SUMPRODUCT(ABS(((K62:R62="כן")+0.5*(K62:R62="קצת"))-((S62:Z62="רוב הזמן")+0.5*(S62:Z62="לפעמים")))*(((K62:R62="כן")+(K62:R62="קצת")+(K62:R62="עוד לא"))*((S62:Z62="רוב הזמן")+(S62:Z62="לפעמים")+(S62:Z62="עדיין לא"))))/SUMPRODUCT((((K62:R62="כן")+(K62:R62="קצת")+(K62:R62="עוד לא"))*((S62:Z62="רוב הזמן")+(S62:Z62="לפעמים")+(S62:Z62="עדיין לא")))),""))</f>
        <v/>
      </c>
      <c r="AO62" s="27" t="str">
        <f aca="false">IF($A62="","",SUMPRODUCT(((((K62:R62="כן")+0.5*(K62:R62="קצת"))-((S62:Z62="רוב הזמן")+0.5*(S62:Z62="לפעמים")))&gt;0.01)*(((K62:R62="כן")+(K62:R62="קצת")+(K62:R62="עוד לא"))*((S62:Z62="רוב הזמן")+(S62:Z62="לפעמים")+(S62:Z62="עדיין לא")))))</f>
        <v/>
      </c>
      <c r="AP62" s="27" t="str">
        <f aca="false">IF($A62="","",SUMPRODUCT(((((S62:Z62="רוב הזמן")+0.5*(S62:Z62="לפעמים"))-((K62:R62="כן")+0.5*(K62:R62="קצת")))&gt;0.01)*(((K62:R62="כן")+(K62:R62="קצת")+(K62:R62="עוד לא"))*((S62:Z62="רוב הזמן")+(S62:Z62="לפעמים")+(S62:Z62="עדיין לא")))))</f>
        <v/>
      </c>
      <c r="AQ62" s="27" t="str">
        <f aca="false">IF($A62="","",COUNTIF(AA62:AB62,"כן"))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7" t="str">
        <f aca="false">IF($A63="","",$A63&amp;"|"&amp;$C63)</f>
        <v/>
      </c>
      <c r="AG63" s="27" t="str">
        <f aca="false">IF($A63="","",IF(OR(H63="לא נבדק",H63=""),"לא נבדק",IF(AND(H63="בחר/ה בעצמו/ה",I63="כן",J63="לא"),"מלא",IF(OR(H63="בחר/ה בעצמו/ה",I63="כן"),"חלקי","עדיין לא"))))</f>
        <v/>
      </c>
      <c r="AH63" s="28" t="str">
        <f aca="false">IF($A63="","",IFERROR((COUNTIF(K63:L63,"כן")+0.5*COUNTIF(K63:L63,"קצת"))/(COUNTIF(K63:L63,"כן")+COUNTIF(K63:L63,"קצת")+COUNTIF(K63:L63,"עוד לא")),""))</f>
        <v/>
      </c>
      <c r="AI63" s="28" t="str">
        <f aca="false">IF($A63="","",IFERROR((COUNTIF(M63:N63,"כן")+0.5*COUNTIF(M63:N63,"קצת"))/(COUNTIF(M63:N63,"כן")+COUNTIF(M63:N63,"קצת")+COUNTIF(M63:N63,"עוד לא")),""))</f>
        <v/>
      </c>
      <c r="AJ63" s="28" t="str">
        <f aca="false">IF($A63="","",IFERROR((COUNTIF(O63:P63,"כן")+0.5*COUNTIF(O63:P63,"קצת"))/(COUNTIF(O63:P63,"כן")+COUNTIF(O63:P63,"קצת")+COUNTIF(O63:P63,"עוד לא")),""))</f>
        <v/>
      </c>
      <c r="AK63" s="28" t="str">
        <f aca="false">IF($A63="","",IFERROR((COUNTIF(Q63:R63,"כן")+0.5*COUNTIF(Q63:R63,"קצת"))/(COUNTIF(Q63:R63,"כן")+COUNTIF(Q63:R63,"קצת")+COUNTIF(Q63:R63,"עוד לא")),""))</f>
        <v/>
      </c>
      <c r="AL63" s="28" t="str">
        <f aca="false">IF($A63="","",IFERROR((COUNTIF(K63:R63,"כן")+0.5*COUNTIF(K63:R63,"קצת"))/(COUNTIF(K63:R63,"כן")+COUNTIF(K63:R63,"קצת")+COUNTIF(K63:R63,"עוד לא")),""))</f>
        <v/>
      </c>
      <c r="AM63" s="28" t="str">
        <f aca="false">IF($A63="","",IFERROR((COUNTIF(S63:Z63,"רוב הזמן")+0.5*COUNTIF(S63:Z63,"לפעמים"))/(COUNTIF(S63:Z63,"רוב הזמן")+COUNTIF(S63:Z63,"לפעמים")+COUNTIF(S63:Z63,"עדיין לא")),""))</f>
        <v/>
      </c>
      <c r="AN63" s="28" t="str">
        <f aca="false">IF($A63="","",IFERROR(1-SUMPRODUCT(ABS(((K63:R63="כן")+0.5*(K63:R63="קצת"))-((S63:Z63="רוב הזמן")+0.5*(S63:Z63="לפעמים")))*(((K63:R63="כן")+(K63:R63="קצת")+(K63:R63="עוד לא"))*((S63:Z63="רוב הזמן")+(S63:Z63="לפעמים")+(S63:Z63="עדיין לא"))))/SUMPRODUCT((((K63:R63="כן")+(K63:R63="קצת")+(K63:R63="עוד לא"))*((S63:Z63="רוב הזמן")+(S63:Z63="לפעמים")+(S63:Z63="עדיין לא")))),""))</f>
        <v/>
      </c>
      <c r="AO63" s="27" t="str">
        <f aca="false">IF($A63="","",SUMPRODUCT(((((K63:R63="כן")+0.5*(K63:R63="קצת"))-((S63:Z63="רוב הזמן")+0.5*(S63:Z63="לפעמים")))&gt;0.01)*(((K63:R63="כן")+(K63:R63="קצת")+(K63:R63="עוד לא"))*((S63:Z63="רוב הזמן")+(S63:Z63="לפעמים")+(S63:Z63="עדיין לא")))))</f>
        <v/>
      </c>
      <c r="AP63" s="27" t="str">
        <f aca="false">IF($A63="","",SUMPRODUCT(((((S63:Z63="רוב הזמן")+0.5*(S63:Z63="לפעמים"))-((K63:R63="כן")+0.5*(K63:R63="קצת")))&gt;0.01)*(((K63:R63="כן")+(K63:R63="קצת")+(K63:R63="עוד לא"))*((S63:Z63="רוב הזמן")+(S63:Z63="לפעמים")+(S63:Z63="עדיין לא")))))</f>
        <v/>
      </c>
      <c r="AQ63" s="27" t="str">
        <f aca="false">IF($A63="","",COUNTIF(AA63:AB63,"כן"))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7" t="str">
        <f aca="false">IF($A64="","",$A64&amp;"|"&amp;$C64)</f>
        <v/>
      </c>
      <c r="AG64" s="27" t="str">
        <f aca="false">IF($A64="","",IF(OR(H64="לא נבדק",H64=""),"לא נבדק",IF(AND(H64="בחר/ה בעצמו/ה",I64="כן",J64="לא"),"מלא",IF(OR(H64="בחר/ה בעצמו/ה",I64="כן"),"חלקי","עדיין לא"))))</f>
        <v/>
      </c>
      <c r="AH64" s="28" t="str">
        <f aca="false">IF($A64="","",IFERROR((COUNTIF(K64:L64,"כן")+0.5*COUNTIF(K64:L64,"קצת"))/(COUNTIF(K64:L64,"כן")+COUNTIF(K64:L64,"קצת")+COUNTIF(K64:L64,"עוד לא")),""))</f>
        <v/>
      </c>
      <c r="AI64" s="28" t="str">
        <f aca="false">IF($A64="","",IFERROR((COUNTIF(M64:N64,"כן")+0.5*COUNTIF(M64:N64,"קצת"))/(COUNTIF(M64:N64,"כן")+COUNTIF(M64:N64,"קצת")+COUNTIF(M64:N64,"עוד לא")),""))</f>
        <v/>
      </c>
      <c r="AJ64" s="28" t="str">
        <f aca="false">IF($A64="","",IFERROR((COUNTIF(O64:P64,"כן")+0.5*COUNTIF(O64:P64,"קצת"))/(COUNTIF(O64:P64,"כן")+COUNTIF(O64:P64,"קצת")+COUNTIF(O64:P64,"עוד לא")),""))</f>
        <v/>
      </c>
      <c r="AK64" s="28" t="str">
        <f aca="false">IF($A64="","",IFERROR((COUNTIF(Q64:R64,"כן")+0.5*COUNTIF(Q64:R64,"קצת"))/(COUNTIF(Q64:R64,"כן")+COUNTIF(Q64:R64,"קצת")+COUNTIF(Q64:R64,"עוד לא")),""))</f>
        <v/>
      </c>
      <c r="AL64" s="28" t="str">
        <f aca="false">IF($A64="","",IFERROR((COUNTIF(K64:R64,"כן")+0.5*COUNTIF(K64:R64,"קצת"))/(COUNTIF(K64:R64,"כן")+COUNTIF(K64:R64,"קצת")+COUNTIF(K64:R64,"עוד לא")),""))</f>
        <v/>
      </c>
      <c r="AM64" s="28" t="str">
        <f aca="false">IF($A64="","",IFERROR((COUNTIF(S64:Z64,"רוב הזמן")+0.5*COUNTIF(S64:Z64,"לפעמים"))/(COUNTIF(S64:Z64,"רוב הזמן")+COUNTIF(S64:Z64,"לפעמים")+COUNTIF(S64:Z64,"עדיין לא")),""))</f>
        <v/>
      </c>
      <c r="AN64" s="28" t="str">
        <f aca="false">IF($A64="","",IFERROR(1-SUMPRODUCT(ABS(((K64:R64="כן")+0.5*(K64:R64="קצת"))-((S64:Z64="רוב הזמן")+0.5*(S64:Z64="לפעמים")))*(((K64:R64="כן")+(K64:R64="קצת")+(K64:R64="עוד לא"))*((S64:Z64="רוב הזמן")+(S64:Z64="לפעמים")+(S64:Z64="עדיין לא"))))/SUMPRODUCT((((K64:R64="כן")+(K64:R64="קצת")+(K64:R64="עוד לא"))*((S64:Z64="רוב הזמן")+(S64:Z64="לפעמים")+(S64:Z64="עדיין לא")))),""))</f>
        <v/>
      </c>
      <c r="AO64" s="27" t="str">
        <f aca="false">IF($A64="","",SUMPRODUCT(((((K64:R64="כן")+0.5*(K64:R64="קצת"))-((S64:Z64="רוב הזמן")+0.5*(S64:Z64="לפעמים")))&gt;0.01)*(((K64:R64="כן")+(K64:R64="קצת")+(K64:R64="עוד לא"))*((S64:Z64="רוב הזמן")+(S64:Z64="לפעמים")+(S64:Z64="עדיין לא")))))</f>
        <v/>
      </c>
      <c r="AP64" s="27" t="str">
        <f aca="false">IF($A64="","",SUMPRODUCT(((((S64:Z64="רוב הזמן")+0.5*(S64:Z64="לפעמים"))-((K64:R64="כן")+0.5*(K64:R64="קצת")))&gt;0.01)*(((K64:R64="כן")+(K64:R64="קצת")+(K64:R64="עוד לא"))*((S64:Z64="רוב הזמן")+(S64:Z64="לפעמים")+(S64:Z64="עדיין לא")))))</f>
        <v/>
      </c>
      <c r="AQ64" s="27" t="str">
        <f aca="false">IF($A64="","",COUNTIF(AA64:AB64,"כן"))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7" t="str">
        <f aca="false">IF($A65="","",$A65&amp;"|"&amp;$C65)</f>
        <v/>
      </c>
      <c r="AG65" s="27" t="str">
        <f aca="false">IF($A65="","",IF(OR(H65="לא נבדק",H65=""),"לא נבדק",IF(AND(H65="בחר/ה בעצמו/ה",I65="כן",J65="לא"),"מלא",IF(OR(H65="בחר/ה בעצמו/ה",I65="כן"),"חלקי","עדיין לא"))))</f>
        <v/>
      </c>
      <c r="AH65" s="28" t="str">
        <f aca="false">IF($A65="","",IFERROR((COUNTIF(K65:L65,"כן")+0.5*COUNTIF(K65:L65,"קצת"))/(COUNTIF(K65:L65,"כן")+COUNTIF(K65:L65,"קצת")+COUNTIF(K65:L65,"עוד לא")),""))</f>
        <v/>
      </c>
      <c r="AI65" s="28" t="str">
        <f aca="false">IF($A65="","",IFERROR((COUNTIF(M65:N65,"כן")+0.5*COUNTIF(M65:N65,"קצת"))/(COUNTIF(M65:N65,"כן")+COUNTIF(M65:N65,"קצת")+COUNTIF(M65:N65,"עוד לא")),""))</f>
        <v/>
      </c>
      <c r="AJ65" s="28" t="str">
        <f aca="false">IF($A65="","",IFERROR((COUNTIF(O65:P65,"כן")+0.5*COUNTIF(O65:P65,"קצת"))/(COUNTIF(O65:P65,"כן")+COUNTIF(O65:P65,"קצת")+COUNTIF(O65:P65,"עוד לא")),""))</f>
        <v/>
      </c>
      <c r="AK65" s="28" t="str">
        <f aca="false">IF($A65="","",IFERROR((COUNTIF(Q65:R65,"כן")+0.5*COUNTIF(Q65:R65,"קצת"))/(COUNTIF(Q65:R65,"כן")+COUNTIF(Q65:R65,"קצת")+COUNTIF(Q65:R65,"עוד לא")),""))</f>
        <v/>
      </c>
      <c r="AL65" s="28" t="str">
        <f aca="false">IF($A65="","",IFERROR((COUNTIF(K65:R65,"כן")+0.5*COUNTIF(K65:R65,"קצת"))/(COUNTIF(K65:R65,"כן")+COUNTIF(K65:R65,"קצת")+COUNTIF(K65:R65,"עוד לא")),""))</f>
        <v/>
      </c>
      <c r="AM65" s="28" t="str">
        <f aca="false">IF($A65="","",IFERROR((COUNTIF(S65:Z65,"רוב הזמן")+0.5*COUNTIF(S65:Z65,"לפעמים"))/(COUNTIF(S65:Z65,"רוב הזמן")+COUNTIF(S65:Z65,"לפעמים")+COUNTIF(S65:Z65,"עדיין לא")),""))</f>
        <v/>
      </c>
      <c r="AN65" s="28" t="str">
        <f aca="false">IF($A65="","",IFERROR(1-SUMPRODUCT(ABS(((K65:R65="כן")+0.5*(K65:R65="קצת"))-((S65:Z65="רוב הזמן")+0.5*(S65:Z65="לפעמים")))*(((K65:R65="כן")+(K65:R65="קצת")+(K65:R65="עוד לא"))*((S65:Z65="רוב הזמן")+(S65:Z65="לפעמים")+(S65:Z65="עדיין לא"))))/SUMPRODUCT((((K65:R65="כן")+(K65:R65="קצת")+(K65:R65="עוד לא"))*((S65:Z65="רוב הזמן")+(S65:Z65="לפעמים")+(S65:Z65="עדיין לא")))),""))</f>
        <v/>
      </c>
      <c r="AO65" s="27" t="str">
        <f aca="false">IF($A65="","",SUMPRODUCT(((((K65:R65="כן")+0.5*(K65:R65="קצת"))-((S65:Z65="רוב הזמן")+0.5*(S65:Z65="לפעמים")))&gt;0.01)*(((K65:R65="כן")+(K65:R65="קצת")+(K65:R65="עוד לא"))*((S65:Z65="רוב הזמן")+(S65:Z65="לפעמים")+(S65:Z65="עדיין לא")))))</f>
        <v/>
      </c>
      <c r="AP65" s="27" t="str">
        <f aca="false">IF($A65="","",SUMPRODUCT(((((S65:Z65="רוב הזמן")+0.5*(S65:Z65="לפעמים"))-((K65:R65="כן")+0.5*(K65:R65="קצת")))&gt;0.01)*(((K65:R65="כן")+(K65:R65="קצת")+(K65:R65="עוד לא"))*((S65:Z65="רוב הזמן")+(S65:Z65="לפעמים")+(S65:Z65="עדיין לא")))))</f>
        <v/>
      </c>
      <c r="AQ65" s="27" t="str">
        <f aca="false">IF($A65="","",COUNTIF(AA65:AB65,"כן"))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7" t="str">
        <f aca="false">IF($A66="","",$A66&amp;"|"&amp;$C66)</f>
        <v/>
      </c>
      <c r="AG66" s="27" t="str">
        <f aca="false">IF($A66="","",IF(OR(H66="לא נבדק",H66=""),"לא נבדק",IF(AND(H66="בחר/ה בעצמו/ה",I66="כן",J66="לא"),"מלא",IF(OR(H66="בחר/ה בעצמו/ה",I66="כן"),"חלקי","עדיין לא"))))</f>
        <v/>
      </c>
      <c r="AH66" s="28" t="str">
        <f aca="false">IF($A66="","",IFERROR((COUNTIF(K66:L66,"כן")+0.5*COUNTIF(K66:L66,"קצת"))/(COUNTIF(K66:L66,"כן")+COUNTIF(K66:L66,"קצת")+COUNTIF(K66:L66,"עוד לא")),""))</f>
        <v/>
      </c>
      <c r="AI66" s="28" t="str">
        <f aca="false">IF($A66="","",IFERROR((COUNTIF(M66:N66,"כן")+0.5*COUNTIF(M66:N66,"קצת"))/(COUNTIF(M66:N66,"כן")+COUNTIF(M66:N66,"קצת")+COUNTIF(M66:N66,"עוד לא")),""))</f>
        <v/>
      </c>
      <c r="AJ66" s="28" t="str">
        <f aca="false">IF($A66="","",IFERROR((COUNTIF(O66:P66,"כן")+0.5*COUNTIF(O66:P66,"קצת"))/(COUNTIF(O66:P66,"כן")+COUNTIF(O66:P66,"קצת")+COUNTIF(O66:P66,"עוד לא")),""))</f>
        <v/>
      </c>
      <c r="AK66" s="28" t="str">
        <f aca="false">IF($A66="","",IFERROR((COUNTIF(Q66:R66,"כן")+0.5*COUNTIF(Q66:R66,"קצת"))/(COUNTIF(Q66:R66,"כן")+COUNTIF(Q66:R66,"קצת")+COUNTIF(Q66:R66,"עוד לא")),""))</f>
        <v/>
      </c>
      <c r="AL66" s="28" t="str">
        <f aca="false">IF($A66="","",IFERROR((COUNTIF(K66:R66,"כן")+0.5*COUNTIF(K66:R66,"קצת"))/(COUNTIF(K66:R66,"כן")+COUNTIF(K66:R66,"קצת")+COUNTIF(K66:R66,"עוד לא")),""))</f>
        <v/>
      </c>
      <c r="AM66" s="28" t="str">
        <f aca="false">IF($A66="","",IFERROR((COUNTIF(S66:Z66,"רוב הזמן")+0.5*COUNTIF(S66:Z66,"לפעמים"))/(COUNTIF(S66:Z66,"רוב הזמן")+COUNTIF(S66:Z66,"לפעמים")+COUNTIF(S66:Z66,"עדיין לא")),""))</f>
        <v/>
      </c>
      <c r="AN66" s="28" t="str">
        <f aca="false">IF($A66="","",IFERROR(1-SUMPRODUCT(ABS(((K66:R66="כן")+0.5*(K66:R66="קצת"))-((S66:Z66="רוב הזמן")+0.5*(S66:Z66="לפעמים")))*(((K66:R66="כן")+(K66:R66="קצת")+(K66:R66="עוד לא"))*((S66:Z66="רוב הזמן")+(S66:Z66="לפעמים")+(S66:Z66="עדיין לא"))))/SUMPRODUCT((((K66:R66="כן")+(K66:R66="קצת")+(K66:R66="עוד לא"))*((S66:Z66="רוב הזמן")+(S66:Z66="לפעמים")+(S66:Z66="עדיין לא")))),""))</f>
        <v/>
      </c>
      <c r="AO66" s="27" t="str">
        <f aca="false">IF($A66="","",SUMPRODUCT(((((K66:R66="כן")+0.5*(K66:R66="קצת"))-((S66:Z66="רוב הזמן")+0.5*(S66:Z66="לפעמים")))&gt;0.01)*(((K66:R66="כן")+(K66:R66="קצת")+(K66:R66="עוד לא"))*((S66:Z66="רוב הזמן")+(S66:Z66="לפעמים")+(S66:Z66="עדיין לא")))))</f>
        <v/>
      </c>
      <c r="AP66" s="27" t="str">
        <f aca="false">IF($A66="","",SUMPRODUCT(((((S66:Z66="רוב הזמן")+0.5*(S66:Z66="לפעמים"))-((K66:R66="כן")+0.5*(K66:R66="קצת")))&gt;0.01)*(((K66:R66="כן")+(K66:R66="קצת")+(K66:R66="עוד לא"))*((S66:Z66="רוב הזמן")+(S66:Z66="לפעמים")+(S66:Z66="עדיין לא")))))</f>
        <v/>
      </c>
      <c r="AQ66" s="27" t="str">
        <f aca="false">IF($A66="","",COUNTIF(AA66:AB66,"כן"))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7" t="str">
        <f aca="false">IF($A67="","",$A67&amp;"|"&amp;$C67)</f>
        <v/>
      </c>
      <c r="AG67" s="27" t="str">
        <f aca="false">IF($A67="","",IF(OR(H67="לא נבדק",H67=""),"לא נבדק",IF(AND(H67="בחר/ה בעצמו/ה",I67="כן",J67="לא"),"מלא",IF(OR(H67="בחר/ה בעצמו/ה",I67="כן"),"חלקי","עדיין לא"))))</f>
        <v/>
      </c>
      <c r="AH67" s="28" t="str">
        <f aca="false">IF($A67="","",IFERROR((COUNTIF(K67:L67,"כן")+0.5*COUNTIF(K67:L67,"קצת"))/(COUNTIF(K67:L67,"כן")+COUNTIF(K67:L67,"קצת")+COUNTIF(K67:L67,"עוד לא")),""))</f>
        <v/>
      </c>
      <c r="AI67" s="28" t="str">
        <f aca="false">IF($A67="","",IFERROR((COUNTIF(M67:N67,"כן")+0.5*COUNTIF(M67:N67,"קצת"))/(COUNTIF(M67:N67,"כן")+COUNTIF(M67:N67,"קצת")+COUNTIF(M67:N67,"עוד לא")),""))</f>
        <v/>
      </c>
      <c r="AJ67" s="28" t="str">
        <f aca="false">IF($A67="","",IFERROR((COUNTIF(O67:P67,"כן")+0.5*COUNTIF(O67:P67,"קצת"))/(COUNTIF(O67:P67,"כן")+COUNTIF(O67:P67,"קצת")+COUNTIF(O67:P67,"עוד לא")),""))</f>
        <v/>
      </c>
      <c r="AK67" s="28" t="str">
        <f aca="false">IF($A67="","",IFERROR((COUNTIF(Q67:R67,"כן")+0.5*COUNTIF(Q67:R67,"קצת"))/(COUNTIF(Q67:R67,"כן")+COUNTIF(Q67:R67,"קצת")+COUNTIF(Q67:R67,"עוד לא")),""))</f>
        <v/>
      </c>
      <c r="AL67" s="28" t="str">
        <f aca="false">IF($A67="","",IFERROR((COUNTIF(K67:R67,"כן")+0.5*COUNTIF(K67:R67,"קצת"))/(COUNTIF(K67:R67,"כן")+COUNTIF(K67:R67,"קצת")+COUNTIF(K67:R67,"עוד לא")),""))</f>
        <v/>
      </c>
      <c r="AM67" s="28" t="str">
        <f aca="false">IF($A67="","",IFERROR((COUNTIF(S67:Z67,"רוב הזמן")+0.5*COUNTIF(S67:Z67,"לפעמים"))/(COUNTIF(S67:Z67,"רוב הזמן")+COUNTIF(S67:Z67,"לפעמים")+COUNTIF(S67:Z67,"עדיין לא")),""))</f>
        <v/>
      </c>
      <c r="AN67" s="28" t="str">
        <f aca="false">IF($A67="","",IFERROR(1-SUMPRODUCT(ABS(((K67:R67="כן")+0.5*(K67:R67="קצת"))-((S67:Z67="רוב הזמן")+0.5*(S67:Z67="לפעמים")))*(((K67:R67="כן")+(K67:R67="קצת")+(K67:R67="עוד לא"))*((S67:Z67="רוב הזמן")+(S67:Z67="לפעמים")+(S67:Z67="עדיין לא"))))/SUMPRODUCT((((K67:R67="כן")+(K67:R67="קצת")+(K67:R67="עוד לא"))*((S67:Z67="רוב הזמן")+(S67:Z67="לפעמים")+(S67:Z67="עדיין לא")))),""))</f>
        <v/>
      </c>
      <c r="AO67" s="27" t="str">
        <f aca="false">IF($A67="","",SUMPRODUCT(((((K67:R67="כן")+0.5*(K67:R67="קצת"))-((S67:Z67="רוב הזמן")+0.5*(S67:Z67="לפעמים")))&gt;0.01)*(((K67:R67="כן")+(K67:R67="קצת")+(K67:R67="עוד לא"))*((S67:Z67="רוב הזמן")+(S67:Z67="לפעמים")+(S67:Z67="עדיין לא")))))</f>
        <v/>
      </c>
      <c r="AP67" s="27" t="str">
        <f aca="false">IF($A67="","",SUMPRODUCT(((((S67:Z67="רוב הזמן")+0.5*(S67:Z67="לפעמים"))-((K67:R67="כן")+0.5*(K67:R67="קצת")))&gt;0.01)*(((K67:R67="כן")+(K67:R67="קצת")+(K67:R67="עוד לא"))*((S67:Z67="רוב הזמן")+(S67:Z67="לפעמים")+(S67:Z67="עדיין לא")))))</f>
        <v/>
      </c>
      <c r="AQ67" s="27" t="str">
        <f aca="false">IF($A67="","",COUNTIF(AA67:AB67,"כן"))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7" t="str">
        <f aca="false">IF($A68="","",$A68&amp;"|"&amp;$C68)</f>
        <v/>
      </c>
      <c r="AG68" s="27" t="str">
        <f aca="false">IF($A68="","",IF(OR(H68="לא נבדק",H68=""),"לא נבדק",IF(AND(H68="בחר/ה בעצמו/ה",I68="כן",J68="לא"),"מלא",IF(OR(H68="בחר/ה בעצמו/ה",I68="כן"),"חלקי","עדיין לא"))))</f>
        <v/>
      </c>
      <c r="AH68" s="28" t="str">
        <f aca="false">IF($A68="","",IFERROR((COUNTIF(K68:L68,"כן")+0.5*COUNTIF(K68:L68,"קצת"))/(COUNTIF(K68:L68,"כן")+COUNTIF(K68:L68,"קצת")+COUNTIF(K68:L68,"עוד לא")),""))</f>
        <v/>
      </c>
      <c r="AI68" s="28" t="str">
        <f aca="false">IF($A68="","",IFERROR((COUNTIF(M68:N68,"כן")+0.5*COUNTIF(M68:N68,"קצת"))/(COUNTIF(M68:N68,"כן")+COUNTIF(M68:N68,"קצת")+COUNTIF(M68:N68,"עוד לא")),""))</f>
        <v/>
      </c>
      <c r="AJ68" s="28" t="str">
        <f aca="false">IF($A68="","",IFERROR((COUNTIF(O68:P68,"כן")+0.5*COUNTIF(O68:P68,"קצת"))/(COUNTIF(O68:P68,"כן")+COUNTIF(O68:P68,"קצת")+COUNTIF(O68:P68,"עוד לא")),""))</f>
        <v/>
      </c>
      <c r="AK68" s="28" t="str">
        <f aca="false">IF($A68="","",IFERROR((COUNTIF(Q68:R68,"כן")+0.5*COUNTIF(Q68:R68,"קצת"))/(COUNTIF(Q68:R68,"כן")+COUNTIF(Q68:R68,"קצת")+COUNTIF(Q68:R68,"עוד לא")),""))</f>
        <v/>
      </c>
      <c r="AL68" s="28" t="str">
        <f aca="false">IF($A68="","",IFERROR((COUNTIF(K68:R68,"כן")+0.5*COUNTIF(K68:R68,"קצת"))/(COUNTIF(K68:R68,"כן")+COUNTIF(K68:R68,"קצת")+COUNTIF(K68:R68,"עוד לא")),""))</f>
        <v/>
      </c>
      <c r="AM68" s="28" t="str">
        <f aca="false">IF($A68="","",IFERROR((COUNTIF(S68:Z68,"רוב הזמן")+0.5*COUNTIF(S68:Z68,"לפעמים"))/(COUNTIF(S68:Z68,"רוב הזמן")+COUNTIF(S68:Z68,"לפעמים")+COUNTIF(S68:Z68,"עדיין לא")),""))</f>
        <v/>
      </c>
      <c r="AN68" s="28" t="str">
        <f aca="false">IF($A68="","",IFERROR(1-SUMPRODUCT(ABS(((K68:R68="כן")+0.5*(K68:R68="קצת"))-((S68:Z68="רוב הזמן")+0.5*(S68:Z68="לפעמים")))*(((K68:R68="כן")+(K68:R68="קצת")+(K68:R68="עוד לא"))*((S68:Z68="רוב הזמן")+(S68:Z68="לפעמים")+(S68:Z68="עדיין לא"))))/SUMPRODUCT((((K68:R68="כן")+(K68:R68="קצת")+(K68:R68="עוד לא"))*((S68:Z68="רוב הזמן")+(S68:Z68="לפעמים")+(S68:Z68="עדיין לא")))),""))</f>
        <v/>
      </c>
      <c r="AO68" s="27" t="str">
        <f aca="false">IF($A68="","",SUMPRODUCT(((((K68:R68="כן")+0.5*(K68:R68="קצת"))-((S68:Z68="רוב הזמן")+0.5*(S68:Z68="לפעמים")))&gt;0.01)*(((K68:R68="כן")+(K68:R68="קצת")+(K68:R68="עוד לא"))*((S68:Z68="רוב הזמן")+(S68:Z68="לפעמים")+(S68:Z68="עדיין לא")))))</f>
        <v/>
      </c>
      <c r="AP68" s="27" t="str">
        <f aca="false">IF($A68="","",SUMPRODUCT(((((S68:Z68="רוב הזמן")+0.5*(S68:Z68="לפעמים"))-((K68:R68="כן")+0.5*(K68:R68="קצת")))&gt;0.01)*(((K68:R68="כן")+(K68:R68="קצת")+(K68:R68="עוד לא"))*((S68:Z68="רוב הזמן")+(S68:Z68="לפעמים")+(S68:Z68="עדיין לא")))))</f>
        <v/>
      </c>
      <c r="AQ68" s="27" t="str">
        <f aca="false">IF($A68="","",COUNTIF(AA68:AB68,"כן"))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7" t="str">
        <f aca="false">IF($A69="","",$A69&amp;"|"&amp;$C69)</f>
        <v/>
      </c>
      <c r="AG69" s="27" t="str">
        <f aca="false">IF($A69="","",IF(OR(H69="לא נבדק",H69=""),"לא נבדק",IF(AND(H69="בחר/ה בעצמו/ה",I69="כן",J69="לא"),"מלא",IF(OR(H69="בחר/ה בעצמו/ה",I69="כן"),"חלקי","עדיין לא"))))</f>
        <v/>
      </c>
      <c r="AH69" s="28" t="str">
        <f aca="false">IF($A69="","",IFERROR((COUNTIF(K69:L69,"כן")+0.5*COUNTIF(K69:L69,"קצת"))/(COUNTIF(K69:L69,"כן")+COUNTIF(K69:L69,"קצת")+COUNTIF(K69:L69,"עוד לא")),""))</f>
        <v/>
      </c>
      <c r="AI69" s="28" t="str">
        <f aca="false">IF($A69="","",IFERROR((COUNTIF(M69:N69,"כן")+0.5*COUNTIF(M69:N69,"קצת"))/(COUNTIF(M69:N69,"כן")+COUNTIF(M69:N69,"קצת")+COUNTIF(M69:N69,"עוד לא")),""))</f>
        <v/>
      </c>
      <c r="AJ69" s="28" t="str">
        <f aca="false">IF($A69="","",IFERROR((COUNTIF(O69:P69,"כן")+0.5*COUNTIF(O69:P69,"קצת"))/(COUNTIF(O69:P69,"כן")+COUNTIF(O69:P69,"קצת")+COUNTIF(O69:P69,"עוד לא")),""))</f>
        <v/>
      </c>
      <c r="AK69" s="28" t="str">
        <f aca="false">IF($A69="","",IFERROR((COUNTIF(Q69:R69,"כן")+0.5*COUNTIF(Q69:R69,"קצת"))/(COUNTIF(Q69:R69,"כן")+COUNTIF(Q69:R69,"קצת")+COUNTIF(Q69:R69,"עוד לא")),""))</f>
        <v/>
      </c>
      <c r="AL69" s="28" t="str">
        <f aca="false">IF($A69="","",IFERROR((COUNTIF(K69:R69,"כן")+0.5*COUNTIF(K69:R69,"קצת"))/(COUNTIF(K69:R69,"כן")+COUNTIF(K69:R69,"קצת")+COUNTIF(K69:R69,"עוד לא")),""))</f>
        <v/>
      </c>
      <c r="AM69" s="28" t="str">
        <f aca="false">IF($A69="","",IFERROR((COUNTIF(S69:Z69,"רוב הזמן")+0.5*COUNTIF(S69:Z69,"לפעמים"))/(COUNTIF(S69:Z69,"רוב הזמן")+COUNTIF(S69:Z69,"לפעמים")+COUNTIF(S69:Z69,"עדיין לא")),""))</f>
        <v/>
      </c>
      <c r="AN69" s="28" t="str">
        <f aca="false">IF($A69="","",IFERROR(1-SUMPRODUCT(ABS(((K69:R69="כן")+0.5*(K69:R69="קצת"))-((S69:Z69="רוב הזמן")+0.5*(S69:Z69="לפעמים")))*(((K69:R69="כן")+(K69:R69="קצת")+(K69:R69="עוד לא"))*((S69:Z69="רוב הזמן")+(S69:Z69="לפעמים")+(S69:Z69="עדיין לא"))))/SUMPRODUCT((((K69:R69="כן")+(K69:R69="קצת")+(K69:R69="עוד לא"))*((S69:Z69="רוב הזמן")+(S69:Z69="לפעמים")+(S69:Z69="עדיין לא")))),""))</f>
        <v/>
      </c>
      <c r="AO69" s="27" t="str">
        <f aca="false">IF($A69="","",SUMPRODUCT(((((K69:R69="כן")+0.5*(K69:R69="קצת"))-((S69:Z69="רוב הזמן")+0.5*(S69:Z69="לפעמים")))&gt;0.01)*(((K69:R69="כן")+(K69:R69="קצת")+(K69:R69="עוד לא"))*((S69:Z69="רוב הזמן")+(S69:Z69="לפעמים")+(S69:Z69="עדיין לא")))))</f>
        <v/>
      </c>
      <c r="AP69" s="27" t="str">
        <f aca="false">IF($A69="","",SUMPRODUCT(((((S69:Z69="רוב הזמן")+0.5*(S69:Z69="לפעמים"))-((K69:R69="כן")+0.5*(K69:R69="קצת")))&gt;0.01)*(((K69:R69="כן")+(K69:R69="קצת")+(K69:R69="עוד לא"))*((S69:Z69="רוב הזמן")+(S69:Z69="לפעמים")+(S69:Z69="עדיין לא")))))</f>
        <v/>
      </c>
      <c r="AQ69" s="27" t="str">
        <f aca="false">IF($A69="","",COUNTIF(AA69:AB69,"כן"))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7" t="str">
        <f aca="false">IF($A70="","",$A70&amp;"|"&amp;$C70)</f>
        <v/>
      </c>
      <c r="AG70" s="27" t="str">
        <f aca="false">IF($A70="","",IF(OR(H70="לא נבדק",H70=""),"לא נבדק",IF(AND(H70="בחר/ה בעצמו/ה",I70="כן",J70="לא"),"מלא",IF(OR(H70="בחר/ה בעצמו/ה",I70="כן"),"חלקי","עדיין לא"))))</f>
        <v/>
      </c>
      <c r="AH70" s="28" t="str">
        <f aca="false">IF($A70="","",IFERROR((COUNTIF(K70:L70,"כן")+0.5*COUNTIF(K70:L70,"קצת"))/(COUNTIF(K70:L70,"כן")+COUNTIF(K70:L70,"קצת")+COUNTIF(K70:L70,"עוד לא")),""))</f>
        <v/>
      </c>
      <c r="AI70" s="28" t="str">
        <f aca="false">IF($A70="","",IFERROR((COUNTIF(M70:N70,"כן")+0.5*COUNTIF(M70:N70,"קצת"))/(COUNTIF(M70:N70,"כן")+COUNTIF(M70:N70,"קצת")+COUNTIF(M70:N70,"עוד לא")),""))</f>
        <v/>
      </c>
      <c r="AJ70" s="28" t="str">
        <f aca="false">IF($A70="","",IFERROR((COUNTIF(O70:P70,"כן")+0.5*COUNTIF(O70:P70,"קצת"))/(COUNTIF(O70:P70,"כן")+COUNTIF(O70:P70,"קצת")+COUNTIF(O70:P70,"עוד לא")),""))</f>
        <v/>
      </c>
      <c r="AK70" s="28" t="str">
        <f aca="false">IF($A70="","",IFERROR((COUNTIF(Q70:R70,"כן")+0.5*COUNTIF(Q70:R70,"קצת"))/(COUNTIF(Q70:R70,"כן")+COUNTIF(Q70:R70,"קצת")+COUNTIF(Q70:R70,"עוד לא")),""))</f>
        <v/>
      </c>
      <c r="AL70" s="28" t="str">
        <f aca="false">IF($A70="","",IFERROR((COUNTIF(K70:R70,"כן")+0.5*COUNTIF(K70:R70,"קצת"))/(COUNTIF(K70:R70,"כן")+COUNTIF(K70:R70,"קצת")+COUNTIF(K70:R70,"עוד לא")),""))</f>
        <v/>
      </c>
      <c r="AM70" s="28" t="str">
        <f aca="false">IF($A70="","",IFERROR((COUNTIF(S70:Z70,"רוב הזמן")+0.5*COUNTIF(S70:Z70,"לפעמים"))/(COUNTIF(S70:Z70,"רוב הזמן")+COUNTIF(S70:Z70,"לפעמים")+COUNTIF(S70:Z70,"עדיין לא")),""))</f>
        <v/>
      </c>
      <c r="AN70" s="28" t="str">
        <f aca="false">IF($A70="","",IFERROR(1-SUMPRODUCT(ABS(((K70:R70="כן")+0.5*(K70:R70="קצת"))-((S70:Z70="רוב הזמן")+0.5*(S70:Z70="לפעמים")))*(((K70:R70="כן")+(K70:R70="קצת")+(K70:R70="עוד לא"))*((S70:Z70="רוב הזמן")+(S70:Z70="לפעמים")+(S70:Z70="עדיין לא"))))/SUMPRODUCT((((K70:R70="כן")+(K70:R70="קצת")+(K70:R70="עוד לא"))*((S70:Z70="רוב הזמן")+(S70:Z70="לפעמים")+(S70:Z70="עדיין לא")))),""))</f>
        <v/>
      </c>
      <c r="AO70" s="27" t="str">
        <f aca="false">IF($A70="","",SUMPRODUCT(((((K70:R70="כן")+0.5*(K70:R70="קצת"))-((S70:Z70="רוב הזמן")+0.5*(S70:Z70="לפעמים")))&gt;0.01)*(((K70:R70="כן")+(K70:R70="קצת")+(K70:R70="עוד לא"))*((S70:Z70="רוב הזמן")+(S70:Z70="לפעמים")+(S70:Z70="עדיין לא")))))</f>
        <v/>
      </c>
      <c r="AP70" s="27" t="str">
        <f aca="false">IF($A70="","",SUMPRODUCT(((((S70:Z70="רוב הזמן")+0.5*(S70:Z70="לפעמים"))-((K70:R70="כן")+0.5*(K70:R70="קצת")))&gt;0.01)*(((K70:R70="כן")+(K70:R70="קצת")+(K70:R70="עוד לא"))*((S70:Z70="רוב הזמן")+(S70:Z70="לפעמים")+(S70:Z70="עדיין לא")))))</f>
        <v/>
      </c>
      <c r="AQ70" s="27" t="str">
        <f aca="false">IF($A70="","",COUNTIF(AA70:AB70,"כן"))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7" t="str">
        <f aca="false">IF($A71="","",$A71&amp;"|"&amp;$C71)</f>
        <v/>
      </c>
      <c r="AG71" s="27" t="str">
        <f aca="false">IF($A71="","",IF(OR(H71="לא נבדק",H71=""),"לא נבדק",IF(AND(H71="בחר/ה בעצמו/ה",I71="כן",J71="לא"),"מלא",IF(OR(H71="בחר/ה בעצמו/ה",I71="כן"),"חלקי","עדיין לא"))))</f>
        <v/>
      </c>
      <c r="AH71" s="28" t="str">
        <f aca="false">IF($A71="","",IFERROR((COUNTIF(K71:L71,"כן")+0.5*COUNTIF(K71:L71,"קצת"))/(COUNTIF(K71:L71,"כן")+COUNTIF(K71:L71,"קצת")+COUNTIF(K71:L71,"עוד לא")),""))</f>
        <v/>
      </c>
      <c r="AI71" s="28" t="str">
        <f aca="false">IF($A71="","",IFERROR((COUNTIF(M71:N71,"כן")+0.5*COUNTIF(M71:N71,"קצת"))/(COUNTIF(M71:N71,"כן")+COUNTIF(M71:N71,"קצת")+COUNTIF(M71:N71,"עוד לא")),""))</f>
        <v/>
      </c>
      <c r="AJ71" s="28" t="str">
        <f aca="false">IF($A71="","",IFERROR((COUNTIF(O71:P71,"כן")+0.5*COUNTIF(O71:P71,"קצת"))/(COUNTIF(O71:P71,"כן")+COUNTIF(O71:P71,"קצת")+COUNTIF(O71:P71,"עוד לא")),""))</f>
        <v/>
      </c>
      <c r="AK71" s="28" t="str">
        <f aca="false">IF($A71="","",IFERROR((COUNTIF(Q71:R71,"כן")+0.5*COUNTIF(Q71:R71,"קצת"))/(COUNTIF(Q71:R71,"כן")+COUNTIF(Q71:R71,"קצת")+COUNTIF(Q71:R71,"עוד לא")),""))</f>
        <v/>
      </c>
      <c r="AL71" s="28" t="str">
        <f aca="false">IF($A71="","",IFERROR((COUNTIF(K71:R71,"כן")+0.5*COUNTIF(K71:R71,"קצת"))/(COUNTIF(K71:R71,"כן")+COUNTIF(K71:R71,"קצת")+COUNTIF(K71:R71,"עוד לא")),""))</f>
        <v/>
      </c>
      <c r="AM71" s="28" t="str">
        <f aca="false">IF($A71="","",IFERROR((COUNTIF(S71:Z71,"רוב הזמן")+0.5*COUNTIF(S71:Z71,"לפעמים"))/(COUNTIF(S71:Z71,"רוב הזמן")+COUNTIF(S71:Z71,"לפעמים")+COUNTIF(S71:Z71,"עדיין לא")),""))</f>
        <v/>
      </c>
      <c r="AN71" s="28" t="str">
        <f aca="false">IF($A71="","",IFERROR(1-SUMPRODUCT(ABS(((K71:R71="כן")+0.5*(K71:R71="קצת"))-((S71:Z71="רוב הזמן")+0.5*(S71:Z71="לפעמים")))*(((K71:R71="כן")+(K71:R71="קצת")+(K71:R71="עוד לא"))*((S71:Z71="רוב הזמן")+(S71:Z71="לפעמים")+(S71:Z71="עדיין לא"))))/SUMPRODUCT((((K71:R71="כן")+(K71:R71="קצת")+(K71:R71="עוד לא"))*((S71:Z71="רוב הזמן")+(S71:Z71="לפעמים")+(S71:Z71="עדיין לא")))),""))</f>
        <v/>
      </c>
      <c r="AO71" s="27" t="str">
        <f aca="false">IF($A71="","",SUMPRODUCT(((((K71:R71="כן")+0.5*(K71:R71="קצת"))-((S71:Z71="רוב הזמן")+0.5*(S71:Z71="לפעמים")))&gt;0.01)*(((K71:R71="כן")+(K71:R71="קצת")+(K71:R71="עוד לא"))*((S71:Z71="רוב הזמן")+(S71:Z71="לפעמים")+(S71:Z71="עדיין לא")))))</f>
        <v/>
      </c>
      <c r="AP71" s="27" t="str">
        <f aca="false">IF($A71="","",SUMPRODUCT(((((S71:Z71="רוב הזמן")+0.5*(S71:Z71="לפעמים"))-((K71:R71="כן")+0.5*(K71:R71="קצת")))&gt;0.01)*(((K71:R71="כן")+(K71:R71="קצת")+(K71:R71="עוד לא"))*((S71:Z71="רוב הזמן")+(S71:Z71="לפעמים")+(S71:Z71="עדיין לא")))))</f>
        <v/>
      </c>
      <c r="AQ71" s="27" t="str">
        <f aca="false">IF($A71="","",COUNTIF(AA71:AB71,"כן"))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7" t="str">
        <f aca="false">IF($A72="","",$A72&amp;"|"&amp;$C72)</f>
        <v/>
      </c>
      <c r="AG72" s="27" t="str">
        <f aca="false">IF($A72="","",IF(OR(H72="לא נבדק",H72=""),"לא נבדק",IF(AND(H72="בחר/ה בעצמו/ה",I72="כן",J72="לא"),"מלא",IF(OR(H72="בחר/ה בעצמו/ה",I72="כן"),"חלקי","עדיין לא"))))</f>
        <v/>
      </c>
      <c r="AH72" s="28" t="str">
        <f aca="false">IF($A72="","",IFERROR((COUNTIF(K72:L72,"כן")+0.5*COUNTIF(K72:L72,"קצת"))/(COUNTIF(K72:L72,"כן")+COUNTIF(K72:L72,"קצת")+COUNTIF(K72:L72,"עוד לא")),""))</f>
        <v/>
      </c>
      <c r="AI72" s="28" t="str">
        <f aca="false">IF($A72="","",IFERROR((COUNTIF(M72:N72,"כן")+0.5*COUNTIF(M72:N72,"קצת"))/(COUNTIF(M72:N72,"כן")+COUNTIF(M72:N72,"קצת")+COUNTIF(M72:N72,"עוד לא")),""))</f>
        <v/>
      </c>
      <c r="AJ72" s="28" t="str">
        <f aca="false">IF($A72="","",IFERROR((COUNTIF(O72:P72,"כן")+0.5*COUNTIF(O72:P72,"קצת"))/(COUNTIF(O72:P72,"כן")+COUNTIF(O72:P72,"קצת")+COUNTIF(O72:P72,"עוד לא")),""))</f>
        <v/>
      </c>
      <c r="AK72" s="28" t="str">
        <f aca="false">IF($A72="","",IFERROR((COUNTIF(Q72:R72,"כן")+0.5*COUNTIF(Q72:R72,"קצת"))/(COUNTIF(Q72:R72,"כן")+COUNTIF(Q72:R72,"קצת")+COUNTIF(Q72:R72,"עוד לא")),""))</f>
        <v/>
      </c>
      <c r="AL72" s="28" t="str">
        <f aca="false">IF($A72="","",IFERROR((COUNTIF(K72:R72,"כן")+0.5*COUNTIF(K72:R72,"קצת"))/(COUNTIF(K72:R72,"כן")+COUNTIF(K72:R72,"קצת")+COUNTIF(K72:R72,"עוד לא")),""))</f>
        <v/>
      </c>
      <c r="AM72" s="28" t="str">
        <f aca="false">IF($A72="","",IFERROR((COUNTIF(S72:Z72,"רוב הזמן")+0.5*COUNTIF(S72:Z72,"לפעמים"))/(COUNTIF(S72:Z72,"רוב הזמן")+COUNTIF(S72:Z72,"לפעמים")+COUNTIF(S72:Z72,"עדיין לא")),""))</f>
        <v/>
      </c>
      <c r="AN72" s="28" t="str">
        <f aca="false">IF($A72="","",IFERROR(1-SUMPRODUCT(ABS(((K72:R72="כן")+0.5*(K72:R72="קצת"))-((S72:Z72="רוב הזמן")+0.5*(S72:Z72="לפעמים")))*(((K72:R72="כן")+(K72:R72="קצת")+(K72:R72="עוד לא"))*((S72:Z72="רוב הזמן")+(S72:Z72="לפעמים")+(S72:Z72="עדיין לא"))))/SUMPRODUCT((((K72:R72="כן")+(K72:R72="קצת")+(K72:R72="עוד לא"))*((S72:Z72="רוב הזמן")+(S72:Z72="לפעמים")+(S72:Z72="עדיין לא")))),""))</f>
        <v/>
      </c>
      <c r="AO72" s="27" t="str">
        <f aca="false">IF($A72="","",SUMPRODUCT(((((K72:R72="כן")+0.5*(K72:R72="קצת"))-((S72:Z72="רוב הזמן")+0.5*(S72:Z72="לפעמים")))&gt;0.01)*(((K72:R72="כן")+(K72:R72="קצת")+(K72:R72="עוד לא"))*((S72:Z72="רוב הזמן")+(S72:Z72="לפעמים")+(S72:Z72="עדיין לא")))))</f>
        <v/>
      </c>
      <c r="AP72" s="27" t="str">
        <f aca="false">IF($A72="","",SUMPRODUCT(((((S72:Z72="רוב הזמן")+0.5*(S72:Z72="לפעמים"))-((K72:R72="כן")+0.5*(K72:R72="קצת")))&gt;0.01)*(((K72:R72="כן")+(K72:R72="קצת")+(K72:R72="עוד לא"))*((S72:Z72="רוב הזמן")+(S72:Z72="לפעמים")+(S72:Z72="עדיין לא")))))</f>
        <v/>
      </c>
      <c r="AQ72" s="27" t="str">
        <f aca="false">IF($A72="","",COUNTIF(AA72:AB72,"כן"))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7" t="str">
        <f aca="false">IF($A73="","",$A73&amp;"|"&amp;$C73)</f>
        <v/>
      </c>
      <c r="AG73" s="27" t="str">
        <f aca="false">IF($A73="","",IF(OR(H73="לא נבדק",H73=""),"לא נבדק",IF(AND(H73="בחר/ה בעצמו/ה",I73="כן",J73="לא"),"מלא",IF(OR(H73="בחר/ה בעצמו/ה",I73="כן"),"חלקי","עדיין לא"))))</f>
        <v/>
      </c>
      <c r="AH73" s="28" t="str">
        <f aca="false">IF($A73="","",IFERROR((COUNTIF(K73:L73,"כן")+0.5*COUNTIF(K73:L73,"קצת"))/(COUNTIF(K73:L73,"כן")+COUNTIF(K73:L73,"קצת")+COUNTIF(K73:L73,"עוד לא")),""))</f>
        <v/>
      </c>
      <c r="AI73" s="28" t="str">
        <f aca="false">IF($A73="","",IFERROR((COUNTIF(M73:N73,"כן")+0.5*COUNTIF(M73:N73,"קצת"))/(COUNTIF(M73:N73,"כן")+COUNTIF(M73:N73,"קצת")+COUNTIF(M73:N73,"עוד לא")),""))</f>
        <v/>
      </c>
      <c r="AJ73" s="28" t="str">
        <f aca="false">IF($A73="","",IFERROR((COUNTIF(O73:P73,"כן")+0.5*COUNTIF(O73:P73,"קצת"))/(COUNTIF(O73:P73,"כן")+COUNTIF(O73:P73,"קצת")+COUNTIF(O73:P73,"עוד לא")),""))</f>
        <v/>
      </c>
      <c r="AK73" s="28" t="str">
        <f aca="false">IF($A73="","",IFERROR((COUNTIF(Q73:R73,"כן")+0.5*COUNTIF(Q73:R73,"קצת"))/(COUNTIF(Q73:R73,"כן")+COUNTIF(Q73:R73,"קצת")+COUNTIF(Q73:R73,"עוד לא")),""))</f>
        <v/>
      </c>
      <c r="AL73" s="28" t="str">
        <f aca="false">IF($A73="","",IFERROR((COUNTIF(K73:R73,"כן")+0.5*COUNTIF(K73:R73,"קצת"))/(COUNTIF(K73:R73,"כן")+COUNTIF(K73:R73,"קצת")+COUNTIF(K73:R73,"עוד לא")),""))</f>
        <v/>
      </c>
      <c r="AM73" s="28" t="str">
        <f aca="false">IF($A73="","",IFERROR((COUNTIF(S73:Z73,"רוב הזמן")+0.5*COUNTIF(S73:Z73,"לפעמים"))/(COUNTIF(S73:Z73,"רוב הזמן")+COUNTIF(S73:Z73,"לפעמים")+COUNTIF(S73:Z73,"עדיין לא")),""))</f>
        <v/>
      </c>
      <c r="AN73" s="28" t="str">
        <f aca="false">IF($A73="","",IFERROR(1-SUMPRODUCT(ABS(((K73:R73="כן")+0.5*(K73:R73="קצת"))-((S73:Z73="רוב הזמן")+0.5*(S73:Z73="לפעמים")))*(((K73:R73="כן")+(K73:R73="קצת")+(K73:R73="עוד לא"))*((S73:Z73="רוב הזמן")+(S73:Z73="לפעמים")+(S73:Z73="עדיין לא"))))/SUMPRODUCT((((K73:R73="כן")+(K73:R73="קצת")+(K73:R73="עוד לא"))*((S73:Z73="רוב הזמן")+(S73:Z73="לפעמים")+(S73:Z73="עדיין לא")))),""))</f>
        <v/>
      </c>
      <c r="AO73" s="27" t="str">
        <f aca="false">IF($A73="","",SUMPRODUCT(((((K73:R73="כן")+0.5*(K73:R73="קצת"))-((S73:Z73="רוב הזמן")+0.5*(S73:Z73="לפעמים")))&gt;0.01)*(((K73:R73="כן")+(K73:R73="קצת")+(K73:R73="עוד לא"))*((S73:Z73="רוב הזמן")+(S73:Z73="לפעמים")+(S73:Z73="עדיין לא")))))</f>
        <v/>
      </c>
      <c r="AP73" s="27" t="str">
        <f aca="false">IF($A73="","",SUMPRODUCT(((((S73:Z73="רוב הזמן")+0.5*(S73:Z73="לפעמים"))-((K73:R73="כן")+0.5*(K73:R73="קצת")))&gt;0.01)*(((K73:R73="כן")+(K73:R73="קצת")+(K73:R73="עוד לא"))*((S73:Z73="רוב הזמן")+(S73:Z73="לפעמים")+(S73:Z73="עדיין לא")))))</f>
        <v/>
      </c>
      <c r="AQ73" s="27" t="str">
        <f aca="false">IF($A73="","",COUNTIF(AA73:AB73,"כן"))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7" t="str">
        <f aca="false">IF($A74="","",$A74&amp;"|"&amp;$C74)</f>
        <v/>
      </c>
      <c r="AG74" s="27" t="str">
        <f aca="false">IF($A74="","",IF(OR(H74="לא נבדק",H74=""),"לא נבדק",IF(AND(H74="בחר/ה בעצמו/ה",I74="כן",J74="לא"),"מלא",IF(OR(H74="בחר/ה בעצמו/ה",I74="כן"),"חלקי","עדיין לא"))))</f>
        <v/>
      </c>
      <c r="AH74" s="28" t="str">
        <f aca="false">IF($A74="","",IFERROR((COUNTIF(K74:L74,"כן")+0.5*COUNTIF(K74:L74,"קצת"))/(COUNTIF(K74:L74,"כן")+COUNTIF(K74:L74,"קצת")+COUNTIF(K74:L74,"עוד לא")),""))</f>
        <v/>
      </c>
      <c r="AI74" s="28" t="str">
        <f aca="false">IF($A74="","",IFERROR((COUNTIF(M74:N74,"כן")+0.5*COUNTIF(M74:N74,"קצת"))/(COUNTIF(M74:N74,"כן")+COUNTIF(M74:N74,"קצת")+COUNTIF(M74:N74,"עוד לא")),""))</f>
        <v/>
      </c>
      <c r="AJ74" s="28" t="str">
        <f aca="false">IF($A74="","",IFERROR((COUNTIF(O74:P74,"כן")+0.5*COUNTIF(O74:P74,"קצת"))/(COUNTIF(O74:P74,"כן")+COUNTIF(O74:P74,"קצת")+COUNTIF(O74:P74,"עוד לא")),""))</f>
        <v/>
      </c>
      <c r="AK74" s="28" t="str">
        <f aca="false">IF($A74="","",IFERROR((COUNTIF(Q74:R74,"כן")+0.5*COUNTIF(Q74:R74,"קצת"))/(COUNTIF(Q74:R74,"כן")+COUNTIF(Q74:R74,"קצת")+COUNTIF(Q74:R74,"עוד לא")),""))</f>
        <v/>
      </c>
      <c r="AL74" s="28" t="str">
        <f aca="false">IF($A74="","",IFERROR((COUNTIF(K74:R74,"כן")+0.5*COUNTIF(K74:R74,"קצת"))/(COUNTIF(K74:R74,"כן")+COUNTIF(K74:R74,"קצת")+COUNTIF(K74:R74,"עוד לא")),""))</f>
        <v/>
      </c>
      <c r="AM74" s="28" t="str">
        <f aca="false">IF($A74="","",IFERROR((COUNTIF(S74:Z74,"רוב הזמן")+0.5*COUNTIF(S74:Z74,"לפעמים"))/(COUNTIF(S74:Z74,"רוב הזמן")+COUNTIF(S74:Z74,"לפעמים")+COUNTIF(S74:Z74,"עדיין לא")),""))</f>
        <v/>
      </c>
      <c r="AN74" s="28" t="str">
        <f aca="false">IF($A74="","",IFERROR(1-SUMPRODUCT(ABS(((K74:R74="כן")+0.5*(K74:R74="קצת"))-((S74:Z74="רוב הזמן")+0.5*(S74:Z74="לפעמים")))*(((K74:R74="כן")+(K74:R74="קצת")+(K74:R74="עוד לא"))*((S74:Z74="רוב הזמן")+(S74:Z74="לפעמים")+(S74:Z74="עדיין לא"))))/SUMPRODUCT((((K74:R74="כן")+(K74:R74="קצת")+(K74:R74="עוד לא"))*((S74:Z74="רוב הזמן")+(S74:Z74="לפעמים")+(S74:Z74="עדיין לא")))),""))</f>
        <v/>
      </c>
      <c r="AO74" s="27" t="str">
        <f aca="false">IF($A74="","",SUMPRODUCT(((((K74:R74="כן")+0.5*(K74:R74="קצת"))-((S74:Z74="רוב הזמן")+0.5*(S74:Z74="לפעמים")))&gt;0.01)*(((K74:R74="כן")+(K74:R74="קצת")+(K74:R74="עוד לא"))*((S74:Z74="רוב הזמן")+(S74:Z74="לפעמים")+(S74:Z74="עדיין לא")))))</f>
        <v/>
      </c>
      <c r="AP74" s="27" t="str">
        <f aca="false">IF($A74="","",SUMPRODUCT(((((S74:Z74="רוב הזמן")+0.5*(S74:Z74="לפעמים"))-((K74:R74="כן")+0.5*(K74:R74="קצת")))&gt;0.01)*(((K74:R74="כן")+(K74:R74="קצת")+(K74:R74="עוד לא"))*((S74:Z74="רוב הזמן")+(S74:Z74="לפעמים")+(S74:Z74="עדיין לא")))))</f>
        <v/>
      </c>
      <c r="AQ74" s="27" t="str">
        <f aca="false">IF($A74="","",COUNTIF(AA74:AB74,"כן"))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7" t="str">
        <f aca="false">IF($A75="","",$A75&amp;"|"&amp;$C75)</f>
        <v/>
      </c>
      <c r="AG75" s="27" t="str">
        <f aca="false">IF($A75="","",IF(OR(H75="לא נבדק",H75=""),"לא נבדק",IF(AND(H75="בחר/ה בעצמו/ה",I75="כן",J75="לא"),"מלא",IF(OR(H75="בחר/ה בעצמו/ה",I75="כן"),"חלקי","עדיין לא"))))</f>
        <v/>
      </c>
      <c r="AH75" s="28" t="str">
        <f aca="false">IF($A75="","",IFERROR((COUNTIF(K75:L75,"כן")+0.5*COUNTIF(K75:L75,"קצת"))/(COUNTIF(K75:L75,"כן")+COUNTIF(K75:L75,"קצת")+COUNTIF(K75:L75,"עוד לא")),""))</f>
        <v/>
      </c>
      <c r="AI75" s="28" t="str">
        <f aca="false">IF($A75="","",IFERROR((COUNTIF(M75:N75,"כן")+0.5*COUNTIF(M75:N75,"קצת"))/(COUNTIF(M75:N75,"כן")+COUNTIF(M75:N75,"קצת")+COUNTIF(M75:N75,"עוד לא")),""))</f>
        <v/>
      </c>
      <c r="AJ75" s="28" t="str">
        <f aca="false">IF($A75="","",IFERROR((COUNTIF(O75:P75,"כן")+0.5*COUNTIF(O75:P75,"קצת"))/(COUNTIF(O75:P75,"כן")+COUNTIF(O75:P75,"קצת")+COUNTIF(O75:P75,"עוד לא")),""))</f>
        <v/>
      </c>
      <c r="AK75" s="28" t="str">
        <f aca="false">IF($A75="","",IFERROR((COUNTIF(Q75:R75,"כן")+0.5*COUNTIF(Q75:R75,"קצת"))/(COUNTIF(Q75:R75,"כן")+COUNTIF(Q75:R75,"קצת")+COUNTIF(Q75:R75,"עוד לא")),""))</f>
        <v/>
      </c>
      <c r="AL75" s="28" t="str">
        <f aca="false">IF($A75="","",IFERROR((COUNTIF(K75:R75,"כן")+0.5*COUNTIF(K75:R75,"קצת"))/(COUNTIF(K75:R75,"כן")+COUNTIF(K75:R75,"קצת")+COUNTIF(K75:R75,"עוד לא")),""))</f>
        <v/>
      </c>
      <c r="AM75" s="28" t="str">
        <f aca="false">IF($A75="","",IFERROR((COUNTIF(S75:Z75,"רוב הזמן")+0.5*COUNTIF(S75:Z75,"לפעמים"))/(COUNTIF(S75:Z75,"רוב הזמן")+COUNTIF(S75:Z75,"לפעמים")+COUNTIF(S75:Z75,"עדיין לא")),""))</f>
        <v/>
      </c>
      <c r="AN75" s="28" t="str">
        <f aca="false">IF($A75="","",IFERROR(1-SUMPRODUCT(ABS(((K75:R75="כן")+0.5*(K75:R75="קצת"))-((S75:Z75="רוב הזמן")+0.5*(S75:Z75="לפעמים")))*(((K75:R75="כן")+(K75:R75="קצת")+(K75:R75="עוד לא"))*((S75:Z75="רוב הזמן")+(S75:Z75="לפעמים")+(S75:Z75="עדיין לא"))))/SUMPRODUCT((((K75:R75="כן")+(K75:R75="קצת")+(K75:R75="עוד לא"))*((S75:Z75="רוב הזמן")+(S75:Z75="לפעמים")+(S75:Z75="עדיין לא")))),""))</f>
        <v/>
      </c>
      <c r="AO75" s="27" t="str">
        <f aca="false">IF($A75="","",SUMPRODUCT(((((K75:R75="כן")+0.5*(K75:R75="קצת"))-((S75:Z75="רוב הזמן")+0.5*(S75:Z75="לפעמים")))&gt;0.01)*(((K75:R75="כן")+(K75:R75="קצת")+(K75:R75="עוד לא"))*((S75:Z75="רוב הזמן")+(S75:Z75="לפעמים")+(S75:Z75="עדיין לא")))))</f>
        <v/>
      </c>
      <c r="AP75" s="27" t="str">
        <f aca="false">IF($A75="","",SUMPRODUCT(((((S75:Z75="רוב הזמן")+0.5*(S75:Z75="לפעמים"))-((K75:R75="כן")+0.5*(K75:R75="קצת")))&gt;0.01)*(((K75:R75="כן")+(K75:R75="קצת")+(K75:R75="עוד לא"))*((S75:Z75="רוב הזמן")+(S75:Z75="לפעמים")+(S75:Z75="עדיין לא")))))</f>
        <v/>
      </c>
      <c r="AQ75" s="27" t="str">
        <f aca="false">IF($A75="","",COUNTIF(AA75:AB75,"כן"))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7" t="str">
        <f aca="false">IF($A76="","",$A76&amp;"|"&amp;$C76)</f>
        <v/>
      </c>
      <c r="AG76" s="27" t="str">
        <f aca="false">IF($A76="","",IF(OR(H76="לא נבדק",H76=""),"לא נבדק",IF(AND(H76="בחר/ה בעצמו/ה",I76="כן",J76="לא"),"מלא",IF(OR(H76="בחר/ה בעצמו/ה",I76="כן"),"חלקי","עדיין לא"))))</f>
        <v/>
      </c>
      <c r="AH76" s="28" t="str">
        <f aca="false">IF($A76="","",IFERROR((COUNTIF(K76:L76,"כן")+0.5*COUNTIF(K76:L76,"קצת"))/(COUNTIF(K76:L76,"כן")+COUNTIF(K76:L76,"קצת")+COUNTIF(K76:L76,"עוד לא")),""))</f>
        <v/>
      </c>
      <c r="AI76" s="28" t="str">
        <f aca="false">IF($A76="","",IFERROR((COUNTIF(M76:N76,"כן")+0.5*COUNTIF(M76:N76,"קצת"))/(COUNTIF(M76:N76,"כן")+COUNTIF(M76:N76,"קצת")+COUNTIF(M76:N76,"עוד לא")),""))</f>
        <v/>
      </c>
      <c r="AJ76" s="28" t="str">
        <f aca="false">IF($A76="","",IFERROR((COUNTIF(O76:P76,"כן")+0.5*COUNTIF(O76:P76,"קצת"))/(COUNTIF(O76:P76,"כן")+COUNTIF(O76:P76,"קצת")+COUNTIF(O76:P76,"עוד לא")),""))</f>
        <v/>
      </c>
      <c r="AK76" s="28" t="str">
        <f aca="false">IF($A76="","",IFERROR((COUNTIF(Q76:R76,"כן")+0.5*COUNTIF(Q76:R76,"קצת"))/(COUNTIF(Q76:R76,"כן")+COUNTIF(Q76:R76,"קצת")+COUNTIF(Q76:R76,"עוד לא")),""))</f>
        <v/>
      </c>
      <c r="AL76" s="28" t="str">
        <f aca="false">IF($A76="","",IFERROR((COUNTIF(K76:R76,"כן")+0.5*COUNTIF(K76:R76,"קצת"))/(COUNTIF(K76:R76,"כן")+COUNTIF(K76:R76,"קצת")+COUNTIF(K76:R76,"עוד לא")),""))</f>
        <v/>
      </c>
      <c r="AM76" s="28" t="str">
        <f aca="false">IF($A76="","",IFERROR((COUNTIF(S76:Z76,"רוב הזמן")+0.5*COUNTIF(S76:Z76,"לפעמים"))/(COUNTIF(S76:Z76,"רוב הזמן")+COUNTIF(S76:Z76,"לפעמים")+COUNTIF(S76:Z76,"עדיין לא")),""))</f>
        <v/>
      </c>
      <c r="AN76" s="28" t="str">
        <f aca="false">IF($A76="","",IFERROR(1-SUMPRODUCT(ABS(((K76:R76="כן")+0.5*(K76:R76="קצת"))-((S76:Z76="רוב הזמן")+0.5*(S76:Z76="לפעמים")))*(((K76:R76="כן")+(K76:R76="קצת")+(K76:R76="עוד לא"))*((S76:Z76="רוב הזמן")+(S76:Z76="לפעמים")+(S76:Z76="עדיין לא"))))/SUMPRODUCT((((K76:R76="כן")+(K76:R76="קצת")+(K76:R76="עוד לא"))*((S76:Z76="רוב הזמן")+(S76:Z76="לפעמים")+(S76:Z76="עדיין לא")))),""))</f>
        <v/>
      </c>
      <c r="AO76" s="27" t="str">
        <f aca="false">IF($A76="","",SUMPRODUCT(((((K76:R76="כן")+0.5*(K76:R76="קצת"))-((S76:Z76="רוב הזמן")+0.5*(S76:Z76="לפעמים")))&gt;0.01)*(((K76:R76="כן")+(K76:R76="קצת")+(K76:R76="עוד לא"))*((S76:Z76="רוב הזמן")+(S76:Z76="לפעמים")+(S76:Z76="עדיין לא")))))</f>
        <v/>
      </c>
      <c r="AP76" s="27" t="str">
        <f aca="false">IF($A76="","",SUMPRODUCT(((((S76:Z76="רוב הזמן")+0.5*(S76:Z76="לפעמים"))-((K76:R76="כן")+0.5*(K76:R76="קצת")))&gt;0.01)*(((K76:R76="כן")+(K76:R76="קצת")+(K76:R76="עוד לא"))*((S76:Z76="רוב הזמן")+(S76:Z76="לפעמים")+(S76:Z76="עדיין לא")))))</f>
        <v/>
      </c>
      <c r="AQ76" s="27" t="str">
        <f aca="false">IF($A76="","",COUNTIF(AA76:AB76,"כן"))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7" t="str">
        <f aca="false">IF($A77="","",$A77&amp;"|"&amp;$C77)</f>
        <v/>
      </c>
      <c r="AG77" s="27" t="str">
        <f aca="false">IF($A77="","",IF(OR(H77="לא נבדק",H77=""),"לא נבדק",IF(AND(H77="בחר/ה בעצמו/ה",I77="כן",J77="לא"),"מלא",IF(OR(H77="בחר/ה בעצמו/ה",I77="כן"),"חלקי","עדיין לא"))))</f>
        <v/>
      </c>
      <c r="AH77" s="28" t="str">
        <f aca="false">IF($A77="","",IFERROR((COUNTIF(K77:L77,"כן")+0.5*COUNTIF(K77:L77,"קצת"))/(COUNTIF(K77:L77,"כן")+COUNTIF(K77:L77,"קצת")+COUNTIF(K77:L77,"עוד לא")),""))</f>
        <v/>
      </c>
      <c r="AI77" s="28" t="str">
        <f aca="false">IF($A77="","",IFERROR((COUNTIF(M77:N77,"כן")+0.5*COUNTIF(M77:N77,"קצת"))/(COUNTIF(M77:N77,"כן")+COUNTIF(M77:N77,"קצת")+COUNTIF(M77:N77,"עוד לא")),""))</f>
        <v/>
      </c>
      <c r="AJ77" s="28" t="str">
        <f aca="false">IF($A77="","",IFERROR((COUNTIF(O77:P77,"כן")+0.5*COUNTIF(O77:P77,"קצת"))/(COUNTIF(O77:P77,"כן")+COUNTIF(O77:P77,"קצת")+COUNTIF(O77:P77,"עוד לא")),""))</f>
        <v/>
      </c>
      <c r="AK77" s="28" t="str">
        <f aca="false">IF($A77="","",IFERROR((COUNTIF(Q77:R77,"כן")+0.5*COUNTIF(Q77:R77,"קצת"))/(COUNTIF(Q77:R77,"כן")+COUNTIF(Q77:R77,"קצת")+COUNTIF(Q77:R77,"עוד לא")),""))</f>
        <v/>
      </c>
      <c r="AL77" s="28" t="str">
        <f aca="false">IF($A77="","",IFERROR((COUNTIF(K77:R77,"כן")+0.5*COUNTIF(K77:R77,"קצת"))/(COUNTIF(K77:R77,"כן")+COUNTIF(K77:R77,"קצת")+COUNTIF(K77:R77,"עוד לא")),""))</f>
        <v/>
      </c>
      <c r="AM77" s="28" t="str">
        <f aca="false">IF($A77="","",IFERROR((COUNTIF(S77:Z77,"רוב הזמן")+0.5*COUNTIF(S77:Z77,"לפעמים"))/(COUNTIF(S77:Z77,"רוב הזמן")+COUNTIF(S77:Z77,"לפעמים")+COUNTIF(S77:Z77,"עדיין לא")),""))</f>
        <v/>
      </c>
      <c r="AN77" s="28" t="str">
        <f aca="false">IF($A77="","",IFERROR(1-SUMPRODUCT(ABS(((K77:R77="כן")+0.5*(K77:R77="קצת"))-((S77:Z77="רוב הזמן")+0.5*(S77:Z77="לפעמים")))*(((K77:R77="כן")+(K77:R77="קצת")+(K77:R77="עוד לא"))*((S77:Z77="רוב הזמן")+(S77:Z77="לפעמים")+(S77:Z77="עדיין לא"))))/SUMPRODUCT((((K77:R77="כן")+(K77:R77="קצת")+(K77:R77="עוד לא"))*((S77:Z77="רוב הזמן")+(S77:Z77="לפעמים")+(S77:Z77="עדיין לא")))),""))</f>
        <v/>
      </c>
      <c r="AO77" s="27" t="str">
        <f aca="false">IF($A77="","",SUMPRODUCT(((((K77:R77="כן")+0.5*(K77:R77="קצת"))-((S77:Z77="רוב הזמן")+0.5*(S77:Z77="לפעמים")))&gt;0.01)*(((K77:R77="כן")+(K77:R77="קצת")+(K77:R77="עוד לא"))*((S77:Z77="רוב הזמן")+(S77:Z77="לפעמים")+(S77:Z77="עדיין לא")))))</f>
        <v/>
      </c>
      <c r="AP77" s="27" t="str">
        <f aca="false">IF($A77="","",SUMPRODUCT(((((S77:Z77="רוב הזמן")+0.5*(S77:Z77="לפעמים"))-((K77:R77="כן")+0.5*(K77:R77="קצת")))&gt;0.01)*(((K77:R77="כן")+(K77:R77="קצת")+(K77:R77="עוד לא"))*((S77:Z77="רוב הזמן")+(S77:Z77="לפעמים")+(S77:Z77="עדיין לא")))))</f>
        <v/>
      </c>
      <c r="AQ77" s="27" t="str">
        <f aca="false">IF($A77="","",COUNTIF(AA77:AB77,"כן"))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7" t="str">
        <f aca="false">IF($A78="","",$A78&amp;"|"&amp;$C78)</f>
        <v/>
      </c>
      <c r="AG78" s="27" t="str">
        <f aca="false">IF($A78="","",IF(OR(H78="לא נבדק",H78=""),"לא נבדק",IF(AND(H78="בחר/ה בעצמו/ה",I78="כן",J78="לא"),"מלא",IF(OR(H78="בחר/ה בעצמו/ה",I78="כן"),"חלקי","עדיין לא"))))</f>
        <v/>
      </c>
      <c r="AH78" s="28" t="str">
        <f aca="false">IF($A78="","",IFERROR((COUNTIF(K78:L78,"כן")+0.5*COUNTIF(K78:L78,"קצת"))/(COUNTIF(K78:L78,"כן")+COUNTIF(K78:L78,"קצת")+COUNTIF(K78:L78,"עוד לא")),""))</f>
        <v/>
      </c>
      <c r="AI78" s="28" t="str">
        <f aca="false">IF($A78="","",IFERROR((COUNTIF(M78:N78,"כן")+0.5*COUNTIF(M78:N78,"קצת"))/(COUNTIF(M78:N78,"כן")+COUNTIF(M78:N78,"קצת")+COUNTIF(M78:N78,"עוד לא")),""))</f>
        <v/>
      </c>
      <c r="AJ78" s="28" t="str">
        <f aca="false">IF($A78="","",IFERROR((COUNTIF(O78:P78,"כן")+0.5*COUNTIF(O78:P78,"קצת"))/(COUNTIF(O78:P78,"כן")+COUNTIF(O78:P78,"קצת")+COUNTIF(O78:P78,"עוד לא")),""))</f>
        <v/>
      </c>
      <c r="AK78" s="28" t="str">
        <f aca="false">IF($A78="","",IFERROR((COUNTIF(Q78:R78,"כן")+0.5*COUNTIF(Q78:R78,"קצת"))/(COUNTIF(Q78:R78,"כן")+COUNTIF(Q78:R78,"קצת")+COUNTIF(Q78:R78,"עוד לא")),""))</f>
        <v/>
      </c>
      <c r="AL78" s="28" t="str">
        <f aca="false">IF($A78="","",IFERROR((COUNTIF(K78:R78,"כן")+0.5*COUNTIF(K78:R78,"קצת"))/(COUNTIF(K78:R78,"כן")+COUNTIF(K78:R78,"קצת")+COUNTIF(K78:R78,"עוד לא")),""))</f>
        <v/>
      </c>
      <c r="AM78" s="28" t="str">
        <f aca="false">IF($A78="","",IFERROR((COUNTIF(S78:Z78,"רוב הזמן")+0.5*COUNTIF(S78:Z78,"לפעמים"))/(COUNTIF(S78:Z78,"רוב הזמן")+COUNTIF(S78:Z78,"לפעמים")+COUNTIF(S78:Z78,"עדיין לא")),""))</f>
        <v/>
      </c>
      <c r="AN78" s="28" t="str">
        <f aca="false">IF($A78="","",IFERROR(1-SUMPRODUCT(ABS(((K78:R78="כן")+0.5*(K78:R78="קצת"))-((S78:Z78="רוב הזמן")+0.5*(S78:Z78="לפעמים")))*(((K78:R78="כן")+(K78:R78="קצת")+(K78:R78="עוד לא"))*((S78:Z78="רוב הזמן")+(S78:Z78="לפעמים")+(S78:Z78="עדיין לא"))))/SUMPRODUCT((((K78:R78="כן")+(K78:R78="קצת")+(K78:R78="עוד לא"))*((S78:Z78="רוב הזמן")+(S78:Z78="לפעמים")+(S78:Z78="עדיין לא")))),""))</f>
        <v/>
      </c>
      <c r="AO78" s="27" t="str">
        <f aca="false">IF($A78="","",SUMPRODUCT(((((K78:R78="כן")+0.5*(K78:R78="קצת"))-((S78:Z78="רוב הזמן")+0.5*(S78:Z78="לפעמים")))&gt;0.01)*(((K78:R78="כן")+(K78:R78="קצת")+(K78:R78="עוד לא"))*((S78:Z78="רוב הזמן")+(S78:Z78="לפעמים")+(S78:Z78="עדיין לא")))))</f>
        <v/>
      </c>
      <c r="AP78" s="27" t="str">
        <f aca="false">IF($A78="","",SUMPRODUCT(((((S78:Z78="רוב הזמן")+0.5*(S78:Z78="לפעמים"))-((K78:R78="כן")+0.5*(K78:R78="קצת")))&gt;0.01)*(((K78:R78="כן")+(K78:R78="קצת")+(K78:R78="עוד לא"))*((S78:Z78="רוב הזמן")+(S78:Z78="לפעמים")+(S78:Z78="עדיין לא")))))</f>
        <v/>
      </c>
      <c r="AQ78" s="27" t="str">
        <f aca="false">IF($A78="","",COUNTIF(AA78:AB78,"כן"))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7" t="str">
        <f aca="false">IF($A79="","",$A79&amp;"|"&amp;$C79)</f>
        <v/>
      </c>
      <c r="AG79" s="27" t="str">
        <f aca="false">IF($A79="","",IF(OR(H79="לא נבדק",H79=""),"לא נבדק",IF(AND(H79="בחר/ה בעצמו/ה",I79="כן",J79="לא"),"מלא",IF(OR(H79="בחר/ה בעצמו/ה",I79="כן"),"חלקי","עדיין לא"))))</f>
        <v/>
      </c>
      <c r="AH79" s="28" t="str">
        <f aca="false">IF($A79="","",IFERROR((COUNTIF(K79:L79,"כן")+0.5*COUNTIF(K79:L79,"קצת"))/(COUNTIF(K79:L79,"כן")+COUNTIF(K79:L79,"קצת")+COUNTIF(K79:L79,"עוד לא")),""))</f>
        <v/>
      </c>
      <c r="AI79" s="28" t="str">
        <f aca="false">IF($A79="","",IFERROR((COUNTIF(M79:N79,"כן")+0.5*COUNTIF(M79:N79,"קצת"))/(COUNTIF(M79:N79,"כן")+COUNTIF(M79:N79,"קצת")+COUNTIF(M79:N79,"עוד לא")),""))</f>
        <v/>
      </c>
      <c r="AJ79" s="28" t="str">
        <f aca="false">IF($A79="","",IFERROR((COUNTIF(O79:P79,"כן")+0.5*COUNTIF(O79:P79,"קצת"))/(COUNTIF(O79:P79,"כן")+COUNTIF(O79:P79,"קצת")+COUNTIF(O79:P79,"עוד לא")),""))</f>
        <v/>
      </c>
      <c r="AK79" s="28" t="str">
        <f aca="false">IF($A79="","",IFERROR((COUNTIF(Q79:R79,"כן")+0.5*COUNTIF(Q79:R79,"קצת"))/(COUNTIF(Q79:R79,"כן")+COUNTIF(Q79:R79,"קצת")+COUNTIF(Q79:R79,"עוד לא")),""))</f>
        <v/>
      </c>
      <c r="AL79" s="28" t="str">
        <f aca="false">IF($A79="","",IFERROR((COUNTIF(K79:R79,"כן")+0.5*COUNTIF(K79:R79,"קצת"))/(COUNTIF(K79:R79,"כן")+COUNTIF(K79:R79,"קצת")+COUNTIF(K79:R79,"עוד לא")),""))</f>
        <v/>
      </c>
      <c r="AM79" s="28" t="str">
        <f aca="false">IF($A79="","",IFERROR((COUNTIF(S79:Z79,"רוב הזמן")+0.5*COUNTIF(S79:Z79,"לפעמים"))/(COUNTIF(S79:Z79,"רוב הזמן")+COUNTIF(S79:Z79,"לפעמים")+COUNTIF(S79:Z79,"עדיין לא")),""))</f>
        <v/>
      </c>
      <c r="AN79" s="28" t="str">
        <f aca="false">IF($A79="","",IFERROR(1-SUMPRODUCT(ABS(((K79:R79="כן")+0.5*(K79:R79="קצת"))-((S79:Z79="רוב הזמן")+0.5*(S79:Z79="לפעמים")))*(((K79:R79="כן")+(K79:R79="קצת")+(K79:R79="עוד לא"))*((S79:Z79="רוב הזמן")+(S79:Z79="לפעמים")+(S79:Z79="עדיין לא"))))/SUMPRODUCT((((K79:R79="כן")+(K79:R79="קצת")+(K79:R79="עוד לא"))*((S79:Z79="רוב הזמן")+(S79:Z79="לפעמים")+(S79:Z79="עדיין לא")))),""))</f>
        <v/>
      </c>
      <c r="AO79" s="27" t="str">
        <f aca="false">IF($A79="","",SUMPRODUCT(((((K79:R79="כן")+0.5*(K79:R79="קצת"))-((S79:Z79="רוב הזמן")+0.5*(S79:Z79="לפעמים")))&gt;0.01)*(((K79:R79="כן")+(K79:R79="קצת")+(K79:R79="עוד לא"))*((S79:Z79="רוב הזמן")+(S79:Z79="לפעמים")+(S79:Z79="עדיין לא")))))</f>
        <v/>
      </c>
      <c r="AP79" s="27" t="str">
        <f aca="false">IF($A79="","",SUMPRODUCT(((((S79:Z79="רוב הזמן")+0.5*(S79:Z79="לפעמים"))-((K79:R79="כן")+0.5*(K79:R79="קצת")))&gt;0.01)*(((K79:R79="כן")+(K79:R79="קצת")+(K79:R79="עוד לא"))*((S79:Z79="רוב הזמן")+(S79:Z79="לפעמים")+(S79:Z79="עדיין לא")))))</f>
        <v/>
      </c>
      <c r="AQ79" s="27" t="str">
        <f aca="false">IF($A79="","",COUNTIF(AA79:AB79,"כן"))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7" t="str">
        <f aca="false">IF($A80="","",$A80&amp;"|"&amp;$C80)</f>
        <v/>
      </c>
      <c r="AG80" s="27" t="str">
        <f aca="false">IF($A80="","",IF(OR(H80="לא נבדק",H80=""),"לא נבדק",IF(AND(H80="בחר/ה בעצמו/ה",I80="כן",J80="לא"),"מלא",IF(OR(H80="בחר/ה בעצמו/ה",I80="כן"),"חלקי","עדיין לא"))))</f>
        <v/>
      </c>
      <c r="AH80" s="28" t="str">
        <f aca="false">IF($A80="","",IFERROR((COUNTIF(K80:L80,"כן")+0.5*COUNTIF(K80:L80,"קצת"))/(COUNTIF(K80:L80,"כן")+COUNTIF(K80:L80,"קצת")+COUNTIF(K80:L80,"עוד לא")),""))</f>
        <v/>
      </c>
      <c r="AI80" s="28" t="str">
        <f aca="false">IF($A80="","",IFERROR((COUNTIF(M80:N80,"כן")+0.5*COUNTIF(M80:N80,"קצת"))/(COUNTIF(M80:N80,"כן")+COUNTIF(M80:N80,"קצת")+COUNTIF(M80:N80,"עוד לא")),""))</f>
        <v/>
      </c>
      <c r="AJ80" s="28" t="str">
        <f aca="false">IF($A80="","",IFERROR((COUNTIF(O80:P80,"כן")+0.5*COUNTIF(O80:P80,"קצת"))/(COUNTIF(O80:P80,"כן")+COUNTIF(O80:P80,"קצת")+COUNTIF(O80:P80,"עוד לא")),""))</f>
        <v/>
      </c>
      <c r="AK80" s="28" t="str">
        <f aca="false">IF($A80="","",IFERROR((COUNTIF(Q80:R80,"כן")+0.5*COUNTIF(Q80:R80,"קצת"))/(COUNTIF(Q80:R80,"כן")+COUNTIF(Q80:R80,"קצת")+COUNTIF(Q80:R80,"עוד לא")),""))</f>
        <v/>
      </c>
      <c r="AL80" s="28" t="str">
        <f aca="false">IF($A80="","",IFERROR((COUNTIF(K80:R80,"כן")+0.5*COUNTIF(K80:R80,"קצת"))/(COUNTIF(K80:R80,"כן")+COUNTIF(K80:R80,"קצת")+COUNTIF(K80:R80,"עוד לא")),""))</f>
        <v/>
      </c>
      <c r="AM80" s="28" t="str">
        <f aca="false">IF($A80="","",IFERROR((COUNTIF(S80:Z80,"רוב הזמן")+0.5*COUNTIF(S80:Z80,"לפעמים"))/(COUNTIF(S80:Z80,"רוב הזמן")+COUNTIF(S80:Z80,"לפעמים")+COUNTIF(S80:Z80,"עדיין לא")),""))</f>
        <v/>
      </c>
      <c r="AN80" s="28" t="str">
        <f aca="false">IF($A80="","",IFERROR(1-SUMPRODUCT(ABS(((K80:R80="כן")+0.5*(K80:R80="קצת"))-((S80:Z80="רוב הזמן")+0.5*(S80:Z80="לפעמים")))*(((K80:R80="כן")+(K80:R80="קצת")+(K80:R80="עוד לא"))*((S80:Z80="רוב הזמן")+(S80:Z80="לפעמים")+(S80:Z80="עדיין לא"))))/SUMPRODUCT((((K80:R80="כן")+(K80:R80="קצת")+(K80:R80="עוד לא"))*((S80:Z80="רוב הזמן")+(S80:Z80="לפעמים")+(S80:Z80="עדיין לא")))),""))</f>
        <v/>
      </c>
      <c r="AO80" s="27" t="str">
        <f aca="false">IF($A80="","",SUMPRODUCT(((((K80:R80="כן")+0.5*(K80:R80="קצת"))-((S80:Z80="רוב הזמן")+0.5*(S80:Z80="לפעמים")))&gt;0.01)*(((K80:R80="כן")+(K80:R80="קצת")+(K80:R80="עוד לא"))*((S80:Z80="רוב הזמן")+(S80:Z80="לפעמים")+(S80:Z80="עדיין לא")))))</f>
        <v/>
      </c>
      <c r="AP80" s="27" t="str">
        <f aca="false">IF($A80="","",SUMPRODUCT(((((S80:Z80="רוב הזמן")+0.5*(S80:Z80="לפעמים"))-((K80:R80="כן")+0.5*(K80:R80="קצת")))&gt;0.01)*(((K80:R80="כן")+(K80:R80="קצת")+(K80:R80="עוד לא"))*((S80:Z80="רוב הזמן")+(S80:Z80="לפעמים")+(S80:Z80="עדיין לא")))))</f>
        <v/>
      </c>
      <c r="AQ80" s="27" t="str">
        <f aca="false">IF($A80="","",COUNTIF(AA80:AB80,"כן"))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7" t="str">
        <f aca="false">IF($A81="","",$A81&amp;"|"&amp;$C81)</f>
        <v/>
      </c>
      <c r="AG81" s="27" t="str">
        <f aca="false">IF($A81="","",IF(OR(H81="לא נבדק",H81=""),"לא נבדק",IF(AND(H81="בחר/ה בעצמו/ה",I81="כן",J81="לא"),"מלא",IF(OR(H81="בחר/ה בעצמו/ה",I81="כן"),"חלקי","עדיין לא"))))</f>
        <v/>
      </c>
      <c r="AH81" s="28" t="str">
        <f aca="false">IF($A81="","",IFERROR((COUNTIF(K81:L81,"כן")+0.5*COUNTIF(K81:L81,"קצת"))/(COUNTIF(K81:L81,"כן")+COUNTIF(K81:L81,"קצת")+COUNTIF(K81:L81,"עוד לא")),""))</f>
        <v/>
      </c>
      <c r="AI81" s="28" t="str">
        <f aca="false">IF($A81="","",IFERROR((COUNTIF(M81:N81,"כן")+0.5*COUNTIF(M81:N81,"קצת"))/(COUNTIF(M81:N81,"כן")+COUNTIF(M81:N81,"קצת")+COUNTIF(M81:N81,"עוד לא")),""))</f>
        <v/>
      </c>
      <c r="AJ81" s="28" t="str">
        <f aca="false">IF($A81="","",IFERROR((COUNTIF(O81:P81,"כן")+0.5*COUNTIF(O81:P81,"קצת"))/(COUNTIF(O81:P81,"כן")+COUNTIF(O81:P81,"קצת")+COUNTIF(O81:P81,"עוד לא")),""))</f>
        <v/>
      </c>
      <c r="AK81" s="28" t="str">
        <f aca="false">IF($A81="","",IFERROR((COUNTIF(Q81:R81,"כן")+0.5*COUNTIF(Q81:R81,"קצת"))/(COUNTIF(Q81:R81,"כן")+COUNTIF(Q81:R81,"קצת")+COUNTIF(Q81:R81,"עוד לא")),""))</f>
        <v/>
      </c>
      <c r="AL81" s="28" t="str">
        <f aca="false">IF($A81="","",IFERROR((COUNTIF(K81:R81,"כן")+0.5*COUNTIF(K81:R81,"קצת"))/(COUNTIF(K81:R81,"כן")+COUNTIF(K81:R81,"קצת")+COUNTIF(K81:R81,"עוד לא")),""))</f>
        <v/>
      </c>
      <c r="AM81" s="28" t="str">
        <f aca="false">IF($A81="","",IFERROR((COUNTIF(S81:Z81,"רוב הזמן")+0.5*COUNTIF(S81:Z81,"לפעמים"))/(COUNTIF(S81:Z81,"רוב הזמן")+COUNTIF(S81:Z81,"לפעמים")+COUNTIF(S81:Z81,"עדיין לא")),""))</f>
        <v/>
      </c>
      <c r="AN81" s="28" t="str">
        <f aca="false">IF($A81="","",IFERROR(1-SUMPRODUCT(ABS(((K81:R81="כן")+0.5*(K81:R81="קצת"))-((S81:Z81="רוב הזמן")+0.5*(S81:Z81="לפעמים")))*(((K81:R81="כן")+(K81:R81="קצת")+(K81:R81="עוד לא"))*((S81:Z81="רוב הזמן")+(S81:Z81="לפעמים")+(S81:Z81="עדיין לא"))))/SUMPRODUCT((((K81:R81="כן")+(K81:R81="קצת")+(K81:R81="עוד לא"))*((S81:Z81="רוב הזמן")+(S81:Z81="לפעמים")+(S81:Z81="עדיין לא")))),""))</f>
        <v/>
      </c>
      <c r="AO81" s="27" t="str">
        <f aca="false">IF($A81="","",SUMPRODUCT(((((K81:R81="כן")+0.5*(K81:R81="קצת"))-((S81:Z81="רוב הזמן")+0.5*(S81:Z81="לפעמים")))&gt;0.01)*(((K81:R81="כן")+(K81:R81="קצת")+(K81:R81="עוד לא"))*((S81:Z81="רוב הזמן")+(S81:Z81="לפעמים")+(S81:Z81="עדיין לא")))))</f>
        <v/>
      </c>
      <c r="AP81" s="27" t="str">
        <f aca="false">IF($A81="","",SUMPRODUCT(((((S81:Z81="רוב הזמן")+0.5*(S81:Z81="לפעמים"))-((K81:R81="כן")+0.5*(K81:R81="קצת")))&gt;0.01)*(((K81:R81="כן")+(K81:R81="קצת")+(K81:R81="עוד לא"))*((S81:Z81="רוב הזמן")+(S81:Z81="לפעמים")+(S81:Z81="עדיין לא")))))</f>
        <v/>
      </c>
      <c r="AQ81" s="27" t="str">
        <f aca="false">IF($A81="","",COUNTIF(AA81:AB81,"כן"))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7" t="str">
        <f aca="false">IF($A82="","",$A82&amp;"|"&amp;$C82)</f>
        <v/>
      </c>
      <c r="AG82" s="27" t="str">
        <f aca="false">IF($A82="","",IF(OR(H82="לא נבדק",H82=""),"לא נבדק",IF(AND(H82="בחר/ה בעצמו/ה",I82="כן",J82="לא"),"מלא",IF(OR(H82="בחר/ה בעצמו/ה",I82="כן"),"חלקי","עדיין לא"))))</f>
        <v/>
      </c>
      <c r="AH82" s="28" t="str">
        <f aca="false">IF($A82="","",IFERROR((COUNTIF(K82:L82,"כן")+0.5*COUNTIF(K82:L82,"קצת"))/(COUNTIF(K82:L82,"כן")+COUNTIF(K82:L82,"קצת")+COUNTIF(K82:L82,"עוד לא")),""))</f>
        <v/>
      </c>
      <c r="AI82" s="28" t="str">
        <f aca="false">IF($A82="","",IFERROR((COUNTIF(M82:N82,"כן")+0.5*COUNTIF(M82:N82,"קצת"))/(COUNTIF(M82:N82,"כן")+COUNTIF(M82:N82,"קצת")+COUNTIF(M82:N82,"עוד לא")),""))</f>
        <v/>
      </c>
      <c r="AJ82" s="28" t="str">
        <f aca="false">IF($A82="","",IFERROR((COUNTIF(O82:P82,"כן")+0.5*COUNTIF(O82:P82,"קצת"))/(COUNTIF(O82:P82,"כן")+COUNTIF(O82:P82,"קצת")+COUNTIF(O82:P82,"עוד לא")),""))</f>
        <v/>
      </c>
      <c r="AK82" s="28" t="str">
        <f aca="false">IF($A82="","",IFERROR((COUNTIF(Q82:R82,"כן")+0.5*COUNTIF(Q82:R82,"קצת"))/(COUNTIF(Q82:R82,"כן")+COUNTIF(Q82:R82,"קצת")+COUNTIF(Q82:R82,"עוד לא")),""))</f>
        <v/>
      </c>
      <c r="AL82" s="28" t="str">
        <f aca="false">IF($A82="","",IFERROR((COUNTIF(K82:R82,"כן")+0.5*COUNTIF(K82:R82,"קצת"))/(COUNTIF(K82:R82,"כן")+COUNTIF(K82:R82,"קצת")+COUNTIF(K82:R82,"עוד לא")),""))</f>
        <v/>
      </c>
      <c r="AM82" s="28" t="str">
        <f aca="false">IF($A82="","",IFERROR((COUNTIF(S82:Z82,"רוב הזמן")+0.5*COUNTIF(S82:Z82,"לפעמים"))/(COUNTIF(S82:Z82,"רוב הזמן")+COUNTIF(S82:Z82,"לפעמים")+COUNTIF(S82:Z82,"עדיין לא")),""))</f>
        <v/>
      </c>
      <c r="AN82" s="28" t="str">
        <f aca="false">IF($A82="","",IFERROR(1-SUMPRODUCT(ABS(((K82:R82="כן")+0.5*(K82:R82="קצת"))-((S82:Z82="רוב הזמן")+0.5*(S82:Z82="לפעמים")))*(((K82:R82="כן")+(K82:R82="קצת")+(K82:R82="עוד לא"))*((S82:Z82="רוב הזמן")+(S82:Z82="לפעמים")+(S82:Z82="עדיין לא"))))/SUMPRODUCT((((K82:R82="כן")+(K82:R82="קצת")+(K82:R82="עוד לא"))*((S82:Z82="רוב הזמן")+(S82:Z82="לפעמים")+(S82:Z82="עדיין לא")))),""))</f>
        <v/>
      </c>
      <c r="AO82" s="27" t="str">
        <f aca="false">IF($A82="","",SUMPRODUCT(((((K82:R82="כן")+0.5*(K82:R82="קצת"))-((S82:Z82="רוב הזמן")+0.5*(S82:Z82="לפעמים")))&gt;0.01)*(((K82:R82="כן")+(K82:R82="קצת")+(K82:R82="עוד לא"))*((S82:Z82="רוב הזמן")+(S82:Z82="לפעמים")+(S82:Z82="עדיין לא")))))</f>
        <v/>
      </c>
      <c r="AP82" s="27" t="str">
        <f aca="false">IF($A82="","",SUMPRODUCT(((((S82:Z82="רוב הזמן")+0.5*(S82:Z82="לפעמים"))-((K82:R82="כן")+0.5*(K82:R82="קצת")))&gt;0.01)*(((K82:R82="כן")+(K82:R82="קצת")+(K82:R82="עוד לא"))*((S82:Z82="רוב הזמן")+(S82:Z82="לפעמים")+(S82:Z82="עדיין לא")))))</f>
        <v/>
      </c>
      <c r="AQ82" s="27" t="str">
        <f aca="false">IF($A82="","",COUNTIF(AA82:AB82,"כן"))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7" t="str">
        <f aca="false">IF($A83="","",$A83&amp;"|"&amp;$C83)</f>
        <v/>
      </c>
      <c r="AG83" s="27" t="str">
        <f aca="false">IF($A83="","",IF(OR(H83="לא נבדק",H83=""),"לא נבדק",IF(AND(H83="בחר/ה בעצמו/ה",I83="כן",J83="לא"),"מלא",IF(OR(H83="בחר/ה בעצמו/ה",I83="כן"),"חלקי","עדיין לא"))))</f>
        <v/>
      </c>
      <c r="AH83" s="28" t="str">
        <f aca="false">IF($A83="","",IFERROR((COUNTIF(K83:L83,"כן")+0.5*COUNTIF(K83:L83,"קצת"))/(COUNTIF(K83:L83,"כן")+COUNTIF(K83:L83,"קצת")+COUNTIF(K83:L83,"עוד לא")),""))</f>
        <v/>
      </c>
      <c r="AI83" s="28" t="str">
        <f aca="false">IF($A83="","",IFERROR((COUNTIF(M83:N83,"כן")+0.5*COUNTIF(M83:N83,"קצת"))/(COUNTIF(M83:N83,"כן")+COUNTIF(M83:N83,"קצת")+COUNTIF(M83:N83,"עוד לא")),""))</f>
        <v/>
      </c>
      <c r="AJ83" s="28" t="str">
        <f aca="false">IF($A83="","",IFERROR((COUNTIF(O83:P83,"כן")+0.5*COUNTIF(O83:P83,"קצת"))/(COUNTIF(O83:P83,"כן")+COUNTIF(O83:P83,"קצת")+COUNTIF(O83:P83,"עוד לא")),""))</f>
        <v/>
      </c>
      <c r="AK83" s="28" t="str">
        <f aca="false">IF($A83="","",IFERROR((COUNTIF(Q83:R83,"כן")+0.5*COUNTIF(Q83:R83,"קצת"))/(COUNTIF(Q83:R83,"כן")+COUNTIF(Q83:R83,"קצת")+COUNTIF(Q83:R83,"עוד לא")),""))</f>
        <v/>
      </c>
      <c r="AL83" s="28" t="str">
        <f aca="false">IF($A83="","",IFERROR((COUNTIF(K83:R83,"כן")+0.5*COUNTIF(K83:R83,"קצת"))/(COUNTIF(K83:R83,"כן")+COUNTIF(K83:R83,"קצת")+COUNTIF(K83:R83,"עוד לא")),""))</f>
        <v/>
      </c>
      <c r="AM83" s="28" t="str">
        <f aca="false">IF($A83="","",IFERROR((COUNTIF(S83:Z83,"רוב הזמן")+0.5*COUNTIF(S83:Z83,"לפעמים"))/(COUNTIF(S83:Z83,"רוב הזמן")+COUNTIF(S83:Z83,"לפעמים")+COUNTIF(S83:Z83,"עדיין לא")),""))</f>
        <v/>
      </c>
      <c r="AN83" s="28" t="str">
        <f aca="false">IF($A83="","",IFERROR(1-SUMPRODUCT(ABS(((K83:R83="כן")+0.5*(K83:R83="קצת"))-((S83:Z83="רוב הזמן")+0.5*(S83:Z83="לפעמים")))*(((K83:R83="כן")+(K83:R83="קצת")+(K83:R83="עוד לא"))*((S83:Z83="רוב הזמן")+(S83:Z83="לפעמים")+(S83:Z83="עדיין לא"))))/SUMPRODUCT((((K83:R83="כן")+(K83:R83="קצת")+(K83:R83="עוד לא"))*((S83:Z83="רוב הזמן")+(S83:Z83="לפעמים")+(S83:Z83="עדיין לא")))),""))</f>
        <v/>
      </c>
      <c r="AO83" s="27" t="str">
        <f aca="false">IF($A83="","",SUMPRODUCT(((((K83:R83="כן")+0.5*(K83:R83="קצת"))-((S83:Z83="רוב הזמן")+0.5*(S83:Z83="לפעמים")))&gt;0.01)*(((K83:R83="כן")+(K83:R83="קצת")+(K83:R83="עוד לא"))*((S83:Z83="רוב הזמן")+(S83:Z83="לפעמים")+(S83:Z83="עדיין לא")))))</f>
        <v/>
      </c>
      <c r="AP83" s="27" t="str">
        <f aca="false">IF($A83="","",SUMPRODUCT(((((S83:Z83="רוב הזמן")+0.5*(S83:Z83="לפעמים"))-((K83:R83="כן")+0.5*(K83:R83="קצת")))&gt;0.01)*(((K83:R83="כן")+(K83:R83="קצת")+(K83:R83="עוד לא"))*((S83:Z83="רוב הזמן")+(S83:Z83="לפעמים")+(S83:Z83="עדיין לא")))))</f>
        <v/>
      </c>
      <c r="AQ83" s="27" t="str">
        <f aca="false">IF($A83="","",COUNTIF(AA83:AB83,"כן"))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7" t="str">
        <f aca="false">IF($A84="","",$A84&amp;"|"&amp;$C84)</f>
        <v/>
      </c>
      <c r="AG84" s="27" t="str">
        <f aca="false">IF($A84="","",IF(OR(H84="לא נבדק",H84=""),"לא נבדק",IF(AND(H84="בחר/ה בעצמו/ה",I84="כן",J84="לא"),"מלא",IF(OR(H84="בחר/ה בעצמו/ה",I84="כן"),"חלקי","עדיין לא"))))</f>
        <v/>
      </c>
      <c r="AH84" s="28" t="str">
        <f aca="false">IF($A84="","",IFERROR((COUNTIF(K84:L84,"כן")+0.5*COUNTIF(K84:L84,"קצת"))/(COUNTIF(K84:L84,"כן")+COUNTIF(K84:L84,"קצת")+COUNTIF(K84:L84,"עוד לא")),""))</f>
        <v/>
      </c>
      <c r="AI84" s="28" t="str">
        <f aca="false">IF($A84="","",IFERROR((COUNTIF(M84:N84,"כן")+0.5*COUNTIF(M84:N84,"קצת"))/(COUNTIF(M84:N84,"כן")+COUNTIF(M84:N84,"קצת")+COUNTIF(M84:N84,"עוד לא")),""))</f>
        <v/>
      </c>
      <c r="AJ84" s="28" t="str">
        <f aca="false">IF($A84="","",IFERROR((COUNTIF(O84:P84,"כן")+0.5*COUNTIF(O84:P84,"קצת"))/(COUNTIF(O84:P84,"כן")+COUNTIF(O84:P84,"קצת")+COUNTIF(O84:P84,"עוד לא")),""))</f>
        <v/>
      </c>
      <c r="AK84" s="28" t="str">
        <f aca="false">IF($A84="","",IFERROR((COUNTIF(Q84:R84,"כן")+0.5*COUNTIF(Q84:R84,"קצת"))/(COUNTIF(Q84:R84,"כן")+COUNTIF(Q84:R84,"קצת")+COUNTIF(Q84:R84,"עוד לא")),""))</f>
        <v/>
      </c>
      <c r="AL84" s="28" t="str">
        <f aca="false">IF($A84="","",IFERROR((COUNTIF(K84:R84,"כן")+0.5*COUNTIF(K84:R84,"קצת"))/(COUNTIF(K84:R84,"כן")+COUNTIF(K84:R84,"קצת")+COUNTIF(K84:R84,"עוד לא")),""))</f>
        <v/>
      </c>
      <c r="AM84" s="28" t="str">
        <f aca="false">IF($A84="","",IFERROR((COUNTIF(S84:Z84,"רוב הזמן")+0.5*COUNTIF(S84:Z84,"לפעמים"))/(COUNTIF(S84:Z84,"רוב הזמן")+COUNTIF(S84:Z84,"לפעמים")+COUNTIF(S84:Z84,"עדיין לא")),""))</f>
        <v/>
      </c>
      <c r="AN84" s="28" t="str">
        <f aca="false">IF($A84="","",IFERROR(1-SUMPRODUCT(ABS(((K84:R84="כן")+0.5*(K84:R84="קצת"))-((S84:Z84="רוב הזמן")+0.5*(S84:Z84="לפעמים")))*(((K84:R84="כן")+(K84:R84="קצת")+(K84:R84="עוד לא"))*((S84:Z84="רוב הזמן")+(S84:Z84="לפעמים")+(S84:Z84="עדיין לא"))))/SUMPRODUCT((((K84:R84="כן")+(K84:R84="קצת")+(K84:R84="עוד לא"))*((S84:Z84="רוב הזמן")+(S84:Z84="לפעמים")+(S84:Z84="עדיין לא")))),""))</f>
        <v/>
      </c>
      <c r="AO84" s="27" t="str">
        <f aca="false">IF($A84="","",SUMPRODUCT(((((K84:R84="כן")+0.5*(K84:R84="קצת"))-((S84:Z84="רוב הזמן")+0.5*(S84:Z84="לפעמים")))&gt;0.01)*(((K84:R84="כן")+(K84:R84="קצת")+(K84:R84="עוד לא"))*((S84:Z84="רוב הזמן")+(S84:Z84="לפעמים")+(S84:Z84="עדיין לא")))))</f>
        <v/>
      </c>
      <c r="AP84" s="27" t="str">
        <f aca="false">IF($A84="","",SUMPRODUCT(((((S84:Z84="רוב הזמן")+0.5*(S84:Z84="לפעמים"))-((K84:R84="כן")+0.5*(K84:R84="קצת")))&gt;0.01)*(((K84:R84="כן")+(K84:R84="קצת")+(K84:R84="עוד לא"))*((S84:Z84="רוב הזמן")+(S84:Z84="לפעמים")+(S84:Z84="עדיין לא")))))</f>
        <v/>
      </c>
      <c r="AQ84" s="27" t="str">
        <f aca="false">IF($A84="","",COUNTIF(AA84:AB84,"כן"))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7" t="str">
        <f aca="false">IF($A85="","",$A85&amp;"|"&amp;$C85)</f>
        <v/>
      </c>
      <c r="AG85" s="27" t="str">
        <f aca="false">IF($A85="","",IF(OR(H85="לא נבדק",H85=""),"לא נבדק",IF(AND(H85="בחר/ה בעצמו/ה",I85="כן",J85="לא"),"מלא",IF(OR(H85="בחר/ה בעצמו/ה",I85="כן"),"חלקי","עדיין לא"))))</f>
        <v/>
      </c>
      <c r="AH85" s="28" t="str">
        <f aca="false">IF($A85="","",IFERROR((COUNTIF(K85:L85,"כן")+0.5*COUNTIF(K85:L85,"קצת"))/(COUNTIF(K85:L85,"כן")+COUNTIF(K85:L85,"קצת")+COUNTIF(K85:L85,"עוד לא")),""))</f>
        <v/>
      </c>
      <c r="AI85" s="28" t="str">
        <f aca="false">IF($A85="","",IFERROR((COUNTIF(M85:N85,"כן")+0.5*COUNTIF(M85:N85,"קצת"))/(COUNTIF(M85:N85,"כן")+COUNTIF(M85:N85,"קצת")+COUNTIF(M85:N85,"עוד לא")),""))</f>
        <v/>
      </c>
      <c r="AJ85" s="28" t="str">
        <f aca="false">IF($A85="","",IFERROR((COUNTIF(O85:P85,"כן")+0.5*COUNTIF(O85:P85,"קצת"))/(COUNTIF(O85:P85,"כן")+COUNTIF(O85:P85,"קצת")+COUNTIF(O85:P85,"עוד לא")),""))</f>
        <v/>
      </c>
      <c r="AK85" s="28" t="str">
        <f aca="false">IF($A85="","",IFERROR((COUNTIF(Q85:R85,"כן")+0.5*COUNTIF(Q85:R85,"קצת"))/(COUNTIF(Q85:R85,"כן")+COUNTIF(Q85:R85,"קצת")+COUNTIF(Q85:R85,"עוד לא")),""))</f>
        <v/>
      </c>
      <c r="AL85" s="28" t="str">
        <f aca="false">IF($A85="","",IFERROR((COUNTIF(K85:R85,"כן")+0.5*COUNTIF(K85:R85,"קצת"))/(COUNTIF(K85:R85,"כן")+COUNTIF(K85:R85,"קצת")+COUNTIF(K85:R85,"עוד לא")),""))</f>
        <v/>
      </c>
      <c r="AM85" s="28" t="str">
        <f aca="false">IF($A85="","",IFERROR((COUNTIF(S85:Z85,"רוב הזמן")+0.5*COUNTIF(S85:Z85,"לפעמים"))/(COUNTIF(S85:Z85,"רוב הזמן")+COUNTIF(S85:Z85,"לפעמים")+COUNTIF(S85:Z85,"עדיין לא")),""))</f>
        <v/>
      </c>
      <c r="AN85" s="28" t="str">
        <f aca="false">IF($A85="","",IFERROR(1-SUMPRODUCT(ABS(((K85:R85="כן")+0.5*(K85:R85="קצת"))-((S85:Z85="רוב הזמן")+0.5*(S85:Z85="לפעמים")))*(((K85:R85="כן")+(K85:R85="קצת")+(K85:R85="עוד לא"))*((S85:Z85="רוב הזמן")+(S85:Z85="לפעמים")+(S85:Z85="עדיין לא"))))/SUMPRODUCT((((K85:R85="כן")+(K85:R85="קצת")+(K85:R85="עוד לא"))*((S85:Z85="רוב הזמן")+(S85:Z85="לפעמים")+(S85:Z85="עדיין לא")))),""))</f>
        <v/>
      </c>
      <c r="AO85" s="27" t="str">
        <f aca="false">IF($A85="","",SUMPRODUCT(((((K85:R85="כן")+0.5*(K85:R85="קצת"))-((S85:Z85="רוב הזמן")+0.5*(S85:Z85="לפעמים")))&gt;0.01)*(((K85:R85="כן")+(K85:R85="קצת")+(K85:R85="עוד לא"))*((S85:Z85="רוב הזמן")+(S85:Z85="לפעמים")+(S85:Z85="עדיין לא")))))</f>
        <v/>
      </c>
      <c r="AP85" s="27" t="str">
        <f aca="false">IF($A85="","",SUMPRODUCT(((((S85:Z85="רוב הזמן")+0.5*(S85:Z85="לפעמים"))-((K85:R85="כן")+0.5*(K85:R85="קצת")))&gt;0.01)*(((K85:R85="כן")+(K85:R85="קצת")+(K85:R85="עוד לא"))*((S85:Z85="רוב הזמן")+(S85:Z85="לפעמים")+(S85:Z85="עדיין לא")))))</f>
        <v/>
      </c>
      <c r="AQ85" s="27" t="str">
        <f aca="false">IF($A85="","",COUNTIF(AA85:AB85,"כן"))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7" t="str">
        <f aca="false">IF($A86="","",$A86&amp;"|"&amp;$C86)</f>
        <v/>
      </c>
      <c r="AG86" s="27" t="str">
        <f aca="false">IF($A86="","",IF(OR(H86="לא נבדק",H86=""),"לא נבדק",IF(AND(H86="בחר/ה בעצמו/ה",I86="כן",J86="לא"),"מלא",IF(OR(H86="בחר/ה בעצמו/ה",I86="כן"),"חלקי","עדיין לא"))))</f>
        <v/>
      </c>
      <c r="AH86" s="28" t="str">
        <f aca="false">IF($A86="","",IFERROR((COUNTIF(K86:L86,"כן")+0.5*COUNTIF(K86:L86,"קצת"))/(COUNTIF(K86:L86,"כן")+COUNTIF(K86:L86,"קצת")+COUNTIF(K86:L86,"עוד לא")),""))</f>
        <v/>
      </c>
      <c r="AI86" s="28" t="str">
        <f aca="false">IF($A86="","",IFERROR((COUNTIF(M86:N86,"כן")+0.5*COUNTIF(M86:N86,"קצת"))/(COUNTIF(M86:N86,"כן")+COUNTIF(M86:N86,"קצת")+COUNTIF(M86:N86,"עוד לא")),""))</f>
        <v/>
      </c>
      <c r="AJ86" s="28" t="str">
        <f aca="false">IF($A86="","",IFERROR((COUNTIF(O86:P86,"כן")+0.5*COUNTIF(O86:P86,"קצת"))/(COUNTIF(O86:P86,"כן")+COUNTIF(O86:P86,"קצת")+COUNTIF(O86:P86,"עוד לא")),""))</f>
        <v/>
      </c>
      <c r="AK86" s="28" t="str">
        <f aca="false">IF($A86="","",IFERROR((COUNTIF(Q86:R86,"כן")+0.5*COUNTIF(Q86:R86,"קצת"))/(COUNTIF(Q86:R86,"כן")+COUNTIF(Q86:R86,"קצת")+COUNTIF(Q86:R86,"עוד לא")),""))</f>
        <v/>
      </c>
      <c r="AL86" s="28" t="str">
        <f aca="false">IF($A86="","",IFERROR((COUNTIF(K86:R86,"כן")+0.5*COUNTIF(K86:R86,"קצת"))/(COUNTIF(K86:R86,"כן")+COUNTIF(K86:R86,"קצת")+COUNTIF(K86:R86,"עוד לא")),""))</f>
        <v/>
      </c>
      <c r="AM86" s="28" t="str">
        <f aca="false">IF($A86="","",IFERROR((COUNTIF(S86:Z86,"רוב הזמן")+0.5*COUNTIF(S86:Z86,"לפעמים"))/(COUNTIF(S86:Z86,"רוב הזמן")+COUNTIF(S86:Z86,"לפעמים")+COUNTIF(S86:Z86,"עדיין לא")),""))</f>
        <v/>
      </c>
      <c r="AN86" s="28" t="str">
        <f aca="false">IF($A86="","",IFERROR(1-SUMPRODUCT(ABS(((K86:R86="כן")+0.5*(K86:R86="קצת"))-((S86:Z86="רוב הזמן")+0.5*(S86:Z86="לפעמים")))*(((K86:R86="כן")+(K86:R86="קצת")+(K86:R86="עוד לא"))*((S86:Z86="רוב הזמן")+(S86:Z86="לפעמים")+(S86:Z86="עדיין לא"))))/SUMPRODUCT((((K86:R86="כן")+(K86:R86="קצת")+(K86:R86="עוד לא"))*((S86:Z86="רוב הזמן")+(S86:Z86="לפעמים")+(S86:Z86="עדיין לא")))),""))</f>
        <v/>
      </c>
      <c r="AO86" s="27" t="str">
        <f aca="false">IF($A86="","",SUMPRODUCT(((((K86:R86="כן")+0.5*(K86:R86="קצת"))-((S86:Z86="רוב הזמן")+0.5*(S86:Z86="לפעמים")))&gt;0.01)*(((K86:R86="כן")+(K86:R86="קצת")+(K86:R86="עוד לא"))*((S86:Z86="רוב הזמן")+(S86:Z86="לפעמים")+(S86:Z86="עדיין לא")))))</f>
        <v/>
      </c>
      <c r="AP86" s="27" t="str">
        <f aca="false">IF($A86="","",SUMPRODUCT(((((S86:Z86="רוב הזמן")+0.5*(S86:Z86="לפעמים"))-((K86:R86="כן")+0.5*(K86:R86="קצת")))&gt;0.01)*(((K86:R86="כן")+(K86:R86="קצת")+(K86:R86="עוד לא"))*((S86:Z86="רוב הזמן")+(S86:Z86="לפעמים")+(S86:Z86="עדיין לא")))))</f>
        <v/>
      </c>
      <c r="AQ86" s="27" t="str">
        <f aca="false">IF($A86="","",COUNTIF(AA86:AB86,"כן"))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7" t="str">
        <f aca="false">IF($A87="","",$A87&amp;"|"&amp;$C87)</f>
        <v/>
      </c>
      <c r="AG87" s="27" t="str">
        <f aca="false">IF($A87="","",IF(OR(H87="לא נבדק",H87=""),"לא נבדק",IF(AND(H87="בחר/ה בעצמו/ה",I87="כן",J87="לא"),"מלא",IF(OR(H87="בחר/ה בעצמו/ה",I87="כן"),"חלקי","עדיין לא"))))</f>
        <v/>
      </c>
      <c r="AH87" s="28" t="str">
        <f aca="false">IF($A87="","",IFERROR((COUNTIF(K87:L87,"כן")+0.5*COUNTIF(K87:L87,"קצת"))/(COUNTIF(K87:L87,"כן")+COUNTIF(K87:L87,"קצת")+COUNTIF(K87:L87,"עוד לא")),""))</f>
        <v/>
      </c>
      <c r="AI87" s="28" t="str">
        <f aca="false">IF($A87="","",IFERROR((COUNTIF(M87:N87,"כן")+0.5*COUNTIF(M87:N87,"קצת"))/(COUNTIF(M87:N87,"כן")+COUNTIF(M87:N87,"קצת")+COUNTIF(M87:N87,"עוד לא")),""))</f>
        <v/>
      </c>
      <c r="AJ87" s="28" t="str">
        <f aca="false">IF($A87="","",IFERROR((COUNTIF(O87:P87,"כן")+0.5*COUNTIF(O87:P87,"קצת"))/(COUNTIF(O87:P87,"כן")+COUNTIF(O87:P87,"קצת")+COUNTIF(O87:P87,"עוד לא")),""))</f>
        <v/>
      </c>
      <c r="AK87" s="28" t="str">
        <f aca="false">IF($A87="","",IFERROR((COUNTIF(Q87:R87,"כן")+0.5*COUNTIF(Q87:R87,"קצת"))/(COUNTIF(Q87:R87,"כן")+COUNTIF(Q87:R87,"קצת")+COUNTIF(Q87:R87,"עוד לא")),""))</f>
        <v/>
      </c>
      <c r="AL87" s="28" t="str">
        <f aca="false">IF($A87="","",IFERROR((COUNTIF(K87:R87,"כן")+0.5*COUNTIF(K87:R87,"קצת"))/(COUNTIF(K87:R87,"כן")+COUNTIF(K87:R87,"קצת")+COUNTIF(K87:R87,"עוד לא")),""))</f>
        <v/>
      </c>
      <c r="AM87" s="28" t="str">
        <f aca="false">IF($A87="","",IFERROR((COUNTIF(S87:Z87,"רוב הזמן")+0.5*COUNTIF(S87:Z87,"לפעמים"))/(COUNTIF(S87:Z87,"רוב הזמן")+COUNTIF(S87:Z87,"לפעמים")+COUNTIF(S87:Z87,"עדיין לא")),""))</f>
        <v/>
      </c>
      <c r="AN87" s="28" t="str">
        <f aca="false">IF($A87="","",IFERROR(1-SUMPRODUCT(ABS(((K87:R87="כן")+0.5*(K87:R87="קצת"))-((S87:Z87="רוב הזמן")+0.5*(S87:Z87="לפעמים")))*(((K87:R87="כן")+(K87:R87="קצת")+(K87:R87="עוד לא"))*((S87:Z87="רוב הזמן")+(S87:Z87="לפעמים")+(S87:Z87="עדיין לא"))))/SUMPRODUCT((((K87:R87="כן")+(K87:R87="קצת")+(K87:R87="עוד לא"))*((S87:Z87="רוב הזמן")+(S87:Z87="לפעמים")+(S87:Z87="עדיין לא")))),""))</f>
        <v/>
      </c>
      <c r="AO87" s="27" t="str">
        <f aca="false">IF($A87="","",SUMPRODUCT(((((K87:R87="כן")+0.5*(K87:R87="קצת"))-((S87:Z87="רוב הזמן")+0.5*(S87:Z87="לפעמים")))&gt;0.01)*(((K87:R87="כן")+(K87:R87="קצת")+(K87:R87="עוד לא"))*((S87:Z87="רוב הזמן")+(S87:Z87="לפעמים")+(S87:Z87="עדיין לא")))))</f>
        <v/>
      </c>
      <c r="AP87" s="27" t="str">
        <f aca="false">IF($A87="","",SUMPRODUCT(((((S87:Z87="רוב הזמן")+0.5*(S87:Z87="לפעמים"))-((K87:R87="כן")+0.5*(K87:R87="קצת")))&gt;0.01)*(((K87:R87="כן")+(K87:R87="קצת")+(K87:R87="עוד לא"))*((S87:Z87="רוב הזמן")+(S87:Z87="לפעמים")+(S87:Z87="עדיין לא")))))</f>
        <v/>
      </c>
      <c r="AQ87" s="27" t="str">
        <f aca="false">IF($A87="","",COUNTIF(AA87:AB87,"כן"))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7" t="str">
        <f aca="false">IF($A88="","",$A88&amp;"|"&amp;$C88)</f>
        <v/>
      </c>
      <c r="AG88" s="27" t="str">
        <f aca="false">IF($A88="","",IF(OR(H88="לא נבדק",H88=""),"לא נבדק",IF(AND(H88="בחר/ה בעצמו/ה",I88="כן",J88="לא"),"מלא",IF(OR(H88="בחר/ה בעצמו/ה",I88="כן"),"חלקי","עדיין לא"))))</f>
        <v/>
      </c>
      <c r="AH88" s="28" t="str">
        <f aca="false">IF($A88="","",IFERROR((COUNTIF(K88:L88,"כן")+0.5*COUNTIF(K88:L88,"קצת"))/(COUNTIF(K88:L88,"כן")+COUNTIF(K88:L88,"קצת")+COUNTIF(K88:L88,"עוד לא")),""))</f>
        <v/>
      </c>
      <c r="AI88" s="28" t="str">
        <f aca="false">IF($A88="","",IFERROR((COUNTIF(M88:N88,"כן")+0.5*COUNTIF(M88:N88,"קצת"))/(COUNTIF(M88:N88,"כן")+COUNTIF(M88:N88,"קצת")+COUNTIF(M88:N88,"עוד לא")),""))</f>
        <v/>
      </c>
      <c r="AJ88" s="28" t="str">
        <f aca="false">IF($A88="","",IFERROR((COUNTIF(O88:P88,"כן")+0.5*COUNTIF(O88:P88,"קצת"))/(COUNTIF(O88:P88,"כן")+COUNTIF(O88:P88,"קצת")+COUNTIF(O88:P88,"עוד לא")),""))</f>
        <v/>
      </c>
      <c r="AK88" s="28" t="str">
        <f aca="false">IF($A88="","",IFERROR((COUNTIF(Q88:R88,"כן")+0.5*COUNTIF(Q88:R88,"קצת"))/(COUNTIF(Q88:R88,"כן")+COUNTIF(Q88:R88,"קצת")+COUNTIF(Q88:R88,"עוד לא")),""))</f>
        <v/>
      </c>
      <c r="AL88" s="28" t="str">
        <f aca="false">IF($A88="","",IFERROR((COUNTIF(K88:R88,"כן")+0.5*COUNTIF(K88:R88,"קצת"))/(COUNTIF(K88:R88,"כן")+COUNTIF(K88:R88,"קצת")+COUNTIF(K88:R88,"עוד לא")),""))</f>
        <v/>
      </c>
      <c r="AM88" s="28" t="str">
        <f aca="false">IF($A88="","",IFERROR((COUNTIF(S88:Z88,"רוב הזמן")+0.5*COUNTIF(S88:Z88,"לפעמים"))/(COUNTIF(S88:Z88,"רוב הזמן")+COUNTIF(S88:Z88,"לפעמים")+COUNTIF(S88:Z88,"עדיין לא")),""))</f>
        <v/>
      </c>
      <c r="AN88" s="28" t="str">
        <f aca="false">IF($A88="","",IFERROR(1-SUMPRODUCT(ABS(((K88:R88="כן")+0.5*(K88:R88="קצת"))-((S88:Z88="רוב הזמן")+0.5*(S88:Z88="לפעמים")))*(((K88:R88="כן")+(K88:R88="קצת")+(K88:R88="עוד לא"))*((S88:Z88="רוב הזמן")+(S88:Z88="לפעמים")+(S88:Z88="עדיין לא"))))/SUMPRODUCT((((K88:R88="כן")+(K88:R88="קצת")+(K88:R88="עוד לא"))*((S88:Z88="רוב הזמן")+(S88:Z88="לפעמים")+(S88:Z88="עדיין לא")))),""))</f>
        <v/>
      </c>
      <c r="AO88" s="27" t="str">
        <f aca="false">IF($A88="","",SUMPRODUCT(((((K88:R88="כן")+0.5*(K88:R88="קצת"))-((S88:Z88="רוב הזמן")+0.5*(S88:Z88="לפעמים")))&gt;0.01)*(((K88:R88="כן")+(K88:R88="קצת")+(K88:R88="עוד לא"))*((S88:Z88="רוב הזמן")+(S88:Z88="לפעמים")+(S88:Z88="עדיין לא")))))</f>
        <v/>
      </c>
      <c r="AP88" s="27" t="str">
        <f aca="false">IF($A88="","",SUMPRODUCT(((((S88:Z88="רוב הזמן")+0.5*(S88:Z88="לפעמים"))-((K88:R88="כן")+0.5*(K88:R88="קצת")))&gt;0.01)*(((K88:R88="כן")+(K88:R88="קצת")+(K88:R88="עוד לא"))*((S88:Z88="רוב הזמן")+(S88:Z88="לפעמים")+(S88:Z88="עדיין לא")))))</f>
        <v/>
      </c>
      <c r="AQ88" s="27" t="str">
        <f aca="false">IF($A88="","",COUNTIF(AA88:AB88,"כן"))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7" t="str">
        <f aca="false">IF($A89="","",$A89&amp;"|"&amp;$C89)</f>
        <v/>
      </c>
      <c r="AG89" s="27" t="str">
        <f aca="false">IF($A89="","",IF(OR(H89="לא נבדק",H89=""),"לא נבדק",IF(AND(H89="בחר/ה בעצמו/ה",I89="כן",J89="לא"),"מלא",IF(OR(H89="בחר/ה בעצמו/ה",I89="כן"),"חלקי","עדיין לא"))))</f>
        <v/>
      </c>
      <c r="AH89" s="28" t="str">
        <f aca="false">IF($A89="","",IFERROR((COUNTIF(K89:L89,"כן")+0.5*COUNTIF(K89:L89,"קצת"))/(COUNTIF(K89:L89,"כן")+COUNTIF(K89:L89,"קצת")+COUNTIF(K89:L89,"עוד לא")),""))</f>
        <v/>
      </c>
      <c r="AI89" s="28" t="str">
        <f aca="false">IF($A89="","",IFERROR((COUNTIF(M89:N89,"כן")+0.5*COUNTIF(M89:N89,"קצת"))/(COUNTIF(M89:N89,"כן")+COUNTIF(M89:N89,"קצת")+COUNTIF(M89:N89,"עוד לא")),""))</f>
        <v/>
      </c>
      <c r="AJ89" s="28" t="str">
        <f aca="false">IF($A89="","",IFERROR((COUNTIF(O89:P89,"כן")+0.5*COUNTIF(O89:P89,"קצת"))/(COUNTIF(O89:P89,"כן")+COUNTIF(O89:P89,"קצת")+COUNTIF(O89:P89,"עוד לא")),""))</f>
        <v/>
      </c>
      <c r="AK89" s="28" t="str">
        <f aca="false">IF($A89="","",IFERROR((COUNTIF(Q89:R89,"כן")+0.5*COUNTIF(Q89:R89,"קצת"))/(COUNTIF(Q89:R89,"כן")+COUNTIF(Q89:R89,"קצת")+COUNTIF(Q89:R89,"עוד לא")),""))</f>
        <v/>
      </c>
      <c r="AL89" s="28" t="str">
        <f aca="false">IF($A89="","",IFERROR((COUNTIF(K89:R89,"כן")+0.5*COUNTIF(K89:R89,"קצת"))/(COUNTIF(K89:R89,"כן")+COUNTIF(K89:R89,"קצת")+COUNTIF(K89:R89,"עוד לא")),""))</f>
        <v/>
      </c>
      <c r="AM89" s="28" t="str">
        <f aca="false">IF($A89="","",IFERROR((COUNTIF(S89:Z89,"רוב הזמן")+0.5*COUNTIF(S89:Z89,"לפעמים"))/(COUNTIF(S89:Z89,"רוב הזמן")+COUNTIF(S89:Z89,"לפעמים")+COUNTIF(S89:Z89,"עדיין לא")),""))</f>
        <v/>
      </c>
      <c r="AN89" s="28" t="str">
        <f aca="false">IF($A89="","",IFERROR(1-SUMPRODUCT(ABS(((K89:R89="כן")+0.5*(K89:R89="קצת"))-((S89:Z89="רוב הזמן")+0.5*(S89:Z89="לפעמים")))*(((K89:R89="כן")+(K89:R89="קצת")+(K89:R89="עוד לא"))*((S89:Z89="רוב הזמן")+(S89:Z89="לפעמים")+(S89:Z89="עדיין לא"))))/SUMPRODUCT((((K89:R89="כן")+(K89:R89="קצת")+(K89:R89="עוד לא"))*((S89:Z89="רוב הזמן")+(S89:Z89="לפעמים")+(S89:Z89="עדיין לא")))),""))</f>
        <v/>
      </c>
      <c r="AO89" s="27" t="str">
        <f aca="false">IF($A89="","",SUMPRODUCT(((((K89:R89="כן")+0.5*(K89:R89="קצת"))-((S89:Z89="רוב הזמן")+0.5*(S89:Z89="לפעמים")))&gt;0.01)*(((K89:R89="כן")+(K89:R89="קצת")+(K89:R89="עוד לא"))*((S89:Z89="רוב הזמן")+(S89:Z89="לפעמים")+(S89:Z89="עדיין לא")))))</f>
        <v/>
      </c>
      <c r="AP89" s="27" t="str">
        <f aca="false">IF($A89="","",SUMPRODUCT(((((S89:Z89="רוב הזמן")+0.5*(S89:Z89="לפעמים"))-((K89:R89="כן")+0.5*(K89:R89="קצת")))&gt;0.01)*(((K89:R89="כן")+(K89:R89="קצת")+(K89:R89="עוד לא"))*((S89:Z89="רוב הזמן")+(S89:Z89="לפעמים")+(S89:Z89="עדיין לא")))))</f>
        <v/>
      </c>
      <c r="AQ89" s="27" t="str">
        <f aca="false">IF($A89="","",COUNTIF(AA89:AB89,"כן"))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7" t="str">
        <f aca="false">IF($A90="","",$A90&amp;"|"&amp;$C90)</f>
        <v/>
      </c>
      <c r="AG90" s="27" t="str">
        <f aca="false">IF($A90="","",IF(OR(H90="לא נבדק",H90=""),"לא נבדק",IF(AND(H90="בחר/ה בעצמו/ה",I90="כן",J90="לא"),"מלא",IF(OR(H90="בחר/ה בעצמו/ה",I90="כן"),"חלקי","עדיין לא"))))</f>
        <v/>
      </c>
      <c r="AH90" s="28" t="str">
        <f aca="false">IF($A90="","",IFERROR((COUNTIF(K90:L90,"כן")+0.5*COUNTIF(K90:L90,"קצת"))/(COUNTIF(K90:L90,"כן")+COUNTIF(K90:L90,"קצת")+COUNTIF(K90:L90,"עוד לא")),""))</f>
        <v/>
      </c>
      <c r="AI90" s="28" t="str">
        <f aca="false">IF($A90="","",IFERROR((COUNTIF(M90:N90,"כן")+0.5*COUNTIF(M90:N90,"קצת"))/(COUNTIF(M90:N90,"כן")+COUNTIF(M90:N90,"קצת")+COUNTIF(M90:N90,"עוד לא")),""))</f>
        <v/>
      </c>
      <c r="AJ90" s="28" t="str">
        <f aca="false">IF($A90="","",IFERROR((COUNTIF(O90:P90,"כן")+0.5*COUNTIF(O90:P90,"קצת"))/(COUNTIF(O90:P90,"כן")+COUNTIF(O90:P90,"קצת")+COUNTIF(O90:P90,"עוד לא")),""))</f>
        <v/>
      </c>
      <c r="AK90" s="28" t="str">
        <f aca="false">IF($A90="","",IFERROR((COUNTIF(Q90:R90,"כן")+0.5*COUNTIF(Q90:R90,"קצת"))/(COUNTIF(Q90:R90,"כן")+COUNTIF(Q90:R90,"קצת")+COUNTIF(Q90:R90,"עוד לא")),""))</f>
        <v/>
      </c>
      <c r="AL90" s="28" t="str">
        <f aca="false">IF($A90="","",IFERROR((COUNTIF(K90:R90,"כן")+0.5*COUNTIF(K90:R90,"קצת"))/(COUNTIF(K90:R90,"כן")+COUNTIF(K90:R90,"קצת")+COUNTIF(K90:R90,"עוד לא")),""))</f>
        <v/>
      </c>
      <c r="AM90" s="28" t="str">
        <f aca="false">IF($A90="","",IFERROR((COUNTIF(S90:Z90,"רוב הזמן")+0.5*COUNTIF(S90:Z90,"לפעמים"))/(COUNTIF(S90:Z90,"רוב הזמן")+COUNTIF(S90:Z90,"לפעמים")+COUNTIF(S90:Z90,"עדיין לא")),""))</f>
        <v/>
      </c>
      <c r="AN90" s="28" t="str">
        <f aca="false">IF($A90="","",IFERROR(1-SUMPRODUCT(ABS(((K90:R90="כן")+0.5*(K90:R90="קצת"))-((S90:Z90="רוב הזמן")+0.5*(S90:Z90="לפעמים")))*(((K90:R90="כן")+(K90:R90="קצת")+(K90:R90="עוד לא"))*((S90:Z90="רוב הזמן")+(S90:Z90="לפעמים")+(S90:Z90="עדיין לא"))))/SUMPRODUCT((((K90:R90="כן")+(K90:R90="קצת")+(K90:R90="עוד לא"))*((S90:Z90="רוב הזמן")+(S90:Z90="לפעמים")+(S90:Z90="עדיין לא")))),""))</f>
        <v/>
      </c>
      <c r="AO90" s="27" t="str">
        <f aca="false">IF($A90="","",SUMPRODUCT(((((K90:R90="כן")+0.5*(K90:R90="קצת"))-((S90:Z90="רוב הזמן")+0.5*(S90:Z90="לפעמים")))&gt;0.01)*(((K90:R90="כן")+(K90:R90="קצת")+(K90:R90="עוד לא"))*((S90:Z90="רוב הזמן")+(S90:Z90="לפעמים")+(S90:Z90="עדיין לא")))))</f>
        <v/>
      </c>
      <c r="AP90" s="27" t="str">
        <f aca="false">IF($A90="","",SUMPRODUCT(((((S90:Z90="רוב הזמן")+0.5*(S90:Z90="לפעמים"))-((K90:R90="כן")+0.5*(K90:R90="קצת")))&gt;0.01)*(((K90:R90="כן")+(K90:R90="קצת")+(K90:R90="עוד לא"))*((S90:Z90="רוב הזמן")+(S90:Z90="לפעמים")+(S90:Z90="עדיין לא")))))</f>
        <v/>
      </c>
      <c r="AQ90" s="27" t="str">
        <f aca="false">IF($A90="","",COUNTIF(AA90:AB90,"כן"))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7" t="str">
        <f aca="false">IF($A91="","",$A91&amp;"|"&amp;$C91)</f>
        <v/>
      </c>
      <c r="AG91" s="27" t="str">
        <f aca="false">IF($A91="","",IF(OR(H91="לא נבדק",H91=""),"לא נבדק",IF(AND(H91="בחר/ה בעצמו/ה",I91="כן",J91="לא"),"מלא",IF(OR(H91="בחר/ה בעצמו/ה",I91="כן"),"חלקי","עדיין לא"))))</f>
        <v/>
      </c>
      <c r="AH91" s="28" t="str">
        <f aca="false">IF($A91="","",IFERROR((COUNTIF(K91:L91,"כן")+0.5*COUNTIF(K91:L91,"קצת"))/(COUNTIF(K91:L91,"כן")+COUNTIF(K91:L91,"קצת")+COUNTIF(K91:L91,"עוד לא")),""))</f>
        <v/>
      </c>
      <c r="AI91" s="28" t="str">
        <f aca="false">IF($A91="","",IFERROR((COUNTIF(M91:N91,"כן")+0.5*COUNTIF(M91:N91,"קצת"))/(COUNTIF(M91:N91,"כן")+COUNTIF(M91:N91,"קצת")+COUNTIF(M91:N91,"עוד לא")),""))</f>
        <v/>
      </c>
      <c r="AJ91" s="28" t="str">
        <f aca="false">IF($A91="","",IFERROR((COUNTIF(O91:P91,"כן")+0.5*COUNTIF(O91:P91,"קצת"))/(COUNTIF(O91:P91,"כן")+COUNTIF(O91:P91,"קצת")+COUNTIF(O91:P91,"עוד לא")),""))</f>
        <v/>
      </c>
      <c r="AK91" s="28" t="str">
        <f aca="false">IF($A91="","",IFERROR((COUNTIF(Q91:R91,"כן")+0.5*COUNTIF(Q91:R91,"קצת"))/(COUNTIF(Q91:R91,"כן")+COUNTIF(Q91:R91,"קצת")+COUNTIF(Q91:R91,"עוד לא")),""))</f>
        <v/>
      </c>
      <c r="AL91" s="28" t="str">
        <f aca="false">IF($A91="","",IFERROR((COUNTIF(K91:R91,"כן")+0.5*COUNTIF(K91:R91,"קצת"))/(COUNTIF(K91:R91,"כן")+COUNTIF(K91:R91,"קצת")+COUNTIF(K91:R91,"עוד לא")),""))</f>
        <v/>
      </c>
      <c r="AM91" s="28" t="str">
        <f aca="false">IF($A91="","",IFERROR((COUNTIF(S91:Z91,"רוב הזמן")+0.5*COUNTIF(S91:Z91,"לפעמים"))/(COUNTIF(S91:Z91,"רוב הזמן")+COUNTIF(S91:Z91,"לפעמים")+COUNTIF(S91:Z91,"עדיין לא")),""))</f>
        <v/>
      </c>
      <c r="AN91" s="28" t="str">
        <f aca="false">IF($A91="","",IFERROR(1-SUMPRODUCT(ABS(((K91:R91="כן")+0.5*(K91:R91="קצת"))-((S91:Z91="רוב הזמן")+0.5*(S91:Z91="לפעמים")))*(((K91:R91="כן")+(K91:R91="קצת")+(K91:R91="עוד לא"))*((S91:Z91="רוב הזמן")+(S91:Z91="לפעמים")+(S91:Z91="עדיין לא"))))/SUMPRODUCT((((K91:R91="כן")+(K91:R91="קצת")+(K91:R91="עוד לא"))*((S91:Z91="רוב הזמן")+(S91:Z91="לפעמים")+(S91:Z91="עדיין לא")))),""))</f>
        <v/>
      </c>
      <c r="AO91" s="27" t="str">
        <f aca="false">IF($A91="","",SUMPRODUCT(((((K91:R91="כן")+0.5*(K91:R91="קצת"))-((S91:Z91="רוב הזמן")+0.5*(S91:Z91="לפעמים")))&gt;0.01)*(((K91:R91="כן")+(K91:R91="קצת")+(K91:R91="עוד לא"))*((S91:Z91="רוב הזמן")+(S91:Z91="לפעמים")+(S91:Z91="עדיין לא")))))</f>
        <v/>
      </c>
      <c r="AP91" s="27" t="str">
        <f aca="false">IF($A91="","",SUMPRODUCT(((((S91:Z91="רוב הזמן")+0.5*(S91:Z91="לפעמים"))-((K91:R91="כן")+0.5*(K91:R91="קצת")))&gt;0.01)*(((K91:R91="כן")+(K91:R91="קצת")+(K91:R91="עוד לא"))*((S91:Z91="רוב הזמן")+(S91:Z91="לפעמים")+(S91:Z91="עדיין לא")))))</f>
        <v/>
      </c>
      <c r="AQ91" s="27" t="str">
        <f aca="false">IF($A91="","",COUNTIF(AA91:AB91,"כן"))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7" t="str">
        <f aca="false">IF($A92="","",$A92&amp;"|"&amp;$C92)</f>
        <v/>
      </c>
      <c r="AG92" s="27" t="str">
        <f aca="false">IF($A92="","",IF(OR(H92="לא נבדק",H92=""),"לא נבדק",IF(AND(H92="בחר/ה בעצמו/ה",I92="כן",J92="לא"),"מלא",IF(OR(H92="בחר/ה בעצמו/ה",I92="כן"),"חלקי","עדיין לא"))))</f>
        <v/>
      </c>
      <c r="AH92" s="28" t="str">
        <f aca="false">IF($A92="","",IFERROR((COUNTIF(K92:L92,"כן")+0.5*COUNTIF(K92:L92,"קצת"))/(COUNTIF(K92:L92,"כן")+COUNTIF(K92:L92,"קצת")+COUNTIF(K92:L92,"עוד לא")),""))</f>
        <v/>
      </c>
      <c r="AI92" s="28" t="str">
        <f aca="false">IF($A92="","",IFERROR((COUNTIF(M92:N92,"כן")+0.5*COUNTIF(M92:N92,"קצת"))/(COUNTIF(M92:N92,"כן")+COUNTIF(M92:N92,"קצת")+COUNTIF(M92:N92,"עוד לא")),""))</f>
        <v/>
      </c>
      <c r="AJ92" s="28" t="str">
        <f aca="false">IF($A92="","",IFERROR((COUNTIF(O92:P92,"כן")+0.5*COUNTIF(O92:P92,"קצת"))/(COUNTIF(O92:P92,"כן")+COUNTIF(O92:P92,"קצת")+COUNTIF(O92:P92,"עוד לא")),""))</f>
        <v/>
      </c>
      <c r="AK92" s="28" t="str">
        <f aca="false">IF($A92="","",IFERROR((COUNTIF(Q92:R92,"כן")+0.5*COUNTIF(Q92:R92,"קצת"))/(COUNTIF(Q92:R92,"כן")+COUNTIF(Q92:R92,"קצת")+COUNTIF(Q92:R92,"עוד לא")),""))</f>
        <v/>
      </c>
      <c r="AL92" s="28" t="str">
        <f aca="false">IF($A92="","",IFERROR((COUNTIF(K92:R92,"כן")+0.5*COUNTIF(K92:R92,"קצת"))/(COUNTIF(K92:R92,"כן")+COUNTIF(K92:R92,"קצת")+COUNTIF(K92:R92,"עוד לא")),""))</f>
        <v/>
      </c>
      <c r="AM92" s="28" t="str">
        <f aca="false">IF($A92="","",IFERROR((COUNTIF(S92:Z92,"רוב הזמן")+0.5*COUNTIF(S92:Z92,"לפעמים"))/(COUNTIF(S92:Z92,"רוב הזמן")+COUNTIF(S92:Z92,"לפעמים")+COUNTIF(S92:Z92,"עדיין לא")),""))</f>
        <v/>
      </c>
      <c r="AN92" s="28" t="str">
        <f aca="false">IF($A92="","",IFERROR(1-SUMPRODUCT(ABS(((K92:R92="כן")+0.5*(K92:R92="קצת"))-((S92:Z92="רוב הזמן")+0.5*(S92:Z92="לפעמים")))*(((K92:R92="כן")+(K92:R92="קצת")+(K92:R92="עוד לא"))*((S92:Z92="רוב הזמן")+(S92:Z92="לפעמים")+(S92:Z92="עדיין לא"))))/SUMPRODUCT((((K92:R92="כן")+(K92:R92="קצת")+(K92:R92="עוד לא"))*((S92:Z92="רוב הזמן")+(S92:Z92="לפעמים")+(S92:Z92="עדיין לא")))),""))</f>
        <v/>
      </c>
      <c r="AO92" s="27" t="str">
        <f aca="false">IF($A92="","",SUMPRODUCT(((((K92:R92="כן")+0.5*(K92:R92="קצת"))-((S92:Z92="רוב הזמן")+0.5*(S92:Z92="לפעמים")))&gt;0.01)*(((K92:R92="כן")+(K92:R92="קצת")+(K92:R92="עוד לא"))*((S92:Z92="רוב הזמן")+(S92:Z92="לפעמים")+(S92:Z92="עדיין לא")))))</f>
        <v/>
      </c>
      <c r="AP92" s="27" t="str">
        <f aca="false">IF($A92="","",SUMPRODUCT(((((S92:Z92="רוב הזמן")+0.5*(S92:Z92="לפעמים"))-((K92:R92="כן")+0.5*(K92:R92="קצת")))&gt;0.01)*(((K92:R92="כן")+(K92:R92="קצת")+(K92:R92="עוד לא"))*((S92:Z92="רוב הזמן")+(S92:Z92="לפעמים")+(S92:Z92="עדיין לא")))))</f>
        <v/>
      </c>
      <c r="AQ92" s="27" t="str">
        <f aca="false">IF($A92="","",COUNTIF(AA92:AB92,"כן"))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7" t="str">
        <f aca="false">IF($A93="","",$A93&amp;"|"&amp;$C93)</f>
        <v/>
      </c>
      <c r="AG93" s="27" t="str">
        <f aca="false">IF($A93="","",IF(OR(H93="לא נבדק",H93=""),"לא נבדק",IF(AND(H93="בחר/ה בעצמו/ה",I93="כן",J93="לא"),"מלא",IF(OR(H93="בחר/ה בעצמו/ה",I93="כן"),"חלקי","עדיין לא"))))</f>
        <v/>
      </c>
      <c r="AH93" s="28" t="str">
        <f aca="false">IF($A93="","",IFERROR((COUNTIF(K93:L93,"כן")+0.5*COUNTIF(K93:L93,"קצת"))/(COUNTIF(K93:L93,"כן")+COUNTIF(K93:L93,"קצת")+COUNTIF(K93:L93,"עוד לא")),""))</f>
        <v/>
      </c>
      <c r="AI93" s="28" t="str">
        <f aca="false">IF($A93="","",IFERROR((COUNTIF(M93:N93,"כן")+0.5*COUNTIF(M93:N93,"קצת"))/(COUNTIF(M93:N93,"כן")+COUNTIF(M93:N93,"קצת")+COUNTIF(M93:N93,"עוד לא")),""))</f>
        <v/>
      </c>
      <c r="AJ93" s="28" t="str">
        <f aca="false">IF($A93="","",IFERROR((COUNTIF(O93:P93,"כן")+0.5*COUNTIF(O93:P93,"קצת"))/(COUNTIF(O93:P93,"כן")+COUNTIF(O93:P93,"קצת")+COUNTIF(O93:P93,"עוד לא")),""))</f>
        <v/>
      </c>
      <c r="AK93" s="28" t="str">
        <f aca="false">IF($A93="","",IFERROR((COUNTIF(Q93:R93,"כן")+0.5*COUNTIF(Q93:R93,"קצת"))/(COUNTIF(Q93:R93,"כן")+COUNTIF(Q93:R93,"קצת")+COUNTIF(Q93:R93,"עוד לא")),""))</f>
        <v/>
      </c>
      <c r="AL93" s="28" t="str">
        <f aca="false">IF($A93="","",IFERROR((COUNTIF(K93:R93,"כן")+0.5*COUNTIF(K93:R93,"קצת"))/(COUNTIF(K93:R93,"כן")+COUNTIF(K93:R93,"קצת")+COUNTIF(K93:R93,"עוד לא")),""))</f>
        <v/>
      </c>
      <c r="AM93" s="28" t="str">
        <f aca="false">IF($A93="","",IFERROR((COUNTIF(S93:Z93,"רוב הזמן")+0.5*COUNTIF(S93:Z93,"לפעמים"))/(COUNTIF(S93:Z93,"רוב הזמן")+COUNTIF(S93:Z93,"לפעמים")+COUNTIF(S93:Z93,"עדיין לא")),""))</f>
        <v/>
      </c>
      <c r="AN93" s="28" t="str">
        <f aca="false">IF($A93="","",IFERROR(1-SUMPRODUCT(ABS(((K93:R93="כן")+0.5*(K93:R93="קצת"))-((S93:Z93="רוב הזמן")+0.5*(S93:Z93="לפעמים")))*(((K93:R93="כן")+(K93:R93="קצת")+(K93:R93="עוד לא"))*((S93:Z93="רוב הזמן")+(S93:Z93="לפעמים")+(S93:Z93="עדיין לא"))))/SUMPRODUCT((((K93:R93="כן")+(K93:R93="קצת")+(K93:R93="עוד לא"))*((S93:Z93="רוב הזמן")+(S93:Z93="לפעמים")+(S93:Z93="עדיין לא")))),""))</f>
        <v/>
      </c>
      <c r="AO93" s="27" t="str">
        <f aca="false">IF($A93="","",SUMPRODUCT(((((K93:R93="כן")+0.5*(K93:R93="קצת"))-((S93:Z93="רוב הזמן")+0.5*(S93:Z93="לפעמים")))&gt;0.01)*(((K93:R93="כן")+(K93:R93="קצת")+(K93:R93="עוד לא"))*((S93:Z93="רוב הזמן")+(S93:Z93="לפעמים")+(S93:Z93="עדיין לא")))))</f>
        <v/>
      </c>
      <c r="AP93" s="27" t="str">
        <f aca="false">IF($A93="","",SUMPRODUCT(((((S93:Z93="רוב הזמן")+0.5*(S93:Z93="לפעמים"))-((K93:R93="כן")+0.5*(K93:R93="קצת")))&gt;0.01)*(((K93:R93="כן")+(K93:R93="קצת")+(K93:R93="עוד לא"))*((S93:Z93="רוב הזמן")+(S93:Z93="לפעמים")+(S93:Z93="עדיין לא")))))</f>
        <v/>
      </c>
      <c r="AQ93" s="27" t="str">
        <f aca="false">IF($A93="","",COUNTIF(AA93:AB93,"כן"))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7" t="str">
        <f aca="false">IF($A94="","",$A94&amp;"|"&amp;$C94)</f>
        <v/>
      </c>
      <c r="AG94" s="27" t="str">
        <f aca="false">IF($A94="","",IF(OR(H94="לא נבדק",H94=""),"לא נבדק",IF(AND(H94="בחר/ה בעצמו/ה",I94="כן",J94="לא"),"מלא",IF(OR(H94="בחר/ה בעצמו/ה",I94="כן"),"חלקי","עדיין לא"))))</f>
        <v/>
      </c>
      <c r="AH94" s="28" t="str">
        <f aca="false">IF($A94="","",IFERROR((COUNTIF(K94:L94,"כן")+0.5*COUNTIF(K94:L94,"קצת"))/(COUNTIF(K94:L94,"כן")+COUNTIF(K94:L94,"קצת")+COUNTIF(K94:L94,"עוד לא")),""))</f>
        <v/>
      </c>
      <c r="AI94" s="28" t="str">
        <f aca="false">IF($A94="","",IFERROR((COUNTIF(M94:N94,"כן")+0.5*COUNTIF(M94:N94,"קצת"))/(COUNTIF(M94:N94,"כן")+COUNTIF(M94:N94,"קצת")+COUNTIF(M94:N94,"עוד לא")),""))</f>
        <v/>
      </c>
      <c r="AJ94" s="28" t="str">
        <f aca="false">IF($A94="","",IFERROR((COUNTIF(O94:P94,"כן")+0.5*COUNTIF(O94:P94,"קצת"))/(COUNTIF(O94:P94,"כן")+COUNTIF(O94:P94,"קצת")+COUNTIF(O94:P94,"עוד לא")),""))</f>
        <v/>
      </c>
      <c r="AK94" s="28" t="str">
        <f aca="false">IF($A94="","",IFERROR((COUNTIF(Q94:R94,"כן")+0.5*COUNTIF(Q94:R94,"קצת"))/(COUNTIF(Q94:R94,"כן")+COUNTIF(Q94:R94,"קצת")+COUNTIF(Q94:R94,"עוד לא")),""))</f>
        <v/>
      </c>
      <c r="AL94" s="28" t="str">
        <f aca="false">IF($A94="","",IFERROR((COUNTIF(K94:R94,"כן")+0.5*COUNTIF(K94:R94,"קצת"))/(COUNTIF(K94:R94,"כן")+COUNTIF(K94:R94,"קצת")+COUNTIF(K94:R94,"עוד לא")),""))</f>
        <v/>
      </c>
      <c r="AM94" s="28" t="str">
        <f aca="false">IF($A94="","",IFERROR((COUNTIF(S94:Z94,"רוב הזמן")+0.5*COUNTIF(S94:Z94,"לפעמים"))/(COUNTIF(S94:Z94,"רוב הזמן")+COUNTIF(S94:Z94,"לפעמים")+COUNTIF(S94:Z94,"עדיין לא")),""))</f>
        <v/>
      </c>
      <c r="AN94" s="28" t="str">
        <f aca="false">IF($A94="","",IFERROR(1-SUMPRODUCT(ABS(((K94:R94="כן")+0.5*(K94:R94="קצת"))-((S94:Z94="רוב הזמן")+0.5*(S94:Z94="לפעמים")))*(((K94:R94="כן")+(K94:R94="קצת")+(K94:R94="עוד לא"))*((S94:Z94="רוב הזמן")+(S94:Z94="לפעמים")+(S94:Z94="עדיין לא"))))/SUMPRODUCT((((K94:R94="כן")+(K94:R94="קצת")+(K94:R94="עוד לא"))*((S94:Z94="רוב הזמן")+(S94:Z94="לפעמים")+(S94:Z94="עדיין לא")))),""))</f>
        <v/>
      </c>
      <c r="AO94" s="27" t="str">
        <f aca="false">IF($A94="","",SUMPRODUCT(((((K94:R94="כן")+0.5*(K94:R94="קצת"))-((S94:Z94="רוב הזמן")+0.5*(S94:Z94="לפעמים")))&gt;0.01)*(((K94:R94="כן")+(K94:R94="קצת")+(K94:R94="עוד לא"))*((S94:Z94="רוב הזמן")+(S94:Z94="לפעמים")+(S94:Z94="עדיין לא")))))</f>
        <v/>
      </c>
      <c r="AP94" s="27" t="str">
        <f aca="false">IF($A94="","",SUMPRODUCT(((((S94:Z94="רוב הזמן")+0.5*(S94:Z94="לפעמים"))-((K94:R94="כן")+0.5*(K94:R94="קצת")))&gt;0.01)*(((K94:R94="כן")+(K94:R94="קצת")+(K94:R94="עוד לא"))*((S94:Z94="רוב הזמן")+(S94:Z94="לפעמים")+(S94:Z94="עדיין לא")))))</f>
        <v/>
      </c>
      <c r="AQ94" s="27" t="str">
        <f aca="false">IF($A94="","",COUNTIF(AA94:AB94,"כן"))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7" t="str">
        <f aca="false">IF($A95="","",$A95&amp;"|"&amp;$C95)</f>
        <v/>
      </c>
      <c r="AG95" s="27" t="str">
        <f aca="false">IF($A95="","",IF(OR(H95="לא נבדק",H95=""),"לא נבדק",IF(AND(H95="בחר/ה בעצמו/ה",I95="כן",J95="לא"),"מלא",IF(OR(H95="בחר/ה בעצמו/ה",I95="כן"),"חלקי","עדיין לא"))))</f>
        <v/>
      </c>
      <c r="AH95" s="28" t="str">
        <f aca="false">IF($A95="","",IFERROR((COUNTIF(K95:L95,"כן")+0.5*COUNTIF(K95:L95,"קצת"))/(COUNTIF(K95:L95,"כן")+COUNTIF(K95:L95,"קצת")+COUNTIF(K95:L95,"עוד לא")),""))</f>
        <v/>
      </c>
      <c r="AI95" s="28" t="str">
        <f aca="false">IF($A95="","",IFERROR((COUNTIF(M95:N95,"כן")+0.5*COUNTIF(M95:N95,"קצת"))/(COUNTIF(M95:N95,"כן")+COUNTIF(M95:N95,"קצת")+COUNTIF(M95:N95,"עוד לא")),""))</f>
        <v/>
      </c>
      <c r="AJ95" s="28" t="str">
        <f aca="false">IF($A95="","",IFERROR((COUNTIF(O95:P95,"כן")+0.5*COUNTIF(O95:P95,"קצת"))/(COUNTIF(O95:P95,"כן")+COUNTIF(O95:P95,"קצת")+COUNTIF(O95:P95,"עוד לא")),""))</f>
        <v/>
      </c>
      <c r="AK95" s="28" t="str">
        <f aca="false">IF($A95="","",IFERROR((COUNTIF(Q95:R95,"כן")+0.5*COUNTIF(Q95:R95,"קצת"))/(COUNTIF(Q95:R95,"כן")+COUNTIF(Q95:R95,"קצת")+COUNTIF(Q95:R95,"עוד לא")),""))</f>
        <v/>
      </c>
      <c r="AL95" s="28" t="str">
        <f aca="false">IF($A95="","",IFERROR((COUNTIF(K95:R95,"כן")+0.5*COUNTIF(K95:R95,"קצת"))/(COUNTIF(K95:R95,"כן")+COUNTIF(K95:R95,"קצת")+COUNTIF(K95:R95,"עוד לא")),""))</f>
        <v/>
      </c>
      <c r="AM95" s="28" t="str">
        <f aca="false">IF($A95="","",IFERROR((COUNTIF(S95:Z95,"רוב הזמן")+0.5*COUNTIF(S95:Z95,"לפעמים"))/(COUNTIF(S95:Z95,"רוב הזמן")+COUNTIF(S95:Z95,"לפעמים")+COUNTIF(S95:Z95,"עדיין לא")),""))</f>
        <v/>
      </c>
      <c r="AN95" s="28" t="str">
        <f aca="false">IF($A95="","",IFERROR(1-SUMPRODUCT(ABS(((K95:R95="כן")+0.5*(K95:R95="קצת"))-((S95:Z95="רוב הזמן")+0.5*(S95:Z95="לפעמים")))*(((K95:R95="כן")+(K95:R95="קצת")+(K95:R95="עוד לא"))*((S95:Z95="רוב הזמן")+(S95:Z95="לפעמים")+(S95:Z95="עדיין לא"))))/SUMPRODUCT((((K95:R95="כן")+(K95:R95="קצת")+(K95:R95="עוד לא"))*((S95:Z95="רוב הזמן")+(S95:Z95="לפעמים")+(S95:Z95="עדיין לא")))),""))</f>
        <v/>
      </c>
      <c r="AO95" s="27" t="str">
        <f aca="false">IF($A95="","",SUMPRODUCT(((((K95:R95="כן")+0.5*(K95:R95="קצת"))-((S95:Z95="רוב הזמן")+0.5*(S95:Z95="לפעמים")))&gt;0.01)*(((K95:R95="כן")+(K95:R95="קצת")+(K95:R95="עוד לא"))*((S95:Z95="רוב הזמן")+(S95:Z95="לפעמים")+(S95:Z95="עדיין לא")))))</f>
        <v/>
      </c>
      <c r="AP95" s="27" t="str">
        <f aca="false">IF($A95="","",SUMPRODUCT(((((S95:Z95="רוב הזמן")+0.5*(S95:Z95="לפעמים"))-((K95:R95="כן")+0.5*(K95:R95="קצת")))&gt;0.01)*(((K95:R95="כן")+(K95:R95="קצת")+(K95:R95="עוד לא"))*((S95:Z95="רוב הזמן")+(S95:Z95="לפעמים")+(S95:Z95="עדיין לא")))))</f>
        <v/>
      </c>
      <c r="AQ95" s="27" t="str">
        <f aca="false">IF($A95="","",COUNTIF(AA95:AB95,"כן"))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7" t="str">
        <f aca="false">IF($A96="","",$A96&amp;"|"&amp;$C96)</f>
        <v/>
      </c>
      <c r="AG96" s="27" t="str">
        <f aca="false">IF($A96="","",IF(OR(H96="לא נבדק",H96=""),"לא נבדק",IF(AND(H96="בחר/ה בעצמו/ה",I96="כן",J96="לא"),"מלא",IF(OR(H96="בחר/ה בעצמו/ה",I96="כן"),"חלקי","עדיין לא"))))</f>
        <v/>
      </c>
      <c r="AH96" s="28" t="str">
        <f aca="false">IF($A96="","",IFERROR((COUNTIF(K96:L96,"כן")+0.5*COUNTIF(K96:L96,"קצת"))/(COUNTIF(K96:L96,"כן")+COUNTIF(K96:L96,"קצת")+COUNTIF(K96:L96,"עוד לא")),""))</f>
        <v/>
      </c>
      <c r="AI96" s="28" t="str">
        <f aca="false">IF($A96="","",IFERROR((COUNTIF(M96:N96,"כן")+0.5*COUNTIF(M96:N96,"קצת"))/(COUNTIF(M96:N96,"כן")+COUNTIF(M96:N96,"קצת")+COUNTIF(M96:N96,"עוד לא")),""))</f>
        <v/>
      </c>
      <c r="AJ96" s="28" t="str">
        <f aca="false">IF($A96="","",IFERROR((COUNTIF(O96:P96,"כן")+0.5*COUNTIF(O96:P96,"קצת"))/(COUNTIF(O96:P96,"כן")+COUNTIF(O96:P96,"קצת")+COUNTIF(O96:P96,"עוד לא")),""))</f>
        <v/>
      </c>
      <c r="AK96" s="28" t="str">
        <f aca="false">IF($A96="","",IFERROR((COUNTIF(Q96:R96,"כן")+0.5*COUNTIF(Q96:R96,"קצת"))/(COUNTIF(Q96:R96,"כן")+COUNTIF(Q96:R96,"קצת")+COUNTIF(Q96:R96,"עוד לא")),""))</f>
        <v/>
      </c>
      <c r="AL96" s="28" t="str">
        <f aca="false">IF($A96="","",IFERROR((COUNTIF(K96:R96,"כן")+0.5*COUNTIF(K96:R96,"קצת"))/(COUNTIF(K96:R96,"כן")+COUNTIF(K96:R96,"קצת")+COUNTIF(K96:R96,"עוד לא")),""))</f>
        <v/>
      </c>
      <c r="AM96" s="28" t="str">
        <f aca="false">IF($A96="","",IFERROR((COUNTIF(S96:Z96,"רוב הזמן")+0.5*COUNTIF(S96:Z96,"לפעמים"))/(COUNTIF(S96:Z96,"רוב הזמן")+COUNTIF(S96:Z96,"לפעמים")+COUNTIF(S96:Z96,"עדיין לא")),""))</f>
        <v/>
      </c>
      <c r="AN96" s="28" t="str">
        <f aca="false">IF($A96="","",IFERROR(1-SUMPRODUCT(ABS(((K96:R96="כן")+0.5*(K96:R96="קצת"))-((S96:Z96="רוב הזמן")+0.5*(S96:Z96="לפעמים")))*(((K96:R96="כן")+(K96:R96="קצת")+(K96:R96="עוד לא"))*((S96:Z96="רוב הזמן")+(S96:Z96="לפעמים")+(S96:Z96="עדיין לא"))))/SUMPRODUCT((((K96:R96="כן")+(K96:R96="קצת")+(K96:R96="עוד לא"))*((S96:Z96="רוב הזמן")+(S96:Z96="לפעמים")+(S96:Z96="עדיין לא")))),""))</f>
        <v/>
      </c>
      <c r="AO96" s="27" t="str">
        <f aca="false">IF($A96="","",SUMPRODUCT(((((K96:R96="כן")+0.5*(K96:R96="קצת"))-((S96:Z96="רוב הזמן")+0.5*(S96:Z96="לפעמים")))&gt;0.01)*(((K96:R96="כן")+(K96:R96="קצת")+(K96:R96="עוד לא"))*((S96:Z96="רוב הזמן")+(S96:Z96="לפעמים")+(S96:Z96="עדיין לא")))))</f>
        <v/>
      </c>
      <c r="AP96" s="27" t="str">
        <f aca="false">IF($A96="","",SUMPRODUCT(((((S96:Z96="רוב הזמן")+0.5*(S96:Z96="לפעמים"))-((K96:R96="כן")+0.5*(K96:R96="קצת")))&gt;0.01)*(((K96:R96="כן")+(K96:R96="קצת")+(K96:R96="עוד לא"))*((S96:Z96="רוב הזמן")+(S96:Z96="לפעמים")+(S96:Z96="עדיין לא")))))</f>
        <v/>
      </c>
      <c r="AQ96" s="27" t="str">
        <f aca="false">IF($A96="","",COUNTIF(AA96:AB96,"כן"))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7" t="str">
        <f aca="false">IF($A97="","",$A97&amp;"|"&amp;$C97)</f>
        <v/>
      </c>
      <c r="AG97" s="27" t="str">
        <f aca="false">IF($A97="","",IF(OR(H97="לא נבדק",H97=""),"לא נבדק",IF(AND(H97="בחר/ה בעצמו/ה",I97="כן",J97="לא"),"מלא",IF(OR(H97="בחר/ה בעצמו/ה",I97="כן"),"חלקי","עדיין לא"))))</f>
        <v/>
      </c>
      <c r="AH97" s="28" t="str">
        <f aca="false">IF($A97="","",IFERROR((COUNTIF(K97:L97,"כן")+0.5*COUNTIF(K97:L97,"קצת"))/(COUNTIF(K97:L97,"כן")+COUNTIF(K97:L97,"קצת")+COUNTIF(K97:L97,"עוד לא")),""))</f>
        <v/>
      </c>
      <c r="AI97" s="28" t="str">
        <f aca="false">IF($A97="","",IFERROR((COUNTIF(M97:N97,"כן")+0.5*COUNTIF(M97:N97,"קצת"))/(COUNTIF(M97:N97,"כן")+COUNTIF(M97:N97,"קצת")+COUNTIF(M97:N97,"עוד לא")),""))</f>
        <v/>
      </c>
      <c r="AJ97" s="28" t="str">
        <f aca="false">IF($A97="","",IFERROR((COUNTIF(O97:P97,"כן")+0.5*COUNTIF(O97:P97,"קצת"))/(COUNTIF(O97:P97,"כן")+COUNTIF(O97:P97,"קצת")+COUNTIF(O97:P97,"עוד לא")),""))</f>
        <v/>
      </c>
      <c r="AK97" s="28" t="str">
        <f aca="false">IF($A97="","",IFERROR((COUNTIF(Q97:R97,"כן")+0.5*COUNTIF(Q97:R97,"קצת"))/(COUNTIF(Q97:R97,"כן")+COUNTIF(Q97:R97,"קצת")+COUNTIF(Q97:R97,"עוד לא")),""))</f>
        <v/>
      </c>
      <c r="AL97" s="28" t="str">
        <f aca="false">IF($A97="","",IFERROR((COUNTIF(K97:R97,"כן")+0.5*COUNTIF(K97:R97,"קצת"))/(COUNTIF(K97:R97,"כן")+COUNTIF(K97:R97,"קצת")+COUNTIF(K97:R97,"עוד לא")),""))</f>
        <v/>
      </c>
      <c r="AM97" s="28" t="str">
        <f aca="false">IF($A97="","",IFERROR((COUNTIF(S97:Z97,"רוב הזמן")+0.5*COUNTIF(S97:Z97,"לפעמים"))/(COUNTIF(S97:Z97,"רוב הזמן")+COUNTIF(S97:Z97,"לפעמים")+COUNTIF(S97:Z97,"עדיין לא")),""))</f>
        <v/>
      </c>
      <c r="AN97" s="28" t="str">
        <f aca="false">IF($A97="","",IFERROR(1-SUMPRODUCT(ABS(((K97:R97="כן")+0.5*(K97:R97="קצת"))-((S97:Z97="רוב הזמן")+0.5*(S97:Z97="לפעמים")))*(((K97:R97="כן")+(K97:R97="קצת")+(K97:R97="עוד לא"))*((S97:Z97="רוב הזמן")+(S97:Z97="לפעמים")+(S97:Z97="עדיין לא"))))/SUMPRODUCT((((K97:R97="כן")+(K97:R97="קצת")+(K97:R97="עוד לא"))*((S97:Z97="רוב הזמן")+(S97:Z97="לפעמים")+(S97:Z97="עדיין לא")))),""))</f>
        <v/>
      </c>
      <c r="AO97" s="27" t="str">
        <f aca="false">IF($A97="","",SUMPRODUCT(((((K97:R97="כן")+0.5*(K97:R97="קצת"))-((S97:Z97="רוב הזמן")+0.5*(S97:Z97="לפעמים")))&gt;0.01)*(((K97:R97="כן")+(K97:R97="קצת")+(K97:R97="עוד לא"))*((S97:Z97="רוב הזמן")+(S97:Z97="לפעמים")+(S97:Z97="עדיין לא")))))</f>
        <v/>
      </c>
      <c r="AP97" s="27" t="str">
        <f aca="false">IF($A97="","",SUMPRODUCT(((((S97:Z97="רוב הזמן")+0.5*(S97:Z97="לפעמים"))-((K97:R97="כן")+0.5*(K97:R97="קצת")))&gt;0.01)*(((K97:R97="כן")+(K97:R97="קצת")+(K97:R97="עוד לא"))*((S97:Z97="רוב הזמן")+(S97:Z97="לפעמים")+(S97:Z97="עדיין לא")))))</f>
        <v/>
      </c>
      <c r="AQ97" s="27" t="str">
        <f aca="false">IF($A97="","",COUNTIF(AA97:AB97,"כן"))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7" t="str">
        <f aca="false">IF($A98="","",$A98&amp;"|"&amp;$C98)</f>
        <v/>
      </c>
      <c r="AG98" s="27" t="str">
        <f aca="false">IF($A98="","",IF(OR(H98="לא נבדק",H98=""),"לא נבדק",IF(AND(H98="בחר/ה בעצמו/ה",I98="כן",J98="לא"),"מלא",IF(OR(H98="בחר/ה בעצמו/ה",I98="כן"),"חלקי","עדיין לא"))))</f>
        <v/>
      </c>
      <c r="AH98" s="28" t="str">
        <f aca="false">IF($A98="","",IFERROR((COUNTIF(K98:L98,"כן")+0.5*COUNTIF(K98:L98,"קצת"))/(COUNTIF(K98:L98,"כן")+COUNTIF(K98:L98,"קצת")+COUNTIF(K98:L98,"עוד לא")),""))</f>
        <v/>
      </c>
      <c r="AI98" s="28" t="str">
        <f aca="false">IF($A98="","",IFERROR((COUNTIF(M98:N98,"כן")+0.5*COUNTIF(M98:N98,"קצת"))/(COUNTIF(M98:N98,"כן")+COUNTIF(M98:N98,"קצת")+COUNTIF(M98:N98,"עוד לא")),""))</f>
        <v/>
      </c>
      <c r="AJ98" s="28" t="str">
        <f aca="false">IF($A98="","",IFERROR((COUNTIF(O98:P98,"כן")+0.5*COUNTIF(O98:P98,"קצת"))/(COUNTIF(O98:P98,"כן")+COUNTIF(O98:P98,"קצת")+COUNTIF(O98:P98,"עוד לא")),""))</f>
        <v/>
      </c>
      <c r="AK98" s="28" t="str">
        <f aca="false">IF($A98="","",IFERROR((COUNTIF(Q98:R98,"כן")+0.5*COUNTIF(Q98:R98,"קצת"))/(COUNTIF(Q98:R98,"כן")+COUNTIF(Q98:R98,"קצת")+COUNTIF(Q98:R98,"עוד לא")),""))</f>
        <v/>
      </c>
      <c r="AL98" s="28" t="str">
        <f aca="false">IF($A98="","",IFERROR((COUNTIF(K98:R98,"כן")+0.5*COUNTIF(K98:R98,"קצת"))/(COUNTIF(K98:R98,"כן")+COUNTIF(K98:R98,"קצת")+COUNTIF(K98:R98,"עוד לא")),""))</f>
        <v/>
      </c>
      <c r="AM98" s="28" t="str">
        <f aca="false">IF($A98="","",IFERROR((COUNTIF(S98:Z98,"רוב הזמן")+0.5*COUNTIF(S98:Z98,"לפעמים"))/(COUNTIF(S98:Z98,"רוב הזמן")+COUNTIF(S98:Z98,"לפעמים")+COUNTIF(S98:Z98,"עדיין לא")),""))</f>
        <v/>
      </c>
      <c r="AN98" s="28" t="str">
        <f aca="false">IF($A98="","",IFERROR(1-SUMPRODUCT(ABS(((K98:R98="כן")+0.5*(K98:R98="קצת"))-((S98:Z98="רוב הזמן")+0.5*(S98:Z98="לפעמים")))*(((K98:R98="כן")+(K98:R98="קצת")+(K98:R98="עוד לא"))*((S98:Z98="רוב הזמן")+(S98:Z98="לפעמים")+(S98:Z98="עדיין לא"))))/SUMPRODUCT((((K98:R98="כן")+(K98:R98="קצת")+(K98:R98="עוד לא"))*((S98:Z98="רוב הזמן")+(S98:Z98="לפעמים")+(S98:Z98="עדיין לא")))),""))</f>
        <v/>
      </c>
      <c r="AO98" s="27" t="str">
        <f aca="false">IF($A98="","",SUMPRODUCT(((((K98:R98="כן")+0.5*(K98:R98="קצת"))-((S98:Z98="רוב הזמן")+0.5*(S98:Z98="לפעמים")))&gt;0.01)*(((K98:R98="כן")+(K98:R98="קצת")+(K98:R98="עוד לא"))*((S98:Z98="רוב הזמן")+(S98:Z98="לפעמים")+(S98:Z98="עדיין לא")))))</f>
        <v/>
      </c>
      <c r="AP98" s="27" t="str">
        <f aca="false">IF($A98="","",SUMPRODUCT(((((S98:Z98="רוב הזמן")+0.5*(S98:Z98="לפעמים"))-((K98:R98="כן")+0.5*(K98:R98="קצת")))&gt;0.01)*(((K98:R98="כן")+(K98:R98="קצת")+(K98:R98="עוד לא"))*((S98:Z98="רוב הזמן")+(S98:Z98="לפעמים")+(S98:Z98="עדיין לא")))))</f>
        <v/>
      </c>
      <c r="AQ98" s="27" t="str">
        <f aca="false">IF($A98="","",COUNTIF(AA98:AB98,"כן"))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7" t="str">
        <f aca="false">IF($A99="","",$A99&amp;"|"&amp;$C99)</f>
        <v/>
      </c>
      <c r="AG99" s="27" t="str">
        <f aca="false">IF($A99="","",IF(OR(H99="לא נבדק",H99=""),"לא נבדק",IF(AND(H99="בחר/ה בעצמו/ה",I99="כן",J99="לא"),"מלא",IF(OR(H99="בחר/ה בעצמו/ה",I99="כן"),"חלקי","עדיין לא"))))</f>
        <v/>
      </c>
      <c r="AH99" s="28" t="str">
        <f aca="false">IF($A99="","",IFERROR((COUNTIF(K99:L99,"כן")+0.5*COUNTIF(K99:L99,"קצת"))/(COUNTIF(K99:L99,"כן")+COUNTIF(K99:L99,"קצת")+COUNTIF(K99:L99,"עוד לא")),""))</f>
        <v/>
      </c>
      <c r="AI99" s="28" t="str">
        <f aca="false">IF($A99="","",IFERROR((COUNTIF(M99:N99,"כן")+0.5*COUNTIF(M99:N99,"קצת"))/(COUNTIF(M99:N99,"כן")+COUNTIF(M99:N99,"קצת")+COUNTIF(M99:N99,"עוד לא")),""))</f>
        <v/>
      </c>
      <c r="AJ99" s="28" t="str">
        <f aca="false">IF($A99="","",IFERROR((COUNTIF(O99:P99,"כן")+0.5*COUNTIF(O99:P99,"קצת"))/(COUNTIF(O99:P99,"כן")+COUNTIF(O99:P99,"קצת")+COUNTIF(O99:P99,"עוד לא")),""))</f>
        <v/>
      </c>
      <c r="AK99" s="28" t="str">
        <f aca="false">IF($A99="","",IFERROR((COUNTIF(Q99:R99,"כן")+0.5*COUNTIF(Q99:R99,"קצת"))/(COUNTIF(Q99:R99,"כן")+COUNTIF(Q99:R99,"קצת")+COUNTIF(Q99:R99,"עוד לא")),""))</f>
        <v/>
      </c>
      <c r="AL99" s="28" t="str">
        <f aca="false">IF($A99="","",IFERROR((COUNTIF(K99:R99,"כן")+0.5*COUNTIF(K99:R99,"קצת"))/(COUNTIF(K99:R99,"כן")+COUNTIF(K99:R99,"קצת")+COUNTIF(K99:R99,"עוד לא")),""))</f>
        <v/>
      </c>
      <c r="AM99" s="28" t="str">
        <f aca="false">IF($A99="","",IFERROR((COUNTIF(S99:Z99,"רוב הזמן")+0.5*COUNTIF(S99:Z99,"לפעמים"))/(COUNTIF(S99:Z99,"רוב הזמן")+COUNTIF(S99:Z99,"לפעמים")+COUNTIF(S99:Z99,"עדיין לא")),""))</f>
        <v/>
      </c>
      <c r="AN99" s="28" t="str">
        <f aca="false">IF($A99="","",IFERROR(1-SUMPRODUCT(ABS(((K99:R99="כן")+0.5*(K99:R99="קצת"))-((S99:Z99="רוב הזמן")+0.5*(S99:Z99="לפעמים")))*(((K99:R99="כן")+(K99:R99="קצת")+(K99:R99="עוד לא"))*((S99:Z99="רוב הזמן")+(S99:Z99="לפעמים")+(S99:Z99="עדיין לא"))))/SUMPRODUCT((((K99:R99="כן")+(K99:R99="קצת")+(K99:R99="עוד לא"))*((S99:Z99="רוב הזמן")+(S99:Z99="לפעמים")+(S99:Z99="עדיין לא")))),""))</f>
        <v/>
      </c>
      <c r="AO99" s="27" t="str">
        <f aca="false">IF($A99="","",SUMPRODUCT(((((K99:R99="כן")+0.5*(K99:R99="קצת"))-((S99:Z99="רוב הזמן")+0.5*(S99:Z99="לפעמים")))&gt;0.01)*(((K99:R99="כן")+(K99:R99="קצת")+(K99:R99="עוד לא"))*((S99:Z99="רוב הזמן")+(S99:Z99="לפעמים")+(S99:Z99="עדיין לא")))))</f>
        <v/>
      </c>
      <c r="AP99" s="27" t="str">
        <f aca="false">IF($A99="","",SUMPRODUCT(((((S99:Z99="רוב הזמן")+0.5*(S99:Z99="לפעמים"))-((K99:R99="כן")+0.5*(K99:R99="קצת")))&gt;0.01)*(((K99:R99="כן")+(K99:R99="קצת")+(K99:R99="עוד לא"))*((S99:Z99="רוב הזמן")+(S99:Z99="לפעמים")+(S99:Z99="עדיין לא")))))</f>
        <v/>
      </c>
      <c r="AQ99" s="27" t="str">
        <f aca="false">IF($A99="","",COUNTIF(AA99:AB99,"כן"))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7" t="str">
        <f aca="false">IF($A100="","",$A100&amp;"|"&amp;$C100)</f>
        <v/>
      </c>
      <c r="AG100" s="27" t="str">
        <f aca="false">IF($A100="","",IF(OR(H100="לא נבדק",H100=""),"לא נבדק",IF(AND(H100="בחר/ה בעצמו/ה",I100="כן",J100="לא"),"מלא",IF(OR(H100="בחר/ה בעצמו/ה",I100="כן"),"חלקי","עדיין לא"))))</f>
        <v/>
      </c>
      <c r="AH100" s="28" t="str">
        <f aca="false">IF($A100="","",IFERROR((COUNTIF(K100:L100,"כן")+0.5*COUNTIF(K100:L100,"קצת"))/(COUNTIF(K100:L100,"כן")+COUNTIF(K100:L100,"קצת")+COUNTIF(K100:L100,"עוד לא")),""))</f>
        <v/>
      </c>
      <c r="AI100" s="28" t="str">
        <f aca="false">IF($A100="","",IFERROR((COUNTIF(M100:N100,"כן")+0.5*COUNTIF(M100:N100,"קצת"))/(COUNTIF(M100:N100,"כן")+COUNTIF(M100:N100,"קצת")+COUNTIF(M100:N100,"עוד לא")),""))</f>
        <v/>
      </c>
      <c r="AJ100" s="28" t="str">
        <f aca="false">IF($A100="","",IFERROR((COUNTIF(O100:P100,"כן")+0.5*COUNTIF(O100:P100,"קצת"))/(COUNTIF(O100:P100,"כן")+COUNTIF(O100:P100,"קצת")+COUNTIF(O100:P100,"עוד לא")),""))</f>
        <v/>
      </c>
      <c r="AK100" s="28" t="str">
        <f aca="false">IF($A100="","",IFERROR((COUNTIF(Q100:R100,"כן")+0.5*COUNTIF(Q100:R100,"קצת"))/(COUNTIF(Q100:R100,"כן")+COUNTIF(Q100:R100,"קצת")+COUNTIF(Q100:R100,"עוד לא")),""))</f>
        <v/>
      </c>
      <c r="AL100" s="28" t="str">
        <f aca="false">IF($A100="","",IFERROR((COUNTIF(K100:R100,"כן")+0.5*COUNTIF(K100:R100,"קצת"))/(COUNTIF(K100:R100,"כן")+COUNTIF(K100:R100,"קצת")+COUNTIF(K100:R100,"עוד לא")),""))</f>
        <v/>
      </c>
      <c r="AM100" s="28" t="str">
        <f aca="false">IF($A100="","",IFERROR((COUNTIF(S100:Z100,"רוב הזמן")+0.5*COUNTIF(S100:Z100,"לפעמים"))/(COUNTIF(S100:Z100,"רוב הזמן")+COUNTIF(S100:Z100,"לפעמים")+COUNTIF(S100:Z100,"עדיין לא")),""))</f>
        <v/>
      </c>
      <c r="AN100" s="28" t="str">
        <f aca="false">IF($A100="","",IFERROR(1-SUMPRODUCT(ABS(((K100:R100="כן")+0.5*(K100:R100="קצת"))-((S100:Z100="רוב הזמן")+0.5*(S100:Z100="לפעמים")))*(((K100:R100="כן")+(K100:R100="קצת")+(K100:R100="עוד לא"))*((S100:Z100="רוב הזמן")+(S100:Z100="לפעמים")+(S100:Z100="עדיין לא"))))/SUMPRODUCT((((K100:R100="כן")+(K100:R100="קצת")+(K100:R100="עוד לא"))*((S100:Z100="רוב הזמן")+(S100:Z100="לפעמים")+(S100:Z100="עדיין לא")))),""))</f>
        <v/>
      </c>
      <c r="AO100" s="27" t="str">
        <f aca="false">IF($A100="","",SUMPRODUCT(((((K100:R100="כן")+0.5*(K100:R100="קצת"))-((S100:Z100="רוב הזמן")+0.5*(S100:Z100="לפעמים")))&gt;0.01)*(((K100:R100="כן")+(K100:R100="קצת")+(K100:R100="עוד לא"))*((S100:Z100="רוב הזמן")+(S100:Z100="לפעמים")+(S100:Z100="עדיין לא")))))</f>
        <v/>
      </c>
      <c r="AP100" s="27" t="str">
        <f aca="false">IF($A100="","",SUMPRODUCT(((((S100:Z100="רוב הזמן")+0.5*(S100:Z100="לפעמים"))-((K100:R100="כן")+0.5*(K100:R100="קצת")))&gt;0.01)*(((K100:R100="כן")+(K100:R100="קצת")+(K100:R100="עוד לא"))*((S100:Z100="רוב הזמן")+(S100:Z100="לפעמים")+(S100:Z100="עדיין לא")))))</f>
        <v/>
      </c>
      <c r="AQ100" s="27" t="str">
        <f aca="false">IF($A100="","",COUNTIF(AA100:AB100,"כן"))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7" t="str">
        <f aca="false">IF($A101="","",$A101&amp;"|"&amp;$C101)</f>
        <v/>
      </c>
      <c r="AG101" s="27" t="str">
        <f aca="false">IF($A101="","",IF(OR(H101="לא נבדק",H101=""),"לא נבדק",IF(AND(H101="בחר/ה בעצמו/ה",I101="כן",J101="לא"),"מלא",IF(OR(H101="בחר/ה בעצמו/ה",I101="כן"),"חלקי","עדיין לא"))))</f>
        <v/>
      </c>
      <c r="AH101" s="28" t="str">
        <f aca="false">IF($A101="","",IFERROR((COUNTIF(K101:L101,"כן")+0.5*COUNTIF(K101:L101,"קצת"))/(COUNTIF(K101:L101,"כן")+COUNTIF(K101:L101,"קצת")+COUNTIF(K101:L101,"עוד לא")),""))</f>
        <v/>
      </c>
      <c r="AI101" s="28" t="str">
        <f aca="false">IF($A101="","",IFERROR((COUNTIF(M101:N101,"כן")+0.5*COUNTIF(M101:N101,"קצת"))/(COUNTIF(M101:N101,"כן")+COUNTIF(M101:N101,"קצת")+COUNTIF(M101:N101,"עוד לא")),""))</f>
        <v/>
      </c>
      <c r="AJ101" s="28" t="str">
        <f aca="false">IF($A101="","",IFERROR((COUNTIF(O101:P101,"כן")+0.5*COUNTIF(O101:P101,"קצת"))/(COUNTIF(O101:P101,"כן")+COUNTIF(O101:P101,"קצת")+COUNTIF(O101:P101,"עוד לא")),""))</f>
        <v/>
      </c>
      <c r="AK101" s="28" t="str">
        <f aca="false">IF($A101="","",IFERROR((COUNTIF(Q101:R101,"כן")+0.5*COUNTIF(Q101:R101,"קצת"))/(COUNTIF(Q101:R101,"כן")+COUNTIF(Q101:R101,"קצת")+COUNTIF(Q101:R101,"עוד לא")),""))</f>
        <v/>
      </c>
      <c r="AL101" s="28" t="str">
        <f aca="false">IF($A101="","",IFERROR((COUNTIF(K101:R101,"כן")+0.5*COUNTIF(K101:R101,"קצת"))/(COUNTIF(K101:R101,"כן")+COUNTIF(K101:R101,"קצת")+COUNTIF(K101:R101,"עוד לא")),""))</f>
        <v/>
      </c>
      <c r="AM101" s="28" t="str">
        <f aca="false">IF($A101="","",IFERROR((COUNTIF(S101:Z101,"רוב הזמן")+0.5*COUNTIF(S101:Z101,"לפעמים"))/(COUNTIF(S101:Z101,"רוב הזמן")+COUNTIF(S101:Z101,"לפעמים")+COUNTIF(S101:Z101,"עדיין לא")),""))</f>
        <v/>
      </c>
      <c r="AN101" s="28" t="str">
        <f aca="false">IF($A101="","",IFERROR(1-SUMPRODUCT(ABS(((K101:R101="כן")+0.5*(K101:R101="קצת"))-((S101:Z101="רוב הזמן")+0.5*(S101:Z101="לפעמים")))*(((K101:R101="כן")+(K101:R101="קצת")+(K101:R101="עוד לא"))*((S101:Z101="רוב הזמן")+(S101:Z101="לפעמים")+(S101:Z101="עדיין לא"))))/SUMPRODUCT((((K101:R101="כן")+(K101:R101="קצת")+(K101:R101="עוד לא"))*((S101:Z101="רוב הזמן")+(S101:Z101="לפעמים")+(S101:Z101="עדיין לא")))),""))</f>
        <v/>
      </c>
      <c r="AO101" s="27" t="str">
        <f aca="false">IF($A101="","",SUMPRODUCT(((((K101:R101="כן")+0.5*(K101:R101="קצת"))-((S101:Z101="רוב הזמן")+0.5*(S101:Z101="לפעמים")))&gt;0.01)*(((K101:R101="כן")+(K101:R101="קצת")+(K101:R101="עוד לא"))*((S101:Z101="רוב הזמן")+(S101:Z101="לפעמים")+(S101:Z101="עדיין לא")))))</f>
        <v/>
      </c>
      <c r="AP101" s="27" t="str">
        <f aca="false">IF($A101="","",SUMPRODUCT(((((S101:Z101="רוב הזמן")+0.5*(S101:Z101="לפעמים"))-((K101:R101="כן")+0.5*(K101:R101="קצת")))&gt;0.01)*(((K101:R101="כן")+(K101:R101="קצת")+(K101:R101="עוד לא"))*((S101:Z101="רוב הזמן")+(S101:Z101="לפעמים")+(S101:Z101="עדיין לא")))))</f>
        <v/>
      </c>
      <c r="AQ101" s="27" t="str">
        <f aca="false">IF($A101="","",COUNTIF(AA101:AB101,"כן"))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7" t="str">
        <f aca="false">IF($A102="","",$A102&amp;"|"&amp;$C102)</f>
        <v/>
      </c>
      <c r="AG102" s="27" t="str">
        <f aca="false">IF($A102="","",IF(OR(H102="לא נבדק",H102=""),"לא נבדק",IF(AND(H102="בחר/ה בעצמו/ה",I102="כן",J102="לא"),"מלא",IF(OR(H102="בחר/ה בעצמו/ה",I102="כן"),"חלקי","עדיין לא"))))</f>
        <v/>
      </c>
      <c r="AH102" s="28" t="str">
        <f aca="false">IF($A102="","",IFERROR((COUNTIF(K102:L102,"כן")+0.5*COUNTIF(K102:L102,"קצת"))/(COUNTIF(K102:L102,"כן")+COUNTIF(K102:L102,"קצת")+COUNTIF(K102:L102,"עוד לא")),""))</f>
        <v/>
      </c>
      <c r="AI102" s="28" t="str">
        <f aca="false">IF($A102="","",IFERROR((COUNTIF(M102:N102,"כן")+0.5*COUNTIF(M102:N102,"קצת"))/(COUNTIF(M102:N102,"כן")+COUNTIF(M102:N102,"קצת")+COUNTIF(M102:N102,"עוד לא")),""))</f>
        <v/>
      </c>
      <c r="AJ102" s="28" t="str">
        <f aca="false">IF($A102="","",IFERROR((COUNTIF(O102:P102,"כן")+0.5*COUNTIF(O102:P102,"קצת"))/(COUNTIF(O102:P102,"כן")+COUNTIF(O102:P102,"קצת")+COUNTIF(O102:P102,"עוד לא")),""))</f>
        <v/>
      </c>
      <c r="AK102" s="28" t="str">
        <f aca="false">IF($A102="","",IFERROR((COUNTIF(Q102:R102,"כן")+0.5*COUNTIF(Q102:R102,"קצת"))/(COUNTIF(Q102:R102,"כן")+COUNTIF(Q102:R102,"קצת")+COUNTIF(Q102:R102,"עוד לא")),""))</f>
        <v/>
      </c>
      <c r="AL102" s="28" t="str">
        <f aca="false">IF($A102="","",IFERROR((COUNTIF(K102:R102,"כן")+0.5*COUNTIF(K102:R102,"קצת"))/(COUNTIF(K102:R102,"כן")+COUNTIF(K102:R102,"קצת")+COUNTIF(K102:R102,"עוד לא")),""))</f>
        <v/>
      </c>
      <c r="AM102" s="28" t="str">
        <f aca="false">IF($A102="","",IFERROR((COUNTIF(S102:Z102,"רוב הזמן")+0.5*COUNTIF(S102:Z102,"לפעמים"))/(COUNTIF(S102:Z102,"רוב הזמן")+COUNTIF(S102:Z102,"לפעמים")+COUNTIF(S102:Z102,"עדיין לא")),""))</f>
        <v/>
      </c>
      <c r="AN102" s="28" t="str">
        <f aca="false">IF($A102="","",IFERROR(1-SUMPRODUCT(ABS(((K102:R102="כן")+0.5*(K102:R102="קצת"))-((S102:Z102="רוב הזמן")+0.5*(S102:Z102="לפעמים")))*(((K102:R102="כן")+(K102:R102="קצת")+(K102:R102="עוד לא"))*((S102:Z102="רוב הזמן")+(S102:Z102="לפעמים")+(S102:Z102="עדיין לא"))))/SUMPRODUCT((((K102:R102="כן")+(K102:R102="קצת")+(K102:R102="עוד לא"))*((S102:Z102="רוב הזמן")+(S102:Z102="לפעמים")+(S102:Z102="עדיין לא")))),""))</f>
        <v/>
      </c>
      <c r="AO102" s="27" t="str">
        <f aca="false">IF($A102="","",SUMPRODUCT(((((K102:R102="כן")+0.5*(K102:R102="קצת"))-((S102:Z102="רוב הזמן")+0.5*(S102:Z102="לפעמים")))&gt;0.01)*(((K102:R102="כן")+(K102:R102="קצת")+(K102:R102="עוד לא"))*((S102:Z102="רוב הזמן")+(S102:Z102="לפעמים")+(S102:Z102="עדיין לא")))))</f>
        <v/>
      </c>
      <c r="AP102" s="27" t="str">
        <f aca="false">IF($A102="","",SUMPRODUCT(((((S102:Z102="רוב הזמן")+0.5*(S102:Z102="לפעמים"))-((K102:R102="כן")+0.5*(K102:R102="קצת")))&gt;0.01)*(((K102:R102="כן")+(K102:R102="קצת")+(K102:R102="עוד לא"))*((S102:Z102="רוב הזמן")+(S102:Z102="לפעמים")+(S102:Z102="עדיין לא")))))</f>
        <v/>
      </c>
      <c r="AQ102" s="27" t="str">
        <f aca="false">IF($A102="","",COUNTIF(AA102:AB102,"כן"))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7" t="str">
        <f aca="false">IF($A103="","",$A103&amp;"|"&amp;$C103)</f>
        <v/>
      </c>
      <c r="AG103" s="27" t="str">
        <f aca="false">IF($A103="","",IF(OR(H103="לא נבדק",H103=""),"לא נבדק",IF(AND(H103="בחר/ה בעצמו/ה",I103="כן",J103="לא"),"מלא",IF(OR(H103="בחר/ה בעצמו/ה",I103="כן"),"חלקי","עדיין לא"))))</f>
        <v/>
      </c>
      <c r="AH103" s="28" t="str">
        <f aca="false">IF($A103="","",IFERROR((COUNTIF(K103:L103,"כן")+0.5*COUNTIF(K103:L103,"קצת"))/(COUNTIF(K103:L103,"כן")+COUNTIF(K103:L103,"קצת")+COUNTIF(K103:L103,"עוד לא")),""))</f>
        <v/>
      </c>
      <c r="AI103" s="28" t="str">
        <f aca="false">IF($A103="","",IFERROR((COUNTIF(M103:N103,"כן")+0.5*COUNTIF(M103:N103,"קצת"))/(COUNTIF(M103:N103,"כן")+COUNTIF(M103:N103,"קצת")+COUNTIF(M103:N103,"עוד לא")),""))</f>
        <v/>
      </c>
      <c r="AJ103" s="28" t="str">
        <f aca="false">IF($A103="","",IFERROR((COUNTIF(O103:P103,"כן")+0.5*COUNTIF(O103:P103,"קצת"))/(COUNTIF(O103:P103,"כן")+COUNTIF(O103:P103,"קצת")+COUNTIF(O103:P103,"עוד לא")),""))</f>
        <v/>
      </c>
      <c r="AK103" s="28" t="str">
        <f aca="false">IF($A103="","",IFERROR((COUNTIF(Q103:R103,"כן")+0.5*COUNTIF(Q103:R103,"קצת"))/(COUNTIF(Q103:R103,"כן")+COUNTIF(Q103:R103,"קצת")+COUNTIF(Q103:R103,"עוד לא")),""))</f>
        <v/>
      </c>
      <c r="AL103" s="28" t="str">
        <f aca="false">IF($A103="","",IFERROR((COUNTIF(K103:R103,"כן")+0.5*COUNTIF(K103:R103,"קצת"))/(COUNTIF(K103:R103,"כן")+COUNTIF(K103:R103,"קצת")+COUNTIF(K103:R103,"עוד לא")),""))</f>
        <v/>
      </c>
      <c r="AM103" s="28" t="str">
        <f aca="false">IF($A103="","",IFERROR((COUNTIF(S103:Z103,"רוב הזמן")+0.5*COUNTIF(S103:Z103,"לפעמים"))/(COUNTIF(S103:Z103,"רוב הזמן")+COUNTIF(S103:Z103,"לפעמים")+COUNTIF(S103:Z103,"עדיין לא")),""))</f>
        <v/>
      </c>
      <c r="AN103" s="28" t="str">
        <f aca="false">IF($A103="","",IFERROR(1-SUMPRODUCT(ABS(((K103:R103="כן")+0.5*(K103:R103="קצת"))-((S103:Z103="רוב הזמן")+0.5*(S103:Z103="לפעמים")))*(((K103:R103="כן")+(K103:R103="קצת")+(K103:R103="עוד לא"))*((S103:Z103="רוב הזמן")+(S103:Z103="לפעמים")+(S103:Z103="עדיין לא"))))/SUMPRODUCT((((K103:R103="כן")+(K103:R103="קצת")+(K103:R103="עוד לא"))*((S103:Z103="רוב הזמן")+(S103:Z103="לפעמים")+(S103:Z103="עדיין לא")))),""))</f>
        <v/>
      </c>
      <c r="AO103" s="27" t="str">
        <f aca="false">IF($A103="","",SUMPRODUCT(((((K103:R103="כן")+0.5*(K103:R103="קצת"))-((S103:Z103="רוב הזמן")+0.5*(S103:Z103="לפעמים")))&gt;0.01)*(((K103:R103="כן")+(K103:R103="קצת")+(K103:R103="עוד לא"))*((S103:Z103="רוב הזמן")+(S103:Z103="לפעמים")+(S103:Z103="עדיין לא")))))</f>
        <v/>
      </c>
      <c r="AP103" s="27" t="str">
        <f aca="false">IF($A103="","",SUMPRODUCT(((((S103:Z103="רוב הזמן")+0.5*(S103:Z103="לפעמים"))-((K103:R103="כן")+0.5*(K103:R103="קצת")))&gt;0.01)*(((K103:R103="כן")+(K103:R103="קצת")+(K103:R103="עוד לא"))*((S103:Z103="רוב הזמן")+(S103:Z103="לפעמים")+(S103:Z103="עדיין לא")))))</f>
        <v/>
      </c>
      <c r="AQ103" s="27" t="str">
        <f aca="false">IF($A103="","",COUNTIF(AA103:AB103,"כן"))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7" t="str">
        <f aca="false">IF($A104="","",$A104&amp;"|"&amp;$C104)</f>
        <v/>
      </c>
      <c r="AG104" s="27" t="str">
        <f aca="false">IF($A104="","",IF(OR(H104="לא נבדק",H104=""),"לא נבדק",IF(AND(H104="בחר/ה בעצמו/ה",I104="כן",J104="לא"),"מלא",IF(OR(H104="בחר/ה בעצמו/ה",I104="כן"),"חלקי","עדיין לא"))))</f>
        <v/>
      </c>
      <c r="AH104" s="28" t="str">
        <f aca="false">IF($A104="","",IFERROR((COUNTIF(K104:L104,"כן")+0.5*COUNTIF(K104:L104,"קצת"))/(COUNTIF(K104:L104,"כן")+COUNTIF(K104:L104,"קצת")+COUNTIF(K104:L104,"עוד לא")),""))</f>
        <v/>
      </c>
      <c r="AI104" s="28" t="str">
        <f aca="false">IF($A104="","",IFERROR((COUNTIF(M104:N104,"כן")+0.5*COUNTIF(M104:N104,"קצת"))/(COUNTIF(M104:N104,"כן")+COUNTIF(M104:N104,"קצת")+COUNTIF(M104:N104,"עוד לא")),""))</f>
        <v/>
      </c>
      <c r="AJ104" s="28" t="str">
        <f aca="false">IF($A104="","",IFERROR((COUNTIF(O104:P104,"כן")+0.5*COUNTIF(O104:P104,"קצת"))/(COUNTIF(O104:P104,"כן")+COUNTIF(O104:P104,"קצת")+COUNTIF(O104:P104,"עוד לא")),""))</f>
        <v/>
      </c>
      <c r="AK104" s="28" t="str">
        <f aca="false">IF($A104="","",IFERROR((COUNTIF(Q104:R104,"כן")+0.5*COUNTIF(Q104:R104,"קצת"))/(COUNTIF(Q104:R104,"כן")+COUNTIF(Q104:R104,"קצת")+COUNTIF(Q104:R104,"עוד לא")),""))</f>
        <v/>
      </c>
      <c r="AL104" s="28" t="str">
        <f aca="false">IF($A104="","",IFERROR((COUNTIF(K104:R104,"כן")+0.5*COUNTIF(K104:R104,"קצת"))/(COUNTIF(K104:R104,"כן")+COUNTIF(K104:R104,"קצת")+COUNTIF(K104:R104,"עוד לא")),""))</f>
        <v/>
      </c>
      <c r="AM104" s="28" t="str">
        <f aca="false">IF($A104="","",IFERROR((COUNTIF(S104:Z104,"רוב הזמן")+0.5*COUNTIF(S104:Z104,"לפעמים"))/(COUNTIF(S104:Z104,"רוב הזמן")+COUNTIF(S104:Z104,"לפעמים")+COUNTIF(S104:Z104,"עדיין לא")),""))</f>
        <v/>
      </c>
      <c r="AN104" s="28" t="str">
        <f aca="false">IF($A104="","",IFERROR(1-SUMPRODUCT(ABS(((K104:R104="כן")+0.5*(K104:R104="קצת"))-((S104:Z104="רוב הזמן")+0.5*(S104:Z104="לפעמים")))*(((K104:R104="כן")+(K104:R104="קצת")+(K104:R104="עוד לא"))*((S104:Z104="רוב הזמן")+(S104:Z104="לפעמים")+(S104:Z104="עדיין לא"))))/SUMPRODUCT((((K104:R104="כן")+(K104:R104="קצת")+(K104:R104="עוד לא"))*((S104:Z104="רוב הזמן")+(S104:Z104="לפעמים")+(S104:Z104="עדיין לא")))),""))</f>
        <v/>
      </c>
      <c r="AO104" s="27" t="str">
        <f aca="false">IF($A104="","",SUMPRODUCT(((((K104:R104="כן")+0.5*(K104:R104="קצת"))-((S104:Z104="רוב הזמן")+0.5*(S104:Z104="לפעמים")))&gt;0.01)*(((K104:R104="כן")+(K104:R104="קצת")+(K104:R104="עוד לא"))*((S104:Z104="רוב הזמן")+(S104:Z104="לפעמים")+(S104:Z104="עדיין לא")))))</f>
        <v/>
      </c>
      <c r="AP104" s="27" t="str">
        <f aca="false">IF($A104="","",SUMPRODUCT(((((S104:Z104="רוב הזמן")+0.5*(S104:Z104="לפעמים"))-((K104:R104="כן")+0.5*(K104:R104="קצת")))&gt;0.01)*(((K104:R104="כן")+(K104:R104="קצת")+(K104:R104="עוד לא"))*((S104:Z104="רוב הזמן")+(S104:Z104="לפעמים")+(S104:Z104="עדיין לא")))))</f>
        <v/>
      </c>
      <c r="AQ104" s="27" t="str">
        <f aca="false">IF($A104="","",COUNTIF(AA104:AB104,"כן"))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7" t="str">
        <f aca="false">IF($A105="","",$A105&amp;"|"&amp;$C105)</f>
        <v/>
      </c>
      <c r="AG105" s="27" t="str">
        <f aca="false">IF($A105="","",IF(OR(H105="לא נבדק",H105=""),"לא נבדק",IF(AND(H105="בחר/ה בעצמו/ה",I105="כן",J105="לא"),"מלא",IF(OR(H105="בחר/ה בעצמו/ה",I105="כן"),"חלקי","עדיין לא"))))</f>
        <v/>
      </c>
      <c r="AH105" s="28" t="str">
        <f aca="false">IF($A105="","",IFERROR((COUNTIF(K105:L105,"כן")+0.5*COUNTIF(K105:L105,"קצת"))/(COUNTIF(K105:L105,"כן")+COUNTIF(K105:L105,"קצת")+COUNTIF(K105:L105,"עוד לא")),""))</f>
        <v/>
      </c>
      <c r="AI105" s="28" t="str">
        <f aca="false">IF($A105="","",IFERROR((COUNTIF(M105:N105,"כן")+0.5*COUNTIF(M105:N105,"קצת"))/(COUNTIF(M105:N105,"כן")+COUNTIF(M105:N105,"קצת")+COUNTIF(M105:N105,"עוד לא")),""))</f>
        <v/>
      </c>
      <c r="AJ105" s="28" t="str">
        <f aca="false">IF($A105="","",IFERROR((COUNTIF(O105:P105,"כן")+0.5*COUNTIF(O105:P105,"קצת"))/(COUNTIF(O105:P105,"כן")+COUNTIF(O105:P105,"קצת")+COUNTIF(O105:P105,"עוד לא")),""))</f>
        <v/>
      </c>
      <c r="AK105" s="28" t="str">
        <f aca="false">IF($A105="","",IFERROR((COUNTIF(Q105:R105,"כן")+0.5*COUNTIF(Q105:R105,"קצת"))/(COUNTIF(Q105:R105,"כן")+COUNTIF(Q105:R105,"קצת")+COUNTIF(Q105:R105,"עוד לא")),""))</f>
        <v/>
      </c>
      <c r="AL105" s="28" t="str">
        <f aca="false">IF($A105="","",IFERROR((COUNTIF(K105:R105,"כן")+0.5*COUNTIF(K105:R105,"קצת"))/(COUNTIF(K105:R105,"כן")+COUNTIF(K105:R105,"קצת")+COUNTIF(K105:R105,"עוד לא")),""))</f>
        <v/>
      </c>
      <c r="AM105" s="28" t="str">
        <f aca="false">IF($A105="","",IFERROR((COUNTIF(S105:Z105,"רוב הזמן")+0.5*COUNTIF(S105:Z105,"לפעמים"))/(COUNTIF(S105:Z105,"רוב הזמן")+COUNTIF(S105:Z105,"לפעמים")+COUNTIF(S105:Z105,"עדיין לא")),""))</f>
        <v/>
      </c>
      <c r="AN105" s="28" t="str">
        <f aca="false">IF($A105="","",IFERROR(1-SUMPRODUCT(ABS(((K105:R105="כן")+0.5*(K105:R105="קצת"))-((S105:Z105="רוב הזמן")+0.5*(S105:Z105="לפעמים")))*(((K105:R105="כן")+(K105:R105="קצת")+(K105:R105="עוד לא"))*((S105:Z105="רוב הזמן")+(S105:Z105="לפעמים")+(S105:Z105="עדיין לא"))))/SUMPRODUCT((((K105:R105="כן")+(K105:R105="קצת")+(K105:R105="עוד לא"))*((S105:Z105="רוב הזמן")+(S105:Z105="לפעמים")+(S105:Z105="עדיין לא")))),""))</f>
        <v/>
      </c>
      <c r="AO105" s="27" t="str">
        <f aca="false">IF($A105="","",SUMPRODUCT(((((K105:R105="כן")+0.5*(K105:R105="קצת"))-((S105:Z105="רוב הזמן")+0.5*(S105:Z105="לפעמים")))&gt;0.01)*(((K105:R105="כן")+(K105:R105="קצת")+(K105:R105="עוד לא"))*((S105:Z105="רוב הזמן")+(S105:Z105="לפעמים")+(S105:Z105="עדיין לא")))))</f>
        <v/>
      </c>
      <c r="AP105" s="27" t="str">
        <f aca="false">IF($A105="","",SUMPRODUCT(((((S105:Z105="רוב הזמן")+0.5*(S105:Z105="לפעמים"))-((K105:R105="כן")+0.5*(K105:R105="קצת")))&gt;0.01)*(((K105:R105="כן")+(K105:R105="קצת")+(K105:R105="עוד לא"))*((S105:Z105="רוב הזמן")+(S105:Z105="לפעמים")+(S105:Z105="עדיין לא")))))</f>
        <v/>
      </c>
      <c r="AQ105" s="27" t="str">
        <f aca="false">IF($A105="","",COUNTIF(AA105:AB105,"כן"))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7" t="str">
        <f aca="false">IF($A106="","",$A106&amp;"|"&amp;$C106)</f>
        <v/>
      </c>
      <c r="AG106" s="27" t="str">
        <f aca="false">IF($A106="","",IF(OR(H106="לא נבדק",H106=""),"לא נבדק",IF(AND(H106="בחר/ה בעצמו/ה",I106="כן",J106="לא"),"מלא",IF(OR(H106="בחר/ה בעצמו/ה",I106="כן"),"חלקי","עדיין לא"))))</f>
        <v/>
      </c>
      <c r="AH106" s="28" t="str">
        <f aca="false">IF($A106="","",IFERROR((COUNTIF(K106:L106,"כן")+0.5*COUNTIF(K106:L106,"קצת"))/(COUNTIF(K106:L106,"כן")+COUNTIF(K106:L106,"קצת")+COUNTIF(K106:L106,"עוד לא")),""))</f>
        <v/>
      </c>
      <c r="AI106" s="28" t="str">
        <f aca="false">IF($A106="","",IFERROR((COUNTIF(M106:N106,"כן")+0.5*COUNTIF(M106:N106,"קצת"))/(COUNTIF(M106:N106,"כן")+COUNTIF(M106:N106,"קצת")+COUNTIF(M106:N106,"עוד לא")),""))</f>
        <v/>
      </c>
      <c r="AJ106" s="28" t="str">
        <f aca="false">IF($A106="","",IFERROR((COUNTIF(O106:P106,"כן")+0.5*COUNTIF(O106:P106,"קצת"))/(COUNTIF(O106:P106,"כן")+COUNTIF(O106:P106,"קצת")+COUNTIF(O106:P106,"עוד לא")),""))</f>
        <v/>
      </c>
      <c r="AK106" s="28" t="str">
        <f aca="false">IF($A106="","",IFERROR((COUNTIF(Q106:R106,"כן")+0.5*COUNTIF(Q106:R106,"קצת"))/(COUNTIF(Q106:R106,"כן")+COUNTIF(Q106:R106,"קצת")+COUNTIF(Q106:R106,"עוד לא")),""))</f>
        <v/>
      </c>
      <c r="AL106" s="28" t="str">
        <f aca="false">IF($A106="","",IFERROR((COUNTIF(K106:R106,"כן")+0.5*COUNTIF(K106:R106,"קצת"))/(COUNTIF(K106:R106,"כן")+COUNTIF(K106:R106,"קצת")+COUNTIF(K106:R106,"עוד לא")),""))</f>
        <v/>
      </c>
      <c r="AM106" s="28" t="str">
        <f aca="false">IF($A106="","",IFERROR((COUNTIF(S106:Z106,"רוב הזמן")+0.5*COUNTIF(S106:Z106,"לפעמים"))/(COUNTIF(S106:Z106,"רוב הזמן")+COUNTIF(S106:Z106,"לפעמים")+COUNTIF(S106:Z106,"עדיין לא")),""))</f>
        <v/>
      </c>
      <c r="AN106" s="28" t="str">
        <f aca="false">IF($A106="","",IFERROR(1-SUMPRODUCT(ABS(((K106:R106="כן")+0.5*(K106:R106="קצת"))-((S106:Z106="רוב הזמן")+0.5*(S106:Z106="לפעמים")))*(((K106:R106="כן")+(K106:R106="קצת")+(K106:R106="עוד לא"))*((S106:Z106="רוב הזמן")+(S106:Z106="לפעמים")+(S106:Z106="עדיין לא"))))/SUMPRODUCT((((K106:R106="כן")+(K106:R106="קצת")+(K106:R106="עוד לא"))*((S106:Z106="רוב הזמן")+(S106:Z106="לפעמים")+(S106:Z106="עדיין לא")))),""))</f>
        <v/>
      </c>
      <c r="AO106" s="27" t="str">
        <f aca="false">IF($A106="","",SUMPRODUCT(((((K106:R106="כן")+0.5*(K106:R106="קצת"))-((S106:Z106="רוב הזמן")+0.5*(S106:Z106="לפעמים")))&gt;0.01)*(((K106:R106="כן")+(K106:R106="קצת")+(K106:R106="עוד לא"))*((S106:Z106="רוב הזמן")+(S106:Z106="לפעמים")+(S106:Z106="עדיין לא")))))</f>
        <v/>
      </c>
      <c r="AP106" s="27" t="str">
        <f aca="false">IF($A106="","",SUMPRODUCT(((((S106:Z106="רוב הזמן")+0.5*(S106:Z106="לפעמים"))-((K106:R106="כן")+0.5*(K106:R106="קצת")))&gt;0.01)*(((K106:R106="כן")+(K106:R106="קצת")+(K106:R106="עוד לא"))*((S106:Z106="רוב הזמן")+(S106:Z106="לפעמים")+(S106:Z106="עדיין לא")))))</f>
        <v/>
      </c>
      <c r="AQ106" s="27" t="str">
        <f aca="false">IF($A106="","",COUNTIF(AA106:AB106,"כן"))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7" t="str">
        <f aca="false">IF($A107="","",$A107&amp;"|"&amp;$C107)</f>
        <v/>
      </c>
      <c r="AG107" s="27" t="str">
        <f aca="false">IF($A107="","",IF(OR(H107="לא נבדק",H107=""),"לא נבדק",IF(AND(H107="בחר/ה בעצמו/ה",I107="כן",J107="לא"),"מלא",IF(OR(H107="בחר/ה בעצמו/ה",I107="כן"),"חלקי","עדיין לא"))))</f>
        <v/>
      </c>
      <c r="AH107" s="28" t="str">
        <f aca="false">IF($A107="","",IFERROR((COUNTIF(K107:L107,"כן")+0.5*COUNTIF(K107:L107,"קצת"))/(COUNTIF(K107:L107,"כן")+COUNTIF(K107:L107,"קצת")+COUNTIF(K107:L107,"עוד לא")),""))</f>
        <v/>
      </c>
      <c r="AI107" s="28" t="str">
        <f aca="false">IF($A107="","",IFERROR((COUNTIF(M107:N107,"כן")+0.5*COUNTIF(M107:N107,"קצת"))/(COUNTIF(M107:N107,"כן")+COUNTIF(M107:N107,"קצת")+COUNTIF(M107:N107,"עוד לא")),""))</f>
        <v/>
      </c>
      <c r="AJ107" s="28" t="str">
        <f aca="false">IF($A107="","",IFERROR((COUNTIF(O107:P107,"כן")+0.5*COUNTIF(O107:P107,"קצת"))/(COUNTIF(O107:P107,"כן")+COUNTIF(O107:P107,"קצת")+COUNTIF(O107:P107,"עוד לא")),""))</f>
        <v/>
      </c>
      <c r="AK107" s="28" t="str">
        <f aca="false">IF($A107="","",IFERROR((COUNTIF(Q107:R107,"כן")+0.5*COUNTIF(Q107:R107,"קצת"))/(COUNTIF(Q107:R107,"כן")+COUNTIF(Q107:R107,"קצת")+COUNTIF(Q107:R107,"עוד לא")),""))</f>
        <v/>
      </c>
      <c r="AL107" s="28" t="str">
        <f aca="false">IF($A107="","",IFERROR((COUNTIF(K107:R107,"כן")+0.5*COUNTIF(K107:R107,"קצת"))/(COUNTIF(K107:R107,"כן")+COUNTIF(K107:R107,"קצת")+COUNTIF(K107:R107,"עוד לא")),""))</f>
        <v/>
      </c>
      <c r="AM107" s="28" t="str">
        <f aca="false">IF($A107="","",IFERROR((COUNTIF(S107:Z107,"רוב הזמן")+0.5*COUNTIF(S107:Z107,"לפעמים"))/(COUNTIF(S107:Z107,"רוב הזמן")+COUNTIF(S107:Z107,"לפעמים")+COUNTIF(S107:Z107,"עדיין לא")),""))</f>
        <v/>
      </c>
      <c r="AN107" s="28" t="str">
        <f aca="false">IF($A107="","",IFERROR(1-SUMPRODUCT(ABS(((K107:R107="כן")+0.5*(K107:R107="קצת"))-((S107:Z107="רוב הזמן")+0.5*(S107:Z107="לפעמים")))*(((K107:R107="כן")+(K107:R107="קצת")+(K107:R107="עוד לא"))*((S107:Z107="רוב הזמן")+(S107:Z107="לפעמים")+(S107:Z107="עדיין לא"))))/SUMPRODUCT((((K107:R107="כן")+(K107:R107="קצת")+(K107:R107="עוד לא"))*((S107:Z107="רוב הזמן")+(S107:Z107="לפעמים")+(S107:Z107="עדיין לא")))),""))</f>
        <v/>
      </c>
      <c r="AO107" s="27" t="str">
        <f aca="false">IF($A107="","",SUMPRODUCT(((((K107:R107="כן")+0.5*(K107:R107="קצת"))-((S107:Z107="רוב הזמן")+0.5*(S107:Z107="לפעמים")))&gt;0.01)*(((K107:R107="כן")+(K107:R107="קצת")+(K107:R107="עוד לא"))*((S107:Z107="רוב הזמן")+(S107:Z107="לפעמים")+(S107:Z107="עדיין לא")))))</f>
        <v/>
      </c>
      <c r="AP107" s="27" t="str">
        <f aca="false">IF($A107="","",SUMPRODUCT(((((S107:Z107="רוב הזמן")+0.5*(S107:Z107="לפעמים"))-((K107:R107="כן")+0.5*(K107:R107="קצת")))&gt;0.01)*(((K107:R107="כן")+(K107:R107="קצת")+(K107:R107="עוד לא"))*((S107:Z107="רוב הזמן")+(S107:Z107="לפעמים")+(S107:Z107="עדיין לא")))))</f>
        <v/>
      </c>
      <c r="AQ107" s="27" t="str">
        <f aca="false">IF($A107="","",COUNTIF(AA107:AB107,"כן"))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7" t="str">
        <f aca="false">IF($A108="","",$A108&amp;"|"&amp;$C108)</f>
        <v/>
      </c>
      <c r="AG108" s="27" t="str">
        <f aca="false">IF($A108="","",IF(OR(H108="לא נבדק",H108=""),"לא נבדק",IF(AND(H108="בחר/ה בעצמו/ה",I108="כן",J108="לא"),"מלא",IF(OR(H108="בחר/ה בעצמו/ה",I108="כן"),"חלקי","עדיין לא"))))</f>
        <v/>
      </c>
      <c r="AH108" s="28" t="str">
        <f aca="false">IF($A108="","",IFERROR((COUNTIF(K108:L108,"כן")+0.5*COUNTIF(K108:L108,"קצת"))/(COUNTIF(K108:L108,"כן")+COUNTIF(K108:L108,"קצת")+COUNTIF(K108:L108,"עוד לא")),""))</f>
        <v/>
      </c>
      <c r="AI108" s="28" t="str">
        <f aca="false">IF($A108="","",IFERROR((COUNTIF(M108:N108,"כן")+0.5*COUNTIF(M108:N108,"קצת"))/(COUNTIF(M108:N108,"כן")+COUNTIF(M108:N108,"קצת")+COUNTIF(M108:N108,"עוד לא")),""))</f>
        <v/>
      </c>
      <c r="AJ108" s="28" t="str">
        <f aca="false">IF($A108="","",IFERROR((COUNTIF(O108:P108,"כן")+0.5*COUNTIF(O108:P108,"קצת"))/(COUNTIF(O108:P108,"כן")+COUNTIF(O108:P108,"קצת")+COUNTIF(O108:P108,"עוד לא")),""))</f>
        <v/>
      </c>
      <c r="AK108" s="28" t="str">
        <f aca="false">IF($A108="","",IFERROR((COUNTIF(Q108:R108,"כן")+0.5*COUNTIF(Q108:R108,"קצת"))/(COUNTIF(Q108:R108,"כן")+COUNTIF(Q108:R108,"קצת")+COUNTIF(Q108:R108,"עוד לא")),""))</f>
        <v/>
      </c>
      <c r="AL108" s="28" t="str">
        <f aca="false">IF($A108="","",IFERROR((COUNTIF(K108:R108,"כן")+0.5*COUNTIF(K108:R108,"קצת"))/(COUNTIF(K108:R108,"כן")+COUNTIF(K108:R108,"קצת")+COUNTIF(K108:R108,"עוד לא")),""))</f>
        <v/>
      </c>
      <c r="AM108" s="28" t="str">
        <f aca="false">IF($A108="","",IFERROR((COUNTIF(S108:Z108,"רוב הזמן")+0.5*COUNTIF(S108:Z108,"לפעמים"))/(COUNTIF(S108:Z108,"רוב הזמן")+COUNTIF(S108:Z108,"לפעמים")+COUNTIF(S108:Z108,"עדיין לא")),""))</f>
        <v/>
      </c>
      <c r="AN108" s="28" t="str">
        <f aca="false">IF($A108="","",IFERROR(1-SUMPRODUCT(ABS(((K108:R108="כן")+0.5*(K108:R108="קצת"))-((S108:Z108="רוב הזמן")+0.5*(S108:Z108="לפעמים")))*(((K108:R108="כן")+(K108:R108="קצת")+(K108:R108="עוד לא"))*((S108:Z108="רוב הזמן")+(S108:Z108="לפעמים")+(S108:Z108="עדיין לא"))))/SUMPRODUCT((((K108:R108="כן")+(K108:R108="קצת")+(K108:R108="עוד לא"))*((S108:Z108="רוב הזמן")+(S108:Z108="לפעמים")+(S108:Z108="עדיין לא")))),""))</f>
        <v/>
      </c>
      <c r="AO108" s="27" t="str">
        <f aca="false">IF($A108="","",SUMPRODUCT(((((K108:R108="כן")+0.5*(K108:R108="קצת"))-((S108:Z108="רוב הזמן")+0.5*(S108:Z108="לפעמים")))&gt;0.01)*(((K108:R108="כן")+(K108:R108="קצת")+(K108:R108="עוד לא"))*((S108:Z108="רוב הזמן")+(S108:Z108="לפעמים")+(S108:Z108="עדיין לא")))))</f>
        <v/>
      </c>
      <c r="AP108" s="27" t="str">
        <f aca="false">IF($A108="","",SUMPRODUCT(((((S108:Z108="רוב הזמן")+0.5*(S108:Z108="לפעמים"))-((K108:R108="כן")+0.5*(K108:R108="קצת")))&gt;0.01)*(((K108:R108="כן")+(K108:R108="קצת")+(K108:R108="עוד לא"))*((S108:Z108="רוב הזמן")+(S108:Z108="לפעמים")+(S108:Z108="עדיין לא")))))</f>
        <v/>
      </c>
      <c r="AQ108" s="27" t="str">
        <f aca="false">IF($A108="","",COUNTIF(AA108:AB108,"כן"))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7" t="str">
        <f aca="false">IF($A109="","",$A109&amp;"|"&amp;$C109)</f>
        <v/>
      </c>
      <c r="AG109" s="27" t="str">
        <f aca="false">IF($A109="","",IF(OR(H109="לא נבדק",H109=""),"לא נבדק",IF(AND(H109="בחר/ה בעצמו/ה",I109="כן",J109="לא"),"מלא",IF(OR(H109="בחר/ה בעצמו/ה",I109="כן"),"חלקי","עדיין לא"))))</f>
        <v/>
      </c>
      <c r="AH109" s="28" t="str">
        <f aca="false">IF($A109="","",IFERROR((COUNTIF(K109:L109,"כן")+0.5*COUNTIF(K109:L109,"קצת"))/(COUNTIF(K109:L109,"כן")+COUNTIF(K109:L109,"קצת")+COUNTIF(K109:L109,"עוד לא")),""))</f>
        <v/>
      </c>
      <c r="AI109" s="28" t="str">
        <f aca="false">IF($A109="","",IFERROR((COUNTIF(M109:N109,"כן")+0.5*COUNTIF(M109:N109,"קצת"))/(COUNTIF(M109:N109,"כן")+COUNTIF(M109:N109,"קצת")+COUNTIF(M109:N109,"עוד לא")),""))</f>
        <v/>
      </c>
      <c r="AJ109" s="28" t="str">
        <f aca="false">IF($A109="","",IFERROR((COUNTIF(O109:P109,"כן")+0.5*COUNTIF(O109:P109,"קצת"))/(COUNTIF(O109:P109,"כן")+COUNTIF(O109:P109,"קצת")+COUNTIF(O109:P109,"עוד לא")),""))</f>
        <v/>
      </c>
      <c r="AK109" s="28" t="str">
        <f aca="false">IF($A109="","",IFERROR((COUNTIF(Q109:R109,"כן")+0.5*COUNTIF(Q109:R109,"קצת"))/(COUNTIF(Q109:R109,"כן")+COUNTIF(Q109:R109,"קצת")+COUNTIF(Q109:R109,"עוד לא")),""))</f>
        <v/>
      </c>
      <c r="AL109" s="28" t="str">
        <f aca="false">IF($A109="","",IFERROR((COUNTIF(K109:R109,"כן")+0.5*COUNTIF(K109:R109,"קצת"))/(COUNTIF(K109:R109,"כן")+COUNTIF(K109:R109,"קצת")+COUNTIF(K109:R109,"עוד לא")),""))</f>
        <v/>
      </c>
      <c r="AM109" s="28" t="str">
        <f aca="false">IF($A109="","",IFERROR((COUNTIF(S109:Z109,"רוב הזמן")+0.5*COUNTIF(S109:Z109,"לפעמים"))/(COUNTIF(S109:Z109,"רוב הזמן")+COUNTIF(S109:Z109,"לפעמים")+COUNTIF(S109:Z109,"עדיין לא")),""))</f>
        <v/>
      </c>
      <c r="AN109" s="28" t="str">
        <f aca="false">IF($A109="","",IFERROR(1-SUMPRODUCT(ABS(((K109:R109="כן")+0.5*(K109:R109="קצת"))-((S109:Z109="רוב הזמן")+0.5*(S109:Z109="לפעמים")))*(((K109:R109="כן")+(K109:R109="קצת")+(K109:R109="עוד לא"))*((S109:Z109="רוב הזמן")+(S109:Z109="לפעמים")+(S109:Z109="עדיין לא"))))/SUMPRODUCT((((K109:R109="כן")+(K109:R109="קצת")+(K109:R109="עוד לא"))*((S109:Z109="רוב הזמן")+(S109:Z109="לפעמים")+(S109:Z109="עדיין לא")))),""))</f>
        <v/>
      </c>
      <c r="AO109" s="27" t="str">
        <f aca="false">IF($A109="","",SUMPRODUCT(((((K109:R109="כן")+0.5*(K109:R109="קצת"))-((S109:Z109="רוב הזמן")+0.5*(S109:Z109="לפעמים")))&gt;0.01)*(((K109:R109="כן")+(K109:R109="קצת")+(K109:R109="עוד לא"))*((S109:Z109="רוב הזמן")+(S109:Z109="לפעמים")+(S109:Z109="עדיין לא")))))</f>
        <v/>
      </c>
      <c r="AP109" s="27" t="str">
        <f aca="false">IF($A109="","",SUMPRODUCT(((((S109:Z109="רוב הזמן")+0.5*(S109:Z109="לפעמים"))-((K109:R109="כן")+0.5*(K109:R109="קצת")))&gt;0.01)*(((K109:R109="כן")+(K109:R109="קצת")+(K109:R109="עוד לא"))*((S109:Z109="רוב הזמן")+(S109:Z109="לפעמים")+(S109:Z109="עדיין לא")))))</f>
        <v/>
      </c>
      <c r="AQ109" s="27" t="str">
        <f aca="false">IF($A109="","",COUNTIF(AA109:AB109,"כן"))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7" t="str">
        <f aca="false">IF($A110="","",$A110&amp;"|"&amp;$C110)</f>
        <v/>
      </c>
      <c r="AG110" s="27" t="str">
        <f aca="false">IF($A110="","",IF(OR(H110="לא נבדק",H110=""),"לא נבדק",IF(AND(H110="בחר/ה בעצמו/ה",I110="כן",J110="לא"),"מלא",IF(OR(H110="בחר/ה בעצמו/ה",I110="כן"),"חלקי","עדיין לא"))))</f>
        <v/>
      </c>
      <c r="AH110" s="28" t="str">
        <f aca="false">IF($A110="","",IFERROR((COUNTIF(K110:L110,"כן")+0.5*COUNTIF(K110:L110,"קצת"))/(COUNTIF(K110:L110,"כן")+COUNTIF(K110:L110,"קצת")+COUNTIF(K110:L110,"עוד לא")),""))</f>
        <v/>
      </c>
      <c r="AI110" s="28" t="str">
        <f aca="false">IF($A110="","",IFERROR((COUNTIF(M110:N110,"כן")+0.5*COUNTIF(M110:N110,"קצת"))/(COUNTIF(M110:N110,"כן")+COUNTIF(M110:N110,"קצת")+COUNTIF(M110:N110,"עוד לא")),""))</f>
        <v/>
      </c>
      <c r="AJ110" s="28" t="str">
        <f aca="false">IF($A110="","",IFERROR((COUNTIF(O110:P110,"כן")+0.5*COUNTIF(O110:P110,"קצת"))/(COUNTIF(O110:P110,"כן")+COUNTIF(O110:P110,"קצת")+COUNTIF(O110:P110,"עוד לא")),""))</f>
        <v/>
      </c>
      <c r="AK110" s="28" t="str">
        <f aca="false">IF($A110="","",IFERROR((COUNTIF(Q110:R110,"כן")+0.5*COUNTIF(Q110:R110,"קצת"))/(COUNTIF(Q110:R110,"כן")+COUNTIF(Q110:R110,"קצת")+COUNTIF(Q110:R110,"עוד לא")),""))</f>
        <v/>
      </c>
      <c r="AL110" s="28" t="str">
        <f aca="false">IF($A110="","",IFERROR((COUNTIF(K110:R110,"כן")+0.5*COUNTIF(K110:R110,"קצת"))/(COUNTIF(K110:R110,"כן")+COUNTIF(K110:R110,"קצת")+COUNTIF(K110:R110,"עוד לא")),""))</f>
        <v/>
      </c>
      <c r="AM110" s="28" t="str">
        <f aca="false">IF($A110="","",IFERROR((COUNTIF(S110:Z110,"רוב הזמן")+0.5*COUNTIF(S110:Z110,"לפעמים"))/(COUNTIF(S110:Z110,"רוב הזמן")+COUNTIF(S110:Z110,"לפעמים")+COUNTIF(S110:Z110,"עדיין לא")),""))</f>
        <v/>
      </c>
      <c r="AN110" s="28" t="str">
        <f aca="false">IF($A110="","",IFERROR(1-SUMPRODUCT(ABS(((K110:R110="כן")+0.5*(K110:R110="קצת"))-((S110:Z110="רוב הזמן")+0.5*(S110:Z110="לפעמים")))*(((K110:R110="כן")+(K110:R110="קצת")+(K110:R110="עוד לא"))*((S110:Z110="רוב הזמן")+(S110:Z110="לפעמים")+(S110:Z110="עדיין לא"))))/SUMPRODUCT((((K110:R110="כן")+(K110:R110="קצת")+(K110:R110="עוד לא"))*((S110:Z110="רוב הזמן")+(S110:Z110="לפעמים")+(S110:Z110="עדיין לא")))),""))</f>
        <v/>
      </c>
      <c r="AO110" s="27" t="str">
        <f aca="false">IF($A110="","",SUMPRODUCT(((((K110:R110="כן")+0.5*(K110:R110="קצת"))-((S110:Z110="רוב הזמן")+0.5*(S110:Z110="לפעמים")))&gt;0.01)*(((K110:R110="כן")+(K110:R110="קצת")+(K110:R110="עוד לא"))*((S110:Z110="רוב הזמן")+(S110:Z110="לפעמים")+(S110:Z110="עדיין לא")))))</f>
        <v/>
      </c>
      <c r="AP110" s="27" t="str">
        <f aca="false">IF($A110="","",SUMPRODUCT(((((S110:Z110="רוב הזמן")+0.5*(S110:Z110="לפעמים"))-((K110:R110="כן")+0.5*(K110:R110="קצת")))&gt;0.01)*(((K110:R110="כן")+(K110:R110="קצת")+(K110:R110="עוד לא"))*((S110:Z110="רוב הזמן")+(S110:Z110="לפעמים")+(S110:Z110="עדיין לא")))))</f>
        <v/>
      </c>
      <c r="AQ110" s="27" t="str">
        <f aca="false">IF($A110="","",COUNTIF(AA110:AB110,"כן"))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7" t="str">
        <f aca="false">IF($A111="","",$A111&amp;"|"&amp;$C111)</f>
        <v/>
      </c>
      <c r="AG111" s="27" t="str">
        <f aca="false">IF($A111="","",IF(OR(H111="לא נבדק",H111=""),"לא נבדק",IF(AND(H111="בחר/ה בעצמו/ה",I111="כן",J111="לא"),"מלא",IF(OR(H111="בחר/ה בעצמו/ה",I111="כן"),"חלקי","עדיין לא"))))</f>
        <v/>
      </c>
      <c r="AH111" s="28" t="str">
        <f aca="false">IF($A111="","",IFERROR((COUNTIF(K111:L111,"כן")+0.5*COUNTIF(K111:L111,"קצת"))/(COUNTIF(K111:L111,"כן")+COUNTIF(K111:L111,"קצת")+COUNTIF(K111:L111,"עוד לא")),""))</f>
        <v/>
      </c>
      <c r="AI111" s="28" t="str">
        <f aca="false">IF($A111="","",IFERROR((COUNTIF(M111:N111,"כן")+0.5*COUNTIF(M111:N111,"קצת"))/(COUNTIF(M111:N111,"כן")+COUNTIF(M111:N111,"קצת")+COUNTIF(M111:N111,"עוד לא")),""))</f>
        <v/>
      </c>
      <c r="AJ111" s="28" t="str">
        <f aca="false">IF($A111="","",IFERROR((COUNTIF(O111:P111,"כן")+0.5*COUNTIF(O111:P111,"קצת"))/(COUNTIF(O111:P111,"כן")+COUNTIF(O111:P111,"קצת")+COUNTIF(O111:P111,"עוד לא")),""))</f>
        <v/>
      </c>
      <c r="AK111" s="28" t="str">
        <f aca="false">IF($A111="","",IFERROR((COUNTIF(Q111:R111,"כן")+0.5*COUNTIF(Q111:R111,"קצת"))/(COUNTIF(Q111:R111,"כן")+COUNTIF(Q111:R111,"קצת")+COUNTIF(Q111:R111,"עוד לא")),""))</f>
        <v/>
      </c>
      <c r="AL111" s="28" t="str">
        <f aca="false">IF($A111="","",IFERROR((COUNTIF(K111:R111,"כן")+0.5*COUNTIF(K111:R111,"קצת"))/(COUNTIF(K111:R111,"כן")+COUNTIF(K111:R111,"קצת")+COUNTIF(K111:R111,"עוד לא")),""))</f>
        <v/>
      </c>
      <c r="AM111" s="28" t="str">
        <f aca="false">IF($A111="","",IFERROR((COUNTIF(S111:Z111,"רוב הזמן")+0.5*COUNTIF(S111:Z111,"לפעמים"))/(COUNTIF(S111:Z111,"רוב הזמן")+COUNTIF(S111:Z111,"לפעמים")+COUNTIF(S111:Z111,"עדיין לא")),""))</f>
        <v/>
      </c>
      <c r="AN111" s="28" t="str">
        <f aca="false">IF($A111="","",IFERROR(1-SUMPRODUCT(ABS(((K111:R111="כן")+0.5*(K111:R111="קצת"))-((S111:Z111="רוב הזמן")+0.5*(S111:Z111="לפעמים")))*(((K111:R111="כן")+(K111:R111="קצת")+(K111:R111="עוד לא"))*((S111:Z111="רוב הזמן")+(S111:Z111="לפעמים")+(S111:Z111="עדיין לא"))))/SUMPRODUCT((((K111:R111="כן")+(K111:R111="קצת")+(K111:R111="עוד לא"))*((S111:Z111="רוב הזמן")+(S111:Z111="לפעמים")+(S111:Z111="עדיין לא")))),""))</f>
        <v/>
      </c>
      <c r="AO111" s="27" t="str">
        <f aca="false">IF($A111="","",SUMPRODUCT(((((K111:R111="כן")+0.5*(K111:R111="קצת"))-((S111:Z111="רוב הזמן")+0.5*(S111:Z111="לפעמים")))&gt;0.01)*(((K111:R111="כן")+(K111:R111="קצת")+(K111:R111="עוד לא"))*((S111:Z111="רוב הזמן")+(S111:Z111="לפעמים")+(S111:Z111="עדיין לא")))))</f>
        <v/>
      </c>
      <c r="AP111" s="27" t="str">
        <f aca="false">IF($A111="","",SUMPRODUCT(((((S111:Z111="רוב הזמן")+0.5*(S111:Z111="לפעמים"))-((K111:R111="כן")+0.5*(K111:R111="קצת")))&gt;0.01)*(((K111:R111="כן")+(K111:R111="קצת")+(K111:R111="עוד לא"))*((S111:Z111="רוב הזמן")+(S111:Z111="לפעמים")+(S111:Z111="עדיין לא")))))</f>
        <v/>
      </c>
      <c r="AQ111" s="27" t="str">
        <f aca="false">IF($A111="","",COUNTIF(AA111:AB111,"כן"))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7" t="str">
        <f aca="false">IF($A112="","",$A112&amp;"|"&amp;$C112)</f>
        <v/>
      </c>
      <c r="AG112" s="27" t="str">
        <f aca="false">IF($A112="","",IF(OR(H112="לא נבדק",H112=""),"לא נבדק",IF(AND(H112="בחר/ה בעצמו/ה",I112="כן",J112="לא"),"מלא",IF(OR(H112="בחר/ה בעצמו/ה",I112="כן"),"חלקי","עדיין לא"))))</f>
        <v/>
      </c>
      <c r="AH112" s="28" t="str">
        <f aca="false">IF($A112="","",IFERROR((COUNTIF(K112:L112,"כן")+0.5*COUNTIF(K112:L112,"קצת"))/(COUNTIF(K112:L112,"כן")+COUNTIF(K112:L112,"קצת")+COUNTIF(K112:L112,"עוד לא")),""))</f>
        <v/>
      </c>
      <c r="AI112" s="28" t="str">
        <f aca="false">IF($A112="","",IFERROR((COUNTIF(M112:N112,"כן")+0.5*COUNTIF(M112:N112,"קצת"))/(COUNTIF(M112:N112,"כן")+COUNTIF(M112:N112,"קצת")+COUNTIF(M112:N112,"עוד לא")),""))</f>
        <v/>
      </c>
      <c r="AJ112" s="28" t="str">
        <f aca="false">IF($A112="","",IFERROR((COUNTIF(O112:P112,"כן")+0.5*COUNTIF(O112:P112,"קצת"))/(COUNTIF(O112:P112,"כן")+COUNTIF(O112:P112,"קצת")+COUNTIF(O112:P112,"עוד לא")),""))</f>
        <v/>
      </c>
      <c r="AK112" s="28" t="str">
        <f aca="false">IF($A112="","",IFERROR((COUNTIF(Q112:R112,"כן")+0.5*COUNTIF(Q112:R112,"קצת"))/(COUNTIF(Q112:R112,"כן")+COUNTIF(Q112:R112,"קצת")+COUNTIF(Q112:R112,"עוד לא")),""))</f>
        <v/>
      </c>
      <c r="AL112" s="28" t="str">
        <f aca="false">IF($A112="","",IFERROR((COUNTIF(K112:R112,"כן")+0.5*COUNTIF(K112:R112,"קצת"))/(COUNTIF(K112:R112,"כן")+COUNTIF(K112:R112,"קצת")+COUNTIF(K112:R112,"עוד לא")),""))</f>
        <v/>
      </c>
      <c r="AM112" s="28" t="str">
        <f aca="false">IF($A112="","",IFERROR((COUNTIF(S112:Z112,"רוב הזמן")+0.5*COUNTIF(S112:Z112,"לפעמים"))/(COUNTIF(S112:Z112,"רוב הזמן")+COUNTIF(S112:Z112,"לפעמים")+COUNTIF(S112:Z112,"עדיין לא")),""))</f>
        <v/>
      </c>
      <c r="AN112" s="28" t="str">
        <f aca="false">IF($A112="","",IFERROR(1-SUMPRODUCT(ABS(((K112:R112="כן")+0.5*(K112:R112="קצת"))-((S112:Z112="רוב הזמן")+0.5*(S112:Z112="לפעמים")))*(((K112:R112="כן")+(K112:R112="קצת")+(K112:R112="עוד לא"))*((S112:Z112="רוב הזמן")+(S112:Z112="לפעמים")+(S112:Z112="עדיין לא"))))/SUMPRODUCT((((K112:R112="כן")+(K112:R112="קצת")+(K112:R112="עוד לא"))*((S112:Z112="רוב הזמן")+(S112:Z112="לפעמים")+(S112:Z112="עדיין לא")))),""))</f>
        <v/>
      </c>
      <c r="AO112" s="27" t="str">
        <f aca="false">IF($A112="","",SUMPRODUCT(((((K112:R112="כן")+0.5*(K112:R112="קצת"))-((S112:Z112="רוב הזמן")+0.5*(S112:Z112="לפעמים")))&gt;0.01)*(((K112:R112="כן")+(K112:R112="קצת")+(K112:R112="עוד לא"))*((S112:Z112="רוב הזמן")+(S112:Z112="לפעמים")+(S112:Z112="עדיין לא")))))</f>
        <v/>
      </c>
      <c r="AP112" s="27" t="str">
        <f aca="false">IF($A112="","",SUMPRODUCT(((((S112:Z112="רוב הזמן")+0.5*(S112:Z112="לפעמים"))-((K112:R112="כן")+0.5*(K112:R112="קצת")))&gt;0.01)*(((K112:R112="כן")+(K112:R112="קצת")+(K112:R112="עוד לא"))*((S112:Z112="רוב הזמן")+(S112:Z112="לפעמים")+(S112:Z112="עדיין לא")))))</f>
        <v/>
      </c>
      <c r="AQ112" s="27" t="str">
        <f aca="false">IF($A112="","",COUNTIF(AA112:AB112,"כן"))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7" t="str">
        <f aca="false">IF($A113="","",$A113&amp;"|"&amp;$C113)</f>
        <v/>
      </c>
      <c r="AG113" s="27" t="str">
        <f aca="false">IF($A113="","",IF(OR(H113="לא נבדק",H113=""),"לא נבדק",IF(AND(H113="בחר/ה בעצמו/ה",I113="כן",J113="לא"),"מלא",IF(OR(H113="בחר/ה בעצמו/ה",I113="כן"),"חלקי","עדיין לא"))))</f>
        <v/>
      </c>
      <c r="AH113" s="28" t="str">
        <f aca="false">IF($A113="","",IFERROR((COUNTIF(K113:L113,"כן")+0.5*COUNTIF(K113:L113,"קצת"))/(COUNTIF(K113:L113,"כן")+COUNTIF(K113:L113,"קצת")+COUNTIF(K113:L113,"עוד לא")),""))</f>
        <v/>
      </c>
      <c r="AI113" s="28" t="str">
        <f aca="false">IF($A113="","",IFERROR((COUNTIF(M113:N113,"כן")+0.5*COUNTIF(M113:N113,"קצת"))/(COUNTIF(M113:N113,"כן")+COUNTIF(M113:N113,"קצת")+COUNTIF(M113:N113,"עוד לא")),""))</f>
        <v/>
      </c>
      <c r="AJ113" s="28" t="str">
        <f aca="false">IF($A113="","",IFERROR((COUNTIF(O113:P113,"כן")+0.5*COUNTIF(O113:P113,"קצת"))/(COUNTIF(O113:P113,"כן")+COUNTIF(O113:P113,"קצת")+COUNTIF(O113:P113,"עוד לא")),""))</f>
        <v/>
      </c>
      <c r="AK113" s="28" t="str">
        <f aca="false">IF($A113="","",IFERROR((COUNTIF(Q113:R113,"כן")+0.5*COUNTIF(Q113:R113,"קצת"))/(COUNTIF(Q113:R113,"כן")+COUNTIF(Q113:R113,"קצת")+COUNTIF(Q113:R113,"עוד לא")),""))</f>
        <v/>
      </c>
      <c r="AL113" s="28" t="str">
        <f aca="false">IF($A113="","",IFERROR((COUNTIF(K113:R113,"כן")+0.5*COUNTIF(K113:R113,"קצת"))/(COUNTIF(K113:R113,"כן")+COUNTIF(K113:R113,"קצת")+COUNTIF(K113:R113,"עוד לא")),""))</f>
        <v/>
      </c>
      <c r="AM113" s="28" t="str">
        <f aca="false">IF($A113="","",IFERROR((COUNTIF(S113:Z113,"רוב הזמן")+0.5*COUNTIF(S113:Z113,"לפעמים"))/(COUNTIF(S113:Z113,"רוב הזמן")+COUNTIF(S113:Z113,"לפעמים")+COUNTIF(S113:Z113,"עדיין לא")),""))</f>
        <v/>
      </c>
      <c r="AN113" s="28" t="str">
        <f aca="false">IF($A113="","",IFERROR(1-SUMPRODUCT(ABS(((K113:R113="כן")+0.5*(K113:R113="קצת"))-((S113:Z113="רוב הזמן")+0.5*(S113:Z113="לפעמים")))*(((K113:R113="כן")+(K113:R113="קצת")+(K113:R113="עוד לא"))*((S113:Z113="רוב הזמן")+(S113:Z113="לפעמים")+(S113:Z113="עדיין לא"))))/SUMPRODUCT((((K113:R113="כן")+(K113:R113="קצת")+(K113:R113="עוד לא"))*((S113:Z113="רוב הזמן")+(S113:Z113="לפעמים")+(S113:Z113="עדיין לא")))),""))</f>
        <v/>
      </c>
      <c r="AO113" s="27" t="str">
        <f aca="false">IF($A113="","",SUMPRODUCT(((((K113:R113="כן")+0.5*(K113:R113="קצת"))-((S113:Z113="רוב הזמן")+0.5*(S113:Z113="לפעמים")))&gt;0.01)*(((K113:R113="כן")+(K113:R113="קצת")+(K113:R113="עוד לא"))*((S113:Z113="רוב הזמן")+(S113:Z113="לפעמים")+(S113:Z113="עדיין לא")))))</f>
        <v/>
      </c>
      <c r="AP113" s="27" t="str">
        <f aca="false">IF($A113="","",SUMPRODUCT(((((S113:Z113="רוב הזמן")+0.5*(S113:Z113="לפעמים"))-((K113:R113="כן")+0.5*(K113:R113="קצת")))&gt;0.01)*(((K113:R113="כן")+(K113:R113="קצת")+(K113:R113="עוד לא"))*((S113:Z113="רוב הזמן")+(S113:Z113="לפעמים")+(S113:Z113="עדיין לא")))))</f>
        <v/>
      </c>
      <c r="AQ113" s="27" t="str">
        <f aca="false">IF($A113="","",COUNTIF(AA113:AB113,"כן"))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7" t="str">
        <f aca="false">IF($A114="","",$A114&amp;"|"&amp;$C114)</f>
        <v/>
      </c>
      <c r="AG114" s="27" t="str">
        <f aca="false">IF($A114="","",IF(OR(H114="לא נבדק",H114=""),"לא נבדק",IF(AND(H114="בחר/ה בעצמו/ה",I114="כן",J114="לא"),"מלא",IF(OR(H114="בחר/ה בעצמו/ה",I114="כן"),"חלקי","עדיין לא"))))</f>
        <v/>
      </c>
      <c r="AH114" s="28" t="str">
        <f aca="false">IF($A114="","",IFERROR((COUNTIF(K114:L114,"כן")+0.5*COUNTIF(K114:L114,"קצת"))/(COUNTIF(K114:L114,"כן")+COUNTIF(K114:L114,"קצת")+COUNTIF(K114:L114,"עוד לא")),""))</f>
        <v/>
      </c>
      <c r="AI114" s="28" t="str">
        <f aca="false">IF($A114="","",IFERROR((COUNTIF(M114:N114,"כן")+0.5*COUNTIF(M114:N114,"קצת"))/(COUNTIF(M114:N114,"כן")+COUNTIF(M114:N114,"קצת")+COUNTIF(M114:N114,"עוד לא")),""))</f>
        <v/>
      </c>
      <c r="AJ114" s="28" t="str">
        <f aca="false">IF($A114="","",IFERROR((COUNTIF(O114:P114,"כן")+0.5*COUNTIF(O114:P114,"קצת"))/(COUNTIF(O114:P114,"כן")+COUNTIF(O114:P114,"קצת")+COUNTIF(O114:P114,"עוד לא")),""))</f>
        <v/>
      </c>
      <c r="AK114" s="28" t="str">
        <f aca="false">IF($A114="","",IFERROR((COUNTIF(Q114:R114,"כן")+0.5*COUNTIF(Q114:R114,"קצת"))/(COUNTIF(Q114:R114,"כן")+COUNTIF(Q114:R114,"קצת")+COUNTIF(Q114:R114,"עוד לא")),""))</f>
        <v/>
      </c>
      <c r="AL114" s="28" t="str">
        <f aca="false">IF($A114="","",IFERROR((COUNTIF(K114:R114,"כן")+0.5*COUNTIF(K114:R114,"קצת"))/(COUNTIF(K114:R114,"כן")+COUNTIF(K114:R114,"קצת")+COUNTIF(K114:R114,"עוד לא")),""))</f>
        <v/>
      </c>
      <c r="AM114" s="28" t="str">
        <f aca="false">IF($A114="","",IFERROR((COUNTIF(S114:Z114,"רוב הזמן")+0.5*COUNTIF(S114:Z114,"לפעמים"))/(COUNTIF(S114:Z114,"רוב הזמן")+COUNTIF(S114:Z114,"לפעמים")+COUNTIF(S114:Z114,"עדיין לא")),""))</f>
        <v/>
      </c>
      <c r="AN114" s="28" t="str">
        <f aca="false">IF($A114="","",IFERROR(1-SUMPRODUCT(ABS(((K114:R114="כן")+0.5*(K114:R114="קצת"))-((S114:Z114="רוב הזמן")+0.5*(S114:Z114="לפעמים")))*(((K114:R114="כן")+(K114:R114="קצת")+(K114:R114="עוד לא"))*((S114:Z114="רוב הזמן")+(S114:Z114="לפעמים")+(S114:Z114="עדיין לא"))))/SUMPRODUCT((((K114:R114="כן")+(K114:R114="קצת")+(K114:R114="עוד לא"))*((S114:Z114="רוב הזמן")+(S114:Z114="לפעמים")+(S114:Z114="עדיין לא")))),""))</f>
        <v/>
      </c>
      <c r="AO114" s="27" t="str">
        <f aca="false">IF($A114="","",SUMPRODUCT(((((K114:R114="כן")+0.5*(K114:R114="קצת"))-((S114:Z114="רוב הזמן")+0.5*(S114:Z114="לפעמים")))&gt;0.01)*(((K114:R114="כן")+(K114:R114="קצת")+(K114:R114="עוד לא"))*((S114:Z114="רוב הזמן")+(S114:Z114="לפעמים")+(S114:Z114="עדיין לא")))))</f>
        <v/>
      </c>
      <c r="AP114" s="27" t="str">
        <f aca="false">IF($A114="","",SUMPRODUCT(((((S114:Z114="רוב הזמן")+0.5*(S114:Z114="לפעמים"))-((K114:R114="כן")+0.5*(K114:R114="קצת")))&gt;0.01)*(((K114:R114="כן")+(K114:R114="קצת")+(K114:R114="עוד לא"))*((S114:Z114="רוב הזמן")+(S114:Z114="לפעמים")+(S114:Z114="עדיין לא")))))</f>
        <v/>
      </c>
      <c r="AQ114" s="27" t="str">
        <f aca="false">IF($A114="","",COUNTIF(AA114:AB114,"כן"))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7" t="str">
        <f aca="false">IF($A115="","",$A115&amp;"|"&amp;$C115)</f>
        <v/>
      </c>
      <c r="AG115" s="27" t="str">
        <f aca="false">IF($A115="","",IF(OR(H115="לא נבדק",H115=""),"לא נבדק",IF(AND(H115="בחר/ה בעצמו/ה",I115="כן",J115="לא"),"מלא",IF(OR(H115="בחר/ה בעצמו/ה",I115="כן"),"חלקי","עדיין לא"))))</f>
        <v/>
      </c>
      <c r="AH115" s="28" t="str">
        <f aca="false">IF($A115="","",IFERROR((COUNTIF(K115:L115,"כן")+0.5*COUNTIF(K115:L115,"קצת"))/(COUNTIF(K115:L115,"כן")+COUNTIF(K115:L115,"קצת")+COUNTIF(K115:L115,"עוד לא")),""))</f>
        <v/>
      </c>
      <c r="AI115" s="28" t="str">
        <f aca="false">IF($A115="","",IFERROR((COUNTIF(M115:N115,"כן")+0.5*COUNTIF(M115:N115,"קצת"))/(COUNTIF(M115:N115,"כן")+COUNTIF(M115:N115,"קצת")+COUNTIF(M115:N115,"עוד לא")),""))</f>
        <v/>
      </c>
      <c r="AJ115" s="28" t="str">
        <f aca="false">IF($A115="","",IFERROR((COUNTIF(O115:P115,"כן")+0.5*COUNTIF(O115:P115,"קצת"))/(COUNTIF(O115:P115,"כן")+COUNTIF(O115:P115,"קצת")+COUNTIF(O115:P115,"עוד לא")),""))</f>
        <v/>
      </c>
      <c r="AK115" s="28" t="str">
        <f aca="false">IF($A115="","",IFERROR((COUNTIF(Q115:R115,"כן")+0.5*COUNTIF(Q115:R115,"קצת"))/(COUNTIF(Q115:R115,"כן")+COUNTIF(Q115:R115,"קצת")+COUNTIF(Q115:R115,"עוד לא")),""))</f>
        <v/>
      </c>
      <c r="AL115" s="28" t="str">
        <f aca="false">IF($A115="","",IFERROR((COUNTIF(K115:R115,"כן")+0.5*COUNTIF(K115:R115,"קצת"))/(COUNTIF(K115:R115,"כן")+COUNTIF(K115:R115,"קצת")+COUNTIF(K115:R115,"עוד לא")),""))</f>
        <v/>
      </c>
      <c r="AM115" s="28" t="str">
        <f aca="false">IF($A115="","",IFERROR((COUNTIF(S115:Z115,"רוב הזמן")+0.5*COUNTIF(S115:Z115,"לפעמים"))/(COUNTIF(S115:Z115,"רוב הזמן")+COUNTIF(S115:Z115,"לפעמים")+COUNTIF(S115:Z115,"עדיין לא")),""))</f>
        <v/>
      </c>
      <c r="AN115" s="28" t="str">
        <f aca="false">IF($A115="","",IFERROR(1-SUMPRODUCT(ABS(((K115:R115="כן")+0.5*(K115:R115="קצת"))-((S115:Z115="רוב הזמן")+0.5*(S115:Z115="לפעמים")))*(((K115:R115="כן")+(K115:R115="קצת")+(K115:R115="עוד לא"))*((S115:Z115="רוב הזמן")+(S115:Z115="לפעמים")+(S115:Z115="עדיין לא"))))/SUMPRODUCT((((K115:R115="כן")+(K115:R115="קצת")+(K115:R115="עוד לא"))*((S115:Z115="רוב הזמן")+(S115:Z115="לפעמים")+(S115:Z115="עדיין לא")))),""))</f>
        <v/>
      </c>
      <c r="AO115" s="27" t="str">
        <f aca="false">IF($A115="","",SUMPRODUCT(((((K115:R115="כן")+0.5*(K115:R115="קצת"))-((S115:Z115="רוב הזמן")+0.5*(S115:Z115="לפעמים")))&gt;0.01)*(((K115:R115="כן")+(K115:R115="קצת")+(K115:R115="עוד לא"))*((S115:Z115="רוב הזמן")+(S115:Z115="לפעמים")+(S115:Z115="עדיין לא")))))</f>
        <v/>
      </c>
      <c r="AP115" s="27" t="str">
        <f aca="false">IF($A115="","",SUMPRODUCT(((((S115:Z115="רוב הזמן")+0.5*(S115:Z115="לפעמים"))-((K115:R115="כן")+0.5*(K115:R115="קצת")))&gt;0.01)*(((K115:R115="כן")+(K115:R115="קצת")+(K115:R115="עוד לא"))*((S115:Z115="רוב הזמן")+(S115:Z115="לפעמים")+(S115:Z115="עדיין לא")))))</f>
        <v/>
      </c>
      <c r="AQ115" s="27" t="str">
        <f aca="false">IF($A115="","",COUNTIF(AA115:AB115,"כן"))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7" t="str">
        <f aca="false">IF($A116="","",$A116&amp;"|"&amp;$C116)</f>
        <v/>
      </c>
      <c r="AG116" s="27" t="str">
        <f aca="false">IF($A116="","",IF(OR(H116="לא נבדק",H116=""),"לא נבדק",IF(AND(H116="בחר/ה בעצמו/ה",I116="כן",J116="לא"),"מלא",IF(OR(H116="בחר/ה בעצמו/ה",I116="כן"),"חלקי","עדיין לא"))))</f>
        <v/>
      </c>
      <c r="AH116" s="28" t="str">
        <f aca="false">IF($A116="","",IFERROR((COUNTIF(K116:L116,"כן")+0.5*COUNTIF(K116:L116,"קצת"))/(COUNTIF(K116:L116,"כן")+COUNTIF(K116:L116,"קצת")+COUNTIF(K116:L116,"עוד לא")),""))</f>
        <v/>
      </c>
      <c r="AI116" s="28" t="str">
        <f aca="false">IF($A116="","",IFERROR((COUNTIF(M116:N116,"כן")+0.5*COUNTIF(M116:N116,"קצת"))/(COUNTIF(M116:N116,"כן")+COUNTIF(M116:N116,"קצת")+COUNTIF(M116:N116,"עוד לא")),""))</f>
        <v/>
      </c>
      <c r="AJ116" s="28" t="str">
        <f aca="false">IF($A116="","",IFERROR((COUNTIF(O116:P116,"כן")+0.5*COUNTIF(O116:P116,"קצת"))/(COUNTIF(O116:P116,"כן")+COUNTIF(O116:P116,"קצת")+COUNTIF(O116:P116,"עוד לא")),""))</f>
        <v/>
      </c>
      <c r="AK116" s="28" t="str">
        <f aca="false">IF($A116="","",IFERROR((COUNTIF(Q116:R116,"כן")+0.5*COUNTIF(Q116:R116,"קצת"))/(COUNTIF(Q116:R116,"כן")+COUNTIF(Q116:R116,"קצת")+COUNTIF(Q116:R116,"עוד לא")),""))</f>
        <v/>
      </c>
      <c r="AL116" s="28" t="str">
        <f aca="false">IF($A116="","",IFERROR((COUNTIF(K116:R116,"כן")+0.5*COUNTIF(K116:R116,"קצת"))/(COUNTIF(K116:R116,"כן")+COUNTIF(K116:R116,"קצת")+COUNTIF(K116:R116,"עוד לא")),""))</f>
        <v/>
      </c>
      <c r="AM116" s="28" t="str">
        <f aca="false">IF($A116="","",IFERROR((COUNTIF(S116:Z116,"רוב הזמן")+0.5*COUNTIF(S116:Z116,"לפעמים"))/(COUNTIF(S116:Z116,"רוב הזמן")+COUNTIF(S116:Z116,"לפעמים")+COUNTIF(S116:Z116,"עדיין לא")),""))</f>
        <v/>
      </c>
      <c r="AN116" s="28" t="str">
        <f aca="false">IF($A116="","",IFERROR(1-SUMPRODUCT(ABS(((K116:R116="כן")+0.5*(K116:R116="קצת"))-((S116:Z116="רוב הזמן")+0.5*(S116:Z116="לפעמים")))*(((K116:R116="כן")+(K116:R116="קצת")+(K116:R116="עוד לא"))*((S116:Z116="רוב הזמן")+(S116:Z116="לפעמים")+(S116:Z116="עדיין לא"))))/SUMPRODUCT((((K116:R116="כן")+(K116:R116="קצת")+(K116:R116="עוד לא"))*((S116:Z116="רוב הזמן")+(S116:Z116="לפעמים")+(S116:Z116="עדיין לא")))),""))</f>
        <v/>
      </c>
      <c r="AO116" s="27" t="str">
        <f aca="false">IF($A116="","",SUMPRODUCT(((((K116:R116="כן")+0.5*(K116:R116="קצת"))-((S116:Z116="רוב הזמן")+0.5*(S116:Z116="לפעמים")))&gt;0.01)*(((K116:R116="כן")+(K116:R116="קצת")+(K116:R116="עוד לא"))*((S116:Z116="רוב הזמן")+(S116:Z116="לפעמים")+(S116:Z116="עדיין לא")))))</f>
        <v/>
      </c>
      <c r="AP116" s="27" t="str">
        <f aca="false">IF($A116="","",SUMPRODUCT(((((S116:Z116="רוב הזמן")+0.5*(S116:Z116="לפעמים"))-((K116:R116="כן")+0.5*(K116:R116="קצת")))&gt;0.01)*(((K116:R116="כן")+(K116:R116="קצת")+(K116:R116="עוד לא"))*((S116:Z116="רוב הזמן")+(S116:Z116="לפעמים")+(S116:Z116="עדיין לא")))))</f>
        <v/>
      </c>
      <c r="AQ116" s="27" t="str">
        <f aca="false">IF($A116="","",COUNTIF(AA116:AB116,"כן"))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7" t="str">
        <f aca="false">IF($A117="","",$A117&amp;"|"&amp;$C117)</f>
        <v/>
      </c>
      <c r="AG117" s="27" t="str">
        <f aca="false">IF($A117="","",IF(OR(H117="לא נבדק",H117=""),"לא נבדק",IF(AND(H117="בחר/ה בעצמו/ה",I117="כן",J117="לא"),"מלא",IF(OR(H117="בחר/ה בעצמו/ה",I117="כן"),"חלקי","עדיין לא"))))</f>
        <v/>
      </c>
      <c r="AH117" s="28" t="str">
        <f aca="false">IF($A117="","",IFERROR((COUNTIF(K117:L117,"כן")+0.5*COUNTIF(K117:L117,"קצת"))/(COUNTIF(K117:L117,"כן")+COUNTIF(K117:L117,"קצת")+COUNTIF(K117:L117,"עוד לא")),""))</f>
        <v/>
      </c>
      <c r="AI117" s="28" t="str">
        <f aca="false">IF($A117="","",IFERROR((COUNTIF(M117:N117,"כן")+0.5*COUNTIF(M117:N117,"קצת"))/(COUNTIF(M117:N117,"כן")+COUNTIF(M117:N117,"קצת")+COUNTIF(M117:N117,"עוד לא")),""))</f>
        <v/>
      </c>
      <c r="AJ117" s="28" t="str">
        <f aca="false">IF($A117="","",IFERROR((COUNTIF(O117:P117,"כן")+0.5*COUNTIF(O117:P117,"קצת"))/(COUNTIF(O117:P117,"כן")+COUNTIF(O117:P117,"קצת")+COUNTIF(O117:P117,"עוד לא")),""))</f>
        <v/>
      </c>
      <c r="AK117" s="28" t="str">
        <f aca="false">IF($A117="","",IFERROR((COUNTIF(Q117:R117,"כן")+0.5*COUNTIF(Q117:R117,"קצת"))/(COUNTIF(Q117:R117,"כן")+COUNTIF(Q117:R117,"קצת")+COUNTIF(Q117:R117,"עוד לא")),""))</f>
        <v/>
      </c>
      <c r="AL117" s="28" t="str">
        <f aca="false">IF($A117="","",IFERROR((COUNTIF(K117:R117,"כן")+0.5*COUNTIF(K117:R117,"קצת"))/(COUNTIF(K117:R117,"כן")+COUNTIF(K117:R117,"קצת")+COUNTIF(K117:R117,"עוד לא")),""))</f>
        <v/>
      </c>
      <c r="AM117" s="28" t="str">
        <f aca="false">IF($A117="","",IFERROR((COUNTIF(S117:Z117,"רוב הזמן")+0.5*COUNTIF(S117:Z117,"לפעמים"))/(COUNTIF(S117:Z117,"רוב הזמן")+COUNTIF(S117:Z117,"לפעמים")+COUNTIF(S117:Z117,"עדיין לא")),""))</f>
        <v/>
      </c>
      <c r="AN117" s="28" t="str">
        <f aca="false">IF($A117="","",IFERROR(1-SUMPRODUCT(ABS(((K117:R117="כן")+0.5*(K117:R117="קצת"))-((S117:Z117="רוב הזמן")+0.5*(S117:Z117="לפעמים")))*(((K117:R117="כן")+(K117:R117="קצת")+(K117:R117="עוד לא"))*((S117:Z117="רוב הזמן")+(S117:Z117="לפעמים")+(S117:Z117="עדיין לא"))))/SUMPRODUCT((((K117:R117="כן")+(K117:R117="קצת")+(K117:R117="עוד לא"))*((S117:Z117="רוב הזמן")+(S117:Z117="לפעמים")+(S117:Z117="עדיין לא")))),""))</f>
        <v/>
      </c>
      <c r="AO117" s="27" t="str">
        <f aca="false">IF($A117="","",SUMPRODUCT(((((K117:R117="כן")+0.5*(K117:R117="קצת"))-((S117:Z117="רוב הזמן")+0.5*(S117:Z117="לפעמים")))&gt;0.01)*(((K117:R117="כן")+(K117:R117="קצת")+(K117:R117="עוד לא"))*((S117:Z117="רוב הזמן")+(S117:Z117="לפעמים")+(S117:Z117="עדיין לא")))))</f>
        <v/>
      </c>
      <c r="AP117" s="27" t="str">
        <f aca="false">IF($A117="","",SUMPRODUCT(((((S117:Z117="רוב הזמן")+0.5*(S117:Z117="לפעמים"))-((K117:R117="כן")+0.5*(K117:R117="קצת")))&gt;0.01)*(((K117:R117="כן")+(K117:R117="קצת")+(K117:R117="עוד לא"))*((S117:Z117="רוב הזמן")+(S117:Z117="לפעמים")+(S117:Z117="עדיין לא")))))</f>
        <v/>
      </c>
      <c r="AQ117" s="27" t="str">
        <f aca="false">IF($A117="","",COUNTIF(AA117:AB117,"כן"))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7" t="str">
        <f aca="false">IF($A118="","",$A118&amp;"|"&amp;$C118)</f>
        <v/>
      </c>
      <c r="AG118" s="27" t="str">
        <f aca="false">IF($A118="","",IF(OR(H118="לא נבדק",H118=""),"לא נבדק",IF(AND(H118="בחר/ה בעצמו/ה",I118="כן",J118="לא"),"מלא",IF(OR(H118="בחר/ה בעצמו/ה",I118="כן"),"חלקי","עדיין לא"))))</f>
        <v/>
      </c>
      <c r="AH118" s="28" t="str">
        <f aca="false">IF($A118="","",IFERROR((COUNTIF(K118:L118,"כן")+0.5*COUNTIF(K118:L118,"קצת"))/(COUNTIF(K118:L118,"כן")+COUNTIF(K118:L118,"קצת")+COUNTIF(K118:L118,"עוד לא")),""))</f>
        <v/>
      </c>
      <c r="AI118" s="28" t="str">
        <f aca="false">IF($A118="","",IFERROR((COUNTIF(M118:N118,"כן")+0.5*COUNTIF(M118:N118,"קצת"))/(COUNTIF(M118:N118,"כן")+COUNTIF(M118:N118,"קצת")+COUNTIF(M118:N118,"עוד לא")),""))</f>
        <v/>
      </c>
      <c r="AJ118" s="28" t="str">
        <f aca="false">IF($A118="","",IFERROR((COUNTIF(O118:P118,"כן")+0.5*COUNTIF(O118:P118,"קצת"))/(COUNTIF(O118:P118,"כן")+COUNTIF(O118:P118,"קצת")+COUNTIF(O118:P118,"עוד לא")),""))</f>
        <v/>
      </c>
      <c r="AK118" s="28" t="str">
        <f aca="false">IF($A118="","",IFERROR((COUNTIF(Q118:R118,"כן")+0.5*COUNTIF(Q118:R118,"קצת"))/(COUNTIF(Q118:R118,"כן")+COUNTIF(Q118:R118,"קצת")+COUNTIF(Q118:R118,"עוד לא")),""))</f>
        <v/>
      </c>
      <c r="AL118" s="28" t="str">
        <f aca="false">IF($A118="","",IFERROR((COUNTIF(K118:R118,"כן")+0.5*COUNTIF(K118:R118,"קצת"))/(COUNTIF(K118:R118,"כן")+COUNTIF(K118:R118,"קצת")+COUNTIF(K118:R118,"עוד לא")),""))</f>
        <v/>
      </c>
      <c r="AM118" s="28" t="str">
        <f aca="false">IF($A118="","",IFERROR((COUNTIF(S118:Z118,"רוב הזמן")+0.5*COUNTIF(S118:Z118,"לפעמים"))/(COUNTIF(S118:Z118,"רוב הזמן")+COUNTIF(S118:Z118,"לפעמים")+COUNTIF(S118:Z118,"עדיין לא")),""))</f>
        <v/>
      </c>
      <c r="AN118" s="28" t="str">
        <f aca="false">IF($A118="","",IFERROR(1-SUMPRODUCT(ABS(((K118:R118="כן")+0.5*(K118:R118="קצת"))-((S118:Z118="רוב הזמן")+0.5*(S118:Z118="לפעמים")))*(((K118:R118="כן")+(K118:R118="קצת")+(K118:R118="עוד לא"))*((S118:Z118="רוב הזמן")+(S118:Z118="לפעמים")+(S118:Z118="עדיין לא"))))/SUMPRODUCT((((K118:R118="כן")+(K118:R118="קצת")+(K118:R118="עוד לא"))*((S118:Z118="רוב הזמן")+(S118:Z118="לפעמים")+(S118:Z118="עדיין לא")))),""))</f>
        <v/>
      </c>
      <c r="AO118" s="27" t="str">
        <f aca="false">IF($A118="","",SUMPRODUCT(((((K118:R118="כן")+0.5*(K118:R118="קצת"))-((S118:Z118="רוב הזמן")+0.5*(S118:Z118="לפעמים")))&gt;0.01)*(((K118:R118="כן")+(K118:R118="קצת")+(K118:R118="עוד לא"))*((S118:Z118="רוב הזמן")+(S118:Z118="לפעמים")+(S118:Z118="עדיין לא")))))</f>
        <v/>
      </c>
      <c r="AP118" s="27" t="str">
        <f aca="false">IF($A118="","",SUMPRODUCT(((((S118:Z118="רוב הזמן")+0.5*(S118:Z118="לפעמים"))-((K118:R118="כן")+0.5*(K118:R118="קצת")))&gt;0.01)*(((K118:R118="כן")+(K118:R118="קצת")+(K118:R118="עוד לא"))*((S118:Z118="רוב הזמן")+(S118:Z118="לפעמים")+(S118:Z118="עדיין לא")))))</f>
        <v/>
      </c>
      <c r="AQ118" s="27" t="str">
        <f aca="false">IF($A118="","",COUNTIF(AA118:AB118,"כן"))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7" t="str">
        <f aca="false">IF($A119="","",$A119&amp;"|"&amp;$C119)</f>
        <v/>
      </c>
      <c r="AG119" s="27" t="str">
        <f aca="false">IF($A119="","",IF(OR(H119="לא נבדק",H119=""),"לא נבדק",IF(AND(H119="בחר/ה בעצמו/ה",I119="כן",J119="לא"),"מלא",IF(OR(H119="בחר/ה בעצמו/ה",I119="כן"),"חלקי","עדיין לא"))))</f>
        <v/>
      </c>
      <c r="AH119" s="28" t="str">
        <f aca="false">IF($A119="","",IFERROR((COUNTIF(K119:L119,"כן")+0.5*COUNTIF(K119:L119,"קצת"))/(COUNTIF(K119:L119,"כן")+COUNTIF(K119:L119,"קצת")+COUNTIF(K119:L119,"עוד לא")),""))</f>
        <v/>
      </c>
      <c r="AI119" s="28" t="str">
        <f aca="false">IF($A119="","",IFERROR((COUNTIF(M119:N119,"כן")+0.5*COUNTIF(M119:N119,"קצת"))/(COUNTIF(M119:N119,"כן")+COUNTIF(M119:N119,"קצת")+COUNTIF(M119:N119,"עוד לא")),""))</f>
        <v/>
      </c>
      <c r="AJ119" s="28" t="str">
        <f aca="false">IF($A119="","",IFERROR((COUNTIF(O119:P119,"כן")+0.5*COUNTIF(O119:P119,"קצת"))/(COUNTIF(O119:P119,"כן")+COUNTIF(O119:P119,"קצת")+COUNTIF(O119:P119,"עוד לא")),""))</f>
        <v/>
      </c>
      <c r="AK119" s="28" t="str">
        <f aca="false">IF($A119="","",IFERROR((COUNTIF(Q119:R119,"כן")+0.5*COUNTIF(Q119:R119,"קצת"))/(COUNTIF(Q119:R119,"כן")+COUNTIF(Q119:R119,"קצת")+COUNTIF(Q119:R119,"עוד לא")),""))</f>
        <v/>
      </c>
      <c r="AL119" s="28" t="str">
        <f aca="false">IF($A119="","",IFERROR((COUNTIF(K119:R119,"כן")+0.5*COUNTIF(K119:R119,"קצת"))/(COUNTIF(K119:R119,"כן")+COUNTIF(K119:R119,"קצת")+COUNTIF(K119:R119,"עוד לא")),""))</f>
        <v/>
      </c>
      <c r="AM119" s="28" t="str">
        <f aca="false">IF($A119="","",IFERROR((COUNTIF(S119:Z119,"רוב הזמן")+0.5*COUNTIF(S119:Z119,"לפעמים"))/(COUNTIF(S119:Z119,"רוב הזמן")+COUNTIF(S119:Z119,"לפעמים")+COUNTIF(S119:Z119,"עדיין לא")),""))</f>
        <v/>
      </c>
      <c r="AN119" s="28" t="str">
        <f aca="false">IF($A119="","",IFERROR(1-SUMPRODUCT(ABS(((K119:R119="כן")+0.5*(K119:R119="קצת"))-((S119:Z119="רוב הזמן")+0.5*(S119:Z119="לפעמים")))*(((K119:R119="כן")+(K119:R119="קצת")+(K119:R119="עוד לא"))*((S119:Z119="רוב הזמן")+(S119:Z119="לפעמים")+(S119:Z119="עדיין לא"))))/SUMPRODUCT((((K119:R119="כן")+(K119:R119="קצת")+(K119:R119="עוד לא"))*((S119:Z119="רוב הזמן")+(S119:Z119="לפעמים")+(S119:Z119="עדיין לא")))),""))</f>
        <v/>
      </c>
      <c r="AO119" s="27" t="str">
        <f aca="false">IF($A119="","",SUMPRODUCT(((((K119:R119="כן")+0.5*(K119:R119="קצת"))-((S119:Z119="רוב הזמן")+0.5*(S119:Z119="לפעמים")))&gt;0.01)*(((K119:R119="כן")+(K119:R119="קצת")+(K119:R119="עוד לא"))*((S119:Z119="רוב הזמן")+(S119:Z119="לפעמים")+(S119:Z119="עדיין לא")))))</f>
        <v/>
      </c>
      <c r="AP119" s="27" t="str">
        <f aca="false">IF($A119="","",SUMPRODUCT(((((S119:Z119="רוב הזמן")+0.5*(S119:Z119="לפעמים"))-((K119:R119="כן")+0.5*(K119:R119="קצת")))&gt;0.01)*(((K119:R119="כן")+(K119:R119="קצת")+(K119:R119="עוד לא"))*((S119:Z119="רוב הזמן")+(S119:Z119="לפעמים")+(S119:Z119="עדיין לא")))))</f>
        <v/>
      </c>
      <c r="AQ119" s="27" t="str">
        <f aca="false">IF($A119="","",COUNTIF(AA119:AB119,"כן"))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7" t="str">
        <f aca="false">IF($A120="","",$A120&amp;"|"&amp;$C120)</f>
        <v/>
      </c>
      <c r="AG120" s="27" t="str">
        <f aca="false">IF($A120="","",IF(OR(H120="לא נבדק",H120=""),"לא נבדק",IF(AND(H120="בחר/ה בעצמו/ה",I120="כן",J120="לא"),"מלא",IF(OR(H120="בחר/ה בעצמו/ה",I120="כן"),"חלקי","עדיין לא"))))</f>
        <v/>
      </c>
      <c r="AH120" s="28" t="str">
        <f aca="false">IF($A120="","",IFERROR((COUNTIF(K120:L120,"כן")+0.5*COUNTIF(K120:L120,"קצת"))/(COUNTIF(K120:L120,"כן")+COUNTIF(K120:L120,"קצת")+COUNTIF(K120:L120,"עוד לא")),""))</f>
        <v/>
      </c>
      <c r="AI120" s="28" t="str">
        <f aca="false">IF($A120="","",IFERROR((COUNTIF(M120:N120,"כן")+0.5*COUNTIF(M120:N120,"קצת"))/(COUNTIF(M120:N120,"כן")+COUNTIF(M120:N120,"קצת")+COUNTIF(M120:N120,"עוד לא")),""))</f>
        <v/>
      </c>
      <c r="AJ120" s="28" t="str">
        <f aca="false">IF($A120="","",IFERROR((COUNTIF(O120:P120,"כן")+0.5*COUNTIF(O120:P120,"קצת"))/(COUNTIF(O120:P120,"כן")+COUNTIF(O120:P120,"קצת")+COUNTIF(O120:P120,"עוד לא")),""))</f>
        <v/>
      </c>
      <c r="AK120" s="28" t="str">
        <f aca="false">IF($A120="","",IFERROR((COUNTIF(Q120:R120,"כן")+0.5*COUNTIF(Q120:R120,"קצת"))/(COUNTIF(Q120:R120,"כן")+COUNTIF(Q120:R120,"קצת")+COUNTIF(Q120:R120,"עוד לא")),""))</f>
        <v/>
      </c>
      <c r="AL120" s="28" t="str">
        <f aca="false">IF($A120="","",IFERROR((COUNTIF(K120:R120,"כן")+0.5*COUNTIF(K120:R120,"קצת"))/(COUNTIF(K120:R120,"כן")+COUNTIF(K120:R120,"קצת")+COUNTIF(K120:R120,"עוד לא")),""))</f>
        <v/>
      </c>
      <c r="AM120" s="28" t="str">
        <f aca="false">IF($A120="","",IFERROR((COUNTIF(S120:Z120,"רוב הזמן")+0.5*COUNTIF(S120:Z120,"לפעמים"))/(COUNTIF(S120:Z120,"רוב הזמן")+COUNTIF(S120:Z120,"לפעמים")+COUNTIF(S120:Z120,"עדיין לא")),""))</f>
        <v/>
      </c>
      <c r="AN120" s="28" t="str">
        <f aca="false">IF($A120="","",IFERROR(1-SUMPRODUCT(ABS(((K120:R120="כן")+0.5*(K120:R120="קצת"))-((S120:Z120="רוב הזמן")+0.5*(S120:Z120="לפעמים")))*(((K120:R120="כן")+(K120:R120="קצת")+(K120:R120="עוד לא"))*((S120:Z120="רוב הזמן")+(S120:Z120="לפעמים")+(S120:Z120="עדיין לא"))))/SUMPRODUCT((((K120:R120="כן")+(K120:R120="קצת")+(K120:R120="עוד לא"))*((S120:Z120="רוב הזמן")+(S120:Z120="לפעמים")+(S120:Z120="עדיין לא")))),""))</f>
        <v/>
      </c>
      <c r="AO120" s="27" t="str">
        <f aca="false">IF($A120="","",SUMPRODUCT(((((K120:R120="כן")+0.5*(K120:R120="קצת"))-((S120:Z120="רוב הזמן")+0.5*(S120:Z120="לפעמים")))&gt;0.01)*(((K120:R120="כן")+(K120:R120="קצת")+(K120:R120="עוד לא"))*((S120:Z120="רוב הזמן")+(S120:Z120="לפעמים")+(S120:Z120="עדיין לא")))))</f>
        <v/>
      </c>
      <c r="AP120" s="27" t="str">
        <f aca="false">IF($A120="","",SUMPRODUCT(((((S120:Z120="רוב הזמן")+0.5*(S120:Z120="לפעמים"))-((K120:R120="כן")+0.5*(K120:R120="קצת")))&gt;0.01)*(((K120:R120="כן")+(K120:R120="קצת")+(K120:R120="עוד לא"))*((S120:Z120="רוב הזמן")+(S120:Z120="לפעמים")+(S120:Z120="עדיין לא")))))</f>
        <v/>
      </c>
      <c r="AQ120" s="27" t="str">
        <f aca="false">IF($A120="","",COUNTIF(AA120:AB120,"כן"))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7" t="str">
        <f aca="false">IF($A121="","",$A121&amp;"|"&amp;$C121)</f>
        <v/>
      </c>
      <c r="AG121" s="27" t="str">
        <f aca="false">IF($A121="","",IF(OR(H121="לא נבדק",H121=""),"לא נבדק",IF(AND(H121="בחר/ה בעצמו/ה",I121="כן",J121="לא"),"מלא",IF(OR(H121="בחר/ה בעצמו/ה",I121="כן"),"חלקי","עדיין לא"))))</f>
        <v/>
      </c>
      <c r="AH121" s="28" t="str">
        <f aca="false">IF($A121="","",IFERROR((COUNTIF(K121:L121,"כן")+0.5*COUNTIF(K121:L121,"קצת"))/(COUNTIF(K121:L121,"כן")+COUNTIF(K121:L121,"קצת")+COUNTIF(K121:L121,"עוד לא")),""))</f>
        <v/>
      </c>
      <c r="AI121" s="28" t="str">
        <f aca="false">IF($A121="","",IFERROR((COUNTIF(M121:N121,"כן")+0.5*COUNTIF(M121:N121,"קצת"))/(COUNTIF(M121:N121,"כן")+COUNTIF(M121:N121,"קצת")+COUNTIF(M121:N121,"עוד לא")),""))</f>
        <v/>
      </c>
      <c r="AJ121" s="28" t="str">
        <f aca="false">IF($A121="","",IFERROR((COUNTIF(O121:P121,"כן")+0.5*COUNTIF(O121:P121,"קצת"))/(COUNTIF(O121:P121,"כן")+COUNTIF(O121:P121,"קצת")+COUNTIF(O121:P121,"עוד לא")),""))</f>
        <v/>
      </c>
      <c r="AK121" s="28" t="str">
        <f aca="false">IF($A121="","",IFERROR((COUNTIF(Q121:R121,"כן")+0.5*COUNTIF(Q121:R121,"קצת"))/(COUNTIF(Q121:R121,"כן")+COUNTIF(Q121:R121,"קצת")+COUNTIF(Q121:R121,"עוד לא")),""))</f>
        <v/>
      </c>
      <c r="AL121" s="28" t="str">
        <f aca="false">IF($A121="","",IFERROR((COUNTIF(K121:R121,"כן")+0.5*COUNTIF(K121:R121,"קצת"))/(COUNTIF(K121:R121,"כן")+COUNTIF(K121:R121,"קצת")+COUNTIF(K121:R121,"עוד לא")),""))</f>
        <v/>
      </c>
      <c r="AM121" s="28" t="str">
        <f aca="false">IF($A121="","",IFERROR((COUNTIF(S121:Z121,"רוב הזמן")+0.5*COUNTIF(S121:Z121,"לפעמים"))/(COUNTIF(S121:Z121,"רוב הזמן")+COUNTIF(S121:Z121,"לפעמים")+COUNTIF(S121:Z121,"עדיין לא")),""))</f>
        <v/>
      </c>
      <c r="AN121" s="28" t="str">
        <f aca="false">IF($A121="","",IFERROR(1-SUMPRODUCT(ABS(((K121:R121="כן")+0.5*(K121:R121="קצת"))-((S121:Z121="רוב הזמן")+0.5*(S121:Z121="לפעמים")))*(((K121:R121="כן")+(K121:R121="קצת")+(K121:R121="עוד לא"))*((S121:Z121="רוב הזמן")+(S121:Z121="לפעמים")+(S121:Z121="עדיין לא"))))/SUMPRODUCT((((K121:R121="כן")+(K121:R121="קצת")+(K121:R121="עוד לא"))*((S121:Z121="רוב הזמן")+(S121:Z121="לפעמים")+(S121:Z121="עדיין לא")))),""))</f>
        <v/>
      </c>
      <c r="AO121" s="27" t="str">
        <f aca="false">IF($A121="","",SUMPRODUCT(((((K121:R121="כן")+0.5*(K121:R121="קצת"))-((S121:Z121="רוב הזמן")+0.5*(S121:Z121="לפעמים")))&gt;0.01)*(((K121:R121="כן")+(K121:R121="קצת")+(K121:R121="עוד לא"))*((S121:Z121="רוב הזמן")+(S121:Z121="לפעמים")+(S121:Z121="עדיין לא")))))</f>
        <v/>
      </c>
      <c r="AP121" s="27" t="str">
        <f aca="false">IF($A121="","",SUMPRODUCT(((((S121:Z121="רוב הזמן")+0.5*(S121:Z121="לפעמים"))-((K121:R121="כן")+0.5*(K121:R121="קצת")))&gt;0.01)*(((K121:R121="כן")+(K121:R121="קצת")+(K121:R121="עוד לא"))*((S121:Z121="רוב הזמן")+(S121:Z121="לפעמים")+(S121:Z121="עדיין לא")))))</f>
        <v/>
      </c>
      <c r="AQ121" s="27" t="str">
        <f aca="false">IF($A121="","",COUNTIF(AA121:AB121,"כן"))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7" t="str">
        <f aca="false">IF($A122="","",$A122&amp;"|"&amp;$C122)</f>
        <v/>
      </c>
      <c r="AG122" s="27" t="str">
        <f aca="false">IF($A122="","",IF(OR(H122="לא נבדק",H122=""),"לא נבדק",IF(AND(H122="בחר/ה בעצמו/ה",I122="כן",J122="לא"),"מלא",IF(OR(H122="בחר/ה בעצמו/ה",I122="כן"),"חלקי","עדיין לא"))))</f>
        <v/>
      </c>
      <c r="AH122" s="28" t="str">
        <f aca="false">IF($A122="","",IFERROR((COUNTIF(K122:L122,"כן")+0.5*COUNTIF(K122:L122,"קצת"))/(COUNTIF(K122:L122,"כן")+COUNTIF(K122:L122,"קצת")+COUNTIF(K122:L122,"עוד לא")),""))</f>
        <v/>
      </c>
      <c r="AI122" s="28" t="str">
        <f aca="false">IF($A122="","",IFERROR((COUNTIF(M122:N122,"כן")+0.5*COUNTIF(M122:N122,"קצת"))/(COUNTIF(M122:N122,"כן")+COUNTIF(M122:N122,"קצת")+COUNTIF(M122:N122,"עוד לא")),""))</f>
        <v/>
      </c>
      <c r="AJ122" s="28" t="str">
        <f aca="false">IF($A122="","",IFERROR((COUNTIF(O122:P122,"כן")+0.5*COUNTIF(O122:P122,"קצת"))/(COUNTIF(O122:P122,"כן")+COUNTIF(O122:P122,"קצת")+COUNTIF(O122:P122,"עוד לא")),""))</f>
        <v/>
      </c>
      <c r="AK122" s="28" t="str">
        <f aca="false">IF($A122="","",IFERROR((COUNTIF(Q122:R122,"כן")+0.5*COUNTIF(Q122:R122,"קצת"))/(COUNTIF(Q122:R122,"כן")+COUNTIF(Q122:R122,"קצת")+COUNTIF(Q122:R122,"עוד לא")),""))</f>
        <v/>
      </c>
      <c r="AL122" s="28" t="str">
        <f aca="false">IF($A122="","",IFERROR((COUNTIF(K122:R122,"כן")+0.5*COUNTIF(K122:R122,"קצת"))/(COUNTIF(K122:R122,"כן")+COUNTIF(K122:R122,"קצת")+COUNTIF(K122:R122,"עוד לא")),""))</f>
        <v/>
      </c>
      <c r="AM122" s="28" t="str">
        <f aca="false">IF($A122="","",IFERROR((COUNTIF(S122:Z122,"רוב הזמן")+0.5*COUNTIF(S122:Z122,"לפעמים"))/(COUNTIF(S122:Z122,"רוב הזמן")+COUNTIF(S122:Z122,"לפעמים")+COUNTIF(S122:Z122,"עדיין לא")),""))</f>
        <v/>
      </c>
      <c r="AN122" s="28" t="str">
        <f aca="false">IF($A122="","",IFERROR(1-SUMPRODUCT(ABS(((K122:R122="כן")+0.5*(K122:R122="קצת"))-((S122:Z122="רוב הזמן")+0.5*(S122:Z122="לפעמים")))*(((K122:R122="כן")+(K122:R122="קצת")+(K122:R122="עוד לא"))*((S122:Z122="רוב הזמן")+(S122:Z122="לפעמים")+(S122:Z122="עדיין לא"))))/SUMPRODUCT((((K122:R122="כן")+(K122:R122="קצת")+(K122:R122="עוד לא"))*((S122:Z122="רוב הזמן")+(S122:Z122="לפעמים")+(S122:Z122="עדיין לא")))),""))</f>
        <v/>
      </c>
      <c r="AO122" s="27" t="str">
        <f aca="false">IF($A122="","",SUMPRODUCT(((((K122:R122="כן")+0.5*(K122:R122="קצת"))-((S122:Z122="רוב הזמן")+0.5*(S122:Z122="לפעמים")))&gt;0.01)*(((K122:R122="כן")+(K122:R122="קצת")+(K122:R122="עוד לא"))*((S122:Z122="רוב הזמן")+(S122:Z122="לפעמים")+(S122:Z122="עדיין לא")))))</f>
        <v/>
      </c>
      <c r="AP122" s="27" t="str">
        <f aca="false">IF($A122="","",SUMPRODUCT(((((S122:Z122="רוב הזמן")+0.5*(S122:Z122="לפעמים"))-((K122:R122="כן")+0.5*(K122:R122="קצת")))&gt;0.01)*(((K122:R122="כן")+(K122:R122="קצת")+(K122:R122="עוד לא"))*((S122:Z122="רוב הזמן")+(S122:Z122="לפעמים")+(S122:Z122="עדיין לא")))))</f>
        <v/>
      </c>
      <c r="AQ122" s="27" t="str">
        <f aca="false">IF($A122="","",COUNTIF(AA122:AB122,"כן"))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7" t="str">
        <f aca="false">IF($A123="","",$A123&amp;"|"&amp;$C123)</f>
        <v/>
      </c>
      <c r="AG123" s="27" t="str">
        <f aca="false">IF($A123="","",IF(OR(H123="לא נבדק",H123=""),"לא נבדק",IF(AND(H123="בחר/ה בעצמו/ה",I123="כן",J123="לא"),"מלא",IF(OR(H123="בחר/ה בעצמו/ה",I123="כן"),"חלקי","עדיין לא"))))</f>
        <v/>
      </c>
      <c r="AH123" s="28" t="str">
        <f aca="false">IF($A123="","",IFERROR((COUNTIF(K123:L123,"כן")+0.5*COUNTIF(K123:L123,"קצת"))/(COUNTIF(K123:L123,"כן")+COUNTIF(K123:L123,"קצת")+COUNTIF(K123:L123,"עוד לא")),""))</f>
        <v/>
      </c>
      <c r="AI123" s="28" t="str">
        <f aca="false">IF($A123="","",IFERROR((COUNTIF(M123:N123,"כן")+0.5*COUNTIF(M123:N123,"קצת"))/(COUNTIF(M123:N123,"כן")+COUNTIF(M123:N123,"קצת")+COUNTIF(M123:N123,"עוד לא")),""))</f>
        <v/>
      </c>
      <c r="AJ123" s="28" t="str">
        <f aca="false">IF($A123="","",IFERROR((COUNTIF(O123:P123,"כן")+0.5*COUNTIF(O123:P123,"קצת"))/(COUNTIF(O123:P123,"כן")+COUNTIF(O123:P123,"קצת")+COUNTIF(O123:P123,"עוד לא")),""))</f>
        <v/>
      </c>
      <c r="AK123" s="28" t="str">
        <f aca="false">IF($A123="","",IFERROR((COUNTIF(Q123:R123,"כן")+0.5*COUNTIF(Q123:R123,"קצת"))/(COUNTIF(Q123:R123,"כן")+COUNTIF(Q123:R123,"קצת")+COUNTIF(Q123:R123,"עוד לא")),""))</f>
        <v/>
      </c>
      <c r="AL123" s="28" t="str">
        <f aca="false">IF($A123="","",IFERROR((COUNTIF(K123:R123,"כן")+0.5*COUNTIF(K123:R123,"קצת"))/(COUNTIF(K123:R123,"כן")+COUNTIF(K123:R123,"קצת")+COUNTIF(K123:R123,"עוד לא")),""))</f>
        <v/>
      </c>
      <c r="AM123" s="28" t="str">
        <f aca="false">IF($A123="","",IFERROR((COUNTIF(S123:Z123,"רוב הזמן")+0.5*COUNTIF(S123:Z123,"לפעמים"))/(COUNTIF(S123:Z123,"רוב הזמן")+COUNTIF(S123:Z123,"לפעמים")+COUNTIF(S123:Z123,"עדיין לא")),""))</f>
        <v/>
      </c>
      <c r="AN123" s="28" t="str">
        <f aca="false">IF($A123="","",IFERROR(1-SUMPRODUCT(ABS(((K123:R123="כן")+0.5*(K123:R123="קצת"))-((S123:Z123="רוב הזמן")+0.5*(S123:Z123="לפעמים")))*(((K123:R123="כן")+(K123:R123="קצת")+(K123:R123="עוד לא"))*((S123:Z123="רוב הזמן")+(S123:Z123="לפעמים")+(S123:Z123="עדיין לא"))))/SUMPRODUCT((((K123:R123="כן")+(K123:R123="קצת")+(K123:R123="עוד לא"))*((S123:Z123="רוב הזמן")+(S123:Z123="לפעמים")+(S123:Z123="עדיין לא")))),""))</f>
        <v/>
      </c>
      <c r="AO123" s="27" t="str">
        <f aca="false">IF($A123="","",SUMPRODUCT(((((K123:R123="כן")+0.5*(K123:R123="קצת"))-((S123:Z123="רוב הזמן")+0.5*(S123:Z123="לפעמים")))&gt;0.01)*(((K123:R123="כן")+(K123:R123="קצת")+(K123:R123="עוד לא"))*((S123:Z123="רוב הזמן")+(S123:Z123="לפעמים")+(S123:Z123="עדיין לא")))))</f>
        <v/>
      </c>
      <c r="AP123" s="27" t="str">
        <f aca="false">IF($A123="","",SUMPRODUCT(((((S123:Z123="רוב הזמן")+0.5*(S123:Z123="לפעמים"))-((K123:R123="כן")+0.5*(K123:R123="קצת")))&gt;0.01)*(((K123:R123="כן")+(K123:R123="קצת")+(K123:R123="עוד לא"))*((S123:Z123="רוב הזמן")+(S123:Z123="לפעמים")+(S123:Z123="עדיין לא")))))</f>
        <v/>
      </c>
      <c r="AQ123" s="27" t="str">
        <f aca="false">IF($A123="","",COUNTIF(AA123:AB123,"כן"))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7" t="str">
        <f aca="false">IF($A124="","",$A124&amp;"|"&amp;$C124)</f>
        <v/>
      </c>
      <c r="AG124" s="27" t="str">
        <f aca="false">IF($A124="","",IF(OR(H124="לא נבדק",H124=""),"לא נבדק",IF(AND(H124="בחר/ה בעצמו/ה",I124="כן",J124="לא"),"מלא",IF(OR(H124="בחר/ה בעצמו/ה",I124="כן"),"חלקי","עדיין לא"))))</f>
        <v/>
      </c>
      <c r="AH124" s="28" t="str">
        <f aca="false">IF($A124="","",IFERROR((COUNTIF(K124:L124,"כן")+0.5*COUNTIF(K124:L124,"קצת"))/(COUNTIF(K124:L124,"כן")+COUNTIF(K124:L124,"קצת")+COUNTIF(K124:L124,"עוד לא")),""))</f>
        <v/>
      </c>
      <c r="AI124" s="28" t="str">
        <f aca="false">IF($A124="","",IFERROR((COUNTIF(M124:N124,"כן")+0.5*COUNTIF(M124:N124,"קצת"))/(COUNTIF(M124:N124,"כן")+COUNTIF(M124:N124,"קצת")+COUNTIF(M124:N124,"עוד לא")),""))</f>
        <v/>
      </c>
      <c r="AJ124" s="28" t="str">
        <f aca="false">IF($A124="","",IFERROR((COUNTIF(O124:P124,"כן")+0.5*COUNTIF(O124:P124,"קצת"))/(COUNTIF(O124:P124,"כן")+COUNTIF(O124:P124,"קצת")+COUNTIF(O124:P124,"עוד לא")),""))</f>
        <v/>
      </c>
      <c r="AK124" s="28" t="str">
        <f aca="false">IF($A124="","",IFERROR((COUNTIF(Q124:R124,"כן")+0.5*COUNTIF(Q124:R124,"קצת"))/(COUNTIF(Q124:R124,"כן")+COUNTIF(Q124:R124,"קצת")+COUNTIF(Q124:R124,"עוד לא")),""))</f>
        <v/>
      </c>
      <c r="AL124" s="28" t="str">
        <f aca="false">IF($A124="","",IFERROR((COUNTIF(K124:R124,"כן")+0.5*COUNTIF(K124:R124,"קצת"))/(COUNTIF(K124:R124,"כן")+COUNTIF(K124:R124,"קצת")+COUNTIF(K124:R124,"עוד לא")),""))</f>
        <v/>
      </c>
      <c r="AM124" s="28" t="str">
        <f aca="false">IF($A124="","",IFERROR((COUNTIF(S124:Z124,"רוב הזמן")+0.5*COUNTIF(S124:Z124,"לפעמים"))/(COUNTIF(S124:Z124,"רוב הזמן")+COUNTIF(S124:Z124,"לפעמים")+COUNTIF(S124:Z124,"עדיין לא")),""))</f>
        <v/>
      </c>
      <c r="AN124" s="28" t="str">
        <f aca="false">IF($A124="","",IFERROR(1-SUMPRODUCT(ABS(((K124:R124="כן")+0.5*(K124:R124="קצת"))-((S124:Z124="רוב הזמן")+0.5*(S124:Z124="לפעמים")))*(((K124:R124="כן")+(K124:R124="קצת")+(K124:R124="עוד לא"))*((S124:Z124="רוב הזמן")+(S124:Z124="לפעמים")+(S124:Z124="עדיין לא"))))/SUMPRODUCT((((K124:R124="כן")+(K124:R124="קצת")+(K124:R124="עוד לא"))*((S124:Z124="רוב הזמן")+(S124:Z124="לפעמים")+(S124:Z124="עדיין לא")))),""))</f>
        <v/>
      </c>
      <c r="AO124" s="27" t="str">
        <f aca="false">IF($A124="","",SUMPRODUCT(((((K124:R124="כן")+0.5*(K124:R124="קצת"))-((S124:Z124="רוב הזמן")+0.5*(S124:Z124="לפעמים")))&gt;0.01)*(((K124:R124="כן")+(K124:R124="קצת")+(K124:R124="עוד לא"))*((S124:Z124="רוב הזמן")+(S124:Z124="לפעמים")+(S124:Z124="עדיין לא")))))</f>
        <v/>
      </c>
      <c r="AP124" s="27" t="str">
        <f aca="false">IF($A124="","",SUMPRODUCT(((((S124:Z124="רוב הזמן")+0.5*(S124:Z124="לפעמים"))-((K124:R124="כן")+0.5*(K124:R124="קצת")))&gt;0.01)*(((K124:R124="כן")+(K124:R124="קצת")+(K124:R124="עוד לא"))*((S124:Z124="רוב הזמן")+(S124:Z124="לפעמים")+(S124:Z124="עדיין לא")))))</f>
        <v/>
      </c>
      <c r="AQ124" s="27" t="str">
        <f aca="false">IF($A124="","",COUNTIF(AA124:AB124,"כן"))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7" t="str">
        <f aca="false">IF($A125="","",$A125&amp;"|"&amp;$C125)</f>
        <v/>
      </c>
      <c r="AG125" s="27" t="str">
        <f aca="false">IF($A125="","",IF(OR(H125="לא נבדק",H125=""),"לא נבדק",IF(AND(H125="בחר/ה בעצמו/ה",I125="כן",J125="לא"),"מלא",IF(OR(H125="בחר/ה בעצמו/ה",I125="כן"),"חלקי","עדיין לא"))))</f>
        <v/>
      </c>
      <c r="AH125" s="28" t="str">
        <f aca="false">IF($A125="","",IFERROR((COUNTIF(K125:L125,"כן")+0.5*COUNTIF(K125:L125,"קצת"))/(COUNTIF(K125:L125,"כן")+COUNTIF(K125:L125,"קצת")+COUNTIF(K125:L125,"עוד לא")),""))</f>
        <v/>
      </c>
      <c r="AI125" s="28" t="str">
        <f aca="false">IF($A125="","",IFERROR((COUNTIF(M125:N125,"כן")+0.5*COUNTIF(M125:N125,"קצת"))/(COUNTIF(M125:N125,"כן")+COUNTIF(M125:N125,"קצת")+COUNTIF(M125:N125,"עוד לא")),""))</f>
        <v/>
      </c>
      <c r="AJ125" s="28" t="str">
        <f aca="false">IF($A125="","",IFERROR((COUNTIF(O125:P125,"כן")+0.5*COUNTIF(O125:P125,"קצת"))/(COUNTIF(O125:P125,"כן")+COUNTIF(O125:P125,"קצת")+COUNTIF(O125:P125,"עוד לא")),""))</f>
        <v/>
      </c>
      <c r="AK125" s="28" t="str">
        <f aca="false">IF($A125="","",IFERROR((COUNTIF(Q125:R125,"כן")+0.5*COUNTIF(Q125:R125,"קצת"))/(COUNTIF(Q125:R125,"כן")+COUNTIF(Q125:R125,"קצת")+COUNTIF(Q125:R125,"עוד לא")),""))</f>
        <v/>
      </c>
      <c r="AL125" s="28" t="str">
        <f aca="false">IF($A125="","",IFERROR((COUNTIF(K125:R125,"כן")+0.5*COUNTIF(K125:R125,"קצת"))/(COUNTIF(K125:R125,"כן")+COUNTIF(K125:R125,"קצת")+COUNTIF(K125:R125,"עוד לא")),""))</f>
        <v/>
      </c>
      <c r="AM125" s="28" t="str">
        <f aca="false">IF($A125="","",IFERROR((COUNTIF(S125:Z125,"רוב הזמן")+0.5*COUNTIF(S125:Z125,"לפעמים"))/(COUNTIF(S125:Z125,"רוב הזמן")+COUNTIF(S125:Z125,"לפעמים")+COUNTIF(S125:Z125,"עדיין לא")),""))</f>
        <v/>
      </c>
      <c r="AN125" s="28" t="str">
        <f aca="false">IF($A125="","",IFERROR(1-SUMPRODUCT(ABS(((K125:R125="כן")+0.5*(K125:R125="קצת"))-((S125:Z125="רוב הזמן")+0.5*(S125:Z125="לפעמים")))*(((K125:R125="כן")+(K125:R125="קצת")+(K125:R125="עוד לא"))*((S125:Z125="רוב הזמן")+(S125:Z125="לפעמים")+(S125:Z125="עדיין לא"))))/SUMPRODUCT((((K125:R125="כן")+(K125:R125="קצת")+(K125:R125="עוד לא"))*((S125:Z125="רוב הזמן")+(S125:Z125="לפעמים")+(S125:Z125="עדיין לא")))),""))</f>
        <v/>
      </c>
      <c r="AO125" s="27" t="str">
        <f aca="false">IF($A125="","",SUMPRODUCT(((((K125:R125="כן")+0.5*(K125:R125="קצת"))-((S125:Z125="רוב הזמן")+0.5*(S125:Z125="לפעמים")))&gt;0.01)*(((K125:R125="כן")+(K125:R125="קצת")+(K125:R125="עוד לא"))*((S125:Z125="רוב הזמן")+(S125:Z125="לפעמים")+(S125:Z125="עדיין לא")))))</f>
        <v/>
      </c>
      <c r="AP125" s="27" t="str">
        <f aca="false">IF($A125="","",SUMPRODUCT(((((S125:Z125="רוב הזמן")+0.5*(S125:Z125="לפעמים"))-((K125:R125="כן")+0.5*(K125:R125="קצת")))&gt;0.01)*(((K125:R125="כן")+(K125:R125="קצת")+(K125:R125="עוד לא"))*((S125:Z125="רוב הזמן")+(S125:Z125="לפעמים")+(S125:Z125="עדיין לא")))))</f>
        <v/>
      </c>
      <c r="AQ125" s="27" t="str">
        <f aca="false">IF($A125="","",COUNTIF(AA125:AB125,"כן"))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7" t="str">
        <f aca="false">IF($A126="","",$A126&amp;"|"&amp;$C126)</f>
        <v/>
      </c>
      <c r="AG126" s="27" t="str">
        <f aca="false">IF($A126="","",IF(OR(H126="לא נבדק",H126=""),"לא נבדק",IF(AND(H126="בחר/ה בעצמו/ה",I126="כן",J126="לא"),"מלא",IF(OR(H126="בחר/ה בעצמו/ה",I126="כן"),"חלקי","עדיין לא"))))</f>
        <v/>
      </c>
      <c r="AH126" s="28" t="str">
        <f aca="false">IF($A126="","",IFERROR((COUNTIF(K126:L126,"כן")+0.5*COUNTIF(K126:L126,"קצת"))/(COUNTIF(K126:L126,"כן")+COUNTIF(K126:L126,"קצת")+COUNTIF(K126:L126,"עוד לא")),""))</f>
        <v/>
      </c>
      <c r="AI126" s="28" t="str">
        <f aca="false">IF($A126="","",IFERROR((COUNTIF(M126:N126,"כן")+0.5*COUNTIF(M126:N126,"קצת"))/(COUNTIF(M126:N126,"כן")+COUNTIF(M126:N126,"קצת")+COUNTIF(M126:N126,"עוד לא")),""))</f>
        <v/>
      </c>
      <c r="AJ126" s="28" t="str">
        <f aca="false">IF($A126="","",IFERROR((COUNTIF(O126:P126,"כן")+0.5*COUNTIF(O126:P126,"קצת"))/(COUNTIF(O126:P126,"כן")+COUNTIF(O126:P126,"קצת")+COUNTIF(O126:P126,"עוד לא")),""))</f>
        <v/>
      </c>
      <c r="AK126" s="28" t="str">
        <f aca="false">IF($A126="","",IFERROR((COUNTIF(Q126:R126,"כן")+0.5*COUNTIF(Q126:R126,"קצת"))/(COUNTIF(Q126:R126,"כן")+COUNTIF(Q126:R126,"קצת")+COUNTIF(Q126:R126,"עוד לא")),""))</f>
        <v/>
      </c>
      <c r="AL126" s="28" t="str">
        <f aca="false">IF($A126="","",IFERROR((COUNTIF(K126:R126,"כן")+0.5*COUNTIF(K126:R126,"קצת"))/(COUNTIF(K126:R126,"כן")+COUNTIF(K126:R126,"קצת")+COUNTIF(K126:R126,"עוד לא")),""))</f>
        <v/>
      </c>
      <c r="AM126" s="28" t="str">
        <f aca="false">IF($A126="","",IFERROR((COUNTIF(S126:Z126,"רוב הזמן")+0.5*COUNTIF(S126:Z126,"לפעמים"))/(COUNTIF(S126:Z126,"רוב הזמן")+COUNTIF(S126:Z126,"לפעמים")+COUNTIF(S126:Z126,"עדיין לא")),""))</f>
        <v/>
      </c>
      <c r="AN126" s="28" t="str">
        <f aca="false">IF($A126="","",IFERROR(1-SUMPRODUCT(ABS(((K126:R126="כן")+0.5*(K126:R126="קצת"))-((S126:Z126="רוב הזמן")+0.5*(S126:Z126="לפעמים")))*(((K126:R126="כן")+(K126:R126="קצת")+(K126:R126="עוד לא"))*((S126:Z126="רוב הזמן")+(S126:Z126="לפעמים")+(S126:Z126="עדיין לא"))))/SUMPRODUCT((((K126:R126="כן")+(K126:R126="קצת")+(K126:R126="עוד לא"))*((S126:Z126="רוב הזמן")+(S126:Z126="לפעמים")+(S126:Z126="עדיין לא")))),""))</f>
        <v/>
      </c>
      <c r="AO126" s="27" t="str">
        <f aca="false">IF($A126="","",SUMPRODUCT(((((K126:R126="כן")+0.5*(K126:R126="קצת"))-((S126:Z126="רוב הזמן")+0.5*(S126:Z126="לפעמים")))&gt;0.01)*(((K126:R126="כן")+(K126:R126="קצת")+(K126:R126="עוד לא"))*((S126:Z126="רוב הזמן")+(S126:Z126="לפעמים")+(S126:Z126="עדיין לא")))))</f>
        <v/>
      </c>
      <c r="AP126" s="27" t="str">
        <f aca="false">IF($A126="","",SUMPRODUCT(((((S126:Z126="רוב הזמן")+0.5*(S126:Z126="לפעמים"))-((K126:R126="כן")+0.5*(K126:R126="קצת")))&gt;0.01)*(((K126:R126="כן")+(K126:R126="קצת")+(K126:R126="עוד לא"))*((S126:Z126="רוב הזמן")+(S126:Z126="לפעמים")+(S126:Z126="עדיין לא")))))</f>
        <v/>
      </c>
      <c r="AQ126" s="27" t="str">
        <f aca="false">IF($A126="","",COUNTIF(AA126:AB126,"כן"))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7" t="str">
        <f aca="false">IF($A127="","",$A127&amp;"|"&amp;$C127)</f>
        <v/>
      </c>
      <c r="AG127" s="27" t="str">
        <f aca="false">IF($A127="","",IF(OR(H127="לא נבדק",H127=""),"לא נבדק",IF(AND(H127="בחר/ה בעצמו/ה",I127="כן",J127="לא"),"מלא",IF(OR(H127="בחר/ה בעצמו/ה",I127="כן"),"חלקי","עדיין לא"))))</f>
        <v/>
      </c>
      <c r="AH127" s="28" t="str">
        <f aca="false">IF($A127="","",IFERROR((COUNTIF(K127:L127,"כן")+0.5*COUNTIF(K127:L127,"קצת"))/(COUNTIF(K127:L127,"כן")+COUNTIF(K127:L127,"קצת")+COUNTIF(K127:L127,"עוד לא")),""))</f>
        <v/>
      </c>
      <c r="AI127" s="28" t="str">
        <f aca="false">IF($A127="","",IFERROR((COUNTIF(M127:N127,"כן")+0.5*COUNTIF(M127:N127,"קצת"))/(COUNTIF(M127:N127,"כן")+COUNTIF(M127:N127,"קצת")+COUNTIF(M127:N127,"עוד לא")),""))</f>
        <v/>
      </c>
      <c r="AJ127" s="28" t="str">
        <f aca="false">IF($A127="","",IFERROR((COUNTIF(O127:P127,"כן")+0.5*COUNTIF(O127:P127,"קצת"))/(COUNTIF(O127:P127,"כן")+COUNTIF(O127:P127,"קצת")+COUNTIF(O127:P127,"עוד לא")),""))</f>
        <v/>
      </c>
      <c r="AK127" s="28" t="str">
        <f aca="false">IF($A127="","",IFERROR((COUNTIF(Q127:R127,"כן")+0.5*COUNTIF(Q127:R127,"קצת"))/(COUNTIF(Q127:R127,"כן")+COUNTIF(Q127:R127,"קצת")+COUNTIF(Q127:R127,"עוד לא")),""))</f>
        <v/>
      </c>
      <c r="AL127" s="28" t="str">
        <f aca="false">IF($A127="","",IFERROR((COUNTIF(K127:R127,"כן")+0.5*COUNTIF(K127:R127,"קצת"))/(COUNTIF(K127:R127,"כן")+COUNTIF(K127:R127,"קצת")+COUNTIF(K127:R127,"עוד לא")),""))</f>
        <v/>
      </c>
      <c r="AM127" s="28" t="str">
        <f aca="false">IF($A127="","",IFERROR((COUNTIF(S127:Z127,"רוב הזמן")+0.5*COUNTIF(S127:Z127,"לפעמים"))/(COUNTIF(S127:Z127,"רוב הזמן")+COUNTIF(S127:Z127,"לפעמים")+COUNTIF(S127:Z127,"עדיין לא")),""))</f>
        <v/>
      </c>
      <c r="AN127" s="28" t="str">
        <f aca="false">IF($A127="","",IFERROR(1-SUMPRODUCT(ABS(((K127:R127="כן")+0.5*(K127:R127="קצת"))-((S127:Z127="רוב הזמן")+0.5*(S127:Z127="לפעמים")))*(((K127:R127="כן")+(K127:R127="קצת")+(K127:R127="עוד לא"))*((S127:Z127="רוב הזמן")+(S127:Z127="לפעמים")+(S127:Z127="עדיין לא"))))/SUMPRODUCT((((K127:R127="כן")+(K127:R127="קצת")+(K127:R127="עוד לא"))*((S127:Z127="רוב הזמן")+(S127:Z127="לפעמים")+(S127:Z127="עדיין לא")))),""))</f>
        <v/>
      </c>
      <c r="AO127" s="27" t="str">
        <f aca="false">IF($A127="","",SUMPRODUCT(((((K127:R127="כן")+0.5*(K127:R127="קצת"))-((S127:Z127="רוב הזמן")+0.5*(S127:Z127="לפעמים")))&gt;0.01)*(((K127:R127="כן")+(K127:R127="קצת")+(K127:R127="עוד לא"))*((S127:Z127="רוב הזמן")+(S127:Z127="לפעמים")+(S127:Z127="עדיין לא")))))</f>
        <v/>
      </c>
      <c r="AP127" s="27" t="str">
        <f aca="false">IF($A127="","",SUMPRODUCT(((((S127:Z127="רוב הזמן")+0.5*(S127:Z127="לפעמים"))-((K127:R127="כן")+0.5*(K127:R127="קצת")))&gt;0.01)*(((K127:R127="כן")+(K127:R127="קצת")+(K127:R127="עוד לא"))*((S127:Z127="רוב הזמן")+(S127:Z127="לפעמים")+(S127:Z127="עדיין לא")))))</f>
        <v/>
      </c>
      <c r="AQ127" s="27" t="str">
        <f aca="false">IF($A127="","",COUNTIF(AA127:AB127,"כן"))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7" t="str">
        <f aca="false">IF($A128="","",$A128&amp;"|"&amp;$C128)</f>
        <v/>
      </c>
      <c r="AG128" s="27" t="str">
        <f aca="false">IF($A128="","",IF(OR(H128="לא נבדק",H128=""),"לא נבדק",IF(AND(H128="בחר/ה בעצמו/ה",I128="כן",J128="לא"),"מלא",IF(OR(H128="בחר/ה בעצמו/ה",I128="כן"),"חלקי","עדיין לא"))))</f>
        <v/>
      </c>
      <c r="AH128" s="28" t="str">
        <f aca="false">IF($A128="","",IFERROR((COUNTIF(K128:L128,"כן")+0.5*COUNTIF(K128:L128,"קצת"))/(COUNTIF(K128:L128,"כן")+COUNTIF(K128:L128,"קצת")+COUNTIF(K128:L128,"עוד לא")),""))</f>
        <v/>
      </c>
      <c r="AI128" s="28" t="str">
        <f aca="false">IF($A128="","",IFERROR((COUNTIF(M128:N128,"כן")+0.5*COUNTIF(M128:N128,"קצת"))/(COUNTIF(M128:N128,"כן")+COUNTIF(M128:N128,"קצת")+COUNTIF(M128:N128,"עוד לא")),""))</f>
        <v/>
      </c>
      <c r="AJ128" s="28" t="str">
        <f aca="false">IF($A128="","",IFERROR((COUNTIF(O128:P128,"כן")+0.5*COUNTIF(O128:P128,"קצת"))/(COUNTIF(O128:P128,"כן")+COUNTIF(O128:P128,"קצת")+COUNTIF(O128:P128,"עוד לא")),""))</f>
        <v/>
      </c>
      <c r="AK128" s="28" t="str">
        <f aca="false">IF($A128="","",IFERROR((COUNTIF(Q128:R128,"כן")+0.5*COUNTIF(Q128:R128,"קצת"))/(COUNTIF(Q128:R128,"כן")+COUNTIF(Q128:R128,"קצת")+COUNTIF(Q128:R128,"עוד לא")),""))</f>
        <v/>
      </c>
      <c r="AL128" s="28" t="str">
        <f aca="false">IF($A128="","",IFERROR((COUNTIF(K128:R128,"כן")+0.5*COUNTIF(K128:R128,"קצת"))/(COUNTIF(K128:R128,"כן")+COUNTIF(K128:R128,"קצת")+COUNTIF(K128:R128,"עוד לא")),""))</f>
        <v/>
      </c>
      <c r="AM128" s="28" t="str">
        <f aca="false">IF($A128="","",IFERROR((COUNTIF(S128:Z128,"רוב הזמן")+0.5*COUNTIF(S128:Z128,"לפעמים"))/(COUNTIF(S128:Z128,"רוב הזמן")+COUNTIF(S128:Z128,"לפעמים")+COUNTIF(S128:Z128,"עדיין לא")),""))</f>
        <v/>
      </c>
      <c r="AN128" s="28" t="str">
        <f aca="false">IF($A128="","",IFERROR(1-SUMPRODUCT(ABS(((K128:R128="כן")+0.5*(K128:R128="קצת"))-((S128:Z128="רוב הזמן")+0.5*(S128:Z128="לפעמים")))*(((K128:R128="כן")+(K128:R128="קצת")+(K128:R128="עוד לא"))*((S128:Z128="רוב הזמן")+(S128:Z128="לפעמים")+(S128:Z128="עדיין לא"))))/SUMPRODUCT((((K128:R128="כן")+(K128:R128="קצת")+(K128:R128="עוד לא"))*((S128:Z128="רוב הזמן")+(S128:Z128="לפעמים")+(S128:Z128="עדיין לא")))),""))</f>
        <v/>
      </c>
      <c r="AO128" s="27" t="str">
        <f aca="false">IF($A128="","",SUMPRODUCT(((((K128:R128="כן")+0.5*(K128:R128="קצת"))-((S128:Z128="רוב הזמן")+0.5*(S128:Z128="לפעמים")))&gt;0.01)*(((K128:R128="כן")+(K128:R128="קצת")+(K128:R128="עוד לא"))*((S128:Z128="רוב הזמן")+(S128:Z128="לפעמים")+(S128:Z128="עדיין לא")))))</f>
        <v/>
      </c>
      <c r="AP128" s="27" t="str">
        <f aca="false">IF($A128="","",SUMPRODUCT(((((S128:Z128="רוב הזמן")+0.5*(S128:Z128="לפעמים"))-((K128:R128="כן")+0.5*(K128:R128="קצת")))&gt;0.01)*(((K128:R128="כן")+(K128:R128="קצת")+(K128:R128="עוד לא"))*((S128:Z128="רוב הזמן")+(S128:Z128="לפעמים")+(S128:Z128="עדיין לא")))))</f>
        <v/>
      </c>
      <c r="AQ128" s="27" t="str">
        <f aca="false">IF($A128="","",COUNTIF(AA128:AB128,"כן"))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7" t="str">
        <f aca="false">IF($A129="","",$A129&amp;"|"&amp;$C129)</f>
        <v/>
      </c>
      <c r="AG129" s="27" t="str">
        <f aca="false">IF($A129="","",IF(OR(H129="לא נבדק",H129=""),"לא נבדק",IF(AND(H129="בחר/ה בעצמו/ה",I129="כן",J129="לא"),"מלא",IF(OR(H129="בחר/ה בעצמו/ה",I129="כן"),"חלקי","עדיין לא"))))</f>
        <v/>
      </c>
      <c r="AH129" s="28" t="str">
        <f aca="false">IF($A129="","",IFERROR((COUNTIF(K129:L129,"כן")+0.5*COUNTIF(K129:L129,"קצת"))/(COUNTIF(K129:L129,"כן")+COUNTIF(K129:L129,"קצת")+COUNTIF(K129:L129,"עוד לא")),""))</f>
        <v/>
      </c>
      <c r="AI129" s="28" t="str">
        <f aca="false">IF($A129="","",IFERROR((COUNTIF(M129:N129,"כן")+0.5*COUNTIF(M129:N129,"קצת"))/(COUNTIF(M129:N129,"כן")+COUNTIF(M129:N129,"קצת")+COUNTIF(M129:N129,"עוד לא")),""))</f>
        <v/>
      </c>
      <c r="AJ129" s="28" t="str">
        <f aca="false">IF($A129="","",IFERROR((COUNTIF(O129:P129,"כן")+0.5*COUNTIF(O129:P129,"קצת"))/(COUNTIF(O129:P129,"כן")+COUNTIF(O129:P129,"קצת")+COUNTIF(O129:P129,"עוד לא")),""))</f>
        <v/>
      </c>
      <c r="AK129" s="28" t="str">
        <f aca="false">IF($A129="","",IFERROR((COUNTIF(Q129:R129,"כן")+0.5*COUNTIF(Q129:R129,"קצת"))/(COUNTIF(Q129:R129,"כן")+COUNTIF(Q129:R129,"קצת")+COUNTIF(Q129:R129,"עוד לא")),""))</f>
        <v/>
      </c>
      <c r="AL129" s="28" t="str">
        <f aca="false">IF($A129="","",IFERROR((COUNTIF(K129:R129,"כן")+0.5*COUNTIF(K129:R129,"קצת"))/(COUNTIF(K129:R129,"כן")+COUNTIF(K129:R129,"קצת")+COUNTIF(K129:R129,"עוד לא")),""))</f>
        <v/>
      </c>
      <c r="AM129" s="28" t="str">
        <f aca="false">IF($A129="","",IFERROR((COUNTIF(S129:Z129,"רוב הזמן")+0.5*COUNTIF(S129:Z129,"לפעמים"))/(COUNTIF(S129:Z129,"רוב הזמן")+COUNTIF(S129:Z129,"לפעמים")+COUNTIF(S129:Z129,"עדיין לא")),""))</f>
        <v/>
      </c>
      <c r="AN129" s="28" t="str">
        <f aca="false">IF($A129="","",IFERROR(1-SUMPRODUCT(ABS(((K129:R129="כן")+0.5*(K129:R129="קצת"))-((S129:Z129="רוב הזמן")+0.5*(S129:Z129="לפעמים")))*(((K129:R129="כן")+(K129:R129="קצת")+(K129:R129="עוד לא"))*((S129:Z129="רוב הזמן")+(S129:Z129="לפעמים")+(S129:Z129="עדיין לא"))))/SUMPRODUCT((((K129:R129="כן")+(K129:R129="קצת")+(K129:R129="עוד לא"))*((S129:Z129="רוב הזמן")+(S129:Z129="לפעמים")+(S129:Z129="עדיין לא")))),""))</f>
        <v/>
      </c>
      <c r="AO129" s="27" t="str">
        <f aca="false">IF($A129="","",SUMPRODUCT(((((K129:R129="כן")+0.5*(K129:R129="קצת"))-((S129:Z129="רוב הזמן")+0.5*(S129:Z129="לפעמים")))&gt;0.01)*(((K129:R129="כן")+(K129:R129="קצת")+(K129:R129="עוד לא"))*((S129:Z129="רוב הזמן")+(S129:Z129="לפעמים")+(S129:Z129="עדיין לא")))))</f>
        <v/>
      </c>
      <c r="AP129" s="27" t="str">
        <f aca="false">IF($A129="","",SUMPRODUCT(((((S129:Z129="רוב הזמן")+0.5*(S129:Z129="לפעמים"))-((K129:R129="כן")+0.5*(K129:R129="קצת")))&gt;0.01)*(((K129:R129="כן")+(K129:R129="קצת")+(K129:R129="עוד לא"))*((S129:Z129="רוב הזמן")+(S129:Z129="לפעמים")+(S129:Z129="עדיין לא")))))</f>
        <v/>
      </c>
      <c r="AQ129" s="27" t="str">
        <f aca="false">IF($A129="","",COUNTIF(AA129:AB129,"כן"))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7" t="str">
        <f aca="false">IF($A130="","",$A130&amp;"|"&amp;$C130)</f>
        <v/>
      </c>
      <c r="AG130" s="27" t="str">
        <f aca="false">IF($A130="","",IF(OR(H130="לא נבדק",H130=""),"לא נבדק",IF(AND(H130="בחר/ה בעצמו/ה",I130="כן",J130="לא"),"מלא",IF(OR(H130="בחר/ה בעצמו/ה",I130="כן"),"חלקי","עדיין לא"))))</f>
        <v/>
      </c>
      <c r="AH130" s="28" t="str">
        <f aca="false">IF($A130="","",IFERROR((COUNTIF(K130:L130,"כן")+0.5*COUNTIF(K130:L130,"קצת"))/(COUNTIF(K130:L130,"כן")+COUNTIF(K130:L130,"קצת")+COUNTIF(K130:L130,"עוד לא")),""))</f>
        <v/>
      </c>
      <c r="AI130" s="28" t="str">
        <f aca="false">IF($A130="","",IFERROR((COUNTIF(M130:N130,"כן")+0.5*COUNTIF(M130:N130,"קצת"))/(COUNTIF(M130:N130,"כן")+COUNTIF(M130:N130,"קצת")+COUNTIF(M130:N130,"עוד לא")),""))</f>
        <v/>
      </c>
      <c r="AJ130" s="28" t="str">
        <f aca="false">IF($A130="","",IFERROR((COUNTIF(O130:P130,"כן")+0.5*COUNTIF(O130:P130,"קצת"))/(COUNTIF(O130:P130,"כן")+COUNTIF(O130:P130,"קצת")+COUNTIF(O130:P130,"עוד לא")),""))</f>
        <v/>
      </c>
      <c r="AK130" s="28" t="str">
        <f aca="false">IF($A130="","",IFERROR((COUNTIF(Q130:R130,"כן")+0.5*COUNTIF(Q130:R130,"קצת"))/(COUNTIF(Q130:R130,"כן")+COUNTIF(Q130:R130,"קצת")+COUNTIF(Q130:R130,"עוד לא")),""))</f>
        <v/>
      </c>
      <c r="AL130" s="28" t="str">
        <f aca="false">IF($A130="","",IFERROR((COUNTIF(K130:R130,"כן")+0.5*COUNTIF(K130:R130,"קצת"))/(COUNTIF(K130:R130,"כן")+COUNTIF(K130:R130,"קצת")+COUNTIF(K130:R130,"עוד לא")),""))</f>
        <v/>
      </c>
      <c r="AM130" s="28" t="str">
        <f aca="false">IF($A130="","",IFERROR((COUNTIF(S130:Z130,"רוב הזמן")+0.5*COUNTIF(S130:Z130,"לפעמים"))/(COUNTIF(S130:Z130,"רוב הזמן")+COUNTIF(S130:Z130,"לפעמים")+COUNTIF(S130:Z130,"עדיין לא")),""))</f>
        <v/>
      </c>
      <c r="AN130" s="28" t="str">
        <f aca="false">IF($A130="","",IFERROR(1-SUMPRODUCT(ABS(((K130:R130="כן")+0.5*(K130:R130="קצת"))-((S130:Z130="רוב הזמן")+0.5*(S130:Z130="לפעמים")))*(((K130:R130="כן")+(K130:R130="קצת")+(K130:R130="עוד לא"))*((S130:Z130="רוב הזמן")+(S130:Z130="לפעמים")+(S130:Z130="עדיין לא"))))/SUMPRODUCT((((K130:R130="כן")+(K130:R130="קצת")+(K130:R130="עוד לא"))*((S130:Z130="רוב הזמן")+(S130:Z130="לפעמים")+(S130:Z130="עדיין לא")))),""))</f>
        <v/>
      </c>
      <c r="AO130" s="27" t="str">
        <f aca="false">IF($A130="","",SUMPRODUCT(((((K130:R130="כן")+0.5*(K130:R130="קצת"))-((S130:Z130="רוב הזמן")+0.5*(S130:Z130="לפעמים")))&gt;0.01)*(((K130:R130="כן")+(K130:R130="קצת")+(K130:R130="עוד לא"))*((S130:Z130="רוב הזמן")+(S130:Z130="לפעמים")+(S130:Z130="עדיין לא")))))</f>
        <v/>
      </c>
      <c r="AP130" s="27" t="str">
        <f aca="false">IF($A130="","",SUMPRODUCT(((((S130:Z130="רוב הזמן")+0.5*(S130:Z130="לפעמים"))-((K130:R130="כן")+0.5*(K130:R130="קצת")))&gt;0.01)*(((K130:R130="כן")+(K130:R130="קצת")+(K130:R130="עוד לא"))*((S130:Z130="רוב הזמן")+(S130:Z130="לפעמים")+(S130:Z130="עדיין לא")))))</f>
        <v/>
      </c>
      <c r="AQ130" s="27" t="str">
        <f aca="false">IF($A130="","",COUNTIF(AA130:AB130,"כן"))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7" t="str">
        <f aca="false">IF($A131="","",$A131&amp;"|"&amp;$C131)</f>
        <v/>
      </c>
      <c r="AG131" s="27" t="str">
        <f aca="false">IF($A131="","",IF(OR(H131="לא נבדק",H131=""),"לא נבדק",IF(AND(H131="בחר/ה בעצמו/ה",I131="כן",J131="לא"),"מלא",IF(OR(H131="בחר/ה בעצמו/ה",I131="כן"),"חלקי","עדיין לא"))))</f>
        <v/>
      </c>
      <c r="AH131" s="28" t="str">
        <f aca="false">IF($A131="","",IFERROR((COUNTIF(K131:L131,"כן")+0.5*COUNTIF(K131:L131,"קצת"))/(COUNTIF(K131:L131,"כן")+COUNTIF(K131:L131,"קצת")+COUNTIF(K131:L131,"עוד לא")),""))</f>
        <v/>
      </c>
      <c r="AI131" s="28" t="str">
        <f aca="false">IF($A131="","",IFERROR((COUNTIF(M131:N131,"כן")+0.5*COUNTIF(M131:N131,"קצת"))/(COUNTIF(M131:N131,"כן")+COUNTIF(M131:N131,"קצת")+COUNTIF(M131:N131,"עוד לא")),""))</f>
        <v/>
      </c>
      <c r="AJ131" s="28" t="str">
        <f aca="false">IF($A131="","",IFERROR((COUNTIF(O131:P131,"כן")+0.5*COUNTIF(O131:P131,"קצת"))/(COUNTIF(O131:P131,"כן")+COUNTIF(O131:P131,"קצת")+COUNTIF(O131:P131,"עוד לא")),""))</f>
        <v/>
      </c>
      <c r="AK131" s="28" t="str">
        <f aca="false">IF($A131="","",IFERROR((COUNTIF(Q131:R131,"כן")+0.5*COUNTIF(Q131:R131,"קצת"))/(COUNTIF(Q131:R131,"כן")+COUNTIF(Q131:R131,"קצת")+COUNTIF(Q131:R131,"עוד לא")),""))</f>
        <v/>
      </c>
      <c r="AL131" s="28" t="str">
        <f aca="false">IF($A131="","",IFERROR((COUNTIF(K131:R131,"כן")+0.5*COUNTIF(K131:R131,"קצת"))/(COUNTIF(K131:R131,"כן")+COUNTIF(K131:R131,"קצת")+COUNTIF(K131:R131,"עוד לא")),""))</f>
        <v/>
      </c>
      <c r="AM131" s="28" t="str">
        <f aca="false">IF($A131="","",IFERROR((COUNTIF(S131:Z131,"רוב הזמן")+0.5*COUNTIF(S131:Z131,"לפעמים"))/(COUNTIF(S131:Z131,"רוב הזמן")+COUNTIF(S131:Z131,"לפעמים")+COUNTIF(S131:Z131,"עדיין לא")),""))</f>
        <v/>
      </c>
      <c r="AN131" s="28" t="str">
        <f aca="false">IF($A131="","",IFERROR(1-SUMPRODUCT(ABS(((K131:R131="כן")+0.5*(K131:R131="קצת"))-((S131:Z131="רוב הזמן")+0.5*(S131:Z131="לפעמים")))*(((K131:R131="כן")+(K131:R131="קצת")+(K131:R131="עוד לא"))*((S131:Z131="רוב הזמן")+(S131:Z131="לפעמים")+(S131:Z131="עדיין לא"))))/SUMPRODUCT((((K131:R131="כן")+(K131:R131="קצת")+(K131:R131="עוד לא"))*((S131:Z131="רוב הזמן")+(S131:Z131="לפעמים")+(S131:Z131="עדיין לא")))),""))</f>
        <v/>
      </c>
      <c r="AO131" s="27" t="str">
        <f aca="false">IF($A131="","",SUMPRODUCT(((((K131:R131="כן")+0.5*(K131:R131="קצת"))-((S131:Z131="רוב הזמן")+0.5*(S131:Z131="לפעמים")))&gt;0.01)*(((K131:R131="כן")+(K131:R131="קצת")+(K131:R131="עוד לא"))*((S131:Z131="רוב הזמן")+(S131:Z131="לפעמים")+(S131:Z131="עדיין לא")))))</f>
        <v/>
      </c>
      <c r="AP131" s="27" t="str">
        <f aca="false">IF($A131="","",SUMPRODUCT(((((S131:Z131="רוב הזמן")+0.5*(S131:Z131="לפעמים"))-((K131:R131="כן")+0.5*(K131:R131="קצת")))&gt;0.01)*(((K131:R131="כן")+(K131:R131="קצת")+(K131:R131="עוד לא"))*((S131:Z131="רוב הזמן")+(S131:Z131="לפעמים")+(S131:Z131="עדיין לא")))))</f>
        <v/>
      </c>
      <c r="AQ131" s="27" t="str">
        <f aca="false">IF($A131="","",COUNTIF(AA131:AB131,"כן"))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7" t="str">
        <f aca="false">IF($A132="","",$A132&amp;"|"&amp;$C132)</f>
        <v/>
      </c>
      <c r="AG132" s="27" t="str">
        <f aca="false">IF($A132="","",IF(OR(H132="לא נבדק",H132=""),"לא נבדק",IF(AND(H132="בחר/ה בעצמו/ה",I132="כן",J132="לא"),"מלא",IF(OR(H132="בחר/ה בעצמו/ה",I132="כן"),"חלקי","עדיין לא"))))</f>
        <v/>
      </c>
      <c r="AH132" s="28" t="str">
        <f aca="false">IF($A132="","",IFERROR((COUNTIF(K132:L132,"כן")+0.5*COUNTIF(K132:L132,"קצת"))/(COUNTIF(K132:L132,"כן")+COUNTIF(K132:L132,"קצת")+COUNTIF(K132:L132,"עוד לא")),""))</f>
        <v/>
      </c>
      <c r="AI132" s="28" t="str">
        <f aca="false">IF($A132="","",IFERROR((COUNTIF(M132:N132,"כן")+0.5*COUNTIF(M132:N132,"קצת"))/(COUNTIF(M132:N132,"כן")+COUNTIF(M132:N132,"קצת")+COUNTIF(M132:N132,"עוד לא")),""))</f>
        <v/>
      </c>
      <c r="AJ132" s="28" t="str">
        <f aca="false">IF($A132="","",IFERROR((COUNTIF(O132:P132,"כן")+0.5*COUNTIF(O132:P132,"קצת"))/(COUNTIF(O132:P132,"כן")+COUNTIF(O132:P132,"קצת")+COUNTIF(O132:P132,"עוד לא")),""))</f>
        <v/>
      </c>
      <c r="AK132" s="28" t="str">
        <f aca="false">IF($A132="","",IFERROR((COUNTIF(Q132:R132,"כן")+0.5*COUNTIF(Q132:R132,"קצת"))/(COUNTIF(Q132:R132,"כן")+COUNTIF(Q132:R132,"קצת")+COUNTIF(Q132:R132,"עוד לא")),""))</f>
        <v/>
      </c>
      <c r="AL132" s="28" t="str">
        <f aca="false">IF($A132="","",IFERROR((COUNTIF(K132:R132,"כן")+0.5*COUNTIF(K132:R132,"קצת"))/(COUNTIF(K132:R132,"כן")+COUNTIF(K132:R132,"קצת")+COUNTIF(K132:R132,"עוד לא")),""))</f>
        <v/>
      </c>
      <c r="AM132" s="28" t="str">
        <f aca="false">IF($A132="","",IFERROR((COUNTIF(S132:Z132,"רוב הזמן")+0.5*COUNTIF(S132:Z132,"לפעמים"))/(COUNTIF(S132:Z132,"רוב הזמן")+COUNTIF(S132:Z132,"לפעמים")+COUNTIF(S132:Z132,"עדיין לא")),""))</f>
        <v/>
      </c>
      <c r="AN132" s="28" t="str">
        <f aca="false">IF($A132="","",IFERROR(1-SUMPRODUCT(ABS(((K132:R132="כן")+0.5*(K132:R132="קצת"))-((S132:Z132="רוב הזמן")+0.5*(S132:Z132="לפעמים")))*(((K132:R132="כן")+(K132:R132="קצת")+(K132:R132="עוד לא"))*((S132:Z132="רוב הזמן")+(S132:Z132="לפעמים")+(S132:Z132="עדיין לא"))))/SUMPRODUCT((((K132:R132="כן")+(K132:R132="קצת")+(K132:R132="עוד לא"))*((S132:Z132="רוב הזמן")+(S132:Z132="לפעמים")+(S132:Z132="עדיין לא")))),""))</f>
        <v/>
      </c>
      <c r="AO132" s="27" t="str">
        <f aca="false">IF($A132="","",SUMPRODUCT(((((K132:R132="כן")+0.5*(K132:R132="קצת"))-((S132:Z132="רוב הזמן")+0.5*(S132:Z132="לפעמים")))&gt;0.01)*(((K132:R132="כן")+(K132:R132="קצת")+(K132:R132="עוד לא"))*((S132:Z132="רוב הזמן")+(S132:Z132="לפעמים")+(S132:Z132="עדיין לא")))))</f>
        <v/>
      </c>
      <c r="AP132" s="27" t="str">
        <f aca="false">IF($A132="","",SUMPRODUCT(((((S132:Z132="רוב הזמן")+0.5*(S132:Z132="לפעמים"))-((K132:R132="כן")+0.5*(K132:R132="קצת")))&gt;0.01)*(((K132:R132="כן")+(K132:R132="קצת")+(K132:R132="עוד לא"))*((S132:Z132="רוב הזמן")+(S132:Z132="לפעמים")+(S132:Z132="עדיין לא")))))</f>
        <v/>
      </c>
      <c r="AQ132" s="27" t="str">
        <f aca="false">IF($A132="","",COUNTIF(AA132:AB132,"כן"))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7" t="str">
        <f aca="false">IF($A133="","",$A133&amp;"|"&amp;$C133)</f>
        <v/>
      </c>
      <c r="AG133" s="27" t="str">
        <f aca="false">IF($A133="","",IF(OR(H133="לא נבדק",H133=""),"לא נבדק",IF(AND(H133="בחר/ה בעצמו/ה",I133="כן",J133="לא"),"מלא",IF(OR(H133="בחר/ה בעצמו/ה",I133="כן"),"חלקי","עדיין לא"))))</f>
        <v/>
      </c>
      <c r="AH133" s="28" t="str">
        <f aca="false">IF($A133="","",IFERROR((COUNTIF(K133:L133,"כן")+0.5*COUNTIF(K133:L133,"קצת"))/(COUNTIF(K133:L133,"כן")+COUNTIF(K133:L133,"קצת")+COUNTIF(K133:L133,"עוד לא")),""))</f>
        <v/>
      </c>
      <c r="AI133" s="28" t="str">
        <f aca="false">IF($A133="","",IFERROR((COUNTIF(M133:N133,"כן")+0.5*COUNTIF(M133:N133,"קצת"))/(COUNTIF(M133:N133,"כן")+COUNTIF(M133:N133,"קצת")+COUNTIF(M133:N133,"עוד לא")),""))</f>
        <v/>
      </c>
      <c r="AJ133" s="28" t="str">
        <f aca="false">IF($A133="","",IFERROR((COUNTIF(O133:P133,"כן")+0.5*COUNTIF(O133:P133,"קצת"))/(COUNTIF(O133:P133,"כן")+COUNTIF(O133:P133,"קצת")+COUNTIF(O133:P133,"עוד לא")),""))</f>
        <v/>
      </c>
      <c r="AK133" s="28" t="str">
        <f aca="false">IF($A133="","",IFERROR((COUNTIF(Q133:R133,"כן")+0.5*COUNTIF(Q133:R133,"קצת"))/(COUNTIF(Q133:R133,"כן")+COUNTIF(Q133:R133,"קצת")+COUNTIF(Q133:R133,"עוד לא")),""))</f>
        <v/>
      </c>
      <c r="AL133" s="28" t="str">
        <f aca="false">IF($A133="","",IFERROR((COUNTIF(K133:R133,"כן")+0.5*COUNTIF(K133:R133,"קצת"))/(COUNTIF(K133:R133,"כן")+COUNTIF(K133:R133,"קצת")+COUNTIF(K133:R133,"עוד לא")),""))</f>
        <v/>
      </c>
      <c r="AM133" s="28" t="str">
        <f aca="false">IF($A133="","",IFERROR((COUNTIF(S133:Z133,"רוב הזמן")+0.5*COUNTIF(S133:Z133,"לפעמים"))/(COUNTIF(S133:Z133,"רוב הזמן")+COUNTIF(S133:Z133,"לפעמים")+COUNTIF(S133:Z133,"עדיין לא")),""))</f>
        <v/>
      </c>
      <c r="AN133" s="28" t="str">
        <f aca="false">IF($A133="","",IFERROR(1-SUMPRODUCT(ABS(((K133:R133="כן")+0.5*(K133:R133="קצת"))-((S133:Z133="רוב הזמן")+0.5*(S133:Z133="לפעמים")))*(((K133:R133="כן")+(K133:R133="קצת")+(K133:R133="עוד לא"))*((S133:Z133="רוב הזמן")+(S133:Z133="לפעמים")+(S133:Z133="עדיין לא"))))/SUMPRODUCT((((K133:R133="כן")+(K133:R133="קצת")+(K133:R133="עוד לא"))*((S133:Z133="רוב הזמן")+(S133:Z133="לפעמים")+(S133:Z133="עדיין לא")))),""))</f>
        <v/>
      </c>
      <c r="AO133" s="27" t="str">
        <f aca="false">IF($A133="","",SUMPRODUCT(((((K133:R133="כן")+0.5*(K133:R133="קצת"))-((S133:Z133="רוב הזמן")+0.5*(S133:Z133="לפעמים")))&gt;0.01)*(((K133:R133="כן")+(K133:R133="קצת")+(K133:R133="עוד לא"))*((S133:Z133="רוב הזמן")+(S133:Z133="לפעמים")+(S133:Z133="עדיין לא")))))</f>
        <v/>
      </c>
      <c r="AP133" s="27" t="str">
        <f aca="false">IF($A133="","",SUMPRODUCT(((((S133:Z133="רוב הזמן")+0.5*(S133:Z133="לפעמים"))-((K133:R133="כן")+0.5*(K133:R133="קצת")))&gt;0.01)*(((K133:R133="כן")+(K133:R133="קצת")+(K133:R133="עוד לא"))*((S133:Z133="רוב הזמן")+(S133:Z133="לפעמים")+(S133:Z133="עדיין לא")))))</f>
        <v/>
      </c>
      <c r="AQ133" s="27" t="str">
        <f aca="false">IF($A133="","",COUNTIF(AA133:AB133,"כן"))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7" t="str">
        <f aca="false">IF($A134="","",$A134&amp;"|"&amp;$C134)</f>
        <v/>
      </c>
      <c r="AG134" s="27" t="str">
        <f aca="false">IF($A134="","",IF(OR(H134="לא נבדק",H134=""),"לא נבדק",IF(AND(H134="בחר/ה בעצמו/ה",I134="כן",J134="לא"),"מלא",IF(OR(H134="בחר/ה בעצמו/ה",I134="כן"),"חלקי","עדיין לא"))))</f>
        <v/>
      </c>
      <c r="AH134" s="28" t="str">
        <f aca="false">IF($A134="","",IFERROR((COUNTIF(K134:L134,"כן")+0.5*COUNTIF(K134:L134,"קצת"))/(COUNTIF(K134:L134,"כן")+COUNTIF(K134:L134,"קצת")+COUNTIF(K134:L134,"עוד לא")),""))</f>
        <v/>
      </c>
      <c r="AI134" s="28" t="str">
        <f aca="false">IF($A134="","",IFERROR((COUNTIF(M134:N134,"כן")+0.5*COUNTIF(M134:N134,"קצת"))/(COUNTIF(M134:N134,"כן")+COUNTIF(M134:N134,"קצת")+COUNTIF(M134:N134,"עוד לא")),""))</f>
        <v/>
      </c>
      <c r="AJ134" s="28" t="str">
        <f aca="false">IF($A134="","",IFERROR((COUNTIF(O134:P134,"כן")+0.5*COUNTIF(O134:P134,"קצת"))/(COUNTIF(O134:P134,"כן")+COUNTIF(O134:P134,"קצת")+COUNTIF(O134:P134,"עוד לא")),""))</f>
        <v/>
      </c>
      <c r="AK134" s="28" t="str">
        <f aca="false">IF($A134="","",IFERROR((COUNTIF(Q134:R134,"כן")+0.5*COUNTIF(Q134:R134,"קצת"))/(COUNTIF(Q134:R134,"כן")+COUNTIF(Q134:R134,"קצת")+COUNTIF(Q134:R134,"עוד לא")),""))</f>
        <v/>
      </c>
      <c r="AL134" s="28" t="str">
        <f aca="false">IF($A134="","",IFERROR((COUNTIF(K134:R134,"כן")+0.5*COUNTIF(K134:R134,"קצת"))/(COUNTIF(K134:R134,"כן")+COUNTIF(K134:R134,"קצת")+COUNTIF(K134:R134,"עוד לא")),""))</f>
        <v/>
      </c>
      <c r="AM134" s="28" t="str">
        <f aca="false">IF($A134="","",IFERROR((COUNTIF(S134:Z134,"רוב הזמן")+0.5*COUNTIF(S134:Z134,"לפעמים"))/(COUNTIF(S134:Z134,"רוב הזמן")+COUNTIF(S134:Z134,"לפעמים")+COUNTIF(S134:Z134,"עדיין לא")),""))</f>
        <v/>
      </c>
      <c r="AN134" s="28" t="str">
        <f aca="false">IF($A134="","",IFERROR(1-SUMPRODUCT(ABS(((K134:R134="כן")+0.5*(K134:R134="קצת"))-((S134:Z134="רוב הזמן")+0.5*(S134:Z134="לפעמים")))*(((K134:R134="כן")+(K134:R134="קצת")+(K134:R134="עוד לא"))*((S134:Z134="רוב הזמן")+(S134:Z134="לפעמים")+(S134:Z134="עדיין לא"))))/SUMPRODUCT((((K134:R134="כן")+(K134:R134="קצת")+(K134:R134="עוד לא"))*((S134:Z134="רוב הזמן")+(S134:Z134="לפעמים")+(S134:Z134="עדיין לא")))),""))</f>
        <v/>
      </c>
      <c r="AO134" s="27" t="str">
        <f aca="false">IF($A134="","",SUMPRODUCT(((((K134:R134="כן")+0.5*(K134:R134="קצת"))-((S134:Z134="רוב הזמן")+0.5*(S134:Z134="לפעמים")))&gt;0.01)*(((K134:R134="כן")+(K134:R134="קצת")+(K134:R134="עוד לא"))*((S134:Z134="רוב הזמן")+(S134:Z134="לפעמים")+(S134:Z134="עדיין לא")))))</f>
        <v/>
      </c>
      <c r="AP134" s="27" t="str">
        <f aca="false">IF($A134="","",SUMPRODUCT(((((S134:Z134="רוב הזמן")+0.5*(S134:Z134="לפעמים"))-((K134:R134="כן")+0.5*(K134:R134="קצת")))&gt;0.01)*(((K134:R134="כן")+(K134:R134="קצת")+(K134:R134="עוד לא"))*((S134:Z134="רוב הזמן")+(S134:Z134="לפעמים")+(S134:Z134="עדיין לא")))))</f>
        <v/>
      </c>
      <c r="AQ134" s="27" t="str">
        <f aca="false">IF($A134="","",COUNTIF(AA134:AB134,"כן"))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7" t="str">
        <f aca="false">IF($A135="","",$A135&amp;"|"&amp;$C135)</f>
        <v/>
      </c>
      <c r="AG135" s="27" t="str">
        <f aca="false">IF($A135="","",IF(OR(H135="לא נבדק",H135=""),"לא נבדק",IF(AND(H135="בחר/ה בעצמו/ה",I135="כן",J135="לא"),"מלא",IF(OR(H135="בחר/ה בעצמו/ה",I135="כן"),"חלקי","עדיין לא"))))</f>
        <v/>
      </c>
      <c r="AH135" s="28" t="str">
        <f aca="false">IF($A135="","",IFERROR((COUNTIF(K135:L135,"כן")+0.5*COUNTIF(K135:L135,"קצת"))/(COUNTIF(K135:L135,"כן")+COUNTIF(K135:L135,"קצת")+COUNTIF(K135:L135,"עוד לא")),""))</f>
        <v/>
      </c>
      <c r="AI135" s="28" t="str">
        <f aca="false">IF($A135="","",IFERROR((COUNTIF(M135:N135,"כן")+0.5*COUNTIF(M135:N135,"קצת"))/(COUNTIF(M135:N135,"כן")+COUNTIF(M135:N135,"קצת")+COUNTIF(M135:N135,"עוד לא")),""))</f>
        <v/>
      </c>
      <c r="AJ135" s="28" t="str">
        <f aca="false">IF($A135="","",IFERROR((COUNTIF(O135:P135,"כן")+0.5*COUNTIF(O135:P135,"קצת"))/(COUNTIF(O135:P135,"כן")+COUNTIF(O135:P135,"קצת")+COUNTIF(O135:P135,"עוד לא")),""))</f>
        <v/>
      </c>
      <c r="AK135" s="28" t="str">
        <f aca="false">IF($A135="","",IFERROR((COUNTIF(Q135:R135,"כן")+0.5*COUNTIF(Q135:R135,"קצת"))/(COUNTIF(Q135:R135,"כן")+COUNTIF(Q135:R135,"קצת")+COUNTIF(Q135:R135,"עוד לא")),""))</f>
        <v/>
      </c>
      <c r="AL135" s="28" t="str">
        <f aca="false">IF($A135="","",IFERROR((COUNTIF(K135:R135,"כן")+0.5*COUNTIF(K135:R135,"קצת"))/(COUNTIF(K135:R135,"כן")+COUNTIF(K135:R135,"קצת")+COUNTIF(K135:R135,"עוד לא")),""))</f>
        <v/>
      </c>
      <c r="AM135" s="28" t="str">
        <f aca="false">IF($A135="","",IFERROR((COUNTIF(S135:Z135,"רוב הזמן")+0.5*COUNTIF(S135:Z135,"לפעמים"))/(COUNTIF(S135:Z135,"רוב הזמן")+COUNTIF(S135:Z135,"לפעמים")+COUNTIF(S135:Z135,"עדיין לא")),""))</f>
        <v/>
      </c>
      <c r="AN135" s="28" t="str">
        <f aca="false">IF($A135="","",IFERROR(1-SUMPRODUCT(ABS(((K135:R135="כן")+0.5*(K135:R135="קצת"))-((S135:Z135="רוב הזמן")+0.5*(S135:Z135="לפעמים")))*(((K135:R135="כן")+(K135:R135="קצת")+(K135:R135="עוד לא"))*((S135:Z135="רוב הזמן")+(S135:Z135="לפעמים")+(S135:Z135="עדיין לא"))))/SUMPRODUCT((((K135:R135="כן")+(K135:R135="קצת")+(K135:R135="עוד לא"))*((S135:Z135="רוב הזמן")+(S135:Z135="לפעמים")+(S135:Z135="עדיין לא")))),""))</f>
        <v/>
      </c>
      <c r="AO135" s="27" t="str">
        <f aca="false">IF($A135="","",SUMPRODUCT(((((K135:R135="כן")+0.5*(K135:R135="קצת"))-((S135:Z135="רוב הזמן")+0.5*(S135:Z135="לפעמים")))&gt;0.01)*(((K135:R135="כן")+(K135:R135="קצת")+(K135:R135="עוד לא"))*((S135:Z135="רוב הזמן")+(S135:Z135="לפעמים")+(S135:Z135="עדיין לא")))))</f>
        <v/>
      </c>
      <c r="AP135" s="27" t="str">
        <f aca="false">IF($A135="","",SUMPRODUCT(((((S135:Z135="רוב הזמן")+0.5*(S135:Z135="לפעמים"))-((K135:R135="כן")+0.5*(K135:R135="קצת")))&gt;0.01)*(((K135:R135="כן")+(K135:R135="קצת")+(K135:R135="עוד לא"))*((S135:Z135="רוב הזמן")+(S135:Z135="לפעמים")+(S135:Z135="עדיין לא")))))</f>
        <v/>
      </c>
      <c r="AQ135" s="27" t="str">
        <f aca="false">IF($A135="","",COUNTIF(AA135:AB135,"כן"))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7" t="str">
        <f aca="false">IF($A136="","",$A136&amp;"|"&amp;$C136)</f>
        <v/>
      </c>
      <c r="AG136" s="27" t="str">
        <f aca="false">IF($A136="","",IF(OR(H136="לא נבדק",H136=""),"לא נבדק",IF(AND(H136="בחר/ה בעצמו/ה",I136="כן",J136="לא"),"מלא",IF(OR(H136="בחר/ה בעצמו/ה",I136="כן"),"חלקי","עדיין לא"))))</f>
        <v/>
      </c>
      <c r="AH136" s="28" t="str">
        <f aca="false">IF($A136="","",IFERROR((COUNTIF(K136:L136,"כן")+0.5*COUNTIF(K136:L136,"קצת"))/(COUNTIF(K136:L136,"כן")+COUNTIF(K136:L136,"קצת")+COUNTIF(K136:L136,"עוד לא")),""))</f>
        <v/>
      </c>
      <c r="AI136" s="28" t="str">
        <f aca="false">IF($A136="","",IFERROR((COUNTIF(M136:N136,"כן")+0.5*COUNTIF(M136:N136,"קצת"))/(COUNTIF(M136:N136,"כן")+COUNTIF(M136:N136,"קצת")+COUNTIF(M136:N136,"עוד לא")),""))</f>
        <v/>
      </c>
      <c r="AJ136" s="28" t="str">
        <f aca="false">IF($A136="","",IFERROR((COUNTIF(O136:P136,"כן")+0.5*COUNTIF(O136:P136,"קצת"))/(COUNTIF(O136:P136,"כן")+COUNTIF(O136:P136,"קצת")+COUNTIF(O136:P136,"עוד לא")),""))</f>
        <v/>
      </c>
      <c r="AK136" s="28" t="str">
        <f aca="false">IF($A136="","",IFERROR((COUNTIF(Q136:R136,"כן")+0.5*COUNTIF(Q136:R136,"קצת"))/(COUNTIF(Q136:R136,"כן")+COUNTIF(Q136:R136,"קצת")+COUNTIF(Q136:R136,"עוד לא")),""))</f>
        <v/>
      </c>
      <c r="AL136" s="28" t="str">
        <f aca="false">IF($A136="","",IFERROR((COUNTIF(K136:R136,"כן")+0.5*COUNTIF(K136:R136,"קצת"))/(COUNTIF(K136:R136,"כן")+COUNTIF(K136:R136,"קצת")+COUNTIF(K136:R136,"עוד לא")),""))</f>
        <v/>
      </c>
      <c r="AM136" s="28" t="str">
        <f aca="false">IF($A136="","",IFERROR((COUNTIF(S136:Z136,"רוב הזמן")+0.5*COUNTIF(S136:Z136,"לפעמים"))/(COUNTIF(S136:Z136,"רוב הזמן")+COUNTIF(S136:Z136,"לפעמים")+COUNTIF(S136:Z136,"עדיין לא")),""))</f>
        <v/>
      </c>
      <c r="AN136" s="28" t="str">
        <f aca="false">IF($A136="","",IFERROR(1-SUMPRODUCT(ABS(((K136:R136="כן")+0.5*(K136:R136="קצת"))-((S136:Z136="רוב הזמן")+0.5*(S136:Z136="לפעמים")))*(((K136:R136="כן")+(K136:R136="קצת")+(K136:R136="עוד לא"))*((S136:Z136="רוב הזמן")+(S136:Z136="לפעמים")+(S136:Z136="עדיין לא"))))/SUMPRODUCT((((K136:R136="כן")+(K136:R136="קצת")+(K136:R136="עוד לא"))*((S136:Z136="רוב הזמן")+(S136:Z136="לפעמים")+(S136:Z136="עדיין לא")))),""))</f>
        <v/>
      </c>
      <c r="AO136" s="27" t="str">
        <f aca="false">IF($A136="","",SUMPRODUCT(((((K136:R136="כן")+0.5*(K136:R136="קצת"))-((S136:Z136="רוב הזמן")+0.5*(S136:Z136="לפעמים")))&gt;0.01)*(((K136:R136="כן")+(K136:R136="קצת")+(K136:R136="עוד לא"))*((S136:Z136="רוב הזמן")+(S136:Z136="לפעמים")+(S136:Z136="עדיין לא")))))</f>
        <v/>
      </c>
      <c r="AP136" s="27" t="str">
        <f aca="false">IF($A136="","",SUMPRODUCT(((((S136:Z136="רוב הזמן")+0.5*(S136:Z136="לפעמים"))-((K136:R136="כן")+0.5*(K136:R136="קצת")))&gt;0.01)*(((K136:R136="כן")+(K136:R136="קצת")+(K136:R136="עוד לא"))*((S136:Z136="רוב הזמן")+(S136:Z136="לפעמים")+(S136:Z136="עדיין לא")))))</f>
        <v/>
      </c>
      <c r="AQ136" s="27" t="str">
        <f aca="false">IF($A136="","",COUNTIF(AA136:AB136,"כן"))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7" t="str">
        <f aca="false">IF($A137="","",$A137&amp;"|"&amp;$C137)</f>
        <v/>
      </c>
      <c r="AG137" s="27" t="str">
        <f aca="false">IF($A137="","",IF(OR(H137="לא נבדק",H137=""),"לא נבדק",IF(AND(H137="בחר/ה בעצמו/ה",I137="כן",J137="לא"),"מלא",IF(OR(H137="בחר/ה בעצמו/ה",I137="כן"),"חלקי","עדיין לא"))))</f>
        <v/>
      </c>
      <c r="AH137" s="28" t="str">
        <f aca="false">IF($A137="","",IFERROR((COUNTIF(K137:L137,"כן")+0.5*COUNTIF(K137:L137,"קצת"))/(COUNTIF(K137:L137,"כן")+COUNTIF(K137:L137,"קצת")+COUNTIF(K137:L137,"עוד לא")),""))</f>
        <v/>
      </c>
      <c r="AI137" s="28" t="str">
        <f aca="false">IF($A137="","",IFERROR((COUNTIF(M137:N137,"כן")+0.5*COUNTIF(M137:N137,"קצת"))/(COUNTIF(M137:N137,"כן")+COUNTIF(M137:N137,"קצת")+COUNTIF(M137:N137,"עוד לא")),""))</f>
        <v/>
      </c>
      <c r="AJ137" s="28" t="str">
        <f aca="false">IF($A137="","",IFERROR((COUNTIF(O137:P137,"כן")+0.5*COUNTIF(O137:P137,"קצת"))/(COUNTIF(O137:P137,"כן")+COUNTIF(O137:P137,"קצת")+COUNTIF(O137:P137,"עוד לא")),""))</f>
        <v/>
      </c>
      <c r="AK137" s="28" t="str">
        <f aca="false">IF($A137="","",IFERROR((COUNTIF(Q137:R137,"כן")+0.5*COUNTIF(Q137:R137,"קצת"))/(COUNTIF(Q137:R137,"כן")+COUNTIF(Q137:R137,"קצת")+COUNTIF(Q137:R137,"עוד לא")),""))</f>
        <v/>
      </c>
      <c r="AL137" s="28" t="str">
        <f aca="false">IF($A137="","",IFERROR((COUNTIF(K137:R137,"כן")+0.5*COUNTIF(K137:R137,"קצת"))/(COUNTIF(K137:R137,"כן")+COUNTIF(K137:R137,"קצת")+COUNTIF(K137:R137,"עוד לא")),""))</f>
        <v/>
      </c>
      <c r="AM137" s="28" t="str">
        <f aca="false">IF($A137="","",IFERROR((COUNTIF(S137:Z137,"רוב הזמן")+0.5*COUNTIF(S137:Z137,"לפעמים"))/(COUNTIF(S137:Z137,"רוב הזמן")+COUNTIF(S137:Z137,"לפעמים")+COUNTIF(S137:Z137,"עדיין לא")),""))</f>
        <v/>
      </c>
      <c r="AN137" s="28" t="str">
        <f aca="false">IF($A137="","",IFERROR(1-SUMPRODUCT(ABS(((K137:R137="כן")+0.5*(K137:R137="קצת"))-((S137:Z137="רוב הזמן")+0.5*(S137:Z137="לפעמים")))*(((K137:R137="כן")+(K137:R137="קצת")+(K137:R137="עוד לא"))*((S137:Z137="רוב הזמן")+(S137:Z137="לפעמים")+(S137:Z137="עדיין לא"))))/SUMPRODUCT((((K137:R137="כן")+(K137:R137="קצת")+(K137:R137="עוד לא"))*((S137:Z137="רוב הזמן")+(S137:Z137="לפעמים")+(S137:Z137="עדיין לא")))),""))</f>
        <v/>
      </c>
      <c r="AO137" s="27" t="str">
        <f aca="false">IF($A137="","",SUMPRODUCT(((((K137:R137="כן")+0.5*(K137:R137="קצת"))-((S137:Z137="רוב הזמן")+0.5*(S137:Z137="לפעמים")))&gt;0.01)*(((K137:R137="כן")+(K137:R137="קצת")+(K137:R137="עוד לא"))*((S137:Z137="רוב הזמן")+(S137:Z137="לפעמים")+(S137:Z137="עדיין לא")))))</f>
        <v/>
      </c>
      <c r="AP137" s="27" t="str">
        <f aca="false">IF($A137="","",SUMPRODUCT(((((S137:Z137="רוב הזמן")+0.5*(S137:Z137="לפעמים"))-((K137:R137="כן")+0.5*(K137:R137="קצת")))&gt;0.01)*(((K137:R137="כן")+(K137:R137="קצת")+(K137:R137="עוד לא"))*((S137:Z137="רוב הזמן")+(S137:Z137="לפעמים")+(S137:Z137="עדיין לא")))))</f>
        <v/>
      </c>
      <c r="AQ137" s="27" t="str">
        <f aca="false">IF($A137="","",COUNTIF(AA137:AB137,"כן"))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7" t="str">
        <f aca="false">IF($A138="","",$A138&amp;"|"&amp;$C138)</f>
        <v/>
      </c>
      <c r="AG138" s="27" t="str">
        <f aca="false">IF($A138="","",IF(OR(H138="לא נבדק",H138=""),"לא נבדק",IF(AND(H138="בחר/ה בעצמו/ה",I138="כן",J138="לא"),"מלא",IF(OR(H138="בחר/ה בעצמו/ה",I138="כן"),"חלקי","עדיין לא"))))</f>
        <v/>
      </c>
      <c r="AH138" s="28" t="str">
        <f aca="false">IF($A138="","",IFERROR((COUNTIF(K138:L138,"כן")+0.5*COUNTIF(K138:L138,"קצת"))/(COUNTIF(K138:L138,"כן")+COUNTIF(K138:L138,"קצת")+COUNTIF(K138:L138,"עוד לא")),""))</f>
        <v/>
      </c>
      <c r="AI138" s="28" t="str">
        <f aca="false">IF($A138="","",IFERROR((COUNTIF(M138:N138,"כן")+0.5*COUNTIF(M138:N138,"קצת"))/(COUNTIF(M138:N138,"כן")+COUNTIF(M138:N138,"קצת")+COUNTIF(M138:N138,"עוד לא")),""))</f>
        <v/>
      </c>
      <c r="AJ138" s="28" t="str">
        <f aca="false">IF($A138="","",IFERROR((COUNTIF(O138:P138,"כן")+0.5*COUNTIF(O138:P138,"קצת"))/(COUNTIF(O138:P138,"כן")+COUNTIF(O138:P138,"קצת")+COUNTIF(O138:P138,"עוד לא")),""))</f>
        <v/>
      </c>
      <c r="AK138" s="28" t="str">
        <f aca="false">IF($A138="","",IFERROR((COUNTIF(Q138:R138,"כן")+0.5*COUNTIF(Q138:R138,"קצת"))/(COUNTIF(Q138:R138,"כן")+COUNTIF(Q138:R138,"קצת")+COUNTIF(Q138:R138,"עוד לא")),""))</f>
        <v/>
      </c>
      <c r="AL138" s="28" t="str">
        <f aca="false">IF($A138="","",IFERROR((COUNTIF(K138:R138,"כן")+0.5*COUNTIF(K138:R138,"קצת"))/(COUNTIF(K138:R138,"כן")+COUNTIF(K138:R138,"קצת")+COUNTIF(K138:R138,"עוד לא")),""))</f>
        <v/>
      </c>
      <c r="AM138" s="28" t="str">
        <f aca="false">IF($A138="","",IFERROR((COUNTIF(S138:Z138,"רוב הזמן")+0.5*COUNTIF(S138:Z138,"לפעמים"))/(COUNTIF(S138:Z138,"רוב הזמן")+COUNTIF(S138:Z138,"לפעמים")+COUNTIF(S138:Z138,"עדיין לא")),""))</f>
        <v/>
      </c>
      <c r="AN138" s="28" t="str">
        <f aca="false">IF($A138="","",IFERROR(1-SUMPRODUCT(ABS(((K138:R138="כן")+0.5*(K138:R138="קצת"))-((S138:Z138="רוב הזמן")+0.5*(S138:Z138="לפעמים")))*(((K138:R138="כן")+(K138:R138="קצת")+(K138:R138="עוד לא"))*((S138:Z138="רוב הזמן")+(S138:Z138="לפעמים")+(S138:Z138="עדיין לא"))))/SUMPRODUCT((((K138:R138="כן")+(K138:R138="קצת")+(K138:R138="עוד לא"))*((S138:Z138="רוב הזמן")+(S138:Z138="לפעמים")+(S138:Z138="עדיין לא")))),""))</f>
        <v/>
      </c>
      <c r="AO138" s="27" t="str">
        <f aca="false">IF($A138="","",SUMPRODUCT(((((K138:R138="כן")+0.5*(K138:R138="קצת"))-((S138:Z138="רוב הזמן")+0.5*(S138:Z138="לפעמים")))&gt;0.01)*(((K138:R138="כן")+(K138:R138="קצת")+(K138:R138="עוד לא"))*((S138:Z138="רוב הזמן")+(S138:Z138="לפעמים")+(S138:Z138="עדיין לא")))))</f>
        <v/>
      </c>
      <c r="AP138" s="27" t="str">
        <f aca="false">IF($A138="","",SUMPRODUCT(((((S138:Z138="רוב הזמן")+0.5*(S138:Z138="לפעמים"))-((K138:R138="כן")+0.5*(K138:R138="קצת")))&gt;0.01)*(((K138:R138="כן")+(K138:R138="קצת")+(K138:R138="עוד לא"))*((S138:Z138="רוב הזמן")+(S138:Z138="לפעמים")+(S138:Z138="עדיין לא")))))</f>
        <v/>
      </c>
      <c r="AQ138" s="27" t="str">
        <f aca="false">IF($A138="","",COUNTIF(AA138:AB138,"כן"))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7" t="str">
        <f aca="false">IF($A139="","",$A139&amp;"|"&amp;$C139)</f>
        <v/>
      </c>
      <c r="AG139" s="27" t="str">
        <f aca="false">IF($A139="","",IF(OR(H139="לא נבדק",H139=""),"לא נבדק",IF(AND(H139="בחר/ה בעצמו/ה",I139="כן",J139="לא"),"מלא",IF(OR(H139="בחר/ה בעצמו/ה",I139="כן"),"חלקי","עדיין לא"))))</f>
        <v/>
      </c>
      <c r="AH139" s="28" t="str">
        <f aca="false">IF($A139="","",IFERROR((COUNTIF(K139:L139,"כן")+0.5*COUNTIF(K139:L139,"קצת"))/(COUNTIF(K139:L139,"כן")+COUNTIF(K139:L139,"קצת")+COUNTIF(K139:L139,"עוד לא")),""))</f>
        <v/>
      </c>
      <c r="AI139" s="28" t="str">
        <f aca="false">IF($A139="","",IFERROR((COUNTIF(M139:N139,"כן")+0.5*COUNTIF(M139:N139,"קצת"))/(COUNTIF(M139:N139,"כן")+COUNTIF(M139:N139,"קצת")+COUNTIF(M139:N139,"עוד לא")),""))</f>
        <v/>
      </c>
      <c r="AJ139" s="28" t="str">
        <f aca="false">IF($A139="","",IFERROR((COUNTIF(O139:P139,"כן")+0.5*COUNTIF(O139:P139,"קצת"))/(COUNTIF(O139:P139,"כן")+COUNTIF(O139:P139,"קצת")+COUNTIF(O139:P139,"עוד לא")),""))</f>
        <v/>
      </c>
      <c r="AK139" s="28" t="str">
        <f aca="false">IF($A139="","",IFERROR((COUNTIF(Q139:R139,"כן")+0.5*COUNTIF(Q139:R139,"קצת"))/(COUNTIF(Q139:R139,"כן")+COUNTIF(Q139:R139,"קצת")+COUNTIF(Q139:R139,"עוד לא")),""))</f>
        <v/>
      </c>
      <c r="AL139" s="28" t="str">
        <f aca="false">IF($A139="","",IFERROR((COUNTIF(K139:R139,"כן")+0.5*COUNTIF(K139:R139,"קצת"))/(COUNTIF(K139:R139,"כן")+COUNTIF(K139:R139,"קצת")+COUNTIF(K139:R139,"עוד לא")),""))</f>
        <v/>
      </c>
      <c r="AM139" s="28" t="str">
        <f aca="false">IF($A139="","",IFERROR((COUNTIF(S139:Z139,"רוב הזמן")+0.5*COUNTIF(S139:Z139,"לפעמים"))/(COUNTIF(S139:Z139,"רוב הזמן")+COUNTIF(S139:Z139,"לפעמים")+COUNTIF(S139:Z139,"עדיין לא")),""))</f>
        <v/>
      </c>
      <c r="AN139" s="28" t="str">
        <f aca="false">IF($A139="","",IFERROR(1-SUMPRODUCT(ABS(((K139:R139="כן")+0.5*(K139:R139="קצת"))-((S139:Z139="רוב הזמן")+0.5*(S139:Z139="לפעמים")))*(((K139:R139="כן")+(K139:R139="קצת")+(K139:R139="עוד לא"))*((S139:Z139="רוב הזמן")+(S139:Z139="לפעמים")+(S139:Z139="עדיין לא"))))/SUMPRODUCT((((K139:R139="כן")+(K139:R139="קצת")+(K139:R139="עוד לא"))*((S139:Z139="רוב הזמן")+(S139:Z139="לפעמים")+(S139:Z139="עדיין לא")))),""))</f>
        <v/>
      </c>
      <c r="AO139" s="27" t="str">
        <f aca="false">IF($A139="","",SUMPRODUCT(((((K139:R139="כן")+0.5*(K139:R139="קצת"))-((S139:Z139="רוב הזמן")+0.5*(S139:Z139="לפעמים")))&gt;0.01)*(((K139:R139="כן")+(K139:R139="קצת")+(K139:R139="עוד לא"))*((S139:Z139="רוב הזמן")+(S139:Z139="לפעמים")+(S139:Z139="עדיין לא")))))</f>
        <v/>
      </c>
      <c r="AP139" s="27" t="str">
        <f aca="false">IF($A139="","",SUMPRODUCT(((((S139:Z139="רוב הזמן")+0.5*(S139:Z139="לפעמים"))-((K139:R139="כן")+0.5*(K139:R139="קצת")))&gt;0.01)*(((K139:R139="כן")+(K139:R139="קצת")+(K139:R139="עוד לא"))*((S139:Z139="רוב הזמן")+(S139:Z139="לפעמים")+(S139:Z139="עדיין לא")))))</f>
        <v/>
      </c>
      <c r="AQ139" s="27" t="str">
        <f aca="false">IF($A139="","",COUNTIF(AA139:AB139,"כן"))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7" t="str">
        <f aca="false">IF($A140="","",$A140&amp;"|"&amp;$C140)</f>
        <v/>
      </c>
      <c r="AG140" s="27" t="str">
        <f aca="false">IF($A140="","",IF(OR(H140="לא נבדק",H140=""),"לא נבדק",IF(AND(H140="בחר/ה בעצמו/ה",I140="כן",J140="לא"),"מלא",IF(OR(H140="בחר/ה בעצמו/ה",I140="כן"),"חלקי","עדיין לא"))))</f>
        <v/>
      </c>
      <c r="AH140" s="28" t="str">
        <f aca="false">IF($A140="","",IFERROR((COUNTIF(K140:L140,"כן")+0.5*COUNTIF(K140:L140,"קצת"))/(COUNTIF(K140:L140,"כן")+COUNTIF(K140:L140,"קצת")+COUNTIF(K140:L140,"עוד לא")),""))</f>
        <v/>
      </c>
      <c r="AI140" s="28" t="str">
        <f aca="false">IF($A140="","",IFERROR((COUNTIF(M140:N140,"כן")+0.5*COUNTIF(M140:N140,"קצת"))/(COUNTIF(M140:N140,"כן")+COUNTIF(M140:N140,"קצת")+COUNTIF(M140:N140,"עוד לא")),""))</f>
        <v/>
      </c>
      <c r="AJ140" s="28" t="str">
        <f aca="false">IF($A140="","",IFERROR((COUNTIF(O140:P140,"כן")+0.5*COUNTIF(O140:P140,"קצת"))/(COUNTIF(O140:P140,"כן")+COUNTIF(O140:P140,"קצת")+COUNTIF(O140:P140,"עוד לא")),""))</f>
        <v/>
      </c>
      <c r="AK140" s="28" t="str">
        <f aca="false">IF($A140="","",IFERROR((COUNTIF(Q140:R140,"כן")+0.5*COUNTIF(Q140:R140,"קצת"))/(COUNTIF(Q140:R140,"כן")+COUNTIF(Q140:R140,"קצת")+COUNTIF(Q140:R140,"עוד לא")),""))</f>
        <v/>
      </c>
      <c r="AL140" s="28" t="str">
        <f aca="false">IF($A140="","",IFERROR((COUNTIF(K140:R140,"כן")+0.5*COUNTIF(K140:R140,"קצת"))/(COUNTIF(K140:R140,"כן")+COUNTIF(K140:R140,"קצת")+COUNTIF(K140:R140,"עוד לא")),""))</f>
        <v/>
      </c>
      <c r="AM140" s="28" t="str">
        <f aca="false">IF($A140="","",IFERROR((COUNTIF(S140:Z140,"רוב הזמן")+0.5*COUNTIF(S140:Z140,"לפעמים"))/(COUNTIF(S140:Z140,"רוב הזמן")+COUNTIF(S140:Z140,"לפעמים")+COUNTIF(S140:Z140,"עדיין לא")),""))</f>
        <v/>
      </c>
      <c r="AN140" s="28" t="str">
        <f aca="false">IF($A140="","",IFERROR(1-SUMPRODUCT(ABS(((K140:R140="כן")+0.5*(K140:R140="קצת"))-((S140:Z140="רוב הזמן")+0.5*(S140:Z140="לפעמים")))*(((K140:R140="כן")+(K140:R140="קצת")+(K140:R140="עוד לא"))*((S140:Z140="רוב הזמן")+(S140:Z140="לפעמים")+(S140:Z140="עדיין לא"))))/SUMPRODUCT((((K140:R140="כן")+(K140:R140="קצת")+(K140:R140="עוד לא"))*((S140:Z140="רוב הזמן")+(S140:Z140="לפעמים")+(S140:Z140="עדיין לא")))),""))</f>
        <v/>
      </c>
      <c r="AO140" s="27" t="str">
        <f aca="false">IF($A140="","",SUMPRODUCT(((((K140:R140="כן")+0.5*(K140:R140="קצת"))-((S140:Z140="רוב הזמן")+0.5*(S140:Z140="לפעמים")))&gt;0.01)*(((K140:R140="כן")+(K140:R140="קצת")+(K140:R140="עוד לא"))*((S140:Z140="רוב הזמן")+(S140:Z140="לפעמים")+(S140:Z140="עדיין לא")))))</f>
        <v/>
      </c>
      <c r="AP140" s="27" t="str">
        <f aca="false">IF($A140="","",SUMPRODUCT(((((S140:Z140="רוב הזמן")+0.5*(S140:Z140="לפעמים"))-((K140:R140="כן")+0.5*(K140:R140="קצת")))&gt;0.01)*(((K140:R140="כן")+(K140:R140="קצת")+(K140:R140="עוד לא"))*((S140:Z140="רוב הזמן")+(S140:Z140="לפעמים")+(S140:Z140="עדיין לא")))))</f>
        <v/>
      </c>
      <c r="AQ140" s="27" t="str">
        <f aca="false">IF($A140="","",COUNTIF(AA140:AB140,"כן"))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7" t="str">
        <f aca="false">IF($A141="","",$A141&amp;"|"&amp;$C141)</f>
        <v/>
      </c>
      <c r="AG141" s="27" t="str">
        <f aca="false">IF($A141="","",IF(OR(H141="לא נבדק",H141=""),"לא נבדק",IF(AND(H141="בחר/ה בעצמו/ה",I141="כן",J141="לא"),"מלא",IF(OR(H141="בחר/ה בעצמו/ה",I141="כן"),"חלקי","עדיין לא"))))</f>
        <v/>
      </c>
      <c r="AH141" s="28" t="str">
        <f aca="false">IF($A141="","",IFERROR((COUNTIF(K141:L141,"כן")+0.5*COUNTIF(K141:L141,"קצת"))/(COUNTIF(K141:L141,"כן")+COUNTIF(K141:L141,"קצת")+COUNTIF(K141:L141,"עוד לא")),""))</f>
        <v/>
      </c>
      <c r="AI141" s="28" t="str">
        <f aca="false">IF($A141="","",IFERROR((COUNTIF(M141:N141,"כן")+0.5*COUNTIF(M141:N141,"קצת"))/(COUNTIF(M141:N141,"כן")+COUNTIF(M141:N141,"קצת")+COUNTIF(M141:N141,"עוד לא")),""))</f>
        <v/>
      </c>
      <c r="AJ141" s="28" t="str">
        <f aca="false">IF($A141="","",IFERROR((COUNTIF(O141:P141,"כן")+0.5*COUNTIF(O141:P141,"קצת"))/(COUNTIF(O141:P141,"כן")+COUNTIF(O141:P141,"קצת")+COUNTIF(O141:P141,"עוד לא")),""))</f>
        <v/>
      </c>
      <c r="AK141" s="28" t="str">
        <f aca="false">IF($A141="","",IFERROR((COUNTIF(Q141:R141,"כן")+0.5*COUNTIF(Q141:R141,"קצת"))/(COUNTIF(Q141:R141,"כן")+COUNTIF(Q141:R141,"קצת")+COUNTIF(Q141:R141,"עוד לא")),""))</f>
        <v/>
      </c>
      <c r="AL141" s="28" t="str">
        <f aca="false">IF($A141="","",IFERROR((COUNTIF(K141:R141,"כן")+0.5*COUNTIF(K141:R141,"קצת"))/(COUNTIF(K141:R141,"כן")+COUNTIF(K141:R141,"קצת")+COUNTIF(K141:R141,"עוד לא")),""))</f>
        <v/>
      </c>
      <c r="AM141" s="28" t="str">
        <f aca="false">IF($A141="","",IFERROR((COUNTIF(S141:Z141,"רוב הזמן")+0.5*COUNTIF(S141:Z141,"לפעמים"))/(COUNTIF(S141:Z141,"רוב הזמן")+COUNTIF(S141:Z141,"לפעמים")+COUNTIF(S141:Z141,"עדיין לא")),""))</f>
        <v/>
      </c>
      <c r="AN141" s="28" t="str">
        <f aca="false">IF($A141="","",IFERROR(1-SUMPRODUCT(ABS(((K141:R141="כן")+0.5*(K141:R141="קצת"))-((S141:Z141="רוב הזמן")+0.5*(S141:Z141="לפעמים")))*(((K141:R141="כן")+(K141:R141="קצת")+(K141:R141="עוד לא"))*((S141:Z141="רוב הזמן")+(S141:Z141="לפעמים")+(S141:Z141="עדיין לא"))))/SUMPRODUCT((((K141:R141="כן")+(K141:R141="קצת")+(K141:R141="עוד לא"))*((S141:Z141="רוב הזמן")+(S141:Z141="לפעמים")+(S141:Z141="עדיין לא")))),""))</f>
        <v/>
      </c>
      <c r="AO141" s="27" t="str">
        <f aca="false">IF($A141="","",SUMPRODUCT(((((K141:R141="כן")+0.5*(K141:R141="קצת"))-((S141:Z141="רוב הזמן")+0.5*(S141:Z141="לפעמים")))&gt;0.01)*(((K141:R141="כן")+(K141:R141="קצת")+(K141:R141="עוד לא"))*((S141:Z141="רוב הזמן")+(S141:Z141="לפעמים")+(S141:Z141="עדיין לא")))))</f>
        <v/>
      </c>
      <c r="AP141" s="27" t="str">
        <f aca="false">IF($A141="","",SUMPRODUCT(((((S141:Z141="רוב הזמן")+0.5*(S141:Z141="לפעמים"))-((K141:R141="כן")+0.5*(K141:R141="קצת")))&gt;0.01)*(((K141:R141="כן")+(K141:R141="קצת")+(K141:R141="עוד לא"))*((S141:Z141="רוב הזמן")+(S141:Z141="לפעמים")+(S141:Z141="עדיין לא")))))</f>
        <v/>
      </c>
      <c r="AQ141" s="27" t="str">
        <f aca="false">IF($A141="","",COUNTIF(AA141:AB141,"כן"))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7" t="str">
        <f aca="false">IF($A142="","",$A142&amp;"|"&amp;$C142)</f>
        <v/>
      </c>
      <c r="AG142" s="27" t="str">
        <f aca="false">IF($A142="","",IF(OR(H142="לא נבדק",H142=""),"לא נבדק",IF(AND(H142="בחר/ה בעצמו/ה",I142="כן",J142="לא"),"מלא",IF(OR(H142="בחר/ה בעצמו/ה",I142="כן"),"חלקי","עדיין לא"))))</f>
        <v/>
      </c>
      <c r="AH142" s="28" t="str">
        <f aca="false">IF($A142="","",IFERROR((COUNTIF(K142:L142,"כן")+0.5*COUNTIF(K142:L142,"קצת"))/(COUNTIF(K142:L142,"כן")+COUNTIF(K142:L142,"קצת")+COUNTIF(K142:L142,"עוד לא")),""))</f>
        <v/>
      </c>
      <c r="AI142" s="28" t="str">
        <f aca="false">IF($A142="","",IFERROR((COUNTIF(M142:N142,"כן")+0.5*COUNTIF(M142:N142,"קצת"))/(COUNTIF(M142:N142,"כן")+COUNTIF(M142:N142,"קצת")+COUNTIF(M142:N142,"עוד לא")),""))</f>
        <v/>
      </c>
      <c r="AJ142" s="28" t="str">
        <f aca="false">IF($A142="","",IFERROR((COUNTIF(O142:P142,"כן")+0.5*COUNTIF(O142:P142,"קצת"))/(COUNTIF(O142:P142,"כן")+COUNTIF(O142:P142,"קצת")+COUNTIF(O142:P142,"עוד לא")),""))</f>
        <v/>
      </c>
      <c r="AK142" s="28" t="str">
        <f aca="false">IF($A142="","",IFERROR((COUNTIF(Q142:R142,"כן")+0.5*COUNTIF(Q142:R142,"קצת"))/(COUNTIF(Q142:R142,"כן")+COUNTIF(Q142:R142,"קצת")+COUNTIF(Q142:R142,"עוד לא")),""))</f>
        <v/>
      </c>
      <c r="AL142" s="28" t="str">
        <f aca="false">IF($A142="","",IFERROR((COUNTIF(K142:R142,"כן")+0.5*COUNTIF(K142:R142,"קצת"))/(COUNTIF(K142:R142,"כן")+COUNTIF(K142:R142,"קצת")+COUNTIF(K142:R142,"עוד לא")),""))</f>
        <v/>
      </c>
      <c r="AM142" s="28" t="str">
        <f aca="false">IF($A142="","",IFERROR((COUNTIF(S142:Z142,"רוב הזמן")+0.5*COUNTIF(S142:Z142,"לפעמים"))/(COUNTIF(S142:Z142,"רוב הזמן")+COUNTIF(S142:Z142,"לפעמים")+COUNTIF(S142:Z142,"עדיין לא")),""))</f>
        <v/>
      </c>
      <c r="AN142" s="28" t="str">
        <f aca="false">IF($A142="","",IFERROR(1-SUMPRODUCT(ABS(((K142:R142="כן")+0.5*(K142:R142="קצת"))-((S142:Z142="רוב הזמן")+0.5*(S142:Z142="לפעמים")))*(((K142:R142="כן")+(K142:R142="קצת")+(K142:R142="עוד לא"))*((S142:Z142="רוב הזמן")+(S142:Z142="לפעמים")+(S142:Z142="עדיין לא"))))/SUMPRODUCT((((K142:R142="כן")+(K142:R142="קצת")+(K142:R142="עוד לא"))*((S142:Z142="רוב הזמן")+(S142:Z142="לפעמים")+(S142:Z142="עדיין לא")))),""))</f>
        <v/>
      </c>
      <c r="AO142" s="27" t="str">
        <f aca="false">IF($A142="","",SUMPRODUCT(((((K142:R142="כן")+0.5*(K142:R142="קצת"))-((S142:Z142="רוב הזמן")+0.5*(S142:Z142="לפעמים")))&gt;0.01)*(((K142:R142="כן")+(K142:R142="קצת")+(K142:R142="עוד לא"))*((S142:Z142="רוב הזמן")+(S142:Z142="לפעמים")+(S142:Z142="עדיין לא")))))</f>
        <v/>
      </c>
      <c r="AP142" s="27" t="str">
        <f aca="false">IF($A142="","",SUMPRODUCT(((((S142:Z142="רוב הזמן")+0.5*(S142:Z142="לפעמים"))-((K142:R142="כן")+0.5*(K142:R142="קצת")))&gt;0.01)*(((K142:R142="כן")+(K142:R142="קצת")+(K142:R142="עוד לא"))*((S142:Z142="רוב הזמן")+(S142:Z142="לפעמים")+(S142:Z142="עדיין לא")))))</f>
        <v/>
      </c>
      <c r="AQ142" s="27" t="str">
        <f aca="false">IF($A142="","",COUNTIF(AA142:AB142,"כן"))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7" t="str">
        <f aca="false">IF($A143="","",$A143&amp;"|"&amp;$C143)</f>
        <v/>
      </c>
      <c r="AG143" s="27" t="str">
        <f aca="false">IF($A143="","",IF(OR(H143="לא נבדק",H143=""),"לא נבדק",IF(AND(H143="בחר/ה בעצמו/ה",I143="כן",J143="לא"),"מלא",IF(OR(H143="בחר/ה בעצמו/ה",I143="כן"),"חלקי","עדיין לא"))))</f>
        <v/>
      </c>
      <c r="AH143" s="28" t="str">
        <f aca="false">IF($A143="","",IFERROR((COUNTIF(K143:L143,"כן")+0.5*COUNTIF(K143:L143,"קצת"))/(COUNTIF(K143:L143,"כן")+COUNTIF(K143:L143,"קצת")+COUNTIF(K143:L143,"עוד לא")),""))</f>
        <v/>
      </c>
      <c r="AI143" s="28" t="str">
        <f aca="false">IF($A143="","",IFERROR((COUNTIF(M143:N143,"כן")+0.5*COUNTIF(M143:N143,"קצת"))/(COUNTIF(M143:N143,"כן")+COUNTIF(M143:N143,"קצת")+COUNTIF(M143:N143,"עוד לא")),""))</f>
        <v/>
      </c>
      <c r="AJ143" s="28" t="str">
        <f aca="false">IF($A143="","",IFERROR((COUNTIF(O143:P143,"כן")+0.5*COUNTIF(O143:P143,"קצת"))/(COUNTIF(O143:P143,"כן")+COUNTIF(O143:P143,"קצת")+COUNTIF(O143:P143,"עוד לא")),""))</f>
        <v/>
      </c>
      <c r="AK143" s="28" t="str">
        <f aca="false">IF($A143="","",IFERROR((COUNTIF(Q143:R143,"כן")+0.5*COUNTIF(Q143:R143,"קצת"))/(COUNTIF(Q143:R143,"כן")+COUNTIF(Q143:R143,"קצת")+COUNTIF(Q143:R143,"עוד לא")),""))</f>
        <v/>
      </c>
      <c r="AL143" s="28" t="str">
        <f aca="false">IF($A143="","",IFERROR((COUNTIF(K143:R143,"כן")+0.5*COUNTIF(K143:R143,"קצת"))/(COUNTIF(K143:R143,"כן")+COUNTIF(K143:R143,"קצת")+COUNTIF(K143:R143,"עוד לא")),""))</f>
        <v/>
      </c>
      <c r="AM143" s="28" t="str">
        <f aca="false">IF($A143="","",IFERROR((COUNTIF(S143:Z143,"רוב הזמן")+0.5*COUNTIF(S143:Z143,"לפעמים"))/(COUNTIF(S143:Z143,"רוב הזמן")+COUNTIF(S143:Z143,"לפעמים")+COUNTIF(S143:Z143,"עדיין לא")),""))</f>
        <v/>
      </c>
      <c r="AN143" s="28" t="str">
        <f aca="false">IF($A143="","",IFERROR(1-SUMPRODUCT(ABS(((K143:R143="כן")+0.5*(K143:R143="קצת"))-((S143:Z143="רוב הזמן")+0.5*(S143:Z143="לפעמים")))*(((K143:R143="כן")+(K143:R143="קצת")+(K143:R143="עוד לא"))*((S143:Z143="רוב הזמן")+(S143:Z143="לפעמים")+(S143:Z143="עדיין לא"))))/SUMPRODUCT((((K143:R143="כן")+(K143:R143="קצת")+(K143:R143="עוד לא"))*((S143:Z143="רוב הזמן")+(S143:Z143="לפעמים")+(S143:Z143="עדיין לא")))),""))</f>
        <v/>
      </c>
      <c r="AO143" s="27" t="str">
        <f aca="false">IF($A143="","",SUMPRODUCT(((((K143:R143="כן")+0.5*(K143:R143="קצת"))-((S143:Z143="רוב הזמן")+0.5*(S143:Z143="לפעמים")))&gt;0.01)*(((K143:R143="כן")+(K143:R143="קצת")+(K143:R143="עוד לא"))*((S143:Z143="רוב הזמן")+(S143:Z143="לפעמים")+(S143:Z143="עדיין לא")))))</f>
        <v/>
      </c>
      <c r="AP143" s="27" t="str">
        <f aca="false">IF($A143="","",SUMPRODUCT(((((S143:Z143="רוב הזמן")+0.5*(S143:Z143="לפעמים"))-((K143:R143="כן")+0.5*(K143:R143="קצת")))&gt;0.01)*(((K143:R143="כן")+(K143:R143="קצת")+(K143:R143="עוד לא"))*((S143:Z143="רוב הזמן")+(S143:Z143="לפעמים")+(S143:Z143="עדיין לא")))))</f>
        <v/>
      </c>
      <c r="AQ143" s="27" t="str">
        <f aca="false">IF($A143="","",COUNTIF(AA143:AB143,"כן"))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7" t="str">
        <f aca="false">IF($A144="","",$A144&amp;"|"&amp;$C144)</f>
        <v/>
      </c>
      <c r="AG144" s="27" t="str">
        <f aca="false">IF($A144="","",IF(OR(H144="לא נבדק",H144=""),"לא נבדק",IF(AND(H144="בחר/ה בעצמו/ה",I144="כן",J144="לא"),"מלא",IF(OR(H144="בחר/ה בעצמו/ה",I144="כן"),"חלקי","עדיין לא"))))</f>
        <v/>
      </c>
      <c r="AH144" s="28" t="str">
        <f aca="false">IF($A144="","",IFERROR((COUNTIF(K144:L144,"כן")+0.5*COUNTIF(K144:L144,"קצת"))/(COUNTIF(K144:L144,"כן")+COUNTIF(K144:L144,"קצת")+COUNTIF(K144:L144,"עוד לא")),""))</f>
        <v/>
      </c>
      <c r="AI144" s="28" t="str">
        <f aca="false">IF($A144="","",IFERROR((COUNTIF(M144:N144,"כן")+0.5*COUNTIF(M144:N144,"קצת"))/(COUNTIF(M144:N144,"כן")+COUNTIF(M144:N144,"קצת")+COUNTIF(M144:N144,"עוד לא")),""))</f>
        <v/>
      </c>
      <c r="AJ144" s="28" t="str">
        <f aca="false">IF($A144="","",IFERROR((COUNTIF(O144:P144,"כן")+0.5*COUNTIF(O144:P144,"קצת"))/(COUNTIF(O144:P144,"כן")+COUNTIF(O144:P144,"קצת")+COUNTIF(O144:P144,"עוד לא")),""))</f>
        <v/>
      </c>
      <c r="AK144" s="28" t="str">
        <f aca="false">IF($A144="","",IFERROR((COUNTIF(Q144:R144,"כן")+0.5*COUNTIF(Q144:R144,"קצת"))/(COUNTIF(Q144:R144,"כן")+COUNTIF(Q144:R144,"קצת")+COUNTIF(Q144:R144,"עוד לא")),""))</f>
        <v/>
      </c>
      <c r="AL144" s="28" t="str">
        <f aca="false">IF($A144="","",IFERROR((COUNTIF(K144:R144,"כן")+0.5*COUNTIF(K144:R144,"קצת"))/(COUNTIF(K144:R144,"כן")+COUNTIF(K144:R144,"קצת")+COUNTIF(K144:R144,"עוד לא")),""))</f>
        <v/>
      </c>
      <c r="AM144" s="28" t="str">
        <f aca="false">IF($A144="","",IFERROR((COUNTIF(S144:Z144,"רוב הזמן")+0.5*COUNTIF(S144:Z144,"לפעמים"))/(COUNTIF(S144:Z144,"רוב הזמן")+COUNTIF(S144:Z144,"לפעמים")+COUNTIF(S144:Z144,"עדיין לא")),""))</f>
        <v/>
      </c>
      <c r="AN144" s="28" t="str">
        <f aca="false">IF($A144="","",IFERROR(1-SUMPRODUCT(ABS(((K144:R144="כן")+0.5*(K144:R144="קצת"))-((S144:Z144="רוב הזמן")+0.5*(S144:Z144="לפעמים")))*(((K144:R144="כן")+(K144:R144="קצת")+(K144:R144="עוד לא"))*((S144:Z144="רוב הזמן")+(S144:Z144="לפעמים")+(S144:Z144="עדיין לא"))))/SUMPRODUCT((((K144:R144="כן")+(K144:R144="קצת")+(K144:R144="עוד לא"))*((S144:Z144="רוב הזמן")+(S144:Z144="לפעמים")+(S144:Z144="עדיין לא")))),""))</f>
        <v/>
      </c>
      <c r="AO144" s="27" t="str">
        <f aca="false">IF($A144="","",SUMPRODUCT(((((K144:R144="כן")+0.5*(K144:R144="קצת"))-((S144:Z144="רוב הזמן")+0.5*(S144:Z144="לפעמים")))&gt;0.01)*(((K144:R144="כן")+(K144:R144="קצת")+(K144:R144="עוד לא"))*((S144:Z144="רוב הזמן")+(S144:Z144="לפעמים")+(S144:Z144="עדיין לא")))))</f>
        <v/>
      </c>
      <c r="AP144" s="27" t="str">
        <f aca="false">IF($A144="","",SUMPRODUCT(((((S144:Z144="רוב הזמן")+0.5*(S144:Z144="לפעמים"))-((K144:R144="כן")+0.5*(K144:R144="קצת")))&gt;0.01)*(((K144:R144="כן")+(K144:R144="קצת")+(K144:R144="עוד לא"))*((S144:Z144="רוב הזמן")+(S144:Z144="לפעמים")+(S144:Z144="עדיין לא")))))</f>
        <v/>
      </c>
      <c r="AQ144" s="27" t="str">
        <f aca="false">IF($A144="","",COUNTIF(AA144:AB144,"כן"))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7" t="str">
        <f aca="false">IF($A145="","",$A145&amp;"|"&amp;$C145)</f>
        <v/>
      </c>
      <c r="AG145" s="27" t="str">
        <f aca="false">IF($A145="","",IF(OR(H145="לא נבדק",H145=""),"לא נבדק",IF(AND(H145="בחר/ה בעצמו/ה",I145="כן",J145="לא"),"מלא",IF(OR(H145="בחר/ה בעצמו/ה",I145="כן"),"חלקי","עדיין לא"))))</f>
        <v/>
      </c>
      <c r="AH145" s="28" t="str">
        <f aca="false">IF($A145="","",IFERROR((COUNTIF(K145:L145,"כן")+0.5*COUNTIF(K145:L145,"קצת"))/(COUNTIF(K145:L145,"כן")+COUNTIF(K145:L145,"קצת")+COUNTIF(K145:L145,"עוד לא")),""))</f>
        <v/>
      </c>
      <c r="AI145" s="28" t="str">
        <f aca="false">IF($A145="","",IFERROR((COUNTIF(M145:N145,"כן")+0.5*COUNTIF(M145:N145,"קצת"))/(COUNTIF(M145:N145,"כן")+COUNTIF(M145:N145,"קצת")+COUNTIF(M145:N145,"עוד לא")),""))</f>
        <v/>
      </c>
      <c r="AJ145" s="28" t="str">
        <f aca="false">IF($A145="","",IFERROR((COUNTIF(O145:P145,"כן")+0.5*COUNTIF(O145:P145,"קצת"))/(COUNTIF(O145:P145,"כן")+COUNTIF(O145:P145,"קצת")+COUNTIF(O145:P145,"עוד לא")),""))</f>
        <v/>
      </c>
      <c r="AK145" s="28" t="str">
        <f aca="false">IF($A145="","",IFERROR((COUNTIF(Q145:R145,"כן")+0.5*COUNTIF(Q145:R145,"קצת"))/(COUNTIF(Q145:R145,"כן")+COUNTIF(Q145:R145,"קצת")+COUNTIF(Q145:R145,"עוד לא")),""))</f>
        <v/>
      </c>
      <c r="AL145" s="28" t="str">
        <f aca="false">IF($A145="","",IFERROR((COUNTIF(K145:R145,"כן")+0.5*COUNTIF(K145:R145,"קצת"))/(COUNTIF(K145:R145,"כן")+COUNTIF(K145:R145,"קצת")+COUNTIF(K145:R145,"עוד לא")),""))</f>
        <v/>
      </c>
      <c r="AM145" s="28" t="str">
        <f aca="false">IF($A145="","",IFERROR((COUNTIF(S145:Z145,"רוב הזמן")+0.5*COUNTIF(S145:Z145,"לפעמים"))/(COUNTIF(S145:Z145,"רוב הזמן")+COUNTIF(S145:Z145,"לפעמים")+COUNTIF(S145:Z145,"עדיין לא")),""))</f>
        <v/>
      </c>
      <c r="AN145" s="28" t="str">
        <f aca="false">IF($A145="","",IFERROR(1-SUMPRODUCT(ABS(((K145:R145="כן")+0.5*(K145:R145="קצת"))-((S145:Z145="רוב הזמן")+0.5*(S145:Z145="לפעמים")))*(((K145:R145="כן")+(K145:R145="קצת")+(K145:R145="עוד לא"))*((S145:Z145="רוב הזמן")+(S145:Z145="לפעמים")+(S145:Z145="עדיין לא"))))/SUMPRODUCT((((K145:R145="כן")+(K145:R145="קצת")+(K145:R145="עוד לא"))*((S145:Z145="רוב הזמן")+(S145:Z145="לפעמים")+(S145:Z145="עדיין לא")))),""))</f>
        <v/>
      </c>
      <c r="AO145" s="27" t="str">
        <f aca="false">IF($A145="","",SUMPRODUCT(((((K145:R145="כן")+0.5*(K145:R145="קצת"))-((S145:Z145="רוב הזמן")+0.5*(S145:Z145="לפעמים")))&gt;0.01)*(((K145:R145="כן")+(K145:R145="קצת")+(K145:R145="עוד לא"))*((S145:Z145="רוב הזמן")+(S145:Z145="לפעמים")+(S145:Z145="עדיין לא")))))</f>
        <v/>
      </c>
      <c r="AP145" s="27" t="str">
        <f aca="false">IF($A145="","",SUMPRODUCT(((((S145:Z145="רוב הזמן")+0.5*(S145:Z145="לפעמים"))-((K145:R145="כן")+0.5*(K145:R145="קצת")))&gt;0.01)*(((K145:R145="כן")+(K145:R145="קצת")+(K145:R145="עוד לא"))*((S145:Z145="רוב הזמן")+(S145:Z145="לפעמים")+(S145:Z145="עדיין לא")))))</f>
        <v/>
      </c>
      <c r="AQ145" s="27" t="str">
        <f aca="false">IF($A145="","",COUNTIF(AA145:AB145,"כן"))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7" t="str">
        <f aca="false">IF($A146="","",$A146&amp;"|"&amp;$C146)</f>
        <v/>
      </c>
      <c r="AG146" s="27" t="str">
        <f aca="false">IF($A146="","",IF(OR(H146="לא נבדק",H146=""),"לא נבדק",IF(AND(H146="בחר/ה בעצמו/ה",I146="כן",J146="לא"),"מלא",IF(OR(H146="בחר/ה בעצמו/ה",I146="כן"),"חלקי","עדיין לא"))))</f>
        <v/>
      </c>
      <c r="AH146" s="28" t="str">
        <f aca="false">IF($A146="","",IFERROR((COUNTIF(K146:L146,"כן")+0.5*COUNTIF(K146:L146,"קצת"))/(COUNTIF(K146:L146,"כן")+COUNTIF(K146:L146,"קצת")+COUNTIF(K146:L146,"עוד לא")),""))</f>
        <v/>
      </c>
      <c r="AI146" s="28" t="str">
        <f aca="false">IF($A146="","",IFERROR((COUNTIF(M146:N146,"כן")+0.5*COUNTIF(M146:N146,"קצת"))/(COUNTIF(M146:N146,"כן")+COUNTIF(M146:N146,"קצת")+COUNTIF(M146:N146,"עוד לא")),""))</f>
        <v/>
      </c>
      <c r="AJ146" s="28" t="str">
        <f aca="false">IF($A146="","",IFERROR((COUNTIF(O146:P146,"כן")+0.5*COUNTIF(O146:P146,"קצת"))/(COUNTIF(O146:P146,"כן")+COUNTIF(O146:P146,"קצת")+COUNTIF(O146:P146,"עוד לא")),""))</f>
        <v/>
      </c>
      <c r="AK146" s="28" t="str">
        <f aca="false">IF($A146="","",IFERROR((COUNTIF(Q146:R146,"כן")+0.5*COUNTIF(Q146:R146,"קצת"))/(COUNTIF(Q146:R146,"כן")+COUNTIF(Q146:R146,"קצת")+COUNTIF(Q146:R146,"עוד לא")),""))</f>
        <v/>
      </c>
      <c r="AL146" s="28" t="str">
        <f aca="false">IF($A146="","",IFERROR((COUNTIF(K146:R146,"כן")+0.5*COUNTIF(K146:R146,"קצת"))/(COUNTIF(K146:R146,"כן")+COUNTIF(K146:R146,"קצת")+COUNTIF(K146:R146,"עוד לא")),""))</f>
        <v/>
      </c>
      <c r="AM146" s="28" t="str">
        <f aca="false">IF($A146="","",IFERROR((COUNTIF(S146:Z146,"רוב הזמן")+0.5*COUNTIF(S146:Z146,"לפעמים"))/(COUNTIF(S146:Z146,"רוב הזמן")+COUNTIF(S146:Z146,"לפעמים")+COUNTIF(S146:Z146,"עדיין לא")),""))</f>
        <v/>
      </c>
      <c r="AN146" s="28" t="str">
        <f aca="false">IF($A146="","",IFERROR(1-SUMPRODUCT(ABS(((K146:R146="כן")+0.5*(K146:R146="קצת"))-((S146:Z146="רוב הזמן")+0.5*(S146:Z146="לפעמים")))*(((K146:R146="כן")+(K146:R146="קצת")+(K146:R146="עוד לא"))*((S146:Z146="רוב הזמן")+(S146:Z146="לפעמים")+(S146:Z146="עדיין לא"))))/SUMPRODUCT((((K146:R146="כן")+(K146:R146="קצת")+(K146:R146="עוד לא"))*((S146:Z146="רוב הזמן")+(S146:Z146="לפעמים")+(S146:Z146="עדיין לא")))),""))</f>
        <v/>
      </c>
      <c r="AO146" s="27" t="str">
        <f aca="false">IF($A146="","",SUMPRODUCT(((((K146:R146="כן")+0.5*(K146:R146="קצת"))-((S146:Z146="רוב הזמן")+0.5*(S146:Z146="לפעמים")))&gt;0.01)*(((K146:R146="כן")+(K146:R146="קצת")+(K146:R146="עוד לא"))*((S146:Z146="רוב הזמן")+(S146:Z146="לפעמים")+(S146:Z146="עדיין לא")))))</f>
        <v/>
      </c>
      <c r="AP146" s="27" t="str">
        <f aca="false">IF($A146="","",SUMPRODUCT(((((S146:Z146="רוב הזמן")+0.5*(S146:Z146="לפעמים"))-((K146:R146="כן")+0.5*(K146:R146="קצת")))&gt;0.01)*(((K146:R146="כן")+(K146:R146="קצת")+(K146:R146="עוד לא"))*((S146:Z146="רוב הזמן")+(S146:Z146="לפעמים")+(S146:Z146="עדיין לא")))))</f>
        <v/>
      </c>
      <c r="AQ146" s="27" t="str">
        <f aca="false">IF($A146="","",COUNTIF(AA146:AB146,"כן"))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7" t="str">
        <f aca="false">IF($A147="","",$A147&amp;"|"&amp;$C147)</f>
        <v/>
      </c>
      <c r="AG147" s="27" t="str">
        <f aca="false">IF($A147="","",IF(OR(H147="לא נבדק",H147=""),"לא נבדק",IF(AND(H147="בחר/ה בעצמו/ה",I147="כן",J147="לא"),"מלא",IF(OR(H147="בחר/ה בעצמו/ה",I147="כן"),"חלקי","עדיין לא"))))</f>
        <v/>
      </c>
      <c r="AH147" s="28" t="str">
        <f aca="false">IF($A147="","",IFERROR((COUNTIF(K147:L147,"כן")+0.5*COUNTIF(K147:L147,"קצת"))/(COUNTIF(K147:L147,"כן")+COUNTIF(K147:L147,"קצת")+COUNTIF(K147:L147,"עוד לא")),""))</f>
        <v/>
      </c>
      <c r="AI147" s="28" t="str">
        <f aca="false">IF($A147="","",IFERROR((COUNTIF(M147:N147,"כן")+0.5*COUNTIF(M147:N147,"קצת"))/(COUNTIF(M147:N147,"כן")+COUNTIF(M147:N147,"קצת")+COUNTIF(M147:N147,"עוד לא")),""))</f>
        <v/>
      </c>
      <c r="AJ147" s="28" t="str">
        <f aca="false">IF($A147="","",IFERROR((COUNTIF(O147:P147,"כן")+0.5*COUNTIF(O147:P147,"קצת"))/(COUNTIF(O147:P147,"כן")+COUNTIF(O147:P147,"קצת")+COUNTIF(O147:P147,"עוד לא")),""))</f>
        <v/>
      </c>
      <c r="AK147" s="28" t="str">
        <f aca="false">IF($A147="","",IFERROR((COUNTIF(Q147:R147,"כן")+0.5*COUNTIF(Q147:R147,"קצת"))/(COUNTIF(Q147:R147,"כן")+COUNTIF(Q147:R147,"קצת")+COUNTIF(Q147:R147,"עוד לא")),""))</f>
        <v/>
      </c>
      <c r="AL147" s="28" t="str">
        <f aca="false">IF($A147="","",IFERROR((COUNTIF(K147:R147,"כן")+0.5*COUNTIF(K147:R147,"קצת"))/(COUNTIF(K147:R147,"כן")+COUNTIF(K147:R147,"קצת")+COUNTIF(K147:R147,"עוד לא")),""))</f>
        <v/>
      </c>
      <c r="AM147" s="28" t="str">
        <f aca="false">IF($A147="","",IFERROR((COUNTIF(S147:Z147,"רוב הזמן")+0.5*COUNTIF(S147:Z147,"לפעמים"))/(COUNTIF(S147:Z147,"רוב הזמן")+COUNTIF(S147:Z147,"לפעמים")+COUNTIF(S147:Z147,"עדיין לא")),""))</f>
        <v/>
      </c>
      <c r="AN147" s="28" t="str">
        <f aca="false">IF($A147="","",IFERROR(1-SUMPRODUCT(ABS(((K147:R147="כן")+0.5*(K147:R147="קצת"))-((S147:Z147="רוב הזמן")+0.5*(S147:Z147="לפעמים")))*(((K147:R147="כן")+(K147:R147="קצת")+(K147:R147="עוד לא"))*((S147:Z147="רוב הזמן")+(S147:Z147="לפעמים")+(S147:Z147="עדיין לא"))))/SUMPRODUCT((((K147:R147="כן")+(K147:R147="קצת")+(K147:R147="עוד לא"))*((S147:Z147="רוב הזמן")+(S147:Z147="לפעמים")+(S147:Z147="עדיין לא")))),""))</f>
        <v/>
      </c>
      <c r="AO147" s="27" t="str">
        <f aca="false">IF($A147="","",SUMPRODUCT(((((K147:R147="כן")+0.5*(K147:R147="קצת"))-((S147:Z147="רוב הזמן")+0.5*(S147:Z147="לפעמים")))&gt;0.01)*(((K147:R147="כן")+(K147:R147="קצת")+(K147:R147="עוד לא"))*((S147:Z147="רוב הזמן")+(S147:Z147="לפעמים")+(S147:Z147="עדיין לא")))))</f>
        <v/>
      </c>
      <c r="AP147" s="27" t="str">
        <f aca="false">IF($A147="","",SUMPRODUCT(((((S147:Z147="רוב הזמן")+0.5*(S147:Z147="לפעמים"))-((K147:R147="כן")+0.5*(K147:R147="קצת")))&gt;0.01)*(((K147:R147="כן")+(K147:R147="קצת")+(K147:R147="עוד לא"))*((S147:Z147="רוב הזמן")+(S147:Z147="לפעמים")+(S147:Z147="עדיין לא")))))</f>
        <v/>
      </c>
      <c r="AQ147" s="27" t="str">
        <f aca="false">IF($A147="","",COUNTIF(AA147:AB147,"כן"))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7" t="str">
        <f aca="false">IF($A148="","",$A148&amp;"|"&amp;$C148)</f>
        <v/>
      </c>
      <c r="AG148" s="27" t="str">
        <f aca="false">IF($A148="","",IF(OR(H148="לא נבדק",H148=""),"לא נבדק",IF(AND(H148="בחר/ה בעצמו/ה",I148="כן",J148="לא"),"מלא",IF(OR(H148="בחר/ה בעצמו/ה",I148="כן"),"חלקי","עדיין לא"))))</f>
        <v/>
      </c>
      <c r="AH148" s="28" t="str">
        <f aca="false">IF($A148="","",IFERROR((COUNTIF(K148:L148,"כן")+0.5*COUNTIF(K148:L148,"קצת"))/(COUNTIF(K148:L148,"כן")+COUNTIF(K148:L148,"קצת")+COUNTIF(K148:L148,"עוד לא")),""))</f>
        <v/>
      </c>
      <c r="AI148" s="28" t="str">
        <f aca="false">IF($A148="","",IFERROR((COUNTIF(M148:N148,"כן")+0.5*COUNTIF(M148:N148,"קצת"))/(COUNTIF(M148:N148,"כן")+COUNTIF(M148:N148,"קצת")+COUNTIF(M148:N148,"עוד לא")),""))</f>
        <v/>
      </c>
      <c r="AJ148" s="28" t="str">
        <f aca="false">IF($A148="","",IFERROR((COUNTIF(O148:P148,"כן")+0.5*COUNTIF(O148:P148,"קצת"))/(COUNTIF(O148:P148,"כן")+COUNTIF(O148:P148,"קצת")+COUNTIF(O148:P148,"עוד לא")),""))</f>
        <v/>
      </c>
      <c r="AK148" s="28" t="str">
        <f aca="false">IF($A148="","",IFERROR((COUNTIF(Q148:R148,"כן")+0.5*COUNTIF(Q148:R148,"קצת"))/(COUNTIF(Q148:R148,"כן")+COUNTIF(Q148:R148,"קצת")+COUNTIF(Q148:R148,"עוד לא")),""))</f>
        <v/>
      </c>
      <c r="AL148" s="28" t="str">
        <f aca="false">IF($A148="","",IFERROR((COUNTIF(K148:R148,"כן")+0.5*COUNTIF(K148:R148,"קצת"))/(COUNTIF(K148:R148,"כן")+COUNTIF(K148:R148,"קצת")+COUNTIF(K148:R148,"עוד לא")),""))</f>
        <v/>
      </c>
      <c r="AM148" s="28" t="str">
        <f aca="false">IF($A148="","",IFERROR((COUNTIF(S148:Z148,"רוב הזמן")+0.5*COUNTIF(S148:Z148,"לפעמים"))/(COUNTIF(S148:Z148,"רוב הזמן")+COUNTIF(S148:Z148,"לפעמים")+COUNTIF(S148:Z148,"עדיין לא")),""))</f>
        <v/>
      </c>
      <c r="AN148" s="28" t="str">
        <f aca="false">IF($A148="","",IFERROR(1-SUMPRODUCT(ABS(((K148:R148="כן")+0.5*(K148:R148="קצת"))-((S148:Z148="רוב הזמן")+0.5*(S148:Z148="לפעמים")))*(((K148:R148="כן")+(K148:R148="קצת")+(K148:R148="עוד לא"))*((S148:Z148="רוב הזמן")+(S148:Z148="לפעמים")+(S148:Z148="עדיין לא"))))/SUMPRODUCT((((K148:R148="כן")+(K148:R148="קצת")+(K148:R148="עוד לא"))*((S148:Z148="רוב הזמן")+(S148:Z148="לפעמים")+(S148:Z148="עדיין לא")))),""))</f>
        <v/>
      </c>
      <c r="AO148" s="27" t="str">
        <f aca="false">IF($A148="","",SUMPRODUCT(((((K148:R148="כן")+0.5*(K148:R148="קצת"))-((S148:Z148="רוב הזמן")+0.5*(S148:Z148="לפעמים")))&gt;0.01)*(((K148:R148="כן")+(K148:R148="קצת")+(K148:R148="עוד לא"))*((S148:Z148="רוב הזמן")+(S148:Z148="לפעמים")+(S148:Z148="עדיין לא")))))</f>
        <v/>
      </c>
      <c r="AP148" s="27" t="str">
        <f aca="false">IF($A148="","",SUMPRODUCT(((((S148:Z148="רוב הזמן")+0.5*(S148:Z148="לפעמים"))-((K148:R148="כן")+0.5*(K148:R148="קצת")))&gt;0.01)*(((K148:R148="כן")+(K148:R148="קצת")+(K148:R148="עוד לא"))*((S148:Z148="רוב הזמן")+(S148:Z148="לפעמים")+(S148:Z148="עדיין לא")))))</f>
        <v/>
      </c>
      <c r="AQ148" s="27" t="str">
        <f aca="false">IF($A148="","",COUNTIF(AA148:AB148,"כן"))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7" t="str">
        <f aca="false">IF($A149="","",$A149&amp;"|"&amp;$C149)</f>
        <v/>
      </c>
      <c r="AG149" s="27" t="str">
        <f aca="false">IF($A149="","",IF(OR(H149="לא נבדק",H149=""),"לא נבדק",IF(AND(H149="בחר/ה בעצמו/ה",I149="כן",J149="לא"),"מלא",IF(OR(H149="בחר/ה בעצמו/ה",I149="כן"),"חלקי","עדיין לא"))))</f>
        <v/>
      </c>
      <c r="AH149" s="28" t="str">
        <f aca="false">IF($A149="","",IFERROR((COUNTIF(K149:L149,"כן")+0.5*COUNTIF(K149:L149,"קצת"))/(COUNTIF(K149:L149,"כן")+COUNTIF(K149:L149,"קצת")+COUNTIF(K149:L149,"עוד לא")),""))</f>
        <v/>
      </c>
      <c r="AI149" s="28" t="str">
        <f aca="false">IF($A149="","",IFERROR((COUNTIF(M149:N149,"כן")+0.5*COUNTIF(M149:N149,"קצת"))/(COUNTIF(M149:N149,"כן")+COUNTIF(M149:N149,"קצת")+COUNTIF(M149:N149,"עוד לא")),""))</f>
        <v/>
      </c>
      <c r="AJ149" s="28" t="str">
        <f aca="false">IF($A149="","",IFERROR((COUNTIF(O149:P149,"כן")+0.5*COUNTIF(O149:P149,"קצת"))/(COUNTIF(O149:P149,"כן")+COUNTIF(O149:P149,"קצת")+COUNTIF(O149:P149,"עוד לא")),""))</f>
        <v/>
      </c>
      <c r="AK149" s="28" t="str">
        <f aca="false">IF($A149="","",IFERROR((COUNTIF(Q149:R149,"כן")+0.5*COUNTIF(Q149:R149,"קצת"))/(COUNTIF(Q149:R149,"כן")+COUNTIF(Q149:R149,"קצת")+COUNTIF(Q149:R149,"עוד לא")),""))</f>
        <v/>
      </c>
      <c r="AL149" s="28" t="str">
        <f aca="false">IF($A149="","",IFERROR((COUNTIF(K149:R149,"כן")+0.5*COUNTIF(K149:R149,"קצת"))/(COUNTIF(K149:R149,"כן")+COUNTIF(K149:R149,"קצת")+COUNTIF(K149:R149,"עוד לא")),""))</f>
        <v/>
      </c>
      <c r="AM149" s="28" t="str">
        <f aca="false">IF($A149="","",IFERROR((COUNTIF(S149:Z149,"רוב הזמן")+0.5*COUNTIF(S149:Z149,"לפעמים"))/(COUNTIF(S149:Z149,"רוב הזמן")+COUNTIF(S149:Z149,"לפעמים")+COUNTIF(S149:Z149,"עדיין לא")),""))</f>
        <v/>
      </c>
      <c r="AN149" s="28" t="str">
        <f aca="false">IF($A149="","",IFERROR(1-SUMPRODUCT(ABS(((K149:R149="כן")+0.5*(K149:R149="קצת"))-((S149:Z149="רוב הזמן")+0.5*(S149:Z149="לפעמים")))*(((K149:R149="כן")+(K149:R149="קצת")+(K149:R149="עוד לא"))*((S149:Z149="רוב הזמן")+(S149:Z149="לפעמים")+(S149:Z149="עדיין לא"))))/SUMPRODUCT((((K149:R149="כן")+(K149:R149="קצת")+(K149:R149="עוד לא"))*((S149:Z149="רוב הזמן")+(S149:Z149="לפעמים")+(S149:Z149="עדיין לא")))),""))</f>
        <v/>
      </c>
      <c r="AO149" s="27" t="str">
        <f aca="false">IF($A149="","",SUMPRODUCT(((((K149:R149="כן")+0.5*(K149:R149="קצת"))-((S149:Z149="רוב הזמן")+0.5*(S149:Z149="לפעמים")))&gt;0.01)*(((K149:R149="כן")+(K149:R149="קצת")+(K149:R149="עוד לא"))*((S149:Z149="רוב הזמן")+(S149:Z149="לפעמים")+(S149:Z149="עדיין לא")))))</f>
        <v/>
      </c>
      <c r="AP149" s="27" t="str">
        <f aca="false">IF($A149="","",SUMPRODUCT(((((S149:Z149="רוב הזמן")+0.5*(S149:Z149="לפעמים"))-((K149:R149="כן")+0.5*(K149:R149="קצת")))&gt;0.01)*(((K149:R149="כן")+(K149:R149="קצת")+(K149:R149="עוד לא"))*((S149:Z149="רוב הזמן")+(S149:Z149="לפעמים")+(S149:Z149="עדיין לא")))))</f>
        <v/>
      </c>
      <c r="AQ149" s="27" t="str">
        <f aca="false">IF($A149="","",COUNTIF(AA149:AB149,"כן"))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7" t="str">
        <f aca="false">IF($A150="","",$A150&amp;"|"&amp;$C150)</f>
        <v/>
      </c>
      <c r="AG150" s="27" t="str">
        <f aca="false">IF($A150="","",IF(OR(H150="לא נבדק",H150=""),"לא נבדק",IF(AND(H150="בחר/ה בעצמו/ה",I150="כן",J150="לא"),"מלא",IF(OR(H150="בחר/ה בעצמו/ה",I150="כן"),"חלקי","עדיין לא"))))</f>
        <v/>
      </c>
      <c r="AH150" s="28" t="str">
        <f aca="false">IF($A150="","",IFERROR((COUNTIF(K150:L150,"כן")+0.5*COUNTIF(K150:L150,"קצת"))/(COUNTIF(K150:L150,"כן")+COUNTIF(K150:L150,"קצת")+COUNTIF(K150:L150,"עוד לא")),""))</f>
        <v/>
      </c>
      <c r="AI150" s="28" t="str">
        <f aca="false">IF($A150="","",IFERROR((COUNTIF(M150:N150,"כן")+0.5*COUNTIF(M150:N150,"קצת"))/(COUNTIF(M150:N150,"כן")+COUNTIF(M150:N150,"קצת")+COUNTIF(M150:N150,"עוד לא")),""))</f>
        <v/>
      </c>
      <c r="AJ150" s="28" t="str">
        <f aca="false">IF($A150="","",IFERROR((COUNTIF(O150:P150,"כן")+0.5*COUNTIF(O150:P150,"קצת"))/(COUNTIF(O150:P150,"כן")+COUNTIF(O150:P150,"קצת")+COUNTIF(O150:P150,"עוד לא")),""))</f>
        <v/>
      </c>
      <c r="AK150" s="28" t="str">
        <f aca="false">IF($A150="","",IFERROR((COUNTIF(Q150:R150,"כן")+0.5*COUNTIF(Q150:R150,"קצת"))/(COUNTIF(Q150:R150,"כן")+COUNTIF(Q150:R150,"קצת")+COUNTIF(Q150:R150,"עוד לא")),""))</f>
        <v/>
      </c>
      <c r="AL150" s="28" t="str">
        <f aca="false">IF($A150="","",IFERROR((COUNTIF(K150:R150,"כן")+0.5*COUNTIF(K150:R150,"קצת"))/(COUNTIF(K150:R150,"כן")+COUNTIF(K150:R150,"קצת")+COUNTIF(K150:R150,"עוד לא")),""))</f>
        <v/>
      </c>
      <c r="AM150" s="28" t="str">
        <f aca="false">IF($A150="","",IFERROR((COUNTIF(S150:Z150,"רוב הזמן")+0.5*COUNTIF(S150:Z150,"לפעמים"))/(COUNTIF(S150:Z150,"רוב הזמן")+COUNTIF(S150:Z150,"לפעמים")+COUNTIF(S150:Z150,"עדיין לא")),""))</f>
        <v/>
      </c>
      <c r="AN150" s="28" t="str">
        <f aca="false">IF($A150="","",IFERROR(1-SUMPRODUCT(ABS(((K150:R150="כן")+0.5*(K150:R150="קצת"))-((S150:Z150="רוב הזמן")+0.5*(S150:Z150="לפעמים")))*(((K150:R150="כן")+(K150:R150="קצת")+(K150:R150="עוד לא"))*((S150:Z150="רוב הזמן")+(S150:Z150="לפעמים")+(S150:Z150="עדיין לא"))))/SUMPRODUCT((((K150:R150="כן")+(K150:R150="קצת")+(K150:R150="עוד לא"))*((S150:Z150="רוב הזמן")+(S150:Z150="לפעמים")+(S150:Z150="עדיין לא")))),""))</f>
        <v/>
      </c>
      <c r="AO150" s="27" t="str">
        <f aca="false">IF($A150="","",SUMPRODUCT(((((K150:R150="כן")+0.5*(K150:R150="קצת"))-((S150:Z150="רוב הזמן")+0.5*(S150:Z150="לפעמים")))&gt;0.01)*(((K150:R150="כן")+(K150:R150="קצת")+(K150:R150="עוד לא"))*((S150:Z150="רוב הזמן")+(S150:Z150="לפעמים")+(S150:Z150="עדיין לא")))))</f>
        <v/>
      </c>
      <c r="AP150" s="27" t="str">
        <f aca="false">IF($A150="","",SUMPRODUCT(((((S150:Z150="רוב הזמן")+0.5*(S150:Z150="לפעמים"))-((K150:R150="כן")+0.5*(K150:R150="קצת")))&gt;0.01)*(((K150:R150="כן")+(K150:R150="קצת")+(K150:R150="עוד לא"))*((S150:Z150="רוב הזמן")+(S150:Z150="לפעמים")+(S150:Z150="עדיין לא")))))</f>
        <v/>
      </c>
      <c r="AQ150" s="27" t="str">
        <f aca="false">IF($A150="","",COUNTIF(AA150:AB150,"כן"))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7" t="str">
        <f aca="false">IF($A151="","",$A151&amp;"|"&amp;$C151)</f>
        <v/>
      </c>
      <c r="AG151" s="27" t="str">
        <f aca="false">IF($A151="","",IF(OR(H151="לא נבדק",H151=""),"לא נבדק",IF(AND(H151="בחר/ה בעצמו/ה",I151="כן",J151="לא"),"מלא",IF(OR(H151="בחר/ה בעצמו/ה",I151="כן"),"חלקי","עדיין לא"))))</f>
        <v/>
      </c>
      <c r="AH151" s="28" t="str">
        <f aca="false">IF($A151="","",IFERROR((COUNTIF(K151:L151,"כן")+0.5*COUNTIF(K151:L151,"קצת"))/(COUNTIF(K151:L151,"כן")+COUNTIF(K151:L151,"קצת")+COUNTIF(K151:L151,"עוד לא")),""))</f>
        <v/>
      </c>
      <c r="AI151" s="28" t="str">
        <f aca="false">IF($A151="","",IFERROR((COUNTIF(M151:N151,"כן")+0.5*COUNTIF(M151:N151,"קצת"))/(COUNTIF(M151:N151,"כן")+COUNTIF(M151:N151,"קצת")+COUNTIF(M151:N151,"עוד לא")),""))</f>
        <v/>
      </c>
      <c r="AJ151" s="28" t="str">
        <f aca="false">IF($A151="","",IFERROR((COUNTIF(O151:P151,"כן")+0.5*COUNTIF(O151:P151,"קצת"))/(COUNTIF(O151:P151,"כן")+COUNTIF(O151:P151,"קצת")+COUNTIF(O151:P151,"עוד לא")),""))</f>
        <v/>
      </c>
      <c r="AK151" s="28" t="str">
        <f aca="false">IF($A151="","",IFERROR((COUNTIF(Q151:R151,"כן")+0.5*COUNTIF(Q151:R151,"קצת"))/(COUNTIF(Q151:R151,"כן")+COUNTIF(Q151:R151,"קצת")+COUNTIF(Q151:R151,"עוד לא")),""))</f>
        <v/>
      </c>
      <c r="AL151" s="28" t="str">
        <f aca="false">IF($A151="","",IFERROR((COUNTIF(K151:R151,"כן")+0.5*COUNTIF(K151:R151,"קצת"))/(COUNTIF(K151:R151,"כן")+COUNTIF(K151:R151,"קצת")+COUNTIF(K151:R151,"עוד לא")),""))</f>
        <v/>
      </c>
      <c r="AM151" s="28" t="str">
        <f aca="false">IF($A151="","",IFERROR((COUNTIF(S151:Z151,"רוב הזמן")+0.5*COUNTIF(S151:Z151,"לפעמים"))/(COUNTIF(S151:Z151,"רוב הזמן")+COUNTIF(S151:Z151,"לפעמים")+COUNTIF(S151:Z151,"עדיין לא")),""))</f>
        <v/>
      </c>
      <c r="AN151" s="28" t="str">
        <f aca="false">IF($A151="","",IFERROR(1-SUMPRODUCT(ABS(((K151:R151="כן")+0.5*(K151:R151="קצת"))-((S151:Z151="רוב הזמן")+0.5*(S151:Z151="לפעמים")))*(((K151:R151="כן")+(K151:R151="קצת")+(K151:R151="עוד לא"))*((S151:Z151="רוב הזמן")+(S151:Z151="לפעמים")+(S151:Z151="עדיין לא"))))/SUMPRODUCT((((K151:R151="כן")+(K151:R151="קצת")+(K151:R151="עוד לא"))*((S151:Z151="רוב הזמן")+(S151:Z151="לפעמים")+(S151:Z151="עדיין לא")))),""))</f>
        <v/>
      </c>
      <c r="AO151" s="27" t="str">
        <f aca="false">IF($A151="","",SUMPRODUCT(((((K151:R151="כן")+0.5*(K151:R151="קצת"))-((S151:Z151="רוב הזמן")+0.5*(S151:Z151="לפעמים")))&gt;0.01)*(((K151:R151="כן")+(K151:R151="קצת")+(K151:R151="עוד לא"))*((S151:Z151="רוב הזמן")+(S151:Z151="לפעמים")+(S151:Z151="עדיין לא")))))</f>
        <v/>
      </c>
      <c r="AP151" s="27" t="str">
        <f aca="false">IF($A151="","",SUMPRODUCT(((((S151:Z151="רוב הזמן")+0.5*(S151:Z151="לפעמים"))-((K151:R151="כן")+0.5*(K151:R151="קצת")))&gt;0.01)*(((K151:R151="כן")+(K151:R151="קצת")+(K151:R151="עוד לא"))*((S151:Z151="רוב הזמן")+(S151:Z151="לפעמים")+(S151:Z151="עדיין לא")))))</f>
        <v/>
      </c>
      <c r="AQ151" s="27" t="str">
        <f aca="false">IF($A151="","",COUNTIF(AA151:AB151,"כן"))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7" t="str">
        <f aca="false">IF($A152="","",$A152&amp;"|"&amp;$C152)</f>
        <v/>
      </c>
      <c r="AG152" s="27" t="str">
        <f aca="false">IF($A152="","",IF(OR(H152="לא נבדק",H152=""),"לא נבדק",IF(AND(H152="בחר/ה בעצמו/ה",I152="כן",J152="לא"),"מלא",IF(OR(H152="בחר/ה בעצמו/ה",I152="כן"),"חלקי","עדיין לא"))))</f>
        <v/>
      </c>
      <c r="AH152" s="28" t="str">
        <f aca="false">IF($A152="","",IFERROR((COUNTIF(K152:L152,"כן")+0.5*COUNTIF(K152:L152,"קצת"))/(COUNTIF(K152:L152,"כן")+COUNTIF(K152:L152,"קצת")+COUNTIF(K152:L152,"עוד לא")),""))</f>
        <v/>
      </c>
      <c r="AI152" s="28" t="str">
        <f aca="false">IF($A152="","",IFERROR((COUNTIF(M152:N152,"כן")+0.5*COUNTIF(M152:N152,"קצת"))/(COUNTIF(M152:N152,"כן")+COUNTIF(M152:N152,"קצת")+COUNTIF(M152:N152,"עוד לא")),""))</f>
        <v/>
      </c>
      <c r="AJ152" s="28" t="str">
        <f aca="false">IF($A152="","",IFERROR((COUNTIF(O152:P152,"כן")+0.5*COUNTIF(O152:P152,"קצת"))/(COUNTIF(O152:P152,"כן")+COUNTIF(O152:P152,"קצת")+COUNTIF(O152:P152,"עוד לא")),""))</f>
        <v/>
      </c>
      <c r="AK152" s="28" t="str">
        <f aca="false">IF($A152="","",IFERROR((COUNTIF(Q152:R152,"כן")+0.5*COUNTIF(Q152:R152,"קצת"))/(COUNTIF(Q152:R152,"כן")+COUNTIF(Q152:R152,"קצת")+COUNTIF(Q152:R152,"עוד לא")),""))</f>
        <v/>
      </c>
      <c r="AL152" s="28" t="str">
        <f aca="false">IF($A152="","",IFERROR((COUNTIF(K152:R152,"כן")+0.5*COUNTIF(K152:R152,"קצת"))/(COUNTIF(K152:R152,"כן")+COUNTIF(K152:R152,"קצת")+COUNTIF(K152:R152,"עוד לא")),""))</f>
        <v/>
      </c>
      <c r="AM152" s="28" t="str">
        <f aca="false">IF($A152="","",IFERROR((COUNTIF(S152:Z152,"רוב הזמן")+0.5*COUNTIF(S152:Z152,"לפעמים"))/(COUNTIF(S152:Z152,"רוב הזמן")+COUNTIF(S152:Z152,"לפעמים")+COUNTIF(S152:Z152,"עדיין לא")),""))</f>
        <v/>
      </c>
      <c r="AN152" s="28" t="str">
        <f aca="false">IF($A152="","",IFERROR(1-SUMPRODUCT(ABS(((K152:R152="כן")+0.5*(K152:R152="קצת"))-((S152:Z152="רוב הזמן")+0.5*(S152:Z152="לפעמים")))*(((K152:R152="כן")+(K152:R152="קצת")+(K152:R152="עוד לא"))*((S152:Z152="רוב הזמן")+(S152:Z152="לפעמים")+(S152:Z152="עדיין לא"))))/SUMPRODUCT((((K152:R152="כן")+(K152:R152="קצת")+(K152:R152="עוד לא"))*((S152:Z152="רוב הזמן")+(S152:Z152="לפעמים")+(S152:Z152="עדיין לא")))),""))</f>
        <v/>
      </c>
      <c r="AO152" s="27" t="str">
        <f aca="false">IF($A152="","",SUMPRODUCT(((((K152:R152="כן")+0.5*(K152:R152="קצת"))-((S152:Z152="רוב הזמן")+0.5*(S152:Z152="לפעמים")))&gt;0.01)*(((K152:R152="כן")+(K152:R152="קצת")+(K152:R152="עוד לא"))*((S152:Z152="רוב הזמן")+(S152:Z152="לפעמים")+(S152:Z152="עדיין לא")))))</f>
        <v/>
      </c>
      <c r="AP152" s="27" t="str">
        <f aca="false">IF($A152="","",SUMPRODUCT(((((S152:Z152="רוב הזמן")+0.5*(S152:Z152="לפעמים"))-((K152:R152="כן")+0.5*(K152:R152="קצת")))&gt;0.01)*(((K152:R152="כן")+(K152:R152="קצת")+(K152:R152="עוד לא"))*((S152:Z152="רוב הזמן")+(S152:Z152="לפעמים")+(S152:Z152="עדיין לא")))))</f>
        <v/>
      </c>
      <c r="AQ152" s="27" t="str">
        <f aca="false">IF($A152="","",COUNTIF(AA152:AB152,"כן"))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7" t="str">
        <f aca="false">IF($A153="","",$A153&amp;"|"&amp;$C153)</f>
        <v/>
      </c>
      <c r="AG153" s="27" t="str">
        <f aca="false">IF($A153="","",IF(OR(H153="לא נבדק",H153=""),"לא נבדק",IF(AND(H153="בחר/ה בעצמו/ה",I153="כן",J153="לא"),"מלא",IF(OR(H153="בחר/ה בעצמו/ה",I153="כן"),"חלקי","עדיין לא"))))</f>
        <v/>
      </c>
      <c r="AH153" s="28" t="str">
        <f aca="false">IF($A153="","",IFERROR((COUNTIF(K153:L153,"כן")+0.5*COUNTIF(K153:L153,"קצת"))/(COUNTIF(K153:L153,"כן")+COUNTIF(K153:L153,"קצת")+COUNTIF(K153:L153,"עוד לא")),""))</f>
        <v/>
      </c>
      <c r="AI153" s="28" t="str">
        <f aca="false">IF($A153="","",IFERROR((COUNTIF(M153:N153,"כן")+0.5*COUNTIF(M153:N153,"קצת"))/(COUNTIF(M153:N153,"כן")+COUNTIF(M153:N153,"קצת")+COUNTIF(M153:N153,"עוד לא")),""))</f>
        <v/>
      </c>
      <c r="AJ153" s="28" t="str">
        <f aca="false">IF($A153="","",IFERROR((COUNTIF(O153:P153,"כן")+0.5*COUNTIF(O153:P153,"קצת"))/(COUNTIF(O153:P153,"כן")+COUNTIF(O153:P153,"קצת")+COUNTIF(O153:P153,"עוד לא")),""))</f>
        <v/>
      </c>
      <c r="AK153" s="28" t="str">
        <f aca="false">IF($A153="","",IFERROR((COUNTIF(Q153:R153,"כן")+0.5*COUNTIF(Q153:R153,"קצת"))/(COUNTIF(Q153:R153,"כן")+COUNTIF(Q153:R153,"קצת")+COUNTIF(Q153:R153,"עוד לא")),""))</f>
        <v/>
      </c>
      <c r="AL153" s="28" t="str">
        <f aca="false">IF($A153="","",IFERROR((COUNTIF(K153:R153,"כן")+0.5*COUNTIF(K153:R153,"קצת"))/(COUNTIF(K153:R153,"כן")+COUNTIF(K153:R153,"קצת")+COUNTIF(K153:R153,"עוד לא")),""))</f>
        <v/>
      </c>
      <c r="AM153" s="28" t="str">
        <f aca="false">IF($A153="","",IFERROR((COUNTIF(S153:Z153,"רוב הזמן")+0.5*COUNTIF(S153:Z153,"לפעמים"))/(COUNTIF(S153:Z153,"רוב הזמן")+COUNTIF(S153:Z153,"לפעמים")+COUNTIF(S153:Z153,"עדיין לא")),""))</f>
        <v/>
      </c>
      <c r="AN153" s="28" t="str">
        <f aca="false">IF($A153="","",IFERROR(1-SUMPRODUCT(ABS(((K153:R153="כן")+0.5*(K153:R153="קצת"))-((S153:Z153="רוב הזמן")+0.5*(S153:Z153="לפעמים")))*(((K153:R153="כן")+(K153:R153="קצת")+(K153:R153="עוד לא"))*((S153:Z153="רוב הזמן")+(S153:Z153="לפעמים")+(S153:Z153="עדיין לא"))))/SUMPRODUCT((((K153:R153="כן")+(K153:R153="קצת")+(K153:R153="עוד לא"))*((S153:Z153="רוב הזמן")+(S153:Z153="לפעמים")+(S153:Z153="עדיין לא")))),""))</f>
        <v/>
      </c>
      <c r="AO153" s="27" t="str">
        <f aca="false">IF($A153="","",SUMPRODUCT(((((K153:R153="כן")+0.5*(K153:R153="קצת"))-((S153:Z153="רוב הזמן")+0.5*(S153:Z153="לפעמים")))&gt;0.01)*(((K153:R153="כן")+(K153:R153="קצת")+(K153:R153="עוד לא"))*((S153:Z153="רוב הזמן")+(S153:Z153="לפעמים")+(S153:Z153="עדיין לא")))))</f>
        <v/>
      </c>
      <c r="AP153" s="27" t="str">
        <f aca="false">IF($A153="","",SUMPRODUCT(((((S153:Z153="רוב הזמן")+0.5*(S153:Z153="לפעמים"))-((K153:R153="כן")+0.5*(K153:R153="קצת")))&gt;0.01)*(((K153:R153="כן")+(K153:R153="קצת")+(K153:R153="עוד לא"))*((S153:Z153="רוב הזמן")+(S153:Z153="לפעמים")+(S153:Z153="עדיין לא")))))</f>
        <v/>
      </c>
      <c r="AQ153" s="27" t="str">
        <f aca="false">IF($A153="","",COUNTIF(AA153:AB153,"כן"))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7" t="str">
        <f aca="false">IF($A154="","",$A154&amp;"|"&amp;$C154)</f>
        <v/>
      </c>
      <c r="AG154" s="27" t="str">
        <f aca="false">IF($A154="","",IF(OR(H154="לא נבדק",H154=""),"לא נבדק",IF(AND(H154="בחר/ה בעצמו/ה",I154="כן",J154="לא"),"מלא",IF(OR(H154="בחר/ה בעצמו/ה",I154="כן"),"חלקי","עדיין לא"))))</f>
        <v/>
      </c>
      <c r="AH154" s="28" t="str">
        <f aca="false">IF($A154="","",IFERROR((COUNTIF(K154:L154,"כן")+0.5*COUNTIF(K154:L154,"קצת"))/(COUNTIF(K154:L154,"כן")+COUNTIF(K154:L154,"קצת")+COUNTIF(K154:L154,"עוד לא")),""))</f>
        <v/>
      </c>
      <c r="AI154" s="28" t="str">
        <f aca="false">IF($A154="","",IFERROR((COUNTIF(M154:N154,"כן")+0.5*COUNTIF(M154:N154,"קצת"))/(COUNTIF(M154:N154,"כן")+COUNTIF(M154:N154,"קצת")+COUNTIF(M154:N154,"עוד לא")),""))</f>
        <v/>
      </c>
      <c r="AJ154" s="28" t="str">
        <f aca="false">IF($A154="","",IFERROR((COUNTIF(O154:P154,"כן")+0.5*COUNTIF(O154:P154,"קצת"))/(COUNTIF(O154:P154,"כן")+COUNTIF(O154:P154,"קצת")+COUNTIF(O154:P154,"עוד לא")),""))</f>
        <v/>
      </c>
      <c r="AK154" s="28" t="str">
        <f aca="false">IF($A154="","",IFERROR((COUNTIF(Q154:R154,"כן")+0.5*COUNTIF(Q154:R154,"קצת"))/(COUNTIF(Q154:R154,"כן")+COUNTIF(Q154:R154,"קצת")+COUNTIF(Q154:R154,"עוד לא")),""))</f>
        <v/>
      </c>
      <c r="AL154" s="28" t="str">
        <f aca="false">IF($A154="","",IFERROR((COUNTIF(K154:R154,"כן")+0.5*COUNTIF(K154:R154,"קצת"))/(COUNTIF(K154:R154,"כן")+COUNTIF(K154:R154,"קצת")+COUNTIF(K154:R154,"עוד לא")),""))</f>
        <v/>
      </c>
      <c r="AM154" s="28" t="str">
        <f aca="false">IF($A154="","",IFERROR((COUNTIF(S154:Z154,"רוב הזמן")+0.5*COUNTIF(S154:Z154,"לפעמים"))/(COUNTIF(S154:Z154,"רוב הזמן")+COUNTIF(S154:Z154,"לפעמים")+COUNTIF(S154:Z154,"עדיין לא")),""))</f>
        <v/>
      </c>
      <c r="AN154" s="28" t="str">
        <f aca="false">IF($A154="","",IFERROR(1-SUMPRODUCT(ABS(((K154:R154="כן")+0.5*(K154:R154="קצת"))-((S154:Z154="רוב הזמן")+0.5*(S154:Z154="לפעמים")))*(((K154:R154="כן")+(K154:R154="קצת")+(K154:R154="עוד לא"))*((S154:Z154="רוב הזמן")+(S154:Z154="לפעמים")+(S154:Z154="עדיין לא"))))/SUMPRODUCT((((K154:R154="כן")+(K154:R154="קצת")+(K154:R154="עוד לא"))*((S154:Z154="רוב הזמן")+(S154:Z154="לפעמים")+(S154:Z154="עדיין לא")))),""))</f>
        <v/>
      </c>
      <c r="AO154" s="27" t="str">
        <f aca="false">IF($A154="","",SUMPRODUCT(((((K154:R154="כן")+0.5*(K154:R154="קצת"))-((S154:Z154="רוב הזמן")+0.5*(S154:Z154="לפעמים")))&gt;0.01)*(((K154:R154="כן")+(K154:R154="קצת")+(K154:R154="עוד לא"))*((S154:Z154="רוב הזמן")+(S154:Z154="לפעמים")+(S154:Z154="עדיין לא")))))</f>
        <v/>
      </c>
      <c r="AP154" s="27" t="str">
        <f aca="false">IF($A154="","",SUMPRODUCT(((((S154:Z154="רוב הזמן")+0.5*(S154:Z154="לפעמים"))-((K154:R154="כן")+0.5*(K154:R154="קצת")))&gt;0.01)*(((K154:R154="כן")+(K154:R154="קצת")+(K154:R154="עוד לא"))*((S154:Z154="רוב הזמן")+(S154:Z154="לפעמים")+(S154:Z154="עדיין לא")))))</f>
        <v/>
      </c>
      <c r="AQ154" s="27" t="str">
        <f aca="false">IF($A154="","",COUNTIF(AA154:AB154,"כן"))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7" t="str">
        <f aca="false">IF($A155="","",$A155&amp;"|"&amp;$C155)</f>
        <v/>
      </c>
      <c r="AG155" s="27" t="str">
        <f aca="false">IF($A155="","",IF(OR(H155="לא נבדק",H155=""),"לא נבדק",IF(AND(H155="בחר/ה בעצמו/ה",I155="כן",J155="לא"),"מלא",IF(OR(H155="בחר/ה בעצמו/ה",I155="כן"),"חלקי","עדיין לא"))))</f>
        <v/>
      </c>
      <c r="AH155" s="28" t="str">
        <f aca="false">IF($A155="","",IFERROR((COUNTIF(K155:L155,"כן")+0.5*COUNTIF(K155:L155,"קצת"))/(COUNTIF(K155:L155,"כן")+COUNTIF(K155:L155,"קצת")+COUNTIF(K155:L155,"עוד לא")),""))</f>
        <v/>
      </c>
      <c r="AI155" s="28" t="str">
        <f aca="false">IF($A155="","",IFERROR((COUNTIF(M155:N155,"כן")+0.5*COUNTIF(M155:N155,"קצת"))/(COUNTIF(M155:N155,"כן")+COUNTIF(M155:N155,"קצת")+COUNTIF(M155:N155,"עוד לא")),""))</f>
        <v/>
      </c>
      <c r="AJ155" s="28" t="str">
        <f aca="false">IF($A155="","",IFERROR((COUNTIF(O155:P155,"כן")+0.5*COUNTIF(O155:P155,"קצת"))/(COUNTIF(O155:P155,"כן")+COUNTIF(O155:P155,"קצת")+COUNTIF(O155:P155,"עוד לא")),""))</f>
        <v/>
      </c>
      <c r="AK155" s="28" t="str">
        <f aca="false">IF($A155="","",IFERROR((COUNTIF(Q155:R155,"כן")+0.5*COUNTIF(Q155:R155,"קצת"))/(COUNTIF(Q155:R155,"כן")+COUNTIF(Q155:R155,"קצת")+COUNTIF(Q155:R155,"עוד לא")),""))</f>
        <v/>
      </c>
      <c r="AL155" s="28" t="str">
        <f aca="false">IF($A155="","",IFERROR((COUNTIF(K155:R155,"כן")+0.5*COUNTIF(K155:R155,"קצת"))/(COUNTIF(K155:R155,"כן")+COUNTIF(K155:R155,"קצת")+COUNTIF(K155:R155,"עוד לא")),""))</f>
        <v/>
      </c>
      <c r="AM155" s="28" t="str">
        <f aca="false">IF($A155="","",IFERROR((COUNTIF(S155:Z155,"רוב הזמן")+0.5*COUNTIF(S155:Z155,"לפעמים"))/(COUNTIF(S155:Z155,"רוב הזמן")+COUNTIF(S155:Z155,"לפעמים")+COUNTIF(S155:Z155,"עדיין לא")),""))</f>
        <v/>
      </c>
      <c r="AN155" s="28" t="str">
        <f aca="false">IF($A155="","",IFERROR(1-SUMPRODUCT(ABS(((K155:R155="כן")+0.5*(K155:R155="קצת"))-((S155:Z155="רוב הזמן")+0.5*(S155:Z155="לפעמים")))*(((K155:R155="כן")+(K155:R155="קצת")+(K155:R155="עוד לא"))*((S155:Z155="רוב הזמן")+(S155:Z155="לפעמים")+(S155:Z155="עדיין לא"))))/SUMPRODUCT((((K155:R155="כן")+(K155:R155="קצת")+(K155:R155="עוד לא"))*((S155:Z155="רוב הזמן")+(S155:Z155="לפעמים")+(S155:Z155="עדיין לא")))),""))</f>
        <v/>
      </c>
      <c r="AO155" s="27" t="str">
        <f aca="false">IF($A155="","",SUMPRODUCT(((((K155:R155="כן")+0.5*(K155:R155="קצת"))-((S155:Z155="רוב הזמן")+0.5*(S155:Z155="לפעמים")))&gt;0.01)*(((K155:R155="כן")+(K155:R155="קצת")+(K155:R155="עוד לא"))*((S155:Z155="רוב הזמן")+(S155:Z155="לפעמים")+(S155:Z155="עדיין לא")))))</f>
        <v/>
      </c>
      <c r="AP155" s="27" t="str">
        <f aca="false">IF($A155="","",SUMPRODUCT(((((S155:Z155="רוב הזמן")+0.5*(S155:Z155="לפעמים"))-((K155:R155="כן")+0.5*(K155:R155="קצת")))&gt;0.01)*(((K155:R155="כן")+(K155:R155="קצת")+(K155:R155="עוד לא"))*((S155:Z155="רוב הזמן")+(S155:Z155="לפעמים")+(S155:Z155="עדיין לא")))))</f>
        <v/>
      </c>
      <c r="AQ155" s="27" t="str">
        <f aca="false">IF($A155="","",COUNTIF(AA155:AB155,"כן"))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7" t="str">
        <f aca="false">IF($A156="","",$A156&amp;"|"&amp;$C156)</f>
        <v/>
      </c>
      <c r="AG156" s="27" t="str">
        <f aca="false">IF($A156="","",IF(OR(H156="לא נבדק",H156=""),"לא נבדק",IF(AND(H156="בחר/ה בעצמו/ה",I156="כן",J156="לא"),"מלא",IF(OR(H156="בחר/ה בעצמו/ה",I156="כן"),"חלקי","עדיין לא"))))</f>
        <v/>
      </c>
      <c r="AH156" s="28" t="str">
        <f aca="false">IF($A156="","",IFERROR((COUNTIF(K156:L156,"כן")+0.5*COUNTIF(K156:L156,"קצת"))/(COUNTIF(K156:L156,"כן")+COUNTIF(K156:L156,"קצת")+COUNTIF(K156:L156,"עוד לא")),""))</f>
        <v/>
      </c>
      <c r="AI156" s="28" t="str">
        <f aca="false">IF($A156="","",IFERROR((COUNTIF(M156:N156,"כן")+0.5*COUNTIF(M156:N156,"קצת"))/(COUNTIF(M156:N156,"כן")+COUNTIF(M156:N156,"קצת")+COUNTIF(M156:N156,"עוד לא")),""))</f>
        <v/>
      </c>
      <c r="AJ156" s="28" t="str">
        <f aca="false">IF($A156="","",IFERROR((COUNTIF(O156:P156,"כן")+0.5*COUNTIF(O156:P156,"קצת"))/(COUNTIF(O156:P156,"כן")+COUNTIF(O156:P156,"קצת")+COUNTIF(O156:P156,"עוד לא")),""))</f>
        <v/>
      </c>
      <c r="AK156" s="28" t="str">
        <f aca="false">IF($A156="","",IFERROR((COUNTIF(Q156:R156,"כן")+0.5*COUNTIF(Q156:R156,"קצת"))/(COUNTIF(Q156:R156,"כן")+COUNTIF(Q156:R156,"קצת")+COUNTIF(Q156:R156,"עוד לא")),""))</f>
        <v/>
      </c>
      <c r="AL156" s="28" t="str">
        <f aca="false">IF($A156="","",IFERROR((COUNTIF(K156:R156,"כן")+0.5*COUNTIF(K156:R156,"קצת"))/(COUNTIF(K156:R156,"כן")+COUNTIF(K156:R156,"קצת")+COUNTIF(K156:R156,"עוד לא")),""))</f>
        <v/>
      </c>
      <c r="AM156" s="28" t="str">
        <f aca="false">IF($A156="","",IFERROR((COUNTIF(S156:Z156,"רוב הזמן")+0.5*COUNTIF(S156:Z156,"לפעמים"))/(COUNTIF(S156:Z156,"רוב הזמן")+COUNTIF(S156:Z156,"לפעמים")+COUNTIF(S156:Z156,"עדיין לא")),""))</f>
        <v/>
      </c>
      <c r="AN156" s="28" t="str">
        <f aca="false">IF($A156="","",IFERROR(1-SUMPRODUCT(ABS(((K156:R156="כן")+0.5*(K156:R156="קצת"))-((S156:Z156="רוב הזמן")+0.5*(S156:Z156="לפעמים")))*(((K156:R156="כן")+(K156:R156="קצת")+(K156:R156="עוד לא"))*((S156:Z156="רוב הזמן")+(S156:Z156="לפעמים")+(S156:Z156="עדיין לא"))))/SUMPRODUCT((((K156:R156="כן")+(K156:R156="קצת")+(K156:R156="עוד לא"))*((S156:Z156="רוב הזמן")+(S156:Z156="לפעמים")+(S156:Z156="עדיין לא")))),""))</f>
        <v/>
      </c>
      <c r="AO156" s="27" t="str">
        <f aca="false">IF($A156="","",SUMPRODUCT(((((K156:R156="כן")+0.5*(K156:R156="קצת"))-((S156:Z156="רוב הזמן")+0.5*(S156:Z156="לפעמים")))&gt;0.01)*(((K156:R156="כן")+(K156:R156="קצת")+(K156:R156="עוד לא"))*((S156:Z156="רוב הזמן")+(S156:Z156="לפעמים")+(S156:Z156="עדיין לא")))))</f>
        <v/>
      </c>
      <c r="AP156" s="27" t="str">
        <f aca="false">IF($A156="","",SUMPRODUCT(((((S156:Z156="רוב הזמן")+0.5*(S156:Z156="לפעמים"))-((K156:R156="כן")+0.5*(K156:R156="קצת")))&gt;0.01)*(((K156:R156="כן")+(K156:R156="קצת")+(K156:R156="עוד לא"))*((S156:Z156="רוב הזמן")+(S156:Z156="לפעמים")+(S156:Z156="עדיין לא")))))</f>
        <v/>
      </c>
      <c r="AQ156" s="27" t="str">
        <f aca="false">IF($A156="","",COUNTIF(AA156:AB156,"כן"))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7" t="str">
        <f aca="false">IF($A157="","",$A157&amp;"|"&amp;$C157)</f>
        <v/>
      </c>
      <c r="AG157" s="27" t="str">
        <f aca="false">IF($A157="","",IF(OR(H157="לא נבדק",H157=""),"לא נבדק",IF(AND(H157="בחר/ה בעצמו/ה",I157="כן",J157="לא"),"מלא",IF(OR(H157="בחר/ה בעצמו/ה",I157="כן"),"חלקי","עדיין לא"))))</f>
        <v/>
      </c>
      <c r="AH157" s="28" t="str">
        <f aca="false">IF($A157="","",IFERROR((COUNTIF(K157:L157,"כן")+0.5*COUNTIF(K157:L157,"קצת"))/(COUNTIF(K157:L157,"כן")+COUNTIF(K157:L157,"קצת")+COUNTIF(K157:L157,"עוד לא")),""))</f>
        <v/>
      </c>
      <c r="AI157" s="28" t="str">
        <f aca="false">IF($A157="","",IFERROR((COUNTIF(M157:N157,"כן")+0.5*COUNTIF(M157:N157,"קצת"))/(COUNTIF(M157:N157,"כן")+COUNTIF(M157:N157,"קצת")+COUNTIF(M157:N157,"עוד לא")),""))</f>
        <v/>
      </c>
      <c r="AJ157" s="28" t="str">
        <f aca="false">IF($A157="","",IFERROR((COUNTIF(O157:P157,"כן")+0.5*COUNTIF(O157:P157,"קצת"))/(COUNTIF(O157:P157,"כן")+COUNTIF(O157:P157,"קצת")+COUNTIF(O157:P157,"עוד לא")),""))</f>
        <v/>
      </c>
      <c r="AK157" s="28" t="str">
        <f aca="false">IF($A157="","",IFERROR((COUNTIF(Q157:R157,"כן")+0.5*COUNTIF(Q157:R157,"קצת"))/(COUNTIF(Q157:R157,"כן")+COUNTIF(Q157:R157,"קצת")+COUNTIF(Q157:R157,"עוד לא")),""))</f>
        <v/>
      </c>
      <c r="AL157" s="28" t="str">
        <f aca="false">IF($A157="","",IFERROR((COUNTIF(K157:R157,"כן")+0.5*COUNTIF(K157:R157,"קצת"))/(COUNTIF(K157:R157,"כן")+COUNTIF(K157:R157,"קצת")+COUNTIF(K157:R157,"עוד לא")),""))</f>
        <v/>
      </c>
      <c r="AM157" s="28" t="str">
        <f aca="false">IF($A157="","",IFERROR((COUNTIF(S157:Z157,"רוב הזמן")+0.5*COUNTIF(S157:Z157,"לפעמים"))/(COUNTIF(S157:Z157,"רוב הזמן")+COUNTIF(S157:Z157,"לפעמים")+COUNTIF(S157:Z157,"עדיין לא")),""))</f>
        <v/>
      </c>
      <c r="AN157" s="28" t="str">
        <f aca="false">IF($A157="","",IFERROR(1-SUMPRODUCT(ABS(((K157:R157="כן")+0.5*(K157:R157="קצת"))-((S157:Z157="רוב הזמן")+0.5*(S157:Z157="לפעמים")))*(((K157:R157="כן")+(K157:R157="קצת")+(K157:R157="עוד לא"))*((S157:Z157="רוב הזמן")+(S157:Z157="לפעמים")+(S157:Z157="עדיין לא"))))/SUMPRODUCT((((K157:R157="כן")+(K157:R157="קצת")+(K157:R157="עוד לא"))*((S157:Z157="רוב הזמן")+(S157:Z157="לפעמים")+(S157:Z157="עדיין לא")))),""))</f>
        <v/>
      </c>
      <c r="AO157" s="27" t="str">
        <f aca="false">IF($A157="","",SUMPRODUCT(((((K157:R157="כן")+0.5*(K157:R157="קצת"))-((S157:Z157="רוב הזמן")+0.5*(S157:Z157="לפעמים")))&gt;0.01)*(((K157:R157="כן")+(K157:R157="קצת")+(K157:R157="עוד לא"))*((S157:Z157="רוב הזמן")+(S157:Z157="לפעמים")+(S157:Z157="עדיין לא")))))</f>
        <v/>
      </c>
      <c r="AP157" s="27" t="str">
        <f aca="false">IF($A157="","",SUMPRODUCT(((((S157:Z157="רוב הזמן")+0.5*(S157:Z157="לפעמים"))-((K157:R157="כן")+0.5*(K157:R157="קצת")))&gt;0.01)*(((K157:R157="כן")+(K157:R157="קצת")+(K157:R157="עוד לא"))*((S157:Z157="רוב הזמן")+(S157:Z157="לפעמים")+(S157:Z157="עדיין לא")))))</f>
        <v/>
      </c>
      <c r="AQ157" s="27" t="str">
        <f aca="false">IF($A157="","",COUNTIF(AA157:AB157,"כן"))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7" t="str">
        <f aca="false">IF($A158="","",$A158&amp;"|"&amp;$C158)</f>
        <v/>
      </c>
      <c r="AG158" s="27" t="str">
        <f aca="false">IF($A158="","",IF(OR(H158="לא נבדק",H158=""),"לא נבדק",IF(AND(H158="בחר/ה בעצמו/ה",I158="כן",J158="לא"),"מלא",IF(OR(H158="בחר/ה בעצמו/ה",I158="כן"),"חלקי","עדיין לא"))))</f>
        <v/>
      </c>
      <c r="AH158" s="28" t="str">
        <f aca="false">IF($A158="","",IFERROR((COUNTIF(K158:L158,"כן")+0.5*COUNTIF(K158:L158,"קצת"))/(COUNTIF(K158:L158,"כן")+COUNTIF(K158:L158,"קצת")+COUNTIF(K158:L158,"עוד לא")),""))</f>
        <v/>
      </c>
      <c r="AI158" s="28" t="str">
        <f aca="false">IF($A158="","",IFERROR((COUNTIF(M158:N158,"כן")+0.5*COUNTIF(M158:N158,"קצת"))/(COUNTIF(M158:N158,"כן")+COUNTIF(M158:N158,"קצת")+COUNTIF(M158:N158,"עוד לא")),""))</f>
        <v/>
      </c>
      <c r="AJ158" s="28" t="str">
        <f aca="false">IF($A158="","",IFERROR((COUNTIF(O158:P158,"כן")+0.5*COUNTIF(O158:P158,"קצת"))/(COUNTIF(O158:P158,"כן")+COUNTIF(O158:P158,"קצת")+COUNTIF(O158:P158,"עוד לא")),""))</f>
        <v/>
      </c>
      <c r="AK158" s="28" t="str">
        <f aca="false">IF($A158="","",IFERROR((COUNTIF(Q158:R158,"כן")+0.5*COUNTIF(Q158:R158,"קצת"))/(COUNTIF(Q158:R158,"כן")+COUNTIF(Q158:R158,"קצת")+COUNTIF(Q158:R158,"עוד לא")),""))</f>
        <v/>
      </c>
      <c r="AL158" s="28" t="str">
        <f aca="false">IF($A158="","",IFERROR((COUNTIF(K158:R158,"כן")+0.5*COUNTIF(K158:R158,"קצת"))/(COUNTIF(K158:R158,"כן")+COUNTIF(K158:R158,"קצת")+COUNTIF(K158:R158,"עוד לא")),""))</f>
        <v/>
      </c>
      <c r="AM158" s="28" t="str">
        <f aca="false">IF($A158="","",IFERROR((COUNTIF(S158:Z158,"רוב הזמן")+0.5*COUNTIF(S158:Z158,"לפעמים"))/(COUNTIF(S158:Z158,"רוב הזמן")+COUNTIF(S158:Z158,"לפעמים")+COUNTIF(S158:Z158,"עדיין לא")),""))</f>
        <v/>
      </c>
      <c r="AN158" s="28" t="str">
        <f aca="false">IF($A158="","",IFERROR(1-SUMPRODUCT(ABS(((K158:R158="כן")+0.5*(K158:R158="קצת"))-((S158:Z158="רוב הזמן")+0.5*(S158:Z158="לפעמים")))*(((K158:R158="כן")+(K158:R158="קצת")+(K158:R158="עוד לא"))*((S158:Z158="רוב הזמן")+(S158:Z158="לפעמים")+(S158:Z158="עדיין לא"))))/SUMPRODUCT((((K158:R158="כן")+(K158:R158="קצת")+(K158:R158="עוד לא"))*((S158:Z158="רוב הזמן")+(S158:Z158="לפעמים")+(S158:Z158="עדיין לא")))),""))</f>
        <v/>
      </c>
      <c r="AO158" s="27" t="str">
        <f aca="false">IF($A158="","",SUMPRODUCT(((((K158:R158="כן")+0.5*(K158:R158="קצת"))-((S158:Z158="רוב הזמן")+0.5*(S158:Z158="לפעמים")))&gt;0.01)*(((K158:R158="כן")+(K158:R158="קצת")+(K158:R158="עוד לא"))*((S158:Z158="רוב הזמן")+(S158:Z158="לפעמים")+(S158:Z158="עדיין לא")))))</f>
        <v/>
      </c>
      <c r="AP158" s="27" t="str">
        <f aca="false">IF($A158="","",SUMPRODUCT(((((S158:Z158="רוב הזמן")+0.5*(S158:Z158="לפעמים"))-((K158:R158="כן")+0.5*(K158:R158="קצת")))&gt;0.01)*(((K158:R158="כן")+(K158:R158="קצת")+(K158:R158="עוד לא"))*((S158:Z158="רוב הזמן")+(S158:Z158="לפעמים")+(S158:Z158="עדיין לא")))))</f>
        <v/>
      </c>
      <c r="AQ158" s="27" t="str">
        <f aca="false">IF($A158="","",COUNTIF(AA158:AB158,"כן"))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7" t="str">
        <f aca="false">IF($A159="","",$A159&amp;"|"&amp;$C159)</f>
        <v/>
      </c>
      <c r="AG159" s="27" t="str">
        <f aca="false">IF($A159="","",IF(OR(H159="לא נבדק",H159=""),"לא נבדק",IF(AND(H159="בחר/ה בעצמו/ה",I159="כן",J159="לא"),"מלא",IF(OR(H159="בחר/ה בעצמו/ה",I159="כן"),"חלקי","עדיין לא"))))</f>
        <v/>
      </c>
      <c r="AH159" s="28" t="str">
        <f aca="false">IF($A159="","",IFERROR((COUNTIF(K159:L159,"כן")+0.5*COUNTIF(K159:L159,"קצת"))/(COUNTIF(K159:L159,"כן")+COUNTIF(K159:L159,"קצת")+COUNTIF(K159:L159,"עוד לא")),""))</f>
        <v/>
      </c>
      <c r="AI159" s="28" t="str">
        <f aca="false">IF($A159="","",IFERROR((COUNTIF(M159:N159,"כן")+0.5*COUNTIF(M159:N159,"קצת"))/(COUNTIF(M159:N159,"כן")+COUNTIF(M159:N159,"קצת")+COUNTIF(M159:N159,"עוד לא")),""))</f>
        <v/>
      </c>
      <c r="AJ159" s="28" t="str">
        <f aca="false">IF($A159="","",IFERROR((COUNTIF(O159:P159,"כן")+0.5*COUNTIF(O159:P159,"קצת"))/(COUNTIF(O159:P159,"כן")+COUNTIF(O159:P159,"קצת")+COUNTIF(O159:P159,"עוד לא")),""))</f>
        <v/>
      </c>
      <c r="AK159" s="28" t="str">
        <f aca="false">IF($A159="","",IFERROR((COUNTIF(Q159:R159,"כן")+0.5*COUNTIF(Q159:R159,"קצת"))/(COUNTIF(Q159:R159,"כן")+COUNTIF(Q159:R159,"קצת")+COUNTIF(Q159:R159,"עוד לא")),""))</f>
        <v/>
      </c>
      <c r="AL159" s="28" t="str">
        <f aca="false">IF($A159="","",IFERROR((COUNTIF(K159:R159,"כן")+0.5*COUNTIF(K159:R159,"קצת"))/(COUNTIF(K159:R159,"כן")+COUNTIF(K159:R159,"קצת")+COUNTIF(K159:R159,"עוד לא")),""))</f>
        <v/>
      </c>
      <c r="AM159" s="28" t="str">
        <f aca="false">IF($A159="","",IFERROR((COUNTIF(S159:Z159,"רוב הזמן")+0.5*COUNTIF(S159:Z159,"לפעמים"))/(COUNTIF(S159:Z159,"רוב הזמן")+COUNTIF(S159:Z159,"לפעמים")+COUNTIF(S159:Z159,"עדיין לא")),""))</f>
        <v/>
      </c>
      <c r="AN159" s="28" t="str">
        <f aca="false">IF($A159="","",IFERROR(1-SUMPRODUCT(ABS(((K159:R159="כן")+0.5*(K159:R159="קצת"))-((S159:Z159="רוב הזמן")+0.5*(S159:Z159="לפעמים")))*(((K159:R159="כן")+(K159:R159="קצת")+(K159:R159="עוד לא"))*((S159:Z159="רוב הזמן")+(S159:Z159="לפעמים")+(S159:Z159="עדיין לא"))))/SUMPRODUCT((((K159:R159="כן")+(K159:R159="קצת")+(K159:R159="עוד לא"))*((S159:Z159="רוב הזמן")+(S159:Z159="לפעמים")+(S159:Z159="עדיין לא")))),""))</f>
        <v/>
      </c>
      <c r="AO159" s="27" t="str">
        <f aca="false">IF($A159="","",SUMPRODUCT(((((K159:R159="כן")+0.5*(K159:R159="קצת"))-((S159:Z159="רוב הזמן")+0.5*(S159:Z159="לפעמים")))&gt;0.01)*(((K159:R159="כן")+(K159:R159="קצת")+(K159:R159="עוד לא"))*((S159:Z159="רוב הזמן")+(S159:Z159="לפעמים")+(S159:Z159="עדיין לא")))))</f>
        <v/>
      </c>
      <c r="AP159" s="27" t="str">
        <f aca="false">IF($A159="","",SUMPRODUCT(((((S159:Z159="רוב הזמן")+0.5*(S159:Z159="לפעמים"))-((K159:R159="כן")+0.5*(K159:R159="קצת")))&gt;0.01)*(((K159:R159="כן")+(K159:R159="קצת")+(K159:R159="עוד לא"))*((S159:Z159="רוב הזמן")+(S159:Z159="לפעמים")+(S159:Z159="עדיין לא")))))</f>
        <v/>
      </c>
      <c r="AQ159" s="27" t="str">
        <f aca="false">IF($A159="","",COUNTIF(AA159:AB159,"כן"))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7" t="str">
        <f aca="false">IF($A160="","",$A160&amp;"|"&amp;$C160)</f>
        <v/>
      </c>
      <c r="AG160" s="27" t="str">
        <f aca="false">IF($A160="","",IF(OR(H160="לא נבדק",H160=""),"לא נבדק",IF(AND(H160="בחר/ה בעצמו/ה",I160="כן",J160="לא"),"מלא",IF(OR(H160="בחר/ה בעצמו/ה",I160="כן"),"חלקי","עדיין לא"))))</f>
        <v/>
      </c>
      <c r="AH160" s="28" t="str">
        <f aca="false">IF($A160="","",IFERROR((COUNTIF(K160:L160,"כן")+0.5*COUNTIF(K160:L160,"קצת"))/(COUNTIF(K160:L160,"כן")+COUNTIF(K160:L160,"קצת")+COUNTIF(K160:L160,"עוד לא")),""))</f>
        <v/>
      </c>
      <c r="AI160" s="28" t="str">
        <f aca="false">IF($A160="","",IFERROR((COUNTIF(M160:N160,"כן")+0.5*COUNTIF(M160:N160,"קצת"))/(COUNTIF(M160:N160,"כן")+COUNTIF(M160:N160,"קצת")+COUNTIF(M160:N160,"עוד לא")),""))</f>
        <v/>
      </c>
      <c r="AJ160" s="28" t="str">
        <f aca="false">IF($A160="","",IFERROR((COUNTIF(O160:P160,"כן")+0.5*COUNTIF(O160:P160,"קצת"))/(COUNTIF(O160:P160,"כן")+COUNTIF(O160:P160,"קצת")+COUNTIF(O160:P160,"עוד לא")),""))</f>
        <v/>
      </c>
      <c r="AK160" s="28" t="str">
        <f aca="false">IF($A160="","",IFERROR((COUNTIF(Q160:R160,"כן")+0.5*COUNTIF(Q160:R160,"קצת"))/(COUNTIF(Q160:R160,"כן")+COUNTIF(Q160:R160,"קצת")+COUNTIF(Q160:R160,"עוד לא")),""))</f>
        <v/>
      </c>
      <c r="AL160" s="28" t="str">
        <f aca="false">IF($A160="","",IFERROR((COUNTIF(K160:R160,"כן")+0.5*COUNTIF(K160:R160,"קצת"))/(COUNTIF(K160:R160,"כן")+COUNTIF(K160:R160,"קצת")+COUNTIF(K160:R160,"עוד לא")),""))</f>
        <v/>
      </c>
      <c r="AM160" s="28" t="str">
        <f aca="false">IF($A160="","",IFERROR((COUNTIF(S160:Z160,"רוב הזמן")+0.5*COUNTIF(S160:Z160,"לפעמים"))/(COUNTIF(S160:Z160,"רוב הזמן")+COUNTIF(S160:Z160,"לפעמים")+COUNTIF(S160:Z160,"עדיין לא")),""))</f>
        <v/>
      </c>
      <c r="AN160" s="28" t="str">
        <f aca="false">IF($A160="","",IFERROR(1-SUMPRODUCT(ABS(((K160:R160="כן")+0.5*(K160:R160="קצת"))-((S160:Z160="רוב הזמן")+0.5*(S160:Z160="לפעמים")))*(((K160:R160="כן")+(K160:R160="קצת")+(K160:R160="עוד לא"))*((S160:Z160="רוב הזמן")+(S160:Z160="לפעמים")+(S160:Z160="עדיין לא"))))/SUMPRODUCT((((K160:R160="כן")+(K160:R160="קצת")+(K160:R160="עוד לא"))*((S160:Z160="רוב הזמן")+(S160:Z160="לפעמים")+(S160:Z160="עדיין לא")))),""))</f>
        <v/>
      </c>
      <c r="AO160" s="27" t="str">
        <f aca="false">IF($A160="","",SUMPRODUCT(((((K160:R160="כן")+0.5*(K160:R160="קצת"))-((S160:Z160="רוב הזמן")+0.5*(S160:Z160="לפעמים")))&gt;0.01)*(((K160:R160="כן")+(K160:R160="קצת")+(K160:R160="עוד לא"))*((S160:Z160="רוב הזמן")+(S160:Z160="לפעמים")+(S160:Z160="עדיין לא")))))</f>
        <v/>
      </c>
      <c r="AP160" s="27" t="str">
        <f aca="false">IF($A160="","",SUMPRODUCT(((((S160:Z160="רוב הזמן")+0.5*(S160:Z160="לפעמים"))-((K160:R160="כן")+0.5*(K160:R160="קצת")))&gt;0.01)*(((K160:R160="כן")+(K160:R160="קצת")+(K160:R160="עוד לא"))*((S160:Z160="רוב הזמן")+(S160:Z160="לפעמים")+(S160:Z160="עדיין לא")))))</f>
        <v/>
      </c>
      <c r="AQ160" s="27" t="str">
        <f aca="false">IF($A160="","",COUNTIF(AA160:AB160,"כן"))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7" t="str">
        <f aca="false">IF($A161="","",$A161&amp;"|"&amp;$C161)</f>
        <v/>
      </c>
      <c r="AG161" s="27" t="str">
        <f aca="false">IF($A161="","",IF(OR(H161="לא נבדק",H161=""),"לא נבדק",IF(AND(H161="בחר/ה בעצמו/ה",I161="כן",J161="לא"),"מלא",IF(OR(H161="בחר/ה בעצמו/ה",I161="כן"),"חלקי","עדיין לא"))))</f>
        <v/>
      </c>
      <c r="AH161" s="28" t="str">
        <f aca="false">IF($A161="","",IFERROR((COUNTIF(K161:L161,"כן")+0.5*COUNTIF(K161:L161,"קצת"))/(COUNTIF(K161:L161,"כן")+COUNTIF(K161:L161,"קצת")+COUNTIF(K161:L161,"עוד לא")),""))</f>
        <v/>
      </c>
      <c r="AI161" s="28" t="str">
        <f aca="false">IF($A161="","",IFERROR((COUNTIF(M161:N161,"כן")+0.5*COUNTIF(M161:N161,"קצת"))/(COUNTIF(M161:N161,"כן")+COUNTIF(M161:N161,"קצת")+COUNTIF(M161:N161,"עוד לא")),""))</f>
        <v/>
      </c>
      <c r="AJ161" s="28" t="str">
        <f aca="false">IF($A161="","",IFERROR((COUNTIF(O161:P161,"כן")+0.5*COUNTIF(O161:P161,"קצת"))/(COUNTIF(O161:P161,"כן")+COUNTIF(O161:P161,"קצת")+COUNTIF(O161:P161,"עוד לא")),""))</f>
        <v/>
      </c>
      <c r="AK161" s="28" t="str">
        <f aca="false">IF($A161="","",IFERROR((COUNTIF(Q161:R161,"כן")+0.5*COUNTIF(Q161:R161,"קצת"))/(COUNTIF(Q161:R161,"כן")+COUNTIF(Q161:R161,"קצת")+COUNTIF(Q161:R161,"עוד לא")),""))</f>
        <v/>
      </c>
      <c r="AL161" s="28" t="str">
        <f aca="false">IF($A161="","",IFERROR((COUNTIF(K161:R161,"כן")+0.5*COUNTIF(K161:R161,"קצת"))/(COUNTIF(K161:R161,"כן")+COUNTIF(K161:R161,"קצת")+COUNTIF(K161:R161,"עוד לא")),""))</f>
        <v/>
      </c>
      <c r="AM161" s="28" t="str">
        <f aca="false">IF($A161="","",IFERROR((COUNTIF(S161:Z161,"רוב הזמן")+0.5*COUNTIF(S161:Z161,"לפעמים"))/(COUNTIF(S161:Z161,"רוב הזמן")+COUNTIF(S161:Z161,"לפעמים")+COUNTIF(S161:Z161,"עדיין לא")),""))</f>
        <v/>
      </c>
      <c r="AN161" s="28" t="str">
        <f aca="false">IF($A161="","",IFERROR(1-SUMPRODUCT(ABS(((K161:R161="כן")+0.5*(K161:R161="קצת"))-((S161:Z161="רוב הזמן")+0.5*(S161:Z161="לפעמים")))*(((K161:R161="כן")+(K161:R161="קצת")+(K161:R161="עוד לא"))*((S161:Z161="רוב הזמן")+(S161:Z161="לפעמים")+(S161:Z161="עדיין לא"))))/SUMPRODUCT((((K161:R161="כן")+(K161:R161="קצת")+(K161:R161="עוד לא"))*((S161:Z161="רוב הזמן")+(S161:Z161="לפעמים")+(S161:Z161="עדיין לא")))),""))</f>
        <v/>
      </c>
      <c r="AO161" s="27" t="str">
        <f aca="false">IF($A161="","",SUMPRODUCT(((((K161:R161="כן")+0.5*(K161:R161="קצת"))-((S161:Z161="רוב הזמן")+0.5*(S161:Z161="לפעמים")))&gt;0.01)*(((K161:R161="כן")+(K161:R161="קצת")+(K161:R161="עוד לא"))*((S161:Z161="רוב הזמן")+(S161:Z161="לפעמים")+(S161:Z161="עדיין לא")))))</f>
        <v/>
      </c>
      <c r="AP161" s="27" t="str">
        <f aca="false">IF($A161="","",SUMPRODUCT(((((S161:Z161="רוב הזמן")+0.5*(S161:Z161="לפעמים"))-((K161:R161="כן")+0.5*(K161:R161="קצת")))&gt;0.01)*(((K161:R161="כן")+(K161:R161="קצת")+(K161:R161="עוד לא"))*((S161:Z161="רוב הזמן")+(S161:Z161="לפעמים")+(S161:Z161="עדיין לא")))))</f>
        <v/>
      </c>
      <c r="AQ161" s="27" t="str">
        <f aca="false">IF($A161="","",COUNTIF(AA161:AB161,"כן"))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7" t="str">
        <f aca="false">IF($A162="","",$A162&amp;"|"&amp;$C162)</f>
        <v/>
      </c>
      <c r="AG162" s="27" t="str">
        <f aca="false">IF($A162="","",IF(OR(H162="לא נבדק",H162=""),"לא נבדק",IF(AND(H162="בחר/ה בעצמו/ה",I162="כן",J162="לא"),"מלא",IF(OR(H162="בחר/ה בעצמו/ה",I162="כן"),"חלקי","עדיין לא"))))</f>
        <v/>
      </c>
      <c r="AH162" s="28" t="str">
        <f aca="false">IF($A162="","",IFERROR((COUNTIF(K162:L162,"כן")+0.5*COUNTIF(K162:L162,"קצת"))/(COUNTIF(K162:L162,"כן")+COUNTIF(K162:L162,"קצת")+COUNTIF(K162:L162,"עוד לא")),""))</f>
        <v/>
      </c>
      <c r="AI162" s="28" t="str">
        <f aca="false">IF($A162="","",IFERROR((COUNTIF(M162:N162,"כן")+0.5*COUNTIF(M162:N162,"קצת"))/(COUNTIF(M162:N162,"כן")+COUNTIF(M162:N162,"קצת")+COUNTIF(M162:N162,"עוד לא")),""))</f>
        <v/>
      </c>
      <c r="AJ162" s="28" t="str">
        <f aca="false">IF($A162="","",IFERROR((COUNTIF(O162:P162,"כן")+0.5*COUNTIF(O162:P162,"קצת"))/(COUNTIF(O162:P162,"כן")+COUNTIF(O162:P162,"קצת")+COUNTIF(O162:P162,"עוד לא")),""))</f>
        <v/>
      </c>
      <c r="AK162" s="28" t="str">
        <f aca="false">IF($A162="","",IFERROR((COUNTIF(Q162:R162,"כן")+0.5*COUNTIF(Q162:R162,"קצת"))/(COUNTIF(Q162:R162,"כן")+COUNTIF(Q162:R162,"קצת")+COUNTIF(Q162:R162,"עוד לא")),""))</f>
        <v/>
      </c>
      <c r="AL162" s="28" t="str">
        <f aca="false">IF($A162="","",IFERROR((COUNTIF(K162:R162,"כן")+0.5*COUNTIF(K162:R162,"קצת"))/(COUNTIF(K162:R162,"כן")+COUNTIF(K162:R162,"קצת")+COUNTIF(K162:R162,"עוד לא")),""))</f>
        <v/>
      </c>
      <c r="AM162" s="28" t="str">
        <f aca="false">IF($A162="","",IFERROR((COUNTIF(S162:Z162,"רוב הזמן")+0.5*COUNTIF(S162:Z162,"לפעמים"))/(COUNTIF(S162:Z162,"רוב הזמן")+COUNTIF(S162:Z162,"לפעמים")+COUNTIF(S162:Z162,"עדיין לא")),""))</f>
        <v/>
      </c>
      <c r="AN162" s="28" t="str">
        <f aca="false">IF($A162="","",IFERROR(1-SUMPRODUCT(ABS(((K162:R162="כן")+0.5*(K162:R162="קצת"))-((S162:Z162="רוב הזמן")+0.5*(S162:Z162="לפעמים")))*(((K162:R162="כן")+(K162:R162="קצת")+(K162:R162="עוד לא"))*((S162:Z162="רוב הזמן")+(S162:Z162="לפעמים")+(S162:Z162="עדיין לא"))))/SUMPRODUCT((((K162:R162="כן")+(K162:R162="קצת")+(K162:R162="עוד לא"))*((S162:Z162="רוב הזמן")+(S162:Z162="לפעמים")+(S162:Z162="עדיין לא")))),""))</f>
        <v/>
      </c>
      <c r="AO162" s="27" t="str">
        <f aca="false">IF($A162="","",SUMPRODUCT(((((K162:R162="כן")+0.5*(K162:R162="קצת"))-((S162:Z162="רוב הזמן")+0.5*(S162:Z162="לפעמים")))&gt;0.01)*(((K162:R162="כן")+(K162:R162="קצת")+(K162:R162="עוד לא"))*((S162:Z162="רוב הזמן")+(S162:Z162="לפעמים")+(S162:Z162="עדיין לא")))))</f>
        <v/>
      </c>
      <c r="AP162" s="27" t="str">
        <f aca="false">IF($A162="","",SUMPRODUCT(((((S162:Z162="רוב הזמן")+0.5*(S162:Z162="לפעמים"))-((K162:R162="כן")+0.5*(K162:R162="קצת")))&gt;0.01)*(((K162:R162="כן")+(K162:R162="קצת")+(K162:R162="עוד לא"))*((S162:Z162="רוב הזמן")+(S162:Z162="לפעמים")+(S162:Z162="עדיין לא")))))</f>
        <v/>
      </c>
      <c r="AQ162" s="27" t="str">
        <f aca="false">IF($A162="","",COUNTIF(AA162:AB162,"כן"))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7" t="str">
        <f aca="false">IF($A163="","",$A163&amp;"|"&amp;$C163)</f>
        <v/>
      </c>
      <c r="AG163" s="27" t="str">
        <f aca="false">IF($A163="","",IF(OR(H163="לא נבדק",H163=""),"לא נבדק",IF(AND(H163="בחר/ה בעצמו/ה",I163="כן",J163="לא"),"מלא",IF(OR(H163="בחר/ה בעצמו/ה",I163="כן"),"חלקי","עדיין לא"))))</f>
        <v/>
      </c>
      <c r="AH163" s="28" t="str">
        <f aca="false">IF($A163="","",IFERROR((COUNTIF(K163:L163,"כן")+0.5*COUNTIF(K163:L163,"קצת"))/(COUNTIF(K163:L163,"כן")+COUNTIF(K163:L163,"קצת")+COUNTIF(K163:L163,"עוד לא")),""))</f>
        <v/>
      </c>
      <c r="AI163" s="28" t="str">
        <f aca="false">IF($A163="","",IFERROR((COUNTIF(M163:N163,"כן")+0.5*COUNTIF(M163:N163,"קצת"))/(COUNTIF(M163:N163,"כן")+COUNTIF(M163:N163,"קצת")+COUNTIF(M163:N163,"עוד לא")),""))</f>
        <v/>
      </c>
      <c r="AJ163" s="28" t="str">
        <f aca="false">IF($A163="","",IFERROR((COUNTIF(O163:P163,"כן")+0.5*COUNTIF(O163:P163,"קצת"))/(COUNTIF(O163:P163,"כן")+COUNTIF(O163:P163,"קצת")+COUNTIF(O163:P163,"עוד לא")),""))</f>
        <v/>
      </c>
      <c r="AK163" s="28" t="str">
        <f aca="false">IF($A163="","",IFERROR((COUNTIF(Q163:R163,"כן")+0.5*COUNTIF(Q163:R163,"קצת"))/(COUNTIF(Q163:R163,"כן")+COUNTIF(Q163:R163,"קצת")+COUNTIF(Q163:R163,"עוד לא")),""))</f>
        <v/>
      </c>
      <c r="AL163" s="28" t="str">
        <f aca="false">IF($A163="","",IFERROR((COUNTIF(K163:R163,"כן")+0.5*COUNTIF(K163:R163,"קצת"))/(COUNTIF(K163:R163,"כן")+COUNTIF(K163:R163,"קצת")+COUNTIF(K163:R163,"עוד לא")),""))</f>
        <v/>
      </c>
      <c r="AM163" s="28" t="str">
        <f aca="false">IF($A163="","",IFERROR((COUNTIF(S163:Z163,"רוב הזמן")+0.5*COUNTIF(S163:Z163,"לפעמים"))/(COUNTIF(S163:Z163,"רוב הזמן")+COUNTIF(S163:Z163,"לפעמים")+COUNTIF(S163:Z163,"עדיין לא")),""))</f>
        <v/>
      </c>
      <c r="AN163" s="28" t="str">
        <f aca="false">IF($A163="","",IFERROR(1-SUMPRODUCT(ABS(((K163:R163="כן")+0.5*(K163:R163="קצת"))-((S163:Z163="רוב הזמן")+0.5*(S163:Z163="לפעמים")))*(((K163:R163="כן")+(K163:R163="קצת")+(K163:R163="עוד לא"))*((S163:Z163="רוב הזמן")+(S163:Z163="לפעמים")+(S163:Z163="עדיין לא"))))/SUMPRODUCT((((K163:R163="כן")+(K163:R163="קצת")+(K163:R163="עוד לא"))*((S163:Z163="רוב הזמן")+(S163:Z163="לפעמים")+(S163:Z163="עדיין לא")))),""))</f>
        <v/>
      </c>
      <c r="AO163" s="27" t="str">
        <f aca="false">IF($A163="","",SUMPRODUCT(((((K163:R163="כן")+0.5*(K163:R163="קצת"))-((S163:Z163="רוב הזמן")+0.5*(S163:Z163="לפעמים")))&gt;0.01)*(((K163:R163="כן")+(K163:R163="קצת")+(K163:R163="עוד לא"))*((S163:Z163="רוב הזמן")+(S163:Z163="לפעמים")+(S163:Z163="עדיין לא")))))</f>
        <v/>
      </c>
      <c r="AP163" s="27" t="str">
        <f aca="false">IF($A163="","",SUMPRODUCT(((((S163:Z163="רוב הזמן")+0.5*(S163:Z163="לפעמים"))-((K163:R163="כן")+0.5*(K163:R163="קצת")))&gt;0.01)*(((K163:R163="כן")+(K163:R163="קצת")+(K163:R163="עוד לא"))*((S163:Z163="רוב הזמן")+(S163:Z163="לפעמים")+(S163:Z163="עדיין לא")))))</f>
        <v/>
      </c>
      <c r="AQ163" s="27" t="str">
        <f aca="false">IF($A163="","",COUNTIF(AA163:AB163,"כן"))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7" t="str">
        <f aca="false">IF($A164="","",$A164&amp;"|"&amp;$C164)</f>
        <v/>
      </c>
      <c r="AG164" s="27" t="str">
        <f aca="false">IF($A164="","",IF(OR(H164="לא נבדק",H164=""),"לא נבדק",IF(AND(H164="בחר/ה בעצמו/ה",I164="כן",J164="לא"),"מלא",IF(OR(H164="בחר/ה בעצמו/ה",I164="כן"),"חלקי","עדיין לא"))))</f>
        <v/>
      </c>
      <c r="AH164" s="28" t="str">
        <f aca="false">IF($A164="","",IFERROR((COUNTIF(K164:L164,"כן")+0.5*COUNTIF(K164:L164,"קצת"))/(COUNTIF(K164:L164,"כן")+COUNTIF(K164:L164,"קצת")+COUNTIF(K164:L164,"עוד לא")),""))</f>
        <v/>
      </c>
      <c r="AI164" s="28" t="str">
        <f aca="false">IF($A164="","",IFERROR((COUNTIF(M164:N164,"כן")+0.5*COUNTIF(M164:N164,"קצת"))/(COUNTIF(M164:N164,"כן")+COUNTIF(M164:N164,"קצת")+COUNTIF(M164:N164,"עוד לא")),""))</f>
        <v/>
      </c>
      <c r="AJ164" s="28" t="str">
        <f aca="false">IF($A164="","",IFERROR((COUNTIF(O164:P164,"כן")+0.5*COUNTIF(O164:P164,"קצת"))/(COUNTIF(O164:P164,"כן")+COUNTIF(O164:P164,"קצת")+COUNTIF(O164:P164,"עוד לא")),""))</f>
        <v/>
      </c>
      <c r="AK164" s="28" t="str">
        <f aca="false">IF($A164="","",IFERROR((COUNTIF(Q164:R164,"כן")+0.5*COUNTIF(Q164:R164,"קצת"))/(COUNTIF(Q164:R164,"כן")+COUNTIF(Q164:R164,"קצת")+COUNTIF(Q164:R164,"עוד לא")),""))</f>
        <v/>
      </c>
      <c r="AL164" s="28" t="str">
        <f aca="false">IF($A164="","",IFERROR((COUNTIF(K164:R164,"כן")+0.5*COUNTIF(K164:R164,"קצת"))/(COUNTIF(K164:R164,"כן")+COUNTIF(K164:R164,"קצת")+COUNTIF(K164:R164,"עוד לא")),""))</f>
        <v/>
      </c>
      <c r="AM164" s="28" t="str">
        <f aca="false">IF($A164="","",IFERROR((COUNTIF(S164:Z164,"רוב הזמן")+0.5*COUNTIF(S164:Z164,"לפעמים"))/(COUNTIF(S164:Z164,"רוב הזמן")+COUNTIF(S164:Z164,"לפעמים")+COUNTIF(S164:Z164,"עדיין לא")),""))</f>
        <v/>
      </c>
      <c r="AN164" s="28" t="str">
        <f aca="false">IF($A164="","",IFERROR(1-SUMPRODUCT(ABS(((K164:R164="כן")+0.5*(K164:R164="קצת"))-((S164:Z164="רוב הזמן")+0.5*(S164:Z164="לפעמים")))*(((K164:R164="כן")+(K164:R164="קצת")+(K164:R164="עוד לא"))*((S164:Z164="רוב הזמן")+(S164:Z164="לפעמים")+(S164:Z164="עדיין לא"))))/SUMPRODUCT((((K164:R164="כן")+(K164:R164="קצת")+(K164:R164="עוד לא"))*((S164:Z164="רוב הזמן")+(S164:Z164="לפעמים")+(S164:Z164="עדיין לא")))),""))</f>
        <v/>
      </c>
      <c r="AO164" s="27" t="str">
        <f aca="false">IF($A164="","",SUMPRODUCT(((((K164:R164="כן")+0.5*(K164:R164="קצת"))-((S164:Z164="רוב הזמן")+0.5*(S164:Z164="לפעמים")))&gt;0.01)*(((K164:R164="כן")+(K164:R164="קצת")+(K164:R164="עוד לא"))*((S164:Z164="רוב הזמן")+(S164:Z164="לפעמים")+(S164:Z164="עדיין לא")))))</f>
        <v/>
      </c>
      <c r="AP164" s="27" t="str">
        <f aca="false">IF($A164="","",SUMPRODUCT(((((S164:Z164="רוב הזמן")+0.5*(S164:Z164="לפעמים"))-((K164:R164="כן")+0.5*(K164:R164="קצת")))&gt;0.01)*(((K164:R164="כן")+(K164:R164="קצת")+(K164:R164="עוד לא"))*((S164:Z164="רוב הזמן")+(S164:Z164="לפעמים")+(S164:Z164="עדיין לא")))))</f>
        <v/>
      </c>
      <c r="AQ164" s="27" t="str">
        <f aca="false">IF($A164="","",COUNTIF(AA164:AB164,"כן"))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7" t="str">
        <f aca="false">IF($A165="","",$A165&amp;"|"&amp;$C165)</f>
        <v/>
      </c>
      <c r="AG165" s="27" t="str">
        <f aca="false">IF($A165="","",IF(OR(H165="לא נבדק",H165=""),"לא נבדק",IF(AND(H165="בחר/ה בעצמו/ה",I165="כן",J165="לא"),"מלא",IF(OR(H165="בחר/ה בעצמו/ה",I165="כן"),"חלקי","עדיין לא"))))</f>
        <v/>
      </c>
      <c r="AH165" s="28" t="str">
        <f aca="false">IF($A165="","",IFERROR((COUNTIF(K165:L165,"כן")+0.5*COUNTIF(K165:L165,"קצת"))/(COUNTIF(K165:L165,"כן")+COUNTIF(K165:L165,"קצת")+COUNTIF(K165:L165,"עוד לא")),""))</f>
        <v/>
      </c>
      <c r="AI165" s="28" t="str">
        <f aca="false">IF($A165="","",IFERROR((COUNTIF(M165:N165,"כן")+0.5*COUNTIF(M165:N165,"קצת"))/(COUNTIF(M165:N165,"כן")+COUNTIF(M165:N165,"קצת")+COUNTIF(M165:N165,"עוד לא")),""))</f>
        <v/>
      </c>
      <c r="AJ165" s="28" t="str">
        <f aca="false">IF($A165="","",IFERROR((COUNTIF(O165:P165,"כן")+0.5*COUNTIF(O165:P165,"קצת"))/(COUNTIF(O165:P165,"כן")+COUNTIF(O165:P165,"קצת")+COUNTIF(O165:P165,"עוד לא")),""))</f>
        <v/>
      </c>
      <c r="AK165" s="28" t="str">
        <f aca="false">IF($A165="","",IFERROR((COUNTIF(Q165:R165,"כן")+0.5*COUNTIF(Q165:R165,"קצת"))/(COUNTIF(Q165:R165,"כן")+COUNTIF(Q165:R165,"קצת")+COUNTIF(Q165:R165,"עוד לא")),""))</f>
        <v/>
      </c>
      <c r="AL165" s="28" t="str">
        <f aca="false">IF($A165="","",IFERROR((COUNTIF(K165:R165,"כן")+0.5*COUNTIF(K165:R165,"קצת"))/(COUNTIF(K165:R165,"כן")+COUNTIF(K165:R165,"קצת")+COUNTIF(K165:R165,"עוד לא")),""))</f>
        <v/>
      </c>
      <c r="AM165" s="28" t="str">
        <f aca="false">IF($A165="","",IFERROR((COUNTIF(S165:Z165,"רוב הזמן")+0.5*COUNTIF(S165:Z165,"לפעמים"))/(COUNTIF(S165:Z165,"רוב הזמן")+COUNTIF(S165:Z165,"לפעמים")+COUNTIF(S165:Z165,"עדיין לא")),""))</f>
        <v/>
      </c>
      <c r="AN165" s="28" t="str">
        <f aca="false">IF($A165="","",IFERROR(1-SUMPRODUCT(ABS(((K165:R165="כן")+0.5*(K165:R165="קצת"))-((S165:Z165="רוב הזמן")+0.5*(S165:Z165="לפעמים")))*(((K165:R165="כן")+(K165:R165="קצת")+(K165:R165="עוד לא"))*((S165:Z165="רוב הזמן")+(S165:Z165="לפעמים")+(S165:Z165="עדיין לא"))))/SUMPRODUCT((((K165:R165="כן")+(K165:R165="קצת")+(K165:R165="עוד לא"))*((S165:Z165="רוב הזמן")+(S165:Z165="לפעמים")+(S165:Z165="עדיין לא")))),""))</f>
        <v/>
      </c>
      <c r="AO165" s="27" t="str">
        <f aca="false">IF($A165="","",SUMPRODUCT(((((K165:R165="כן")+0.5*(K165:R165="קצת"))-((S165:Z165="רוב הזמן")+0.5*(S165:Z165="לפעמים")))&gt;0.01)*(((K165:R165="כן")+(K165:R165="קצת")+(K165:R165="עוד לא"))*((S165:Z165="רוב הזמן")+(S165:Z165="לפעמים")+(S165:Z165="עדיין לא")))))</f>
        <v/>
      </c>
      <c r="AP165" s="27" t="str">
        <f aca="false">IF($A165="","",SUMPRODUCT(((((S165:Z165="רוב הזמן")+0.5*(S165:Z165="לפעמים"))-((K165:R165="כן")+0.5*(K165:R165="קצת")))&gt;0.01)*(((K165:R165="כן")+(K165:R165="קצת")+(K165:R165="עוד לא"))*((S165:Z165="רוב הזמן")+(S165:Z165="לפעמים")+(S165:Z165="עדיין לא")))))</f>
        <v/>
      </c>
      <c r="AQ165" s="27" t="str">
        <f aca="false">IF($A165="","",COUNTIF(AA165:AB165,"כן"))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7" t="str">
        <f aca="false">IF($A166="","",$A166&amp;"|"&amp;$C166)</f>
        <v/>
      </c>
      <c r="AG166" s="27" t="str">
        <f aca="false">IF($A166="","",IF(OR(H166="לא נבדק",H166=""),"לא נבדק",IF(AND(H166="בחר/ה בעצמו/ה",I166="כן",J166="לא"),"מלא",IF(OR(H166="בחר/ה בעצמו/ה",I166="כן"),"חלקי","עדיין לא"))))</f>
        <v/>
      </c>
      <c r="AH166" s="28" t="str">
        <f aca="false">IF($A166="","",IFERROR((COUNTIF(K166:L166,"כן")+0.5*COUNTIF(K166:L166,"קצת"))/(COUNTIF(K166:L166,"כן")+COUNTIF(K166:L166,"קצת")+COUNTIF(K166:L166,"עוד לא")),""))</f>
        <v/>
      </c>
      <c r="AI166" s="28" t="str">
        <f aca="false">IF($A166="","",IFERROR((COUNTIF(M166:N166,"כן")+0.5*COUNTIF(M166:N166,"קצת"))/(COUNTIF(M166:N166,"כן")+COUNTIF(M166:N166,"קצת")+COUNTIF(M166:N166,"עוד לא")),""))</f>
        <v/>
      </c>
      <c r="AJ166" s="28" t="str">
        <f aca="false">IF($A166="","",IFERROR((COUNTIF(O166:P166,"כן")+0.5*COUNTIF(O166:P166,"קצת"))/(COUNTIF(O166:P166,"כן")+COUNTIF(O166:P166,"קצת")+COUNTIF(O166:P166,"עוד לא")),""))</f>
        <v/>
      </c>
      <c r="AK166" s="28" t="str">
        <f aca="false">IF($A166="","",IFERROR((COUNTIF(Q166:R166,"כן")+0.5*COUNTIF(Q166:R166,"קצת"))/(COUNTIF(Q166:R166,"כן")+COUNTIF(Q166:R166,"קצת")+COUNTIF(Q166:R166,"עוד לא")),""))</f>
        <v/>
      </c>
      <c r="AL166" s="28" t="str">
        <f aca="false">IF($A166="","",IFERROR((COUNTIF(K166:R166,"כן")+0.5*COUNTIF(K166:R166,"קצת"))/(COUNTIF(K166:R166,"כן")+COUNTIF(K166:R166,"קצת")+COUNTIF(K166:R166,"עוד לא")),""))</f>
        <v/>
      </c>
      <c r="AM166" s="28" t="str">
        <f aca="false">IF($A166="","",IFERROR((COUNTIF(S166:Z166,"רוב הזמן")+0.5*COUNTIF(S166:Z166,"לפעמים"))/(COUNTIF(S166:Z166,"רוב הזמן")+COUNTIF(S166:Z166,"לפעמים")+COUNTIF(S166:Z166,"עדיין לא")),""))</f>
        <v/>
      </c>
      <c r="AN166" s="28" t="str">
        <f aca="false">IF($A166="","",IFERROR(1-SUMPRODUCT(ABS(((K166:R166="כן")+0.5*(K166:R166="קצת"))-((S166:Z166="רוב הזמן")+0.5*(S166:Z166="לפעמים")))*(((K166:R166="כן")+(K166:R166="קצת")+(K166:R166="עוד לא"))*((S166:Z166="רוב הזמן")+(S166:Z166="לפעמים")+(S166:Z166="עדיין לא"))))/SUMPRODUCT((((K166:R166="כן")+(K166:R166="קצת")+(K166:R166="עוד לא"))*((S166:Z166="רוב הזמן")+(S166:Z166="לפעמים")+(S166:Z166="עדיין לא")))),""))</f>
        <v/>
      </c>
      <c r="AO166" s="27" t="str">
        <f aca="false">IF($A166="","",SUMPRODUCT(((((K166:R166="כן")+0.5*(K166:R166="קצת"))-((S166:Z166="רוב הזמן")+0.5*(S166:Z166="לפעמים")))&gt;0.01)*(((K166:R166="כן")+(K166:R166="קצת")+(K166:R166="עוד לא"))*((S166:Z166="רוב הזמן")+(S166:Z166="לפעמים")+(S166:Z166="עדיין לא")))))</f>
        <v/>
      </c>
      <c r="AP166" s="27" t="str">
        <f aca="false">IF($A166="","",SUMPRODUCT(((((S166:Z166="רוב הזמן")+0.5*(S166:Z166="לפעמים"))-((K166:R166="כן")+0.5*(K166:R166="קצת")))&gt;0.01)*(((K166:R166="כן")+(K166:R166="קצת")+(K166:R166="עוד לא"))*((S166:Z166="רוב הזמן")+(S166:Z166="לפעמים")+(S166:Z166="עדיין לא")))))</f>
        <v/>
      </c>
      <c r="AQ166" s="27" t="str">
        <f aca="false">IF($A166="","",COUNTIF(AA166:AB166,"כן"))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7" t="str">
        <f aca="false">IF($A167="","",$A167&amp;"|"&amp;$C167)</f>
        <v/>
      </c>
      <c r="AG167" s="27" t="str">
        <f aca="false">IF($A167="","",IF(OR(H167="לא נבדק",H167=""),"לא נבדק",IF(AND(H167="בחר/ה בעצמו/ה",I167="כן",J167="לא"),"מלא",IF(OR(H167="בחר/ה בעצמו/ה",I167="כן"),"חלקי","עדיין לא"))))</f>
        <v/>
      </c>
      <c r="AH167" s="28" t="str">
        <f aca="false">IF($A167="","",IFERROR((COUNTIF(K167:L167,"כן")+0.5*COUNTIF(K167:L167,"קצת"))/(COUNTIF(K167:L167,"כן")+COUNTIF(K167:L167,"קצת")+COUNTIF(K167:L167,"עוד לא")),""))</f>
        <v/>
      </c>
      <c r="AI167" s="28" t="str">
        <f aca="false">IF($A167="","",IFERROR((COUNTIF(M167:N167,"כן")+0.5*COUNTIF(M167:N167,"קצת"))/(COUNTIF(M167:N167,"כן")+COUNTIF(M167:N167,"קצת")+COUNTIF(M167:N167,"עוד לא")),""))</f>
        <v/>
      </c>
      <c r="AJ167" s="28" t="str">
        <f aca="false">IF($A167="","",IFERROR((COUNTIF(O167:P167,"כן")+0.5*COUNTIF(O167:P167,"קצת"))/(COUNTIF(O167:P167,"כן")+COUNTIF(O167:P167,"קצת")+COUNTIF(O167:P167,"עוד לא")),""))</f>
        <v/>
      </c>
      <c r="AK167" s="28" t="str">
        <f aca="false">IF($A167="","",IFERROR((COUNTIF(Q167:R167,"כן")+0.5*COUNTIF(Q167:R167,"קצת"))/(COUNTIF(Q167:R167,"כן")+COUNTIF(Q167:R167,"קצת")+COUNTIF(Q167:R167,"עוד לא")),""))</f>
        <v/>
      </c>
      <c r="AL167" s="28" t="str">
        <f aca="false">IF($A167="","",IFERROR((COUNTIF(K167:R167,"כן")+0.5*COUNTIF(K167:R167,"קצת"))/(COUNTIF(K167:R167,"כן")+COUNTIF(K167:R167,"קצת")+COUNTIF(K167:R167,"עוד לא")),""))</f>
        <v/>
      </c>
      <c r="AM167" s="28" t="str">
        <f aca="false">IF($A167="","",IFERROR((COUNTIF(S167:Z167,"רוב הזמן")+0.5*COUNTIF(S167:Z167,"לפעמים"))/(COUNTIF(S167:Z167,"רוב הזמן")+COUNTIF(S167:Z167,"לפעמים")+COUNTIF(S167:Z167,"עדיין לא")),""))</f>
        <v/>
      </c>
      <c r="AN167" s="28" t="str">
        <f aca="false">IF($A167="","",IFERROR(1-SUMPRODUCT(ABS(((K167:R167="כן")+0.5*(K167:R167="קצת"))-((S167:Z167="רוב הזמן")+0.5*(S167:Z167="לפעמים")))*(((K167:R167="כן")+(K167:R167="קצת")+(K167:R167="עוד לא"))*((S167:Z167="רוב הזמן")+(S167:Z167="לפעמים")+(S167:Z167="עדיין לא"))))/SUMPRODUCT((((K167:R167="כן")+(K167:R167="קצת")+(K167:R167="עוד לא"))*((S167:Z167="רוב הזמן")+(S167:Z167="לפעמים")+(S167:Z167="עדיין לא")))),""))</f>
        <v/>
      </c>
      <c r="AO167" s="27" t="str">
        <f aca="false">IF($A167="","",SUMPRODUCT(((((K167:R167="כן")+0.5*(K167:R167="קצת"))-((S167:Z167="רוב הזמן")+0.5*(S167:Z167="לפעמים")))&gt;0.01)*(((K167:R167="כן")+(K167:R167="קצת")+(K167:R167="עוד לא"))*((S167:Z167="רוב הזמן")+(S167:Z167="לפעמים")+(S167:Z167="עדיין לא")))))</f>
        <v/>
      </c>
      <c r="AP167" s="27" t="str">
        <f aca="false">IF($A167="","",SUMPRODUCT(((((S167:Z167="רוב הזמן")+0.5*(S167:Z167="לפעמים"))-((K167:R167="כן")+0.5*(K167:R167="קצת")))&gt;0.01)*(((K167:R167="כן")+(K167:R167="קצת")+(K167:R167="עוד לא"))*((S167:Z167="רוב הזמן")+(S167:Z167="לפעמים")+(S167:Z167="עדיין לא")))))</f>
        <v/>
      </c>
      <c r="AQ167" s="27" t="str">
        <f aca="false">IF($A167="","",COUNTIF(AA167:AB167,"כן"))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7" t="str">
        <f aca="false">IF($A168="","",$A168&amp;"|"&amp;$C168)</f>
        <v/>
      </c>
      <c r="AG168" s="27" t="str">
        <f aca="false">IF($A168="","",IF(OR(H168="לא נבדק",H168=""),"לא נבדק",IF(AND(H168="בחר/ה בעצמו/ה",I168="כן",J168="לא"),"מלא",IF(OR(H168="בחר/ה בעצמו/ה",I168="כן"),"חלקי","עדיין לא"))))</f>
        <v/>
      </c>
      <c r="AH168" s="28" t="str">
        <f aca="false">IF($A168="","",IFERROR((COUNTIF(K168:L168,"כן")+0.5*COUNTIF(K168:L168,"קצת"))/(COUNTIF(K168:L168,"כן")+COUNTIF(K168:L168,"קצת")+COUNTIF(K168:L168,"עוד לא")),""))</f>
        <v/>
      </c>
      <c r="AI168" s="28" t="str">
        <f aca="false">IF($A168="","",IFERROR((COUNTIF(M168:N168,"כן")+0.5*COUNTIF(M168:N168,"קצת"))/(COUNTIF(M168:N168,"כן")+COUNTIF(M168:N168,"קצת")+COUNTIF(M168:N168,"עוד לא")),""))</f>
        <v/>
      </c>
      <c r="AJ168" s="28" t="str">
        <f aca="false">IF($A168="","",IFERROR((COUNTIF(O168:P168,"כן")+0.5*COUNTIF(O168:P168,"קצת"))/(COUNTIF(O168:P168,"כן")+COUNTIF(O168:P168,"קצת")+COUNTIF(O168:P168,"עוד לא")),""))</f>
        <v/>
      </c>
      <c r="AK168" s="28" t="str">
        <f aca="false">IF($A168="","",IFERROR((COUNTIF(Q168:R168,"כן")+0.5*COUNTIF(Q168:R168,"קצת"))/(COUNTIF(Q168:R168,"כן")+COUNTIF(Q168:R168,"קצת")+COUNTIF(Q168:R168,"עוד לא")),""))</f>
        <v/>
      </c>
      <c r="AL168" s="28" t="str">
        <f aca="false">IF($A168="","",IFERROR((COUNTIF(K168:R168,"כן")+0.5*COUNTIF(K168:R168,"קצת"))/(COUNTIF(K168:R168,"כן")+COUNTIF(K168:R168,"קצת")+COUNTIF(K168:R168,"עוד לא")),""))</f>
        <v/>
      </c>
      <c r="AM168" s="28" t="str">
        <f aca="false">IF($A168="","",IFERROR((COUNTIF(S168:Z168,"רוב הזמן")+0.5*COUNTIF(S168:Z168,"לפעמים"))/(COUNTIF(S168:Z168,"רוב הזמן")+COUNTIF(S168:Z168,"לפעמים")+COUNTIF(S168:Z168,"עדיין לא")),""))</f>
        <v/>
      </c>
      <c r="AN168" s="28" t="str">
        <f aca="false">IF($A168="","",IFERROR(1-SUMPRODUCT(ABS(((K168:R168="כן")+0.5*(K168:R168="קצת"))-((S168:Z168="רוב הזמן")+0.5*(S168:Z168="לפעמים")))*(((K168:R168="כן")+(K168:R168="קצת")+(K168:R168="עוד לא"))*((S168:Z168="רוב הזמן")+(S168:Z168="לפעמים")+(S168:Z168="עדיין לא"))))/SUMPRODUCT((((K168:R168="כן")+(K168:R168="קצת")+(K168:R168="עוד לא"))*((S168:Z168="רוב הזמן")+(S168:Z168="לפעמים")+(S168:Z168="עדיין לא")))),""))</f>
        <v/>
      </c>
      <c r="AO168" s="27" t="str">
        <f aca="false">IF($A168="","",SUMPRODUCT(((((K168:R168="כן")+0.5*(K168:R168="קצת"))-((S168:Z168="רוב הזמן")+0.5*(S168:Z168="לפעמים")))&gt;0.01)*(((K168:R168="כן")+(K168:R168="קצת")+(K168:R168="עוד לא"))*((S168:Z168="רוב הזמן")+(S168:Z168="לפעמים")+(S168:Z168="עדיין לא")))))</f>
        <v/>
      </c>
      <c r="AP168" s="27" t="str">
        <f aca="false">IF($A168="","",SUMPRODUCT(((((S168:Z168="רוב הזמן")+0.5*(S168:Z168="לפעמים"))-((K168:R168="כן")+0.5*(K168:R168="קצת")))&gt;0.01)*(((K168:R168="כן")+(K168:R168="קצת")+(K168:R168="עוד לא"))*((S168:Z168="רוב הזמן")+(S168:Z168="לפעמים")+(S168:Z168="עדיין לא")))))</f>
        <v/>
      </c>
      <c r="AQ168" s="27" t="str">
        <f aca="false">IF($A168="","",COUNTIF(AA168:AB168,"כן"))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7" t="str">
        <f aca="false">IF($A169="","",$A169&amp;"|"&amp;$C169)</f>
        <v/>
      </c>
      <c r="AG169" s="27" t="str">
        <f aca="false">IF($A169="","",IF(OR(H169="לא נבדק",H169=""),"לא נבדק",IF(AND(H169="בחר/ה בעצמו/ה",I169="כן",J169="לא"),"מלא",IF(OR(H169="בחר/ה בעצמו/ה",I169="כן"),"חלקי","עדיין לא"))))</f>
        <v/>
      </c>
      <c r="AH169" s="28" t="str">
        <f aca="false">IF($A169="","",IFERROR((COUNTIF(K169:L169,"כן")+0.5*COUNTIF(K169:L169,"קצת"))/(COUNTIF(K169:L169,"כן")+COUNTIF(K169:L169,"קצת")+COUNTIF(K169:L169,"עוד לא")),""))</f>
        <v/>
      </c>
      <c r="AI169" s="28" t="str">
        <f aca="false">IF($A169="","",IFERROR((COUNTIF(M169:N169,"כן")+0.5*COUNTIF(M169:N169,"קצת"))/(COUNTIF(M169:N169,"כן")+COUNTIF(M169:N169,"קצת")+COUNTIF(M169:N169,"עוד לא")),""))</f>
        <v/>
      </c>
      <c r="AJ169" s="28" t="str">
        <f aca="false">IF($A169="","",IFERROR((COUNTIF(O169:P169,"כן")+0.5*COUNTIF(O169:P169,"קצת"))/(COUNTIF(O169:P169,"כן")+COUNTIF(O169:P169,"קצת")+COUNTIF(O169:P169,"עוד לא")),""))</f>
        <v/>
      </c>
      <c r="AK169" s="28" t="str">
        <f aca="false">IF($A169="","",IFERROR((COUNTIF(Q169:R169,"כן")+0.5*COUNTIF(Q169:R169,"קצת"))/(COUNTIF(Q169:R169,"כן")+COUNTIF(Q169:R169,"קצת")+COUNTIF(Q169:R169,"עוד לא")),""))</f>
        <v/>
      </c>
      <c r="AL169" s="28" t="str">
        <f aca="false">IF($A169="","",IFERROR((COUNTIF(K169:R169,"כן")+0.5*COUNTIF(K169:R169,"קצת"))/(COUNTIF(K169:R169,"כן")+COUNTIF(K169:R169,"קצת")+COUNTIF(K169:R169,"עוד לא")),""))</f>
        <v/>
      </c>
      <c r="AM169" s="28" t="str">
        <f aca="false">IF($A169="","",IFERROR((COUNTIF(S169:Z169,"רוב הזמן")+0.5*COUNTIF(S169:Z169,"לפעמים"))/(COUNTIF(S169:Z169,"רוב הזמן")+COUNTIF(S169:Z169,"לפעמים")+COUNTIF(S169:Z169,"עדיין לא")),""))</f>
        <v/>
      </c>
      <c r="AN169" s="28" t="str">
        <f aca="false">IF($A169="","",IFERROR(1-SUMPRODUCT(ABS(((K169:R169="כן")+0.5*(K169:R169="קצת"))-((S169:Z169="רוב הזמן")+0.5*(S169:Z169="לפעמים")))*(((K169:R169="כן")+(K169:R169="קצת")+(K169:R169="עוד לא"))*((S169:Z169="רוב הזמן")+(S169:Z169="לפעמים")+(S169:Z169="עדיין לא"))))/SUMPRODUCT((((K169:R169="כן")+(K169:R169="קצת")+(K169:R169="עוד לא"))*((S169:Z169="רוב הזמן")+(S169:Z169="לפעמים")+(S169:Z169="עדיין לא")))),""))</f>
        <v/>
      </c>
      <c r="AO169" s="27" t="str">
        <f aca="false">IF($A169="","",SUMPRODUCT(((((K169:R169="כן")+0.5*(K169:R169="קצת"))-((S169:Z169="רוב הזמן")+0.5*(S169:Z169="לפעמים")))&gt;0.01)*(((K169:R169="כן")+(K169:R169="קצת")+(K169:R169="עוד לא"))*((S169:Z169="רוב הזמן")+(S169:Z169="לפעמים")+(S169:Z169="עדיין לא")))))</f>
        <v/>
      </c>
      <c r="AP169" s="27" t="str">
        <f aca="false">IF($A169="","",SUMPRODUCT(((((S169:Z169="רוב הזמן")+0.5*(S169:Z169="לפעמים"))-((K169:R169="כן")+0.5*(K169:R169="קצת")))&gt;0.01)*(((K169:R169="כן")+(K169:R169="קצת")+(K169:R169="עוד לא"))*((S169:Z169="רוב הזמן")+(S169:Z169="לפעמים")+(S169:Z169="עדיין לא")))))</f>
        <v/>
      </c>
      <c r="AQ169" s="27" t="str">
        <f aca="false">IF($A169="","",COUNTIF(AA169:AB169,"כן"))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7" t="str">
        <f aca="false">IF($A170="","",$A170&amp;"|"&amp;$C170)</f>
        <v/>
      </c>
      <c r="AG170" s="27" t="str">
        <f aca="false">IF($A170="","",IF(OR(H170="לא נבדק",H170=""),"לא נבדק",IF(AND(H170="בחר/ה בעצמו/ה",I170="כן",J170="לא"),"מלא",IF(OR(H170="בחר/ה בעצמו/ה",I170="כן"),"חלקי","עדיין לא"))))</f>
        <v/>
      </c>
      <c r="AH170" s="28" t="str">
        <f aca="false">IF($A170="","",IFERROR((COUNTIF(K170:L170,"כן")+0.5*COUNTIF(K170:L170,"קצת"))/(COUNTIF(K170:L170,"כן")+COUNTIF(K170:L170,"קצת")+COUNTIF(K170:L170,"עוד לא")),""))</f>
        <v/>
      </c>
      <c r="AI170" s="28" t="str">
        <f aca="false">IF($A170="","",IFERROR((COUNTIF(M170:N170,"כן")+0.5*COUNTIF(M170:N170,"קצת"))/(COUNTIF(M170:N170,"כן")+COUNTIF(M170:N170,"קצת")+COUNTIF(M170:N170,"עוד לא")),""))</f>
        <v/>
      </c>
      <c r="AJ170" s="28" t="str">
        <f aca="false">IF($A170="","",IFERROR((COUNTIF(O170:P170,"כן")+0.5*COUNTIF(O170:P170,"קצת"))/(COUNTIF(O170:P170,"כן")+COUNTIF(O170:P170,"קצת")+COUNTIF(O170:P170,"עוד לא")),""))</f>
        <v/>
      </c>
      <c r="AK170" s="28" t="str">
        <f aca="false">IF($A170="","",IFERROR((COUNTIF(Q170:R170,"כן")+0.5*COUNTIF(Q170:R170,"קצת"))/(COUNTIF(Q170:R170,"כן")+COUNTIF(Q170:R170,"קצת")+COUNTIF(Q170:R170,"עוד לא")),""))</f>
        <v/>
      </c>
      <c r="AL170" s="28" t="str">
        <f aca="false">IF($A170="","",IFERROR((COUNTIF(K170:R170,"כן")+0.5*COUNTIF(K170:R170,"קצת"))/(COUNTIF(K170:R170,"כן")+COUNTIF(K170:R170,"קצת")+COUNTIF(K170:R170,"עוד לא")),""))</f>
        <v/>
      </c>
      <c r="AM170" s="28" t="str">
        <f aca="false">IF($A170="","",IFERROR((COUNTIF(S170:Z170,"רוב הזמן")+0.5*COUNTIF(S170:Z170,"לפעמים"))/(COUNTIF(S170:Z170,"רוב הזמן")+COUNTIF(S170:Z170,"לפעמים")+COUNTIF(S170:Z170,"עדיין לא")),""))</f>
        <v/>
      </c>
      <c r="AN170" s="28" t="str">
        <f aca="false">IF($A170="","",IFERROR(1-SUMPRODUCT(ABS(((K170:R170="כן")+0.5*(K170:R170="קצת"))-((S170:Z170="רוב הזמן")+0.5*(S170:Z170="לפעמים")))*(((K170:R170="כן")+(K170:R170="קצת")+(K170:R170="עוד לא"))*((S170:Z170="רוב הזמן")+(S170:Z170="לפעמים")+(S170:Z170="עדיין לא"))))/SUMPRODUCT((((K170:R170="כן")+(K170:R170="קצת")+(K170:R170="עוד לא"))*((S170:Z170="רוב הזמן")+(S170:Z170="לפעמים")+(S170:Z170="עדיין לא")))),""))</f>
        <v/>
      </c>
      <c r="AO170" s="27" t="str">
        <f aca="false">IF($A170="","",SUMPRODUCT(((((K170:R170="כן")+0.5*(K170:R170="קצת"))-((S170:Z170="רוב הזמן")+0.5*(S170:Z170="לפעמים")))&gt;0.01)*(((K170:R170="כן")+(K170:R170="קצת")+(K170:R170="עוד לא"))*((S170:Z170="רוב הזמן")+(S170:Z170="לפעמים")+(S170:Z170="עדיין לא")))))</f>
        <v/>
      </c>
      <c r="AP170" s="27" t="str">
        <f aca="false">IF($A170="","",SUMPRODUCT(((((S170:Z170="רוב הזמן")+0.5*(S170:Z170="לפעמים"))-((K170:R170="כן")+0.5*(K170:R170="קצת")))&gt;0.01)*(((K170:R170="כן")+(K170:R170="קצת")+(K170:R170="עוד לא"))*((S170:Z170="רוב הזמן")+(S170:Z170="לפעמים")+(S170:Z170="עדיין לא")))))</f>
        <v/>
      </c>
      <c r="AQ170" s="27" t="str">
        <f aca="false">IF($A170="","",COUNTIF(AA170:AB170,"כן"))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7" t="str">
        <f aca="false">IF($A171="","",$A171&amp;"|"&amp;$C171)</f>
        <v/>
      </c>
      <c r="AG171" s="27" t="str">
        <f aca="false">IF($A171="","",IF(OR(H171="לא נבדק",H171=""),"לא נבדק",IF(AND(H171="בחר/ה בעצמו/ה",I171="כן",J171="לא"),"מלא",IF(OR(H171="בחר/ה בעצמו/ה",I171="כן"),"חלקי","עדיין לא"))))</f>
        <v/>
      </c>
      <c r="AH171" s="28" t="str">
        <f aca="false">IF($A171="","",IFERROR((COUNTIF(K171:L171,"כן")+0.5*COUNTIF(K171:L171,"קצת"))/(COUNTIF(K171:L171,"כן")+COUNTIF(K171:L171,"קצת")+COUNTIF(K171:L171,"עוד לא")),""))</f>
        <v/>
      </c>
      <c r="AI171" s="28" t="str">
        <f aca="false">IF($A171="","",IFERROR((COUNTIF(M171:N171,"כן")+0.5*COUNTIF(M171:N171,"קצת"))/(COUNTIF(M171:N171,"כן")+COUNTIF(M171:N171,"קצת")+COUNTIF(M171:N171,"עוד לא")),""))</f>
        <v/>
      </c>
      <c r="AJ171" s="28" t="str">
        <f aca="false">IF($A171="","",IFERROR((COUNTIF(O171:P171,"כן")+0.5*COUNTIF(O171:P171,"קצת"))/(COUNTIF(O171:P171,"כן")+COUNTIF(O171:P171,"קצת")+COUNTIF(O171:P171,"עוד לא")),""))</f>
        <v/>
      </c>
      <c r="AK171" s="28" t="str">
        <f aca="false">IF($A171="","",IFERROR((COUNTIF(Q171:R171,"כן")+0.5*COUNTIF(Q171:R171,"קצת"))/(COUNTIF(Q171:R171,"כן")+COUNTIF(Q171:R171,"קצת")+COUNTIF(Q171:R171,"עוד לא")),""))</f>
        <v/>
      </c>
      <c r="AL171" s="28" t="str">
        <f aca="false">IF($A171="","",IFERROR((COUNTIF(K171:R171,"כן")+0.5*COUNTIF(K171:R171,"קצת"))/(COUNTIF(K171:R171,"כן")+COUNTIF(K171:R171,"קצת")+COUNTIF(K171:R171,"עוד לא")),""))</f>
        <v/>
      </c>
      <c r="AM171" s="28" t="str">
        <f aca="false">IF($A171="","",IFERROR((COUNTIF(S171:Z171,"רוב הזמן")+0.5*COUNTIF(S171:Z171,"לפעמים"))/(COUNTIF(S171:Z171,"רוב הזמן")+COUNTIF(S171:Z171,"לפעמים")+COUNTIF(S171:Z171,"עדיין לא")),""))</f>
        <v/>
      </c>
      <c r="AN171" s="28" t="str">
        <f aca="false">IF($A171="","",IFERROR(1-SUMPRODUCT(ABS(((K171:R171="כן")+0.5*(K171:R171="קצת"))-((S171:Z171="רוב הזמן")+0.5*(S171:Z171="לפעמים")))*(((K171:R171="כן")+(K171:R171="קצת")+(K171:R171="עוד לא"))*((S171:Z171="רוב הזמן")+(S171:Z171="לפעמים")+(S171:Z171="עדיין לא"))))/SUMPRODUCT((((K171:R171="כן")+(K171:R171="קצת")+(K171:R171="עוד לא"))*((S171:Z171="רוב הזמן")+(S171:Z171="לפעמים")+(S171:Z171="עדיין לא")))),""))</f>
        <v/>
      </c>
      <c r="AO171" s="27" t="str">
        <f aca="false">IF($A171="","",SUMPRODUCT(((((K171:R171="כן")+0.5*(K171:R171="קצת"))-((S171:Z171="רוב הזמן")+0.5*(S171:Z171="לפעמים")))&gt;0.01)*(((K171:R171="כן")+(K171:R171="קצת")+(K171:R171="עוד לא"))*((S171:Z171="רוב הזמן")+(S171:Z171="לפעמים")+(S171:Z171="עדיין לא")))))</f>
        <v/>
      </c>
      <c r="AP171" s="27" t="str">
        <f aca="false">IF($A171="","",SUMPRODUCT(((((S171:Z171="רוב הזמן")+0.5*(S171:Z171="לפעמים"))-((K171:R171="כן")+0.5*(K171:R171="קצת")))&gt;0.01)*(((K171:R171="כן")+(K171:R171="קצת")+(K171:R171="עוד לא"))*((S171:Z171="רוב הזמן")+(S171:Z171="לפעמים")+(S171:Z171="עדיין לא")))))</f>
        <v/>
      </c>
      <c r="AQ171" s="27" t="str">
        <f aca="false">IF($A171="","",COUNTIF(AA171:AB171,"כן"))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7" t="str">
        <f aca="false">IF($A172="","",$A172&amp;"|"&amp;$C172)</f>
        <v/>
      </c>
      <c r="AG172" s="27" t="str">
        <f aca="false">IF($A172="","",IF(OR(H172="לא נבדק",H172=""),"לא נבדק",IF(AND(H172="בחר/ה בעצמו/ה",I172="כן",J172="לא"),"מלא",IF(OR(H172="בחר/ה בעצמו/ה",I172="כן"),"חלקי","עדיין לא"))))</f>
        <v/>
      </c>
      <c r="AH172" s="28" t="str">
        <f aca="false">IF($A172="","",IFERROR((COUNTIF(K172:L172,"כן")+0.5*COUNTIF(K172:L172,"קצת"))/(COUNTIF(K172:L172,"כן")+COUNTIF(K172:L172,"קצת")+COUNTIF(K172:L172,"עוד לא")),""))</f>
        <v/>
      </c>
      <c r="AI172" s="28" t="str">
        <f aca="false">IF($A172="","",IFERROR((COUNTIF(M172:N172,"כן")+0.5*COUNTIF(M172:N172,"קצת"))/(COUNTIF(M172:N172,"כן")+COUNTIF(M172:N172,"קצת")+COUNTIF(M172:N172,"עוד לא")),""))</f>
        <v/>
      </c>
      <c r="AJ172" s="28" t="str">
        <f aca="false">IF($A172="","",IFERROR((COUNTIF(O172:P172,"כן")+0.5*COUNTIF(O172:P172,"קצת"))/(COUNTIF(O172:P172,"כן")+COUNTIF(O172:P172,"קצת")+COUNTIF(O172:P172,"עוד לא")),""))</f>
        <v/>
      </c>
      <c r="AK172" s="28" t="str">
        <f aca="false">IF($A172="","",IFERROR((COUNTIF(Q172:R172,"כן")+0.5*COUNTIF(Q172:R172,"קצת"))/(COUNTIF(Q172:R172,"כן")+COUNTIF(Q172:R172,"קצת")+COUNTIF(Q172:R172,"עוד לא")),""))</f>
        <v/>
      </c>
      <c r="AL172" s="28" t="str">
        <f aca="false">IF($A172="","",IFERROR((COUNTIF(K172:R172,"כן")+0.5*COUNTIF(K172:R172,"קצת"))/(COUNTIF(K172:R172,"כן")+COUNTIF(K172:R172,"קצת")+COUNTIF(K172:R172,"עוד לא")),""))</f>
        <v/>
      </c>
      <c r="AM172" s="28" t="str">
        <f aca="false">IF($A172="","",IFERROR((COUNTIF(S172:Z172,"רוב הזמן")+0.5*COUNTIF(S172:Z172,"לפעמים"))/(COUNTIF(S172:Z172,"רוב הזמן")+COUNTIF(S172:Z172,"לפעמים")+COUNTIF(S172:Z172,"עדיין לא")),""))</f>
        <v/>
      </c>
      <c r="AN172" s="28" t="str">
        <f aca="false">IF($A172="","",IFERROR(1-SUMPRODUCT(ABS(((K172:R172="כן")+0.5*(K172:R172="קצת"))-((S172:Z172="רוב הזמן")+0.5*(S172:Z172="לפעמים")))*(((K172:R172="כן")+(K172:R172="קצת")+(K172:R172="עוד לא"))*((S172:Z172="רוב הזמן")+(S172:Z172="לפעמים")+(S172:Z172="עדיין לא"))))/SUMPRODUCT((((K172:R172="כן")+(K172:R172="קצת")+(K172:R172="עוד לא"))*((S172:Z172="רוב הזמן")+(S172:Z172="לפעמים")+(S172:Z172="עדיין לא")))),""))</f>
        <v/>
      </c>
      <c r="AO172" s="27" t="str">
        <f aca="false">IF($A172="","",SUMPRODUCT(((((K172:R172="כן")+0.5*(K172:R172="קצת"))-((S172:Z172="רוב הזמן")+0.5*(S172:Z172="לפעמים")))&gt;0.01)*(((K172:R172="כן")+(K172:R172="קצת")+(K172:R172="עוד לא"))*((S172:Z172="רוב הזמן")+(S172:Z172="לפעמים")+(S172:Z172="עדיין לא")))))</f>
        <v/>
      </c>
      <c r="AP172" s="27" t="str">
        <f aca="false">IF($A172="","",SUMPRODUCT(((((S172:Z172="רוב הזמן")+0.5*(S172:Z172="לפעמים"))-((K172:R172="כן")+0.5*(K172:R172="קצת")))&gt;0.01)*(((K172:R172="כן")+(K172:R172="קצת")+(K172:R172="עוד לא"))*((S172:Z172="רוב הזמן")+(S172:Z172="לפעמים")+(S172:Z172="עדיין לא")))))</f>
        <v/>
      </c>
      <c r="AQ172" s="27" t="str">
        <f aca="false">IF($A172="","",COUNTIF(AA172:AB172,"כן"))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7" t="str">
        <f aca="false">IF($A173="","",$A173&amp;"|"&amp;$C173)</f>
        <v/>
      </c>
      <c r="AG173" s="27" t="str">
        <f aca="false">IF($A173="","",IF(OR(H173="לא נבדק",H173=""),"לא נבדק",IF(AND(H173="בחר/ה בעצמו/ה",I173="כן",J173="לא"),"מלא",IF(OR(H173="בחר/ה בעצמו/ה",I173="כן"),"חלקי","עדיין לא"))))</f>
        <v/>
      </c>
      <c r="AH173" s="28" t="str">
        <f aca="false">IF($A173="","",IFERROR((COUNTIF(K173:L173,"כן")+0.5*COUNTIF(K173:L173,"קצת"))/(COUNTIF(K173:L173,"כן")+COUNTIF(K173:L173,"קצת")+COUNTIF(K173:L173,"עוד לא")),""))</f>
        <v/>
      </c>
      <c r="AI173" s="28" t="str">
        <f aca="false">IF($A173="","",IFERROR((COUNTIF(M173:N173,"כן")+0.5*COUNTIF(M173:N173,"קצת"))/(COUNTIF(M173:N173,"כן")+COUNTIF(M173:N173,"קצת")+COUNTIF(M173:N173,"עוד לא")),""))</f>
        <v/>
      </c>
      <c r="AJ173" s="28" t="str">
        <f aca="false">IF($A173="","",IFERROR((COUNTIF(O173:P173,"כן")+0.5*COUNTIF(O173:P173,"קצת"))/(COUNTIF(O173:P173,"כן")+COUNTIF(O173:P173,"קצת")+COUNTIF(O173:P173,"עוד לא")),""))</f>
        <v/>
      </c>
      <c r="AK173" s="28" t="str">
        <f aca="false">IF($A173="","",IFERROR((COUNTIF(Q173:R173,"כן")+0.5*COUNTIF(Q173:R173,"קצת"))/(COUNTIF(Q173:R173,"כן")+COUNTIF(Q173:R173,"קצת")+COUNTIF(Q173:R173,"עוד לא")),""))</f>
        <v/>
      </c>
      <c r="AL173" s="28" t="str">
        <f aca="false">IF($A173="","",IFERROR((COUNTIF(K173:R173,"כן")+0.5*COUNTIF(K173:R173,"קצת"))/(COUNTIF(K173:R173,"כן")+COUNTIF(K173:R173,"קצת")+COUNTIF(K173:R173,"עוד לא")),""))</f>
        <v/>
      </c>
      <c r="AM173" s="28" t="str">
        <f aca="false">IF($A173="","",IFERROR((COUNTIF(S173:Z173,"רוב הזמן")+0.5*COUNTIF(S173:Z173,"לפעמים"))/(COUNTIF(S173:Z173,"רוב הזמן")+COUNTIF(S173:Z173,"לפעמים")+COUNTIF(S173:Z173,"עדיין לא")),""))</f>
        <v/>
      </c>
      <c r="AN173" s="28" t="str">
        <f aca="false">IF($A173="","",IFERROR(1-SUMPRODUCT(ABS(((K173:R173="כן")+0.5*(K173:R173="קצת"))-((S173:Z173="רוב הזמן")+0.5*(S173:Z173="לפעמים")))*(((K173:R173="כן")+(K173:R173="קצת")+(K173:R173="עוד לא"))*((S173:Z173="רוב הזמן")+(S173:Z173="לפעמים")+(S173:Z173="עדיין לא"))))/SUMPRODUCT((((K173:R173="כן")+(K173:R173="קצת")+(K173:R173="עוד לא"))*((S173:Z173="רוב הזמן")+(S173:Z173="לפעמים")+(S173:Z173="עדיין לא")))),""))</f>
        <v/>
      </c>
      <c r="AO173" s="27" t="str">
        <f aca="false">IF($A173="","",SUMPRODUCT(((((K173:R173="כן")+0.5*(K173:R173="קצת"))-((S173:Z173="רוב הזמן")+0.5*(S173:Z173="לפעמים")))&gt;0.01)*(((K173:R173="כן")+(K173:R173="קצת")+(K173:R173="עוד לא"))*((S173:Z173="רוב הזמן")+(S173:Z173="לפעמים")+(S173:Z173="עדיין לא")))))</f>
        <v/>
      </c>
      <c r="AP173" s="27" t="str">
        <f aca="false">IF($A173="","",SUMPRODUCT(((((S173:Z173="רוב הזמן")+0.5*(S173:Z173="לפעמים"))-((K173:R173="כן")+0.5*(K173:R173="קצת")))&gt;0.01)*(((K173:R173="כן")+(K173:R173="קצת")+(K173:R173="עוד לא"))*((S173:Z173="רוב הזמן")+(S173:Z173="לפעמים")+(S173:Z173="עדיין לא")))))</f>
        <v/>
      </c>
      <c r="AQ173" s="27" t="str">
        <f aca="false">IF($A173="","",COUNTIF(AA173:AB173,"כן"))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7" t="str">
        <f aca="false">IF($A174="","",$A174&amp;"|"&amp;$C174)</f>
        <v/>
      </c>
      <c r="AG174" s="27" t="str">
        <f aca="false">IF($A174="","",IF(OR(H174="לא נבדק",H174=""),"לא נבדק",IF(AND(H174="בחר/ה בעצמו/ה",I174="כן",J174="לא"),"מלא",IF(OR(H174="בחר/ה בעצמו/ה",I174="כן"),"חלקי","עדיין לא"))))</f>
        <v/>
      </c>
      <c r="AH174" s="28" t="str">
        <f aca="false">IF($A174="","",IFERROR((COUNTIF(K174:L174,"כן")+0.5*COUNTIF(K174:L174,"קצת"))/(COUNTIF(K174:L174,"כן")+COUNTIF(K174:L174,"קצת")+COUNTIF(K174:L174,"עוד לא")),""))</f>
        <v/>
      </c>
      <c r="AI174" s="28" t="str">
        <f aca="false">IF($A174="","",IFERROR((COUNTIF(M174:N174,"כן")+0.5*COUNTIF(M174:N174,"קצת"))/(COUNTIF(M174:N174,"כן")+COUNTIF(M174:N174,"קצת")+COUNTIF(M174:N174,"עוד לא")),""))</f>
        <v/>
      </c>
      <c r="AJ174" s="28" t="str">
        <f aca="false">IF($A174="","",IFERROR((COUNTIF(O174:P174,"כן")+0.5*COUNTIF(O174:P174,"קצת"))/(COUNTIF(O174:P174,"כן")+COUNTIF(O174:P174,"קצת")+COUNTIF(O174:P174,"עוד לא")),""))</f>
        <v/>
      </c>
      <c r="AK174" s="28" t="str">
        <f aca="false">IF($A174="","",IFERROR((COUNTIF(Q174:R174,"כן")+0.5*COUNTIF(Q174:R174,"קצת"))/(COUNTIF(Q174:R174,"כן")+COUNTIF(Q174:R174,"קצת")+COUNTIF(Q174:R174,"עוד לא")),""))</f>
        <v/>
      </c>
      <c r="AL174" s="28" t="str">
        <f aca="false">IF($A174="","",IFERROR((COUNTIF(K174:R174,"כן")+0.5*COUNTIF(K174:R174,"קצת"))/(COUNTIF(K174:R174,"כן")+COUNTIF(K174:R174,"קצת")+COUNTIF(K174:R174,"עוד לא")),""))</f>
        <v/>
      </c>
      <c r="AM174" s="28" t="str">
        <f aca="false">IF($A174="","",IFERROR((COUNTIF(S174:Z174,"רוב הזמן")+0.5*COUNTIF(S174:Z174,"לפעמים"))/(COUNTIF(S174:Z174,"רוב הזמן")+COUNTIF(S174:Z174,"לפעמים")+COUNTIF(S174:Z174,"עדיין לא")),""))</f>
        <v/>
      </c>
      <c r="AN174" s="28" t="str">
        <f aca="false">IF($A174="","",IFERROR(1-SUMPRODUCT(ABS(((K174:R174="כן")+0.5*(K174:R174="קצת"))-((S174:Z174="רוב הזמן")+0.5*(S174:Z174="לפעמים")))*(((K174:R174="כן")+(K174:R174="קצת")+(K174:R174="עוד לא"))*((S174:Z174="רוב הזמן")+(S174:Z174="לפעמים")+(S174:Z174="עדיין לא"))))/SUMPRODUCT((((K174:R174="כן")+(K174:R174="קצת")+(K174:R174="עוד לא"))*((S174:Z174="רוב הזמן")+(S174:Z174="לפעמים")+(S174:Z174="עדיין לא")))),""))</f>
        <v/>
      </c>
      <c r="AO174" s="27" t="str">
        <f aca="false">IF($A174="","",SUMPRODUCT(((((K174:R174="כן")+0.5*(K174:R174="קצת"))-((S174:Z174="רוב הזמן")+0.5*(S174:Z174="לפעמים")))&gt;0.01)*(((K174:R174="כן")+(K174:R174="קצת")+(K174:R174="עוד לא"))*((S174:Z174="רוב הזמן")+(S174:Z174="לפעמים")+(S174:Z174="עדיין לא")))))</f>
        <v/>
      </c>
      <c r="AP174" s="27" t="str">
        <f aca="false">IF($A174="","",SUMPRODUCT(((((S174:Z174="רוב הזמן")+0.5*(S174:Z174="לפעמים"))-((K174:R174="כן")+0.5*(K174:R174="קצת")))&gt;0.01)*(((K174:R174="כן")+(K174:R174="קצת")+(K174:R174="עוד לא"))*((S174:Z174="רוב הזמן")+(S174:Z174="לפעמים")+(S174:Z174="עדיין לא")))))</f>
        <v/>
      </c>
      <c r="AQ174" s="27" t="str">
        <f aca="false">IF($A174="","",COUNTIF(AA174:AB174,"כן"))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7" t="str">
        <f aca="false">IF($A175="","",$A175&amp;"|"&amp;$C175)</f>
        <v/>
      </c>
      <c r="AG175" s="27" t="str">
        <f aca="false">IF($A175="","",IF(OR(H175="לא נבדק",H175=""),"לא נבדק",IF(AND(H175="בחר/ה בעצמו/ה",I175="כן",J175="לא"),"מלא",IF(OR(H175="בחר/ה בעצמו/ה",I175="כן"),"חלקי","עדיין לא"))))</f>
        <v/>
      </c>
      <c r="AH175" s="28" t="str">
        <f aca="false">IF($A175="","",IFERROR((COUNTIF(K175:L175,"כן")+0.5*COUNTIF(K175:L175,"קצת"))/(COUNTIF(K175:L175,"כן")+COUNTIF(K175:L175,"קצת")+COUNTIF(K175:L175,"עוד לא")),""))</f>
        <v/>
      </c>
      <c r="AI175" s="28" t="str">
        <f aca="false">IF($A175="","",IFERROR((COUNTIF(M175:N175,"כן")+0.5*COUNTIF(M175:N175,"קצת"))/(COUNTIF(M175:N175,"כן")+COUNTIF(M175:N175,"קצת")+COUNTIF(M175:N175,"עוד לא")),""))</f>
        <v/>
      </c>
      <c r="AJ175" s="28" t="str">
        <f aca="false">IF($A175="","",IFERROR((COUNTIF(O175:P175,"כן")+0.5*COUNTIF(O175:P175,"קצת"))/(COUNTIF(O175:P175,"כן")+COUNTIF(O175:P175,"קצת")+COUNTIF(O175:P175,"עוד לא")),""))</f>
        <v/>
      </c>
      <c r="AK175" s="28" t="str">
        <f aca="false">IF($A175="","",IFERROR((COUNTIF(Q175:R175,"כן")+0.5*COUNTIF(Q175:R175,"קצת"))/(COUNTIF(Q175:R175,"כן")+COUNTIF(Q175:R175,"קצת")+COUNTIF(Q175:R175,"עוד לא")),""))</f>
        <v/>
      </c>
      <c r="AL175" s="28" t="str">
        <f aca="false">IF($A175="","",IFERROR((COUNTIF(K175:R175,"כן")+0.5*COUNTIF(K175:R175,"קצת"))/(COUNTIF(K175:R175,"כן")+COUNTIF(K175:R175,"קצת")+COUNTIF(K175:R175,"עוד לא")),""))</f>
        <v/>
      </c>
      <c r="AM175" s="28" t="str">
        <f aca="false">IF($A175="","",IFERROR((COUNTIF(S175:Z175,"רוב הזמן")+0.5*COUNTIF(S175:Z175,"לפעמים"))/(COUNTIF(S175:Z175,"רוב הזמן")+COUNTIF(S175:Z175,"לפעמים")+COUNTIF(S175:Z175,"עדיין לא")),""))</f>
        <v/>
      </c>
      <c r="AN175" s="28" t="str">
        <f aca="false">IF($A175="","",IFERROR(1-SUMPRODUCT(ABS(((K175:R175="כן")+0.5*(K175:R175="קצת"))-((S175:Z175="רוב הזמן")+0.5*(S175:Z175="לפעמים")))*(((K175:R175="כן")+(K175:R175="קצת")+(K175:R175="עוד לא"))*((S175:Z175="רוב הזמן")+(S175:Z175="לפעמים")+(S175:Z175="עדיין לא"))))/SUMPRODUCT((((K175:R175="כן")+(K175:R175="קצת")+(K175:R175="עוד לא"))*((S175:Z175="רוב הזמן")+(S175:Z175="לפעמים")+(S175:Z175="עדיין לא")))),""))</f>
        <v/>
      </c>
      <c r="AO175" s="27" t="str">
        <f aca="false">IF($A175="","",SUMPRODUCT(((((K175:R175="כן")+0.5*(K175:R175="קצת"))-((S175:Z175="רוב הזמן")+0.5*(S175:Z175="לפעמים")))&gt;0.01)*(((K175:R175="כן")+(K175:R175="קצת")+(K175:R175="עוד לא"))*((S175:Z175="רוב הזמן")+(S175:Z175="לפעמים")+(S175:Z175="עדיין לא")))))</f>
        <v/>
      </c>
      <c r="AP175" s="27" t="str">
        <f aca="false">IF($A175="","",SUMPRODUCT(((((S175:Z175="רוב הזמן")+0.5*(S175:Z175="לפעמים"))-((K175:R175="כן")+0.5*(K175:R175="קצת")))&gt;0.01)*(((K175:R175="כן")+(K175:R175="קצת")+(K175:R175="עוד לא"))*((S175:Z175="רוב הזמן")+(S175:Z175="לפעמים")+(S175:Z175="עדיין לא")))))</f>
        <v/>
      </c>
      <c r="AQ175" s="27" t="str">
        <f aca="false">IF($A175="","",COUNTIF(AA175:AB175,"כן"))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7" t="str">
        <f aca="false">IF($A176="","",$A176&amp;"|"&amp;$C176)</f>
        <v/>
      </c>
      <c r="AG176" s="27" t="str">
        <f aca="false">IF($A176="","",IF(OR(H176="לא נבדק",H176=""),"לא נבדק",IF(AND(H176="בחר/ה בעצמו/ה",I176="כן",J176="לא"),"מלא",IF(OR(H176="בחר/ה בעצמו/ה",I176="כן"),"חלקי","עדיין לא"))))</f>
        <v/>
      </c>
      <c r="AH176" s="28" t="str">
        <f aca="false">IF($A176="","",IFERROR((COUNTIF(K176:L176,"כן")+0.5*COUNTIF(K176:L176,"קצת"))/(COUNTIF(K176:L176,"כן")+COUNTIF(K176:L176,"קצת")+COUNTIF(K176:L176,"עוד לא")),""))</f>
        <v/>
      </c>
      <c r="AI176" s="28" t="str">
        <f aca="false">IF($A176="","",IFERROR((COUNTIF(M176:N176,"כן")+0.5*COUNTIF(M176:N176,"קצת"))/(COUNTIF(M176:N176,"כן")+COUNTIF(M176:N176,"קצת")+COUNTIF(M176:N176,"עוד לא")),""))</f>
        <v/>
      </c>
      <c r="AJ176" s="28" t="str">
        <f aca="false">IF($A176="","",IFERROR((COUNTIF(O176:P176,"כן")+0.5*COUNTIF(O176:P176,"קצת"))/(COUNTIF(O176:P176,"כן")+COUNTIF(O176:P176,"קצת")+COUNTIF(O176:P176,"עוד לא")),""))</f>
        <v/>
      </c>
      <c r="AK176" s="28" t="str">
        <f aca="false">IF($A176="","",IFERROR((COUNTIF(Q176:R176,"כן")+0.5*COUNTIF(Q176:R176,"קצת"))/(COUNTIF(Q176:R176,"כן")+COUNTIF(Q176:R176,"קצת")+COUNTIF(Q176:R176,"עוד לא")),""))</f>
        <v/>
      </c>
      <c r="AL176" s="28" t="str">
        <f aca="false">IF($A176="","",IFERROR((COUNTIF(K176:R176,"כן")+0.5*COUNTIF(K176:R176,"קצת"))/(COUNTIF(K176:R176,"כן")+COUNTIF(K176:R176,"קצת")+COUNTIF(K176:R176,"עוד לא")),""))</f>
        <v/>
      </c>
      <c r="AM176" s="28" t="str">
        <f aca="false">IF($A176="","",IFERROR((COUNTIF(S176:Z176,"רוב הזמן")+0.5*COUNTIF(S176:Z176,"לפעמים"))/(COUNTIF(S176:Z176,"רוב הזמן")+COUNTIF(S176:Z176,"לפעמים")+COUNTIF(S176:Z176,"עדיין לא")),""))</f>
        <v/>
      </c>
      <c r="AN176" s="28" t="str">
        <f aca="false">IF($A176="","",IFERROR(1-SUMPRODUCT(ABS(((K176:R176="כן")+0.5*(K176:R176="קצת"))-((S176:Z176="רוב הזמן")+0.5*(S176:Z176="לפעמים")))*(((K176:R176="כן")+(K176:R176="קצת")+(K176:R176="עוד לא"))*((S176:Z176="רוב הזמן")+(S176:Z176="לפעמים")+(S176:Z176="עדיין לא"))))/SUMPRODUCT((((K176:R176="כן")+(K176:R176="קצת")+(K176:R176="עוד לא"))*((S176:Z176="רוב הזמן")+(S176:Z176="לפעמים")+(S176:Z176="עדיין לא")))),""))</f>
        <v/>
      </c>
      <c r="AO176" s="27" t="str">
        <f aca="false">IF($A176="","",SUMPRODUCT(((((K176:R176="כן")+0.5*(K176:R176="קצת"))-((S176:Z176="רוב הזמן")+0.5*(S176:Z176="לפעמים")))&gt;0.01)*(((K176:R176="כן")+(K176:R176="קצת")+(K176:R176="עוד לא"))*((S176:Z176="רוב הזמן")+(S176:Z176="לפעמים")+(S176:Z176="עדיין לא")))))</f>
        <v/>
      </c>
      <c r="AP176" s="27" t="str">
        <f aca="false">IF($A176="","",SUMPRODUCT(((((S176:Z176="רוב הזמן")+0.5*(S176:Z176="לפעמים"))-((K176:R176="כן")+0.5*(K176:R176="קצת")))&gt;0.01)*(((K176:R176="כן")+(K176:R176="קצת")+(K176:R176="עוד לא"))*((S176:Z176="רוב הזמן")+(S176:Z176="לפעמים")+(S176:Z176="עדיין לא")))))</f>
        <v/>
      </c>
      <c r="AQ176" s="27" t="str">
        <f aca="false">IF($A176="","",COUNTIF(AA176:AB176,"כן"))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7" t="str">
        <f aca="false">IF($A177="","",$A177&amp;"|"&amp;$C177)</f>
        <v/>
      </c>
      <c r="AG177" s="27" t="str">
        <f aca="false">IF($A177="","",IF(OR(H177="לא נבדק",H177=""),"לא נבדק",IF(AND(H177="בחר/ה בעצמו/ה",I177="כן",J177="לא"),"מלא",IF(OR(H177="בחר/ה בעצמו/ה",I177="כן"),"חלקי","עדיין לא"))))</f>
        <v/>
      </c>
      <c r="AH177" s="28" t="str">
        <f aca="false">IF($A177="","",IFERROR((COUNTIF(K177:L177,"כן")+0.5*COUNTIF(K177:L177,"קצת"))/(COUNTIF(K177:L177,"כן")+COUNTIF(K177:L177,"קצת")+COUNTIF(K177:L177,"עוד לא")),""))</f>
        <v/>
      </c>
      <c r="AI177" s="28" t="str">
        <f aca="false">IF($A177="","",IFERROR((COUNTIF(M177:N177,"כן")+0.5*COUNTIF(M177:N177,"קצת"))/(COUNTIF(M177:N177,"כן")+COUNTIF(M177:N177,"קצת")+COUNTIF(M177:N177,"עוד לא")),""))</f>
        <v/>
      </c>
      <c r="AJ177" s="28" t="str">
        <f aca="false">IF($A177="","",IFERROR((COUNTIF(O177:P177,"כן")+0.5*COUNTIF(O177:P177,"קצת"))/(COUNTIF(O177:P177,"כן")+COUNTIF(O177:P177,"קצת")+COUNTIF(O177:P177,"עוד לא")),""))</f>
        <v/>
      </c>
      <c r="AK177" s="28" t="str">
        <f aca="false">IF($A177="","",IFERROR((COUNTIF(Q177:R177,"כן")+0.5*COUNTIF(Q177:R177,"קצת"))/(COUNTIF(Q177:R177,"כן")+COUNTIF(Q177:R177,"קצת")+COUNTIF(Q177:R177,"עוד לא")),""))</f>
        <v/>
      </c>
      <c r="AL177" s="28" t="str">
        <f aca="false">IF($A177="","",IFERROR((COUNTIF(K177:R177,"כן")+0.5*COUNTIF(K177:R177,"קצת"))/(COUNTIF(K177:R177,"כן")+COUNTIF(K177:R177,"קצת")+COUNTIF(K177:R177,"עוד לא")),""))</f>
        <v/>
      </c>
      <c r="AM177" s="28" t="str">
        <f aca="false">IF($A177="","",IFERROR((COUNTIF(S177:Z177,"רוב הזמן")+0.5*COUNTIF(S177:Z177,"לפעמים"))/(COUNTIF(S177:Z177,"רוב הזמן")+COUNTIF(S177:Z177,"לפעמים")+COUNTIF(S177:Z177,"עדיין לא")),""))</f>
        <v/>
      </c>
      <c r="AN177" s="28" t="str">
        <f aca="false">IF($A177="","",IFERROR(1-SUMPRODUCT(ABS(((K177:R177="כן")+0.5*(K177:R177="קצת"))-((S177:Z177="רוב הזמן")+0.5*(S177:Z177="לפעמים")))*(((K177:R177="כן")+(K177:R177="קצת")+(K177:R177="עוד לא"))*((S177:Z177="רוב הזמן")+(S177:Z177="לפעמים")+(S177:Z177="עדיין לא"))))/SUMPRODUCT((((K177:R177="כן")+(K177:R177="קצת")+(K177:R177="עוד לא"))*((S177:Z177="רוב הזמן")+(S177:Z177="לפעמים")+(S177:Z177="עדיין לא")))),""))</f>
        <v/>
      </c>
      <c r="AO177" s="27" t="str">
        <f aca="false">IF($A177="","",SUMPRODUCT(((((K177:R177="כן")+0.5*(K177:R177="קצת"))-((S177:Z177="רוב הזמן")+0.5*(S177:Z177="לפעמים")))&gt;0.01)*(((K177:R177="כן")+(K177:R177="קצת")+(K177:R177="עוד לא"))*((S177:Z177="רוב הזמן")+(S177:Z177="לפעמים")+(S177:Z177="עדיין לא")))))</f>
        <v/>
      </c>
      <c r="AP177" s="27" t="str">
        <f aca="false">IF($A177="","",SUMPRODUCT(((((S177:Z177="רוב הזמן")+0.5*(S177:Z177="לפעמים"))-((K177:R177="כן")+0.5*(K177:R177="קצת")))&gt;0.01)*(((K177:R177="כן")+(K177:R177="קצת")+(K177:R177="עוד לא"))*((S177:Z177="רוב הזמן")+(S177:Z177="לפעמים")+(S177:Z177="עדיין לא")))))</f>
        <v/>
      </c>
      <c r="AQ177" s="27" t="str">
        <f aca="false">IF($A177="","",COUNTIF(AA177:AB177,"כן"))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7" t="str">
        <f aca="false">IF($A178="","",$A178&amp;"|"&amp;$C178)</f>
        <v/>
      </c>
      <c r="AG178" s="27" t="str">
        <f aca="false">IF($A178="","",IF(OR(H178="לא נבדק",H178=""),"לא נבדק",IF(AND(H178="בחר/ה בעצמו/ה",I178="כן",J178="לא"),"מלא",IF(OR(H178="בחר/ה בעצמו/ה",I178="כן"),"חלקי","עדיין לא"))))</f>
        <v/>
      </c>
      <c r="AH178" s="28" t="str">
        <f aca="false">IF($A178="","",IFERROR((COUNTIF(K178:L178,"כן")+0.5*COUNTIF(K178:L178,"קצת"))/(COUNTIF(K178:L178,"כן")+COUNTIF(K178:L178,"קצת")+COUNTIF(K178:L178,"עוד לא")),""))</f>
        <v/>
      </c>
      <c r="AI178" s="28" t="str">
        <f aca="false">IF($A178="","",IFERROR((COUNTIF(M178:N178,"כן")+0.5*COUNTIF(M178:N178,"קצת"))/(COUNTIF(M178:N178,"כן")+COUNTIF(M178:N178,"קצת")+COUNTIF(M178:N178,"עוד לא")),""))</f>
        <v/>
      </c>
      <c r="AJ178" s="28" t="str">
        <f aca="false">IF($A178="","",IFERROR((COUNTIF(O178:P178,"כן")+0.5*COUNTIF(O178:P178,"קצת"))/(COUNTIF(O178:P178,"כן")+COUNTIF(O178:P178,"קצת")+COUNTIF(O178:P178,"עוד לא")),""))</f>
        <v/>
      </c>
      <c r="AK178" s="28" t="str">
        <f aca="false">IF($A178="","",IFERROR((COUNTIF(Q178:R178,"כן")+0.5*COUNTIF(Q178:R178,"קצת"))/(COUNTIF(Q178:R178,"כן")+COUNTIF(Q178:R178,"קצת")+COUNTIF(Q178:R178,"עוד לא")),""))</f>
        <v/>
      </c>
      <c r="AL178" s="28" t="str">
        <f aca="false">IF($A178="","",IFERROR((COUNTIF(K178:R178,"כן")+0.5*COUNTIF(K178:R178,"קצת"))/(COUNTIF(K178:R178,"כן")+COUNTIF(K178:R178,"קצת")+COUNTIF(K178:R178,"עוד לא")),""))</f>
        <v/>
      </c>
      <c r="AM178" s="28" t="str">
        <f aca="false">IF($A178="","",IFERROR((COUNTIF(S178:Z178,"רוב הזמן")+0.5*COUNTIF(S178:Z178,"לפעמים"))/(COUNTIF(S178:Z178,"רוב הזמן")+COUNTIF(S178:Z178,"לפעמים")+COUNTIF(S178:Z178,"עדיין לא")),""))</f>
        <v/>
      </c>
      <c r="AN178" s="28" t="str">
        <f aca="false">IF($A178="","",IFERROR(1-SUMPRODUCT(ABS(((K178:R178="כן")+0.5*(K178:R178="קצת"))-((S178:Z178="רוב הזמן")+0.5*(S178:Z178="לפעמים")))*(((K178:R178="כן")+(K178:R178="קצת")+(K178:R178="עוד לא"))*((S178:Z178="רוב הזמן")+(S178:Z178="לפעמים")+(S178:Z178="עדיין לא"))))/SUMPRODUCT((((K178:R178="כן")+(K178:R178="קצת")+(K178:R178="עוד לא"))*((S178:Z178="רוב הזמן")+(S178:Z178="לפעמים")+(S178:Z178="עדיין לא")))),""))</f>
        <v/>
      </c>
      <c r="AO178" s="27" t="str">
        <f aca="false">IF($A178="","",SUMPRODUCT(((((K178:R178="כן")+0.5*(K178:R178="קצת"))-((S178:Z178="רוב הזמן")+0.5*(S178:Z178="לפעמים")))&gt;0.01)*(((K178:R178="כן")+(K178:R178="קצת")+(K178:R178="עוד לא"))*((S178:Z178="רוב הזמן")+(S178:Z178="לפעמים")+(S178:Z178="עדיין לא")))))</f>
        <v/>
      </c>
      <c r="AP178" s="27" t="str">
        <f aca="false">IF($A178="","",SUMPRODUCT(((((S178:Z178="רוב הזמן")+0.5*(S178:Z178="לפעמים"))-((K178:R178="כן")+0.5*(K178:R178="קצת")))&gt;0.01)*(((K178:R178="כן")+(K178:R178="קצת")+(K178:R178="עוד לא"))*((S178:Z178="רוב הזמן")+(S178:Z178="לפעמים")+(S178:Z178="עדיין לא")))))</f>
        <v/>
      </c>
      <c r="AQ178" s="27" t="str">
        <f aca="false">IF($A178="","",COUNTIF(AA178:AB178,"כן"))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7" t="str">
        <f aca="false">IF($A179="","",$A179&amp;"|"&amp;$C179)</f>
        <v/>
      </c>
      <c r="AG179" s="27" t="str">
        <f aca="false">IF($A179="","",IF(OR(H179="לא נבדק",H179=""),"לא נבדק",IF(AND(H179="בחר/ה בעצמו/ה",I179="כן",J179="לא"),"מלא",IF(OR(H179="בחר/ה בעצמו/ה",I179="כן"),"חלקי","עדיין לא"))))</f>
        <v/>
      </c>
      <c r="AH179" s="28" t="str">
        <f aca="false">IF($A179="","",IFERROR((COUNTIF(K179:L179,"כן")+0.5*COUNTIF(K179:L179,"קצת"))/(COUNTIF(K179:L179,"כן")+COUNTIF(K179:L179,"קצת")+COUNTIF(K179:L179,"עוד לא")),""))</f>
        <v/>
      </c>
      <c r="AI179" s="28" t="str">
        <f aca="false">IF($A179="","",IFERROR((COUNTIF(M179:N179,"כן")+0.5*COUNTIF(M179:N179,"קצת"))/(COUNTIF(M179:N179,"כן")+COUNTIF(M179:N179,"קצת")+COUNTIF(M179:N179,"עוד לא")),""))</f>
        <v/>
      </c>
      <c r="AJ179" s="28" t="str">
        <f aca="false">IF($A179="","",IFERROR((COUNTIF(O179:P179,"כן")+0.5*COUNTIF(O179:P179,"קצת"))/(COUNTIF(O179:P179,"כן")+COUNTIF(O179:P179,"קצת")+COUNTIF(O179:P179,"עוד לא")),""))</f>
        <v/>
      </c>
      <c r="AK179" s="28" t="str">
        <f aca="false">IF($A179="","",IFERROR((COUNTIF(Q179:R179,"כן")+0.5*COUNTIF(Q179:R179,"קצת"))/(COUNTIF(Q179:R179,"כן")+COUNTIF(Q179:R179,"קצת")+COUNTIF(Q179:R179,"עוד לא")),""))</f>
        <v/>
      </c>
      <c r="AL179" s="28" t="str">
        <f aca="false">IF($A179="","",IFERROR((COUNTIF(K179:R179,"כן")+0.5*COUNTIF(K179:R179,"קצת"))/(COUNTIF(K179:R179,"כן")+COUNTIF(K179:R179,"קצת")+COUNTIF(K179:R179,"עוד לא")),""))</f>
        <v/>
      </c>
      <c r="AM179" s="28" t="str">
        <f aca="false">IF($A179="","",IFERROR((COUNTIF(S179:Z179,"רוב הזמן")+0.5*COUNTIF(S179:Z179,"לפעמים"))/(COUNTIF(S179:Z179,"רוב הזמן")+COUNTIF(S179:Z179,"לפעמים")+COUNTIF(S179:Z179,"עדיין לא")),""))</f>
        <v/>
      </c>
      <c r="AN179" s="28" t="str">
        <f aca="false">IF($A179="","",IFERROR(1-SUMPRODUCT(ABS(((K179:R179="כן")+0.5*(K179:R179="קצת"))-((S179:Z179="רוב הזמן")+0.5*(S179:Z179="לפעמים")))*(((K179:R179="כן")+(K179:R179="קצת")+(K179:R179="עוד לא"))*((S179:Z179="רוב הזמן")+(S179:Z179="לפעמים")+(S179:Z179="עדיין לא"))))/SUMPRODUCT((((K179:R179="כן")+(K179:R179="קצת")+(K179:R179="עוד לא"))*((S179:Z179="רוב הזמן")+(S179:Z179="לפעמים")+(S179:Z179="עדיין לא")))),""))</f>
        <v/>
      </c>
      <c r="AO179" s="27" t="str">
        <f aca="false">IF($A179="","",SUMPRODUCT(((((K179:R179="כן")+0.5*(K179:R179="קצת"))-((S179:Z179="רוב הזמן")+0.5*(S179:Z179="לפעמים")))&gt;0.01)*(((K179:R179="כן")+(K179:R179="קצת")+(K179:R179="עוד לא"))*((S179:Z179="רוב הזמן")+(S179:Z179="לפעמים")+(S179:Z179="עדיין לא")))))</f>
        <v/>
      </c>
      <c r="AP179" s="27" t="str">
        <f aca="false">IF($A179="","",SUMPRODUCT(((((S179:Z179="רוב הזמן")+0.5*(S179:Z179="לפעמים"))-((K179:R179="כן")+0.5*(K179:R179="קצת")))&gt;0.01)*(((K179:R179="כן")+(K179:R179="קצת")+(K179:R179="עוד לא"))*((S179:Z179="רוב הזמן")+(S179:Z179="לפעמים")+(S179:Z179="עדיין לא")))))</f>
        <v/>
      </c>
      <c r="AQ179" s="27" t="str">
        <f aca="false">IF($A179="","",COUNTIF(AA179:AB179,"כן"))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7" t="str">
        <f aca="false">IF($A180="","",$A180&amp;"|"&amp;$C180)</f>
        <v/>
      </c>
      <c r="AG180" s="27" t="str">
        <f aca="false">IF($A180="","",IF(OR(H180="לא נבדק",H180=""),"לא נבדק",IF(AND(H180="בחר/ה בעצמו/ה",I180="כן",J180="לא"),"מלא",IF(OR(H180="בחר/ה בעצמו/ה",I180="כן"),"חלקי","עדיין לא"))))</f>
        <v/>
      </c>
      <c r="AH180" s="28" t="str">
        <f aca="false">IF($A180="","",IFERROR((COUNTIF(K180:L180,"כן")+0.5*COUNTIF(K180:L180,"קצת"))/(COUNTIF(K180:L180,"כן")+COUNTIF(K180:L180,"קצת")+COUNTIF(K180:L180,"עוד לא")),""))</f>
        <v/>
      </c>
      <c r="AI180" s="28" t="str">
        <f aca="false">IF($A180="","",IFERROR((COUNTIF(M180:N180,"כן")+0.5*COUNTIF(M180:N180,"קצת"))/(COUNTIF(M180:N180,"כן")+COUNTIF(M180:N180,"קצת")+COUNTIF(M180:N180,"עוד לא")),""))</f>
        <v/>
      </c>
      <c r="AJ180" s="28" t="str">
        <f aca="false">IF($A180="","",IFERROR((COUNTIF(O180:P180,"כן")+0.5*COUNTIF(O180:P180,"קצת"))/(COUNTIF(O180:P180,"כן")+COUNTIF(O180:P180,"קצת")+COUNTIF(O180:P180,"עוד לא")),""))</f>
        <v/>
      </c>
      <c r="AK180" s="28" t="str">
        <f aca="false">IF($A180="","",IFERROR((COUNTIF(Q180:R180,"כן")+0.5*COUNTIF(Q180:R180,"קצת"))/(COUNTIF(Q180:R180,"כן")+COUNTIF(Q180:R180,"קצת")+COUNTIF(Q180:R180,"עוד לא")),""))</f>
        <v/>
      </c>
      <c r="AL180" s="28" t="str">
        <f aca="false">IF($A180="","",IFERROR((COUNTIF(K180:R180,"כן")+0.5*COUNTIF(K180:R180,"קצת"))/(COUNTIF(K180:R180,"כן")+COUNTIF(K180:R180,"קצת")+COUNTIF(K180:R180,"עוד לא")),""))</f>
        <v/>
      </c>
      <c r="AM180" s="28" t="str">
        <f aca="false">IF($A180="","",IFERROR((COUNTIF(S180:Z180,"רוב הזמן")+0.5*COUNTIF(S180:Z180,"לפעמים"))/(COUNTIF(S180:Z180,"רוב הזמן")+COUNTIF(S180:Z180,"לפעמים")+COUNTIF(S180:Z180,"עדיין לא")),""))</f>
        <v/>
      </c>
      <c r="AN180" s="28" t="str">
        <f aca="false">IF($A180="","",IFERROR(1-SUMPRODUCT(ABS(((K180:R180="כן")+0.5*(K180:R180="קצת"))-((S180:Z180="רוב הזמן")+0.5*(S180:Z180="לפעמים")))*(((K180:R180="כן")+(K180:R180="קצת")+(K180:R180="עוד לא"))*((S180:Z180="רוב הזמן")+(S180:Z180="לפעמים")+(S180:Z180="עדיין לא"))))/SUMPRODUCT((((K180:R180="כן")+(K180:R180="קצת")+(K180:R180="עוד לא"))*((S180:Z180="רוב הזמן")+(S180:Z180="לפעמים")+(S180:Z180="עדיין לא")))),""))</f>
        <v/>
      </c>
      <c r="AO180" s="27" t="str">
        <f aca="false">IF($A180="","",SUMPRODUCT(((((K180:R180="כן")+0.5*(K180:R180="קצת"))-((S180:Z180="רוב הזמן")+0.5*(S180:Z180="לפעמים")))&gt;0.01)*(((K180:R180="כן")+(K180:R180="קצת")+(K180:R180="עוד לא"))*((S180:Z180="רוב הזמן")+(S180:Z180="לפעמים")+(S180:Z180="עדיין לא")))))</f>
        <v/>
      </c>
      <c r="AP180" s="27" t="str">
        <f aca="false">IF($A180="","",SUMPRODUCT(((((S180:Z180="רוב הזמן")+0.5*(S180:Z180="לפעמים"))-((K180:R180="כן")+0.5*(K180:R180="קצת")))&gt;0.01)*(((K180:R180="כן")+(K180:R180="קצת")+(K180:R180="עוד לא"))*((S180:Z180="רוב הזמן")+(S180:Z180="לפעמים")+(S180:Z180="עדיין לא")))))</f>
        <v/>
      </c>
      <c r="AQ180" s="27" t="str">
        <f aca="false">IF($A180="","",COUNTIF(AA180:AB180,"כן"))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7" t="str">
        <f aca="false">IF($A181="","",$A181&amp;"|"&amp;$C181)</f>
        <v/>
      </c>
      <c r="AG181" s="27" t="str">
        <f aca="false">IF($A181="","",IF(OR(H181="לא נבדק",H181=""),"לא נבדק",IF(AND(H181="בחר/ה בעצמו/ה",I181="כן",J181="לא"),"מלא",IF(OR(H181="בחר/ה בעצמו/ה",I181="כן"),"חלקי","עדיין לא"))))</f>
        <v/>
      </c>
      <c r="AH181" s="28" t="str">
        <f aca="false">IF($A181="","",IFERROR((COUNTIF(K181:L181,"כן")+0.5*COUNTIF(K181:L181,"קצת"))/(COUNTIF(K181:L181,"כן")+COUNTIF(K181:L181,"קצת")+COUNTIF(K181:L181,"עוד לא")),""))</f>
        <v/>
      </c>
      <c r="AI181" s="28" t="str">
        <f aca="false">IF($A181="","",IFERROR((COUNTIF(M181:N181,"כן")+0.5*COUNTIF(M181:N181,"קצת"))/(COUNTIF(M181:N181,"כן")+COUNTIF(M181:N181,"קצת")+COUNTIF(M181:N181,"עוד לא")),""))</f>
        <v/>
      </c>
      <c r="AJ181" s="28" t="str">
        <f aca="false">IF($A181="","",IFERROR((COUNTIF(O181:P181,"כן")+0.5*COUNTIF(O181:P181,"קצת"))/(COUNTIF(O181:P181,"כן")+COUNTIF(O181:P181,"קצת")+COUNTIF(O181:P181,"עוד לא")),""))</f>
        <v/>
      </c>
      <c r="AK181" s="28" t="str">
        <f aca="false">IF($A181="","",IFERROR((COUNTIF(Q181:R181,"כן")+0.5*COUNTIF(Q181:R181,"קצת"))/(COUNTIF(Q181:R181,"כן")+COUNTIF(Q181:R181,"קצת")+COUNTIF(Q181:R181,"עוד לא")),""))</f>
        <v/>
      </c>
      <c r="AL181" s="28" t="str">
        <f aca="false">IF($A181="","",IFERROR((COUNTIF(K181:R181,"כן")+0.5*COUNTIF(K181:R181,"קצת"))/(COUNTIF(K181:R181,"כן")+COUNTIF(K181:R181,"קצת")+COUNTIF(K181:R181,"עוד לא")),""))</f>
        <v/>
      </c>
      <c r="AM181" s="28" t="str">
        <f aca="false">IF($A181="","",IFERROR((COUNTIF(S181:Z181,"רוב הזמן")+0.5*COUNTIF(S181:Z181,"לפעמים"))/(COUNTIF(S181:Z181,"רוב הזמן")+COUNTIF(S181:Z181,"לפעמים")+COUNTIF(S181:Z181,"עדיין לא")),""))</f>
        <v/>
      </c>
      <c r="AN181" s="28" t="str">
        <f aca="false">IF($A181="","",IFERROR(1-SUMPRODUCT(ABS(((K181:R181="כן")+0.5*(K181:R181="קצת"))-((S181:Z181="רוב הזמן")+0.5*(S181:Z181="לפעמים")))*(((K181:R181="כן")+(K181:R181="קצת")+(K181:R181="עוד לא"))*((S181:Z181="רוב הזמן")+(S181:Z181="לפעמים")+(S181:Z181="עדיין לא"))))/SUMPRODUCT((((K181:R181="כן")+(K181:R181="קצת")+(K181:R181="עוד לא"))*((S181:Z181="רוב הזמן")+(S181:Z181="לפעמים")+(S181:Z181="עדיין לא")))),""))</f>
        <v/>
      </c>
      <c r="AO181" s="27" t="str">
        <f aca="false">IF($A181="","",SUMPRODUCT(((((K181:R181="כן")+0.5*(K181:R181="קצת"))-((S181:Z181="רוב הזמן")+0.5*(S181:Z181="לפעמים")))&gt;0.01)*(((K181:R181="כן")+(K181:R181="קצת")+(K181:R181="עוד לא"))*((S181:Z181="רוב הזמן")+(S181:Z181="לפעמים")+(S181:Z181="עדיין לא")))))</f>
        <v/>
      </c>
      <c r="AP181" s="27" t="str">
        <f aca="false">IF($A181="","",SUMPRODUCT(((((S181:Z181="רוב הזמן")+0.5*(S181:Z181="לפעמים"))-((K181:R181="כן")+0.5*(K181:R181="קצת")))&gt;0.01)*(((K181:R181="כן")+(K181:R181="קצת")+(K181:R181="עוד לא"))*((S181:Z181="רוב הזמן")+(S181:Z181="לפעמים")+(S181:Z181="עדיין לא")))))</f>
        <v/>
      </c>
      <c r="AQ181" s="27" t="str">
        <f aca="false">IF($A181="","",COUNTIF(AA181:AB181,"כן"))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7" t="str">
        <f aca="false">IF($A182="","",$A182&amp;"|"&amp;$C182)</f>
        <v/>
      </c>
      <c r="AG182" s="27" t="str">
        <f aca="false">IF($A182="","",IF(OR(H182="לא נבדק",H182=""),"לא נבדק",IF(AND(H182="בחר/ה בעצמו/ה",I182="כן",J182="לא"),"מלא",IF(OR(H182="בחר/ה בעצמו/ה",I182="כן"),"חלקי","עדיין לא"))))</f>
        <v/>
      </c>
      <c r="AH182" s="28" t="str">
        <f aca="false">IF($A182="","",IFERROR((COUNTIF(K182:L182,"כן")+0.5*COUNTIF(K182:L182,"קצת"))/(COUNTIF(K182:L182,"כן")+COUNTIF(K182:L182,"קצת")+COUNTIF(K182:L182,"עוד לא")),""))</f>
        <v/>
      </c>
      <c r="AI182" s="28" t="str">
        <f aca="false">IF($A182="","",IFERROR((COUNTIF(M182:N182,"כן")+0.5*COUNTIF(M182:N182,"קצת"))/(COUNTIF(M182:N182,"כן")+COUNTIF(M182:N182,"קצת")+COUNTIF(M182:N182,"עוד לא")),""))</f>
        <v/>
      </c>
      <c r="AJ182" s="28" t="str">
        <f aca="false">IF($A182="","",IFERROR((COUNTIF(O182:P182,"כן")+0.5*COUNTIF(O182:P182,"קצת"))/(COUNTIF(O182:P182,"כן")+COUNTIF(O182:P182,"קצת")+COUNTIF(O182:P182,"עוד לא")),""))</f>
        <v/>
      </c>
      <c r="AK182" s="28" t="str">
        <f aca="false">IF($A182="","",IFERROR((COUNTIF(Q182:R182,"כן")+0.5*COUNTIF(Q182:R182,"קצת"))/(COUNTIF(Q182:R182,"כן")+COUNTIF(Q182:R182,"קצת")+COUNTIF(Q182:R182,"עוד לא")),""))</f>
        <v/>
      </c>
      <c r="AL182" s="28" t="str">
        <f aca="false">IF($A182="","",IFERROR((COUNTIF(K182:R182,"כן")+0.5*COUNTIF(K182:R182,"קצת"))/(COUNTIF(K182:R182,"כן")+COUNTIF(K182:R182,"קצת")+COUNTIF(K182:R182,"עוד לא")),""))</f>
        <v/>
      </c>
      <c r="AM182" s="28" t="str">
        <f aca="false">IF($A182="","",IFERROR((COUNTIF(S182:Z182,"רוב הזמן")+0.5*COUNTIF(S182:Z182,"לפעמים"))/(COUNTIF(S182:Z182,"רוב הזמן")+COUNTIF(S182:Z182,"לפעמים")+COUNTIF(S182:Z182,"עדיין לא")),""))</f>
        <v/>
      </c>
      <c r="AN182" s="28" t="str">
        <f aca="false">IF($A182="","",IFERROR(1-SUMPRODUCT(ABS(((K182:R182="כן")+0.5*(K182:R182="קצת"))-((S182:Z182="רוב הזמן")+0.5*(S182:Z182="לפעמים")))*(((K182:R182="כן")+(K182:R182="קצת")+(K182:R182="עוד לא"))*((S182:Z182="רוב הזמן")+(S182:Z182="לפעמים")+(S182:Z182="עדיין לא"))))/SUMPRODUCT((((K182:R182="כן")+(K182:R182="קצת")+(K182:R182="עוד לא"))*((S182:Z182="רוב הזמן")+(S182:Z182="לפעמים")+(S182:Z182="עדיין לא")))),""))</f>
        <v/>
      </c>
      <c r="AO182" s="27" t="str">
        <f aca="false">IF($A182="","",SUMPRODUCT(((((K182:R182="כן")+0.5*(K182:R182="קצת"))-((S182:Z182="רוב הזמן")+0.5*(S182:Z182="לפעמים")))&gt;0.01)*(((K182:R182="כן")+(K182:R182="קצת")+(K182:R182="עוד לא"))*((S182:Z182="רוב הזמן")+(S182:Z182="לפעמים")+(S182:Z182="עדיין לא")))))</f>
        <v/>
      </c>
      <c r="AP182" s="27" t="str">
        <f aca="false">IF($A182="","",SUMPRODUCT(((((S182:Z182="רוב הזמן")+0.5*(S182:Z182="לפעמים"))-((K182:R182="כן")+0.5*(K182:R182="קצת")))&gt;0.01)*(((K182:R182="כן")+(K182:R182="קצת")+(K182:R182="עוד לא"))*((S182:Z182="רוב הזמן")+(S182:Z182="לפעמים")+(S182:Z182="עדיין לא")))))</f>
        <v/>
      </c>
      <c r="AQ182" s="27" t="str">
        <f aca="false">IF($A182="","",COUNTIF(AA182:AB182,"כן"))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7" t="str">
        <f aca="false">IF($A183="","",$A183&amp;"|"&amp;$C183)</f>
        <v/>
      </c>
      <c r="AG183" s="27" t="str">
        <f aca="false">IF($A183="","",IF(OR(H183="לא נבדק",H183=""),"לא נבדק",IF(AND(H183="בחר/ה בעצמו/ה",I183="כן",J183="לא"),"מלא",IF(OR(H183="בחר/ה בעצמו/ה",I183="כן"),"חלקי","עדיין לא"))))</f>
        <v/>
      </c>
      <c r="AH183" s="28" t="str">
        <f aca="false">IF($A183="","",IFERROR((COUNTIF(K183:L183,"כן")+0.5*COUNTIF(K183:L183,"קצת"))/(COUNTIF(K183:L183,"כן")+COUNTIF(K183:L183,"קצת")+COUNTIF(K183:L183,"עוד לא")),""))</f>
        <v/>
      </c>
      <c r="AI183" s="28" t="str">
        <f aca="false">IF($A183="","",IFERROR((COUNTIF(M183:N183,"כן")+0.5*COUNTIF(M183:N183,"קצת"))/(COUNTIF(M183:N183,"כן")+COUNTIF(M183:N183,"קצת")+COUNTIF(M183:N183,"עוד לא")),""))</f>
        <v/>
      </c>
      <c r="AJ183" s="28" t="str">
        <f aca="false">IF($A183="","",IFERROR((COUNTIF(O183:P183,"כן")+0.5*COUNTIF(O183:P183,"קצת"))/(COUNTIF(O183:P183,"כן")+COUNTIF(O183:P183,"קצת")+COUNTIF(O183:P183,"עוד לא")),""))</f>
        <v/>
      </c>
      <c r="AK183" s="28" t="str">
        <f aca="false">IF($A183="","",IFERROR((COUNTIF(Q183:R183,"כן")+0.5*COUNTIF(Q183:R183,"קצת"))/(COUNTIF(Q183:R183,"כן")+COUNTIF(Q183:R183,"קצת")+COUNTIF(Q183:R183,"עוד לא")),""))</f>
        <v/>
      </c>
      <c r="AL183" s="28" t="str">
        <f aca="false">IF($A183="","",IFERROR((COUNTIF(K183:R183,"כן")+0.5*COUNTIF(K183:R183,"קצת"))/(COUNTIF(K183:R183,"כן")+COUNTIF(K183:R183,"קצת")+COUNTIF(K183:R183,"עוד לא")),""))</f>
        <v/>
      </c>
      <c r="AM183" s="28" t="str">
        <f aca="false">IF($A183="","",IFERROR((COUNTIF(S183:Z183,"רוב הזמן")+0.5*COUNTIF(S183:Z183,"לפעמים"))/(COUNTIF(S183:Z183,"רוב הזמן")+COUNTIF(S183:Z183,"לפעמים")+COUNTIF(S183:Z183,"עדיין לא")),""))</f>
        <v/>
      </c>
      <c r="AN183" s="28" t="str">
        <f aca="false">IF($A183="","",IFERROR(1-SUMPRODUCT(ABS(((K183:R183="כן")+0.5*(K183:R183="קצת"))-((S183:Z183="רוב הזמן")+0.5*(S183:Z183="לפעמים")))*(((K183:R183="כן")+(K183:R183="קצת")+(K183:R183="עוד לא"))*((S183:Z183="רוב הזמן")+(S183:Z183="לפעמים")+(S183:Z183="עדיין לא"))))/SUMPRODUCT((((K183:R183="כן")+(K183:R183="קצת")+(K183:R183="עוד לא"))*((S183:Z183="רוב הזמן")+(S183:Z183="לפעמים")+(S183:Z183="עדיין לא")))),""))</f>
        <v/>
      </c>
      <c r="AO183" s="27" t="str">
        <f aca="false">IF($A183="","",SUMPRODUCT(((((K183:R183="כן")+0.5*(K183:R183="קצת"))-((S183:Z183="רוב הזמן")+0.5*(S183:Z183="לפעמים")))&gt;0.01)*(((K183:R183="כן")+(K183:R183="קצת")+(K183:R183="עוד לא"))*((S183:Z183="רוב הזמן")+(S183:Z183="לפעמים")+(S183:Z183="עדיין לא")))))</f>
        <v/>
      </c>
      <c r="AP183" s="27" t="str">
        <f aca="false">IF($A183="","",SUMPRODUCT(((((S183:Z183="רוב הזמן")+0.5*(S183:Z183="לפעמים"))-((K183:R183="כן")+0.5*(K183:R183="קצת")))&gt;0.01)*(((K183:R183="כן")+(K183:R183="קצת")+(K183:R183="עוד לא"))*((S183:Z183="רוב הזמן")+(S183:Z183="לפעמים")+(S183:Z183="עדיין לא")))))</f>
        <v/>
      </c>
      <c r="AQ183" s="27" t="str">
        <f aca="false">IF($A183="","",COUNTIF(AA183:AB183,"כן"))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7" t="str">
        <f aca="false">IF($A184="","",$A184&amp;"|"&amp;$C184)</f>
        <v/>
      </c>
      <c r="AG184" s="27" t="str">
        <f aca="false">IF($A184="","",IF(OR(H184="לא נבדק",H184=""),"לא נבדק",IF(AND(H184="בחר/ה בעצמו/ה",I184="כן",J184="לא"),"מלא",IF(OR(H184="בחר/ה בעצמו/ה",I184="כן"),"חלקי","עדיין לא"))))</f>
        <v/>
      </c>
      <c r="AH184" s="28" t="str">
        <f aca="false">IF($A184="","",IFERROR((COUNTIF(K184:L184,"כן")+0.5*COUNTIF(K184:L184,"קצת"))/(COUNTIF(K184:L184,"כן")+COUNTIF(K184:L184,"קצת")+COUNTIF(K184:L184,"עוד לא")),""))</f>
        <v/>
      </c>
      <c r="AI184" s="28" t="str">
        <f aca="false">IF($A184="","",IFERROR((COUNTIF(M184:N184,"כן")+0.5*COUNTIF(M184:N184,"קצת"))/(COUNTIF(M184:N184,"כן")+COUNTIF(M184:N184,"קצת")+COUNTIF(M184:N184,"עוד לא")),""))</f>
        <v/>
      </c>
      <c r="AJ184" s="28" t="str">
        <f aca="false">IF($A184="","",IFERROR((COUNTIF(O184:P184,"כן")+0.5*COUNTIF(O184:P184,"קצת"))/(COUNTIF(O184:P184,"כן")+COUNTIF(O184:P184,"קצת")+COUNTIF(O184:P184,"עוד לא")),""))</f>
        <v/>
      </c>
      <c r="AK184" s="28" t="str">
        <f aca="false">IF($A184="","",IFERROR((COUNTIF(Q184:R184,"כן")+0.5*COUNTIF(Q184:R184,"קצת"))/(COUNTIF(Q184:R184,"כן")+COUNTIF(Q184:R184,"קצת")+COUNTIF(Q184:R184,"עוד לא")),""))</f>
        <v/>
      </c>
      <c r="AL184" s="28" t="str">
        <f aca="false">IF($A184="","",IFERROR((COUNTIF(K184:R184,"כן")+0.5*COUNTIF(K184:R184,"קצת"))/(COUNTIF(K184:R184,"כן")+COUNTIF(K184:R184,"קצת")+COUNTIF(K184:R184,"עוד לא")),""))</f>
        <v/>
      </c>
      <c r="AM184" s="28" t="str">
        <f aca="false">IF($A184="","",IFERROR((COUNTIF(S184:Z184,"רוב הזמן")+0.5*COUNTIF(S184:Z184,"לפעמים"))/(COUNTIF(S184:Z184,"רוב הזמן")+COUNTIF(S184:Z184,"לפעמים")+COUNTIF(S184:Z184,"עדיין לא")),""))</f>
        <v/>
      </c>
      <c r="AN184" s="28" t="str">
        <f aca="false">IF($A184="","",IFERROR(1-SUMPRODUCT(ABS(((K184:R184="כן")+0.5*(K184:R184="קצת"))-((S184:Z184="רוב הזמן")+0.5*(S184:Z184="לפעמים")))*(((K184:R184="כן")+(K184:R184="קצת")+(K184:R184="עוד לא"))*((S184:Z184="רוב הזמן")+(S184:Z184="לפעמים")+(S184:Z184="עדיין לא"))))/SUMPRODUCT((((K184:R184="כן")+(K184:R184="קצת")+(K184:R184="עוד לא"))*((S184:Z184="רוב הזמן")+(S184:Z184="לפעמים")+(S184:Z184="עדיין לא")))),""))</f>
        <v/>
      </c>
      <c r="AO184" s="27" t="str">
        <f aca="false">IF($A184="","",SUMPRODUCT(((((K184:R184="כן")+0.5*(K184:R184="קצת"))-((S184:Z184="רוב הזמן")+0.5*(S184:Z184="לפעמים")))&gt;0.01)*(((K184:R184="כן")+(K184:R184="קצת")+(K184:R184="עוד לא"))*((S184:Z184="רוב הזמן")+(S184:Z184="לפעמים")+(S184:Z184="עדיין לא")))))</f>
        <v/>
      </c>
      <c r="AP184" s="27" t="str">
        <f aca="false">IF($A184="","",SUMPRODUCT(((((S184:Z184="רוב הזמן")+0.5*(S184:Z184="לפעמים"))-((K184:R184="כן")+0.5*(K184:R184="קצת")))&gt;0.01)*(((K184:R184="כן")+(K184:R184="קצת")+(K184:R184="עוד לא"))*((S184:Z184="רוב הזמן")+(S184:Z184="לפעמים")+(S184:Z184="עדיין לא")))))</f>
        <v/>
      </c>
      <c r="AQ184" s="27" t="str">
        <f aca="false">IF($A184="","",COUNTIF(AA184:AB184,"כן"))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7" t="str">
        <f aca="false">IF($A185="","",$A185&amp;"|"&amp;$C185)</f>
        <v/>
      </c>
      <c r="AG185" s="27" t="str">
        <f aca="false">IF($A185="","",IF(OR(H185="לא נבדק",H185=""),"לא נבדק",IF(AND(H185="בחר/ה בעצמו/ה",I185="כן",J185="לא"),"מלא",IF(OR(H185="בחר/ה בעצמו/ה",I185="כן"),"חלקי","עדיין לא"))))</f>
        <v/>
      </c>
      <c r="AH185" s="28" t="str">
        <f aca="false">IF($A185="","",IFERROR((COUNTIF(K185:L185,"כן")+0.5*COUNTIF(K185:L185,"קצת"))/(COUNTIF(K185:L185,"כן")+COUNTIF(K185:L185,"קצת")+COUNTIF(K185:L185,"עוד לא")),""))</f>
        <v/>
      </c>
      <c r="AI185" s="28" t="str">
        <f aca="false">IF($A185="","",IFERROR((COUNTIF(M185:N185,"כן")+0.5*COUNTIF(M185:N185,"קצת"))/(COUNTIF(M185:N185,"כן")+COUNTIF(M185:N185,"קצת")+COUNTIF(M185:N185,"עוד לא")),""))</f>
        <v/>
      </c>
      <c r="AJ185" s="28" t="str">
        <f aca="false">IF($A185="","",IFERROR((COUNTIF(O185:P185,"כן")+0.5*COUNTIF(O185:P185,"קצת"))/(COUNTIF(O185:P185,"כן")+COUNTIF(O185:P185,"קצת")+COUNTIF(O185:P185,"עוד לא")),""))</f>
        <v/>
      </c>
      <c r="AK185" s="28" t="str">
        <f aca="false">IF($A185="","",IFERROR((COUNTIF(Q185:R185,"כן")+0.5*COUNTIF(Q185:R185,"קצת"))/(COUNTIF(Q185:R185,"כן")+COUNTIF(Q185:R185,"קצת")+COUNTIF(Q185:R185,"עוד לא")),""))</f>
        <v/>
      </c>
      <c r="AL185" s="28" t="str">
        <f aca="false">IF($A185="","",IFERROR((COUNTIF(K185:R185,"כן")+0.5*COUNTIF(K185:R185,"קצת"))/(COUNTIF(K185:R185,"כן")+COUNTIF(K185:R185,"קצת")+COUNTIF(K185:R185,"עוד לא")),""))</f>
        <v/>
      </c>
      <c r="AM185" s="28" t="str">
        <f aca="false">IF($A185="","",IFERROR((COUNTIF(S185:Z185,"רוב הזמן")+0.5*COUNTIF(S185:Z185,"לפעמים"))/(COUNTIF(S185:Z185,"רוב הזמן")+COUNTIF(S185:Z185,"לפעמים")+COUNTIF(S185:Z185,"עדיין לא")),""))</f>
        <v/>
      </c>
      <c r="AN185" s="28" t="str">
        <f aca="false">IF($A185="","",IFERROR(1-SUMPRODUCT(ABS(((K185:R185="כן")+0.5*(K185:R185="קצת"))-((S185:Z185="רוב הזמן")+0.5*(S185:Z185="לפעמים")))*(((K185:R185="כן")+(K185:R185="קצת")+(K185:R185="עוד לא"))*((S185:Z185="רוב הזמן")+(S185:Z185="לפעמים")+(S185:Z185="עדיין לא"))))/SUMPRODUCT((((K185:R185="כן")+(K185:R185="קצת")+(K185:R185="עוד לא"))*((S185:Z185="רוב הזמן")+(S185:Z185="לפעמים")+(S185:Z185="עדיין לא")))),""))</f>
        <v/>
      </c>
      <c r="AO185" s="27" t="str">
        <f aca="false">IF($A185="","",SUMPRODUCT(((((K185:R185="כן")+0.5*(K185:R185="קצת"))-((S185:Z185="רוב הזמן")+0.5*(S185:Z185="לפעמים")))&gt;0.01)*(((K185:R185="כן")+(K185:R185="קצת")+(K185:R185="עוד לא"))*((S185:Z185="רוב הזמן")+(S185:Z185="לפעמים")+(S185:Z185="עדיין לא")))))</f>
        <v/>
      </c>
      <c r="AP185" s="27" t="str">
        <f aca="false">IF($A185="","",SUMPRODUCT(((((S185:Z185="רוב הזמן")+0.5*(S185:Z185="לפעמים"))-((K185:R185="כן")+0.5*(K185:R185="קצת")))&gt;0.01)*(((K185:R185="כן")+(K185:R185="קצת")+(K185:R185="עוד לא"))*((S185:Z185="רוב הזמן")+(S185:Z185="לפעמים")+(S185:Z185="עדיין לא")))))</f>
        <v/>
      </c>
      <c r="AQ185" s="27" t="str">
        <f aca="false">IF($A185="","",COUNTIF(AA185:AB185,"כן"))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7" t="str">
        <f aca="false">IF($A186="","",$A186&amp;"|"&amp;$C186)</f>
        <v/>
      </c>
      <c r="AG186" s="27" t="str">
        <f aca="false">IF($A186="","",IF(OR(H186="לא נבדק",H186=""),"לא נבדק",IF(AND(H186="בחר/ה בעצמו/ה",I186="כן",J186="לא"),"מלא",IF(OR(H186="בחר/ה בעצמו/ה",I186="כן"),"חלקי","עדיין לא"))))</f>
        <v/>
      </c>
      <c r="AH186" s="28" t="str">
        <f aca="false">IF($A186="","",IFERROR((COUNTIF(K186:L186,"כן")+0.5*COUNTIF(K186:L186,"קצת"))/(COUNTIF(K186:L186,"כן")+COUNTIF(K186:L186,"קצת")+COUNTIF(K186:L186,"עוד לא")),""))</f>
        <v/>
      </c>
      <c r="AI186" s="28" t="str">
        <f aca="false">IF($A186="","",IFERROR((COUNTIF(M186:N186,"כן")+0.5*COUNTIF(M186:N186,"קצת"))/(COUNTIF(M186:N186,"כן")+COUNTIF(M186:N186,"קצת")+COUNTIF(M186:N186,"עוד לא")),""))</f>
        <v/>
      </c>
      <c r="AJ186" s="28" t="str">
        <f aca="false">IF($A186="","",IFERROR((COUNTIF(O186:P186,"כן")+0.5*COUNTIF(O186:P186,"קצת"))/(COUNTIF(O186:P186,"כן")+COUNTIF(O186:P186,"קצת")+COUNTIF(O186:P186,"עוד לא")),""))</f>
        <v/>
      </c>
      <c r="AK186" s="28" t="str">
        <f aca="false">IF($A186="","",IFERROR((COUNTIF(Q186:R186,"כן")+0.5*COUNTIF(Q186:R186,"קצת"))/(COUNTIF(Q186:R186,"כן")+COUNTIF(Q186:R186,"קצת")+COUNTIF(Q186:R186,"עוד לא")),""))</f>
        <v/>
      </c>
      <c r="AL186" s="28" t="str">
        <f aca="false">IF($A186="","",IFERROR((COUNTIF(K186:R186,"כן")+0.5*COUNTIF(K186:R186,"קצת"))/(COUNTIF(K186:R186,"כן")+COUNTIF(K186:R186,"קצת")+COUNTIF(K186:R186,"עוד לא")),""))</f>
        <v/>
      </c>
      <c r="AM186" s="28" t="str">
        <f aca="false">IF($A186="","",IFERROR((COUNTIF(S186:Z186,"רוב הזמן")+0.5*COUNTIF(S186:Z186,"לפעמים"))/(COUNTIF(S186:Z186,"רוב הזמן")+COUNTIF(S186:Z186,"לפעמים")+COUNTIF(S186:Z186,"עדיין לא")),""))</f>
        <v/>
      </c>
      <c r="AN186" s="28" t="str">
        <f aca="false">IF($A186="","",IFERROR(1-SUMPRODUCT(ABS(((K186:R186="כן")+0.5*(K186:R186="קצת"))-((S186:Z186="רוב הזמן")+0.5*(S186:Z186="לפעמים")))*(((K186:R186="כן")+(K186:R186="קצת")+(K186:R186="עוד לא"))*((S186:Z186="רוב הזמן")+(S186:Z186="לפעמים")+(S186:Z186="עדיין לא"))))/SUMPRODUCT((((K186:R186="כן")+(K186:R186="קצת")+(K186:R186="עוד לא"))*((S186:Z186="רוב הזמן")+(S186:Z186="לפעמים")+(S186:Z186="עדיין לא")))),""))</f>
        <v/>
      </c>
      <c r="AO186" s="27" t="str">
        <f aca="false">IF($A186="","",SUMPRODUCT(((((K186:R186="כן")+0.5*(K186:R186="קצת"))-((S186:Z186="רוב הזמן")+0.5*(S186:Z186="לפעמים")))&gt;0.01)*(((K186:R186="כן")+(K186:R186="קצת")+(K186:R186="עוד לא"))*((S186:Z186="רוב הזמן")+(S186:Z186="לפעמים")+(S186:Z186="עדיין לא")))))</f>
        <v/>
      </c>
      <c r="AP186" s="27" t="str">
        <f aca="false">IF($A186="","",SUMPRODUCT(((((S186:Z186="רוב הזמן")+0.5*(S186:Z186="לפעמים"))-((K186:R186="כן")+0.5*(K186:R186="קצת")))&gt;0.01)*(((K186:R186="כן")+(K186:R186="קצת")+(K186:R186="עוד לא"))*((S186:Z186="רוב הזמן")+(S186:Z186="לפעמים")+(S186:Z186="עדיין לא")))))</f>
        <v/>
      </c>
      <c r="AQ186" s="27" t="str">
        <f aca="false">IF($A186="","",COUNTIF(AA186:AB186,"כן"))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7" t="str">
        <f aca="false">IF($A187="","",$A187&amp;"|"&amp;$C187)</f>
        <v/>
      </c>
      <c r="AG187" s="27" t="str">
        <f aca="false">IF($A187="","",IF(OR(H187="לא נבדק",H187=""),"לא נבדק",IF(AND(H187="בחר/ה בעצמו/ה",I187="כן",J187="לא"),"מלא",IF(OR(H187="בחר/ה בעצמו/ה",I187="כן"),"חלקי","עדיין לא"))))</f>
        <v/>
      </c>
      <c r="AH187" s="28" t="str">
        <f aca="false">IF($A187="","",IFERROR((COUNTIF(K187:L187,"כן")+0.5*COUNTIF(K187:L187,"קצת"))/(COUNTIF(K187:L187,"כן")+COUNTIF(K187:L187,"קצת")+COUNTIF(K187:L187,"עוד לא")),""))</f>
        <v/>
      </c>
      <c r="AI187" s="28" t="str">
        <f aca="false">IF($A187="","",IFERROR((COUNTIF(M187:N187,"כן")+0.5*COUNTIF(M187:N187,"קצת"))/(COUNTIF(M187:N187,"כן")+COUNTIF(M187:N187,"קצת")+COUNTIF(M187:N187,"עוד לא")),""))</f>
        <v/>
      </c>
      <c r="AJ187" s="28" t="str">
        <f aca="false">IF($A187="","",IFERROR((COUNTIF(O187:P187,"כן")+0.5*COUNTIF(O187:P187,"קצת"))/(COUNTIF(O187:P187,"כן")+COUNTIF(O187:P187,"קצת")+COUNTIF(O187:P187,"עוד לא")),""))</f>
        <v/>
      </c>
      <c r="AK187" s="28" t="str">
        <f aca="false">IF($A187="","",IFERROR((COUNTIF(Q187:R187,"כן")+0.5*COUNTIF(Q187:R187,"קצת"))/(COUNTIF(Q187:R187,"כן")+COUNTIF(Q187:R187,"קצת")+COUNTIF(Q187:R187,"עוד לא")),""))</f>
        <v/>
      </c>
      <c r="AL187" s="28" t="str">
        <f aca="false">IF($A187="","",IFERROR((COUNTIF(K187:R187,"כן")+0.5*COUNTIF(K187:R187,"קצת"))/(COUNTIF(K187:R187,"כן")+COUNTIF(K187:R187,"קצת")+COUNTIF(K187:R187,"עוד לא")),""))</f>
        <v/>
      </c>
      <c r="AM187" s="28" t="str">
        <f aca="false">IF($A187="","",IFERROR((COUNTIF(S187:Z187,"רוב הזמן")+0.5*COUNTIF(S187:Z187,"לפעמים"))/(COUNTIF(S187:Z187,"רוב הזמן")+COUNTIF(S187:Z187,"לפעמים")+COUNTIF(S187:Z187,"עדיין לא")),""))</f>
        <v/>
      </c>
      <c r="AN187" s="28" t="str">
        <f aca="false">IF($A187="","",IFERROR(1-SUMPRODUCT(ABS(((K187:R187="כן")+0.5*(K187:R187="קצת"))-((S187:Z187="רוב הזמן")+0.5*(S187:Z187="לפעמים")))*(((K187:R187="כן")+(K187:R187="קצת")+(K187:R187="עוד לא"))*((S187:Z187="רוב הזמן")+(S187:Z187="לפעמים")+(S187:Z187="עדיין לא"))))/SUMPRODUCT((((K187:R187="כן")+(K187:R187="קצת")+(K187:R187="עוד לא"))*((S187:Z187="רוב הזמן")+(S187:Z187="לפעמים")+(S187:Z187="עדיין לא")))),""))</f>
        <v/>
      </c>
      <c r="AO187" s="27" t="str">
        <f aca="false">IF($A187="","",SUMPRODUCT(((((K187:R187="כן")+0.5*(K187:R187="קצת"))-((S187:Z187="רוב הזמן")+0.5*(S187:Z187="לפעמים")))&gt;0.01)*(((K187:R187="כן")+(K187:R187="קצת")+(K187:R187="עוד לא"))*((S187:Z187="רוב הזמן")+(S187:Z187="לפעמים")+(S187:Z187="עדיין לא")))))</f>
        <v/>
      </c>
      <c r="AP187" s="27" t="str">
        <f aca="false">IF($A187="","",SUMPRODUCT(((((S187:Z187="רוב הזמן")+0.5*(S187:Z187="לפעמים"))-((K187:R187="כן")+0.5*(K187:R187="קצת")))&gt;0.01)*(((K187:R187="כן")+(K187:R187="קצת")+(K187:R187="עוד לא"))*((S187:Z187="רוב הזמן")+(S187:Z187="לפעמים")+(S187:Z187="עדיין לא")))))</f>
        <v/>
      </c>
      <c r="AQ187" s="27" t="str">
        <f aca="false">IF($A187="","",COUNTIF(AA187:AB187,"כן"))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7" t="str">
        <f aca="false">IF($A188="","",$A188&amp;"|"&amp;$C188)</f>
        <v/>
      </c>
      <c r="AG188" s="27" t="str">
        <f aca="false">IF($A188="","",IF(OR(H188="לא נבדק",H188=""),"לא נבדק",IF(AND(H188="בחר/ה בעצמו/ה",I188="כן",J188="לא"),"מלא",IF(OR(H188="בחר/ה בעצמו/ה",I188="כן"),"חלקי","עדיין לא"))))</f>
        <v/>
      </c>
      <c r="AH188" s="28" t="str">
        <f aca="false">IF($A188="","",IFERROR((COUNTIF(K188:L188,"כן")+0.5*COUNTIF(K188:L188,"קצת"))/(COUNTIF(K188:L188,"כן")+COUNTIF(K188:L188,"קצת")+COUNTIF(K188:L188,"עוד לא")),""))</f>
        <v/>
      </c>
      <c r="AI188" s="28" t="str">
        <f aca="false">IF($A188="","",IFERROR((COUNTIF(M188:N188,"כן")+0.5*COUNTIF(M188:N188,"קצת"))/(COUNTIF(M188:N188,"כן")+COUNTIF(M188:N188,"קצת")+COUNTIF(M188:N188,"עוד לא")),""))</f>
        <v/>
      </c>
      <c r="AJ188" s="28" t="str">
        <f aca="false">IF($A188="","",IFERROR((COUNTIF(O188:P188,"כן")+0.5*COUNTIF(O188:P188,"קצת"))/(COUNTIF(O188:P188,"כן")+COUNTIF(O188:P188,"קצת")+COUNTIF(O188:P188,"עוד לא")),""))</f>
        <v/>
      </c>
      <c r="AK188" s="28" t="str">
        <f aca="false">IF($A188="","",IFERROR((COUNTIF(Q188:R188,"כן")+0.5*COUNTIF(Q188:R188,"קצת"))/(COUNTIF(Q188:R188,"כן")+COUNTIF(Q188:R188,"קצת")+COUNTIF(Q188:R188,"עוד לא")),""))</f>
        <v/>
      </c>
      <c r="AL188" s="28" t="str">
        <f aca="false">IF($A188="","",IFERROR((COUNTIF(K188:R188,"כן")+0.5*COUNTIF(K188:R188,"קצת"))/(COUNTIF(K188:R188,"כן")+COUNTIF(K188:R188,"קצת")+COUNTIF(K188:R188,"עוד לא")),""))</f>
        <v/>
      </c>
      <c r="AM188" s="28" t="str">
        <f aca="false">IF($A188="","",IFERROR((COUNTIF(S188:Z188,"רוב הזמן")+0.5*COUNTIF(S188:Z188,"לפעמים"))/(COUNTIF(S188:Z188,"רוב הזמן")+COUNTIF(S188:Z188,"לפעמים")+COUNTIF(S188:Z188,"עדיין לא")),""))</f>
        <v/>
      </c>
      <c r="AN188" s="28" t="str">
        <f aca="false">IF($A188="","",IFERROR(1-SUMPRODUCT(ABS(((K188:R188="כן")+0.5*(K188:R188="קצת"))-((S188:Z188="רוב הזמן")+0.5*(S188:Z188="לפעמים")))*(((K188:R188="כן")+(K188:R188="קצת")+(K188:R188="עוד לא"))*((S188:Z188="רוב הזמן")+(S188:Z188="לפעמים")+(S188:Z188="עדיין לא"))))/SUMPRODUCT((((K188:R188="כן")+(K188:R188="קצת")+(K188:R188="עוד לא"))*((S188:Z188="רוב הזמן")+(S188:Z188="לפעמים")+(S188:Z188="עדיין לא")))),""))</f>
        <v/>
      </c>
      <c r="AO188" s="27" t="str">
        <f aca="false">IF($A188="","",SUMPRODUCT(((((K188:R188="כן")+0.5*(K188:R188="קצת"))-((S188:Z188="רוב הזמן")+0.5*(S188:Z188="לפעמים")))&gt;0.01)*(((K188:R188="כן")+(K188:R188="קצת")+(K188:R188="עוד לא"))*((S188:Z188="רוב הזמן")+(S188:Z188="לפעמים")+(S188:Z188="עדיין לא")))))</f>
        <v/>
      </c>
      <c r="AP188" s="27" t="str">
        <f aca="false">IF($A188="","",SUMPRODUCT(((((S188:Z188="רוב הזמן")+0.5*(S188:Z188="לפעמים"))-((K188:R188="כן")+0.5*(K188:R188="קצת")))&gt;0.01)*(((K188:R188="כן")+(K188:R188="קצת")+(K188:R188="עוד לא"))*((S188:Z188="רוב הזמן")+(S188:Z188="לפעמים")+(S188:Z188="עדיין לא")))))</f>
        <v/>
      </c>
      <c r="AQ188" s="27" t="str">
        <f aca="false">IF($A188="","",COUNTIF(AA188:AB188,"כן"))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7" t="str">
        <f aca="false">IF($A189="","",$A189&amp;"|"&amp;$C189)</f>
        <v/>
      </c>
      <c r="AG189" s="27" t="str">
        <f aca="false">IF($A189="","",IF(OR(H189="לא נבדק",H189=""),"לא נבדק",IF(AND(H189="בחר/ה בעצמו/ה",I189="כן",J189="לא"),"מלא",IF(OR(H189="בחר/ה בעצמו/ה",I189="כן"),"חלקי","עדיין לא"))))</f>
        <v/>
      </c>
      <c r="AH189" s="28" t="str">
        <f aca="false">IF($A189="","",IFERROR((COUNTIF(K189:L189,"כן")+0.5*COUNTIF(K189:L189,"קצת"))/(COUNTIF(K189:L189,"כן")+COUNTIF(K189:L189,"קצת")+COUNTIF(K189:L189,"עוד לא")),""))</f>
        <v/>
      </c>
      <c r="AI189" s="28" t="str">
        <f aca="false">IF($A189="","",IFERROR((COUNTIF(M189:N189,"כן")+0.5*COUNTIF(M189:N189,"קצת"))/(COUNTIF(M189:N189,"כן")+COUNTIF(M189:N189,"קצת")+COUNTIF(M189:N189,"עוד לא")),""))</f>
        <v/>
      </c>
      <c r="AJ189" s="28" t="str">
        <f aca="false">IF($A189="","",IFERROR((COUNTIF(O189:P189,"כן")+0.5*COUNTIF(O189:P189,"קצת"))/(COUNTIF(O189:P189,"כן")+COUNTIF(O189:P189,"קצת")+COUNTIF(O189:P189,"עוד לא")),""))</f>
        <v/>
      </c>
      <c r="AK189" s="28" t="str">
        <f aca="false">IF($A189="","",IFERROR((COUNTIF(Q189:R189,"כן")+0.5*COUNTIF(Q189:R189,"קצת"))/(COUNTIF(Q189:R189,"כן")+COUNTIF(Q189:R189,"קצת")+COUNTIF(Q189:R189,"עוד לא")),""))</f>
        <v/>
      </c>
      <c r="AL189" s="28" t="str">
        <f aca="false">IF($A189="","",IFERROR((COUNTIF(K189:R189,"כן")+0.5*COUNTIF(K189:R189,"קצת"))/(COUNTIF(K189:R189,"כן")+COUNTIF(K189:R189,"קצת")+COUNTIF(K189:R189,"עוד לא")),""))</f>
        <v/>
      </c>
      <c r="AM189" s="28" t="str">
        <f aca="false">IF($A189="","",IFERROR((COUNTIF(S189:Z189,"רוב הזמן")+0.5*COUNTIF(S189:Z189,"לפעמים"))/(COUNTIF(S189:Z189,"רוב הזמן")+COUNTIF(S189:Z189,"לפעמים")+COUNTIF(S189:Z189,"עדיין לא")),""))</f>
        <v/>
      </c>
      <c r="AN189" s="28" t="str">
        <f aca="false">IF($A189="","",IFERROR(1-SUMPRODUCT(ABS(((K189:R189="כן")+0.5*(K189:R189="קצת"))-((S189:Z189="רוב הזמן")+0.5*(S189:Z189="לפעמים")))*(((K189:R189="כן")+(K189:R189="קצת")+(K189:R189="עוד לא"))*((S189:Z189="רוב הזמן")+(S189:Z189="לפעמים")+(S189:Z189="עדיין לא"))))/SUMPRODUCT((((K189:R189="כן")+(K189:R189="קצת")+(K189:R189="עוד לא"))*((S189:Z189="רוב הזמן")+(S189:Z189="לפעמים")+(S189:Z189="עדיין לא")))),""))</f>
        <v/>
      </c>
      <c r="AO189" s="27" t="str">
        <f aca="false">IF($A189="","",SUMPRODUCT(((((K189:R189="כן")+0.5*(K189:R189="קצת"))-((S189:Z189="רוב הזמן")+0.5*(S189:Z189="לפעמים")))&gt;0.01)*(((K189:R189="כן")+(K189:R189="קצת")+(K189:R189="עוד לא"))*((S189:Z189="רוב הזמן")+(S189:Z189="לפעמים")+(S189:Z189="עדיין לא")))))</f>
        <v/>
      </c>
      <c r="AP189" s="27" t="str">
        <f aca="false">IF($A189="","",SUMPRODUCT(((((S189:Z189="רוב הזמן")+0.5*(S189:Z189="לפעמים"))-((K189:R189="כן")+0.5*(K189:R189="קצת")))&gt;0.01)*(((K189:R189="כן")+(K189:R189="קצת")+(K189:R189="עוד לא"))*((S189:Z189="רוב הזמן")+(S189:Z189="לפעמים")+(S189:Z189="עדיין לא")))))</f>
        <v/>
      </c>
      <c r="AQ189" s="27" t="str">
        <f aca="false">IF($A189="","",COUNTIF(AA189:AB189,"כן"))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7" t="str">
        <f aca="false">IF($A190="","",$A190&amp;"|"&amp;$C190)</f>
        <v/>
      </c>
      <c r="AG190" s="27" t="str">
        <f aca="false">IF($A190="","",IF(OR(H190="לא נבדק",H190=""),"לא נבדק",IF(AND(H190="בחר/ה בעצמו/ה",I190="כן",J190="לא"),"מלא",IF(OR(H190="בחר/ה בעצמו/ה",I190="כן"),"חלקי","עדיין לא"))))</f>
        <v/>
      </c>
      <c r="AH190" s="28" t="str">
        <f aca="false">IF($A190="","",IFERROR((COUNTIF(K190:L190,"כן")+0.5*COUNTIF(K190:L190,"קצת"))/(COUNTIF(K190:L190,"כן")+COUNTIF(K190:L190,"קצת")+COUNTIF(K190:L190,"עוד לא")),""))</f>
        <v/>
      </c>
      <c r="AI190" s="28" t="str">
        <f aca="false">IF($A190="","",IFERROR((COUNTIF(M190:N190,"כן")+0.5*COUNTIF(M190:N190,"קצת"))/(COUNTIF(M190:N190,"כן")+COUNTIF(M190:N190,"קצת")+COUNTIF(M190:N190,"עוד לא")),""))</f>
        <v/>
      </c>
      <c r="AJ190" s="28" t="str">
        <f aca="false">IF($A190="","",IFERROR((COUNTIF(O190:P190,"כן")+0.5*COUNTIF(O190:P190,"קצת"))/(COUNTIF(O190:P190,"כן")+COUNTIF(O190:P190,"קצת")+COUNTIF(O190:P190,"עוד לא")),""))</f>
        <v/>
      </c>
      <c r="AK190" s="28" t="str">
        <f aca="false">IF($A190="","",IFERROR((COUNTIF(Q190:R190,"כן")+0.5*COUNTIF(Q190:R190,"קצת"))/(COUNTIF(Q190:R190,"כן")+COUNTIF(Q190:R190,"קצת")+COUNTIF(Q190:R190,"עוד לא")),""))</f>
        <v/>
      </c>
      <c r="AL190" s="28" t="str">
        <f aca="false">IF($A190="","",IFERROR((COUNTIF(K190:R190,"כן")+0.5*COUNTIF(K190:R190,"קצת"))/(COUNTIF(K190:R190,"כן")+COUNTIF(K190:R190,"קצת")+COUNTIF(K190:R190,"עוד לא")),""))</f>
        <v/>
      </c>
      <c r="AM190" s="28" t="str">
        <f aca="false">IF($A190="","",IFERROR((COUNTIF(S190:Z190,"רוב הזמן")+0.5*COUNTIF(S190:Z190,"לפעמים"))/(COUNTIF(S190:Z190,"רוב הזמן")+COUNTIF(S190:Z190,"לפעמים")+COUNTIF(S190:Z190,"עדיין לא")),""))</f>
        <v/>
      </c>
      <c r="AN190" s="28" t="str">
        <f aca="false">IF($A190="","",IFERROR(1-SUMPRODUCT(ABS(((K190:R190="כן")+0.5*(K190:R190="קצת"))-((S190:Z190="רוב הזמן")+0.5*(S190:Z190="לפעמים")))*(((K190:R190="כן")+(K190:R190="קצת")+(K190:R190="עוד לא"))*((S190:Z190="רוב הזמן")+(S190:Z190="לפעמים")+(S190:Z190="עדיין לא"))))/SUMPRODUCT((((K190:R190="כן")+(K190:R190="קצת")+(K190:R190="עוד לא"))*((S190:Z190="רוב הזמן")+(S190:Z190="לפעמים")+(S190:Z190="עדיין לא")))),""))</f>
        <v/>
      </c>
      <c r="AO190" s="27" t="str">
        <f aca="false">IF($A190="","",SUMPRODUCT(((((K190:R190="כן")+0.5*(K190:R190="קצת"))-((S190:Z190="רוב הזמן")+0.5*(S190:Z190="לפעמים")))&gt;0.01)*(((K190:R190="כן")+(K190:R190="קצת")+(K190:R190="עוד לא"))*((S190:Z190="רוב הזמן")+(S190:Z190="לפעמים")+(S190:Z190="עדיין לא")))))</f>
        <v/>
      </c>
      <c r="AP190" s="27" t="str">
        <f aca="false">IF($A190="","",SUMPRODUCT(((((S190:Z190="רוב הזמן")+0.5*(S190:Z190="לפעמים"))-((K190:R190="כן")+0.5*(K190:R190="קצת")))&gt;0.01)*(((K190:R190="כן")+(K190:R190="קצת")+(K190:R190="עוד לא"))*((S190:Z190="רוב הזמן")+(S190:Z190="לפעמים")+(S190:Z190="עדיין לא")))))</f>
        <v/>
      </c>
      <c r="AQ190" s="27" t="str">
        <f aca="false">IF($A190="","",COUNTIF(AA190:AB190,"כן"))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7" t="str">
        <f aca="false">IF($A191="","",$A191&amp;"|"&amp;$C191)</f>
        <v/>
      </c>
      <c r="AG191" s="27" t="str">
        <f aca="false">IF($A191="","",IF(OR(H191="לא נבדק",H191=""),"לא נבדק",IF(AND(H191="בחר/ה בעצמו/ה",I191="כן",J191="לא"),"מלא",IF(OR(H191="בחר/ה בעצמו/ה",I191="כן"),"חלקי","עדיין לא"))))</f>
        <v/>
      </c>
      <c r="AH191" s="28" t="str">
        <f aca="false">IF($A191="","",IFERROR((COUNTIF(K191:L191,"כן")+0.5*COUNTIF(K191:L191,"קצת"))/(COUNTIF(K191:L191,"כן")+COUNTIF(K191:L191,"קצת")+COUNTIF(K191:L191,"עוד לא")),""))</f>
        <v/>
      </c>
      <c r="AI191" s="28" t="str">
        <f aca="false">IF($A191="","",IFERROR((COUNTIF(M191:N191,"כן")+0.5*COUNTIF(M191:N191,"קצת"))/(COUNTIF(M191:N191,"כן")+COUNTIF(M191:N191,"קצת")+COUNTIF(M191:N191,"עוד לא")),""))</f>
        <v/>
      </c>
      <c r="AJ191" s="28" t="str">
        <f aca="false">IF($A191="","",IFERROR((COUNTIF(O191:P191,"כן")+0.5*COUNTIF(O191:P191,"קצת"))/(COUNTIF(O191:P191,"כן")+COUNTIF(O191:P191,"קצת")+COUNTIF(O191:P191,"עוד לא")),""))</f>
        <v/>
      </c>
      <c r="AK191" s="28" t="str">
        <f aca="false">IF($A191="","",IFERROR((COUNTIF(Q191:R191,"כן")+0.5*COUNTIF(Q191:R191,"קצת"))/(COUNTIF(Q191:R191,"כן")+COUNTIF(Q191:R191,"קצת")+COUNTIF(Q191:R191,"עוד לא")),""))</f>
        <v/>
      </c>
      <c r="AL191" s="28" t="str">
        <f aca="false">IF($A191="","",IFERROR((COUNTIF(K191:R191,"כן")+0.5*COUNTIF(K191:R191,"קצת"))/(COUNTIF(K191:R191,"כן")+COUNTIF(K191:R191,"קצת")+COUNTIF(K191:R191,"עוד לא")),""))</f>
        <v/>
      </c>
      <c r="AM191" s="28" t="str">
        <f aca="false">IF($A191="","",IFERROR((COUNTIF(S191:Z191,"רוב הזמן")+0.5*COUNTIF(S191:Z191,"לפעמים"))/(COUNTIF(S191:Z191,"רוב הזמן")+COUNTIF(S191:Z191,"לפעמים")+COUNTIF(S191:Z191,"עדיין לא")),""))</f>
        <v/>
      </c>
      <c r="AN191" s="28" t="str">
        <f aca="false">IF($A191="","",IFERROR(1-SUMPRODUCT(ABS(((K191:R191="כן")+0.5*(K191:R191="קצת"))-((S191:Z191="רוב הזמן")+0.5*(S191:Z191="לפעמים")))*(((K191:R191="כן")+(K191:R191="קצת")+(K191:R191="עוד לא"))*((S191:Z191="רוב הזמן")+(S191:Z191="לפעמים")+(S191:Z191="עדיין לא"))))/SUMPRODUCT((((K191:R191="כן")+(K191:R191="קצת")+(K191:R191="עוד לא"))*((S191:Z191="רוב הזמן")+(S191:Z191="לפעמים")+(S191:Z191="עדיין לא")))),""))</f>
        <v/>
      </c>
      <c r="AO191" s="27" t="str">
        <f aca="false">IF($A191="","",SUMPRODUCT(((((K191:R191="כן")+0.5*(K191:R191="קצת"))-((S191:Z191="רוב הזמן")+0.5*(S191:Z191="לפעמים")))&gt;0.01)*(((K191:R191="כן")+(K191:R191="קצת")+(K191:R191="עוד לא"))*((S191:Z191="רוב הזמן")+(S191:Z191="לפעמים")+(S191:Z191="עדיין לא")))))</f>
        <v/>
      </c>
      <c r="AP191" s="27" t="str">
        <f aca="false">IF($A191="","",SUMPRODUCT(((((S191:Z191="רוב הזמן")+0.5*(S191:Z191="לפעמים"))-((K191:R191="כן")+0.5*(K191:R191="קצת")))&gt;0.01)*(((K191:R191="כן")+(K191:R191="קצת")+(K191:R191="עוד לא"))*((S191:Z191="רוב הזמן")+(S191:Z191="לפעמים")+(S191:Z191="עדיין לא")))))</f>
        <v/>
      </c>
      <c r="AQ191" s="27" t="str">
        <f aca="false">IF($A191="","",COUNTIF(AA191:AB191,"כן"))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7" t="str">
        <f aca="false">IF($A192="","",$A192&amp;"|"&amp;$C192)</f>
        <v/>
      </c>
      <c r="AG192" s="27" t="str">
        <f aca="false">IF($A192="","",IF(OR(H192="לא נבדק",H192=""),"לא נבדק",IF(AND(H192="בחר/ה בעצמו/ה",I192="כן",J192="לא"),"מלא",IF(OR(H192="בחר/ה בעצמו/ה",I192="כן"),"חלקי","עדיין לא"))))</f>
        <v/>
      </c>
      <c r="AH192" s="28" t="str">
        <f aca="false">IF($A192="","",IFERROR((COUNTIF(K192:L192,"כן")+0.5*COUNTIF(K192:L192,"קצת"))/(COUNTIF(K192:L192,"כן")+COUNTIF(K192:L192,"קצת")+COUNTIF(K192:L192,"עוד לא")),""))</f>
        <v/>
      </c>
      <c r="AI192" s="28" t="str">
        <f aca="false">IF($A192="","",IFERROR((COUNTIF(M192:N192,"כן")+0.5*COUNTIF(M192:N192,"קצת"))/(COUNTIF(M192:N192,"כן")+COUNTIF(M192:N192,"קצת")+COUNTIF(M192:N192,"עוד לא")),""))</f>
        <v/>
      </c>
      <c r="AJ192" s="28" t="str">
        <f aca="false">IF($A192="","",IFERROR((COUNTIF(O192:P192,"כן")+0.5*COUNTIF(O192:P192,"קצת"))/(COUNTIF(O192:P192,"כן")+COUNTIF(O192:P192,"קצת")+COUNTIF(O192:P192,"עוד לא")),""))</f>
        <v/>
      </c>
      <c r="AK192" s="28" t="str">
        <f aca="false">IF($A192="","",IFERROR((COUNTIF(Q192:R192,"כן")+0.5*COUNTIF(Q192:R192,"קצת"))/(COUNTIF(Q192:R192,"כן")+COUNTIF(Q192:R192,"קצת")+COUNTIF(Q192:R192,"עוד לא")),""))</f>
        <v/>
      </c>
      <c r="AL192" s="28" t="str">
        <f aca="false">IF($A192="","",IFERROR((COUNTIF(K192:R192,"כן")+0.5*COUNTIF(K192:R192,"קצת"))/(COUNTIF(K192:R192,"כן")+COUNTIF(K192:R192,"קצת")+COUNTIF(K192:R192,"עוד לא")),""))</f>
        <v/>
      </c>
      <c r="AM192" s="28" t="str">
        <f aca="false">IF($A192="","",IFERROR((COUNTIF(S192:Z192,"רוב הזמן")+0.5*COUNTIF(S192:Z192,"לפעמים"))/(COUNTIF(S192:Z192,"רוב הזמן")+COUNTIF(S192:Z192,"לפעמים")+COUNTIF(S192:Z192,"עדיין לא")),""))</f>
        <v/>
      </c>
      <c r="AN192" s="28" t="str">
        <f aca="false">IF($A192="","",IFERROR(1-SUMPRODUCT(ABS(((K192:R192="כן")+0.5*(K192:R192="קצת"))-((S192:Z192="רוב הזמן")+0.5*(S192:Z192="לפעמים")))*(((K192:R192="כן")+(K192:R192="קצת")+(K192:R192="עוד לא"))*((S192:Z192="רוב הזמן")+(S192:Z192="לפעמים")+(S192:Z192="עדיין לא"))))/SUMPRODUCT((((K192:R192="כן")+(K192:R192="קצת")+(K192:R192="עוד לא"))*((S192:Z192="רוב הזמן")+(S192:Z192="לפעמים")+(S192:Z192="עדיין לא")))),""))</f>
        <v/>
      </c>
      <c r="AO192" s="27" t="str">
        <f aca="false">IF($A192="","",SUMPRODUCT(((((K192:R192="כן")+0.5*(K192:R192="קצת"))-((S192:Z192="רוב הזמן")+0.5*(S192:Z192="לפעמים")))&gt;0.01)*(((K192:R192="כן")+(K192:R192="קצת")+(K192:R192="עוד לא"))*((S192:Z192="רוב הזמן")+(S192:Z192="לפעמים")+(S192:Z192="עדיין לא")))))</f>
        <v/>
      </c>
      <c r="AP192" s="27" t="str">
        <f aca="false">IF($A192="","",SUMPRODUCT(((((S192:Z192="רוב הזמן")+0.5*(S192:Z192="לפעמים"))-((K192:R192="כן")+0.5*(K192:R192="קצת")))&gt;0.01)*(((K192:R192="כן")+(K192:R192="קצת")+(K192:R192="עוד לא"))*((S192:Z192="רוב הזמן")+(S192:Z192="לפעמים")+(S192:Z192="עדיין לא")))))</f>
        <v/>
      </c>
      <c r="AQ192" s="27" t="str">
        <f aca="false">IF($A192="","",COUNTIF(AA192:AB192,"כן"))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7" t="str">
        <f aca="false">IF($A193="","",$A193&amp;"|"&amp;$C193)</f>
        <v/>
      </c>
      <c r="AG193" s="27" t="str">
        <f aca="false">IF($A193="","",IF(OR(H193="לא נבדק",H193=""),"לא נבדק",IF(AND(H193="בחר/ה בעצמו/ה",I193="כן",J193="לא"),"מלא",IF(OR(H193="בחר/ה בעצמו/ה",I193="כן"),"חלקי","עדיין לא"))))</f>
        <v/>
      </c>
      <c r="AH193" s="28" t="str">
        <f aca="false">IF($A193="","",IFERROR((COUNTIF(K193:L193,"כן")+0.5*COUNTIF(K193:L193,"קצת"))/(COUNTIF(K193:L193,"כן")+COUNTIF(K193:L193,"קצת")+COUNTIF(K193:L193,"עוד לא")),""))</f>
        <v/>
      </c>
      <c r="AI193" s="28" t="str">
        <f aca="false">IF($A193="","",IFERROR((COUNTIF(M193:N193,"כן")+0.5*COUNTIF(M193:N193,"קצת"))/(COUNTIF(M193:N193,"כן")+COUNTIF(M193:N193,"קצת")+COUNTIF(M193:N193,"עוד לא")),""))</f>
        <v/>
      </c>
      <c r="AJ193" s="28" t="str">
        <f aca="false">IF($A193="","",IFERROR((COUNTIF(O193:P193,"כן")+0.5*COUNTIF(O193:P193,"קצת"))/(COUNTIF(O193:P193,"כן")+COUNTIF(O193:P193,"קצת")+COUNTIF(O193:P193,"עוד לא")),""))</f>
        <v/>
      </c>
      <c r="AK193" s="28" t="str">
        <f aca="false">IF($A193="","",IFERROR((COUNTIF(Q193:R193,"כן")+0.5*COUNTIF(Q193:R193,"קצת"))/(COUNTIF(Q193:R193,"כן")+COUNTIF(Q193:R193,"קצת")+COUNTIF(Q193:R193,"עוד לא")),""))</f>
        <v/>
      </c>
      <c r="AL193" s="28" t="str">
        <f aca="false">IF($A193="","",IFERROR((COUNTIF(K193:R193,"כן")+0.5*COUNTIF(K193:R193,"קצת"))/(COUNTIF(K193:R193,"כן")+COUNTIF(K193:R193,"קצת")+COUNTIF(K193:R193,"עוד לא")),""))</f>
        <v/>
      </c>
      <c r="AM193" s="28" t="str">
        <f aca="false">IF($A193="","",IFERROR((COUNTIF(S193:Z193,"רוב הזמן")+0.5*COUNTIF(S193:Z193,"לפעמים"))/(COUNTIF(S193:Z193,"רוב הזמן")+COUNTIF(S193:Z193,"לפעמים")+COUNTIF(S193:Z193,"עדיין לא")),""))</f>
        <v/>
      </c>
      <c r="AN193" s="28" t="str">
        <f aca="false">IF($A193="","",IFERROR(1-SUMPRODUCT(ABS(((K193:R193="כן")+0.5*(K193:R193="קצת"))-((S193:Z193="רוב הזמן")+0.5*(S193:Z193="לפעמים")))*(((K193:R193="כן")+(K193:R193="קצת")+(K193:R193="עוד לא"))*((S193:Z193="רוב הזמן")+(S193:Z193="לפעמים")+(S193:Z193="עדיין לא"))))/SUMPRODUCT((((K193:R193="כן")+(K193:R193="קצת")+(K193:R193="עוד לא"))*((S193:Z193="רוב הזמן")+(S193:Z193="לפעמים")+(S193:Z193="עדיין לא")))),""))</f>
        <v/>
      </c>
      <c r="AO193" s="27" t="str">
        <f aca="false">IF($A193="","",SUMPRODUCT(((((K193:R193="כן")+0.5*(K193:R193="קצת"))-((S193:Z193="רוב הזמן")+0.5*(S193:Z193="לפעמים")))&gt;0.01)*(((K193:R193="כן")+(K193:R193="קצת")+(K193:R193="עוד לא"))*((S193:Z193="רוב הזמן")+(S193:Z193="לפעמים")+(S193:Z193="עדיין לא")))))</f>
        <v/>
      </c>
      <c r="AP193" s="27" t="str">
        <f aca="false">IF($A193="","",SUMPRODUCT(((((S193:Z193="רוב הזמן")+0.5*(S193:Z193="לפעמים"))-((K193:R193="כן")+0.5*(K193:R193="קצת")))&gt;0.01)*(((K193:R193="כן")+(K193:R193="קצת")+(K193:R193="עוד לא"))*((S193:Z193="רוב הזמן")+(S193:Z193="לפעמים")+(S193:Z193="עדיין לא")))))</f>
        <v/>
      </c>
      <c r="AQ193" s="27" t="str">
        <f aca="false">IF($A193="","",COUNTIF(AA193:AB193,"כן"))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7" t="str">
        <f aca="false">IF($A194="","",$A194&amp;"|"&amp;$C194)</f>
        <v/>
      </c>
      <c r="AG194" s="27" t="str">
        <f aca="false">IF($A194="","",IF(OR(H194="לא נבדק",H194=""),"לא נבדק",IF(AND(H194="בחר/ה בעצמו/ה",I194="כן",J194="לא"),"מלא",IF(OR(H194="בחר/ה בעצמו/ה",I194="כן"),"חלקי","עדיין לא"))))</f>
        <v/>
      </c>
      <c r="AH194" s="28" t="str">
        <f aca="false">IF($A194="","",IFERROR((COUNTIF(K194:L194,"כן")+0.5*COUNTIF(K194:L194,"קצת"))/(COUNTIF(K194:L194,"כן")+COUNTIF(K194:L194,"קצת")+COUNTIF(K194:L194,"עוד לא")),""))</f>
        <v/>
      </c>
      <c r="AI194" s="28" t="str">
        <f aca="false">IF($A194="","",IFERROR((COUNTIF(M194:N194,"כן")+0.5*COUNTIF(M194:N194,"קצת"))/(COUNTIF(M194:N194,"כן")+COUNTIF(M194:N194,"קצת")+COUNTIF(M194:N194,"עוד לא")),""))</f>
        <v/>
      </c>
      <c r="AJ194" s="28" t="str">
        <f aca="false">IF($A194="","",IFERROR((COUNTIF(O194:P194,"כן")+0.5*COUNTIF(O194:P194,"קצת"))/(COUNTIF(O194:P194,"כן")+COUNTIF(O194:P194,"קצת")+COUNTIF(O194:P194,"עוד לא")),""))</f>
        <v/>
      </c>
      <c r="AK194" s="28" t="str">
        <f aca="false">IF($A194="","",IFERROR((COUNTIF(Q194:R194,"כן")+0.5*COUNTIF(Q194:R194,"קצת"))/(COUNTIF(Q194:R194,"כן")+COUNTIF(Q194:R194,"קצת")+COUNTIF(Q194:R194,"עוד לא")),""))</f>
        <v/>
      </c>
      <c r="AL194" s="28" t="str">
        <f aca="false">IF($A194="","",IFERROR((COUNTIF(K194:R194,"כן")+0.5*COUNTIF(K194:R194,"קצת"))/(COUNTIF(K194:R194,"כן")+COUNTIF(K194:R194,"קצת")+COUNTIF(K194:R194,"עוד לא")),""))</f>
        <v/>
      </c>
      <c r="AM194" s="28" t="str">
        <f aca="false">IF($A194="","",IFERROR((COUNTIF(S194:Z194,"רוב הזמן")+0.5*COUNTIF(S194:Z194,"לפעמים"))/(COUNTIF(S194:Z194,"רוב הזמן")+COUNTIF(S194:Z194,"לפעמים")+COUNTIF(S194:Z194,"עדיין לא")),""))</f>
        <v/>
      </c>
      <c r="AN194" s="28" t="str">
        <f aca="false">IF($A194="","",IFERROR(1-SUMPRODUCT(ABS(((K194:R194="כן")+0.5*(K194:R194="קצת"))-((S194:Z194="רוב הזמן")+0.5*(S194:Z194="לפעמים")))*(((K194:R194="כן")+(K194:R194="קצת")+(K194:R194="עוד לא"))*((S194:Z194="רוב הזמן")+(S194:Z194="לפעמים")+(S194:Z194="עדיין לא"))))/SUMPRODUCT((((K194:R194="כן")+(K194:R194="קצת")+(K194:R194="עוד לא"))*((S194:Z194="רוב הזמן")+(S194:Z194="לפעמים")+(S194:Z194="עדיין לא")))),""))</f>
        <v/>
      </c>
      <c r="AO194" s="27" t="str">
        <f aca="false">IF($A194="","",SUMPRODUCT(((((K194:R194="כן")+0.5*(K194:R194="קצת"))-((S194:Z194="רוב הזמן")+0.5*(S194:Z194="לפעמים")))&gt;0.01)*(((K194:R194="כן")+(K194:R194="קצת")+(K194:R194="עוד לא"))*((S194:Z194="רוב הזמן")+(S194:Z194="לפעמים")+(S194:Z194="עדיין לא")))))</f>
        <v/>
      </c>
      <c r="AP194" s="27" t="str">
        <f aca="false">IF($A194="","",SUMPRODUCT(((((S194:Z194="רוב הזמן")+0.5*(S194:Z194="לפעמים"))-((K194:R194="כן")+0.5*(K194:R194="קצת")))&gt;0.01)*(((K194:R194="כן")+(K194:R194="קצת")+(K194:R194="עוד לא"))*((S194:Z194="רוב הזמן")+(S194:Z194="לפעמים")+(S194:Z194="עדיין לא")))))</f>
        <v/>
      </c>
      <c r="AQ194" s="27" t="str">
        <f aca="false">IF($A194="","",COUNTIF(AA194:AB194,"כן"))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7" t="str">
        <f aca="false">IF($A195="","",$A195&amp;"|"&amp;$C195)</f>
        <v/>
      </c>
      <c r="AG195" s="27" t="str">
        <f aca="false">IF($A195="","",IF(OR(H195="לא נבדק",H195=""),"לא נבדק",IF(AND(H195="בחר/ה בעצמו/ה",I195="כן",J195="לא"),"מלא",IF(OR(H195="בחר/ה בעצמו/ה",I195="כן"),"חלקי","עדיין לא"))))</f>
        <v/>
      </c>
      <c r="AH195" s="28" t="str">
        <f aca="false">IF($A195="","",IFERROR((COUNTIF(K195:L195,"כן")+0.5*COUNTIF(K195:L195,"קצת"))/(COUNTIF(K195:L195,"כן")+COUNTIF(K195:L195,"קצת")+COUNTIF(K195:L195,"עוד לא")),""))</f>
        <v/>
      </c>
      <c r="AI195" s="28" t="str">
        <f aca="false">IF($A195="","",IFERROR((COUNTIF(M195:N195,"כן")+0.5*COUNTIF(M195:N195,"קצת"))/(COUNTIF(M195:N195,"כן")+COUNTIF(M195:N195,"קצת")+COUNTIF(M195:N195,"עוד לא")),""))</f>
        <v/>
      </c>
      <c r="AJ195" s="28" t="str">
        <f aca="false">IF($A195="","",IFERROR((COUNTIF(O195:P195,"כן")+0.5*COUNTIF(O195:P195,"קצת"))/(COUNTIF(O195:P195,"כן")+COUNTIF(O195:P195,"קצת")+COUNTIF(O195:P195,"עוד לא")),""))</f>
        <v/>
      </c>
      <c r="AK195" s="28" t="str">
        <f aca="false">IF($A195="","",IFERROR((COUNTIF(Q195:R195,"כן")+0.5*COUNTIF(Q195:R195,"קצת"))/(COUNTIF(Q195:R195,"כן")+COUNTIF(Q195:R195,"קצת")+COUNTIF(Q195:R195,"עוד לא")),""))</f>
        <v/>
      </c>
      <c r="AL195" s="28" t="str">
        <f aca="false">IF($A195="","",IFERROR((COUNTIF(K195:R195,"כן")+0.5*COUNTIF(K195:R195,"קצת"))/(COUNTIF(K195:R195,"כן")+COUNTIF(K195:R195,"קצת")+COUNTIF(K195:R195,"עוד לא")),""))</f>
        <v/>
      </c>
      <c r="AM195" s="28" t="str">
        <f aca="false">IF($A195="","",IFERROR((COUNTIF(S195:Z195,"רוב הזמן")+0.5*COUNTIF(S195:Z195,"לפעמים"))/(COUNTIF(S195:Z195,"רוב הזמן")+COUNTIF(S195:Z195,"לפעמים")+COUNTIF(S195:Z195,"עדיין לא")),""))</f>
        <v/>
      </c>
      <c r="AN195" s="28" t="str">
        <f aca="false">IF($A195="","",IFERROR(1-SUMPRODUCT(ABS(((K195:R195="כן")+0.5*(K195:R195="קצת"))-((S195:Z195="רוב הזמן")+0.5*(S195:Z195="לפעמים")))*(((K195:R195="כן")+(K195:R195="קצת")+(K195:R195="עוד לא"))*((S195:Z195="רוב הזמן")+(S195:Z195="לפעמים")+(S195:Z195="עדיין לא"))))/SUMPRODUCT((((K195:R195="כן")+(K195:R195="קצת")+(K195:R195="עוד לא"))*((S195:Z195="רוב הזמן")+(S195:Z195="לפעמים")+(S195:Z195="עדיין לא")))),""))</f>
        <v/>
      </c>
      <c r="AO195" s="27" t="str">
        <f aca="false">IF($A195="","",SUMPRODUCT(((((K195:R195="כן")+0.5*(K195:R195="קצת"))-((S195:Z195="רוב הזמן")+0.5*(S195:Z195="לפעמים")))&gt;0.01)*(((K195:R195="כן")+(K195:R195="קצת")+(K195:R195="עוד לא"))*((S195:Z195="רוב הזמן")+(S195:Z195="לפעמים")+(S195:Z195="עדיין לא")))))</f>
        <v/>
      </c>
      <c r="AP195" s="27" t="str">
        <f aca="false">IF($A195="","",SUMPRODUCT(((((S195:Z195="רוב הזמן")+0.5*(S195:Z195="לפעמים"))-((K195:R195="כן")+0.5*(K195:R195="קצת")))&gt;0.01)*(((K195:R195="כן")+(K195:R195="קצת")+(K195:R195="עוד לא"))*((S195:Z195="רוב הזמן")+(S195:Z195="לפעמים")+(S195:Z195="עדיין לא")))))</f>
        <v/>
      </c>
      <c r="AQ195" s="27" t="str">
        <f aca="false">IF($A195="","",COUNTIF(AA195:AB195,"כן"))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7" t="str">
        <f aca="false">IF($A196="","",$A196&amp;"|"&amp;$C196)</f>
        <v/>
      </c>
      <c r="AG196" s="27" t="str">
        <f aca="false">IF($A196="","",IF(OR(H196="לא נבדק",H196=""),"לא נבדק",IF(AND(H196="בחר/ה בעצמו/ה",I196="כן",J196="לא"),"מלא",IF(OR(H196="בחר/ה בעצמו/ה",I196="כן"),"חלקי","עדיין לא"))))</f>
        <v/>
      </c>
      <c r="AH196" s="28" t="str">
        <f aca="false">IF($A196="","",IFERROR((COUNTIF(K196:L196,"כן")+0.5*COUNTIF(K196:L196,"קצת"))/(COUNTIF(K196:L196,"כן")+COUNTIF(K196:L196,"קצת")+COUNTIF(K196:L196,"עוד לא")),""))</f>
        <v/>
      </c>
      <c r="AI196" s="28" t="str">
        <f aca="false">IF($A196="","",IFERROR((COUNTIF(M196:N196,"כן")+0.5*COUNTIF(M196:N196,"קצת"))/(COUNTIF(M196:N196,"כן")+COUNTIF(M196:N196,"קצת")+COUNTIF(M196:N196,"עוד לא")),""))</f>
        <v/>
      </c>
      <c r="AJ196" s="28" t="str">
        <f aca="false">IF($A196="","",IFERROR((COUNTIF(O196:P196,"כן")+0.5*COUNTIF(O196:P196,"קצת"))/(COUNTIF(O196:P196,"כן")+COUNTIF(O196:P196,"קצת")+COUNTIF(O196:P196,"עוד לא")),""))</f>
        <v/>
      </c>
      <c r="AK196" s="28" t="str">
        <f aca="false">IF($A196="","",IFERROR((COUNTIF(Q196:R196,"כן")+0.5*COUNTIF(Q196:R196,"קצת"))/(COUNTIF(Q196:R196,"כן")+COUNTIF(Q196:R196,"קצת")+COUNTIF(Q196:R196,"עוד לא")),""))</f>
        <v/>
      </c>
      <c r="AL196" s="28" t="str">
        <f aca="false">IF($A196="","",IFERROR((COUNTIF(K196:R196,"כן")+0.5*COUNTIF(K196:R196,"קצת"))/(COUNTIF(K196:R196,"כן")+COUNTIF(K196:R196,"קצת")+COUNTIF(K196:R196,"עוד לא")),""))</f>
        <v/>
      </c>
      <c r="AM196" s="28" t="str">
        <f aca="false">IF($A196="","",IFERROR((COUNTIF(S196:Z196,"רוב הזמן")+0.5*COUNTIF(S196:Z196,"לפעמים"))/(COUNTIF(S196:Z196,"רוב הזמן")+COUNTIF(S196:Z196,"לפעמים")+COUNTIF(S196:Z196,"עדיין לא")),""))</f>
        <v/>
      </c>
      <c r="AN196" s="28" t="str">
        <f aca="false">IF($A196="","",IFERROR(1-SUMPRODUCT(ABS(((K196:R196="כן")+0.5*(K196:R196="קצת"))-((S196:Z196="רוב הזמן")+0.5*(S196:Z196="לפעמים")))*(((K196:R196="כן")+(K196:R196="קצת")+(K196:R196="עוד לא"))*((S196:Z196="רוב הזמן")+(S196:Z196="לפעמים")+(S196:Z196="עדיין לא"))))/SUMPRODUCT((((K196:R196="כן")+(K196:R196="קצת")+(K196:R196="עוד לא"))*((S196:Z196="רוב הזמן")+(S196:Z196="לפעמים")+(S196:Z196="עדיין לא")))),""))</f>
        <v/>
      </c>
      <c r="AO196" s="27" t="str">
        <f aca="false">IF($A196="","",SUMPRODUCT(((((K196:R196="כן")+0.5*(K196:R196="קצת"))-((S196:Z196="רוב הזמן")+0.5*(S196:Z196="לפעמים")))&gt;0.01)*(((K196:R196="כן")+(K196:R196="קצת")+(K196:R196="עוד לא"))*((S196:Z196="רוב הזמן")+(S196:Z196="לפעמים")+(S196:Z196="עדיין לא")))))</f>
        <v/>
      </c>
      <c r="AP196" s="27" t="str">
        <f aca="false">IF($A196="","",SUMPRODUCT(((((S196:Z196="רוב הזמן")+0.5*(S196:Z196="לפעמים"))-((K196:R196="כן")+0.5*(K196:R196="קצת")))&gt;0.01)*(((K196:R196="כן")+(K196:R196="קצת")+(K196:R196="עוד לא"))*((S196:Z196="רוב הזמן")+(S196:Z196="לפעמים")+(S196:Z196="עדיין לא")))))</f>
        <v/>
      </c>
      <c r="AQ196" s="27" t="str">
        <f aca="false">IF($A196="","",COUNTIF(AA196:AB196,"כן"))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7" t="str">
        <f aca="false">IF($A197="","",$A197&amp;"|"&amp;$C197)</f>
        <v/>
      </c>
      <c r="AG197" s="27" t="str">
        <f aca="false">IF($A197="","",IF(OR(H197="לא נבדק",H197=""),"לא נבדק",IF(AND(H197="בחר/ה בעצמו/ה",I197="כן",J197="לא"),"מלא",IF(OR(H197="בחר/ה בעצמו/ה",I197="כן"),"חלקי","עדיין לא"))))</f>
        <v/>
      </c>
      <c r="AH197" s="28" t="str">
        <f aca="false">IF($A197="","",IFERROR((COUNTIF(K197:L197,"כן")+0.5*COUNTIF(K197:L197,"קצת"))/(COUNTIF(K197:L197,"כן")+COUNTIF(K197:L197,"קצת")+COUNTIF(K197:L197,"עוד לא")),""))</f>
        <v/>
      </c>
      <c r="AI197" s="28" t="str">
        <f aca="false">IF($A197="","",IFERROR((COUNTIF(M197:N197,"כן")+0.5*COUNTIF(M197:N197,"קצת"))/(COUNTIF(M197:N197,"כן")+COUNTIF(M197:N197,"קצת")+COUNTIF(M197:N197,"עוד לא")),""))</f>
        <v/>
      </c>
      <c r="AJ197" s="28" t="str">
        <f aca="false">IF($A197="","",IFERROR((COUNTIF(O197:P197,"כן")+0.5*COUNTIF(O197:P197,"קצת"))/(COUNTIF(O197:P197,"כן")+COUNTIF(O197:P197,"קצת")+COUNTIF(O197:P197,"עוד לא")),""))</f>
        <v/>
      </c>
      <c r="AK197" s="28" t="str">
        <f aca="false">IF($A197="","",IFERROR((COUNTIF(Q197:R197,"כן")+0.5*COUNTIF(Q197:R197,"קצת"))/(COUNTIF(Q197:R197,"כן")+COUNTIF(Q197:R197,"קצת")+COUNTIF(Q197:R197,"עוד לא")),""))</f>
        <v/>
      </c>
      <c r="AL197" s="28" t="str">
        <f aca="false">IF($A197="","",IFERROR((COUNTIF(K197:R197,"כן")+0.5*COUNTIF(K197:R197,"קצת"))/(COUNTIF(K197:R197,"כן")+COUNTIF(K197:R197,"קצת")+COUNTIF(K197:R197,"עוד לא")),""))</f>
        <v/>
      </c>
      <c r="AM197" s="28" t="str">
        <f aca="false">IF($A197="","",IFERROR((COUNTIF(S197:Z197,"רוב הזמן")+0.5*COUNTIF(S197:Z197,"לפעמים"))/(COUNTIF(S197:Z197,"רוב הזמן")+COUNTIF(S197:Z197,"לפעמים")+COUNTIF(S197:Z197,"עדיין לא")),""))</f>
        <v/>
      </c>
      <c r="AN197" s="28" t="str">
        <f aca="false">IF($A197="","",IFERROR(1-SUMPRODUCT(ABS(((K197:R197="כן")+0.5*(K197:R197="קצת"))-((S197:Z197="רוב הזמן")+0.5*(S197:Z197="לפעמים")))*(((K197:R197="כן")+(K197:R197="קצת")+(K197:R197="עוד לא"))*((S197:Z197="רוב הזמן")+(S197:Z197="לפעמים")+(S197:Z197="עדיין לא"))))/SUMPRODUCT((((K197:R197="כן")+(K197:R197="קצת")+(K197:R197="עוד לא"))*((S197:Z197="רוב הזמן")+(S197:Z197="לפעמים")+(S197:Z197="עדיין לא")))),""))</f>
        <v/>
      </c>
      <c r="AO197" s="27" t="str">
        <f aca="false">IF($A197="","",SUMPRODUCT(((((K197:R197="כן")+0.5*(K197:R197="קצת"))-((S197:Z197="רוב הזמן")+0.5*(S197:Z197="לפעמים")))&gt;0.01)*(((K197:R197="כן")+(K197:R197="קצת")+(K197:R197="עוד לא"))*((S197:Z197="רוב הזמן")+(S197:Z197="לפעמים")+(S197:Z197="עדיין לא")))))</f>
        <v/>
      </c>
      <c r="AP197" s="27" t="str">
        <f aca="false">IF($A197="","",SUMPRODUCT(((((S197:Z197="רוב הזמן")+0.5*(S197:Z197="לפעמים"))-((K197:R197="כן")+0.5*(K197:R197="קצת")))&gt;0.01)*(((K197:R197="כן")+(K197:R197="קצת")+(K197:R197="עוד לא"))*((S197:Z197="רוב הזמן")+(S197:Z197="לפעמים")+(S197:Z197="עדיין לא")))))</f>
        <v/>
      </c>
      <c r="AQ197" s="27" t="str">
        <f aca="false">IF($A197="","",COUNTIF(AA197:AB197,"כן"))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7" t="str">
        <f aca="false">IF($A198="","",$A198&amp;"|"&amp;$C198)</f>
        <v/>
      </c>
      <c r="AG198" s="27" t="str">
        <f aca="false">IF($A198="","",IF(OR(H198="לא נבדק",H198=""),"לא נבדק",IF(AND(H198="בחר/ה בעצמו/ה",I198="כן",J198="לא"),"מלא",IF(OR(H198="בחר/ה בעצמו/ה",I198="כן"),"חלקי","עדיין לא"))))</f>
        <v/>
      </c>
      <c r="AH198" s="28" t="str">
        <f aca="false">IF($A198="","",IFERROR((COUNTIF(K198:L198,"כן")+0.5*COUNTIF(K198:L198,"קצת"))/(COUNTIF(K198:L198,"כן")+COUNTIF(K198:L198,"קצת")+COUNTIF(K198:L198,"עוד לא")),""))</f>
        <v/>
      </c>
      <c r="AI198" s="28" t="str">
        <f aca="false">IF($A198="","",IFERROR((COUNTIF(M198:N198,"כן")+0.5*COUNTIF(M198:N198,"קצת"))/(COUNTIF(M198:N198,"כן")+COUNTIF(M198:N198,"קצת")+COUNTIF(M198:N198,"עוד לא")),""))</f>
        <v/>
      </c>
      <c r="AJ198" s="28" t="str">
        <f aca="false">IF($A198="","",IFERROR((COUNTIF(O198:P198,"כן")+0.5*COUNTIF(O198:P198,"קצת"))/(COUNTIF(O198:P198,"כן")+COUNTIF(O198:P198,"קצת")+COUNTIF(O198:P198,"עוד לא")),""))</f>
        <v/>
      </c>
      <c r="AK198" s="28" t="str">
        <f aca="false">IF($A198="","",IFERROR((COUNTIF(Q198:R198,"כן")+0.5*COUNTIF(Q198:R198,"קצת"))/(COUNTIF(Q198:R198,"כן")+COUNTIF(Q198:R198,"קצת")+COUNTIF(Q198:R198,"עוד לא")),""))</f>
        <v/>
      </c>
      <c r="AL198" s="28" t="str">
        <f aca="false">IF($A198="","",IFERROR((COUNTIF(K198:R198,"כן")+0.5*COUNTIF(K198:R198,"קצת"))/(COUNTIF(K198:R198,"כן")+COUNTIF(K198:R198,"קצת")+COUNTIF(K198:R198,"עוד לא")),""))</f>
        <v/>
      </c>
      <c r="AM198" s="28" t="str">
        <f aca="false">IF($A198="","",IFERROR((COUNTIF(S198:Z198,"רוב הזמן")+0.5*COUNTIF(S198:Z198,"לפעמים"))/(COUNTIF(S198:Z198,"רוב הזמן")+COUNTIF(S198:Z198,"לפעמים")+COUNTIF(S198:Z198,"עדיין לא")),""))</f>
        <v/>
      </c>
      <c r="AN198" s="28" t="str">
        <f aca="false">IF($A198="","",IFERROR(1-SUMPRODUCT(ABS(((K198:R198="כן")+0.5*(K198:R198="קצת"))-((S198:Z198="רוב הזמן")+0.5*(S198:Z198="לפעמים")))*(((K198:R198="כן")+(K198:R198="קצת")+(K198:R198="עוד לא"))*((S198:Z198="רוב הזמן")+(S198:Z198="לפעמים")+(S198:Z198="עדיין לא"))))/SUMPRODUCT((((K198:R198="כן")+(K198:R198="קצת")+(K198:R198="עוד לא"))*((S198:Z198="רוב הזמן")+(S198:Z198="לפעמים")+(S198:Z198="עדיין לא")))),""))</f>
        <v/>
      </c>
      <c r="AO198" s="27" t="str">
        <f aca="false">IF($A198="","",SUMPRODUCT(((((K198:R198="כן")+0.5*(K198:R198="קצת"))-((S198:Z198="רוב הזמן")+0.5*(S198:Z198="לפעמים")))&gt;0.01)*(((K198:R198="כן")+(K198:R198="קצת")+(K198:R198="עוד לא"))*((S198:Z198="רוב הזמן")+(S198:Z198="לפעמים")+(S198:Z198="עדיין לא")))))</f>
        <v/>
      </c>
      <c r="AP198" s="27" t="str">
        <f aca="false">IF($A198="","",SUMPRODUCT(((((S198:Z198="רוב הזמן")+0.5*(S198:Z198="לפעמים"))-((K198:R198="כן")+0.5*(K198:R198="קצת")))&gt;0.01)*(((K198:R198="כן")+(K198:R198="קצת")+(K198:R198="עוד לא"))*((S198:Z198="רוב הזמן")+(S198:Z198="לפעמים")+(S198:Z198="עדיין לא")))))</f>
        <v/>
      </c>
      <c r="AQ198" s="27" t="str">
        <f aca="false">IF($A198="","",COUNTIF(AA198:AB198,"כן"))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7" t="str">
        <f aca="false">IF($A199="","",$A199&amp;"|"&amp;$C199)</f>
        <v/>
      </c>
      <c r="AG199" s="27" t="str">
        <f aca="false">IF($A199="","",IF(OR(H199="לא נבדק",H199=""),"לא נבדק",IF(AND(H199="בחר/ה בעצמו/ה",I199="כן",J199="לא"),"מלא",IF(OR(H199="בחר/ה בעצמו/ה",I199="כן"),"חלקי","עדיין לא"))))</f>
        <v/>
      </c>
      <c r="AH199" s="28" t="str">
        <f aca="false">IF($A199="","",IFERROR((COUNTIF(K199:L199,"כן")+0.5*COUNTIF(K199:L199,"קצת"))/(COUNTIF(K199:L199,"כן")+COUNTIF(K199:L199,"קצת")+COUNTIF(K199:L199,"עוד לא")),""))</f>
        <v/>
      </c>
      <c r="AI199" s="28" t="str">
        <f aca="false">IF($A199="","",IFERROR((COUNTIF(M199:N199,"כן")+0.5*COUNTIF(M199:N199,"קצת"))/(COUNTIF(M199:N199,"כן")+COUNTIF(M199:N199,"קצת")+COUNTIF(M199:N199,"עוד לא")),""))</f>
        <v/>
      </c>
      <c r="AJ199" s="28" t="str">
        <f aca="false">IF($A199="","",IFERROR((COUNTIF(O199:P199,"כן")+0.5*COUNTIF(O199:P199,"קצת"))/(COUNTIF(O199:P199,"כן")+COUNTIF(O199:P199,"קצת")+COUNTIF(O199:P199,"עוד לא")),""))</f>
        <v/>
      </c>
      <c r="AK199" s="28" t="str">
        <f aca="false">IF($A199="","",IFERROR((COUNTIF(Q199:R199,"כן")+0.5*COUNTIF(Q199:R199,"קצת"))/(COUNTIF(Q199:R199,"כן")+COUNTIF(Q199:R199,"קצת")+COUNTIF(Q199:R199,"עוד לא")),""))</f>
        <v/>
      </c>
      <c r="AL199" s="28" t="str">
        <f aca="false">IF($A199="","",IFERROR((COUNTIF(K199:R199,"כן")+0.5*COUNTIF(K199:R199,"קצת"))/(COUNTIF(K199:R199,"כן")+COUNTIF(K199:R199,"קצת")+COUNTIF(K199:R199,"עוד לא")),""))</f>
        <v/>
      </c>
      <c r="AM199" s="28" t="str">
        <f aca="false">IF($A199="","",IFERROR((COUNTIF(S199:Z199,"רוב הזמן")+0.5*COUNTIF(S199:Z199,"לפעמים"))/(COUNTIF(S199:Z199,"רוב הזמן")+COUNTIF(S199:Z199,"לפעמים")+COUNTIF(S199:Z199,"עדיין לא")),""))</f>
        <v/>
      </c>
      <c r="AN199" s="28" t="str">
        <f aca="false">IF($A199="","",IFERROR(1-SUMPRODUCT(ABS(((K199:R199="כן")+0.5*(K199:R199="קצת"))-((S199:Z199="רוב הזמן")+0.5*(S199:Z199="לפעמים")))*(((K199:R199="כן")+(K199:R199="קצת")+(K199:R199="עוד לא"))*((S199:Z199="רוב הזמן")+(S199:Z199="לפעמים")+(S199:Z199="עדיין לא"))))/SUMPRODUCT((((K199:R199="כן")+(K199:R199="קצת")+(K199:R199="עוד לא"))*((S199:Z199="רוב הזמן")+(S199:Z199="לפעמים")+(S199:Z199="עדיין לא")))),""))</f>
        <v/>
      </c>
      <c r="AO199" s="27" t="str">
        <f aca="false">IF($A199="","",SUMPRODUCT(((((K199:R199="כן")+0.5*(K199:R199="קצת"))-((S199:Z199="רוב הזמן")+0.5*(S199:Z199="לפעמים")))&gt;0.01)*(((K199:R199="כן")+(K199:R199="קצת")+(K199:R199="עוד לא"))*((S199:Z199="רוב הזמן")+(S199:Z199="לפעמים")+(S199:Z199="עדיין לא")))))</f>
        <v/>
      </c>
      <c r="AP199" s="27" t="str">
        <f aca="false">IF($A199="","",SUMPRODUCT(((((S199:Z199="רוב הזמן")+0.5*(S199:Z199="לפעמים"))-((K199:R199="כן")+0.5*(K199:R199="קצת")))&gt;0.01)*(((K199:R199="כן")+(K199:R199="קצת")+(K199:R199="עוד לא"))*((S199:Z199="רוב הזמן")+(S199:Z199="לפעמים")+(S199:Z199="עדיין לא")))))</f>
        <v/>
      </c>
      <c r="AQ199" s="27" t="str">
        <f aca="false">IF($A199="","",COUNTIF(AA199:AB199,"כן"))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7" t="str">
        <f aca="false">IF($A200="","",$A200&amp;"|"&amp;$C200)</f>
        <v/>
      </c>
      <c r="AG200" s="27" t="str">
        <f aca="false">IF($A200="","",IF(OR(H200="לא נבדק",H200=""),"לא נבדק",IF(AND(H200="בחר/ה בעצמו/ה",I200="כן",J200="לא"),"מלא",IF(OR(H200="בחר/ה בעצמו/ה",I200="כן"),"חלקי","עדיין לא"))))</f>
        <v/>
      </c>
      <c r="AH200" s="28" t="str">
        <f aca="false">IF($A200="","",IFERROR((COUNTIF(K200:L200,"כן")+0.5*COUNTIF(K200:L200,"קצת"))/(COUNTIF(K200:L200,"כן")+COUNTIF(K200:L200,"קצת")+COUNTIF(K200:L200,"עוד לא")),""))</f>
        <v/>
      </c>
      <c r="AI200" s="28" t="str">
        <f aca="false">IF($A200="","",IFERROR((COUNTIF(M200:N200,"כן")+0.5*COUNTIF(M200:N200,"קצת"))/(COUNTIF(M200:N200,"כן")+COUNTIF(M200:N200,"קצת")+COUNTIF(M200:N200,"עוד לא")),""))</f>
        <v/>
      </c>
      <c r="AJ200" s="28" t="str">
        <f aca="false">IF($A200="","",IFERROR((COUNTIF(O200:P200,"כן")+0.5*COUNTIF(O200:P200,"קצת"))/(COUNTIF(O200:P200,"כן")+COUNTIF(O200:P200,"קצת")+COUNTIF(O200:P200,"עוד לא")),""))</f>
        <v/>
      </c>
      <c r="AK200" s="28" t="str">
        <f aca="false">IF($A200="","",IFERROR((COUNTIF(Q200:R200,"כן")+0.5*COUNTIF(Q200:R200,"קצת"))/(COUNTIF(Q200:R200,"כן")+COUNTIF(Q200:R200,"קצת")+COUNTIF(Q200:R200,"עוד לא")),""))</f>
        <v/>
      </c>
      <c r="AL200" s="28" t="str">
        <f aca="false">IF($A200="","",IFERROR((COUNTIF(K200:R200,"כן")+0.5*COUNTIF(K200:R200,"קצת"))/(COUNTIF(K200:R200,"כן")+COUNTIF(K200:R200,"קצת")+COUNTIF(K200:R200,"עוד לא")),""))</f>
        <v/>
      </c>
      <c r="AM200" s="28" t="str">
        <f aca="false">IF($A200="","",IFERROR((COUNTIF(S200:Z200,"רוב הזמן")+0.5*COUNTIF(S200:Z200,"לפעמים"))/(COUNTIF(S200:Z200,"רוב הזמן")+COUNTIF(S200:Z200,"לפעמים")+COUNTIF(S200:Z200,"עדיין לא")),""))</f>
        <v/>
      </c>
      <c r="AN200" s="28" t="str">
        <f aca="false">IF($A200="","",IFERROR(1-SUMPRODUCT(ABS(((K200:R200="כן")+0.5*(K200:R200="קצת"))-((S200:Z200="רוב הזמן")+0.5*(S200:Z200="לפעמים")))*(((K200:R200="כן")+(K200:R200="קצת")+(K200:R200="עוד לא"))*((S200:Z200="רוב הזמן")+(S200:Z200="לפעמים")+(S200:Z200="עדיין לא"))))/SUMPRODUCT((((K200:R200="כן")+(K200:R200="קצת")+(K200:R200="עוד לא"))*((S200:Z200="רוב הזמן")+(S200:Z200="לפעמים")+(S200:Z200="עדיין לא")))),""))</f>
        <v/>
      </c>
      <c r="AO200" s="27" t="str">
        <f aca="false">IF($A200="","",SUMPRODUCT(((((K200:R200="כן")+0.5*(K200:R200="קצת"))-((S200:Z200="רוב הזמן")+0.5*(S200:Z200="לפעמים")))&gt;0.01)*(((K200:R200="כן")+(K200:R200="קצת")+(K200:R200="עוד לא"))*((S200:Z200="רוב הזמן")+(S200:Z200="לפעמים")+(S200:Z200="עדיין לא")))))</f>
        <v/>
      </c>
      <c r="AP200" s="27" t="str">
        <f aca="false">IF($A200="","",SUMPRODUCT(((((S200:Z200="רוב הזמן")+0.5*(S200:Z200="לפעמים"))-((K200:R200="כן")+0.5*(K200:R200="קצת")))&gt;0.01)*(((K200:R200="כן")+(K200:R200="קצת")+(K200:R200="עוד לא"))*((S200:Z200="רוב הזמן")+(S200:Z200="לפעמים")+(S200:Z200="עדיין לא")))))</f>
        <v/>
      </c>
      <c r="AQ200" s="27" t="str">
        <f aca="false">IF($A200="","",COUNTIF(AA200:AB200,"כן"))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7" t="str">
        <f aca="false">IF($A201="","",$A201&amp;"|"&amp;$C201)</f>
        <v/>
      </c>
      <c r="AG201" s="27" t="str">
        <f aca="false">IF($A201="","",IF(OR(H201="לא נבדק",H201=""),"לא נבדק",IF(AND(H201="בחר/ה בעצמו/ה",I201="כן",J201="לא"),"מלא",IF(OR(H201="בחר/ה בעצמו/ה",I201="כן"),"חלקי","עדיין לא"))))</f>
        <v/>
      </c>
      <c r="AH201" s="28" t="str">
        <f aca="false">IF($A201="","",IFERROR((COUNTIF(K201:L201,"כן")+0.5*COUNTIF(K201:L201,"קצת"))/(COUNTIF(K201:L201,"כן")+COUNTIF(K201:L201,"קצת")+COUNTIF(K201:L201,"עוד לא")),""))</f>
        <v/>
      </c>
      <c r="AI201" s="28" t="str">
        <f aca="false">IF($A201="","",IFERROR((COUNTIF(M201:N201,"כן")+0.5*COUNTIF(M201:N201,"קצת"))/(COUNTIF(M201:N201,"כן")+COUNTIF(M201:N201,"קצת")+COUNTIF(M201:N201,"עוד לא")),""))</f>
        <v/>
      </c>
      <c r="AJ201" s="28" t="str">
        <f aca="false">IF($A201="","",IFERROR((COUNTIF(O201:P201,"כן")+0.5*COUNTIF(O201:P201,"קצת"))/(COUNTIF(O201:P201,"כן")+COUNTIF(O201:P201,"קצת")+COUNTIF(O201:P201,"עוד לא")),""))</f>
        <v/>
      </c>
      <c r="AK201" s="28" t="str">
        <f aca="false">IF($A201="","",IFERROR((COUNTIF(Q201:R201,"כן")+0.5*COUNTIF(Q201:R201,"קצת"))/(COUNTIF(Q201:R201,"כן")+COUNTIF(Q201:R201,"קצת")+COUNTIF(Q201:R201,"עוד לא")),""))</f>
        <v/>
      </c>
      <c r="AL201" s="28" t="str">
        <f aca="false">IF($A201="","",IFERROR((COUNTIF(K201:R201,"כן")+0.5*COUNTIF(K201:R201,"קצת"))/(COUNTIF(K201:R201,"כן")+COUNTIF(K201:R201,"קצת")+COUNTIF(K201:R201,"עוד לא")),""))</f>
        <v/>
      </c>
      <c r="AM201" s="28" t="str">
        <f aca="false">IF($A201="","",IFERROR((COUNTIF(S201:Z201,"רוב הזמן")+0.5*COUNTIF(S201:Z201,"לפעמים"))/(COUNTIF(S201:Z201,"רוב הזמן")+COUNTIF(S201:Z201,"לפעמים")+COUNTIF(S201:Z201,"עדיין לא")),""))</f>
        <v/>
      </c>
      <c r="AN201" s="28" t="str">
        <f aca="false">IF($A201="","",IFERROR(1-SUMPRODUCT(ABS(((K201:R201="כן")+0.5*(K201:R201="קצת"))-((S201:Z201="רוב הזמן")+0.5*(S201:Z201="לפעמים")))*(((K201:R201="כן")+(K201:R201="קצת")+(K201:R201="עוד לא"))*((S201:Z201="רוב הזמן")+(S201:Z201="לפעמים")+(S201:Z201="עדיין לא"))))/SUMPRODUCT((((K201:R201="כן")+(K201:R201="קצת")+(K201:R201="עוד לא"))*((S201:Z201="רוב הזמן")+(S201:Z201="לפעמים")+(S201:Z201="עדיין לא")))),""))</f>
        <v/>
      </c>
      <c r="AO201" s="27" t="str">
        <f aca="false">IF($A201="","",SUMPRODUCT(((((K201:R201="כן")+0.5*(K201:R201="קצת"))-((S201:Z201="רוב הזמן")+0.5*(S201:Z201="לפעמים")))&gt;0.01)*(((K201:R201="כן")+(K201:R201="קצת")+(K201:R201="עוד לא"))*((S201:Z201="רוב הזמן")+(S201:Z201="לפעמים")+(S201:Z201="עדיין לא")))))</f>
        <v/>
      </c>
      <c r="AP201" s="27" t="str">
        <f aca="false">IF($A201="","",SUMPRODUCT(((((S201:Z201="רוב הזמן")+0.5*(S201:Z201="לפעמים"))-((K201:R201="כן")+0.5*(K201:R201="קצת")))&gt;0.01)*(((K201:R201="כן")+(K201:R201="קצת")+(K201:R201="עוד לא"))*((S201:Z201="רוב הזמן")+(S201:Z201="לפעמים")+(S201:Z201="עדיין לא")))))</f>
        <v/>
      </c>
      <c r="AQ201" s="27" t="str">
        <f aca="false">IF($A201="","",COUNTIF(AA201:AB201,"כן"))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7" t="str">
        <f aca="false">IF($A202="","",$A202&amp;"|"&amp;$C202)</f>
        <v/>
      </c>
      <c r="AG202" s="27" t="str">
        <f aca="false">IF($A202="","",IF(OR(H202="לא נבדק",H202=""),"לא נבדק",IF(AND(H202="בחר/ה בעצמו/ה",I202="כן",J202="לא"),"מלא",IF(OR(H202="בחר/ה בעצמו/ה",I202="כן"),"חלקי","עדיין לא"))))</f>
        <v/>
      </c>
      <c r="AH202" s="28" t="str">
        <f aca="false">IF($A202="","",IFERROR((COUNTIF(K202:L202,"כן")+0.5*COUNTIF(K202:L202,"קצת"))/(COUNTIF(K202:L202,"כן")+COUNTIF(K202:L202,"קצת")+COUNTIF(K202:L202,"עוד לא")),""))</f>
        <v/>
      </c>
      <c r="AI202" s="28" t="str">
        <f aca="false">IF($A202="","",IFERROR((COUNTIF(M202:N202,"כן")+0.5*COUNTIF(M202:N202,"קצת"))/(COUNTIF(M202:N202,"כן")+COUNTIF(M202:N202,"קצת")+COUNTIF(M202:N202,"עוד לא")),""))</f>
        <v/>
      </c>
      <c r="AJ202" s="28" t="str">
        <f aca="false">IF($A202="","",IFERROR((COUNTIF(O202:P202,"כן")+0.5*COUNTIF(O202:P202,"קצת"))/(COUNTIF(O202:P202,"כן")+COUNTIF(O202:P202,"קצת")+COUNTIF(O202:P202,"עוד לא")),""))</f>
        <v/>
      </c>
      <c r="AK202" s="28" t="str">
        <f aca="false">IF($A202="","",IFERROR((COUNTIF(Q202:R202,"כן")+0.5*COUNTIF(Q202:R202,"קצת"))/(COUNTIF(Q202:R202,"כן")+COUNTIF(Q202:R202,"קצת")+COUNTIF(Q202:R202,"עוד לא")),""))</f>
        <v/>
      </c>
      <c r="AL202" s="28" t="str">
        <f aca="false">IF($A202="","",IFERROR((COUNTIF(K202:R202,"כן")+0.5*COUNTIF(K202:R202,"קצת"))/(COUNTIF(K202:R202,"כן")+COUNTIF(K202:R202,"קצת")+COUNTIF(K202:R202,"עוד לא")),""))</f>
        <v/>
      </c>
      <c r="AM202" s="28" t="str">
        <f aca="false">IF($A202="","",IFERROR((COUNTIF(S202:Z202,"רוב הזמן")+0.5*COUNTIF(S202:Z202,"לפעמים"))/(COUNTIF(S202:Z202,"רוב הזמן")+COUNTIF(S202:Z202,"לפעמים")+COUNTIF(S202:Z202,"עדיין לא")),""))</f>
        <v/>
      </c>
      <c r="AN202" s="28" t="str">
        <f aca="false">IF($A202="","",IFERROR(1-SUMPRODUCT(ABS(((K202:R202="כן")+0.5*(K202:R202="קצת"))-((S202:Z202="רוב הזמן")+0.5*(S202:Z202="לפעמים")))*(((K202:R202="כן")+(K202:R202="קצת")+(K202:R202="עוד לא"))*((S202:Z202="רוב הזמן")+(S202:Z202="לפעמים")+(S202:Z202="עדיין לא"))))/SUMPRODUCT((((K202:R202="כן")+(K202:R202="קצת")+(K202:R202="עוד לא"))*((S202:Z202="רוב הזמן")+(S202:Z202="לפעמים")+(S202:Z202="עדיין לא")))),""))</f>
        <v/>
      </c>
      <c r="AO202" s="27" t="str">
        <f aca="false">IF($A202="","",SUMPRODUCT(((((K202:R202="כן")+0.5*(K202:R202="קצת"))-((S202:Z202="רוב הזמן")+0.5*(S202:Z202="לפעמים")))&gt;0.01)*(((K202:R202="כן")+(K202:R202="קצת")+(K202:R202="עוד לא"))*((S202:Z202="רוב הזמן")+(S202:Z202="לפעמים")+(S202:Z202="עדיין לא")))))</f>
        <v/>
      </c>
      <c r="AP202" s="27" t="str">
        <f aca="false">IF($A202="","",SUMPRODUCT(((((S202:Z202="רוב הזמן")+0.5*(S202:Z202="לפעמים"))-((K202:R202="כן")+0.5*(K202:R202="קצת")))&gt;0.01)*(((K202:R202="כן")+(K202:R202="קצת")+(K202:R202="עוד לא"))*((S202:Z202="רוב הזמן")+(S202:Z202="לפעמים")+(S202:Z202="עדיין לא")))))</f>
        <v/>
      </c>
      <c r="AQ202" s="27" t="str">
        <f aca="false">IF($A202="","",COUNTIF(AA202:AB202,"כן"))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7" t="str">
        <f aca="false">IF($A203="","",$A203&amp;"|"&amp;$C203)</f>
        <v/>
      </c>
      <c r="AG203" s="27" t="str">
        <f aca="false">IF($A203="","",IF(OR(H203="לא נבדק",H203=""),"לא נבדק",IF(AND(H203="בחר/ה בעצמו/ה",I203="כן",J203="לא"),"מלא",IF(OR(H203="בחר/ה בעצמו/ה",I203="כן"),"חלקי","עדיין לא"))))</f>
        <v/>
      </c>
      <c r="AH203" s="28" t="str">
        <f aca="false">IF($A203="","",IFERROR((COUNTIF(K203:L203,"כן")+0.5*COUNTIF(K203:L203,"קצת"))/(COUNTIF(K203:L203,"כן")+COUNTIF(K203:L203,"קצת")+COUNTIF(K203:L203,"עוד לא")),""))</f>
        <v/>
      </c>
      <c r="AI203" s="28" t="str">
        <f aca="false">IF($A203="","",IFERROR((COUNTIF(M203:N203,"כן")+0.5*COUNTIF(M203:N203,"קצת"))/(COUNTIF(M203:N203,"כן")+COUNTIF(M203:N203,"קצת")+COUNTIF(M203:N203,"עוד לא")),""))</f>
        <v/>
      </c>
      <c r="AJ203" s="28" t="str">
        <f aca="false">IF($A203="","",IFERROR((COUNTIF(O203:P203,"כן")+0.5*COUNTIF(O203:P203,"קצת"))/(COUNTIF(O203:P203,"כן")+COUNTIF(O203:P203,"קצת")+COUNTIF(O203:P203,"עוד לא")),""))</f>
        <v/>
      </c>
      <c r="AK203" s="28" t="str">
        <f aca="false">IF($A203="","",IFERROR((COUNTIF(Q203:R203,"כן")+0.5*COUNTIF(Q203:R203,"קצת"))/(COUNTIF(Q203:R203,"כן")+COUNTIF(Q203:R203,"קצת")+COUNTIF(Q203:R203,"עוד לא")),""))</f>
        <v/>
      </c>
      <c r="AL203" s="28" t="str">
        <f aca="false">IF($A203="","",IFERROR((COUNTIF(K203:R203,"כן")+0.5*COUNTIF(K203:R203,"קצת"))/(COUNTIF(K203:R203,"כן")+COUNTIF(K203:R203,"קצת")+COUNTIF(K203:R203,"עוד לא")),""))</f>
        <v/>
      </c>
      <c r="AM203" s="28" t="str">
        <f aca="false">IF($A203="","",IFERROR((COUNTIF(S203:Z203,"רוב הזמן")+0.5*COUNTIF(S203:Z203,"לפעמים"))/(COUNTIF(S203:Z203,"רוב הזמן")+COUNTIF(S203:Z203,"לפעמים")+COUNTIF(S203:Z203,"עדיין לא")),""))</f>
        <v/>
      </c>
      <c r="AN203" s="28" t="str">
        <f aca="false">IF($A203="","",IFERROR(1-SUMPRODUCT(ABS(((K203:R203="כן")+0.5*(K203:R203="קצת"))-((S203:Z203="רוב הזמן")+0.5*(S203:Z203="לפעמים")))*(((K203:R203="כן")+(K203:R203="קצת")+(K203:R203="עוד לא"))*((S203:Z203="רוב הזמן")+(S203:Z203="לפעמים")+(S203:Z203="עדיין לא"))))/SUMPRODUCT((((K203:R203="כן")+(K203:R203="קצת")+(K203:R203="עוד לא"))*((S203:Z203="רוב הזמן")+(S203:Z203="לפעמים")+(S203:Z203="עדיין לא")))),""))</f>
        <v/>
      </c>
      <c r="AO203" s="27" t="str">
        <f aca="false">IF($A203="","",SUMPRODUCT(((((K203:R203="כן")+0.5*(K203:R203="קצת"))-((S203:Z203="רוב הזמן")+0.5*(S203:Z203="לפעמים")))&gt;0.01)*(((K203:R203="כן")+(K203:R203="קצת")+(K203:R203="עוד לא"))*((S203:Z203="רוב הזמן")+(S203:Z203="לפעמים")+(S203:Z203="עדיין לא")))))</f>
        <v/>
      </c>
      <c r="AP203" s="27" t="str">
        <f aca="false">IF($A203="","",SUMPRODUCT(((((S203:Z203="רוב הזמן")+0.5*(S203:Z203="לפעמים"))-((K203:R203="כן")+0.5*(K203:R203="קצת")))&gt;0.01)*(((K203:R203="כן")+(K203:R203="קצת")+(K203:R203="עוד לא"))*((S203:Z203="רוב הזמן")+(S203:Z203="לפעמים")+(S203:Z203="עדיין לא")))))</f>
        <v/>
      </c>
      <c r="AQ203" s="27" t="str">
        <f aca="false">IF($A203="","",COUNTIF(AA203:AB203,"כן"))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7" t="str">
        <f aca="false">IF($A204="","",$A204&amp;"|"&amp;$C204)</f>
        <v/>
      </c>
      <c r="AG204" s="27" t="str">
        <f aca="false">IF($A204="","",IF(OR(H204="לא נבדק",H204=""),"לא נבדק",IF(AND(H204="בחר/ה בעצמו/ה",I204="כן",J204="לא"),"מלא",IF(OR(H204="בחר/ה בעצמו/ה",I204="כן"),"חלקי","עדיין לא"))))</f>
        <v/>
      </c>
      <c r="AH204" s="28" t="str">
        <f aca="false">IF($A204="","",IFERROR((COUNTIF(K204:L204,"כן")+0.5*COUNTIF(K204:L204,"קצת"))/(COUNTIF(K204:L204,"כן")+COUNTIF(K204:L204,"קצת")+COUNTIF(K204:L204,"עוד לא")),""))</f>
        <v/>
      </c>
      <c r="AI204" s="28" t="str">
        <f aca="false">IF($A204="","",IFERROR((COUNTIF(M204:N204,"כן")+0.5*COUNTIF(M204:N204,"קצת"))/(COUNTIF(M204:N204,"כן")+COUNTIF(M204:N204,"קצת")+COUNTIF(M204:N204,"עוד לא")),""))</f>
        <v/>
      </c>
      <c r="AJ204" s="28" t="str">
        <f aca="false">IF($A204="","",IFERROR((COUNTIF(O204:P204,"כן")+0.5*COUNTIF(O204:P204,"קצת"))/(COUNTIF(O204:P204,"כן")+COUNTIF(O204:P204,"קצת")+COUNTIF(O204:P204,"עוד לא")),""))</f>
        <v/>
      </c>
      <c r="AK204" s="28" t="str">
        <f aca="false">IF($A204="","",IFERROR((COUNTIF(Q204:R204,"כן")+0.5*COUNTIF(Q204:R204,"קצת"))/(COUNTIF(Q204:R204,"כן")+COUNTIF(Q204:R204,"קצת")+COUNTIF(Q204:R204,"עוד לא")),""))</f>
        <v/>
      </c>
      <c r="AL204" s="28" t="str">
        <f aca="false">IF($A204="","",IFERROR((COUNTIF(K204:R204,"כן")+0.5*COUNTIF(K204:R204,"קצת"))/(COUNTIF(K204:R204,"כן")+COUNTIF(K204:R204,"קצת")+COUNTIF(K204:R204,"עוד לא")),""))</f>
        <v/>
      </c>
      <c r="AM204" s="28" t="str">
        <f aca="false">IF($A204="","",IFERROR((COUNTIF(S204:Z204,"רוב הזמן")+0.5*COUNTIF(S204:Z204,"לפעמים"))/(COUNTIF(S204:Z204,"רוב הזמן")+COUNTIF(S204:Z204,"לפעמים")+COUNTIF(S204:Z204,"עדיין לא")),""))</f>
        <v/>
      </c>
      <c r="AN204" s="28" t="str">
        <f aca="false">IF($A204="","",IFERROR(1-SUMPRODUCT(ABS(((K204:R204="כן")+0.5*(K204:R204="קצת"))-((S204:Z204="רוב הזמן")+0.5*(S204:Z204="לפעמים")))*(((K204:R204="כן")+(K204:R204="קצת")+(K204:R204="עוד לא"))*((S204:Z204="רוב הזמן")+(S204:Z204="לפעמים")+(S204:Z204="עדיין לא"))))/SUMPRODUCT((((K204:R204="כן")+(K204:R204="קצת")+(K204:R204="עוד לא"))*((S204:Z204="רוב הזמן")+(S204:Z204="לפעמים")+(S204:Z204="עדיין לא")))),""))</f>
        <v/>
      </c>
      <c r="AO204" s="27" t="str">
        <f aca="false">IF($A204="","",SUMPRODUCT(((((K204:R204="כן")+0.5*(K204:R204="קצת"))-((S204:Z204="רוב הזמן")+0.5*(S204:Z204="לפעמים")))&gt;0.01)*(((K204:R204="כן")+(K204:R204="קצת")+(K204:R204="עוד לא"))*((S204:Z204="רוב הזמן")+(S204:Z204="לפעמים")+(S204:Z204="עדיין לא")))))</f>
        <v/>
      </c>
      <c r="AP204" s="27" t="str">
        <f aca="false">IF($A204="","",SUMPRODUCT(((((S204:Z204="רוב הזמן")+0.5*(S204:Z204="לפעמים"))-((K204:R204="כן")+0.5*(K204:R204="קצת")))&gt;0.01)*(((K204:R204="כן")+(K204:R204="קצת")+(K204:R204="עוד לא"))*((S204:Z204="רוב הזמן")+(S204:Z204="לפעמים")+(S204:Z204="עדיין לא")))))</f>
        <v/>
      </c>
      <c r="AQ204" s="27" t="str">
        <f aca="false">IF($A204="","",COUNTIF(AA204:AB204,"כן"))</f>
        <v/>
      </c>
    </row>
  </sheetData>
  <mergeCells count="6">
    <mergeCell ref="A3:G3"/>
    <mergeCell ref="H3:J3"/>
    <mergeCell ref="K3:R3"/>
    <mergeCell ref="S3:Z3"/>
    <mergeCell ref="AA3:AD3"/>
    <mergeCell ref="AF3:AQ3"/>
  </mergeCells>
  <conditionalFormatting sqref="AH5:AN204">
    <cfRule type="colorScale" priority="2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dataValidations count="9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H5:H204" type="list">
      <formula1>"בחר/ה בעצמו/ה,בחר/ה באחר/ת,לא נבדק"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J204 AA5:AB204" type="list">
      <formula1>"כן,לא,לא ענה"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K5:R204" type="list">
      <formula1>"כן,קצת,עוד לא,לא ענה"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S5:Z204" type="list">
      <formula1>"רוב הזמן,לפעמים,עדיין לא"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AC5:AC204" type="list">
      <formula1>"3,2,1"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AD5:AD204" type="list">
      <formula1>"2,3"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5A"/>
    <pageSetUpPr fitToPage="false"/>
  </sheetPr>
  <dimension ref="A1:X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2" min="2" style="0" width="13"/>
    <col collapsed="false" customWidth="true" hidden="false" outlineLevel="0" max="23" min="23" style="0" width="14"/>
    <col collapsed="false" customWidth="true" hidden="false" outlineLevel="0" max="24" min="24" style="0" width="12"/>
  </cols>
  <sheetData>
    <row r="1" customFormat="false" ht="19.7" hidden="false" customHeight="false" outlineLevel="0" collapsed="false">
      <c r="A1" s="10" t="s">
        <v>103</v>
      </c>
    </row>
    <row r="2" customFormat="false" ht="15" hidden="false" customHeight="false" outlineLevel="0" collapsed="false">
      <c r="A2" s="11" t="s">
        <v>104</v>
      </c>
    </row>
    <row r="3" customFormat="false" ht="15" hidden="false" customHeight="false" outlineLevel="0" collapsed="false">
      <c r="B3" s="30" t="s">
        <v>88</v>
      </c>
      <c r="C3" s="30"/>
      <c r="D3" s="30"/>
      <c r="E3" s="30"/>
      <c r="F3" s="30"/>
      <c r="G3" s="30"/>
      <c r="H3" s="30"/>
      <c r="I3" s="14" t="s">
        <v>105</v>
      </c>
      <c r="J3" s="14"/>
      <c r="K3" s="14"/>
      <c r="L3" s="14"/>
      <c r="M3" s="14"/>
      <c r="N3" s="14"/>
      <c r="O3" s="14"/>
      <c r="P3" s="31" t="s">
        <v>106</v>
      </c>
      <c r="Q3" s="31"/>
      <c r="R3" s="31"/>
      <c r="S3" s="31"/>
      <c r="T3" s="31"/>
      <c r="U3" s="31"/>
      <c r="V3" s="31"/>
      <c r="W3" s="17" t="s">
        <v>107</v>
      </c>
      <c r="X3" s="17"/>
    </row>
    <row r="4" customFormat="false" ht="57.75" hidden="false" customHeight="true" outlineLevel="0" collapsed="false">
      <c r="A4" s="18" t="s">
        <v>47</v>
      </c>
      <c r="B4" s="20" t="s">
        <v>108</v>
      </c>
      <c r="C4" s="20" t="s">
        <v>109</v>
      </c>
      <c r="D4" s="20" t="s">
        <v>110</v>
      </c>
      <c r="E4" s="20" t="s">
        <v>111</v>
      </c>
      <c r="F4" s="20" t="s">
        <v>18</v>
      </c>
      <c r="G4" s="20" t="s">
        <v>26</v>
      </c>
      <c r="H4" s="20" t="s">
        <v>22</v>
      </c>
      <c r="I4" s="21" t="s">
        <v>108</v>
      </c>
      <c r="J4" s="21" t="s">
        <v>109</v>
      </c>
      <c r="K4" s="21" t="s">
        <v>110</v>
      </c>
      <c r="L4" s="21" t="s">
        <v>111</v>
      </c>
      <c r="M4" s="21" t="s">
        <v>18</v>
      </c>
      <c r="N4" s="21" t="s">
        <v>26</v>
      </c>
      <c r="O4" s="21" t="s">
        <v>22</v>
      </c>
      <c r="P4" s="23" t="s">
        <v>108</v>
      </c>
      <c r="Q4" s="23" t="s">
        <v>109</v>
      </c>
      <c r="R4" s="23" t="s">
        <v>110</v>
      </c>
      <c r="S4" s="23" t="s">
        <v>111</v>
      </c>
      <c r="T4" s="23" t="s">
        <v>18</v>
      </c>
      <c r="U4" s="23" t="s">
        <v>26</v>
      </c>
      <c r="V4" s="23" t="s">
        <v>22</v>
      </c>
      <c r="W4" s="25" t="s">
        <v>112</v>
      </c>
      <c r="X4" s="25" t="s">
        <v>113</v>
      </c>
    </row>
    <row r="5" customFormat="false" ht="15" hidden="false" customHeight="false" outlineLevel="0" collapsed="false">
      <c r="A5" s="26" t="s">
        <v>86</v>
      </c>
      <c r="B5" s="28" t="n">
        <f aca="false">IF($A5="","",IFERROR(INDEX('זה אני - קליטה'!$AH$5:$AH$204,MATCH($A5&amp;"|תחילת שנה",'זה אני - קליטה'!$AF$5:$AF$204,0)),""))</f>
        <v>0.75</v>
      </c>
      <c r="C5" s="28" t="n">
        <f aca="false">IF($A5="","",IFERROR(INDEX('זה אני - קליטה'!$AI$5:$AI$204,MATCH($A5&amp;"|תחילת שנה",'זה אני - קליטה'!$AF$5:$AF$204,0)),""))</f>
        <v>1</v>
      </c>
      <c r="D5" s="28" t="n">
        <f aca="false">IF($A5="","",IFERROR(INDEX('זה אני - קליטה'!$AJ$5:$AJ$204,MATCH($A5&amp;"|תחילת שנה",'זה אני - קליטה'!$AF$5:$AF$204,0)),""))</f>
        <v>0.25</v>
      </c>
      <c r="E5" s="28" t="n">
        <f aca="false">IF($A5="","",IFERROR(INDEX('זה אני - קליטה'!$AK$5:$AK$204,MATCH($A5&amp;"|תחילת שנה",'זה אני - קליטה'!$AF$5:$AF$204,0)),""))</f>
        <v>1</v>
      </c>
      <c r="F5" s="28" t="n">
        <f aca="false">IF($A5="","",IFERROR(INDEX('זה אני - קליטה'!$AL$5:$AL$204,MATCH($A5&amp;"|תחילת שנה",'זה אני - קליטה'!$AF$5:$AF$204,0)),""))</f>
        <v>0.714285714285714</v>
      </c>
      <c r="G5" s="27" t="str">
        <f aca="false">IF($A5="","",IFERROR(INDEX('זה אני - קליטה'!$AG$5:$AG$204,MATCH($A5&amp;"|תחילת שנה",'זה אני - קליטה'!$AF$5:$AF$204,0)),""))</f>
        <v>מלא</v>
      </c>
      <c r="H5" s="28" t="n">
        <f aca="false">IF($A5="","",IFERROR(INDEX('זה אני - קליטה'!$AN$5:$AN$204,MATCH($A5&amp;"|תחילת שנה",'זה אני - קליטה'!$AF$5:$AF$204,0)),""))</f>
        <v>0.785714285714286</v>
      </c>
      <c r="I5" s="28" t="str">
        <f aca="false">IF($A5="","",IFERROR(INDEX('זה אני - קליטה'!$AH$5:$AH$204,MATCH($A5&amp;"|אמצע שנה",'זה אני - קליטה'!$AF$5:$AF$204,0)),""))</f>
        <v/>
      </c>
      <c r="J5" s="28" t="str">
        <f aca="false">IF($A5="","",IFERROR(INDEX('זה אני - קליטה'!$AI$5:$AI$204,MATCH($A5&amp;"|אמצע שנה",'זה אני - קליטה'!$AF$5:$AF$204,0)),""))</f>
        <v/>
      </c>
      <c r="K5" s="28" t="str">
        <f aca="false">IF($A5="","",IFERROR(INDEX('זה אני - קליטה'!$AJ$5:$AJ$204,MATCH($A5&amp;"|אמצע שנה",'זה אני - קליטה'!$AF$5:$AF$204,0)),""))</f>
        <v/>
      </c>
      <c r="L5" s="28" t="str">
        <f aca="false">IF($A5="","",IFERROR(INDEX('זה אני - קליטה'!$AK$5:$AK$204,MATCH($A5&amp;"|אמצע שנה",'זה אני - קליטה'!$AF$5:$AF$204,0)),""))</f>
        <v/>
      </c>
      <c r="M5" s="28" t="str">
        <f aca="false">IF($A5="","",IFERROR(INDEX('זה אני - קליטה'!$AL$5:$AL$204,MATCH($A5&amp;"|אמצע שנה",'זה אני - קליטה'!$AF$5:$AF$204,0)),""))</f>
        <v/>
      </c>
      <c r="N5" s="27" t="str">
        <f aca="false">IF($A5="","",IFERROR(INDEX('זה אני - קליטה'!$AG$5:$AG$204,MATCH($A5&amp;"|אמצע שנה",'זה אני - קליטה'!$AF$5:$AF$204,0)),""))</f>
        <v/>
      </c>
      <c r="O5" s="28" t="str">
        <f aca="false">IF($A5="","",IFERROR(INDEX('זה אני - קליטה'!$AN$5:$AN$204,MATCH($A5&amp;"|אמצע שנה",'זה אני - קליטה'!$AF$5:$AF$204,0)),""))</f>
        <v/>
      </c>
      <c r="P5" s="28" t="str">
        <f aca="false">IF($A5="","",IFERROR(INDEX('זה אני - קליטה'!$AH$5:$AH$204,MATCH($A5&amp;"|סוף שנה",'זה אני - קליטה'!$AF$5:$AF$204,0)),""))</f>
        <v/>
      </c>
      <c r="Q5" s="28" t="str">
        <f aca="false">IF($A5="","",IFERROR(INDEX('זה אני - קליטה'!$AI$5:$AI$204,MATCH($A5&amp;"|סוף שנה",'זה אני - קליטה'!$AF$5:$AF$204,0)),""))</f>
        <v/>
      </c>
      <c r="R5" s="28" t="str">
        <f aca="false">IF($A5="","",IFERROR(INDEX('זה אני - קליטה'!$AJ$5:$AJ$204,MATCH($A5&amp;"|סוף שנה",'זה אני - קליטה'!$AF$5:$AF$204,0)),""))</f>
        <v/>
      </c>
      <c r="S5" s="28" t="str">
        <f aca="false">IF($A5="","",IFERROR(INDEX('זה אני - קליטה'!$AK$5:$AK$204,MATCH($A5&amp;"|סוף שנה",'זה אני - קליטה'!$AF$5:$AF$204,0)),""))</f>
        <v/>
      </c>
      <c r="T5" s="28" t="str">
        <f aca="false">IF($A5="","",IFERROR(INDEX('זה אני - קליטה'!$AL$5:$AL$204,MATCH($A5&amp;"|סוף שנה",'זה אני - קליטה'!$AF$5:$AF$204,0)),""))</f>
        <v/>
      </c>
      <c r="U5" s="27" t="str">
        <f aca="false">IF($A5="","",IFERROR(INDEX('זה אני - קליטה'!$AG$5:$AG$204,MATCH($A5&amp;"|סוף שנה",'זה אני - קליטה'!$AF$5:$AF$204,0)),""))</f>
        <v/>
      </c>
      <c r="V5" s="28" t="str">
        <f aca="false">IF($A5="","",IFERROR(INDEX('זה אני - קליטה'!$AN$5:$AN$204,MATCH($A5&amp;"|סוף שנה",'זה אני - קליטה'!$AF$5:$AF$204,0)),""))</f>
        <v/>
      </c>
      <c r="W5" s="32" t="str">
        <f aca="false">IF(AND(ISNUMBER(F5),ISNUMBER(T5)),T5-F5,"")</f>
        <v/>
      </c>
      <c r="X5" s="27" t="str">
        <f aca="false">IF(W5="","",IF(W5&gt;=0.25,"עלייה",IF(W5&lt;=-0.25,"ירידה","יציב")))</f>
        <v/>
      </c>
    </row>
    <row r="6" customFormat="false" ht="15" hidden="false" customHeight="false" outlineLevel="0" collapsed="false">
      <c r="A6" s="29"/>
      <c r="B6" s="28" t="str">
        <f aca="false">IF($A6="","",IFERROR(INDEX('זה אני - קליטה'!$AH$5:$AH$204,MATCH($A6&amp;"|תחילת שנה",'זה אני - קליטה'!$AF$5:$AF$204,0)),""))</f>
        <v/>
      </c>
      <c r="C6" s="28" t="str">
        <f aca="false">IF($A6="","",IFERROR(INDEX('זה אני - קליטה'!$AI$5:$AI$204,MATCH($A6&amp;"|תחילת שנה",'זה אני - קליטה'!$AF$5:$AF$204,0)),""))</f>
        <v/>
      </c>
      <c r="D6" s="28" t="str">
        <f aca="false">IF($A6="","",IFERROR(INDEX('זה אני - קליטה'!$AJ$5:$AJ$204,MATCH($A6&amp;"|תחילת שנה",'זה אני - קליטה'!$AF$5:$AF$204,0)),""))</f>
        <v/>
      </c>
      <c r="E6" s="28" t="str">
        <f aca="false">IF($A6="","",IFERROR(INDEX('זה אני - קליטה'!$AK$5:$AK$204,MATCH($A6&amp;"|תחילת שנה",'זה אני - קליטה'!$AF$5:$AF$204,0)),""))</f>
        <v/>
      </c>
      <c r="F6" s="28" t="str">
        <f aca="false">IF($A6="","",IFERROR(INDEX('זה אני - קליטה'!$AL$5:$AL$204,MATCH($A6&amp;"|תחילת שנה",'זה אני - קליטה'!$AF$5:$AF$204,0)),""))</f>
        <v/>
      </c>
      <c r="G6" s="27" t="str">
        <f aca="false">IF($A6="","",IFERROR(INDEX('זה אני - קליטה'!$AG$5:$AG$204,MATCH($A6&amp;"|תחילת שנה",'זה אני - קליטה'!$AF$5:$AF$204,0)),""))</f>
        <v/>
      </c>
      <c r="H6" s="28" t="str">
        <f aca="false">IF($A6="","",IFERROR(INDEX('זה אני - קליטה'!$AN$5:$AN$204,MATCH($A6&amp;"|תחילת שנה",'זה אני - קליטה'!$AF$5:$AF$204,0)),""))</f>
        <v/>
      </c>
      <c r="I6" s="28" t="str">
        <f aca="false">IF($A6="","",IFERROR(INDEX('זה אני - קליטה'!$AH$5:$AH$204,MATCH($A6&amp;"|אמצע שנה",'זה אני - קליטה'!$AF$5:$AF$204,0)),""))</f>
        <v/>
      </c>
      <c r="J6" s="28" t="str">
        <f aca="false">IF($A6="","",IFERROR(INDEX('זה אני - קליטה'!$AI$5:$AI$204,MATCH($A6&amp;"|אמצע שנה",'זה אני - קליטה'!$AF$5:$AF$204,0)),""))</f>
        <v/>
      </c>
      <c r="K6" s="28" t="str">
        <f aca="false">IF($A6="","",IFERROR(INDEX('זה אני - קליטה'!$AJ$5:$AJ$204,MATCH($A6&amp;"|אמצע שנה",'זה אני - קליטה'!$AF$5:$AF$204,0)),""))</f>
        <v/>
      </c>
      <c r="L6" s="28" t="str">
        <f aca="false">IF($A6="","",IFERROR(INDEX('זה אני - קליטה'!$AK$5:$AK$204,MATCH($A6&amp;"|אמצע שנה",'זה אני - קליטה'!$AF$5:$AF$204,0)),""))</f>
        <v/>
      </c>
      <c r="M6" s="28" t="str">
        <f aca="false">IF($A6="","",IFERROR(INDEX('זה אני - קליטה'!$AL$5:$AL$204,MATCH($A6&amp;"|אמצע שנה",'זה אני - קליטה'!$AF$5:$AF$204,0)),""))</f>
        <v/>
      </c>
      <c r="N6" s="27" t="str">
        <f aca="false">IF($A6="","",IFERROR(INDEX('זה אני - קליטה'!$AG$5:$AG$204,MATCH($A6&amp;"|אמצע שנה",'זה אני - קליטה'!$AF$5:$AF$204,0)),""))</f>
        <v/>
      </c>
      <c r="O6" s="28" t="str">
        <f aca="false">IF($A6="","",IFERROR(INDEX('זה אני - קליטה'!$AN$5:$AN$204,MATCH($A6&amp;"|אמצע שנה",'זה אני - קליטה'!$AF$5:$AF$204,0)),""))</f>
        <v/>
      </c>
      <c r="P6" s="28" t="str">
        <f aca="false">IF($A6="","",IFERROR(INDEX('זה אני - קליטה'!$AH$5:$AH$204,MATCH($A6&amp;"|סוף שנה",'זה אני - קליטה'!$AF$5:$AF$204,0)),""))</f>
        <v/>
      </c>
      <c r="Q6" s="28" t="str">
        <f aca="false">IF($A6="","",IFERROR(INDEX('זה אני - קליטה'!$AI$5:$AI$204,MATCH($A6&amp;"|סוף שנה",'זה אני - קליטה'!$AF$5:$AF$204,0)),""))</f>
        <v/>
      </c>
      <c r="R6" s="28" t="str">
        <f aca="false">IF($A6="","",IFERROR(INDEX('זה אני - קליטה'!$AJ$5:$AJ$204,MATCH($A6&amp;"|סוף שנה",'זה אני - קליטה'!$AF$5:$AF$204,0)),""))</f>
        <v/>
      </c>
      <c r="S6" s="28" t="str">
        <f aca="false">IF($A6="","",IFERROR(INDEX('זה אני - קליטה'!$AK$5:$AK$204,MATCH($A6&amp;"|סוף שנה",'זה אני - קליטה'!$AF$5:$AF$204,0)),""))</f>
        <v/>
      </c>
      <c r="T6" s="28" t="str">
        <f aca="false">IF($A6="","",IFERROR(INDEX('זה אני - קליטה'!$AL$5:$AL$204,MATCH($A6&amp;"|סוף שנה",'זה אני - קליטה'!$AF$5:$AF$204,0)),""))</f>
        <v/>
      </c>
      <c r="U6" s="27" t="str">
        <f aca="false">IF($A6="","",IFERROR(INDEX('זה אני - קליטה'!$AG$5:$AG$204,MATCH($A6&amp;"|סוף שנה",'זה אני - קליטה'!$AF$5:$AF$204,0)),""))</f>
        <v/>
      </c>
      <c r="V6" s="28" t="str">
        <f aca="false">IF($A6="","",IFERROR(INDEX('זה אני - קליטה'!$AN$5:$AN$204,MATCH($A6&amp;"|סוף שנה",'זה אני - קליטה'!$AF$5:$AF$204,0)),""))</f>
        <v/>
      </c>
      <c r="W6" s="32" t="str">
        <f aca="false">IF(AND(ISNUMBER(F6),ISNUMBER(T6)),T6-F6,"")</f>
        <v/>
      </c>
      <c r="X6" s="27" t="str">
        <f aca="false">IF(W6="","",IF(W6&gt;=0.25,"עלייה",IF(W6&lt;=-0.25,"ירידה","יציב")))</f>
        <v/>
      </c>
    </row>
    <row r="7" customFormat="false" ht="15" hidden="false" customHeight="false" outlineLevel="0" collapsed="false">
      <c r="A7" s="29"/>
      <c r="B7" s="28" t="str">
        <f aca="false">IF($A7="","",IFERROR(INDEX('זה אני - קליטה'!$AH$5:$AH$204,MATCH($A7&amp;"|תחילת שנה",'זה אני - קליטה'!$AF$5:$AF$204,0)),""))</f>
        <v/>
      </c>
      <c r="C7" s="28" t="str">
        <f aca="false">IF($A7="","",IFERROR(INDEX('זה אני - קליטה'!$AI$5:$AI$204,MATCH($A7&amp;"|תחילת שנה",'זה אני - קליטה'!$AF$5:$AF$204,0)),""))</f>
        <v/>
      </c>
      <c r="D7" s="28" t="str">
        <f aca="false">IF($A7="","",IFERROR(INDEX('זה אני - קליטה'!$AJ$5:$AJ$204,MATCH($A7&amp;"|תחילת שנה",'זה אני - קליטה'!$AF$5:$AF$204,0)),""))</f>
        <v/>
      </c>
      <c r="E7" s="28" t="str">
        <f aca="false">IF($A7="","",IFERROR(INDEX('זה אני - קליטה'!$AK$5:$AK$204,MATCH($A7&amp;"|תחילת שנה",'זה אני - קליטה'!$AF$5:$AF$204,0)),""))</f>
        <v/>
      </c>
      <c r="F7" s="28" t="str">
        <f aca="false">IF($A7="","",IFERROR(INDEX('זה אני - קליטה'!$AL$5:$AL$204,MATCH($A7&amp;"|תחילת שנה",'זה אני - קליטה'!$AF$5:$AF$204,0)),""))</f>
        <v/>
      </c>
      <c r="G7" s="27" t="str">
        <f aca="false">IF($A7="","",IFERROR(INDEX('זה אני - קליטה'!$AG$5:$AG$204,MATCH($A7&amp;"|תחילת שנה",'זה אני - קליטה'!$AF$5:$AF$204,0)),""))</f>
        <v/>
      </c>
      <c r="H7" s="28" t="str">
        <f aca="false">IF($A7="","",IFERROR(INDEX('זה אני - קליטה'!$AN$5:$AN$204,MATCH($A7&amp;"|תחילת שנה",'זה אני - קליטה'!$AF$5:$AF$204,0)),""))</f>
        <v/>
      </c>
      <c r="I7" s="28" t="str">
        <f aca="false">IF($A7="","",IFERROR(INDEX('זה אני - קליטה'!$AH$5:$AH$204,MATCH($A7&amp;"|אמצע שנה",'זה אני - קליטה'!$AF$5:$AF$204,0)),""))</f>
        <v/>
      </c>
      <c r="J7" s="28" t="str">
        <f aca="false">IF($A7="","",IFERROR(INDEX('זה אני - קליטה'!$AI$5:$AI$204,MATCH($A7&amp;"|אמצע שנה",'זה אני - קליטה'!$AF$5:$AF$204,0)),""))</f>
        <v/>
      </c>
      <c r="K7" s="28" t="str">
        <f aca="false">IF($A7="","",IFERROR(INDEX('זה אני - קליטה'!$AJ$5:$AJ$204,MATCH($A7&amp;"|אמצע שנה",'זה אני - קליטה'!$AF$5:$AF$204,0)),""))</f>
        <v/>
      </c>
      <c r="L7" s="28" t="str">
        <f aca="false">IF($A7="","",IFERROR(INDEX('זה אני - קליטה'!$AK$5:$AK$204,MATCH($A7&amp;"|אמצע שנה",'זה אני - קליטה'!$AF$5:$AF$204,0)),""))</f>
        <v/>
      </c>
      <c r="M7" s="28" t="str">
        <f aca="false">IF($A7="","",IFERROR(INDEX('זה אני - קליטה'!$AL$5:$AL$204,MATCH($A7&amp;"|אמצע שנה",'זה אני - קליטה'!$AF$5:$AF$204,0)),""))</f>
        <v/>
      </c>
      <c r="N7" s="27" t="str">
        <f aca="false">IF($A7="","",IFERROR(INDEX('זה אני - קליטה'!$AG$5:$AG$204,MATCH($A7&amp;"|אמצע שנה",'זה אני - קליטה'!$AF$5:$AF$204,0)),""))</f>
        <v/>
      </c>
      <c r="O7" s="28" t="str">
        <f aca="false">IF($A7="","",IFERROR(INDEX('זה אני - קליטה'!$AN$5:$AN$204,MATCH($A7&amp;"|אמצע שנה",'זה אני - קליטה'!$AF$5:$AF$204,0)),""))</f>
        <v/>
      </c>
      <c r="P7" s="28" t="str">
        <f aca="false">IF($A7="","",IFERROR(INDEX('זה אני - קליטה'!$AH$5:$AH$204,MATCH($A7&amp;"|סוף שנה",'זה אני - קליטה'!$AF$5:$AF$204,0)),""))</f>
        <v/>
      </c>
      <c r="Q7" s="28" t="str">
        <f aca="false">IF($A7="","",IFERROR(INDEX('זה אני - קליטה'!$AI$5:$AI$204,MATCH($A7&amp;"|סוף שנה",'זה אני - קליטה'!$AF$5:$AF$204,0)),""))</f>
        <v/>
      </c>
      <c r="R7" s="28" t="str">
        <f aca="false">IF($A7="","",IFERROR(INDEX('זה אני - קליטה'!$AJ$5:$AJ$204,MATCH($A7&amp;"|סוף שנה",'זה אני - קליטה'!$AF$5:$AF$204,0)),""))</f>
        <v/>
      </c>
      <c r="S7" s="28" t="str">
        <f aca="false">IF($A7="","",IFERROR(INDEX('זה אני - קליטה'!$AK$5:$AK$204,MATCH($A7&amp;"|סוף שנה",'זה אני - קליטה'!$AF$5:$AF$204,0)),""))</f>
        <v/>
      </c>
      <c r="T7" s="28" t="str">
        <f aca="false">IF($A7="","",IFERROR(INDEX('זה אני - קליטה'!$AL$5:$AL$204,MATCH($A7&amp;"|סוף שנה",'זה אני - קליטה'!$AF$5:$AF$204,0)),""))</f>
        <v/>
      </c>
      <c r="U7" s="27" t="str">
        <f aca="false">IF($A7="","",IFERROR(INDEX('זה אני - קליטה'!$AG$5:$AG$204,MATCH($A7&amp;"|סוף שנה",'זה אני - קליטה'!$AF$5:$AF$204,0)),""))</f>
        <v/>
      </c>
      <c r="V7" s="28" t="str">
        <f aca="false">IF($A7="","",IFERROR(INDEX('זה אני - קליטה'!$AN$5:$AN$204,MATCH($A7&amp;"|סוף שנה",'זה אני - קליטה'!$AF$5:$AF$204,0)),""))</f>
        <v/>
      </c>
      <c r="W7" s="32" t="str">
        <f aca="false">IF(AND(ISNUMBER(F7),ISNUMBER(T7)),T7-F7,"")</f>
        <v/>
      </c>
      <c r="X7" s="27" t="str">
        <f aca="false">IF(W7="","",IF(W7&gt;=0.25,"עלייה",IF(W7&lt;=-0.25,"ירידה","יציב")))</f>
        <v/>
      </c>
    </row>
    <row r="8" customFormat="false" ht="15" hidden="false" customHeight="false" outlineLevel="0" collapsed="false">
      <c r="A8" s="29"/>
      <c r="B8" s="28" t="str">
        <f aca="false">IF($A8="","",IFERROR(INDEX('זה אני - קליטה'!$AH$5:$AH$204,MATCH($A8&amp;"|תחילת שנה",'זה אני - קליטה'!$AF$5:$AF$204,0)),""))</f>
        <v/>
      </c>
      <c r="C8" s="28" t="str">
        <f aca="false">IF($A8="","",IFERROR(INDEX('זה אני - קליטה'!$AI$5:$AI$204,MATCH($A8&amp;"|תחילת שנה",'זה אני - קליטה'!$AF$5:$AF$204,0)),""))</f>
        <v/>
      </c>
      <c r="D8" s="28" t="str">
        <f aca="false">IF($A8="","",IFERROR(INDEX('זה אני - קליטה'!$AJ$5:$AJ$204,MATCH($A8&amp;"|תחילת שנה",'זה אני - קליטה'!$AF$5:$AF$204,0)),""))</f>
        <v/>
      </c>
      <c r="E8" s="28" t="str">
        <f aca="false">IF($A8="","",IFERROR(INDEX('זה אני - קליטה'!$AK$5:$AK$204,MATCH($A8&amp;"|תחילת שנה",'זה אני - קליטה'!$AF$5:$AF$204,0)),""))</f>
        <v/>
      </c>
      <c r="F8" s="28" t="str">
        <f aca="false">IF($A8="","",IFERROR(INDEX('זה אני - קליטה'!$AL$5:$AL$204,MATCH($A8&amp;"|תחילת שנה",'זה אני - קליטה'!$AF$5:$AF$204,0)),""))</f>
        <v/>
      </c>
      <c r="G8" s="27" t="str">
        <f aca="false">IF($A8="","",IFERROR(INDEX('זה אני - קליטה'!$AG$5:$AG$204,MATCH($A8&amp;"|תחילת שנה",'זה אני - קליטה'!$AF$5:$AF$204,0)),""))</f>
        <v/>
      </c>
      <c r="H8" s="28" t="str">
        <f aca="false">IF($A8="","",IFERROR(INDEX('זה אני - קליטה'!$AN$5:$AN$204,MATCH($A8&amp;"|תחילת שנה",'זה אני - קליטה'!$AF$5:$AF$204,0)),""))</f>
        <v/>
      </c>
      <c r="I8" s="28" t="str">
        <f aca="false">IF($A8="","",IFERROR(INDEX('זה אני - קליטה'!$AH$5:$AH$204,MATCH($A8&amp;"|אמצע שנה",'זה אני - קליטה'!$AF$5:$AF$204,0)),""))</f>
        <v/>
      </c>
      <c r="J8" s="28" t="str">
        <f aca="false">IF($A8="","",IFERROR(INDEX('זה אני - קליטה'!$AI$5:$AI$204,MATCH($A8&amp;"|אמצע שנה",'זה אני - קליטה'!$AF$5:$AF$204,0)),""))</f>
        <v/>
      </c>
      <c r="K8" s="28" t="str">
        <f aca="false">IF($A8="","",IFERROR(INDEX('זה אני - קליטה'!$AJ$5:$AJ$204,MATCH($A8&amp;"|אמצע שנה",'זה אני - קליטה'!$AF$5:$AF$204,0)),""))</f>
        <v/>
      </c>
      <c r="L8" s="28" t="str">
        <f aca="false">IF($A8="","",IFERROR(INDEX('זה אני - קליטה'!$AK$5:$AK$204,MATCH($A8&amp;"|אמצע שנה",'זה אני - קליטה'!$AF$5:$AF$204,0)),""))</f>
        <v/>
      </c>
      <c r="M8" s="28" t="str">
        <f aca="false">IF($A8="","",IFERROR(INDEX('זה אני - קליטה'!$AL$5:$AL$204,MATCH($A8&amp;"|אמצע שנה",'זה אני - קליטה'!$AF$5:$AF$204,0)),""))</f>
        <v/>
      </c>
      <c r="N8" s="27" t="str">
        <f aca="false">IF($A8="","",IFERROR(INDEX('זה אני - קליטה'!$AG$5:$AG$204,MATCH($A8&amp;"|אמצע שנה",'זה אני - קליטה'!$AF$5:$AF$204,0)),""))</f>
        <v/>
      </c>
      <c r="O8" s="28" t="str">
        <f aca="false">IF($A8="","",IFERROR(INDEX('זה אני - קליטה'!$AN$5:$AN$204,MATCH($A8&amp;"|אמצע שנה",'זה אני - קליטה'!$AF$5:$AF$204,0)),""))</f>
        <v/>
      </c>
      <c r="P8" s="28" t="str">
        <f aca="false">IF($A8="","",IFERROR(INDEX('זה אני - קליטה'!$AH$5:$AH$204,MATCH($A8&amp;"|סוף שנה",'זה אני - קליטה'!$AF$5:$AF$204,0)),""))</f>
        <v/>
      </c>
      <c r="Q8" s="28" t="str">
        <f aca="false">IF($A8="","",IFERROR(INDEX('זה אני - קליטה'!$AI$5:$AI$204,MATCH($A8&amp;"|סוף שנה",'זה אני - קליטה'!$AF$5:$AF$204,0)),""))</f>
        <v/>
      </c>
      <c r="R8" s="28" t="str">
        <f aca="false">IF($A8="","",IFERROR(INDEX('זה אני - קליטה'!$AJ$5:$AJ$204,MATCH($A8&amp;"|סוף שנה",'זה אני - קליטה'!$AF$5:$AF$204,0)),""))</f>
        <v/>
      </c>
      <c r="S8" s="28" t="str">
        <f aca="false">IF($A8="","",IFERROR(INDEX('זה אני - קליטה'!$AK$5:$AK$204,MATCH($A8&amp;"|סוף שנה",'זה אני - קליטה'!$AF$5:$AF$204,0)),""))</f>
        <v/>
      </c>
      <c r="T8" s="28" t="str">
        <f aca="false">IF($A8="","",IFERROR(INDEX('זה אני - קליטה'!$AL$5:$AL$204,MATCH($A8&amp;"|סוף שנה",'זה אני - קליטה'!$AF$5:$AF$204,0)),""))</f>
        <v/>
      </c>
      <c r="U8" s="27" t="str">
        <f aca="false">IF($A8="","",IFERROR(INDEX('זה אני - קליטה'!$AG$5:$AG$204,MATCH($A8&amp;"|סוף שנה",'זה אני - קליטה'!$AF$5:$AF$204,0)),""))</f>
        <v/>
      </c>
      <c r="V8" s="28" t="str">
        <f aca="false">IF($A8="","",IFERROR(INDEX('זה אני - קליטה'!$AN$5:$AN$204,MATCH($A8&amp;"|סוף שנה",'זה אני - קליטה'!$AF$5:$AF$204,0)),""))</f>
        <v/>
      </c>
      <c r="W8" s="32" t="str">
        <f aca="false">IF(AND(ISNUMBER(F8),ISNUMBER(T8)),T8-F8,"")</f>
        <v/>
      </c>
      <c r="X8" s="27" t="str">
        <f aca="false">IF(W8="","",IF(W8&gt;=0.25,"עלייה",IF(W8&lt;=-0.25,"ירידה","יציב")))</f>
        <v/>
      </c>
    </row>
    <row r="9" customFormat="false" ht="15" hidden="false" customHeight="false" outlineLevel="0" collapsed="false">
      <c r="A9" s="29"/>
      <c r="B9" s="28" t="str">
        <f aca="false">IF($A9="","",IFERROR(INDEX('זה אני - קליטה'!$AH$5:$AH$204,MATCH($A9&amp;"|תחילת שנה",'זה אני - קליטה'!$AF$5:$AF$204,0)),""))</f>
        <v/>
      </c>
      <c r="C9" s="28" t="str">
        <f aca="false">IF($A9="","",IFERROR(INDEX('זה אני - קליטה'!$AI$5:$AI$204,MATCH($A9&amp;"|תחילת שנה",'זה אני - קליטה'!$AF$5:$AF$204,0)),""))</f>
        <v/>
      </c>
      <c r="D9" s="28" t="str">
        <f aca="false">IF($A9="","",IFERROR(INDEX('זה אני - קליטה'!$AJ$5:$AJ$204,MATCH($A9&amp;"|תחילת שנה",'זה אני - קליטה'!$AF$5:$AF$204,0)),""))</f>
        <v/>
      </c>
      <c r="E9" s="28" t="str">
        <f aca="false">IF($A9="","",IFERROR(INDEX('זה אני - קליטה'!$AK$5:$AK$204,MATCH($A9&amp;"|תחילת שנה",'זה אני - קליטה'!$AF$5:$AF$204,0)),""))</f>
        <v/>
      </c>
      <c r="F9" s="28" t="str">
        <f aca="false">IF($A9="","",IFERROR(INDEX('זה אני - קליטה'!$AL$5:$AL$204,MATCH($A9&amp;"|תחילת שנה",'זה אני - קליטה'!$AF$5:$AF$204,0)),""))</f>
        <v/>
      </c>
      <c r="G9" s="27" t="str">
        <f aca="false">IF($A9="","",IFERROR(INDEX('זה אני - קליטה'!$AG$5:$AG$204,MATCH($A9&amp;"|תחילת שנה",'זה אני - קליטה'!$AF$5:$AF$204,0)),""))</f>
        <v/>
      </c>
      <c r="H9" s="28" t="str">
        <f aca="false">IF($A9="","",IFERROR(INDEX('זה אני - קליטה'!$AN$5:$AN$204,MATCH($A9&amp;"|תחילת שנה",'זה אני - קליטה'!$AF$5:$AF$204,0)),""))</f>
        <v/>
      </c>
      <c r="I9" s="28" t="str">
        <f aca="false">IF($A9="","",IFERROR(INDEX('זה אני - קליטה'!$AH$5:$AH$204,MATCH($A9&amp;"|אמצע שנה",'זה אני - קליטה'!$AF$5:$AF$204,0)),""))</f>
        <v/>
      </c>
      <c r="J9" s="28" t="str">
        <f aca="false">IF($A9="","",IFERROR(INDEX('זה אני - קליטה'!$AI$5:$AI$204,MATCH($A9&amp;"|אמצע שנה",'זה אני - קליטה'!$AF$5:$AF$204,0)),""))</f>
        <v/>
      </c>
      <c r="K9" s="28" t="str">
        <f aca="false">IF($A9="","",IFERROR(INDEX('זה אני - קליטה'!$AJ$5:$AJ$204,MATCH($A9&amp;"|אמצע שנה",'זה אני - קליטה'!$AF$5:$AF$204,0)),""))</f>
        <v/>
      </c>
      <c r="L9" s="28" t="str">
        <f aca="false">IF($A9="","",IFERROR(INDEX('זה אני - קליטה'!$AK$5:$AK$204,MATCH($A9&amp;"|אמצע שנה",'זה אני - קליטה'!$AF$5:$AF$204,0)),""))</f>
        <v/>
      </c>
      <c r="M9" s="28" t="str">
        <f aca="false">IF($A9="","",IFERROR(INDEX('זה אני - קליטה'!$AL$5:$AL$204,MATCH($A9&amp;"|אמצע שנה",'זה אני - קליטה'!$AF$5:$AF$204,0)),""))</f>
        <v/>
      </c>
      <c r="N9" s="27" t="str">
        <f aca="false">IF($A9="","",IFERROR(INDEX('זה אני - קליטה'!$AG$5:$AG$204,MATCH($A9&amp;"|אמצע שנה",'זה אני - קליטה'!$AF$5:$AF$204,0)),""))</f>
        <v/>
      </c>
      <c r="O9" s="28" t="str">
        <f aca="false">IF($A9="","",IFERROR(INDEX('זה אני - קליטה'!$AN$5:$AN$204,MATCH($A9&amp;"|אמצע שנה",'זה אני - קליטה'!$AF$5:$AF$204,0)),""))</f>
        <v/>
      </c>
      <c r="P9" s="28" t="str">
        <f aca="false">IF($A9="","",IFERROR(INDEX('זה אני - קליטה'!$AH$5:$AH$204,MATCH($A9&amp;"|סוף שנה",'זה אני - קליטה'!$AF$5:$AF$204,0)),""))</f>
        <v/>
      </c>
      <c r="Q9" s="28" t="str">
        <f aca="false">IF($A9="","",IFERROR(INDEX('זה אני - קליטה'!$AI$5:$AI$204,MATCH($A9&amp;"|סוף שנה",'זה אני - קליטה'!$AF$5:$AF$204,0)),""))</f>
        <v/>
      </c>
      <c r="R9" s="28" t="str">
        <f aca="false">IF($A9="","",IFERROR(INDEX('זה אני - קליטה'!$AJ$5:$AJ$204,MATCH($A9&amp;"|סוף שנה",'זה אני - קליטה'!$AF$5:$AF$204,0)),""))</f>
        <v/>
      </c>
      <c r="S9" s="28" t="str">
        <f aca="false">IF($A9="","",IFERROR(INDEX('זה אני - קליטה'!$AK$5:$AK$204,MATCH($A9&amp;"|סוף שנה",'זה אני - קליטה'!$AF$5:$AF$204,0)),""))</f>
        <v/>
      </c>
      <c r="T9" s="28" t="str">
        <f aca="false">IF($A9="","",IFERROR(INDEX('זה אני - קליטה'!$AL$5:$AL$204,MATCH($A9&amp;"|סוף שנה",'זה אני - קליטה'!$AF$5:$AF$204,0)),""))</f>
        <v/>
      </c>
      <c r="U9" s="27" t="str">
        <f aca="false">IF($A9="","",IFERROR(INDEX('זה אני - קליטה'!$AG$5:$AG$204,MATCH($A9&amp;"|סוף שנה",'זה אני - קליטה'!$AF$5:$AF$204,0)),""))</f>
        <v/>
      </c>
      <c r="V9" s="28" t="str">
        <f aca="false">IF($A9="","",IFERROR(INDEX('זה אני - קליטה'!$AN$5:$AN$204,MATCH($A9&amp;"|סוף שנה",'זה אני - קליטה'!$AF$5:$AF$204,0)),""))</f>
        <v/>
      </c>
      <c r="W9" s="32" t="str">
        <f aca="false">IF(AND(ISNUMBER(F9),ISNUMBER(T9)),T9-F9,"")</f>
        <v/>
      </c>
      <c r="X9" s="27" t="str">
        <f aca="false">IF(W9="","",IF(W9&gt;=0.25,"עלייה",IF(W9&lt;=-0.25,"ירידה","יציב")))</f>
        <v/>
      </c>
    </row>
    <row r="10" customFormat="false" ht="15" hidden="false" customHeight="false" outlineLevel="0" collapsed="false">
      <c r="A10" s="29"/>
      <c r="B10" s="28" t="str">
        <f aca="false">IF($A10="","",IFERROR(INDEX('זה אני - קליטה'!$AH$5:$AH$204,MATCH($A10&amp;"|תחילת שנה",'זה אני - קליטה'!$AF$5:$AF$204,0)),""))</f>
        <v/>
      </c>
      <c r="C10" s="28" t="str">
        <f aca="false">IF($A10="","",IFERROR(INDEX('זה אני - קליטה'!$AI$5:$AI$204,MATCH($A10&amp;"|תחילת שנה",'זה אני - קליטה'!$AF$5:$AF$204,0)),""))</f>
        <v/>
      </c>
      <c r="D10" s="28" t="str">
        <f aca="false">IF($A10="","",IFERROR(INDEX('זה אני - קליטה'!$AJ$5:$AJ$204,MATCH($A10&amp;"|תחילת שנה",'זה אני - קליטה'!$AF$5:$AF$204,0)),""))</f>
        <v/>
      </c>
      <c r="E10" s="28" t="str">
        <f aca="false">IF($A10="","",IFERROR(INDEX('זה אני - קליטה'!$AK$5:$AK$204,MATCH($A10&amp;"|תחילת שנה",'זה אני - קליטה'!$AF$5:$AF$204,0)),""))</f>
        <v/>
      </c>
      <c r="F10" s="28" t="str">
        <f aca="false">IF($A10="","",IFERROR(INDEX('זה אני - קליטה'!$AL$5:$AL$204,MATCH($A10&amp;"|תחילת שנה",'זה אני - קליטה'!$AF$5:$AF$204,0)),""))</f>
        <v/>
      </c>
      <c r="G10" s="27" t="str">
        <f aca="false">IF($A10="","",IFERROR(INDEX('זה אני - קליטה'!$AG$5:$AG$204,MATCH($A10&amp;"|תחילת שנה",'זה אני - קליטה'!$AF$5:$AF$204,0)),""))</f>
        <v/>
      </c>
      <c r="H10" s="28" t="str">
        <f aca="false">IF($A10="","",IFERROR(INDEX('זה אני - קליטה'!$AN$5:$AN$204,MATCH($A10&amp;"|תחילת שנה",'זה אני - קליטה'!$AF$5:$AF$204,0)),""))</f>
        <v/>
      </c>
      <c r="I10" s="28" t="str">
        <f aca="false">IF($A10="","",IFERROR(INDEX('זה אני - קליטה'!$AH$5:$AH$204,MATCH($A10&amp;"|אמצע שנה",'זה אני - קליטה'!$AF$5:$AF$204,0)),""))</f>
        <v/>
      </c>
      <c r="J10" s="28" t="str">
        <f aca="false">IF($A10="","",IFERROR(INDEX('זה אני - קליטה'!$AI$5:$AI$204,MATCH($A10&amp;"|אמצע שנה",'זה אני - קליטה'!$AF$5:$AF$204,0)),""))</f>
        <v/>
      </c>
      <c r="K10" s="28" t="str">
        <f aca="false">IF($A10="","",IFERROR(INDEX('זה אני - קליטה'!$AJ$5:$AJ$204,MATCH($A10&amp;"|אמצע שנה",'זה אני - קליטה'!$AF$5:$AF$204,0)),""))</f>
        <v/>
      </c>
      <c r="L10" s="28" t="str">
        <f aca="false">IF($A10="","",IFERROR(INDEX('זה אני - קליטה'!$AK$5:$AK$204,MATCH($A10&amp;"|אמצע שנה",'זה אני - קליטה'!$AF$5:$AF$204,0)),""))</f>
        <v/>
      </c>
      <c r="M10" s="28" t="str">
        <f aca="false">IF($A10="","",IFERROR(INDEX('זה אני - קליטה'!$AL$5:$AL$204,MATCH($A10&amp;"|אמצע שנה",'זה אני - קליטה'!$AF$5:$AF$204,0)),""))</f>
        <v/>
      </c>
      <c r="N10" s="27" t="str">
        <f aca="false">IF($A10="","",IFERROR(INDEX('זה אני - קליטה'!$AG$5:$AG$204,MATCH($A10&amp;"|אמצע שנה",'זה אני - קליטה'!$AF$5:$AF$204,0)),""))</f>
        <v/>
      </c>
      <c r="O10" s="28" t="str">
        <f aca="false">IF($A10="","",IFERROR(INDEX('זה אני - קליטה'!$AN$5:$AN$204,MATCH($A10&amp;"|אמצע שנה",'זה אני - קליטה'!$AF$5:$AF$204,0)),""))</f>
        <v/>
      </c>
      <c r="P10" s="28" t="str">
        <f aca="false">IF($A10="","",IFERROR(INDEX('זה אני - קליטה'!$AH$5:$AH$204,MATCH($A10&amp;"|סוף שנה",'זה אני - קליטה'!$AF$5:$AF$204,0)),""))</f>
        <v/>
      </c>
      <c r="Q10" s="28" t="str">
        <f aca="false">IF($A10="","",IFERROR(INDEX('זה אני - קליטה'!$AI$5:$AI$204,MATCH($A10&amp;"|סוף שנה",'זה אני - קליטה'!$AF$5:$AF$204,0)),""))</f>
        <v/>
      </c>
      <c r="R10" s="28" t="str">
        <f aca="false">IF($A10="","",IFERROR(INDEX('זה אני - קליטה'!$AJ$5:$AJ$204,MATCH($A10&amp;"|סוף שנה",'זה אני - קליטה'!$AF$5:$AF$204,0)),""))</f>
        <v/>
      </c>
      <c r="S10" s="28" t="str">
        <f aca="false">IF($A10="","",IFERROR(INDEX('זה אני - קליטה'!$AK$5:$AK$204,MATCH($A10&amp;"|סוף שנה",'זה אני - קליטה'!$AF$5:$AF$204,0)),""))</f>
        <v/>
      </c>
      <c r="T10" s="28" t="str">
        <f aca="false">IF($A10="","",IFERROR(INDEX('זה אני - קליטה'!$AL$5:$AL$204,MATCH($A10&amp;"|סוף שנה",'זה אני - קליטה'!$AF$5:$AF$204,0)),""))</f>
        <v/>
      </c>
      <c r="U10" s="27" t="str">
        <f aca="false">IF($A10="","",IFERROR(INDEX('זה אני - קליטה'!$AG$5:$AG$204,MATCH($A10&amp;"|סוף שנה",'זה אני - קליטה'!$AF$5:$AF$204,0)),""))</f>
        <v/>
      </c>
      <c r="V10" s="28" t="str">
        <f aca="false">IF($A10="","",IFERROR(INDEX('זה אני - קליטה'!$AN$5:$AN$204,MATCH($A10&amp;"|סוף שנה",'זה אני - קליטה'!$AF$5:$AF$204,0)),""))</f>
        <v/>
      </c>
      <c r="W10" s="32" t="str">
        <f aca="false">IF(AND(ISNUMBER(F10),ISNUMBER(T10)),T10-F10,"")</f>
        <v/>
      </c>
      <c r="X10" s="27" t="str">
        <f aca="false">IF(W10="","",IF(W10&gt;=0.25,"עלייה",IF(W10&lt;=-0.25,"ירידה","יציב")))</f>
        <v/>
      </c>
    </row>
    <row r="11" customFormat="false" ht="15" hidden="false" customHeight="false" outlineLevel="0" collapsed="false">
      <c r="A11" s="29"/>
      <c r="B11" s="28" t="str">
        <f aca="false">IF($A11="","",IFERROR(INDEX('זה אני - קליטה'!$AH$5:$AH$204,MATCH($A11&amp;"|תחילת שנה",'זה אני - קליטה'!$AF$5:$AF$204,0)),""))</f>
        <v/>
      </c>
      <c r="C11" s="28" t="str">
        <f aca="false">IF($A11="","",IFERROR(INDEX('זה אני - קליטה'!$AI$5:$AI$204,MATCH($A11&amp;"|תחילת שנה",'זה אני - קליטה'!$AF$5:$AF$204,0)),""))</f>
        <v/>
      </c>
      <c r="D11" s="28" t="str">
        <f aca="false">IF($A11="","",IFERROR(INDEX('זה אני - קליטה'!$AJ$5:$AJ$204,MATCH($A11&amp;"|תחילת שנה",'זה אני - קליטה'!$AF$5:$AF$204,0)),""))</f>
        <v/>
      </c>
      <c r="E11" s="28" t="str">
        <f aca="false">IF($A11="","",IFERROR(INDEX('זה אני - קליטה'!$AK$5:$AK$204,MATCH($A11&amp;"|תחילת שנה",'זה אני - קליטה'!$AF$5:$AF$204,0)),""))</f>
        <v/>
      </c>
      <c r="F11" s="28" t="str">
        <f aca="false">IF($A11="","",IFERROR(INDEX('זה אני - קליטה'!$AL$5:$AL$204,MATCH($A11&amp;"|תחילת שנה",'זה אני - קליטה'!$AF$5:$AF$204,0)),""))</f>
        <v/>
      </c>
      <c r="G11" s="27" t="str">
        <f aca="false">IF($A11="","",IFERROR(INDEX('זה אני - קליטה'!$AG$5:$AG$204,MATCH($A11&amp;"|תחילת שנה",'זה אני - קליטה'!$AF$5:$AF$204,0)),""))</f>
        <v/>
      </c>
      <c r="H11" s="28" t="str">
        <f aca="false">IF($A11="","",IFERROR(INDEX('זה אני - קליטה'!$AN$5:$AN$204,MATCH($A11&amp;"|תחילת שנה",'זה אני - קליטה'!$AF$5:$AF$204,0)),""))</f>
        <v/>
      </c>
      <c r="I11" s="28" t="str">
        <f aca="false">IF($A11="","",IFERROR(INDEX('זה אני - קליטה'!$AH$5:$AH$204,MATCH($A11&amp;"|אמצע שנה",'זה אני - קליטה'!$AF$5:$AF$204,0)),""))</f>
        <v/>
      </c>
      <c r="J11" s="28" t="str">
        <f aca="false">IF($A11="","",IFERROR(INDEX('זה אני - קליטה'!$AI$5:$AI$204,MATCH($A11&amp;"|אמצע שנה",'זה אני - קליטה'!$AF$5:$AF$204,0)),""))</f>
        <v/>
      </c>
      <c r="K11" s="28" t="str">
        <f aca="false">IF($A11="","",IFERROR(INDEX('זה אני - קליטה'!$AJ$5:$AJ$204,MATCH($A11&amp;"|אמצע שנה",'זה אני - קליטה'!$AF$5:$AF$204,0)),""))</f>
        <v/>
      </c>
      <c r="L11" s="28" t="str">
        <f aca="false">IF($A11="","",IFERROR(INDEX('זה אני - קליטה'!$AK$5:$AK$204,MATCH($A11&amp;"|אמצע שנה",'זה אני - קליטה'!$AF$5:$AF$204,0)),""))</f>
        <v/>
      </c>
      <c r="M11" s="28" t="str">
        <f aca="false">IF($A11="","",IFERROR(INDEX('זה אני - קליטה'!$AL$5:$AL$204,MATCH($A11&amp;"|אמצע שנה",'זה אני - קליטה'!$AF$5:$AF$204,0)),""))</f>
        <v/>
      </c>
      <c r="N11" s="27" t="str">
        <f aca="false">IF($A11="","",IFERROR(INDEX('זה אני - קליטה'!$AG$5:$AG$204,MATCH($A11&amp;"|אמצע שנה",'זה אני - קליטה'!$AF$5:$AF$204,0)),""))</f>
        <v/>
      </c>
      <c r="O11" s="28" t="str">
        <f aca="false">IF($A11="","",IFERROR(INDEX('זה אני - קליטה'!$AN$5:$AN$204,MATCH($A11&amp;"|אמצע שנה",'זה אני - קליטה'!$AF$5:$AF$204,0)),""))</f>
        <v/>
      </c>
      <c r="P11" s="28" t="str">
        <f aca="false">IF($A11="","",IFERROR(INDEX('זה אני - קליטה'!$AH$5:$AH$204,MATCH($A11&amp;"|סוף שנה",'זה אני - קליטה'!$AF$5:$AF$204,0)),""))</f>
        <v/>
      </c>
      <c r="Q11" s="28" t="str">
        <f aca="false">IF($A11="","",IFERROR(INDEX('זה אני - קליטה'!$AI$5:$AI$204,MATCH($A11&amp;"|סוף שנה",'זה אני - קליטה'!$AF$5:$AF$204,0)),""))</f>
        <v/>
      </c>
      <c r="R11" s="28" t="str">
        <f aca="false">IF($A11="","",IFERROR(INDEX('זה אני - קליטה'!$AJ$5:$AJ$204,MATCH($A11&amp;"|סוף שנה",'זה אני - קליטה'!$AF$5:$AF$204,0)),""))</f>
        <v/>
      </c>
      <c r="S11" s="28" t="str">
        <f aca="false">IF($A11="","",IFERROR(INDEX('זה אני - קליטה'!$AK$5:$AK$204,MATCH($A11&amp;"|סוף שנה",'זה אני - קליטה'!$AF$5:$AF$204,0)),""))</f>
        <v/>
      </c>
      <c r="T11" s="28" t="str">
        <f aca="false">IF($A11="","",IFERROR(INDEX('זה אני - קליטה'!$AL$5:$AL$204,MATCH($A11&amp;"|סוף שנה",'זה אני - קליטה'!$AF$5:$AF$204,0)),""))</f>
        <v/>
      </c>
      <c r="U11" s="27" t="str">
        <f aca="false">IF($A11="","",IFERROR(INDEX('זה אני - קליטה'!$AG$5:$AG$204,MATCH($A11&amp;"|סוף שנה",'זה אני - קליטה'!$AF$5:$AF$204,0)),""))</f>
        <v/>
      </c>
      <c r="V11" s="28" t="str">
        <f aca="false">IF($A11="","",IFERROR(INDEX('זה אני - קליטה'!$AN$5:$AN$204,MATCH($A11&amp;"|סוף שנה",'זה אני - קליטה'!$AF$5:$AF$204,0)),""))</f>
        <v/>
      </c>
      <c r="W11" s="32" t="str">
        <f aca="false">IF(AND(ISNUMBER(F11),ISNUMBER(T11)),T11-F11,"")</f>
        <v/>
      </c>
      <c r="X11" s="27" t="str">
        <f aca="false">IF(W11="","",IF(W11&gt;=0.25,"עלייה",IF(W11&lt;=-0.25,"ירידה","יציב")))</f>
        <v/>
      </c>
    </row>
    <row r="12" customFormat="false" ht="15" hidden="false" customHeight="false" outlineLevel="0" collapsed="false">
      <c r="A12" s="29"/>
      <c r="B12" s="28" t="str">
        <f aca="false">IF($A12="","",IFERROR(INDEX('זה אני - קליטה'!$AH$5:$AH$204,MATCH($A12&amp;"|תחילת שנה",'זה אני - קליטה'!$AF$5:$AF$204,0)),""))</f>
        <v/>
      </c>
      <c r="C12" s="28" t="str">
        <f aca="false">IF($A12="","",IFERROR(INDEX('זה אני - קליטה'!$AI$5:$AI$204,MATCH($A12&amp;"|תחילת שנה",'זה אני - קליטה'!$AF$5:$AF$204,0)),""))</f>
        <v/>
      </c>
      <c r="D12" s="28" t="str">
        <f aca="false">IF($A12="","",IFERROR(INDEX('זה אני - קליטה'!$AJ$5:$AJ$204,MATCH($A12&amp;"|תחילת שנה",'זה אני - קליטה'!$AF$5:$AF$204,0)),""))</f>
        <v/>
      </c>
      <c r="E12" s="28" t="str">
        <f aca="false">IF($A12="","",IFERROR(INDEX('זה אני - קליטה'!$AK$5:$AK$204,MATCH($A12&amp;"|תחילת שנה",'זה אני - קליטה'!$AF$5:$AF$204,0)),""))</f>
        <v/>
      </c>
      <c r="F12" s="28" t="str">
        <f aca="false">IF($A12="","",IFERROR(INDEX('זה אני - קליטה'!$AL$5:$AL$204,MATCH($A12&amp;"|תחילת שנה",'זה אני - קליטה'!$AF$5:$AF$204,0)),""))</f>
        <v/>
      </c>
      <c r="G12" s="27" t="str">
        <f aca="false">IF($A12="","",IFERROR(INDEX('זה אני - קליטה'!$AG$5:$AG$204,MATCH($A12&amp;"|תחילת שנה",'זה אני - קליטה'!$AF$5:$AF$204,0)),""))</f>
        <v/>
      </c>
      <c r="H12" s="28" t="str">
        <f aca="false">IF($A12="","",IFERROR(INDEX('זה אני - קליטה'!$AN$5:$AN$204,MATCH($A12&amp;"|תחילת שנה",'זה אני - קליטה'!$AF$5:$AF$204,0)),""))</f>
        <v/>
      </c>
      <c r="I12" s="28" t="str">
        <f aca="false">IF($A12="","",IFERROR(INDEX('זה אני - קליטה'!$AH$5:$AH$204,MATCH($A12&amp;"|אמצע שנה",'זה אני - קליטה'!$AF$5:$AF$204,0)),""))</f>
        <v/>
      </c>
      <c r="J12" s="28" t="str">
        <f aca="false">IF($A12="","",IFERROR(INDEX('זה אני - קליטה'!$AI$5:$AI$204,MATCH($A12&amp;"|אמצע שנה",'זה אני - קליטה'!$AF$5:$AF$204,0)),""))</f>
        <v/>
      </c>
      <c r="K12" s="28" t="str">
        <f aca="false">IF($A12="","",IFERROR(INDEX('זה אני - קליטה'!$AJ$5:$AJ$204,MATCH($A12&amp;"|אמצע שנה",'זה אני - קליטה'!$AF$5:$AF$204,0)),""))</f>
        <v/>
      </c>
      <c r="L12" s="28" t="str">
        <f aca="false">IF($A12="","",IFERROR(INDEX('זה אני - קליטה'!$AK$5:$AK$204,MATCH($A12&amp;"|אמצע שנה",'זה אני - קליטה'!$AF$5:$AF$204,0)),""))</f>
        <v/>
      </c>
      <c r="M12" s="28" t="str">
        <f aca="false">IF($A12="","",IFERROR(INDEX('זה אני - קליטה'!$AL$5:$AL$204,MATCH($A12&amp;"|אמצע שנה",'זה אני - קליטה'!$AF$5:$AF$204,0)),""))</f>
        <v/>
      </c>
      <c r="N12" s="27" t="str">
        <f aca="false">IF($A12="","",IFERROR(INDEX('זה אני - קליטה'!$AG$5:$AG$204,MATCH($A12&amp;"|אמצע שנה",'זה אני - קליטה'!$AF$5:$AF$204,0)),""))</f>
        <v/>
      </c>
      <c r="O12" s="28" t="str">
        <f aca="false">IF($A12="","",IFERROR(INDEX('זה אני - קליטה'!$AN$5:$AN$204,MATCH($A12&amp;"|אמצע שנה",'זה אני - קליטה'!$AF$5:$AF$204,0)),""))</f>
        <v/>
      </c>
      <c r="P12" s="28" t="str">
        <f aca="false">IF($A12="","",IFERROR(INDEX('זה אני - קליטה'!$AH$5:$AH$204,MATCH($A12&amp;"|סוף שנה",'זה אני - קליטה'!$AF$5:$AF$204,0)),""))</f>
        <v/>
      </c>
      <c r="Q12" s="28" t="str">
        <f aca="false">IF($A12="","",IFERROR(INDEX('זה אני - קליטה'!$AI$5:$AI$204,MATCH($A12&amp;"|סוף שנה",'זה אני - קליטה'!$AF$5:$AF$204,0)),""))</f>
        <v/>
      </c>
      <c r="R12" s="28" t="str">
        <f aca="false">IF($A12="","",IFERROR(INDEX('זה אני - קליטה'!$AJ$5:$AJ$204,MATCH($A12&amp;"|סוף שנה",'זה אני - קליטה'!$AF$5:$AF$204,0)),""))</f>
        <v/>
      </c>
      <c r="S12" s="28" t="str">
        <f aca="false">IF($A12="","",IFERROR(INDEX('זה אני - קליטה'!$AK$5:$AK$204,MATCH($A12&amp;"|סוף שנה",'זה אני - קליטה'!$AF$5:$AF$204,0)),""))</f>
        <v/>
      </c>
      <c r="T12" s="28" t="str">
        <f aca="false">IF($A12="","",IFERROR(INDEX('זה אני - קליטה'!$AL$5:$AL$204,MATCH($A12&amp;"|סוף שנה",'זה אני - קליטה'!$AF$5:$AF$204,0)),""))</f>
        <v/>
      </c>
      <c r="U12" s="27" t="str">
        <f aca="false">IF($A12="","",IFERROR(INDEX('זה אני - קליטה'!$AG$5:$AG$204,MATCH($A12&amp;"|סוף שנה",'זה אני - קליטה'!$AF$5:$AF$204,0)),""))</f>
        <v/>
      </c>
      <c r="V12" s="28" t="str">
        <f aca="false">IF($A12="","",IFERROR(INDEX('זה אני - קליטה'!$AN$5:$AN$204,MATCH($A12&amp;"|סוף שנה",'זה אני - קליטה'!$AF$5:$AF$204,0)),""))</f>
        <v/>
      </c>
      <c r="W12" s="32" t="str">
        <f aca="false">IF(AND(ISNUMBER(F12),ISNUMBER(T12)),T12-F12,"")</f>
        <v/>
      </c>
      <c r="X12" s="27" t="str">
        <f aca="false">IF(W12="","",IF(W12&gt;=0.25,"עלייה",IF(W12&lt;=-0.25,"ירידה","יציב")))</f>
        <v/>
      </c>
    </row>
    <row r="13" customFormat="false" ht="15" hidden="false" customHeight="false" outlineLevel="0" collapsed="false">
      <c r="A13" s="29"/>
      <c r="B13" s="28" t="str">
        <f aca="false">IF($A13="","",IFERROR(INDEX('זה אני - קליטה'!$AH$5:$AH$204,MATCH($A13&amp;"|תחילת שנה",'זה אני - קליטה'!$AF$5:$AF$204,0)),""))</f>
        <v/>
      </c>
      <c r="C13" s="28" t="str">
        <f aca="false">IF($A13="","",IFERROR(INDEX('זה אני - קליטה'!$AI$5:$AI$204,MATCH($A13&amp;"|תחילת שנה",'זה אני - קליטה'!$AF$5:$AF$204,0)),""))</f>
        <v/>
      </c>
      <c r="D13" s="28" t="str">
        <f aca="false">IF($A13="","",IFERROR(INDEX('זה אני - קליטה'!$AJ$5:$AJ$204,MATCH($A13&amp;"|תחילת שנה",'זה אני - קליטה'!$AF$5:$AF$204,0)),""))</f>
        <v/>
      </c>
      <c r="E13" s="28" t="str">
        <f aca="false">IF($A13="","",IFERROR(INDEX('זה אני - קליטה'!$AK$5:$AK$204,MATCH($A13&amp;"|תחילת שנה",'זה אני - קליטה'!$AF$5:$AF$204,0)),""))</f>
        <v/>
      </c>
      <c r="F13" s="28" t="str">
        <f aca="false">IF($A13="","",IFERROR(INDEX('זה אני - קליטה'!$AL$5:$AL$204,MATCH($A13&amp;"|תחילת שנה",'זה אני - קליטה'!$AF$5:$AF$204,0)),""))</f>
        <v/>
      </c>
      <c r="G13" s="27" t="str">
        <f aca="false">IF($A13="","",IFERROR(INDEX('זה אני - קליטה'!$AG$5:$AG$204,MATCH($A13&amp;"|תחילת שנה",'זה אני - קליטה'!$AF$5:$AF$204,0)),""))</f>
        <v/>
      </c>
      <c r="H13" s="28" t="str">
        <f aca="false">IF($A13="","",IFERROR(INDEX('זה אני - קליטה'!$AN$5:$AN$204,MATCH($A13&amp;"|תחילת שנה",'זה אני - קליטה'!$AF$5:$AF$204,0)),""))</f>
        <v/>
      </c>
      <c r="I13" s="28" t="str">
        <f aca="false">IF($A13="","",IFERROR(INDEX('זה אני - קליטה'!$AH$5:$AH$204,MATCH($A13&amp;"|אמצע שנה",'זה אני - קליטה'!$AF$5:$AF$204,0)),""))</f>
        <v/>
      </c>
      <c r="J13" s="28" t="str">
        <f aca="false">IF($A13="","",IFERROR(INDEX('זה אני - קליטה'!$AI$5:$AI$204,MATCH($A13&amp;"|אמצע שנה",'זה אני - קליטה'!$AF$5:$AF$204,0)),""))</f>
        <v/>
      </c>
      <c r="K13" s="28" t="str">
        <f aca="false">IF($A13="","",IFERROR(INDEX('זה אני - קליטה'!$AJ$5:$AJ$204,MATCH($A13&amp;"|אמצע שנה",'זה אני - קליטה'!$AF$5:$AF$204,0)),""))</f>
        <v/>
      </c>
      <c r="L13" s="28" t="str">
        <f aca="false">IF($A13="","",IFERROR(INDEX('זה אני - קליטה'!$AK$5:$AK$204,MATCH($A13&amp;"|אמצע שנה",'זה אני - קליטה'!$AF$5:$AF$204,0)),""))</f>
        <v/>
      </c>
      <c r="M13" s="28" t="str">
        <f aca="false">IF($A13="","",IFERROR(INDEX('זה אני - קליטה'!$AL$5:$AL$204,MATCH($A13&amp;"|אמצע שנה",'זה אני - קליטה'!$AF$5:$AF$204,0)),""))</f>
        <v/>
      </c>
      <c r="N13" s="27" t="str">
        <f aca="false">IF($A13="","",IFERROR(INDEX('זה אני - קליטה'!$AG$5:$AG$204,MATCH($A13&amp;"|אמצע שנה",'זה אני - קליטה'!$AF$5:$AF$204,0)),""))</f>
        <v/>
      </c>
      <c r="O13" s="28" t="str">
        <f aca="false">IF($A13="","",IFERROR(INDEX('זה אני - קליטה'!$AN$5:$AN$204,MATCH($A13&amp;"|אמצע שנה",'זה אני - קליטה'!$AF$5:$AF$204,0)),""))</f>
        <v/>
      </c>
      <c r="P13" s="28" t="str">
        <f aca="false">IF($A13="","",IFERROR(INDEX('זה אני - קליטה'!$AH$5:$AH$204,MATCH($A13&amp;"|סוף שנה",'זה אני - קליטה'!$AF$5:$AF$204,0)),""))</f>
        <v/>
      </c>
      <c r="Q13" s="28" t="str">
        <f aca="false">IF($A13="","",IFERROR(INDEX('זה אני - קליטה'!$AI$5:$AI$204,MATCH($A13&amp;"|סוף שנה",'זה אני - קליטה'!$AF$5:$AF$204,0)),""))</f>
        <v/>
      </c>
      <c r="R13" s="28" t="str">
        <f aca="false">IF($A13="","",IFERROR(INDEX('זה אני - קליטה'!$AJ$5:$AJ$204,MATCH($A13&amp;"|סוף שנה",'זה אני - קליטה'!$AF$5:$AF$204,0)),""))</f>
        <v/>
      </c>
      <c r="S13" s="28" t="str">
        <f aca="false">IF($A13="","",IFERROR(INDEX('זה אני - קליטה'!$AK$5:$AK$204,MATCH($A13&amp;"|סוף שנה",'זה אני - קליטה'!$AF$5:$AF$204,0)),""))</f>
        <v/>
      </c>
      <c r="T13" s="28" t="str">
        <f aca="false">IF($A13="","",IFERROR(INDEX('זה אני - קליטה'!$AL$5:$AL$204,MATCH($A13&amp;"|סוף שנה",'זה אני - קליטה'!$AF$5:$AF$204,0)),""))</f>
        <v/>
      </c>
      <c r="U13" s="27" t="str">
        <f aca="false">IF($A13="","",IFERROR(INDEX('זה אני - קליטה'!$AG$5:$AG$204,MATCH($A13&amp;"|סוף שנה",'זה אני - קליטה'!$AF$5:$AF$204,0)),""))</f>
        <v/>
      </c>
      <c r="V13" s="28" t="str">
        <f aca="false">IF($A13="","",IFERROR(INDEX('זה אני - קליטה'!$AN$5:$AN$204,MATCH($A13&amp;"|סוף שנה",'זה אני - קליטה'!$AF$5:$AF$204,0)),""))</f>
        <v/>
      </c>
      <c r="W13" s="32" t="str">
        <f aca="false">IF(AND(ISNUMBER(F13),ISNUMBER(T13)),T13-F13,"")</f>
        <v/>
      </c>
      <c r="X13" s="27" t="str">
        <f aca="false">IF(W13="","",IF(W13&gt;=0.25,"עלייה",IF(W13&lt;=-0.25,"ירידה","יציב")))</f>
        <v/>
      </c>
    </row>
    <row r="14" customFormat="false" ht="15" hidden="false" customHeight="false" outlineLevel="0" collapsed="false">
      <c r="A14" s="29"/>
      <c r="B14" s="28" t="str">
        <f aca="false">IF($A14="","",IFERROR(INDEX('זה אני - קליטה'!$AH$5:$AH$204,MATCH($A14&amp;"|תחילת שנה",'זה אני - קליטה'!$AF$5:$AF$204,0)),""))</f>
        <v/>
      </c>
      <c r="C14" s="28" t="str">
        <f aca="false">IF($A14="","",IFERROR(INDEX('זה אני - קליטה'!$AI$5:$AI$204,MATCH($A14&amp;"|תחילת שנה",'זה אני - קליטה'!$AF$5:$AF$204,0)),""))</f>
        <v/>
      </c>
      <c r="D14" s="28" t="str">
        <f aca="false">IF($A14="","",IFERROR(INDEX('זה אני - קליטה'!$AJ$5:$AJ$204,MATCH($A14&amp;"|תחילת שנה",'זה אני - קליטה'!$AF$5:$AF$204,0)),""))</f>
        <v/>
      </c>
      <c r="E14" s="28" t="str">
        <f aca="false">IF($A14="","",IFERROR(INDEX('זה אני - קליטה'!$AK$5:$AK$204,MATCH($A14&amp;"|תחילת שנה",'זה אני - קליטה'!$AF$5:$AF$204,0)),""))</f>
        <v/>
      </c>
      <c r="F14" s="28" t="str">
        <f aca="false">IF($A14="","",IFERROR(INDEX('זה אני - קליטה'!$AL$5:$AL$204,MATCH($A14&amp;"|תחילת שנה",'זה אני - קליטה'!$AF$5:$AF$204,0)),""))</f>
        <v/>
      </c>
      <c r="G14" s="27" t="str">
        <f aca="false">IF($A14="","",IFERROR(INDEX('זה אני - קליטה'!$AG$5:$AG$204,MATCH($A14&amp;"|תחילת שנה",'זה אני - קליטה'!$AF$5:$AF$204,0)),""))</f>
        <v/>
      </c>
      <c r="H14" s="28" t="str">
        <f aca="false">IF($A14="","",IFERROR(INDEX('זה אני - קליטה'!$AN$5:$AN$204,MATCH($A14&amp;"|תחילת שנה",'זה אני - קליטה'!$AF$5:$AF$204,0)),""))</f>
        <v/>
      </c>
      <c r="I14" s="28" t="str">
        <f aca="false">IF($A14="","",IFERROR(INDEX('זה אני - קליטה'!$AH$5:$AH$204,MATCH($A14&amp;"|אמצע שנה",'זה אני - קליטה'!$AF$5:$AF$204,0)),""))</f>
        <v/>
      </c>
      <c r="J14" s="28" t="str">
        <f aca="false">IF($A14="","",IFERROR(INDEX('זה אני - קליטה'!$AI$5:$AI$204,MATCH($A14&amp;"|אמצע שנה",'זה אני - קליטה'!$AF$5:$AF$204,0)),""))</f>
        <v/>
      </c>
      <c r="K14" s="28" t="str">
        <f aca="false">IF($A14="","",IFERROR(INDEX('זה אני - קליטה'!$AJ$5:$AJ$204,MATCH($A14&amp;"|אמצע שנה",'זה אני - קליטה'!$AF$5:$AF$204,0)),""))</f>
        <v/>
      </c>
      <c r="L14" s="28" t="str">
        <f aca="false">IF($A14="","",IFERROR(INDEX('זה אני - קליטה'!$AK$5:$AK$204,MATCH($A14&amp;"|אמצע שנה",'זה אני - קליטה'!$AF$5:$AF$204,0)),""))</f>
        <v/>
      </c>
      <c r="M14" s="28" t="str">
        <f aca="false">IF($A14="","",IFERROR(INDEX('זה אני - קליטה'!$AL$5:$AL$204,MATCH($A14&amp;"|אמצע שנה",'זה אני - קליטה'!$AF$5:$AF$204,0)),""))</f>
        <v/>
      </c>
      <c r="N14" s="27" t="str">
        <f aca="false">IF($A14="","",IFERROR(INDEX('זה אני - קליטה'!$AG$5:$AG$204,MATCH($A14&amp;"|אמצע שנה",'זה אני - קליטה'!$AF$5:$AF$204,0)),""))</f>
        <v/>
      </c>
      <c r="O14" s="28" t="str">
        <f aca="false">IF($A14="","",IFERROR(INDEX('זה אני - קליטה'!$AN$5:$AN$204,MATCH($A14&amp;"|אמצע שנה",'זה אני - קליטה'!$AF$5:$AF$204,0)),""))</f>
        <v/>
      </c>
      <c r="P14" s="28" t="str">
        <f aca="false">IF($A14="","",IFERROR(INDEX('זה אני - קליטה'!$AH$5:$AH$204,MATCH($A14&amp;"|סוף שנה",'זה אני - קליטה'!$AF$5:$AF$204,0)),""))</f>
        <v/>
      </c>
      <c r="Q14" s="28" t="str">
        <f aca="false">IF($A14="","",IFERROR(INDEX('זה אני - קליטה'!$AI$5:$AI$204,MATCH($A14&amp;"|סוף שנה",'זה אני - קליטה'!$AF$5:$AF$204,0)),""))</f>
        <v/>
      </c>
      <c r="R14" s="28" t="str">
        <f aca="false">IF($A14="","",IFERROR(INDEX('זה אני - קליטה'!$AJ$5:$AJ$204,MATCH($A14&amp;"|סוף שנה",'זה אני - קליטה'!$AF$5:$AF$204,0)),""))</f>
        <v/>
      </c>
      <c r="S14" s="28" t="str">
        <f aca="false">IF($A14="","",IFERROR(INDEX('זה אני - קליטה'!$AK$5:$AK$204,MATCH($A14&amp;"|סוף שנה",'זה אני - קליטה'!$AF$5:$AF$204,0)),""))</f>
        <v/>
      </c>
      <c r="T14" s="28" t="str">
        <f aca="false">IF($A14="","",IFERROR(INDEX('זה אני - קליטה'!$AL$5:$AL$204,MATCH($A14&amp;"|סוף שנה",'זה אני - קליטה'!$AF$5:$AF$204,0)),""))</f>
        <v/>
      </c>
      <c r="U14" s="27" t="str">
        <f aca="false">IF($A14="","",IFERROR(INDEX('זה אני - קליטה'!$AG$5:$AG$204,MATCH($A14&amp;"|סוף שנה",'זה אני - קליטה'!$AF$5:$AF$204,0)),""))</f>
        <v/>
      </c>
      <c r="V14" s="28" t="str">
        <f aca="false">IF($A14="","",IFERROR(INDEX('זה אני - קליטה'!$AN$5:$AN$204,MATCH($A14&amp;"|סוף שנה",'זה אני - קליטה'!$AF$5:$AF$204,0)),""))</f>
        <v/>
      </c>
      <c r="W14" s="32" t="str">
        <f aca="false">IF(AND(ISNUMBER(F14),ISNUMBER(T14)),T14-F14,"")</f>
        <v/>
      </c>
      <c r="X14" s="27" t="str">
        <f aca="false">IF(W14="","",IF(W14&gt;=0.25,"עלייה",IF(W14&lt;=-0.25,"ירידה","יציב")))</f>
        <v/>
      </c>
    </row>
    <row r="15" customFormat="false" ht="15" hidden="false" customHeight="false" outlineLevel="0" collapsed="false">
      <c r="A15" s="29"/>
      <c r="B15" s="28" t="str">
        <f aca="false">IF($A15="","",IFERROR(INDEX('זה אני - קליטה'!$AH$5:$AH$204,MATCH($A15&amp;"|תחילת שנה",'זה אני - קליטה'!$AF$5:$AF$204,0)),""))</f>
        <v/>
      </c>
      <c r="C15" s="28" t="str">
        <f aca="false">IF($A15="","",IFERROR(INDEX('זה אני - קליטה'!$AI$5:$AI$204,MATCH($A15&amp;"|תחילת שנה",'זה אני - קליטה'!$AF$5:$AF$204,0)),""))</f>
        <v/>
      </c>
      <c r="D15" s="28" t="str">
        <f aca="false">IF($A15="","",IFERROR(INDEX('זה אני - קליטה'!$AJ$5:$AJ$204,MATCH($A15&amp;"|תחילת שנה",'זה אני - קליטה'!$AF$5:$AF$204,0)),""))</f>
        <v/>
      </c>
      <c r="E15" s="28" t="str">
        <f aca="false">IF($A15="","",IFERROR(INDEX('זה אני - קליטה'!$AK$5:$AK$204,MATCH($A15&amp;"|תחילת שנה",'זה אני - קליטה'!$AF$5:$AF$204,0)),""))</f>
        <v/>
      </c>
      <c r="F15" s="28" t="str">
        <f aca="false">IF($A15="","",IFERROR(INDEX('זה אני - קליטה'!$AL$5:$AL$204,MATCH($A15&amp;"|תחילת שנה",'זה אני - קליטה'!$AF$5:$AF$204,0)),""))</f>
        <v/>
      </c>
      <c r="G15" s="27" t="str">
        <f aca="false">IF($A15="","",IFERROR(INDEX('זה אני - קליטה'!$AG$5:$AG$204,MATCH($A15&amp;"|תחילת שנה",'זה אני - קליטה'!$AF$5:$AF$204,0)),""))</f>
        <v/>
      </c>
      <c r="H15" s="28" t="str">
        <f aca="false">IF($A15="","",IFERROR(INDEX('זה אני - קליטה'!$AN$5:$AN$204,MATCH($A15&amp;"|תחילת שנה",'זה אני - קליטה'!$AF$5:$AF$204,0)),""))</f>
        <v/>
      </c>
      <c r="I15" s="28" t="str">
        <f aca="false">IF($A15="","",IFERROR(INDEX('זה אני - קליטה'!$AH$5:$AH$204,MATCH($A15&amp;"|אמצע שנה",'זה אני - קליטה'!$AF$5:$AF$204,0)),""))</f>
        <v/>
      </c>
      <c r="J15" s="28" t="str">
        <f aca="false">IF($A15="","",IFERROR(INDEX('זה אני - קליטה'!$AI$5:$AI$204,MATCH($A15&amp;"|אמצע שנה",'זה אני - קליטה'!$AF$5:$AF$204,0)),""))</f>
        <v/>
      </c>
      <c r="K15" s="28" t="str">
        <f aca="false">IF($A15="","",IFERROR(INDEX('זה אני - קליטה'!$AJ$5:$AJ$204,MATCH($A15&amp;"|אמצע שנה",'זה אני - קליטה'!$AF$5:$AF$204,0)),""))</f>
        <v/>
      </c>
      <c r="L15" s="28" t="str">
        <f aca="false">IF($A15="","",IFERROR(INDEX('זה אני - קליטה'!$AK$5:$AK$204,MATCH($A15&amp;"|אמצע שנה",'זה אני - קליטה'!$AF$5:$AF$204,0)),""))</f>
        <v/>
      </c>
      <c r="M15" s="28" t="str">
        <f aca="false">IF($A15="","",IFERROR(INDEX('זה אני - קליטה'!$AL$5:$AL$204,MATCH($A15&amp;"|אמצע שנה",'זה אני - קליטה'!$AF$5:$AF$204,0)),""))</f>
        <v/>
      </c>
      <c r="N15" s="27" t="str">
        <f aca="false">IF($A15="","",IFERROR(INDEX('זה אני - קליטה'!$AG$5:$AG$204,MATCH($A15&amp;"|אמצע שנה",'זה אני - קליטה'!$AF$5:$AF$204,0)),""))</f>
        <v/>
      </c>
      <c r="O15" s="28" t="str">
        <f aca="false">IF($A15="","",IFERROR(INDEX('זה אני - קליטה'!$AN$5:$AN$204,MATCH($A15&amp;"|אמצע שנה",'זה אני - קליטה'!$AF$5:$AF$204,0)),""))</f>
        <v/>
      </c>
      <c r="P15" s="28" t="str">
        <f aca="false">IF($A15="","",IFERROR(INDEX('זה אני - קליטה'!$AH$5:$AH$204,MATCH($A15&amp;"|סוף שנה",'זה אני - קליטה'!$AF$5:$AF$204,0)),""))</f>
        <v/>
      </c>
      <c r="Q15" s="28" t="str">
        <f aca="false">IF($A15="","",IFERROR(INDEX('זה אני - קליטה'!$AI$5:$AI$204,MATCH($A15&amp;"|סוף שנה",'זה אני - קליטה'!$AF$5:$AF$204,0)),""))</f>
        <v/>
      </c>
      <c r="R15" s="28" t="str">
        <f aca="false">IF($A15="","",IFERROR(INDEX('זה אני - קליטה'!$AJ$5:$AJ$204,MATCH($A15&amp;"|סוף שנה",'זה אני - קליטה'!$AF$5:$AF$204,0)),""))</f>
        <v/>
      </c>
      <c r="S15" s="28" t="str">
        <f aca="false">IF($A15="","",IFERROR(INDEX('זה אני - קליטה'!$AK$5:$AK$204,MATCH($A15&amp;"|סוף שנה",'זה אני - קליטה'!$AF$5:$AF$204,0)),""))</f>
        <v/>
      </c>
      <c r="T15" s="28" t="str">
        <f aca="false">IF($A15="","",IFERROR(INDEX('זה אני - קליטה'!$AL$5:$AL$204,MATCH($A15&amp;"|סוף שנה",'זה אני - קליטה'!$AF$5:$AF$204,0)),""))</f>
        <v/>
      </c>
      <c r="U15" s="27" t="str">
        <f aca="false">IF($A15="","",IFERROR(INDEX('זה אני - קליטה'!$AG$5:$AG$204,MATCH($A15&amp;"|סוף שנה",'זה אני - קליטה'!$AF$5:$AF$204,0)),""))</f>
        <v/>
      </c>
      <c r="V15" s="28" t="str">
        <f aca="false">IF($A15="","",IFERROR(INDEX('זה אני - קליטה'!$AN$5:$AN$204,MATCH($A15&amp;"|סוף שנה",'זה אני - קליטה'!$AF$5:$AF$204,0)),""))</f>
        <v/>
      </c>
      <c r="W15" s="32" t="str">
        <f aca="false">IF(AND(ISNUMBER(F15),ISNUMBER(T15)),T15-F15,"")</f>
        <v/>
      </c>
      <c r="X15" s="27" t="str">
        <f aca="false">IF(W15="","",IF(W15&gt;=0.25,"עלייה",IF(W15&lt;=-0.25,"ירידה","יציב")))</f>
        <v/>
      </c>
    </row>
    <row r="16" customFormat="false" ht="15" hidden="false" customHeight="false" outlineLevel="0" collapsed="false">
      <c r="A16" s="29"/>
      <c r="B16" s="28" t="str">
        <f aca="false">IF($A16="","",IFERROR(INDEX('זה אני - קליטה'!$AH$5:$AH$204,MATCH($A16&amp;"|תחילת שנה",'זה אני - קליטה'!$AF$5:$AF$204,0)),""))</f>
        <v/>
      </c>
      <c r="C16" s="28" t="str">
        <f aca="false">IF($A16="","",IFERROR(INDEX('זה אני - קליטה'!$AI$5:$AI$204,MATCH($A16&amp;"|תחילת שנה",'זה אני - קליטה'!$AF$5:$AF$204,0)),""))</f>
        <v/>
      </c>
      <c r="D16" s="28" t="str">
        <f aca="false">IF($A16="","",IFERROR(INDEX('זה אני - קליטה'!$AJ$5:$AJ$204,MATCH($A16&amp;"|תחילת שנה",'זה אני - קליטה'!$AF$5:$AF$204,0)),""))</f>
        <v/>
      </c>
      <c r="E16" s="28" t="str">
        <f aca="false">IF($A16="","",IFERROR(INDEX('זה אני - קליטה'!$AK$5:$AK$204,MATCH($A16&amp;"|תחילת שנה",'זה אני - קליטה'!$AF$5:$AF$204,0)),""))</f>
        <v/>
      </c>
      <c r="F16" s="28" t="str">
        <f aca="false">IF($A16="","",IFERROR(INDEX('זה אני - קליטה'!$AL$5:$AL$204,MATCH($A16&amp;"|תחילת שנה",'זה אני - קליטה'!$AF$5:$AF$204,0)),""))</f>
        <v/>
      </c>
      <c r="G16" s="27" t="str">
        <f aca="false">IF($A16="","",IFERROR(INDEX('זה אני - קליטה'!$AG$5:$AG$204,MATCH($A16&amp;"|תחילת שנה",'זה אני - קליטה'!$AF$5:$AF$204,0)),""))</f>
        <v/>
      </c>
      <c r="H16" s="28" t="str">
        <f aca="false">IF($A16="","",IFERROR(INDEX('זה אני - קליטה'!$AN$5:$AN$204,MATCH($A16&amp;"|תחילת שנה",'זה אני - קליטה'!$AF$5:$AF$204,0)),""))</f>
        <v/>
      </c>
      <c r="I16" s="28" t="str">
        <f aca="false">IF($A16="","",IFERROR(INDEX('זה אני - קליטה'!$AH$5:$AH$204,MATCH($A16&amp;"|אמצע שנה",'זה אני - קליטה'!$AF$5:$AF$204,0)),""))</f>
        <v/>
      </c>
      <c r="J16" s="28" t="str">
        <f aca="false">IF($A16="","",IFERROR(INDEX('זה אני - קליטה'!$AI$5:$AI$204,MATCH($A16&amp;"|אמצע שנה",'זה אני - קליטה'!$AF$5:$AF$204,0)),""))</f>
        <v/>
      </c>
      <c r="K16" s="28" t="str">
        <f aca="false">IF($A16="","",IFERROR(INDEX('זה אני - קליטה'!$AJ$5:$AJ$204,MATCH($A16&amp;"|אמצע שנה",'זה אני - קליטה'!$AF$5:$AF$204,0)),""))</f>
        <v/>
      </c>
      <c r="L16" s="28" t="str">
        <f aca="false">IF($A16="","",IFERROR(INDEX('זה אני - קליטה'!$AK$5:$AK$204,MATCH($A16&amp;"|אמצע שנה",'זה אני - קליטה'!$AF$5:$AF$204,0)),""))</f>
        <v/>
      </c>
      <c r="M16" s="28" t="str">
        <f aca="false">IF($A16="","",IFERROR(INDEX('זה אני - קליטה'!$AL$5:$AL$204,MATCH($A16&amp;"|אמצע שנה",'זה אני - קליטה'!$AF$5:$AF$204,0)),""))</f>
        <v/>
      </c>
      <c r="N16" s="27" t="str">
        <f aca="false">IF($A16="","",IFERROR(INDEX('זה אני - קליטה'!$AG$5:$AG$204,MATCH($A16&amp;"|אמצע שנה",'זה אני - קליטה'!$AF$5:$AF$204,0)),""))</f>
        <v/>
      </c>
      <c r="O16" s="28" t="str">
        <f aca="false">IF($A16="","",IFERROR(INDEX('זה אני - קליטה'!$AN$5:$AN$204,MATCH($A16&amp;"|אמצע שנה",'זה אני - קליטה'!$AF$5:$AF$204,0)),""))</f>
        <v/>
      </c>
      <c r="P16" s="28" t="str">
        <f aca="false">IF($A16="","",IFERROR(INDEX('זה אני - קליטה'!$AH$5:$AH$204,MATCH($A16&amp;"|סוף שנה",'זה אני - קליטה'!$AF$5:$AF$204,0)),""))</f>
        <v/>
      </c>
      <c r="Q16" s="28" t="str">
        <f aca="false">IF($A16="","",IFERROR(INDEX('זה אני - קליטה'!$AI$5:$AI$204,MATCH($A16&amp;"|סוף שנה",'זה אני - קליטה'!$AF$5:$AF$204,0)),""))</f>
        <v/>
      </c>
      <c r="R16" s="28" t="str">
        <f aca="false">IF($A16="","",IFERROR(INDEX('זה אני - קליטה'!$AJ$5:$AJ$204,MATCH($A16&amp;"|סוף שנה",'זה אני - קליטה'!$AF$5:$AF$204,0)),""))</f>
        <v/>
      </c>
      <c r="S16" s="28" t="str">
        <f aca="false">IF($A16="","",IFERROR(INDEX('זה אני - קליטה'!$AK$5:$AK$204,MATCH($A16&amp;"|סוף שנה",'זה אני - קליטה'!$AF$5:$AF$204,0)),""))</f>
        <v/>
      </c>
      <c r="T16" s="28" t="str">
        <f aca="false">IF($A16="","",IFERROR(INDEX('זה אני - קליטה'!$AL$5:$AL$204,MATCH($A16&amp;"|סוף שנה",'זה אני - קליטה'!$AF$5:$AF$204,0)),""))</f>
        <v/>
      </c>
      <c r="U16" s="27" t="str">
        <f aca="false">IF($A16="","",IFERROR(INDEX('זה אני - קליטה'!$AG$5:$AG$204,MATCH($A16&amp;"|סוף שנה",'זה אני - קליטה'!$AF$5:$AF$204,0)),""))</f>
        <v/>
      </c>
      <c r="V16" s="28" t="str">
        <f aca="false">IF($A16="","",IFERROR(INDEX('זה אני - קליטה'!$AN$5:$AN$204,MATCH($A16&amp;"|סוף שנה",'זה אני - קליטה'!$AF$5:$AF$204,0)),""))</f>
        <v/>
      </c>
      <c r="W16" s="32" t="str">
        <f aca="false">IF(AND(ISNUMBER(F16),ISNUMBER(T16)),T16-F16,"")</f>
        <v/>
      </c>
      <c r="X16" s="27" t="str">
        <f aca="false">IF(W16="","",IF(W16&gt;=0.25,"עלייה",IF(W16&lt;=-0.25,"ירידה","יציב")))</f>
        <v/>
      </c>
    </row>
    <row r="17" customFormat="false" ht="15" hidden="false" customHeight="false" outlineLevel="0" collapsed="false">
      <c r="A17" s="29"/>
      <c r="B17" s="28" t="str">
        <f aca="false">IF($A17="","",IFERROR(INDEX('זה אני - קליטה'!$AH$5:$AH$204,MATCH($A17&amp;"|תחילת שנה",'זה אני - קליטה'!$AF$5:$AF$204,0)),""))</f>
        <v/>
      </c>
      <c r="C17" s="28" t="str">
        <f aca="false">IF($A17="","",IFERROR(INDEX('זה אני - קליטה'!$AI$5:$AI$204,MATCH($A17&amp;"|תחילת שנה",'זה אני - קליטה'!$AF$5:$AF$204,0)),""))</f>
        <v/>
      </c>
      <c r="D17" s="28" t="str">
        <f aca="false">IF($A17="","",IFERROR(INDEX('זה אני - קליטה'!$AJ$5:$AJ$204,MATCH($A17&amp;"|תחילת שנה",'זה אני - קליטה'!$AF$5:$AF$204,0)),""))</f>
        <v/>
      </c>
      <c r="E17" s="28" t="str">
        <f aca="false">IF($A17="","",IFERROR(INDEX('זה אני - קליטה'!$AK$5:$AK$204,MATCH($A17&amp;"|תחילת שנה",'זה אני - קליטה'!$AF$5:$AF$204,0)),""))</f>
        <v/>
      </c>
      <c r="F17" s="28" t="str">
        <f aca="false">IF($A17="","",IFERROR(INDEX('זה אני - קליטה'!$AL$5:$AL$204,MATCH($A17&amp;"|תחילת שנה",'זה אני - קליטה'!$AF$5:$AF$204,0)),""))</f>
        <v/>
      </c>
      <c r="G17" s="27" t="str">
        <f aca="false">IF($A17="","",IFERROR(INDEX('זה אני - קליטה'!$AG$5:$AG$204,MATCH($A17&amp;"|תחילת שנה",'זה אני - קליטה'!$AF$5:$AF$204,0)),""))</f>
        <v/>
      </c>
      <c r="H17" s="28" t="str">
        <f aca="false">IF($A17="","",IFERROR(INDEX('זה אני - קליטה'!$AN$5:$AN$204,MATCH($A17&amp;"|תחילת שנה",'זה אני - קליטה'!$AF$5:$AF$204,0)),""))</f>
        <v/>
      </c>
      <c r="I17" s="28" t="str">
        <f aca="false">IF($A17="","",IFERROR(INDEX('זה אני - קליטה'!$AH$5:$AH$204,MATCH($A17&amp;"|אמצע שנה",'זה אני - קליטה'!$AF$5:$AF$204,0)),""))</f>
        <v/>
      </c>
      <c r="J17" s="28" t="str">
        <f aca="false">IF($A17="","",IFERROR(INDEX('זה אני - קליטה'!$AI$5:$AI$204,MATCH($A17&amp;"|אמצע שנה",'זה אני - קליטה'!$AF$5:$AF$204,0)),""))</f>
        <v/>
      </c>
      <c r="K17" s="28" t="str">
        <f aca="false">IF($A17="","",IFERROR(INDEX('זה אני - קליטה'!$AJ$5:$AJ$204,MATCH($A17&amp;"|אמצע שנה",'זה אני - קליטה'!$AF$5:$AF$204,0)),""))</f>
        <v/>
      </c>
      <c r="L17" s="28" t="str">
        <f aca="false">IF($A17="","",IFERROR(INDEX('זה אני - קליטה'!$AK$5:$AK$204,MATCH($A17&amp;"|אמצע שנה",'זה אני - קליטה'!$AF$5:$AF$204,0)),""))</f>
        <v/>
      </c>
      <c r="M17" s="28" t="str">
        <f aca="false">IF($A17="","",IFERROR(INDEX('זה אני - קליטה'!$AL$5:$AL$204,MATCH($A17&amp;"|אמצע שנה",'זה אני - קליטה'!$AF$5:$AF$204,0)),""))</f>
        <v/>
      </c>
      <c r="N17" s="27" t="str">
        <f aca="false">IF($A17="","",IFERROR(INDEX('זה אני - קליטה'!$AG$5:$AG$204,MATCH($A17&amp;"|אמצע שנה",'זה אני - קליטה'!$AF$5:$AF$204,0)),""))</f>
        <v/>
      </c>
      <c r="O17" s="28" t="str">
        <f aca="false">IF($A17="","",IFERROR(INDEX('זה אני - קליטה'!$AN$5:$AN$204,MATCH($A17&amp;"|אמצע שנה",'זה אני - קליטה'!$AF$5:$AF$204,0)),""))</f>
        <v/>
      </c>
      <c r="P17" s="28" t="str">
        <f aca="false">IF($A17="","",IFERROR(INDEX('זה אני - קליטה'!$AH$5:$AH$204,MATCH($A17&amp;"|סוף שנה",'זה אני - קליטה'!$AF$5:$AF$204,0)),""))</f>
        <v/>
      </c>
      <c r="Q17" s="28" t="str">
        <f aca="false">IF($A17="","",IFERROR(INDEX('זה אני - קליטה'!$AI$5:$AI$204,MATCH($A17&amp;"|סוף שנה",'זה אני - קליטה'!$AF$5:$AF$204,0)),""))</f>
        <v/>
      </c>
      <c r="R17" s="28" t="str">
        <f aca="false">IF($A17="","",IFERROR(INDEX('זה אני - קליטה'!$AJ$5:$AJ$204,MATCH($A17&amp;"|סוף שנה",'זה אני - קליטה'!$AF$5:$AF$204,0)),""))</f>
        <v/>
      </c>
      <c r="S17" s="28" t="str">
        <f aca="false">IF($A17="","",IFERROR(INDEX('זה אני - קליטה'!$AK$5:$AK$204,MATCH($A17&amp;"|סוף שנה",'זה אני - קליטה'!$AF$5:$AF$204,0)),""))</f>
        <v/>
      </c>
      <c r="T17" s="28" t="str">
        <f aca="false">IF($A17="","",IFERROR(INDEX('זה אני - קליטה'!$AL$5:$AL$204,MATCH($A17&amp;"|סוף שנה",'זה אני - קליטה'!$AF$5:$AF$204,0)),""))</f>
        <v/>
      </c>
      <c r="U17" s="27" t="str">
        <f aca="false">IF($A17="","",IFERROR(INDEX('זה אני - קליטה'!$AG$5:$AG$204,MATCH($A17&amp;"|סוף שנה",'זה אני - קליטה'!$AF$5:$AF$204,0)),""))</f>
        <v/>
      </c>
      <c r="V17" s="28" t="str">
        <f aca="false">IF($A17="","",IFERROR(INDEX('זה אני - קליטה'!$AN$5:$AN$204,MATCH($A17&amp;"|סוף שנה",'זה אני - קליטה'!$AF$5:$AF$204,0)),""))</f>
        <v/>
      </c>
      <c r="W17" s="32" t="str">
        <f aca="false">IF(AND(ISNUMBER(F17),ISNUMBER(T17)),T17-F17,"")</f>
        <v/>
      </c>
      <c r="X17" s="27" t="str">
        <f aca="false">IF(W17="","",IF(W17&gt;=0.25,"עלייה",IF(W17&lt;=-0.25,"ירידה","יציב")))</f>
        <v/>
      </c>
    </row>
    <row r="18" customFormat="false" ht="15" hidden="false" customHeight="false" outlineLevel="0" collapsed="false">
      <c r="A18" s="29"/>
      <c r="B18" s="28" t="str">
        <f aca="false">IF($A18="","",IFERROR(INDEX('זה אני - קליטה'!$AH$5:$AH$204,MATCH($A18&amp;"|תחילת שנה",'זה אני - קליטה'!$AF$5:$AF$204,0)),""))</f>
        <v/>
      </c>
      <c r="C18" s="28" t="str">
        <f aca="false">IF($A18="","",IFERROR(INDEX('זה אני - קליטה'!$AI$5:$AI$204,MATCH($A18&amp;"|תחילת שנה",'זה אני - קליטה'!$AF$5:$AF$204,0)),""))</f>
        <v/>
      </c>
      <c r="D18" s="28" t="str">
        <f aca="false">IF($A18="","",IFERROR(INDEX('זה אני - קליטה'!$AJ$5:$AJ$204,MATCH($A18&amp;"|תחילת שנה",'זה אני - קליטה'!$AF$5:$AF$204,0)),""))</f>
        <v/>
      </c>
      <c r="E18" s="28" t="str">
        <f aca="false">IF($A18="","",IFERROR(INDEX('זה אני - קליטה'!$AK$5:$AK$204,MATCH($A18&amp;"|תחילת שנה",'זה אני - קליטה'!$AF$5:$AF$204,0)),""))</f>
        <v/>
      </c>
      <c r="F18" s="28" t="str">
        <f aca="false">IF($A18="","",IFERROR(INDEX('זה אני - קליטה'!$AL$5:$AL$204,MATCH($A18&amp;"|תחילת שנה",'זה אני - קליטה'!$AF$5:$AF$204,0)),""))</f>
        <v/>
      </c>
      <c r="G18" s="27" t="str">
        <f aca="false">IF($A18="","",IFERROR(INDEX('זה אני - קליטה'!$AG$5:$AG$204,MATCH($A18&amp;"|תחילת שנה",'זה אני - קליטה'!$AF$5:$AF$204,0)),""))</f>
        <v/>
      </c>
      <c r="H18" s="28" t="str">
        <f aca="false">IF($A18="","",IFERROR(INDEX('זה אני - קליטה'!$AN$5:$AN$204,MATCH($A18&amp;"|תחילת שנה",'זה אני - קליטה'!$AF$5:$AF$204,0)),""))</f>
        <v/>
      </c>
      <c r="I18" s="28" t="str">
        <f aca="false">IF($A18="","",IFERROR(INDEX('זה אני - קליטה'!$AH$5:$AH$204,MATCH($A18&amp;"|אמצע שנה",'זה אני - קליטה'!$AF$5:$AF$204,0)),""))</f>
        <v/>
      </c>
      <c r="J18" s="28" t="str">
        <f aca="false">IF($A18="","",IFERROR(INDEX('זה אני - קליטה'!$AI$5:$AI$204,MATCH($A18&amp;"|אמצע שנה",'זה אני - קליטה'!$AF$5:$AF$204,0)),""))</f>
        <v/>
      </c>
      <c r="K18" s="28" t="str">
        <f aca="false">IF($A18="","",IFERROR(INDEX('זה אני - קליטה'!$AJ$5:$AJ$204,MATCH($A18&amp;"|אמצע שנה",'זה אני - קליטה'!$AF$5:$AF$204,0)),""))</f>
        <v/>
      </c>
      <c r="L18" s="28" t="str">
        <f aca="false">IF($A18="","",IFERROR(INDEX('זה אני - קליטה'!$AK$5:$AK$204,MATCH($A18&amp;"|אמצע שנה",'זה אני - קליטה'!$AF$5:$AF$204,0)),""))</f>
        <v/>
      </c>
      <c r="M18" s="28" t="str">
        <f aca="false">IF($A18="","",IFERROR(INDEX('זה אני - קליטה'!$AL$5:$AL$204,MATCH($A18&amp;"|אמצע שנה",'זה אני - קליטה'!$AF$5:$AF$204,0)),""))</f>
        <v/>
      </c>
      <c r="N18" s="27" t="str">
        <f aca="false">IF($A18="","",IFERROR(INDEX('זה אני - קליטה'!$AG$5:$AG$204,MATCH($A18&amp;"|אמצע שנה",'זה אני - קליטה'!$AF$5:$AF$204,0)),""))</f>
        <v/>
      </c>
      <c r="O18" s="28" t="str">
        <f aca="false">IF($A18="","",IFERROR(INDEX('זה אני - קליטה'!$AN$5:$AN$204,MATCH($A18&amp;"|אמצע שנה",'זה אני - קליטה'!$AF$5:$AF$204,0)),""))</f>
        <v/>
      </c>
      <c r="P18" s="28" t="str">
        <f aca="false">IF($A18="","",IFERROR(INDEX('זה אני - קליטה'!$AH$5:$AH$204,MATCH($A18&amp;"|סוף שנה",'זה אני - קליטה'!$AF$5:$AF$204,0)),""))</f>
        <v/>
      </c>
      <c r="Q18" s="28" t="str">
        <f aca="false">IF($A18="","",IFERROR(INDEX('זה אני - קליטה'!$AI$5:$AI$204,MATCH($A18&amp;"|סוף שנה",'זה אני - קליטה'!$AF$5:$AF$204,0)),""))</f>
        <v/>
      </c>
      <c r="R18" s="28" t="str">
        <f aca="false">IF($A18="","",IFERROR(INDEX('זה אני - קליטה'!$AJ$5:$AJ$204,MATCH($A18&amp;"|סוף שנה",'זה אני - קליטה'!$AF$5:$AF$204,0)),""))</f>
        <v/>
      </c>
      <c r="S18" s="28" t="str">
        <f aca="false">IF($A18="","",IFERROR(INDEX('זה אני - קליטה'!$AK$5:$AK$204,MATCH($A18&amp;"|סוף שנה",'זה אני - קליטה'!$AF$5:$AF$204,0)),""))</f>
        <v/>
      </c>
      <c r="T18" s="28" t="str">
        <f aca="false">IF($A18="","",IFERROR(INDEX('זה אני - קליטה'!$AL$5:$AL$204,MATCH($A18&amp;"|סוף שנה",'זה אני - קליטה'!$AF$5:$AF$204,0)),""))</f>
        <v/>
      </c>
      <c r="U18" s="27" t="str">
        <f aca="false">IF($A18="","",IFERROR(INDEX('זה אני - קליטה'!$AG$5:$AG$204,MATCH($A18&amp;"|סוף שנה",'זה אני - קליטה'!$AF$5:$AF$204,0)),""))</f>
        <v/>
      </c>
      <c r="V18" s="28" t="str">
        <f aca="false">IF($A18="","",IFERROR(INDEX('זה אני - קליטה'!$AN$5:$AN$204,MATCH($A18&amp;"|סוף שנה",'זה אני - קליטה'!$AF$5:$AF$204,0)),""))</f>
        <v/>
      </c>
      <c r="W18" s="32" t="str">
        <f aca="false">IF(AND(ISNUMBER(F18),ISNUMBER(T18)),T18-F18,"")</f>
        <v/>
      </c>
      <c r="X18" s="27" t="str">
        <f aca="false">IF(W18="","",IF(W18&gt;=0.25,"עלייה",IF(W18&lt;=-0.25,"ירידה","יציב")))</f>
        <v/>
      </c>
    </row>
    <row r="19" customFormat="false" ht="15" hidden="false" customHeight="false" outlineLevel="0" collapsed="false">
      <c r="A19" s="29"/>
      <c r="B19" s="28" t="str">
        <f aca="false">IF($A19="","",IFERROR(INDEX('זה אני - קליטה'!$AH$5:$AH$204,MATCH($A19&amp;"|תחילת שנה",'זה אני - קליטה'!$AF$5:$AF$204,0)),""))</f>
        <v/>
      </c>
      <c r="C19" s="28" t="str">
        <f aca="false">IF($A19="","",IFERROR(INDEX('זה אני - קליטה'!$AI$5:$AI$204,MATCH($A19&amp;"|תחילת שנה",'זה אני - קליטה'!$AF$5:$AF$204,0)),""))</f>
        <v/>
      </c>
      <c r="D19" s="28" t="str">
        <f aca="false">IF($A19="","",IFERROR(INDEX('זה אני - קליטה'!$AJ$5:$AJ$204,MATCH($A19&amp;"|תחילת שנה",'זה אני - קליטה'!$AF$5:$AF$204,0)),""))</f>
        <v/>
      </c>
      <c r="E19" s="28" t="str">
        <f aca="false">IF($A19="","",IFERROR(INDEX('זה אני - קליטה'!$AK$5:$AK$204,MATCH($A19&amp;"|תחילת שנה",'זה אני - קליטה'!$AF$5:$AF$204,0)),""))</f>
        <v/>
      </c>
      <c r="F19" s="28" t="str">
        <f aca="false">IF($A19="","",IFERROR(INDEX('זה אני - קליטה'!$AL$5:$AL$204,MATCH($A19&amp;"|תחילת שנה",'זה אני - קליטה'!$AF$5:$AF$204,0)),""))</f>
        <v/>
      </c>
      <c r="G19" s="27" t="str">
        <f aca="false">IF($A19="","",IFERROR(INDEX('זה אני - קליטה'!$AG$5:$AG$204,MATCH($A19&amp;"|תחילת שנה",'זה אני - קליטה'!$AF$5:$AF$204,0)),""))</f>
        <v/>
      </c>
      <c r="H19" s="28" t="str">
        <f aca="false">IF($A19="","",IFERROR(INDEX('זה אני - קליטה'!$AN$5:$AN$204,MATCH($A19&amp;"|תחילת שנה",'זה אני - קליטה'!$AF$5:$AF$204,0)),""))</f>
        <v/>
      </c>
      <c r="I19" s="28" t="str">
        <f aca="false">IF($A19="","",IFERROR(INDEX('זה אני - קליטה'!$AH$5:$AH$204,MATCH($A19&amp;"|אמצע שנה",'זה אני - קליטה'!$AF$5:$AF$204,0)),""))</f>
        <v/>
      </c>
      <c r="J19" s="28" t="str">
        <f aca="false">IF($A19="","",IFERROR(INDEX('זה אני - קליטה'!$AI$5:$AI$204,MATCH($A19&amp;"|אמצע שנה",'זה אני - קליטה'!$AF$5:$AF$204,0)),""))</f>
        <v/>
      </c>
      <c r="K19" s="28" t="str">
        <f aca="false">IF($A19="","",IFERROR(INDEX('זה אני - קליטה'!$AJ$5:$AJ$204,MATCH($A19&amp;"|אמצע שנה",'זה אני - קליטה'!$AF$5:$AF$204,0)),""))</f>
        <v/>
      </c>
      <c r="L19" s="28" t="str">
        <f aca="false">IF($A19="","",IFERROR(INDEX('זה אני - קליטה'!$AK$5:$AK$204,MATCH($A19&amp;"|אמצע שנה",'זה אני - קליטה'!$AF$5:$AF$204,0)),""))</f>
        <v/>
      </c>
      <c r="M19" s="28" t="str">
        <f aca="false">IF($A19="","",IFERROR(INDEX('זה אני - קליטה'!$AL$5:$AL$204,MATCH($A19&amp;"|אמצע שנה",'זה אני - קליטה'!$AF$5:$AF$204,0)),""))</f>
        <v/>
      </c>
      <c r="N19" s="27" t="str">
        <f aca="false">IF($A19="","",IFERROR(INDEX('זה אני - קליטה'!$AG$5:$AG$204,MATCH($A19&amp;"|אמצע שנה",'זה אני - קליטה'!$AF$5:$AF$204,0)),""))</f>
        <v/>
      </c>
      <c r="O19" s="28" t="str">
        <f aca="false">IF($A19="","",IFERROR(INDEX('זה אני - קליטה'!$AN$5:$AN$204,MATCH($A19&amp;"|אמצע שנה",'זה אני - קליטה'!$AF$5:$AF$204,0)),""))</f>
        <v/>
      </c>
      <c r="P19" s="28" t="str">
        <f aca="false">IF($A19="","",IFERROR(INDEX('זה אני - קליטה'!$AH$5:$AH$204,MATCH($A19&amp;"|סוף שנה",'זה אני - קליטה'!$AF$5:$AF$204,0)),""))</f>
        <v/>
      </c>
      <c r="Q19" s="28" t="str">
        <f aca="false">IF($A19="","",IFERROR(INDEX('זה אני - קליטה'!$AI$5:$AI$204,MATCH($A19&amp;"|סוף שנה",'זה אני - קליטה'!$AF$5:$AF$204,0)),""))</f>
        <v/>
      </c>
      <c r="R19" s="28" t="str">
        <f aca="false">IF($A19="","",IFERROR(INDEX('זה אני - קליטה'!$AJ$5:$AJ$204,MATCH($A19&amp;"|סוף שנה",'זה אני - קליטה'!$AF$5:$AF$204,0)),""))</f>
        <v/>
      </c>
      <c r="S19" s="28" t="str">
        <f aca="false">IF($A19="","",IFERROR(INDEX('זה אני - קליטה'!$AK$5:$AK$204,MATCH($A19&amp;"|סוף שנה",'זה אני - קליטה'!$AF$5:$AF$204,0)),""))</f>
        <v/>
      </c>
      <c r="T19" s="28" t="str">
        <f aca="false">IF($A19="","",IFERROR(INDEX('זה אני - קליטה'!$AL$5:$AL$204,MATCH($A19&amp;"|סוף שנה",'זה אני - קליטה'!$AF$5:$AF$204,0)),""))</f>
        <v/>
      </c>
      <c r="U19" s="27" t="str">
        <f aca="false">IF($A19="","",IFERROR(INDEX('זה אני - קליטה'!$AG$5:$AG$204,MATCH($A19&amp;"|סוף שנה",'זה אני - קליטה'!$AF$5:$AF$204,0)),""))</f>
        <v/>
      </c>
      <c r="V19" s="28" t="str">
        <f aca="false">IF($A19="","",IFERROR(INDEX('זה אני - קליטה'!$AN$5:$AN$204,MATCH($A19&amp;"|סוף שנה",'זה אני - קליטה'!$AF$5:$AF$204,0)),""))</f>
        <v/>
      </c>
      <c r="W19" s="32" t="str">
        <f aca="false">IF(AND(ISNUMBER(F19),ISNUMBER(T19)),T19-F19,"")</f>
        <v/>
      </c>
      <c r="X19" s="27" t="str">
        <f aca="false">IF(W19="","",IF(W19&gt;=0.25,"עלייה",IF(W19&lt;=-0.25,"ירידה","יציב")))</f>
        <v/>
      </c>
    </row>
    <row r="20" customFormat="false" ht="15" hidden="false" customHeight="false" outlineLevel="0" collapsed="false">
      <c r="A20" s="29"/>
      <c r="B20" s="28" t="str">
        <f aca="false">IF($A20="","",IFERROR(INDEX('זה אני - קליטה'!$AH$5:$AH$204,MATCH($A20&amp;"|תחילת שנה",'זה אני - קליטה'!$AF$5:$AF$204,0)),""))</f>
        <v/>
      </c>
      <c r="C20" s="28" t="str">
        <f aca="false">IF($A20="","",IFERROR(INDEX('זה אני - קליטה'!$AI$5:$AI$204,MATCH($A20&amp;"|תחילת שנה",'זה אני - קליטה'!$AF$5:$AF$204,0)),""))</f>
        <v/>
      </c>
      <c r="D20" s="28" t="str">
        <f aca="false">IF($A20="","",IFERROR(INDEX('זה אני - קליטה'!$AJ$5:$AJ$204,MATCH($A20&amp;"|תחילת שנה",'זה אני - קליטה'!$AF$5:$AF$204,0)),""))</f>
        <v/>
      </c>
      <c r="E20" s="28" t="str">
        <f aca="false">IF($A20="","",IFERROR(INDEX('זה אני - קליטה'!$AK$5:$AK$204,MATCH($A20&amp;"|תחילת שנה",'זה אני - קליטה'!$AF$5:$AF$204,0)),""))</f>
        <v/>
      </c>
      <c r="F20" s="28" t="str">
        <f aca="false">IF($A20="","",IFERROR(INDEX('זה אני - קליטה'!$AL$5:$AL$204,MATCH($A20&amp;"|תחילת שנה",'זה אני - קליטה'!$AF$5:$AF$204,0)),""))</f>
        <v/>
      </c>
      <c r="G20" s="27" t="str">
        <f aca="false">IF($A20="","",IFERROR(INDEX('זה אני - קליטה'!$AG$5:$AG$204,MATCH($A20&amp;"|תחילת שנה",'זה אני - קליטה'!$AF$5:$AF$204,0)),""))</f>
        <v/>
      </c>
      <c r="H20" s="28" t="str">
        <f aca="false">IF($A20="","",IFERROR(INDEX('זה אני - קליטה'!$AN$5:$AN$204,MATCH($A20&amp;"|תחילת שנה",'זה אני - קליטה'!$AF$5:$AF$204,0)),""))</f>
        <v/>
      </c>
      <c r="I20" s="28" t="str">
        <f aca="false">IF($A20="","",IFERROR(INDEX('זה אני - קליטה'!$AH$5:$AH$204,MATCH($A20&amp;"|אמצע שנה",'זה אני - קליטה'!$AF$5:$AF$204,0)),""))</f>
        <v/>
      </c>
      <c r="J20" s="28" t="str">
        <f aca="false">IF($A20="","",IFERROR(INDEX('זה אני - קליטה'!$AI$5:$AI$204,MATCH($A20&amp;"|אמצע שנה",'זה אני - קליטה'!$AF$5:$AF$204,0)),""))</f>
        <v/>
      </c>
      <c r="K20" s="28" t="str">
        <f aca="false">IF($A20="","",IFERROR(INDEX('זה אני - קליטה'!$AJ$5:$AJ$204,MATCH($A20&amp;"|אמצע שנה",'זה אני - קליטה'!$AF$5:$AF$204,0)),""))</f>
        <v/>
      </c>
      <c r="L20" s="28" t="str">
        <f aca="false">IF($A20="","",IFERROR(INDEX('זה אני - קליטה'!$AK$5:$AK$204,MATCH($A20&amp;"|אמצע שנה",'זה אני - קליטה'!$AF$5:$AF$204,0)),""))</f>
        <v/>
      </c>
      <c r="M20" s="28" t="str">
        <f aca="false">IF($A20="","",IFERROR(INDEX('זה אני - קליטה'!$AL$5:$AL$204,MATCH($A20&amp;"|אמצע שנה",'זה אני - קליטה'!$AF$5:$AF$204,0)),""))</f>
        <v/>
      </c>
      <c r="N20" s="27" t="str">
        <f aca="false">IF($A20="","",IFERROR(INDEX('זה אני - קליטה'!$AG$5:$AG$204,MATCH($A20&amp;"|אמצע שנה",'זה אני - קליטה'!$AF$5:$AF$204,0)),""))</f>
        <v/>
      </c>
      <c r="O20" s="28" t="str">
        <f aca="false">IF($A20="","",IFERROR(INDEX('זה אני - קליטה'!$AN$5:$AN$204,MATCH($A20&amp;"|אמצע שנה",'זה אני - קליטה'!$AF$5:$AF$204,0)),""))</f>
        <v/>
      </c>
      <c r="P20" s="28" t="str">
        <f aca="false">IF($A20="","",IFERROR(INDEX('זה אני - קליטה'!$AH$5:$AH$204,MATCH($A20&amp;"|סוף שנה",'זה אני - קליטה'!$AF$5:$AF$204,0)),""))</f>
        <v/>
      </c>
      <c r="Q20" s="28" t="str">
        <f aca="false">IF($A20="","",IFERROR(INDEX('זה אני - קליטה'!$AI$5:$AI$204,MATCH($A20&amp;"|סוף שנה",'זה אני - קליטה'!$AF$5:$AF$204,0)),""))</f>
        <v/>
      </c>
      <c r="R20" s="28" t="str">
        <f aca="false">IF($A20="","",IFERROR(INDEX('זה אני - קליטה'!$AJ$5:$AJ$204,MATCH($A20&amp;"|סוף שנה",'זה אני - קליטה'!$AF$5:$AF$204,0)),""))</f>
        <v/>
      </c>
      <c r="S20" s="28" t="str">
        <f aca="false">IF($A20="","",IFERROR(INDEX('זה אני - קליטה'!$AK$5:$AK$204,MATCH($A20&amp;"|סוף שנה",'זה אני - קליטה'!$AF$5:$AF$204,0)),""))</f>
        <v/>
      </c>
      <c r="T20" s="28" t="str">
        <f aca="false">IF($A20="","",IFERROR(INDEX('זה אני - קליטה'!$AL$5:$AL$204,MATCH($A20&amp;"|סוף שנה",'זה אני - קליטה'!$AF$5:$AF$204,0)),""))</f>
        <v/>
      </c>
      <c r="U20" s="27" t="str">
        <f aca="false">IF($A20="","",IFERROR(INDEX('זה אני - קליטה'!$AG$5:$AG$204,MATCH($A20&amp;"|סוף שנה",'זה אני - קליטה'!$AF$5:$AF$204,0)),""))</f>
        <v/>
      </c>
      <c r="V20" s="28" t="str">
        <f aca="false">IF($A20="","",IFERROR(INDEX('זה אני - קליטה'!$AN$5:$AN$204,MATCH($A20&amp;"|סוף שנה",'זה אני - קליטה'!$AF$5:$AF$204,0)),""))</f>
        <v/>
      </c>
      <c r="W20" s="32" t="str">
        <f aca="false">IF(AND(ISNUMBER(F20),ISNUMBER(T20)),T20-F20,"")</f>
        <v/>
      </c>
      <c r="X20" s="27" t="str">
        <f aca="false">IF(W20="","",IF(W20&gt;=0.25,"עלייה",IF(W20&lt;=-0.25,"ירידה","יציב")))</f>
        <v/>
      </c>
    </row>
    <row r="21" customFormat="false" ht="15" hidden="false" customHeight="false" outlineLevel="0" collapsed="false">
      <c r="A21" s="29"/>
      <c r="B21" s="28" t="str">
        <f aca="false">IF($A21="","",IFERROR(INDEX('זה אני - קליטה'!$AH$5:$AH$204,MATCH($A21&amp;"|תחילת שנה",'זה אני - קליטה'!$AF$5:$AF$204,0)),""))</f>
        <v/>
      </c>
      <c r="C21" s="28" t="str">
        <f aca="false">IF($A21="","",IFERROR(INDEX('זה אני - קליטה'!$AI$5:$AI$204,MATCH($A21&amp;"|תחילת שנה",'זה אני - קליטה'!$AF$5:$AF$204,0)),""))</f>
        <v/>
      </c>
      <c r="D21" s="28" t="str">
        <f aca="false">IF($A21="","",IFERROR(INDEX('זה אני - קליטה'!$AJ$5:$AJ$204,MATCH($A21&amp;"|תחילת שנה",'זה אני - קליטה'!$AF$5:$AF$204,0)),""))</f>
        <v/>
      </c>
      <c r="E21" s="28" t="str">
        <f aca="false">IF($A21="","",IFERROR(INDEX('זה אני - קליטה'!$AK$5:$AK$204,MATCH($A21&amp;"|תחילת שנה",'זה אני - קליטה'!$AF$5:$AF$204,0)),""))</f>
        <v/>
      </c>
      <c r="F21" s="28" t="str">
        <f aca="false">IF($A21="","",IFERROR(INDEX('זה אני - קליטה'!$AL$5:$AL$204,MATCH($A21&amp;"|תחילת שנה",'זה אני - קליטה'!$AF$5:$AF$204,0)),""))</f>
        <v/>
      </c>
      <c r="G21" s="27" t="str">
        <f aca="false">IF($A21="","",IFERROR(INDEX('זה אני - קליטה'!$AG$5:$AG$204,MATCH($A21&amp;"|תחילת שנה",'זה אני - קליטה'!$AF$5:$AF$204,0)),""))</f>
        <v/>
      </c>
      <c r="H21" s="28" t="str">
        <f aca="false">IF($A21="","",IFERROR(INDEX('זה אני - קליטה'!$AN$5:$AN$204,MATCH($A21&amp;"|תחילת שנה",'זה אני - קליטה'!$AF$5:$AF$204,0)),""))</f>
        <v/>
      </c>
      <c r="I21" s="28" t="str">
        <f aca="false">IF($A21="","",IFERROR(INDEX('זה אני - קליטה'!$AH$5:$AH$204,MATCH($A21&amp;"|אמצע שנה",'זה אני - קליטה'!$AF$5:$AF$204,0)),""))</f>
        <v/>
      </c>
      <c r="J21" s="28" t="str">
        <f aca="false">IF($A21="","",IFERROR(INDEX('זה אני - קליטה'!$AI$5:$AI$204,MATCH($A21&amp;"|אמצע שנה",'זה אני - קליטה'!$AF$5:$AF$204,0)),""))</f>
        <v/>
      </c>
      <c r="K21" s="28" t="str">
        <f aca="false">IF($A21="","",IFERROR(INDEX('זה אני - קליטה'!$AJ$5:$AJ$204,MATCH($A21&amp;"|אמצע שנה",'זה אני - קליטה'!$AF$5:$AF$204,0)),""))</f>
        <v/>
      </c>
      <c r="L21" s="28" t="str">
        <f aca="false">IF($A21="","",IFERROR(INDEX('זה אני - קליטה'!$AK$5:$AK$204,MATCH($A21&amp;"|אמצע שנה",'זה אני - קליטה'!$AF$5:$AF$204,0)),""))</f>
        <v/>
      </c>
      <c r="M21" s="28" t="str">
        <f aca="false">IF($A21="","",IFERROR(INDEX('זה אני - קליטה'!$AL$5:$AL$204,MATCH($A21&amp;"|אמצע שנה",'זה אני - קליטה'!$AF$5:$AF$204,0)),""))</f>
        <v/>
      </c>
      <c r="N21" s="27" t="str">
        <f aca="false">IF($A21="","",IFERROR(INDEX('זה אני - קליטה'!$AG$5:$AG$204,MATCH($A21&amp;"|אמצע שנה",'זה אני - קליטה'!$AF$5:$AF$204,0)),""))</f>
        <v/>
      </c>
      <c r="O21" s="28" t="str">
        <f aca="false">IF($A21="","",IFERROR(INDEX('זה אני - קליטה'!$AN$5:$AN$204,MATCH($A21&amp;"|אמצע שנה",'זה אני - קליטה'!$AF$5:$AF$204,0)),""))</f>
        <v/>
      </c>
      <c r="P21" s="28" t="str">
        <f aca="false">IF($A21="","",IFERROR(INDEX('זה אני - קליטה'!$AH$5:$AH$204,MATCH($A21&amp;"|סוף שנה",'זה אני - קליטה'!$AF$5:$AF$204,0)),""))</f>
        <v/>
      </c>
      <c r="Q21" s="28" t="str">
        <f aca="false">IF($A21="","",IFERROR(INDEX('זה אני - קליטה'!$AI$5:$AI$204,MATCH($A21&amp;"|סוף שנה",'זה אני - קליטה'!$AF$5:$AF$204,0)),""))</f>
        <v/>
      </c>
      <c r="R21" s="28" t="str">
        <f aca="false">IF($A21="","",IFERROR(INDEX('זה אני - קליטה'!$AJ$5:$AJ$204,MATCH($A21&amp;"|סוף שנה",'זה אני - קליטה'!$AF$5:$AF$204,0)),""))</f>
        <v/>
      </c>
      <c r="S21" s="28" t="str">
        <f aca="false">IF($A21="","",IFERROR(INDEX('זה אני - קליטה'!$AK$5:$AK$204,MATCH($A21&amp;"|סוף שנה",'זה אני - קליטה'!$AF$5:$AF$204,0)),""))</f>
        <v/>
      </c>
      <c r="T21" s="28" t="str">
        <f aca="false">IF($A21="","",IFERROR(INDEX('זה אני - קליטה'!$AL$5:$AL$204,MATCH($A21&amp;"|סוף שנה",'זה אני - קליטה'!$AF$5:$AF$204,0)),""))</f>
        <v/>
      </c>
      <c r="U21" s="27" t="str">
        <f aca="false">IF($A21="","",IFERROR(INDEX('זה אני - קליטה'!$AG$5:$AG$204,MATCH($A21&amp;"|סוף שנה",'זה אני - קליטה'!$AF$5:$AF$204,0)),""))</f>
        <v/>
      </c>
      <c r="V21" s="28" t="str">
        <f aca="false">IF($A21="","",IFERROR(INDEX('זה אני - קליטה'!$AN$5:$AN$204,MATCH($A21&amp;"|סוף שנה",'זה אני - קליטה'!$AF$5:$AF$204,0)),""))</f>
        <v/>
      </c>
      <c r="W21" s="32" t="str">
        <f aca="false">IF(AND(ISNUMBER(F21),ISNUMBER(T21)),T21-F21,"")</f>
        <v/>
      </c>
      <c r="X21" s="27" t="str">
        <f aca="false">IF(W21="","",IF(W21&gt;=0.25,"עלייה",IF(W21&lt;=-0.25,"ירידה","יציב")))</f>
        <v/>
      </c>
    </row>
    <row r="22" customFormat="false" ht="15" hidden="false" customHeight="false" outlineLevel="0" collapsed="false">
      <c r="A22" s="29"/>
      <c r="B22" s="28" t="str">
        <f aca="false">IF($A22="","",IFERROR(INDEX('זה אני - קליטה'!$AH$5:$AH$204,MATCH($A22&amp;"|תחילת שנה",'זה אני - קליטה'!$AF$5:$AF$204,0)),""))</f>
        <v/>
      </c>
      <c r="C22" s="28" t="str">
        <f aca="false">IF($A22="","",IFERROR(INDEX('זה אני - קליטה'!$AI$5:$AI$204,MATCH($A22&amp;"|תחילת שנה",'זה אני - קליטה'!$AF$5:$AF$204,0)),""))</f>
        <v/>
      </c>
      <c r="D22" s="28" t="str">
        <f aca="false">IF($A22="","",IFERROR(INDEX('זה אני - קליטה'!$AJ$5:$AJ$204,MATCH($A22&amp;"|תחילת שנה",'זה אני - קליטה'!$AF$5:$AF$204,0)),""))</f>
        <v/>
      </c>
      <c r="E22" s="28" t="str">
        <f aca="false">IF($A22="","",IFERROR(INDEX('זה אני - קליטה'!$AK$5:$AK$204,MATCH($A22&amp;"|תחילת שנה",'זה אני - קליטה'!$AF$5:$AF$204,0)),""))</f>
        <v/>
      </c>
      <c r="F22" s="28" t="str">
        <f aca="false">IF($A22="","",IFERROR(INDEX('זה אני - קליטה'!$AL$5:$AL$204,MATCH($A22&amp;"|תחילת שנה",'זה אני - קליטה'!$AF$5:$AF$204,0)),""))</f>
        <v/>
      </c>
      <c r="G22" s="27" t="str">
        <f aca="false">IF($A22="","",IFERROR(INDEX('זה אני - קליטה'!$AG$5:$AG$204,MATCH($A22&amp;"|תחילת שנה",'זה אני - קליטה'!$AF$5:$AF$204,0)),""))</f>
        <v/>
      </c>
      <c r="H22" s="28" t="str">
        <f aca="false">IF($A22="","",IFERROR(INDEX('זה אני - קליטה'!$AN$5:$AN$204,MATCH($A22&amp;"|תחילת שנה",'זה אני - קליטה'!$AF$5:$AF$204,0)),""))</f>
        <v/>
      </c>
      <c r="I22" s="28" t="str">
        <f aca="false">IF($A22="","",IFERROR(INDEX('זה אני - קליטה'!$AH$5:$AH$204,MATCH($A22&amp;"|אמצע שנה",'זה אני - קליטה'!$AF$5:$AF$204,0)),""))</f>
        <v/>
      </c>
      <c r="J22" s="28" t="str">
        <f aca="false">IF($A22="","",IFERROR(INDEX('זה אני - קליטה'!$AI$5:$AI$204,MATCH($A22&amp;"|אמצע שנה",'זה אני - קליטה'!$AF$5:$AF$204,0)),""))</f>
        <v/>
      </c>
      <c r="K22" s="28" t="str">
        <f aca="false">IF($A22="","",IFERROR(INDEX('זה אני - קליטה'!$AJ$5:$AJ$204,MATCH($A22&amp;"|אמצע שנה",'זה אני - קליטה'!$AF$5:$AF$204,0)),""))</f>
        <v/>
      </c>
      <c r="L22" s="28" t="str">
        <f aca="false">IF($A22="","",IFERROR(INDEX('זה אני - קליטה'!$AK$5:$AK$204,MATCH($A22&amp;"|אמצע שנה",'זה אני - קליטה'!$AF$5:$AF$204,0)),""))</f>
        <v/>
      </c>
      <c r="M22" s="28" t="str">
        <f aca="false">IF($A22="","",IFERROR(INDEX('זה אני - קליטה'!$AL$5:$AL$204,MATCH($A22&amp;"|אמצע שנה",'זה אני - קליטה'!$AF$5:$AF$204,0)),""))</f>
        <v/>
      </c>
      <c r="N22" s="27" t="str">
        <f aca="false">IF($A22="","",IFERROR(INDEX('זה אני - קליטה'!$AG$5:$AG$204,MATCH($A22&amp;"|אמצע שנה",'זה אני - קליטה'!$AF$5:$AF$204,0)),""))</f>
        <v/>
      </c>
      <c r="O22" s="28" t="str">
        <f aca="false">IF($A22="","",IFERROR(INDEX('זה אני - קליטה'!$AN$5:$AN$204,MATCH($A22&amp;"|אמצע שנה",'זה אני - קליטה'!$AF$5:$AF$204,0)),""))</f>
        <v/>
      </c>
      <c r="P22" s="28" t="str">
        <f aca="false">IF($A22="","",IFERROR(INDEX('זה אני - קליטה'!$AH$5:$AH$204,MATCH($A22&amp;"|סוף שנה",'זה אני - קליטה'!$AF$5:$AF$204,0)),""))</f>
        <v/>
      </c>
      <c r="Q22" s="28" t="str">
        <f aca="false">IF($A22="","",IFERROR(INDEX('זה אני - קליטה'!$AI$5:$AI$204,MATCH($A22&amp;"|סוף שנה",'זה אני - קליטה'!$AF$5:$AF$204,0)),""))</f>
        <v/>
      </c>
      <c r="R22" s="28" t="str">
        <f aca="false">IF($A22="","",IFERROR(INDEX('זה אני - קליטה'!$AJ$5:$AJ$204,MATCH($A22&amp;"|סוף שנה",'זה אני - קליטה'!$AF$5:$AF$204,0)),""))</f>
        <v/>
      </c>
      <c r="S22" s="28" t="str">
        <f aca="false">IF($A22="","",IFERROR(INDEX('זה אני - קליטה'!$AK$5:$AK$204,MATCH($A22&amp;"|סוף שנה",'זה אני - קליטה'!$AF$5:$AF$204,0)),""))</f>
        <v/>
      </c>
      <c r="T22" s="28" t="str">
        <f aca="false">IF($A22="","",IFERROR(INDEX('זה אני - קליטה'!$AL$5:$AL$204,MATCH($A22&amp;"|סוף שנה",'זה אני - קליטה'!$AF$5:$AF$204,0)),""))</f>
        <v/>
      </c>
      <c r="U22" s="27" t="str">
        <f aca="false">IF($A22="","",IFERROR(INDEX('זה אני - קליטה'!$AG$5:$AG$204,MATCH($A22&amp;"|סוף שנה",'זה אני - קליטה'!$AF$5:$AF$204,0)),""))</f>
        <v/>
      </c>
      <c r="V22" s="28" t="str">
        <f aca="false">IF($A22="","",IFERROR(INDEX('זה אני - קליטה'!$AN$5:$AN$204,MATCH($A22&amp;"|סוף שנה",'זה אני - קליטה'!$AF$5:$AF$204,0)),""))</f>
        <v/>
      </c>
      <c r="W22" s="32" t="str">
        <f aca="false">IF(AND(ISNUMBER(F22),ISNUMBER(T22)),T22-F22,"")</f>
        <v/>
      </c>
      <c r="X22" s="27" t="str">
        <f aca="false">IF(W22="","",IF(W22&gt;=0.25,"עלייה",IF(W22&lt;=-0.25,"ירידה","יציב")))</f>
        <v/>
      </c>
    </row>
    <row r="23" customFormat="false" ht="15" hidden="false" customHeight="false" outlineLevel="0" collapsed="false">
      <c r="A23" s="29"/>
      <c r="B23" s="28" t="str">
        <f aca="false">IF($A23="","",IFERROR(INDEX('זה אני - קליטה'!$AH$5:$AH$204,MATCH($A23&amp;"|תחילת שנה",'זה אני - קליטה'!$AF$5:$AF$204,0)),""))</f>
        <v/>
      </c>
      <c r="C23" s="28" t="str">
        <f aca="false">IF($A23="","",IFERROR(INDEX('זה אני - קליטה'!$AI$5:$AI$204,MATCH($A23&amp;"|תחילת שנה",'זה אני - קליטה'!$AF$5:$AF$204,0)),""))</f>
        <v/>
      </c>
      <c r="D23" s="28" t="str">
        <f aca="false">IF($A23="","",IFERROR(INDEX('זה אני - קליטה'!$AJ$5:$AJ$204,MATCH($A23&amp;"|תחילת שנה",'זה אני - קליטה'!$AF$5:$AF$204,0)),""))</f>
        <v/>
      </c>
      <c r="E23" s="28" t="str">
        <f aca="false">IF($A23="","",IFERROR(INDEX('זה אני - קליטה'!$AK$5:$AK$204,MATCH($A23&amp;"|תחילת שנה",'זה אני - קליטה'!$AF$5:$AF$204,0)),""))</f>
        <v/>
      </c>
      <c r="F23" s="28" t="str">
        <f aca="false">IF($A23="","",IFERROR(INDEX('זה אני - קליטה'!$AL$5:$AL$204,MATCH($A23&amp;"|תחילת שנה",'זה אני - קליטה'!$AF$5:$AF$204,0)),""))</f>
        <v/>
      </c>
      <c r="G23" s="27" t="str">
        <f aca="false">IF($A23="","",IFERROR(INDEX('זה אני - קליטה'!$AG$5:$AG$204,MATCH($A23&amp;"|תחילת שנה",'זה אני - קליטה'!$AF$5:$AF$204,0)),""))</f>
        <v/>
      </c>
      <c r="H23" s="28" t="str">
        <f aca="false">IF($A23="","",IFERROR(INDEX('זה אני - קליטה'!$AN$5:$AN$204,MATCH($A23&amp;"|תחילת שנה",'זה אני - קליטה'!$AF$5:$AF$204,0)),""))</f>
        <v/>
      </c>
      <c r="I23" s="28" t="str">
        <f aca="false">IF($A23="","",IFERROR(INDEX('זה אני - קליטה'!$AH$5:$AH$204,MATCH($A23&amp;"|אמצע שנה",'זה אני - קליטה'!$AF$5:$AF$204,0)),""))</f>
        <v/>
      </c>
      <c r="J23" s="28" t="str">
        <f aca="false">IF($A23="","",IFERROR(INDEX('זה אני - קליטה'!$AI$5:$AI$204,MATCH($A23&amp;"|אמצע שנה",'זה אני - קליטה'!$AF$5:$AF$204,0)),""))</f>
        <v/>
      </c>
      <c r="K23" s="28" t="str">
        <f aca="false">IF($A23="","",IFERROR(INDEX('זה אני - קליטה'!$AJ$5:$AJ$204,MATCH($A23&amp;"|אמצע שנה",'זה אני - קליטה'!$AF$5:$AF$204,0)),""))</f>
        <v/>
      </c>
      <c r="L23" s="28" t="str">
        <f aca="false">IF($A23="","",IFERROR(INDEX('זה אני - קליטה'!$AK$5:$AK$204,MATCH($A23&amp;"|אמצע שנה",'זה אני - קליטה'!$AF$5:$AF$204,0)),""))</f>
        <v/>
      </c>
      <c r="M23" s="28" t="str">
        <f aca="false">IF($A23="","",IFERROR(INDEX('זה אני - קליטה'!$AL$5:$AL$204,MATCH($A23&amp;"|אמצע שנה",'זה אני - קליטה'!$AF$5:$AF$204,0)),""))</f>
        <v/>
      </c>
      <c r="N23" s="27" t="str">
        <f aca="false">IF($A23="","",IFERROR(INDEX('זה אני - קליטה'!$AG$5:$AG$204,MATCH($A23&amp;"|אמצע שנה",'זה אני - קליטה'!$AF$5:$AF$204,0)),""))</f>
        <v/>
      </c>
      <c r="O23" s="28" t="str">
        <f aca="false">IF($A23="","",IFERROR(INDEX('זה אני - קליטה'!$AN$5:$AN$204,MATCH($A23&amp;"|אמצע שנה",'זה אני - קליטה'!$AF$5:$AF$204,0)),""))</f>
        <v/>
      </c>
      <c r="P23" s="28" t="str">
        <f aca="false">IF($A23="","",IFERROR(INDEX('זה אני - קליטה'!$AH$5:$AH$204,MATCH($A23&amp;"|סוף שנה",'זה אני - קליטה'!$AF$5:$AF$204,0)),""))</f>
        <v/>
      </c>
      <c r="Q23" s="28" t="str">
        <f aca="false">IF($A23="","",IFERROR(INDEX('זה אני - קליטה'!$AI$5:$AI$204,MATCH($A23&amp;"|סוף שנה",'זה אני - קליטה'!$AF$5:$AF$204,0)),""))</f>
        <v/>
      </c>
      <c r="R23" s="28" t="str">
        <f aca="false">IF($A23="","",IFERROR(INDEX('זה אני - קליטה'!$AJ$5:$AJ$204,MATCH($A23&amp;"|סוף שנה",'זה אני - קליטה'!$AF$5:$AF$204,0)),""))</f>
        <v/>
      </c>
      <c r="S23" s="28" t="str">
        <f aca="false">IF($A23="","",IFERROR(INDEX('זה אני - קליטה'!$AK$5:$AK$204,MATCH($A23&amp;"|סוף שנה",'זה אני - קליטה'!$AF$5:$AF$204,0)),""))</f>
        <v/>
      </c>
      <c r="T23" s="28" t="str">
        <f aca="false">IF($A23="","",IFERROR(INDEX('זה אני - קליטה'!$AL$5:$AL$204,MATCH($A23&amp;"|סוף שנה",'זה אני - קליטה'!$AF$5:$AF$204,0)),""))</f>
        <v/>
      </c>
      <c r="U23" s="27" t="str">
        <f aca="false">IF($A23="","",IFERROR(INDEX('זה אני - קליטה'!$AG$5:$AG$204,MATCH($A23&amp;"|סוף שנה",'זה אני - קליטה'!$AF$5:$AF$204,0)),""))</f>
        <v/>
      </c>
      <c r="V23" s="28" t="str">
        <f aca="false">IF($A23="","",IFERROR(INDEX('זה אני - קליטה'!$AN$5:$AN$204,MATCH($A23&amp;"|סוף שנה",'זה אני - קליטה'!$AF$5:$AF$204,0)),""))</f>
        <v/>
      </c>
      <c r="W23" s="32" t="str">
        <f aca="false">IF(AND(ISNUMBER(F23),ISNUMBER(T23)),T23-F23,"")</f>
        <v/>
      </c>
      <c r="X23" s="27" t="str">
        <f aca="false">IF(W23="","",IF(W23&gt;=0.25,"עלייה",IF(W23&lt;=-0.25,"ירידה","יציב")))</f>
        <v/>
      </c>
    </row>
    <row r="24" customFormat="false" ht="15" hidden="false" customHeight="false" outlineLevel="0" collapsed="false">
      <c r="A24" s="29"/>
      <c r="B24" s="28" t="str">
        <f aca="false">IF($A24="","",IFERROR(INDEX('זה אני - קליטה'!$AH$5:$AH$204,MATCH($A24&amp;"|תחילת שנה",'זה אני - קליטה'!$AF$5:$AF$204,0)),""))</f>
        <v/>
      </c>
      <c r="C24" s="28" t="str">
        <f aca="false">IF($A24="","",IFERROR(INDEX('זה אני - קליטה'!$AI$5:$AI$204,MATCH($A24&amp;"|תחילת שנה",'זה אני - קליטה'!$AF$5:$AF$204,0)),""))</f>
        <v/>
      </c>
      <c r="D24" s="28" t="str">
        <f aca="false">IF($A24="","",IFERROR(INDEX('זה אני - קליטה'!$AJ$5:$AJ$204,MATCH($A24&amp;"|תחילת שנה",'זה אני - קליטה'!$AF$5:$AF$204,0)),""))</f>
        <v/>
      </c>
      <c r="E24" s="28" t="str">
        <f aca="false">IF($A24="","",IFERROR(INDEX('זה אני - קליטה'!$AK$5:$AK$204,MATCH($A24&amp;"|תחילת שנה",'זה אני - קליטה'!$AF$5:$AF$204,0)),""))</f>
        <v/>
      </c>
      <c r="F24" s="28" t="str">
        <f aca="false">IF($A24="","",IFERROR(INDEX('זה אני - קליטה'!$AL$5:$AL$204,MATCH($A24&amp;"|תחילת שנה",'זה אני - קליטה'!$AF$5:$AF$204,0)),""))</f>
        <v/>
      </c>
      <c r="G24" s="27" t="str">
        <f aca="false">IF($A24="","",IFERROR(INDEX('זה אני - קליטה'!$AG$5:$AG$204,MATCH($A24&amp;"|תחילת שנה",'זה אני - קליטה'!$AF$5:$AF$204,0)),""))</f>
        <v/>
      </c>
      <c r="H24" s="28" t="str">
        <f aca="false">IF($A24="","",IFERROR(INDEX('זה אני - קליטה'!$AN$5:$AN$204,MATCH($A24&amp;"|תחילת שנה",'זה אני - קליטה'!$AF$5:$AF$204,0)),""))</f>
        <v/>
      </c>
      <c r="I24" s="28" t="str">
        <f aca="false">IF($A24="","",IFERROR(INDEX('זה אני - קליטה'!$AH$5:$AH$204,MATCH($A24&amp;"|אמצע שנה",'זה אני - קליטה'!$AF$5:$AF$204,0)),""))</f>
        <v/>
      </c>
      <c r="J24" s="28" t="str">
        <f aca="false">IF($A24="","",IFERROR(INDEX('זה אני - קליטה'!$AI$5:$AI$204,MATCH($A24&amp;"|אמצע שנה",'זה אני - קליטה'!$AF$5:$AF$204,0)),""))</f>
        <v/>
      </c>
      <c r="K24" s="28" t="str">
        <f aca="false">IF($A24="","",IFERROR(INDEX('זה אני - קליטה'!$AJ$5:$AJ$204,MATCH($A24&amp;"|אמצע שנה",'זה אני - קליטה'!$AF$5:$AF$204,0)),""))</f>
        <v/>
      </c>
      <c r="L24" s="28" t="str">
        <f aca="false">IF($A24="","",IFERROR(INDEX('זה אני - קליטה'!$AK$5:$AK$204,MATCH($A24&amp;"|אמצע שנה",'זה אני - קליטה'!$AF$5:$AF$204,0)),""))</f>
        <v/>
      </c>
      <c r="M24" s="28" t="str">
        <f aca="false">IF($A24="","",IFERROR(INDEX('זה אני - קליטה'!$AL$5:$AL$204,MATCH($A24&amp;"|אמצע שנה",'זה אני - קליטה'!$AF$5:$AF$204,0)),""))</f>
        <v/>
      </c>
      <c r="N24" s="27" t="str">
        <f aca="false">IF($A24="","",IFERROR(INDEX('זה אני - קליטה'!$AG$5:$AG$204,MATCH($A24&amp;"|אמצע שנה",'זה אני - קליטה'!$AF$5:$AF$204,0)),""))</f>
        <v/>
      </c>
      <c r="O24" s="28" t="str">
        <f aca="false">IF($A24="","",IFERROR(INDEX('זה אני - קליטה'!$AN$5:$AN$204,MATCH($A24&amp;"|אמצע שנה",'זה אני - קליטה'!$AF$5:$AF$204,0)),""))</f>
        <v/>
      </c>
      <c r="P24" s="28" t="str">
        <f aca="false">IF($A24="","",IFERROR(INDEX('זה אני - קליטה'!$AH$5:$AH$204,MATCH($A24&amp;"|סוף שנה",'זה אני - קליטה'!$AF$5:$AF$204,0)),""))</f>
        <v/>
      </c>
      <c r="Q24" s="28" t="str">
        <f aca="false">IF($A24="","",IFERROR(INDEX('זה אני - קליטה'!$AI$5:$AI$204,MATCH($A24&amp;"|סוף שנה",'זה אני - קליטה'!$AF$5:$AF$204,0)),""))</f>
        <v/>
      </c>
      <c r="R24" s="28" t="str">
        <f aca="false">IF($A24="","",IFERROR(INDEX('זה אני - קליטה'!$AJ$5:$AJ$204,MATCH($A24&amp;"|סוף שנה",'זה אני - קליטה'!$AF$5:$AF$204,0)),""))</f>
        <v/>
      </c>
      <c r="S24" s="28" t="str">
        <f aca="false">IF($A24="","",IFERROR(INDEX('זה אני - קליטה'!$AK$5:$AK$204,MATCH($A24&amp;"|סוף שנה",'זה אני - קליטה'!$AF$5:$AF$204,0)),""))</f>
        <v/>
      </c>
      <c r="T24" s="28" t="str">
        <f aca="false">IF($A24="","",IFERROR(INDEX('זה אני - קליטה'!$AL$5:$AL$204,MATCH($A24&amp;"|סוף שנה",'זה אני - קליטה'!$AF$5:$AF$204,0)),""))</f>
        <v/>
      </c>
      <c r="U24" s="27" t="str">
        <f aca="false">IF($A24="","",IFERROR(INDEX('זה אני - קליטה'!$AG$5:$AG$204,MATCH($A24&amp;"|סוף שנה",'זה אני - קליטה'!$AF$5:$AF$204,0)),""))</f>
        <v/>
      </c>
      <c r="V24" s="28" t="str">
        <f aca="false">IF($A24="","",IFERROR(INDEX('זה אני - קליטה'!$AN$5:$AN$204,MATCH($A24&amp;"|סוף שנה",'זה אני - קליטה'!$AF$5:$AF$204,0)),""))</f>
        <v/>
      </c>
      <c r="W24" s="32" t="str">
        <f aca="false">IF(AND(ISNUMBER(F24),ISNUMBER(T24)),T24-F24,"")</f>
        <v/>
      </c>
      <c r="X24" s="27" t="str">
        <f aca="false">IF(W24="","",IF(W24&gt;=0.25,"עלייה",IF(W24&lt;=-0.25,"ירידה","יציב")))</f>
        <v/>
      </c>
    </row>
    <row r="25" customFormat="false" ht="15" hidden="false" customHeight="false" outlineLevel="0" collapsed="false">
      <c r="A25" s="29"/>
      <c r="B25" s="28" t="str">
        <f aca="false">IF($A25="","",IFERROR(INDEX('זה אני - קליטה'!$AH$5:$AH$204,MATCH($A25&amp;"|תחילת שנה",'זה אני - קליטה'!$AF$5:$AF$204,0)),""))</f>
        <v/>
      </c>
      <c r="C25" s="28" t="str">
        <f aca="false">IF($A25="","",IFERROR(INDEX('זה אני - קליטה'!$AI$5:$AI$204,MATCH($A25&amp;"|תחילת שנה",'זה אני - קליטה'!$AF$5:$AF$204,0)),""))</f>
        <v/>
      </c>
      <c r="D25" s="28" t="str">
        <f aca="false">IF($A25="","",IFERROR(INDEX('זה אני - קליטה'!$AJ$5:$AJ$204,MATCH($A25&amp;"|תחילת שנה",'זה אני - קליטה'!$AF$5:$AF$204,0)),""))</f>
        <v/>
      </c>
      <c r="E25" s="28" t="str">
        <f aca="false">IF($A25="","",IFERROR(INDEX('זה אני - קליטה'!$AK$5:$AK$204,MATCH($A25&amp;"|תחילת שנה",'זה אני - קליטה'!$AF$5:$AF$204,0)),""))</f>
        <v/>
      </c>
      <c r="F25" s="28" t="str">
        <f aca="false">IF($A25="","",IFERROR(INDEX('זה אני - קליטה'!$AL$5:$AL$204,MATCH($A25&amp;"|תחילת שנה",'זה אני - קליטה'!$AF$5:$AF$204,0)),""))</f>
        <v/>
      </c>
      <c r="G25" s="27" t="str">
        <f aca="false">IF($A25="","",IFERROR(INDEX('זה אני - קליטה'!$AG$5:$AG$204,MATCH($A25&amp;"|תחילת שנה",'זה אני - קליטה'!$AF$5:$AF$204,0)),""))</f>
        <v/>
      </c>
      <c r="H25" s="28" t="str">
        <f aca="false">IF($A25="","",IFERROR(INDEX('זה אני - קליטה'!$AN$5:$AN$204,MATCH($A25&amp;"|תחילת שנה",'זה אני - קליטה'!$AF$5:$AF$204,0)),""))</f>
        <v/>
      </c>
      <c r="I25" s="28" t="str">
        <f aca="false">IF($A25="","",IFERROR(INDEX('זה אני - קליטה'!$AH$5:$AH$204,MATCH($A25&amp;"|אמצע שנה",'זה אני - קליטה'!$AF$5:$AF$204,0)),""))</f>
        <v/>
      </c>
      <c r="J25" s="28" t="str">
        <f aca="false">IF($A25="","",IFERROR(INDEX('זה אני - קליטה'!$AI$5:$AI$204,MATCH($A25&amp;"|אמצע שנה",'זה אני - קליטה'!$AF$5:$AF$204,0)),""))</f>
        <v/>
      </c>
      <c r="K25" s="28" t="str">
        <f aca="false">IF($A25="","",IFERROR(INDEX('זה אני - קליטה'!$AJ$5:$AJ$204,MATCH($A25&amp;"|אמצע שנה",'זה אני - קליטה'!$AF$5:$AF$204,0)),""))</f>
        <v/>
      </c>
      <c r="L25" s="28" t="str">
        <f aca="false">IF($A25="","",IFERROR(INDEX('זה אני - קליטה'!$AK$5:$AK$204,MATCH($A25&amp;"|אמצע שנה",'זה אני - קליטה'!$AF$5:$AF$204,0)),""))</f>
        <v/>
      </c>
      <c r="M25" s="28" t="str">
        <f aca="false">IF($A25="","",IFERROR(INDEX('זה אני - קליטה'!$AL$5:$AL$204,MATCH($A25&amp;"|אמצע שנה",'זה אני - קליטה'!$AF$5:$AF$204,0)),""))</f>
        <v/>
      </c>
      <c r="N25" s="27" t="str">
        <f aca="false">IF($A25="","",IFERROR(INDEX('זה אני - קליטה'!$AG$5:$AG$204,MATCH($A25&amp;"|אמצע שנה",'זה אני - קליטה'!$AF$5:$AF$204,0)),""))</f>
        <v/>
      </c>
      <c r="O25" s="28" t="str">
        <f aca="false">IF($A25="","",IFERROR(INDEX('זה אני - קליטה'!$AN$5:$AN$204,MATCH($A25&amp;"|אמצע שנה",'זה אני - קליטה'!$AF$5:$AF$204,0)),""))</f>
        <v/>
      </c>
      <c r="P25" s="28" t="str">
        <f aca="false">IF($A25="","",IFERROR(INDEX('זה אני - קליטה'!$AH$5:$AH$204,MATCH($A25&amp;"|סוף שנה",'זה אני - קליטה'!$AF$5:$AF$204,0)),""))</f>
        <v/>
      </c>
      <c r="Q25" s="28" t="str">
        <f aca="false">IF($A25="","",IFERROR(INDEX('זה אני - קליטה'!$AI$5:$AI$204,MATCH($A25&amp;"|סוף שנה",'זה אני - קליטה'!$AF$5:$AF$204,0)),""))</f>
        <v/>
      </c>
      <c r="R25" s="28" t="str">
        <f aca="false">IF($A25="","",IFERROR(INDEX('זה אני - קליטה'!$AJ$5:$AJ$204,MATCH($A25&amp;"|סוף שנה",'זה אני - קליטה'!$AF$5:$AF$204,0)),""))</f>
        <v/>
      </c>
      <c r="S25" s="28" t="str">
        <f aca="false">IF($A25="","",IFERROR(INDEX('זה אני - קליטה'!$AK$5:$AK$204,MATCH($A25&amp;"|סוף שנה",'זה אני - קליטה'!$AF$5:$AF$204,0)),""))</f>
        <v/>
      </c>
      <c r="T25" s="28" t="str">
        <f aca="false">IF($A25="","",IFERROR(INDEX('זה אני - קליטה'!$AL$5:$AL$204,MATCH($A25&amp;"|סוף שנה",'זה אני - קליטה'!$AF$5:$AF$204,0)),""))</f>
        <v/>
      </c>
      <c r="U25" s="27" t="str">
        <f aca="false">IF($A25="","",IFERROR(INDEX('זה אני - קליטה'!$AG$5:$AG$204,MATCH($A25&amp;"|סוף שנה",'זה אני - קליטה'!$AF$5:$AF$204,0)),""))</f>
        <v/>
      </c>
      <c r="V25" s="28" t="str">
        <f aca="false">IF($A25="","",IFERROR(INDEX('זה אני - קליטה'!$AN$5:$AN$204,MATCH($A25&amp;"|סוף שנה",'זה אני - קליטה'!$AF$5:$AF$204,0)),""))</f>
        <v/>
      </c>
      <c r="W25" s="32" t="str">
        <f aca="false">IF(AND(ISNUMBER(F25),ISNUMBER(T25)),T25-F25,"")</f>
        <v/>
      </c>
      <c r="X25" s="27" t="str">
        <f aca="false">IF(W25="","",IF(W25&gt;=0.25,"עלייה",IF(W25&lt;=-0.25,"ירידה","יציב")))</f>
        <v/>
      </c>
    </row>
    <row r="26" customFormat="false" ht="15" hidden="false" customHeight="false" outlineLevel="0" collapsed="false">
      <c r="A26" s="29"/>
      <c r="B26" s="28" t="str">
        <f aca="false">IF($A26="","",IFERROR(INDEX('זה אני - קליטה'!$AH$5:$AH$204,MATCH($A26&amp;"|תחילת שנה",'זה אני - קליטה'!$AF$5:$AF$204,0)),""))</f>
        <v/>
      </c>
      <c r="C26" s="28" t="str">
        <f aca="false">IF($A26="","",IFERROR(INDEX('זה אני - קליטה'!$AI$5:$AI$204,MATCH($A26&amp;"|תחילת שנה",'זה אני - קליטה'!$AF$5:$AF$204,0)),""))</f>
        <v/>
      </c>
      <c r="D26" s="28" t="str">
        <f aca="false">IF($A26="","",IFERROR(INDEX('זה אני - קליטה'!$AJ$5:$AJ$204,MATCH($A26&amp;"|תחילת שנה",'זה אני - קליטה'!$AF$5:$AF$204,0)),""))</f>
        <v/>
      </c>
      <c r="E26" s="28" t="str">
        <f aca="false">IF($A26="","",IFERROR(INDEX('זה אני - קליטה'!$AK$5:$AK$204,MATCH($A26&amp;"|תחילת שנה",'זה אני - קליטה'!$AF$5:$AF$204,0)),""))</f>
        <v/>
      </c>
      <c r="F26" s="28" t="str">
        <f aca="false">IF($A26="","",IFERROR(INDEX('זה אני - קליטה'!$AL$5:$AL$204,MATCH($A26&amp;"|תחילת שנה",'זה אני - קליטה'!$AF$5:$AF$204,0)),""))</f>
        <v/>
      </c>
      <c r="G26" s="27" t="str">
        <f aca="false">IF($A26="","",IFERROR(INDEX('זה אני - קליטה'!$AG$5:$AG$204,MATCH($A26&amp;"|תחילת שנה",'זה אני - קליטה'!$AF$5:$AF$204,0)),""))</f>
        <v/>
      </c>
      <c r="H26" s="28" t="str">
        <f aca="false">IF($A26="","",IFERROR(INDEX('זה אני - קליטה'!$AN$5:$AN$204,MATCH($A26&amp;"|תחילת שנה",'זה אני - קליטה'!$AF$5:$AF$204,0)),""))</f>
        <v/>
      </c>
      <c r="I26" s="28" t="str">
        <f aca="false">IF($A26="","",IFERROR(INDEX('זה אני - קליטה'!$AH$5:$AH$204,MATCH($A26&amp;"|אמצע שנה",'זה אני - קליטה'!$AF$5:$AF$204,0)),""))</f>
        <v/>
      </c>
      <c r="J26" s="28" t="str">
        <f aca="false">IF($A26="","",IFERROR(INDEX('זה אני - קליטה'!$AI$5:$AI$204,MATCH($A26&amp;"|אמצע שנה",'זה אני - קליטה'!$AF$5:$AF$204,0)),""))</f>
        <v/>
      </c>
      <c r="K26" s="28" t="str">
        <f aca="false">IF($A26="","",IFERROR(INDEX('זה אני - קליטה'!$AJ$5:$AJ$204,MATCH($A26&amp;"|אמצע שנה",'זה אני - קליטה'!$AF$5:$AF$204,0)),""))</f>
        <v/>
      </c>
      <c r="L26" s="28" t="str">
        <f aca="false">IF($A26="","",IFERROR(INDEX('זה אני - קליטה'!$AK$5:$AK$204,MATCH($A26&amp;"|אמצע שנה",'זה אני - קליטה'!$AF$5:$AF$204,0)),""))</f>
        <v/>
      </c>
      <c r="M26" s="28" t="str">
        <f aca="false">IF($A26="","",IFERROR(INDEX('זה אני - קליטה'!$AL$5:$AL$204,MATCH($A26&amp;"|אמצע שנה",'זה אני - קליטה'!$AF$5:$AF$204,0)),""))</f>
        <v/>
      </c>
      <c r="N26" s="27" t="str">
        <f aca="false">IF($A26="","",IFERROR(INDEX('זה אני - קליטה'!$AG$5:$AG$204,MATCH($A26&amp;"|אמצע שנה",'זה אני - קליטה'!$AF$5:$AF$204,0)),""))</f>
        <v/>
      </c>
      <c r="O26" s="28" t="str">
        <f aca="false">IF($A26="","",IFERROR(INDEX('זה אני - קליטה'!$AN$5:$AN$204,MATCH($A26&amp;"|אמצע שנה",'זה אני - קליטה'!$AF$5:$AF$204,0)),""))</f>
        <v/>
      </c>
      <c r="P26" s="28" t="str">
        <f aca="false">IF($A26="","",IFERROR(INDEX('זה אני - קליטה'!$AH$5:$AH$204,MATCH($A26&amp;"|סוף שנה",'זה אני - קליטה'!$AF$5:$AF$204,0)),""))</f>
        <v/>
      </c>
      <c r="Q26" s="28" t="str">
        <f aca="false">IF($A26="","",IFERROR(INDEX('זה אני - קליטה'!$AI$5:$AI$204,MATCH($A26&amp;"|סוף שנה",'זה אני - קליטה'!$AF$5:$AF$204,0)),""))</f>
        <v/>
      </c>
      <c r="R26" s="28" t="str">
        <f aca="false">IF($A26="","",IFERROR(INDEX('זה אני - קליטה'!$AJ$5:$AJ$204,MATCH($A26&amp;"|סוף שנה",'זה אני - קליטה'!$AF$5:$AF$204,0)),""))</f>
        <v/>
      </c>
      <c r="S26" s="28" t="str">
        <f aca="false">IF($A26="","",IFERROR(INDEX('זה אני - קליטה'!$AK$5:$AK$204,MATCH($A26&amp;"|סוף שנה",'זה אני - קליטה'!$AF$5:$AF$204,0)),""))</f>
        <v/>
      </c>
      <c r="T26" s="28" t="str">
        <f aca="false">IF($A26="","",IFERROR(INDEX('זה אני - קליטה'!$AL$5:$AL$204,MATCH($A26&amp;"|סוף שנה",'זה אני - קליטה'!$AF$5:$AF$204,0)),""))</f>
        <v/>
      </c>
      <c r="U26" s="27" t="str">
        <f aca="false">IF($A26="","",IFERROR(INDEX('זה אני - קליטה'!$AG$5:$AG$204,MATCH($A26&amp;"|סוף שנה",'זה אני - קליטה'!$AF$5:$AF$204,0)),""))</f>
        <v/>
      </c>
      <c r="V26" s="28" t="str">
        <f aca="false">IF($A26="","",IFERROR(INDEX('זה אני - קליטה'!$AN$5:$AN$204,MATCH($A26&amp;"|סוף שנה",'זה אני - קליטה'!$AF$5:$AF$204,0)),""))</f>
        <v/>
      </c>
      <c r="W26" s="32" t="str">
        <f aca="false">IF(AND(ISNUMBER(F26),ISNUMBER(T26)),T26-F26,"")</f>
        <v/>
      </c>
      <c r="X26" s="27" t="str">
        <f aca="false">IF(W26="","",IF(W26&gt;=0.25,"עלייה",IF(W26&lt;=-0.25,"ירידה","יציב")))</f>
        <v/>
      </c>
    </row>
    <row r="27" customFormat="false" ht="15" hidden="false" customHeight="false" outlineLevel="0" collapsed="false">
      <c r="A27" s="29"/>
      <c r="B27" s="28" t="str">
        <f aca="false">IF($A27="","",IFERROR(INDEX('זה אני - קליטה'!$AH$5:$AH$204,MATCH($A27&amp;"|תחילת שנה",'זה אני - קליטה'!$AF$5:$AF$204,0)),""))</f>
        <v/>
      </c>
      <c r="C27" s="28" t="str">
        <f aca="false">IF($A27="","",IFERROR(INDEX('זה אני - קליטה'!$AI$5:$AI$204,MATCH($A27&amp;"|תחילת שנה",'זה אני - קליטה'!$AF$5:$AF$204,0)),""))</f>
        <v/>
      </c>
      <c r="D27" s="28" t="str">
        <f aca="false">IF($A27="","",IFERROR(INDEX('זה אני - קליטה'!$AJ$5:$AJ$204,MATCH($A27&amp;"|תחילת שנה",'זה אני - קליטה'!$AF$5:$AF$204,0)),""))</f>
        <v/>
      </c>
      <c r="E27" s="28" t="str">
        <f aca="false">IF($A27="","",IFERROR(INDEX('זה אני - קליטה'!$AK$5:$AK$204,MATCH($A27&amp;"|תחילת שנה",'זה אני - קליטה'!$AF$5:$AF$204,0)),""))</f>
        <v/>
      </c>
      <c r="F27" s="28" t="str">
        <f aca="false">IF($A27="","",IFERROR(INDEX('זה אני - קליטה'!$AL$5:$AL$204,MATCH($A27&amp;"|תחילת שנה",'זה אני - קליטה'!$AF$5:$AF$204,0)),""))</f>
        <v/>
      </c>
      <c r="G27" s="27" t="str">
        <f aca="false">IF($A27="","",IFERROR(INDEX('זה אני - קליטה'!$AG$5:$AG$204,MATCH($A27&amp;"|תחילת שנה",'זה אני - קליטה'!$AF$5:$AF$204,0)),""))</f>
        <v/>
      </c>
      <c r="H27" s="28" t="str">
        <f aca="false">IF($A27="","",IFERROR(INDEX('זה אני - קליטה'!$AN$5:$AN$204,MATCH($A27&amp;"|תחילת שנה",'זה אני - קליטה'!$AF$5:$AF$204,0)),""))</f>
        <v/>
      </c>
      <c r="I27" s="28" t="str">
        <f aca="false">IF($A27="","",IFERROR(INDEX('זה אני - קליטה'!$AH$5:$AH$204,MATCH($A27&amp;"|אמצע שנה",'זה אני - קליטה'!$AF$5:$AF$204,0)),""))</f>
        <v/>
      </c>
      <c r="J27" s="28" t="str">
        <f aca="false">IF($A27="","",IFERROR(INDEX('זה אני - קליטה'!$AI$5:$AI$204,MATCH($A27&amp;"|אמצע שנה",'זה אני - קליטה'!$AF$5:$AF$204,0)),""))</f>
        <v/>
      </c>
      <c r="K27" s="28" t="str">
        <f aca="false">IF($A27="","",IFERROR(INDEX('זה אני - קליטה'!$AJ$5:$AJ$204,MATCH($A27&amp;"|אמצע שנה",'זה אני - קליטה'!$AF$5:$AF$204,0)),""))</f>
        <v/>
      </c>
      <c r="L27" s="28" t="str">
        <f aca="false">IF($A27="","",IFERROR(INDEX('זה אני - קליטה'!$AK$5:$AK$204,MATCH($A27&amp;"|אמצע שנה",'זה אני - קליטה'!$AF$5:$AF$204,0)),""))</f>
        <v/>
      </c>
      <c r="M27" s="28" t="str">
        <f aca="false">IF($A27="","",IFERROR(INDEX('זה אני - קליטה'!$AL$5:$AL$204,MATCH($A27&amp;"|אמצע שנה",'זה אני - קליטה'!$AF$5:$AF$204,0)),""))</f>
        <v/>
      </c>
      <c r="N27" s="27" t="str">
        <f aca="false">IF($A27="","",IFERROR(INDEX('זה אני - קליטה'!$AG$5:$AG$204,MATCH($A27&amp;"|אמצע שנה",'זה אני - קליטה'!$AF$5:$AF$204,0)),""))</f>
        <v/>
      </c>
      <c r="O27" s="28" t="str">
        <f aca="false">IF($A27="","",IFERROR(INDEX('זה אני - קליטה'!$AN$5:$AN$204,MATCH($A27&amp;"|אמצע שנה",'זה אני - קליטה'!$AF$5:$AF$204,0)),""))</f>
        <v/>
      </c>
      <c r="P27" s="28" t="str">
        <f aca="false">IF($A27="","",IFERROR(INDEX('זה אני - קליטה'!$AH$5:$AH$204,MATCH($A27&amp;"|סוף שנה",'זה אני - קליטה'!$AF$5:$AF$204,0)),""))</f>
        <v/>
      </c>
      <c r="Q27" s="28" t="str">
        <f aca="false">IF($A27="","",IFERROR(INDEX('זה אני - קליטה'!$AI$5:$AI$204,MATCH($A27&amp;"|סוף שנה",'זה אני - קליטה'!$AF$5:$AF$204,0)),""))</f>
        <v/>
      </c>
      <c r="R27" s="28" t="str">
        <f aca="false">IF($A27="","",IFERROR(INDEX('זה אני - קליטה'!$AJ$5:$AJ$204,MATCH($A27&amp;"|סוף שנה",'זה אני - קליטה'!$AF$5:$AF$204,0)),""))</f>
        <v/>
      </c>
      <c r="S27" s="28" t="str">
        <f aca="false">IF($A27="","",IFERROR(INDEX('זה אני - קליטה'!$AK$5:$AK$204,MATCH($A27&amp;"|סוף שנה",'זה אני - קליטה'!$AF$5:$AF$204,0)),""))</f>
        <v/>
      </c>
      <c r="T27" s="28" t="str">
        <f aca="false">IF($A27="","",IFERROR(INDEX('זה אני - קליטה'!$AL$5:$AL$204,MATCH($A27&amp;"|סוף שנה",'זה אני - קליטה'!$AF$5:$AF$204,0)),""))</f>
        <v/>
      </c>
      <c r="U27" s="27" t="str">
        <f aca="false">IF($A27="","",IFERROR(INDEX('זה אני - קליטה'!$AG$5:$AG$204,MATCH($A27&amp;"|סוף שנה",'זה אני - קליטה'!$AF$5:$AF$204,0)),""))</f>
        <v/>
      </c>
      <c r="V27" s="28" t="str">
        <f aca="false">IF($A27="","",IFERROR(INDEX('זה אני - קליטה'!$AN$5:$AN$204,MATCH($A27&amp;"|סוף שנה",'זה אני - קליטה'!$AF$5:$AF$204,0)),""))</f>
        <v/>
      </c>
      <c r="W27" s="32" t="str">
        <f aca="false">IF(AND(ISNUMBER(F27),ISNUMBER(T27)),T27-F27,"")</f>
        <v/>
      </c>
      <c r="X27" s="27" t="str">
        <f aca="false">IF(W27="","",IF(W27&gt;=0.25,"עלייה",IF(W27&lt;=-0.25,"ירידה","יציב")))</f>
        <v/>
      </c>
    </row>
    <row r="28" customFormat="false" ht="15" hidden="false" customHeight="false" outlineLevel="0" collapsed="false">
      <c r="A28" s="29"/>
      <c r="B28" s="28" t="str">
        <f aca="false">IF($A28="","",IFERROR(INDEX('זה אני - קליטה'!$AH$5:$AH$204,MATCH($A28&amp;"|תחילת שנה",'זה אני - קליטה'!$AF$5:$AF$204,0)),""))</f>
        <v/>
      </c>
      <c r="C28" s="28" t="str">
        <f aca="false">IF($A28="","",IFERROR(INDEX('זה אני - קליטה'!$AI$5:$AI$204,MATCH($A28&amp;"|תחילת שנה",'זה אני - קליטה'!$AF$5:$AF$204,0)),""))</f>
        <v/>
      </c>
      <c r="D28" s="28" t="str">
        <f aca="false">IF($A28="","",IFERROR(INDEX('זה אני - קליטה'!$AJ$5:$AJ$204,MATCH($A28&amp;"|תחילת שנה",'זה אני - קליטה'!$AF$5:$AF$204,0)),""))</f>
        <v/>
      </c>
      <c r="E28" s="28" t="str">
        <f aca="false">IF($A28="","",IFERROR(INDEX('זה אני - קליטה'!$AK$5:$AK$204,MATCH($A28&amp;"|תחילת שנה",'זה אני - קליטה'!$AF$5:$AF$204,0)),""))</f>
        <v/>
      </c>
      <c r="F28" s="28" t="str">
        <f aca="false">IF($A28="","",IFERROR(INDEX('זה אני - קליטה'!$AL$5:$AL$204,MATCH($A28&amp;"|תחילת שנה",'זה אני - קליטה'!$AF$5:$AF$204,0)),""))</f>
        <v/>
      </c>
      <c r="G28" s="27" t="str">
        <f aca="false">IF($A28="","",IFERROR(INDEX('זה אני - קליטה'!$AG$5:$AG$204,MATCH($A28&amp;"|תחילת שנה",'זה אני - קליטה'!$AF$5:$AF$204,0)),""))</f>
        <v/>
      </c>
      <c r="H28" s="28" t="str">
        <f aca="false">IF($A28="","",IFERROR(INDEX('זה אני - קליטה'!$AN$5:$AN$204,MATCH($A28&amp;"|תחילת שנה",'זה אני - קליטה'!$AF$5:$AF$204,0)),""))</f>
        <v/>
      </c>
      <c r="I28" s="28" t="str">
        <f aca="false">IF($A28="","",IFERROR(INDEX('זה אני - קליטה'!$AH$5:$AH$204,MATCH($A28&amp;"|אמצע שנה",'זה אני - קליטה'!$AF$5:$AF$204,0)),""))</f>
        <v/>
      </c>
      <c r="J28" s="28" t="str">
        <f aca="false">IF($A28="","",IFERROR(INDEX('זה אני - קליטה'!$AI$5:$AI$204,MATCH($A28&amp;"|אמצע שנה",'זה אני - קליטה'!$AF$5:$AF$204,0)),""))</f>
        <v/>
      </c>
      <c r="K28" s="28" t="str">
        <f aca="false">IF($A28="","",IFERROR(INDEX('זה אני - קליטה'!$AJ$5:$AJ$204,MATCH($A28&amp;"|אמצע שנה",'זה אני - קליטה'!$AF$5:$AF$204,0)),""))</f>
        <v/>
      </c>
      <c r="L28" s="28" t="str">
        <f aca="false">IF($A28="","",IFERROR(INDEX('זה אני - קליטה'!$AK$5:$AK$204,MATCH($A28&amp;"|אמצע שנה",'זה אני - קליטה'!$AF$5:$AF$204,0)),""))</f>
        <v/>
      </c>
      <c r="M28" s="28" t="str">
        <f aca="false">IF($A28="","",IFERROR(INDEX('זה אני - קליטה'!$AL$5:$AL$204,MATCH($A28&amp;"|אמצע שנה",'זה אני - קליטה'!$AF$5:$AF$204,0)),""))</f>
        <v/>
      </c>
      <c r="N28" s="27" t="str">
        <f aca="false">IF($A28="","",IFERROR(INDEX('זה אני - קליטה'!$AG$5:$AG$204,MATCH($A28&amp;"|אמצע שנה",'זה אני - קליטה'!$AF$5:$AF$204,0)),""))</f>
        <v/>
      </c>
      <c r="O28" s="28" t="str">
        <f aca="false">IF($A28="","",IFERROR(INDEX('זה אני - קליטה'!$AN$5:$AN$204,MATCH($A28&amp;"|אמצע שנה",'זה אני - קליטה'!$AF$5:$AF$204,0)),""))</f>
        <v/>
      </c>
      <c r="P28" s="28" t="str">
        <f aca="false">IF($A28="","",IFERROR(INDEX('זה אני - קליטה'!$AH$5:$AH$204,MATCH($A28&amp;"|סוף שנה",'זה אני - קליטה'!$AF$5:$AF$204,0)),""))</f>
        <v/>
      </c>
      <c r="Q28" s="28" t="str">
        <f aca="false">IF($A28="","",IFERROR(INDEX('זה אני - קליטה'!$AI$5:$AI$204,MATCH($A28&amp;"|סוף שנה",'זה אני - קליטה'!$AF$5:$AF$204,0)),""))</f>
        <v/>
      </c>
      <c r="R28" s="28" t="str">
        <f aca="false">IF($A28="","",IFERROR(INDEX('זה אני - קליטה'!$AJ$5:$AJ$204,MATCH($A28&amp;"|סוף שנה",'זה אני - קליטה'!$AF$5:$AF$204,0)),""))</f>
        <v/>
      </c>
      <c r="S28" s="28" t="str">
        <f aca="false">IF($A28="","",IFERROR(INDEX('זה אני - קליטה'!$AK$5:$AK$204,MATCH($A28&amp;"|סוף שנה",'זה אני - קליטה'!$AF$5:$AF$204,0)),""))</f>
        <v/>
      </c>
      <c r="T28" s="28" t="str">
        <f aca="false">IF($A28="","",IFERROR(INDEX('זה אני - קליטה'!$AL$5:$AL$204,MATCH($A28&amp;"|סוף שנה",'זה אני - קליטה'!$AF$5:$AF$204,0)),""))</f>
        <v/>
      </c>
      <c r="U28" s="27" t="str">
        <f aca="false">IF($A28="","",IFERROR(INDEX('זה אני - קליטה'!$AG$5:$AG$204,MATCH($A28&amp;"|סוף שנה",'זה אני - קליטה'!$AF$5:$AF$204,0)),""))</f>
        <v/>
      </c>
      <c r="V28" s="28" t="str">
        <f aca="false">IF($A28="","",IFERROR(INDEX('זה אני - קליטה'!$AN$5:$AN$204,MATCH($A28&amp;"|סוף שנה",'זה אני - קליטה'!$AF$5:$AF$204,0)),""))</f>
        <v/>
      </c>
      <c r="W28" s="32" t="str">
        <f aca="false">IF(AND(ISNUMBER(F28),ISNUMBER(T28)),T28-F28,"")</f>
        <v/>
      </c>
      <c r="X28" s="27" t="str">
        <f aca="false">IF(W28="","",IF(W28&gt;=0.25,"עלייה",IF(W28&lt;=-0.25,"ירידה","יציב")))</f>
        <v/>
      </c>
    </row>
    <row r="29" customFormat="false" ht="15" hidden="false" customHeight="false" outlineLevel="0" collapsed="false">
      <c r="A29" s="29"/>
      <c r="B29" s="28" t="str">
        <f aca="false">IF($A29="","",IFERROR(INDEX('זה אני - קליטה'!$AH$5:$AH$204,MATCH($A29&amp;"|תחילת שנה",'זה אני - קליטה'!$AF$5:$AF$204,0)),""))</f>
        <v/>
      </c>
      <c r="C29" s="28" t="str">
        <f aca="false">IF($A29="","",IFERROR(INDEX('זה אני - קליטה'!$AI$5:$AI$204,MATCH($A29&amp;"|תחילת שנה",'זה אני - קליטה'!$AF$5:$AF$204,0)),""))</f>
        <v/>
      </c>
      <c r="D29" s="28" t="str">
        <f aca="false">IF($A29="","",IFERROR(INDEX('זה אני - קליטה'!$AJ$5:$AJ$204,MATCH($A29&amp;"|תחילת שנה",'זה אני - קליטה'!$AF$5:$AF$204,0)),""))</f>
        <v/>
      </c>
      <c r="E29" s="28" t="str">
        <f aca="false">IF($A29="","",IFERROR(INDEX('זה אני - קליטה'!$AK$5:$AK$204,MATCH($A29&amp;"|תחילת שנה",'זה אני - קליטה'!$AF$5:$AF$204,0)),""))</f>
        <v/>
      </c>
      <c r="F29" s="28" t="str">
        <f aca="false">IF($A29="","",IFERROR(INDEX('זה אני - קליטה'!$AL$5:$AL$204,MATCH($A29&amp;"|תחילת שנה",'זה אני - קליטה'!$AF$5:$AF$204,0)),""))</f>
        <v/>
      </c>
      <c r="G29" s="27" t="str">
        <f aca="false">IF($A29="","",IFERROR(INDEX('זה אני - קליטה'!$AG$5:$AG$204,MATCH($A29&amp;"|תחילת שנה",'זה אני - קליטה'!$AF$5:$AF$204,0)),""))</f>
        <v/>
      </c>
      <c r="H29" s="28" t="str">
        <f aca="false">IF($A29="","",IFERROR(INDEX('זה אני - קליטה'!$AN$5:$AN$204,MATCH($A29&amp;"|תחילת שנה",'זה אני - קליטה'!$AF$5:$AF$204,0)),""))</f>
        <v/>
      </c>
      <c r="I29" s="28" t="str">
        <f aca="false">IF($A29="","",IFERROR(INDEX('זה אני - קליטה'!$AH$5:$AH$204,MATCH($A29&amp;"|אמצע שנה",'זה אני - קליטה'!$AF$5:$AF$204,0)),""))</f>
        <v/>
      </c>
      <c r="J29" s="28" t="str">
        <f aca="false">IF($A29="","",IFERROR(INDEX('זה אני - קליטה'!$AI$5:$AI$204,MATCH($A29&amp;"|אמצע שנה",'זה אני - קליטה'!$AF$5:$AF$204,0)),""))</f>
        <v/>
      </c>
      <c r="K29" s="28" t="str">
        <f aca="false">IF($A29="","",IFERROR(INDEX('זה אני - קליטה'!$AJ$5:$AJ$204,MATCH($A29&amp;"|אמצע שנה",'זה אני - קליטה'!$AF$5:$AF$204,0)),""))</f>
        <v/>
      </c>
      <c r="L29" s="28" t="str">
        <f aca="false">IF($A29="","",IFERROR(INDEX('זה אני - קליטה'!$AK$5:$AK$204,MATCH($A29&amp;"|אמצע שנה",'זה אני - קליטה'!$AF$5:$AF$204,0)),""))</f>
        <v/>
      </c>
      <c r="M29" s="28" t="str">
        <f aca="false">IF($A29="","",IFERROR(INDEX('זה אני - קליטה'!$AL$5:$AL$204,MATCH($A29&amp;"|אמצע שנה",'זה אני - קליטה'!$AF$5:$AF$204,0)),""))</f>
        <v/>
      </c>
      <c r="N29" s="27" t="str">
        <f aca="false">IF($A29="","",IFERROR(INDEX('זה אני - קליטה'!$AG$5:$AG$204,MATCH($A29&amp;"|אמצע שנה",'זה אני - קליטה'!$AF$5:$AF$204,0)),""))</f>
        <v/>
      </c>
      <c r="O29" s="28" t="str">
        <f aca="false">IF($A29="","",IFERROR(INDEX('זה אני - קליטה'!$AN$5:$AN$204,MATCH($A29&amp;"|אמצע שנה",'זה אני - קליטה'!$AF$5:$AF$204,0)),""))</f>
        <v/>
      </c>
      <c r="P29" s="28" t="str">
        <f aca="false">IF($A29="","",IFERROR(INDEX('זה אני - קליטה'!$AH$5:$AH$204,MATCH($A29&amp;"|סוף שנה",'זה אני - קליטה'!$AF$5:$AF$204,0)),""))</f>
        <v/>
      </c>
      <c r="Q29" s="28" t="str">
        <f aca="false">IF($A29="","",IFERROR(INDEX('זה אני - קליטה'!$AI$5:$AI$204,MATCH($A29&amp;"|סוף שנה",'זה אני - קליטה'!$AF$5:$AF$204,0)),""))</f>
        <v/>
      </c>
      <c r="R29" s="28" t="str">
        <f aca="false">IF($A29="","",IFERROR(INDEX('זה אני - קליטה'!$AJ$5:$AJ$204,MATCH($A29&amp;"|סוף שנה",'זה אני - קליטה'!$AF$5:$AF$204,0)),""))</f>
        <v/>
      </c>
      <c r="S29" s="28" t="str">
        <f aca="false">IF($A29="","",IFERROR(INDEX('זה אני - קליטה'!$AK$5:$AK$204,MATCH($A29&amp;"|סוף שנה",'זה אני - קליטה'!$AF$5:$AF$204,0)),""))</f>
        <v/>
      </c>
      <c r="T29" s="28" t="str">
        <f aca="false">IF($A29="","",IFERROR(INDEX('זה אני - קליטה'!$AL$5:$AL$204,MATCH($A29&amp;"|סוף שנה",'זה אני - קליטה'!$AF$5:$AF$204,0)),""))</f>
        <v/>
      </c>
      <c r="U29" s="27" t="str">
        <f aca="false">IF($A29="","",IFERROR(INDEX('זה אני - קליטה'!$AG$5:$AG$204,MATCH($A29&amp;"|סוף שנה",'זה אני - קליטה'!$AF$5:$AF$204,0)),""))</f>
        <v/>
      </c>
      <c r="V29" s="28" t="str">
        <f aca="false">IF($A29="","",IFERROR(INDEX('זה אני - קליטה'!$AN$5:$AN$204,MATCH($A29&amp;"|סוף שנה",'זה אני - קליטה'!$AF$5:$AF$204,0)),""))</f>
        <v/>
      </c>
      <c r="W29" s="32" t="str">
        <f aca="false">IF(AND(ISNUMBER(F29),ISNUMBER(T29)),T29-F29,"")</f>
        <v/>
      </c>
      <c r="X29" s="27" t="str">
        <f aca="false">IF(W29="","",IF(W29&gt;=0.25,"עלייה",IF(W29&lt;=-0.25,"ירידה","יציב")))</f>
        <v/>
      </c>
    </row>
    <row r="30" customFormat="false" ht="15" hidden="false" customHeight="false" outlineLevel="0" collapsed="false">
      <c r="A30" s="29"/>
      <c r="B30" s="28" t="str">
        <f aca="false">IF($A30="","",IFERROR(INDEX('זה אני - קליטה'!$AH$5:$AH$204,MATCH($A30&amp;"|תחילת שנה",'זה אני - קליטה'!$AF$5:$AF$204,0)),""))</f>
        <v/>
      </c>
      <c r="C30" s="28" t="str">
        <f aca="false">IF($A30="","",IFERROR(INDEX('זה אני - קליטה'!$AI$5:$AI$204,MATCH($A30&amp;"|תחילת שנה",'זה אני - קליטה'!$AF$5:$AF$204,0)),""))</f>
        <v/>
      </c>
      <c r="D30" s="28" t="str">
        <f aca="false">IF($A30="","",IFERROR(INDEX('זה אני - קליטה'!$AJ$5:$AJ$204,MATCH($A30&amp;"|תחילת שנה",'זה אני - קליטה'!$AF$5:$AF$204,0)),""))</f>
        <v/>
      </c>
      <c r="E30" s="28" t="str">
        <f aca="false">IF($A30="","",IFERROR(INDEX('זה אני - קליטה'!$AK$5:$AK$204,MATCH($A30&amp;"|תחילת שנה",'זה אני - קליטה'!$AF$5:$AF$204,0)),""))</f>
        <v/>
      </c>
      <c r="F30" s="28" t="str">
        <f aca="false">IF($A30="","",IFERROR(INDEX('זה אני - קליטה'!$AL$5:$AL$204,MATCH($A30&amp;"|תחילת שנה",'זה אני - קליטה'!$AF$5:$AF$204,0)),""))</f>
        <v/>
      </c>
      <c r="G30" s="27" t="str">
        <f aca="false">IF($A30="","",IFERROR(INDEX('זה אני - קליטה'!$AG$5:$AG$204,MATCH($A30&amp;"|תחילת שנה",'זה אני - קליטה'!$AF$5:$AF$204,0)),""))</f>
        <v/>
      </c>
      <c r="H30" s="28" t="str">
        <f aca="false">IF($A30="","",IFERROR(INDEX('זה אני - קליטה'!$AN$5:$AN$204,MATCH($A30&amp;"|תחילת שנה",'זה אני - קליטה'!$AF$5:$AF$204,0)),""))</f>
        <v/>
      </c>
      <c r="I30" s="28" t="str">
        <f aca="false">IF($A30="","",IFERROR(INDEX('זה אני - קליטה'!$AH$5:$AH$204,MATCH($A30&amp;"|אמצע שנה",'זה אני - קליטה'!$AF$5:$AF$204,0)),""))</f>
        <v/>
      </c>
      <c r="J30" s="28" t="str">
        <f aca="false">IF($A30="","",IFERROR(INDEX('זה אני - קליטה'!$AI$5:$AI$204,MATCH($A30&amp;"|אמצע שנה",'זה אני - קליטה'!$AF$5:$AF$204,0)),""))</f>
        <v/>
      </c>
      <c r="K30" s="28" t="str">
        <f aca="false">IF($A30="","",IFERROR(INDEX('זה אני - קליטה'!$AJ$5:$AJ$204,MATCH($A30&amp;"|אמצע שנה",'זה אני - קליטה'!$AF$5:$AF$204,0)),""))</f>
        <v/>
      </c>
      <c r="L30" s="28" t="str">
        <f aca="false">IF($A30="","",IFERROR(INDEX('זה אני - קליטה'!$AK$5:$AK$204,MATCH($A30&amp;"|אמצע שנה",'זה אני - קליטה'!$AF$5:$AF$204,0)),""))</f>
        <v/>
      </c>
      <c r="M30" s="28" t="str">
        <f aca="false">IF($A30="","",IFERROR(INDEX('זה אני - קליטה'!$AL$5:$AL$204,MATCH($A30&amp;"|אמצע שנה",'זה אני - קליטה'!$AF$5:$AF$204,0)),""))</f>
        <v/>
      </c>
      <c r="N30" s="27" t="str">
        <f aca="false">IF($A30="","",IFERROR(INDEX('זה אני - קליטה'!$AG$5:$AG$204,MATCH($A30&amp;"|אמצע שנה",'זה אני - קליטה'!$AF$5:$AF$204,0)),""))</f>
        <v/>
      </c>
      <c r="O30" s="28" t="str">
        <f aca="false">IF($A30="","",IFERROR(INDEX('זה אני - קליטה'!$AN$5:$AN$204,MATCH($A30&amp;"|אמצע שנה",'זה אני - קליטה'!$AF$5:$AF$204,0)),""))</f>
        <v/>
      </c>
      <c r="P30" s="28" t="str">
        <f aca="false">IF($A30="","",IFERROR(INDEX('זה אני - קליטה'!$AH$5:$AH$204,MATCH($A30&amp;"|סוף שנה",'זה אני - קליטה'!$AF$5:$AF$204,0)),""))</f>
        <v/>
      </c>
      <c r="Q30" s="28" t="str">
        <f aca="false">IF($A30="","",IFERROR(INDEX('זה אני - קליטה'!$AI$5:$AI$204,MATCH($A30&amp;"|סוף שנה",'זה אני - קליטה'!$AF$5:$AF$204,0)),""))</f>
        <v/>
      </c>
      <c r="R30" s="28" t="str">
        <f aca="false">IF($A30="","",IFERROR(INDEX('זה אני - קליטה'!$AJ$5:$AJ$204,MATCH($A30&amp;"|סוף שנה",'זה אני - קליטה'!$AF$5:$AF$204,0)),""))</f>
        <v/>
      </c>
      <c r="S30" s="28" t="str">
        <f aca="false">IF($A30="","",IFERROR(INDEX('זה אני - קליטה'!$AK$5:$AK$204,MATCH($A30&amp;"|סוף שנה",'זה אני - קליטה'!$AF$5:$AF$204,0)),""))</f>
        <v/>
      </c>
      <c r="T30" s="28" t="str">
        <f aca="false">IF($A30="","",IFERROR(INDEX('זה אני - קליטה'!$AL$5:$AL$204,MATCH($A30&amp;"|סוף שנה",'זה אני - קליטה'!$AF$5:$AF$204,0)),""))</f>
        <v/>
      </c>
      <c r="U30" s="27" t="str">
        <f aca="false">IF($A30="","",IFERROR(INDEX('זה אני - קליטה'!$AG$5:$AG$204,MATCH($A30&amp;"|סוף שנה",'זה אני - קליטה'!$AF$5:$AF$204,0)),""))</f>
        <v/>
      </c>
      <c r="V30" s="28" t="str">
        <f aca="false">IF($A30="","",IFERROR(INDEX('זה אני - קליטה'!$AN$5:$AN$204,MATCH($A30&amp;"|סוף שנה",'זה אני - קליטה'!$AF$5:$AF$204,0)),""))</f>
        <v/>
      </c>
      <c r="W30" s="32" t="str">
        <f aca="false">IF(AND(ISNUMBER(F30),ISNUMBER(T30)),T30-F30,"")</f>
        <v/>
      </c>
      <c r="X30" s="27" t="str">
        <f aca="false">IF(W30="","",IF(W30&gt;=0.25,"עלייה",IF(W30&lt;=-0.25,"ירידה","יציב")))</f>
        <v/>
      </c>
    </row>
    <row r="31" customFormat="false" ht="15" hidden="false" customHeight="false" outlineLevel="0" collapsed="false">
      <c r="A31" s="29"/>
      <c r="B31" s="28" t="str">
        <f aca="false">IF($A31="","",IFERROR(INDEX('זה אני - קליטה'!$AH$5:$AH$204,MATCH($A31&amp;"|תחילת שנה",'זה אני - קליטה'!$AF$5:$AF$204,0)),""))</f>
        <v/>
      </c>
      <c r="C31" s="28" t="str">
        <f aca="false">IF($A31="","",IFERROR(INDEX('זה אני - קליטה'!$AI$5:$AI$204,MATCH($A31&amp;"|תחילת שנה",'זה אני - קליטה'!$AF$5:$AF$204,0)),""))</f>
        <v/>
      </c>
      <c r="D31" s="28" t="str">
        <f aca="false">IF($A31="","",IFERROR(INDEX('זה אני - קליטה'!$AJ$5:$AJ$204,MATCH($A31&amp;"|תחילת שנה",'זה אני - קליטה'!$AF$5:$AF$204,0)),""))</f>
        <v/>
      </c>
      <c r="E31" s="28" t="str">
        <f aca="false">IF($A31="","",IFERROR(INDEX('זה אני - קליטה'!$AK$5:$AK$204,MATCH($A31&amp;"|תחילת שנה",'זה אני - קליטה'!$AF$5:$AF$204,0)),""))</f>
        <v/>
      </c>
      <c r="F31" s="28" t="str">
        <f aca="false">IF($A31="","",IFERROR(INDEX('זה אני - קליטה'!$AL$5:$AL$204,MATCH($A31&amp;"|תחילת שנה",'זה אני - קליטה'!$AF$5:$AF$204,0)),""))</f>
        <v/>
      </c>
      <c r="G31" s="27" t="str">
        <f aca="false">IF($A31="","",IFERROR(INDEX('זה אני - קליטה'!$AG$5:$AG$204,MATCH($A31&amp;"|תחילת שנה",'זה אני - קליטה'!$AF$5:$AF$204,0)),""))</f>
        <v/>
      </c>
      <c r="H31" s="28" t="str">
        <f aca="false">IF($A31="","",IFERROR(INDEX('זה אני - קליטה'!$AN$5:$AN$204,MATCH($A31&amp;"|תחילת שנה",'זה אני - קליטה'!$AF$5:$AF$204,0)),""))</f>
        <v/>
      </c>
      <c r="I31" s="28" t="str">
        <f aca="false">IF($A31="","",IFERROR(INDEX('זה אני - קליטה'!$AH$5:$AH$204,MATCH($A31&amp;"|אמצע שנה",'זה אני - קליטה'!$AF$5:$AF$204,0)),""))</f>
        <v/>
      </c>
      <c r="J31" s="28" t="str">
        <f aca="false">IF($A31="","",IFERROR(INDEX('זה אני - קליטה'!$AI$5:$AI$204,MATCH($A31&amp;"|אמצע שנה",'זה אני - קליטה'!$AF$5:$AF$204,0)),""))</f>
        <v/>
      </c>
      <c r="K31" s="28" t="str">
        <f aca="false">IF($A31="","",IFERROR(INDEX('זה אני - קליטה'!$AJ$5:$AJ$204,MATCH($A31&amp;"|אמצע שנה",'זה אני - קליטה'!$AF$5:$AF$204,0)),""))</f>
        <v/>
      </c>
      <c r="L31" s="28" t="str">
        <f aca="false">IF($A31="","",IFERROR(INDEX('זה אני - קליטה'!$AK$5:$AK$204,MATCH($A31&amp;"|אמצע שנה",'זה אני - קליטה'!$AF$5:$AF$204,0)),""))</f>
        <v/>
      </c>
      <c r="M31" s="28" t="str">
        <f aca="false">IF($A31="","",IFERROR(INDEX('זה אני - קליטה'!$AL$5:$AL$204,MATCH($A31&amp;"|אמצע שנה",'זה אני - קליטה'!$AF$5:$AF$204,0)),""))</f>
        <v/>
      </c>
      <c r="N31" s="27" t="str">
        <f aca="false">IF($A31="","",IFERROR(INDEX('זה אני - קליטה'!$AG$5:$AG$204,MATCH($A31&amp;"|אמצע שנה",'זה אני - קליטה'!$AF$5:$AF$204,0)),""))</f>
        <v/>
      </c>
      <c r="O31" s="28" t="str">
        <f aca="false">IF($A31="","",IFERROR(INDEX('זה אני - קליטה'!$AN$5:$AN$204,MATCH($A31&amp;"|אמצע שנה",'זה אני - קליטה'!$AF$5:$AF$204,0)),""))</f>
        <v/>
      </c>
      <c r="P31" s="28" t="str">
        <f aca="false">IF($A31="","",IFERROR(INDEX('זה אני - קליטה'!$AH$5:$AH$204,MATCH($A31&amp;"|סוף שנה",'זה אני - קליטה'!$AF$5:$AF$204,0)),""))</f>
        <v/>
      </c>
      <c r="Q31" s="28" t="str">
        <f aca="false">IF($A31="","",IFERROR(INDEX('זה אני - קליטה'!$AI$5:$AI$204,MATCH($A31&amp;"|סוף שנה",'זה אני - קליטה'!$AF$5:$AF$204,0)),""))</f>
        <v/>
      </c>
      <c r="R31" s="28" t="str">
        <f aca="false">IF($A31="","",IFERROR(INDEX('זה אני - קליטה'!$AJ$5:$AJ$204,MATCH($A31&amp;"|סוף שנה",'זה אני - קליטה'!$AF$5:$AF$204,0)),""))</f>
        <v/>
      </c>
      <c r="S31" s="28" t="str">
        <f aca="false">IF($A31="","",IFERROR(INDEX('זה אני - קליטה'!$AK$5:$AK$204,MATCH($A31&amp;"|סוף שנה",'זה אני - קליטה'!$AF$5:$AF$204,0)),""))</f>
        <v/>
      </c>
      <c r="T31" s="28" t="str">
        <f aca="false">IF($A31="","",IFERROR(INDEX('זה אני - קליטה'!$AL$5:$AL$204,MATCH($A31&amp;"|סוף שנה",'זה אני - קליטה'!$AF$5:$AF$204,0)),""))</f>
        <v/>
      </c>
      <c r="U31" s="27" t="str">
        <f aca="false">IF($A31="","",IFERROR(INDEX('זה אני - קליטה'!$AG$5:$AG$204,MATCH($A31&amp;"|סוף שנה",'זה אני - קליטה'!$AF$5:$AF$204,0)),""))</f>
        <v/>
      </c>
      <c r="V31" s="28" t="str">
        <f aca="false">IF($A31="","",IFERROR(INDEX('זה אני - קליטה'!$AN$5:$AN$204,MATCH($A31&amp;"|סוף שנה",'זה אני - קליטה'!$AF$5:$AF$204,0)),""))</f>
        <v/>
      </c>
      <c r="W31" s="32" t="str">
        <f aca="false">IF(AND(ISNUMBER(F31),ISNUMBER(T31)),T31-F31,"")</f>
        <v/>
      </c>
      <c r="X31" s="27" t="str">
        <f aca="false">IF(W31="","",IF(W31&gt;=0.25,"עלייה",IF(W31&lt;=-0.25,"ירידה","יציב")))</f>
        <v/>
      </c>
    </row>
    <row r="32" customFormat="false" ht="15" hidden="false" customHeight="false" outlineLevel="0" collapsed="false">
      <c r="A32" s="29"/>
      <c r="B32" s="28" t="str">
        <f aca="false">IF($A32="","",IFERROR(INDEX('זה אני - קליטה'!$AH$5:$AH$204,MATCH($A32&amp;"|תחילת שנה",'זה אני - קליטה'!$AF$5:$AF$204,0)),""))</f>
        <v/>
      </c>
      <c r="C32" s="28" t="str">
        <f aca="false">IF($A32="","",IFERROR(INDEX('זה אני - קליטה'!$AI$5:$AI$204,MATCH($A32&amp;"|תחילת שנה",'זה אני - קליטה'!$AF$5:$AF$204,0)),""))</f>
        <v/>
      </c>
      <c r="D32" s="28" t="str">
        <f aca="false">IF($A32="","",IFERROR(INDEX('זה אני - קליטה'!$AJ$5:$AJ$204,MATCH($A32&amp;"|תחילת שנה",'זה אני - קליטה'!$AF$5:$AF$204,0)),""))</f>
        <v/>
      </c>
      <c r="E32" s="28" t="str">
        <f aca="false">IF($A32="","",IFERROR(INDEX('זה אני - קליטה'!$AK$5:$AK$204,MATCH($A32&amp;"|תחילת שנה",'זה אני - קליטה'!$AF$5:$AF$204,0)),""))</f>
        <v/>
      </c>
      <c r="F32" s="28" t="str">
        <f aca="false">IF($A32="","",IFERROR(INDEX('זה אני - קליטה'!$AL$5:$AL$204,MATCH($A32&amp;"|תחילת שנה",'זה אני - קליטה'!$AF$5:$AF$204,0)),""))</f>
        <v/>
      </c>
      <c r="G32" s="27" t="str">
        <f aca="false">IF($A32="","",IFERROR(INDEX('זה אני - קליטה'!$AG$5:$AG$204,MATCH($A32&amp;"|תחילת שנה",'זה אני - קליטה'!$AF$5:$AF$204,0)),""))</f>
        <v/>
      </c>
      <c r="H32" s="28" t="str">
        <f aca="false">IF($A32="","",IFERROR(INDEX('זה אני - קליטה'!$AN$5:$AN$204,MATCH($A32&amp;"|תחילת שנה",'זה אני - קליטה'!$AF$5:$AF$204,0)),""))</f>
        <v/>
      </c>
      <c r="I32" s="28" t="str">
        <f aca="false">IF($A32="","",IFERROR(INDEX('זה אני - קליטה'!$AH$5:$AH$204,MATCH($A32&amp;"|אמצע שנה",'זה אני - קליטה'!$AF$5:$AF$204,0)),""))</f>
        <v/>
      </c>
      <c r="J32" s="28" t="str">
        <f aca="false">IF($A32="","",IFERROR(INDEX('זה אני - קליטה'!$AI$5:$AI$204,MATCH($A32&amp;"|אמצע שנה",'זה אני - קליטה'!$AF$5:$AF$204,0)),""))</f>
        <v/>
      </c>
      <c r="K32" s="28" t="str">
        <f aca="false">IF($A32="","",IFERROR(INDEX('זה אני - קליטה'!$AJ$5:$AJ$204,MATCH($A32&amp;"|אמצע שנה",'זה אני - קליטה'!$AF$5:$AF$204,0)),""))</f>
        <v/>
      </c>
      <c r="L32" s="28" t="str">
        <f aca="false">IF($A32="","",IFERROR(INDEX('זה אני - קליטה'!$AK$5:$AK$204,MATCH($A32&amp;"|אמצע שנה",'זה אני - קליטה'!$AF$5:$AF$204,0)),""))</f>
        <v/>
      </c>
      <c r="M32" s="28" t="str">
        <f aca="false">IF($A32="","",IFERROR(INDEX('זה אני - קליטה'!$AL$5:$AL$204,MATCH($A32&amp;"|אמצע שנה",'זה אני - קליטה'!$AF$5:$AF$204,0)),""))</f>
        <v/>
      </c>
      <c r="N32" s="27" t="str">
        <f aca="false">IF($A32="","",IFERROR(INDEX('זה אני - קליטה'!$AG$5:$AG$204,MATCH($A32&amp;"|אמצע שנה",'זה אני - קליטה'!$AF$5:$AF$204,0)),""))</f>
        <v/>
      </c>
      <c r="O32" s="28" t="str">
        <f aca="false">IF($A32="","",IFERROR(INDEX('זה אני - קליטה'!$AN$5:$AN$204,MATCH($A32&amp;"|אמצע שנה",'זה אני - קליטה'!$AF$5:$AF$204,0)),""))</f>
        <v/>
      </c>
      <c r="P32" s="28" t="str">
        <f aca="false">IF($A32="","",IFERROR(INDEX('זה אני - קליטה'!$AH$5:$AH$204,MATCH($A32&amp;"|סוף שנה",'זה אני - קליטה'!$AF$5:$AF$204,0)),""))</f>
        <v/>
      </c>
      <c r="Q32" s="28" t="str">
        <f aca="false">IF($A32="","",IFERROR(INDEX('זה אני - קליטה'!$AI$5:$AI$204,MATCH($A32&amp;"|סוף שנה",'זה אני - קליטה'!$AF$5:$AF$204,0)),""))</f>
        <v/>
      </c>
      <c r="R32" s="28" t="str">
        <f aca="false">IF($A32="","",IFERROR(INDEX('זה אני - קליטה'!$AJ$5:$AJ$204,MATCH($A32&amp;"|סוף שנה",'זה אני - קליטה'!$AF$5:$AF$204,0)),""))</f>
        <v/>
      </c>
      <c r="S32" s="28" t="str">
        <f aca="false">IF($A32="","",IFERROR(INDEX('זה אני - קליטה'!$AK$5:$AK$204,MATCH($A32&amp;"|סוף שנה",'זה אני - קליטה'!$AF$5:$AF$204,0)),""))</f>
        <v/>
      </c>
      <c r="T32" s="28" t="str">
        <f aca="false">IF($A32="","",IFERROR(INDEX('זה אני - קליטה'!$AL$5:$AL$204,MATCH($A32&amp;"|סוף שנה",'זה אני - קליטה'!$AF$5:$AF$204,0)),""))</f>
        <v/>
      </c>
      <c r="U32" s="27" t="str">
        <f aca="false">IF($A32="","",IFERROR(INDEX('זה אני - קליטה'!$AG$5:$AG$204,MATCH($A32&amp;"|סוף שנה",'זה אני - קליטה'!$AF$5:$AF$204,0)),""))</f>
        <v/>
      </c>
      <c r="V32" s="28" t="str">
        <f aca="false">IF($A32="","",IFERROR(INDEX('זה אני - קליטה'!$AN$5:$AN$204,MATCH($A32&amp;"|סוף שנה",'זה אני - קליטה'!$AF$5:$AF$204,0)),""))</f>
        <v/>
      </c>
      <c r="W32" s="32" t="str">
        <f aca="false">IF(AND(ISNUMBER(F32),ISNUMBER(T32)),T32-F32,"")</f>
        <v/>
      </c>
      <c r="X32" s="27" t="str">
        <f aca="false">IF(W32="","",IF(W32&gt;=0.25,"עלייה",IF(W32&lt;=-0.25,"ירידה","יציב")))</f>
        <v/>
      </c>
    </row>
    <row r="33" customFormat="false" ht="15" hidden="false" customHeight="false" outlineLevel="0" collapsed="false">
      <c r="A33" s="29"/>
      <c r="B33" s="28" t="str">
        <f aca="false">IF($A33="","",IFERROR(INDEX('זה אני - קליטה'!$AH$5:$AH$204,MATCH($A33&amp;"|תחילת שנה",'זה אני - קליטה'!$AF$5:$AF$204,0)),""))</f>
        <v/>
      </c>
      <c r="C33" s="28" t="str">
        <f aca="false">IF($A33="","",IFERROR(INDEX('זה אני - קליטה'!$AI$5:$AI$204,MATCH($A33&amp;"|תחילת שנה",'זה אני - קליטה'!$AF$5:$AF$204,0)),""))</f>
        <v/>
      </c>
      <c r="D33" s="28" t="str">
        <f aca="false">IF($A33="","",IFERROR(INDEX('זה אני - קליטה'!$AJ$5:$AJ$204,MATCH($A33&amp;"|תחילת שנה",'זה אני - קליטה'!$AF$5:$AF$204,0)),""))</f>
        <v/>
      </c>
      <c r="E33" s="28" t="str">
        <f aca="false">IF($A33="","",IFERROR(INDEX('זה אני - קליטה'!$AK$5:$AK$204,MATCH($A33&amp;"|תחילת שנה",'זה אני - קליטה'!$AF$5:$AF$204,0)),""))</f>
        <v/>
      </c>
      <c r="F33" s="28" t="str">
        <f aca="false">IF($A33="","",IFERROR(INDEX('זה אני - קליטה'!$AL$5:$AL$204,MATCH($A33&amp;"|תחילת שנה",'זה אני - קליטה'!$AF$5:$AF$204,0)),""))</f>
        <v/>
      </c>
      <c r="G33" s="27" t="str">
        <f aca="false">IF($A33="","",IFERROR(INDEX('זה אני - קליטה'!$AG$5:$AG$204,MATCH($A33&amp;"|תחילת שנה",'זה אני - קליטה'!$AF$5:$AF$204,0)),""))</f>
        <v/>
      </c>
      <c r="H33" s="28" t="str">
        <f aca="false">IF($A33="","",IFERROR(INDEX('זה אני - קליטה'!$AN$5:$AN$204,MATCH($A33&amp;"|תחילת שנה",'זה אני - קליטה'!$AF$5:$AF$204,0)),""))</f>
        <v/>
      </c>
      <c r="I33" s="28" t="str">
        <f aca="false">IF($A33="","",IFERROR(INDEX('זה אני - קליטה'!$AH$5:$AH$204,MATCH($A33&amp;"|אמצע שנה",'זה אני - קליטה'!$AF$5:$AF$204,0)),""))</f>
        <v/>
      </c>
      <c r="J33" s="28" t="str">
        <f aca="false">IF($A33="","",IFERROR(INDEX('זה אני - קליטה'!$AI$5:$AI$204,MATCH($A33&amp;"|אמצע שנה",'זה אני - קליטה'!$AF$5:$AF$204,0)),""))</f>
        <v/>
      </c>
      <c r="K33" s="28" t="str">
        <f aca="false">IF($A33="","",IFERROR(INDEX('זה אני - קליטה'!$AJ$5:$AJ$204,MATCH($A33&amp;"|אמצע שנה",'זה אני - קליטה'!$AF$5:$AF$204,0)),""))</f>
        <v/>
      </c>
      <c r="L33" s="28" t="str">
        <f aca="false">IF($A33="","",IFERROR(INDEX('זה אני - קליטה'!$AK$5:$AK$204,MATCH($A33&amp;"|אמצע שנה",'זה אני - קליטה'!$AF$5:$AF$204,0)),""))</f>
        <v/>
      </c>
      <c r="M33" s="28" t="str">
        <f aca="false">IF($A33="","",IFERROR(INDEX('זה אני - קליטה'!$AL$5:$AL$204,MATCH($A33&amp;"|אמצע שנה",'זה אני - קליטה'!$AF$5:$AF$204,0)),""))</f>
        <v/>
      </c>
      <c r="N33" s="27" t="str">
        <f aca="false">IF($A33="","",IFERROR(INDEX('זה אני - קליטה'!$AG$5:$AG$204,MATCH($A33&amp;"|אמצע שנה",'זה אני - קליטה'!$AF$5:$AF$204,0)),""))</f>
        <v/>
      </c>
      <c r="O33" s="28" t="str">
        <f aca="false">IF($A33="","",IFERROR(INDEX('זה אני - קליטה'!$AN$5:$AN$204,MATCH($A33&amp;"|אמצע שנה",'זה אני - קליטה'!$AF$5:$AF$204,0)),""))</f>
        <v/>
      </c>
      <c r="P33" s="28" t="str">
        <f aca="false">IF($A33="","",IFERROR(INDEX('זה אני - קליטה'!$AH$5:$AH$204,MATCH($A33&amp;"|סוף שנה",'זה אני - קליטה'!$AF$5:$AF$204,0)),""))</f>
        <v/>
      </c>
      <c r="Q33" s="28" t="str">
        <f aca="false">IF($A33="","",IFERROR(INDEX('זה אני - קליטה'!$AI$5:$AI$204,MATCH($A33&amp;"|סוף שנה",'זה אני - קליטה'!$AF$5:$AF$204,0)),""))</f>
        <v/>
      </c>
      <c r="R33" s="28" t="str">
        <f aca="false">IF($A33="","",IFERROR(INDEX('זה אני - קליטה'!$AJ$5:$AJ$204,MATCH($A33&amp;"|סוף שנה",'זה אני - קליטה'!$AF$5:$AF$204,0)),""))</f>
        <v/>
      </c>
      <c r="S33" s="28" t="str">
        <f aca="false">IF($A33="","",IFERROR(INDEX('זה אני - קליטה'!$AK$5:$AK$204,MATCH($A33&amp;"|סוף שנה",'זה אני - קליטה'!$AF$5:$AF$204,0)),""))</f>
        <v/>
      </c>
      <c r="T33" s="28" t="str">
        <f aca="false">IF($A33="","",IFERROR(INDEX('זה אני - קליטה'!$AL$5:$AL$204,MATCH($A33&amp;"|סוף שנה",'זה אני - קליטה'!$AF$5:$AF$204,0)),""))</f>
        <v/>
      </c>
      <c r="U33" s="27" t="str">
        <f aca="false">IF($A33="","",IFERROR(INDEX('זה אני - קליטה'!$AG$5:$AG$204,MATCH($A33&amp;"|סוף שנה",'זה אני - קליטה'!$AF$5:$AF$204,0)),""))</f>
        <v/>
      </c>
      <c r="V33" s="28" t="str">
        <f aca="false">IF($A33="","",IFERROR(INDEX('זה אני - קליטה'!$AN$5:$AN$204,MATCH($A33&amp;"|סוף שנה",'זה אני - קליטה'!$AF$5:$AF$204,0)),""))</f>
        <v/>
      </c>
      <c r="W33" s="32" t="str">
        <f aca="false">IF(AND(ISNUMBER(F33),ISNUMBER(T33)),T33-F33,"")</f>
        <v/>
      </c>
      <c r="X33" s="27" t="str">
        <f aca="false">IF(W33="","",IF(W33&gt;=0.25,"עלייה",IF(W33&lt;=-0.25,"ירידה","יציב")))</f>
        <v/>
      </c>
    </row>
    <row r="34" customFormat="false" ht="15" hidden="false" customHeight="false" outlineLevel="0" collapsed="false">
      <c r="A34" s="29"/>
      <c r="B34" s="28" t="str">
        <f aca="false">IF($A34="","",IFERROR(INDEX('זה אני - קליטה'!$AH$5:$AH$204,MATCH($A34&amp;"|תחילת שנה",'זה אני - קליטה'!$AF$5:$AF$204,0)),""))</f>
        <v/>
      </c>
      <c r="C34" s="28" t="str">
        <f aca="false">IF($A34="","",IFERROR(INDEX('זה אני - קליטה'!$AI$5:$AI$204,MATCH($A34&amp;"|תחילת שנה",'זה אני - קליטה'!$AF$5:$AF$204,0)),""))</f>
        <v/>
      </c>
      <c r="D34" s="28" t="str">
        <f aca="false">IF($A34="","",IFERROR(INDEX('זה אני - קליטה'!$AJ$5:$AJ$204,MATCH($A34&amp;"|תחילת שנה",'זה אני - קליטה'!$AF$5:$AF$204,0)),""))</f>
        <v/>
      </c>
      <c r="E34" s="28" t="str">
        <f aca="false">IF($A34="","",IFERROR(INDEX('זה אני - קליטה'!$AK$5:$AK$204,MATCH($A34&amp;"|תחילת שנה",'זה אני - קליטה'!$AF$5:$AF$204,0)),""))</f>
        <v/>
      </c>
      <c r="F34" s="28" t="str">
        <f aca="false">IF($A34="","",IFERROR(INDEX('זה אני - קליטה'!$AL$5:$AL$204,MATCH($A34&amp;"|תחילת שנה",'זה אני - קליטה'!$AF$5:$AF$204,0)),""))</f>
        <v/>
      </c>
      <c r="G34" s="27" t="str">
        <f aca="false">IF($A34="","",IFERROR(INDEX('זה אני - קליטה'!$AG$5:$AG$204,MATCH($A34&amp;"|תחילת שנה",'זה אני - קליטה'!$AF$5:$AF$204,0)),""))</f>
        <v/>
      </c>
      <c r="H34" s="28" t="str">
        <f aca="false">IF($A34="","",IFERROR(INDEX('זה אני - קליטה'!$AN$5:$AN$204,MATCH($A34&amp;"|תחילת שנה",'זה אני - קליטה'!$AF$5:$AF$204,0)),""))</f>
        <v/>
      </c>
      <c r="I34" s="28" t="str">
        <f aca="false">IF($A34="","",IFERROR(INDEX('זה אני - קליטה'!$AH$5:$AH$204,MATCH($A34&amp;"|אמצע שנה",'זה אני - קליטה'!$AF$5:$AF$204,0)),""))</f>
        <v/>
      </c>
      <c r="J34" s="28" t="str">
        <f aca="false">IF($A34="","",IFERROR(INDEX('זה אני - קליטה'!$AI$5:$AI$204,MATCH($A34&amp;"|אמצע שנה",'זה אני - קליטה'!$AF$5:$AF$204,0)),""))</f>
        <v/>
      </c>
      <c r="K34" s="28" t="str">
        <f aca="false">IF($A34="","",IFERROR(INDEX('זה אני - קליטה'!$AJ$5:$AJ$204,MATCH($A34&amp;"|אמצע שנה",'זה אני - קליטה'!$AF$5:$AF$204,0)),""))</f>
        <v/>
      </c>
      <c r="L34" s="28" t="str">
        <f aca="false">IF($A34="","",IFERROR(INDEX('זה אני - קליטה'!$AK$5:$AK$204,MATCH($A34&amp;"|אמצע שנה",'זה אני - קליטה'!$AF$5:$AF$204,0)),""))</f>
        <v/>
      </c>
      <c r="M34" s="28" t="str">
        <f aca="false">IF($A34="","",IFERROR(INDEX('זה אני - קליטה'!$AL$5:$AL$204,MATCH($A34&amp;"|אמצע שנה",'זה אני - קליטה'!$AF$5:$AF$204,0)),""))</f>
        <v/>
      </c>
      <c r="N34" s="27" t="str">
        <f aca="false">IF($A34="","",IFERROR(INDEX('זה אני - קליטה'!$AG$5:$AG$204,MATCH($A34&amp;"|אמצע שנה",'זה אני - קליטה'!$AF$5:$AF$204,0)),""))</f>
        <v/>
      </c>
      <c r="O34" s="28" t="str">
        <f aca="false">IF($A34="","",IFERROR(INDEX('זה אני - קליטה'!$AN$5:$AN$204,MATCH($A34&amp;"|אמצע שנה",'זה אני - קליטה'!$AF$5:$AF$204,0)),""))</f>
        <v/>
      </c>
      <c r="P34" s="28" t="str">
        <f aca="false">IF($A34="","",IFERROR(INDEX('זה אני - קליטה'!$AH$5:$AH$204,MATCH($A34&amp;"|סוף שנה",'זה אני - קליטה'!$AF$5:$AF$204,0)),""))</f>
        <v/>
      </c>
      <c r="Q34" s="28" t="str">
        <f aca="false">IF($A34="","",IFERROR(INDEX('זה אני - קליטה'!$AI$5:$AI$204,MATCH($A34&amp;"|סוף שנה",'זה אני - קליטה'!$AF$5:$AF$204,0)),""))</f>
        <v/>
      </c>
      <c r="R34" s="28" t="str">
        <f aca="false">IF($A34="","",IFERROR(INDEX('זה אני - קליטה'!$AJ$5:$AJ$204,MATCH($A34&amp;"|סוף שנה",'זה אני - קליטה'!$AF$5:$AF$204,0)),""))</f>
        <v/>
      </c>
      <c r="S34" s="28" t="str">
        <f aca="false">IF($A34="","",IFERROR(INDEX('זה אני - קליטה'!$AK$5:$AK$204,MATCH($A34&amp;"|סוף שנה",'זה אני - קליטה'!$AF$5:$AF$204,0)),""))</f>
        <v/>
      </c>
      <c r="T34" s="28" t="str">
        <f aca="false">IF($A34="","",IFERROR(INDEX('זה אני - קליטה'!$AL$5:$AL$204,MATCH($A34&amp;"|סוף שנה",'זה אני - קליטה'!$AF$5:$AF$204,0)),""))</f>
        <v/>
      </c>
      <c r="U34" s="27" t="str">
        <f aca="false">IF($A34="","",IFERROR(INDEX('זה אני - קליטה'!$AG$5:$AG$204,MATCH($A34&amp;"|סוף שנה",'זה אני - קליטה'!$AF$5:$AF$204,0)),""))</f>
        <v/>
      </c>
      <c r="V34" s="28" t="str">
        <f aca="false">IF($A34="","",IFERROR(INDEX('זה אני - קליטה'!$AN$5:$AN$204,MATCH($A34&amp;"|סוף שנה",'זה אני - קליטה'!$AF$5:$AF$204,0)),""))</f>
        <v/>
      </c>
      <c r="W34" s="32" t="str">
        <f aca="false">IF(AND(ISNUMBER(F34),ISNUMBER(T34)),T34-F34,"")</f>
        <v/>
      </c>
      <c r="X34" s="27" t="str">
        <f aca="false">IF(W34="","",IF(W34&gt;=0.25,"עלייה",IF(W34&lt;=-0.25,"ירידה","יציב")))</f>
        <v/>
      </c>
    </row>
    <row r="35" customFormat="false" ht="15" hidden="false" customHeight="false" outlineLevel="0" collapsed="false">
      <c r="A35" s="29"/>
      <c r="B35" s="28" t="str">
        <f aca="false">IF($A35="","",IFERROR(INDEX('זה אני - קליטה'!$AH$5:$AH$204,MATCH($A35&amp;"|תחילת שנה",'זה אני - קליטה'!$AF$5:$AF$204,0)),""))</f>
        <v/>
      </c>
      <c r="C35" s="28" t="str">
        <f aca="false">IF($A35="","",IFERROR(INDEX('זה אני - קליטה'!$AI$5:$AI$204,MATCH($A35&amp;"|תחילת שנה",'זה אני - קליטה'!$AF$5:$AF$204,0)),""))</f>
        <v/>
      </c>
      <c r="D35" s="28" t="str">
        <f aca="false">IF($A35="","",IFERROR(INDEX('זה אני - קליטה'!$AJ$5:$AJ$204,MATCH($A35&amp;"|תחילת שנה",'זה אני - קליטה'!$AF$5:$AF$204,0)),""))</f>
        <v/>
      </c>
      <c r="E35" s="28" t="str">
        <f aca="false">IF($A35="","",IFERROR(INDEX('זה אני - קליטה'!$AK$5:$AK$204,MATCH($A35&amp;"|תחילת שנה",'זה אני - קליטה'!$AF$5:$AF$204,0)),""))</f>
        <v/>
      </c>
      <c r="F35" s="28" t="str">
        <f aca="false">IF($A35="","",IFERROR(INDEX('זה אני - קליטה'!$AL$5:$AL$204,MATCH($A35&amp;"|תחילת שנה",'זה אני - קליטה'!$AF$5:$AF$204,0)),""))</f>
        <v/>
      </c>
      <c r="G35" s="27" t="str">
        <f aca="false">IF($A35="","",IFERROR(INDEX('זה אני - קליטה'!$AG$5:$AG$204,MATCH($A35&amp;"|תחילת שנה",'זה אני - קליטה'!$AF$5:$AF$204,0)),""))</f>
        <v/>
      </c>
      <c r="H35" s="28" t="str">
        <f aca="false">IF($A35="","",IFERROR(INDEX('זה אני - קליטה'!$AN$5:$AN$204,MATCH($A35&amp;"|תחילת שנה",'זה אני - קליטה'!$AF$5:$AF$204,0)),""))</f>
        <v/>
      </c>
      <c r="I35" s="28" t="str">
        <f aca="false">IF($A35="","",IFERROR(INDEX('זה אני - קליטה'!$AH$5:$AH$204,MATCH($A35&amp;"|אמצע שנה",'זה אני - קליטה'!$AF$5:$AF$204,0)),""))</f>
        <v/>
      </c>
      <c r="J35" s="28" t="str">
        <f aca="false">IF($A35="","",IFERROR(INDEX('זה אני - קליטה'!$AI$5:$AI$204,MATCH($A35&amp;"|אמצע שנה",'זה אני - קליטה'!$AF$5:$AF$204,0)),""))</f>
        <v/>
      </c>
      <c r="K35" s="28" t="str">
        <f aca="false">IF($A35="","",IFERROR(INDEX('זה אני - קליטה'!$AJ$5:$AJ$204,MATCH($A35&amp;"|אמצע שנה",'זה אני - קליטה'!$AF$5:$AF$204,0)),""))</f>
        <v/>
      </c>
      <c r="L35" s="28" t="str">
        <f aca="false">IF($A35="","",IFERROR(INDEX('זה אני - קליטה'!$AK$5:$AK$204,MATCH($A35&amp;"|אמצע שנה",'זה אני - קליטה'!$AF$5:$AF$204,0)),""))</f>
        <v/>
      </c>
      <c r="M35" s="28" t="str">
        <f aca="false">IF($A35="","",IFERROR(INDEX('זה אני - קליטה'!$AL$5:$AL$204,MATCH($A35&amp;"|אמצע שנה",'זה אני - קליטה'!$AF$5:$AF$204,0)),""))</f>
        <v/>
      </c>
      <c r="N35" s="27" t="str">
        <f aca="false">IF($A35="","",IFERROR(INDEX('זה אני - קליטה'!$AG$5:$AG$204,MATCH($A35&amp;"|אמצע שנה",'זה אני - קליטה'!$AF$5:$AF$204,0)),""))</f>
        <v/>
      </c>
      <c r="O35" s="28" t="str">
        <f aca="false">IF($A35="","",IFERROR(INDEX('זה אני - קליטה'!$AN$5:$AN$204,MATCH($A35&amp;"|אמצע שנה",'זה אני - קליטה'!$AF$5:$AF$204,0)),""))</f>
        <v/>
      </c>
      <c r="P35" s="28" t="str">
        <f aca="false">IF($A35="","",IFERROR(INDEX('זה אני - קליטה'!$AH$5:$AH$204,MATCH($A35&amp;"|סוף שנה",'זה אני - קליטה'!$AF$5:$AF$204,0)),""))</f>
        <v/>
      </c>
      <c r="Q35" s="28" t="str">
        <f aca="false">IF($A35="","",IFERROR(INDEX('זה אני - קליטה'!$AI$5:$AI$204,MATCH($A35&amp;"|סוף שנה",'זה אני - קליטה'!$AF$5:$AF$204,0)),""))</f>
        <v/>
      </c>
      <c r="R35" s="28" t="str">
        <f aca="false">IF($A35="","",IFERROR(INDEX('זה אני - קליטה'!$AJ$5:$AJ$204,MATCH($A35&amp;"|סוף שנה",'זה אני - קליטה'!$AF$5:$AF$204,0)),""))</f>
        <v/>
      </c>
      <c r="S35" s="28" t="str">
        <f aca="false">IF($A35="","",IFERROR(INDEX('זה אני - קליטה'!$AK$5:$AK$204,MATCH($A35&amp;"|סוף שנה",'זה אני - קליטה'!$AF$5:$AF$204,0)),""))</f>
        <v/>
      </c>
      <c r="T35" s="28" t="str">
        <f aca="false">IF($A35="","",IFERROR(INDEX('זה אני - קליטה'!$AL$5:$AL$204,MATCH($A35&amp;"|סוף שנה",'זה אני - קליטה'!$AF$5:$AF$204,0)),""))</f>
        <v/>
      </c>
      <c r="U35" s="27" t="str">
        <f aca="false">IF($A35="","",IFERROR(INDEX('זה אני - קליטה'!$AG$5:$AG$204,MATCH($A35&amp;"|סוף שנה",'זה אני - קליטה'!$AF$5:$AF$204,0)),""))</f>
        <v/>
      </c>
      <c r="V35" s="28" t="str">
        <f aca="false">IF($A35="","",IFERROR(INDEX('זה אני - קליטה'!$AN$5:$AN$204,MATCH($A35&amp;"|סוף שנה",'זה אני - קליטה'!$AF$5:$AF$204,0)),""))</f>
        <v/>
      </c>
      <c r="W35" s="32" t="str">
        <f aca="false">IF(AND(ISNUMBER(F35),ISNUMBER(T35)),T35-F35,"")</f>
        <v/>
      </c>
      <c r="X35" s="27" t="str">
        <f aca="false">IF(W35="","",IF(W35&gt;=0.25,"עלייה",IF(W35&lt;=-0.25,"ירידה","יציב")))</f>
        <v/>
      </c>
    </row>
    <row r="36" customFormat="false" ht="15" hidden="false" customHeight="false" outlineLevel="0" collapsed="false">
      <c r="A36" s="29"/>
      <c r="B36" s="28" t="str">
        <f aca="false">IF($A36="","",IFERROR(INDEX('זה אני - קליטה'!$AH$5:$AH$204,MATCH($A36&amp;"|תחילת שנה",'זה אני - קליטה'!$AF$5:$AF$204,0)),""))</f>
        <v/>
      </c>
      <c r="C36" s="28" t="str">
        <f aca="false">IF($A36="","",IFERROR(INDEX('זה אני - קליטה'!$AI$5:$AI$204,MATCH($A36&amp;"|תחילת שנה",'זה אני - קליטה'!$AF$5:$AF$204,0)),""))</f>
        <v/>
      </c>
      <c r="D36" s="28" t="str">
        <f aca="false">IF($A36="","",IFERROR(INDEX('זה אני - קליטה'!$AJ$5:$AJ$204,MATCH($A36&amp;"|תחילת שנה",'זה אני - קליטה'!$AF$5:$AF$204,0)),""))</f>
        <v/>
      </c>
      <c r="E36" s="28" t="str">
        <f aca="false">IF($A36="","",IFERROR(INDEX('זה אני - קליטה'!$AK$5:$AK$204,MATCH($A36&amp;"|תחילת שנה",'זה אני - קליטה'!$AF$5:$AF$204,0)),""))</f>
        <v/>
      </c>
      <c r="F36" s="28" t="str">
        <f aca="false">IF($A36="","",IFERROR(INDEX('זה אני - קליטה'!$AL$5:$AL$204,MATCH($A36&amp;"|תחילת שנה",'זה אני - קליטה'!$AF$5:$AF$204,0)),""))</f>
        <v/>
      </c>
      <c r="G36" s="27" t="str">
        <f aca="false">IF($A36="","",IFERROR(INDEX('זה אני - קליטה'!$AG$5:$AG$204,MATCH($A36&amp;"|תחילת שנה",'זה אני - קליטה'!$AF$5:$AF$204,0)),""))</f>
        <v/>
      </c>
      <c r="H36" s="28" t="str">
        <f aca="false">IF($A36="","",IFERROR(INDEX('זה אני - קליטה'!$AN$5:$AN$204,MATCH($A36&amp;"|תחילת שנה",'זה אני - קליטה'!$AF$5:$AF$204,0)),""))</f>
        <v/>
      </c>
      <c r="I36" s="28" t="str">
        <f aca="false">IF($A36="","",IFERROR(INDEX('זה אני - קליטה'!$AH$5:$AH$204,MATCH($A36&amp;"|אמצע שנה",'זה אני - קליטה'!$AF$5:$AF$204,0)),""))</f>
        <v/>
      </c>
      <c r="J36" s="28" t="str">
        <f aca="false">IF($A36="","",IFERROR(INDEX('זה אני - קליטה'!$AI$5:$AI$204,MATCH($A36&amp;"|אמצע שנה",'זה אני - קליטה'!$AF$5:$AF$204,0)),""))</f>
        <v/>
      </c>
      <c r="K36" s="28" t="str">
        <f aca="false">IF($A36="","",IFERROR(INDEX('זה אני - קליטה'!$AJ$5:$AJ$204,MATCH($A36&amp;"|אמצע שנה",'זה אני - קליטה'!$AF$5:$AF$204,0)),""))</f>
        <v/>
      </c>
      <c r="L36" s="28" t="str">
        <f aca="false">IF($A36="","",IFERROR(INDEX('זה אני - קליטה'!$AK$5:$AK$204,MATCH($A36&amp;"|אמצע שנה",'זה אני - קליטה'!$AF$5:$AF$204,0)),""))</f>
        <v/>
      </c>
      <c r="M36" s="28" t="str">
        <f aca="false">IF($A36="","",IFERROR(INDEX('זה אני - קליטה'!$AL$5:$AL$204,MATCH($A36&amp;"|אמצע שנה",'זה אני - קליטה'!$AF$5:$AF$204,0)),""))</f>
        <v/>
      </c>
      <c r="N36" s="27" t="str">
        <f aca="false">IF($A36="","",IFERROR(INDEX('זה אני - קליטה'!$AG$5:$AG$204,MATCH($A36&amp;"|אמצע שנה",'זה אני - קליטה'!$AF$5:$AF$204,0)),""))</f>
        <v/>
      </c>
      <c r="O36" s="28" t="str">
        <f aca="false">IF($A36="","",IFERROR(INDEX('זה אני - קליטה'!$AN$5:$AN$204,MATCH($A36&amp;"|אמצע שנה",'זה אני - קליטה'!$AF$5:$AF$204,0)),""))</f>
        <v/>
      </c>
      <c r="P36" s="28" t="str">
        <f aca="false">IF($A36="","",IFERROR(INDEX('זה אני - קליטה'!$AH$5:$AH$204,MATCH($A36&amp;"|סוף שנה",'זה אני - קליטה'!$AF$5:$AF$204,0)),""))</f>
        <v/>
      </c>
      <c r="Q36" s="28" t="str">
        <f aca="false">IF($A36="","",IFERROR(INDEX('זה אני - קליטה'!$AI$5:$AI$204,MATCH($A36&amp;"|סוף שנה",'זה אני - קליטה'!$AF$5:$AF$204,0)),""))</f>
        <v/>
      </c>
      <c r="R36" s="28" t="str">
        <f aca="false">IF($A36="","",IFERROR(INDEX('זה אני - קליטה'!$AJ$5:$AJ$204,MATCH($A36&amp;"|סוף שנה",'זה אני - קליטה'!$AF$5:$AF$204,0)),""))</f>
        <v/>
      </c>
      <c r="S36" s="28" t="str">
        <f aca="false">IF($A36="","",IFERROR(INDEX('זה אני - קליטה'!$AK$5:$AK$204,MATCH($A36&amp;"|סוף שנה",'זה אני - קליטה'!$AF$5:$AF$204,0)),""))</f>
        <v/>
      </c>
      <c r="T36" s="28" t="str">
        <f aca="false">IF($A36="","",IFERROR(INDEX('זה אני - קליטה'!$AL$5:$AL$204,MATCH($A36&amp;"|סוף שנה",'זה אני - קליטה'!$AF$5:$AF$204,0)),""))</f>
        <v/>
      </c>
      <c r="U36" s="27" t="str">
        <f aca="false">IF($A36="","",IFERROR(INDEX('זה אני - קליטה'!$AG$5:$AG$204,MATCH($A36&amp;"|סוף שנה",'זה אני - קליטה'!$AF$5:$AF$204,0)),""))</f>
        <v/>
      </c>
      <c r="V36" s="28" t="str">
        <f aca="false">IF($A36="","",IFERROR(INDEX('זה אני - קליטה'!$AN$5:$AN$204,MATCH($A36&amp;"|סוף שנה",'זה אני - קליטה'!$AF$5:$AF$204,0)),""))</f>
        <v/>
      </c>
      <c r="W36" s="32" t="str">
        <f aca="false">IF(AND(ISNUMBER(F36),ISNUMBER(T36)),T36-F36,"")</f>
        <v/>
      </c>
      <c r="X36" s="27" t="str">
        <f aca="false">IF(W36="","",IF(W36&gt;=0.25,"עלייה",IF(W36&lt;=-0.25,"ירידה","יציב")))</f>
        <v/>
      </c>
    </row>
    <row r="37" customFormat="false" ht="15" hidden="false" customHeight="false" outlineLevel="0" collapsed="false">
      <c r="A37" s="29"/>
      <c r="B37" s="28" t="str">
        <f aca="false">IF($A37="","",IFERROR(INDEX('זה אני - קליטה'!$AH$5:$AH$204,MATCH($A37&amp;"|תחילת שנה",'זה אני - קליטה'!$AF$5:$AF$204,0)),""))</f>
        <v/>
      </c>
      <c r="C37" s="28" t="str">
        <f aca="false">IF($A37="","",IFERROR(INDEX('זה אני - קליטה'!$AI$5:$AI$204,MATCH($A37&amp;"|תחילת שנה",'זה אני - קליטה'!$AF$5:$AF$204,0)),""))</f>
        <v/>
      </c>
      <c r="D37" s="28" t="str">
        <f aca="false">IF($A37="","",IFERROR(INDEX('זה אני - קליטה'!$AJ$5:$AJ$204,MATCH($A37&amp;"|תחילת שנה",'זה אני - קליטה'!$AF$5:$AF$204,0)),""))</f>
        <v/>
      </c>
      <c r="E37" s="28" t="str">
        <f aca="false">IF($A37="","",IFERROR(INDEX('זה אני - קליטה'!$AK$5:$AK$204,MATCH($A37&amp;"|תחילת שנה",'זה אני - קליטה'!$AF$5:$AF$204,0)),""))</f>
        <v/>
      </c>
      <c r="F37" s="28" t="str">
        <f aca="false">IF($A37="","",IFERROR(INDEX('זה אני - קליטה'!$AL$5:$AL$204,MATCH($A37&amp;"|תחילת שנה",'זה אני - קליטה'!$AF$5:$AF$204,0)),""))</f>
        <v/>
      </c>
      <c r="G37" s="27" t="str">
        <f aca="false">IF($A37="","",IFERROR(INDEX('זה אני - קליטה'!$AG$5:$AG$204,MATCH($A37&amp;"|תחילת שנה",'זה אני - קליטה'!$AF$5:$AF$204,0)),""))</f>
        <v/>
      </c>
      <c r="H37" s="28" t="str">
        <f aca="false">IF($A37="","",IFERROR(INDEX('זה אני - קליטה'!$AN$5:$AN$204,MATCH($A37&amp;"|תחילת שנה",'זה אני - קליטה'!$AF$5:$AF$204,0)),""))</f>
        <v/>
      </c>
      <c r="I37" s="28" t="str">
        <f aca="false">IF($A37="","",IFERROR(INDEX('זה אני - קליטה'!$AH$5:$AH$204,MATCH($A37&amp;"|אמצע שנה",'זה אני - קליטה'!$AF$5:$AF$204,0)),""))</f>
        <v/>
      </c>
      <c r="J37" s="28" t="str">
        <f aca="false">IF($A37="","",IFERROR(INDEX('זה אני - קליטה'!$AI$5:$AI$204,MATCH($A37&amp;"|אמצע שנה",'זה אני - קליטה'!$AF$5:$AF$204,0)),""))</f>
        <v/>
      </c>
      <c r="K37" s="28" t="str">
        <f aca="false">IF($A37="","",IFERROR(INDEX('זה אני - קליטה'!$AJ$5:$AJ$204,MATCH($A37&amp;"|אמצע שנה",'זה אני - קליטה'!$AF$5:$AF$204,0)),""))</f>
        <v/>
      </c>
      <c r="L37" s="28" t="str">
        <f aca="false">IF($A37="","",IFERROR(INDEX('זה אני - קליטה'!$AK$5:$AK$204,MATCH($A37&amp;"|אמצע שנה",'זה אני - קליטה'!$AF$5:$AF$204,0)),""))</f>
        <v/>
      </c>
      <c r="M37" s="28" t="str">
        <f aca="false">IF($A37="","",IFERROR(INDEX('זה אני - קליטה'!$AL$5:$AL$204,MATCH($A37&amp;"|אמצע שנה",'זה אני - קליטה'!$AF$5:$AF$204,0)),""))</f>
        <v/>
      </c>
      <c r="N37" s="27" t="str">
        <f aca="false">IF($A37="","",IFERROR(INDEX('זה אני - קליטה'!$AG$5:$AG$204,MATCH($A37&amp;"|אמצע שנה",'זה אני - קליטה'!$AF$5:$AF$204,0)),""))</f>
        <v/>
      </c>
      <c r="O37" s="28" t="str">
        <f aca="false">IF($A37="","",IFERROR(INDEX('זה אני - קליטה'!$AN$5:$AN$204,MATCH($A37&amp;"|אמצע שנה",'זה אני - קליטה'!$AF$5:$AF$204,0)),""))</f>
        <v/>
      </c>
      <c r="P37" s="28" t="str">
        <f aca="false">IF($A37="","",IFERROR(INDEX('זה אני - קליטה'!$AH$5:$AH$204,MATCH($A37&amp;"|סוף שנה",'זה אני - קליטה'!$AF$5:$AF$204,0)),""))</f>
        <v/>
      </c>
      <c r="Q37" s="28" t="str">
        <f aca="false">IF($A37="","",IFERROR(INDEX('זה אני - קליטה'!$AI$5:$AI$204,MATCH($A37&amp;"|סוף שנה",'זה אני - קליטה'!$AF$5:$AF$204,0)),""))</f>
        <v/>
      </c>
      <c r="R37" s="28" t="str">
        <f aca="false">IF($A37="","",IFERROR(INDEX('זה אני - קליטה'!$AJ$5:$AJ$204,MATCH($A37&amp;"|סוף שנה",'זה אני - קליטה'!$AF$5:$AF$204,0)),""))</f>
        <v/>
      </c>
      <c r="S37" s="28" t="str">
        <f aca="false">IF($A37="","",IFERROR(INDEX('זה אני - קליטה'!$AK$5:$AK$204,MATCH($A37&amp;"|סוף שנה",'זה אני - קליטה'!$AF$5:$AF$204,0)),""))</f>
        <v/>
      </c>
      <c r="T37" s="28" t="str">
        <f aca="false">IF($A37="","",IFERROR(INDEX('זה אני - קליטה'!$AL$5:$AL$204,MATCH($A37&amp;"|סוף שנה",'זה אני - קליטה'!$AF$5:$AF$204,0)),""))</f>
        <v/>
      </c>
      <c r="U37" s="27" t="str">
        <f aca="false">IF($A37="","",IFERROR(INDEX('זה אני - קליטה'!$AG$5:$AG$204,MATCH($A37&amp;"|סוף שנה",'זה אני - קליטה'!$AF$5:$AF$204,0)),""))</f>
        <v/>
      </c>
      <c r="V37" s="28" t="str">
        <f aca="false">IF($A37="","",IFERROR(INDEX('זה אני - קליטה'!$AN$5:$AN$204,MATCH($A37&amp;"|סוף שנה",'זה אני - קליטה'!$AF$5:$AF$204,0)),""))</f>
        <v/>
      </c>
      <c r="W37" s="32" t="str">
        <f aca="false">IF(AND(ISNUMBER(F37),ISNUMBER(T37)),T37-F37,"")</f>
        <v/>
      </c>
      <c r="X37" s="27" t="str">
        <f aca="false">IF(W37="","",IF(W37&gt;=0.25,"עלייה",IF(W37&lt;=-0.25,"ירידה","יציב")))</f>
        <v/>
      </c>
    </row>
    <row r="38" customFormat="false" ht="15" hidden="false" customHeight="false" outlineLevel="0" collapsed="false">
      <c r="A38" s="29"/>
      <c r="B38" s="28" t="str">
        <f aca="false">IF($A38="","",IFERROR(INDEX('זה אני - קליטה'!$AH$5:$AH$204,MATCH($A38&amp;"|תחילת שנה",'זה אני - קליטה'!$AF$5:$AF$204,0)),""))</f>
        <v/>
      </c>
      <c r="C38" s="28" t="str">
        <f aca="false">IF($A38="","",IFERROR(INDEX('זה אני - קליטה'!$AI$5:$AI$204,MATCH($A38&amp;"|תחילת שנה",'זה אני - קליטה'!$AF$5:$AF$204,0)),""))</f>
        <v/>
      </c>
      <c r="D38" s="28" t="str">
        <f aca="false">IF($A38="","",IFERROR(INDEX('זה אני - קליטה'!$AJ$5:$AJ$204,MATCH($A38&amp;"|תחילת שנה",'זה אני - קליטה'!$AF$5:$AF$204,0)),""))</f>
        <v/>
      </c>
      <c r="E38" s="28" t="str">
        <f aca="false">IF($A38="","",IFERROR(INDEX('זה אני - קליטה'!$AK$5:$AK$204,MATCH($A38&amp;"|תחילת שנה",'זה אני - קליטה'!$AF$5:$AF$204,0)),""))</f>
        <v/>
      </c>
      <c r="F38" s="28" t="str">
        <f aca="false">IF($A38="","",IFERROR(INDEX('זה אני - קליטה'!$AL$5:$AL$204,MATCH($A38&amp;"|תחילת שנה",'זה אני - קליטה'!$AF$5:$AF$204,0)),""))</f>
        <v/>
      </c>
      <c r="G38" s="27" t="str">
        <f aca="false">IF($A38="","",IFERROR(INDEX('זה אני - קליטה'!$AG$5:$AG$204,MATCH($A38&amp;"|תחילת שנה",'זה אני - קליטה'!$AF$5:$AF$204,0)),""))</f>
        <v/>
      </c>
      <c r="H38" s="28" t="str">
        <f aca="false">IF($A38="","",IFERROR(INDEX('זה אני - קליטה'!$AN$5:$AN$204,MATCH($A38&amp;"|תחילת שנה",'זה אני - קליטה'!$AF$5:$AF$204,0)),""))</f>
        <v/>
      </c>
      <c r="I38" s="28" t="str">
        <f aca="false">IF($A38="","",IFERROR(INDEX('זה אני - קליטה'!$AH$5:$AH$204,MATCH($A38&amp;"|אמצע שנה",'זה אני - קליטה'!$AF$5:$AF$204,0)),""))</f>
        <v/>
      </c>
      <c r="J38" s="28" t="str">
        <f aca="false">IF($A38="","",IFERROR(INDEX('זה אני - קליטה'!$AI$5:$AI$204,MATCH($A38&amp;"|אמצע שנה",'זה אני - קליטה'!$AF$5:$AF$204,0)),""))</f>
        <v/>
      </c>
      <c r="K38" s="28" t="str">
        <f aca="false">IF($A38="","",IFERROR(INDEX('זה אני - קליטה'!$AJ$5:$AJ$204,MATCH($A38&amp;"|אמצע שנה",'זה אני - קליטה'!$AF$5:$AF$204,0)),""))</f>
        <v/>
      </c>
      <c r="L38" s="28" t="str">
        <f aca="false">IF($A38="","",IFERROR(INDEX('זה אני - קליטה'!$AK$5:$AK$204,MATCH($A38&amp;"|אמצע שנה",'זה אני - קליטה'!$AF$5:$AF$204,0)),""))</f>
        <v/>
      </c>
      <c r="M38" s="28" t="str">
        <f aca="false">IF($A38="","",IFERROR(INDEX('זה אני - קליטה'!$AL$5:$AL$204,MATCH($A38&amp;"|אמצע שנה",'זה אני - קליטה'!$AF$5:$AF$204,0)),""))</f>
        <v/>
      </c>
      <c r="N38" s="27" t="str">
        <f aca="false">IF($A38="","",IFERROR(INDEX('זה אני - קליטה'!$AG$5:$AG$204,MATCH($A38&amp;"|אמצע שנה",'זה אני - קליטה'!$AF$5:$AF$204,0)),""))</f>
        <v/>
      </c>
      <c r="O38" s="28" t="str">
        <f aca="false">IF($A38="","",IFERROR(INDEX('זה אני - קליטה'!$AN$5:$AN$204,MATCH($A38&amp;"|אמצע שנה",'זה אני - קליטה'!$AF$5:$AF$204,0)),""))</f>
        <v/>
      </c>
      <c r="P38" s="28" t="str">
        <f aca="false">IF($A38="","",IFERROR(INDEX('זה אני - קליטה'!$AH$5:$AH$204,MATCH($A38&amp;"|סוף שנה",'זה אני - קליטה'!$AF$5:$AF$204,0)),""))</f>
        <v/>
      </c>
      <c r="Q38" s="28" t="str">
        <f aca="false">IF($A38="","",IFERROR(INDEX('זה אני - קליטה'!$AI$5:$AI$204,MATCH($A38&amp;"|סוף שנה",'זה אני - קליטה'!$AF$5:$AF$204,0)),""))</f>
        <v/>
      </c>
      <c r="R38" s="28" t="str">
        <f aca="false">IF($A38="","",IFERROR(INDEX('זה אני - קליטה'!$AJ$5:$AJ$204,MATCH($A38&amp;"|סוף שנה",'זה אני - קליטה'!$AF$5:$AF$204,0)),""))</f>
        <v/>
      </c>
      <c r="S38" s="28" t="str">
        <f aca="false">IF($A38="","",IFERROR(INDEX('זה אני - קליטה'!$AK$5:$AK$204,MATCH($A38&amp;"|סוף שנה",'זה אני - קליטה'!$AF$5:$AF$204,0)),""))</f>
        <v/>
      </c>
      <c r="T38" s="28" t="str">
        <f aca="false">IF($A38="","",IFERROR(INDEX('זה אני - קליטה'!$AL$5:$AL$204,MATCH($A38&amp;"|סוף שנה",'זה אני - קליטה'!$AF$5:$AF$204,0)),""))</f>
        <v/>
      </c>
      <c r="U38" s="27" t="str">
        <f aca="false">IF($A38="","",IFERROR(INDEX('זה אני - קליטה'!$AG$5:$AG$204,MATCH($A38&amp;"|סוף שנה",'זה אני - קליטה'!$AF$5:$AF$204,0)),""))</f>
        <v/>
      </c>
      <c r="V38" s="28" t="str">
        <f aca="false">IF($A38="","",IFERROR(INDEX('זה אני - קליטה'!$AN$5:$AN$204,MATCH($A38&amp;"|סוף שנה",'זה אני - קליטה'!$AF$5:$AF$204,0)),""))</f>
        <v/>
      </c>
      <c r="W38" s="32" t="str">
        <f aca="false">IF(AND(ISNUMBER(F38),ISNUMBER(T38)),T38-F38,"")</f>
        <v/>
      </c>
      <c r="X38" s="27" t="str">
        <f aca="false">IF(W38="","",IF(W38&gt;=0.25,"עלייה",IF(W38&lt;=-0.25,"ירידה","יציב")))</f>
        <v/>
      </c>
    </row>
    <row r="39" customFormat="false" ht="15" hidden="false" customHeight="false" outlineLevel="0" collapsed="false">
      <c r="A39" s="29"/>
      <c r="B39" s="28" t="str">
        <f aca="false">IF($A39="","",IFERROR(INDEX('זה אני - קליטה'!$AH$5:$AH$204,MATCH($A39&amp;"|תחילת שנה",'זה אני - קליטה'!$AF$5:$AF$204,0)),""))</f>
        <v/>
      </c>
      <c r="C39" s="28" t="str">
        <f aca="false">IF($A39="","",IFERROR(INDEX('זה אני - קליטה'!$AI$5:$AI$204,MATCH($A39&amp;"|תחילת שנה",'זה אני - קליטה'!$AF$5:$AF$204,0)),""))</f>
        <v/>
      </c>
      <c r="D39" s="28" t="str">
        <f aca="false">IF($A39="","",IFERROR(INDEX('זה אני - קליטה'!$AJ$5:$AJ$204,MATCH($A39&amp;"|תחילת שנה",'זה אני - קליטה'!$AF$5:$AF$204,0)),""))</f>
        <v/>
      </c>
      <c r="E39" s="28" t="str">
        <f aca="false">IF($A39="","",IFERROR(INDEX('זה אני - קליטה'!$AK$5:$AK$204,MATCH($A39&amp;"|תחילת שנה",'זה אני - קליטה'!$AF$5:$AF$204,0)),""))</f>
        <v/>
      </c>
      <c r="F39" s="28" t="str">
        <f aca="false">IF($A39="","",IFERROR(INDEX('זה אני - קליטה'!$AL$5:$AL$204,MATCH($A39&amp;"|תחילת שנה",'זה אני - קליטה'!$AF$5:$AF$204,0)),""))</f>
        <v/>
      </c>
      <c r="G39" s="27" t="str">
        <f aca="false">IF($A39="","",IFERROR(INDEX('זה אני - קליטה'!$AG$5:$AG$204,MATCH($A39&amp;"|תחילת שנה",'זה אני - קליטה'!$AF$5:$AF$204,0)),""))</f>
        <v/>
      </c>
      <c r="H39" s="28" t="str">
        <f aca="false">IF($A39="","",IFERROR(INDEX('זה אני - קליטה'!$AN$5:$AN$204,MATCH($A39&amp;"|תחילת שנה",'זה אני - קליטה'!$AF$5:$AF$204,0)),""))</f>
        <v/>
      </c>
      <c r="I39" s="28" t="str">
        <f aca="false">IF($A39="","",IFERROR(INDEX('זה אני - קליטה'!$AH$5:$AH$204,MATCH($A39&amp;"|אמצע שנה",'זה אני - קליטה'!$AF$5:$AF$204,0)),""))</f>
        <v/>
      </c>
      <c r="J39" s="28" t="str">
        <f aca="false">IF($A39="","",IFERROR(INDEX('זה אני - קליטה'!$AI$5:$AI$204,MATCH($A39&amp;"|אמצע שנה",'זה אני - קליטה'!$AF$5:$AF$204,0)),""))</f>
        <v/>
      </c>
      <c r="K39" s="28" t="str">
        <f aca="false">IF($A39="","",IFERROR(INDEX('זה אני - קליטה'!$AJ$5:$AJ$204,MATCH($A39&amp;"|אמצע שנה",'זה אני - קליטה'!$AF$5:$AF$204,0)),""))</f>
        <v/>
      </c>
      <c r="L39" s="28" t="str">
        <f aca="false">IF($A39="","",IFERROR(INDEX('זה אני - קליטה'!$AK$5:$AK$204,MATCH($A39&amp;"|אמצע שנה",'זה אני - קליטה'!$AF$5:$AF$204,0)),""))</f>
        <v/>
      </c>
      <c r="M39" s="28" t="str">
        <f aca="false">IF($A39="","",IFERROR(INDEX('זה אני - קליטה'!$AL$5:$AL$204,MATCH($A39&amp;"|אמצע שנה",'זה אני - קליטה'!$AF$5:$AF$204,0)),""))</f>
        <v/>
      </c>
      <c r="N39" s="27" t="str">
        <f aca="false">IF($A39="","",IFERROR(INDEX('זה אני - קליטה'!$AG$5:$AG$204,MATCH($A39&amp;"|אמצע שנה",'זה אני - קליטה'!$AF$5:$AF$204,0)),""))</f>
        <v/>
      </c>
      <c r="O39" s="28" t="str">
        <f aca="false">IF($A39="","",IFERROR(INDEX('זה אני - קליטה'!$AN$5:$AN$204,MATCH($A39&amp;"|אמצע שנה",'זה אני - קליטה'!$AF$5:$AF$204,0)),""))</f>
        <v/>
      </c>
      <c r="P39" s="28" t="str">
        <f aca="false">IF($A39="","",IFERROR(INDEX('זה אני - קליטה'!$AH$5:$AH$204,MATCH($A39&amp;"|סוף שנה",'זה אני - קליטה'!$AF$5:$AF$204,0)),""))</f>
        <v/>
      </c>
      <c r="Q39" s="28" t="str">
        <f aca="false">IF($A39="","",IFERROR(INDEX('זה אני - קליטה'!$AI$5:$AI$204,MATCH($A39&amp;"|סוף שנה",'זה אני - קליטה'!$AF$5:$AF$204,0)),""))</f>
        <v/>
      </c>
      <c r="R39" s="28" t="str">
        <f aca="false">IF($A39="","",IFERROR(INDEX('זה אני - קליטה'!$AJ$5:$AJ$204,MATCH($A39&amp;"|סוף שנה",'זה אני - קליטה'!$AF$5:$AF$204,0)),""))</f>
        <v/>
      </c>
      <c r="S39" s="28" t="str">
        <f aca="false">IF($A39="","",IFERROR(INDEX('זה אני - קליטה'!$AK$5:$AK$204,MATCH($A39&amp;"|סוף שנה",'זה אני - קליטה'!$AF$5:$AF$204,0)),""))</f>
        <v/>
      </c>
      <c r="T39" s="28" t="str">
        <f aca="false">IF($A39="","",IFERROR(INDEX('זה אני - קליטה'!$AL$5:$AL$204,MATCH($A39&amp;"|סוף שנה",'זה אני - קליטה'!$AF$5:$AF$204,0)),""))</f>
        <v/>
      </c>
      <c r="U39" s="27" t="str">
        <f aca="false">IF($A39="","",IFERROR(INDEX('זה אני - קליטה'!$AG$5:$AG$204,MATCH($A39&amp;"|סוף שנה",'זה אני - קליטה'!$AF$5:$AF$204,0)),""))</f>
        <v/>
      </c>
      <c r="V39" s="28" t="str">
        <f aca="false">IF($A39="","",IFERROR(INDEX('זה אני - קליטה'!$AN$5:$AN$204,MATCH($A39&amp;"|סוף שנה",'זה אני - קליטה'!$AF$5:$AF$204,0)),""))</f>
        <v/>
      </c>
      <c r="W39" s="32" t="str">
        <f aca="false">IF(AND(ISNUMBER(F39),ISNUMBER(T39)),T39-F39,"")</f>
        <v/>
      </c>
      <c r="X39" s="27" t="str">
        <f aca="false">IF(W39="","",IF(W39&gt;=0.25,"עלייה",IF(W39&lt;=-0.25,"ירידה","יציב")))</f>
        <v/>
      </c>
    </row>
    <row r="40" customFormat="false" ht="15" hidden="false" customHeight="false" outlineLevel="0" collapsed="false">
      <c r="A40" s="29"/>
      <c r="B40" s="28" t="str">
        <f aca="false">IF($A40="","",IFERROR(INDEX('זה אני - קליטה'!$AH$5:$AH$204,MATCH($A40&amp;"|תחילת שנה",'זה אני - קליטה'!$AF$5:$AF$204,0)),""))</f>
        <v/>
      </c>
      <c r="C40" s="28" t="str">
        <f aca="false">IF($A40="","",IFERROR(INDEX('זה אני - קליטה'!$AI$5:$AI$204,MATCH($A40&amp;"|תחילת שנה",'זה אני - קליטה'!$AF$5:$AF$204,0)),""))</f>
        <v/>
      </c>
      <c r="D40" s="28" t="str">
        <f aca="false">IF($A40="","",IFERROR(INDEX('זה אני - קליטה'!$AJ$5:$AJ$204,MATCH($A40&amp;"|תחילת שנה",'זה אני - קליטה'!$AF$5:$AF$204,0)),""))</f>
        <v/>
      </c>
      <c r="E40" s="28" t="str">
        <f aca="false">IF($A40="","",IFERROR(INDEX('זה אני - קליטה'!$AK$5:$AK$204,MATCH($A40&amp;"|תחילת שנה",'זה אני - קליטה'!$AF$5:$AF$204,0)),""))</f>
        <v/>
      </c>
      <c r="F40" s="28" t="str">
        <f aca="false">IF($A40="","",IFERROR(INDEX('זה אני - קליטה'!$AL$5:$AL$204,MATCH($A40&amp;"|תחילת שנה",'זה אני - קליטה'!$AF$5:$AF$204,0)),""))</f>
        <v/>
      </c>
      <c r="G40" s="27" t="str">
        <f aca="false">IF($A40="","",IFERROR(INDEX('זה אני - קליטה'!$AG$5:$AG$204,MATCH($A40&amp;"|תחילת שנה",'זה אני - קליטה'!$AF$5:$AF$204,0)),""))</f>
        <v/>
      </c>
      <c r="H40" s="28" t="str">
        <f aca="false">IF($A40="","",IFERROR(INDEX('זה אני - קליטה'!$AN$5:$AN$204,MATCH($A40&amp;"|תחילת שנה",'זה אני - קליטה'!$AF$5:$AF$204,0)),""))</f>
        <v/>
      </c>
      <c r="I40" s="28" t="str">
        <f aca="false">IF($A40="","",IFERROR(INDEX('זה אני - קליטה'!$AH$5:$AH$204,MATCH($A40&amp;"|אמצע שנה",'זה אני - קליטה'!$AF$5:$AF$204,0)),""))</f>
        <v/>
      </c>
      <c r="J40" s="28" t="str">
        <f aca="false">IF($A40="","",IFERROR(INDEX('זה אני - קליטה'!$AI$5:$AI$204,MATCH($A40&amp;"|אמצע שנה",'זה אני - קליטה'!$AF$5:$AF$204,0)),""))</f>
        <v/>
      </c>
      <c r="K40" s="28" t="str">
        <f aca="false">IF($A40="","",IFERROR(INDEX('זה אני - קליטה'!$AJ$5:$AJ$204,MATCH($A40&amp;"|אמצע שנה",'זה אני - קליטה'!$AF$5:$AF$204,0)),""))</f>
        <v/>
      </c>
      <c r="L40" s="28" t="str">
        <f aca="false">IF($A40="","",IFERROR(INDEX('זה אני - קליטה'!$AK$5:$AK$204,MATCH($A40&amp;"|אמצע שנה",'זה אני - קליטה'!$AF$5:$AF$204,0)),""))</f>
        <v/>
      </c>
      <c r="M40" s="28" t="str">
        <f aca="false">IF($A40="","",IFERROR(INDEX('זה אני - קליטה'!$AL$5:$AL$204,MATCH($A40&amp;"|אמצע שנה",'זה אני - קליטה'!$AF$5:$AF$204,0)),""))</f>
        <v/>
      </c>
      <c r="N40" s="27" t="str">
        <f aca="false">IF($A40="","",IFERROR(INDEX('זה אני - קליטה'!$AG$5:$AG$204,MATCH($A40&amp;"|אמצע שנה",'זה אני - קליטה'!$AF$5:$AF$204,0)),""))</f>
        <v/>
      </c>
      <c r="O40" s="28" t="str">
        <f aca="false">IF($A40="","",IFERROR(INDEX('זה אני - קליטה'!$AN$5:$AN$204,MATCH($A40&amp;"|אמצע שנה",'זה אני - קליטה'!$AF$5:$AF$204,0)),""))</f>
        <v/>
      </c>
      <c r="P40" s="28" t="str">
        <f aca="false">IF($A40="","",IFERROR(INDEX('זה אני - קליטה'!$AH$5:$AH$204,MATCH($A40&amp;"|סוף שנה",'זה אני - קליטה'!$AF$5:$AF$204,0)),""))</f>
        <v/>
      </c>
      <c r="Q40" s="28" t="str">
        <f aca="false">IF($A40="","",IFERROR(INDEX('זה אני - קליטה'!$AI$5:$AI$204,MATCH($A40&amp;"|סוף שנה",'זה אני - קליטה'!$AF$5:$AF$204,0)),""))</f>
        <v/>
      </c>
      <c r="R40" s="28" t="str">
        <f aca="false">IF($A40="","",IFERROR(INDEX('זה אני - קליטה'!$AJ$5:$AJ$204,MATCH($A40&amp;"|סוף שנה",'זה אני - קליטה'!$AF$5:$AF$204,0)),""))</f>
        <v/>
      </c>
      <c r="S40" s="28" t="str">
        <f aca="false">IF($A40="","",IFERROR(INDEX('זה אני - קליטה'!$AK$5:$AK$204,MATCH($A40&amp;"|סוף שנה",'זה אני - קליטה'!$AF$5:$AF$204,0)),""))</f>
        <v/>
      </c>
      <c r="T40" s="28" t="str">
        <f aca="false">IF($A40="","",IFERROR(INDEX('זה אני - קליטה'!$AL$5:$AL$204,MATCH($A40&amp;"|סוף שנה",'זה אני - קליטה'!$AF$5:$AF$204,0)),""))</f>
        <v/>
      </c>
      <c r="U40" s="27" t="str">
        <f aca="false">IF($A40="","",IFERROR(INDEX('זה אני - קליטה'!$AG$5:$AG$204,MATCH($A40&amp;"|סוף שנה",'זה אני - קליטה'!$AF$5:$AF$204,0)),""))</f>
        <v/>
      </c>
      <c r="V40" s="28" t="str">
        <f aca="false">IF($A40="","",IFERROR(INDEX('זה אני - קליטה'!$AN$5:$AN$204,MATCH($A40&amp;"|סוף שנה",'זה אני - קליטה'!$AF$5:$AF$204,0)),""))</f>
        <v/>
      </c>
      <c r="W40" s="32" t="str">
        <f aca="false">IF(AND(ISNUMBER(F40),ISNUMBER(T40)),T40-F40,"")</f>
        <v/>
      </c>
      <c r="X40" s="27" t="str">
        <f aca="false">IF(W40="","",IF(W40&gt;=0.25,"עלייה",IF(W40&lt;=-0.25,"ירידה","יציב")))</f>
        <v/>
      </c>
    </row>
    <row r="41" customFormat="false" ht="15" hidden="false" customHeight="false" outlineLevel="0" collapsed="false">
      <c r="A41" s="29"/>
      <c r="B41" s="28" t="str">
        <f aca="false">IF($A41="","",IFERROR(INDEX('זה אני - קליטה'!$AH$5:$AH$204,MATCH($A41&amp;"|תחילת שנה",'זה אני - קליטה'!$AF$5:$AF$204,0)),""))</f>
        <v/>
      </c>
      <c r="C41" s="28" t="str">
        <f aca="false">IF($A41="","",IFERROR(INDEX('זה אני - קליטה'!$AI$5:$AI$204,MATCH($A41&amp;"|תחילת שנה",'זה אני - קליטה'!$AF$5:$AF$204,0)),""))</f>
        <v/>
      </c>
      <c r="D41" s="28" t="str">
        <f aca="false">IF($A41="","",IFERROR(INDEX('זה אני - קליטה'!$AJ$5:$AJ$204,MATCH($A41&amp;"|תחילת שנה",'זה אני - קליטה'!$AF$5:$AF$204,0)),""))</f>
        <v/>
      </c>
      <c r="E41" s="28" t="str">
        <f aca="false">IF($A41="","",IFERROR(INDEX('זה אני - קליטה'!$AK$5:$AK$204,MATCH($A41&amp;"|תחילת שנה",'זה אני - קליטה'!$AF$5:$AF$204,0)),""))</f>
        <v/>
      </c>
      <c r="F41" s="28" t="str">
        <f aca="false">IF($A41="","",IFERROR(INDEX('זה אני - קליטה'!$AL$5:$AL$204,MATCH($A41&amp;"|תחילת שנה",'זה אני - קליטה'!$AF$5:$AF$204,0)),""))</f>
        <v/>
      </c>
      <c r="G41" s="27" t="str">
        <f aca="false">IF($A41="","",IFERROR(INDEX('זה אני - קליטה'!$AG$5:$AG$204,MATCH($A41&amp;"|תחילת שנה",'זה אני - קליטה'!$AF$5:$AF$204,0)),""))</f>
        <v/>
      </c>
      <c r="H41" s="28" t="str">
        <f aca="false">IF($A41="","",IFERROR(INDEX('זה אני - קליטה'!$AN$5:$AN$204,MATCH($A41&amp;"|תחילת שנה",'זה אני - קליטה'!$AF$5:$AF$204,0)),""))</f>
        <v/>
      </c>
      <c r="I41" s="28" t="str">
        <f aca="false">IF($A41="","",IFERROR(INDEX('זה אני - קליטה'!$AH$5:$AH$204,MATCH($A41&amp;"|אמצע שנה",'זה אני - קליטה'!$AF$5:$AF$204,0)),""))</f>
        <v/>
      </c>
      <c r="J41" s="28" t="str">
        <f aca="false">IF($A41="","",IFERROR(INDEX('זה אני - קליטה'!$AI$5:$AI$204,MATCH($A41&amp;"|אמצע שנה",'זה אני - קליטה'!$AF$5:$AF$204,0)),""))</f>
        <v/>
      </c>
      <c r="K41" s="28" t="str">
        <f aca="false">IF($A41="","",IFERROR(INDEX('זה אני - קליטה'!$AJ$5:$AJ$204,MATCH($A41&amp;"|אמצע שנה",'זה אני - קליטה'!$AF$5:$AF$204,0)),""))</f>
        <v/>
      </c>
      <c r="L41" s="28" t="str">
        <f aca="false">IF($A41="","",IFERROR(INDEX('זה אני - קליטה'!$AK$5:$AK$204,MATCH($A41&amp;"|אמצע שנה",'זה אני - קליטה'!$AF$5:$AF$204,0)),""))</f>
        <v/>
      </c>
      <c r="M41" s="28" t="str">
        <f aca="false">IF($A41="","",IFERROR(INDEX('זה אני - קליטה'!$AL$5:$AL$204,MATCH($A41&amp;"|אמצע שנה",'זה אני - קליטה'!$AF$5:$AF$204,0)),""))</f>
        <v/>
      </c>
      <c r="N41" s="27" t="str">
        <f aca="false">IF($A41="","",IFERROR(INDEX('זה אני - קליטה'!$AG$5:$AG$204,MATCH($A41&amp;"|אמצע שנה",'זה אני - קליטה'!$AF$5:$AF$204,0)),""))</f>
        <v/>
      </c>
      <c r="O41" s="28" t="str">
        <f aca="false">IF($A41="","",IFERROR(INDEX('זה אני - קליטה'!$AN$5:$AN$204,MATCH($A41&amp;"|אמצע שנה",'זה אני - קליטה'!$AF$5:$AF$204,0)),""))</f>
        <v/>
      </c>
      <c r="P41" s="28" t="str">
        <f aca="false">IF($A41="","",IFERROR(INDEX('זה אני - קליטה'!$AH$5:$AH$204,MATCH($A41&amp;"|סוף שנה",'זה אני - קליטה'!$AF$5:$AF$204,0)),""))</f>
        <v/>
      </c>
      <c r="Q41" s="28" t="str">
        <f aca="false">IF($A41="","",IFERROR(INDEX('זה אני - קליטה'!$AI$5:$AI$204,MATCH($A41&amp;"|סוף שנה",'זה אני - קליטה'!$AF$5:$AF$204,0)),""))</f>
        <v/>
      </c>
      <c r="R41" s="28" t="str">
        <f aca="false">IF($A41="","",IFERROR(INDEX('זה אני - קליטה'!$AJ$5:$AJ$204,MATCH($A41&amp;"|סוף שנה",'זה אני - קליטה'!$AF$5:$AF$204,0)),""))</f>
        <v/>
      </c>
      <c r="S41" s="28" t="str">
        <f aca="false">IF($A41="","",IFERROR(INDEX('זה אני - קליטה'!$AK$5:$AK$204,MATCH($A41&amp;"|סוף שנה",'זה אני - קליטה'!$AF$5:$AF$204,0)),""))</f>
        <v/>
      </c>
      <c r="T41" s="28" t="str">
        <f aca="false">IF($A41="","",IFERROR(INDEX('זה אני - קליטה'!$AL$5:$AL$204,MATCH($A41&amp;"|סוף שנה",'זה אני - קליטה'!$AF$5:$AF$204,0)),""))</f>
        <v/>
      </c>
      <c r="U41" s="27" t="str">
        <f aca="false">IF($A41="","",IFERROR(INDEX('זה אני - קליטה'!$AG$5:$AG$204,MATCH($A41&amp;"|סוף שנה",'זה אני - קליטה'!$AF$5:$AF$204,0)),""))</f>
        <v/>
      </c>
      <c r="V41" s="28" t="str">
        <f aca="false">IF($A41="","",IFERROR(INDEX('זה אני - קליטה'!$AN$5:$AN$204,MATCH($A41&amp;"|סוף שנה",'זה אני - קליטה'!$AF$5:$AF$204,0)),""))</f>
        <v/>
      </c>
      <c r="W41" s="32" t="str">
        <f aca="false">IF(AND(ISNUMBER(F41),ISNUMBER(T41)),T41-F41,"")</f>
        <v/>
      </c>
      <c r="X41" s="27" t="str">
        <f aca="false">IF(W41="","",IF(W41&gt;=0.25,"עלייה",IF(W41&lt;=-0.25,"ירידה","יציב")))</f>
        <v/>
      </c>
    </row>
    <row r="42" customFormat="false" ht="15" hidden="false" customHeight="false" outlineLevel="0" collapsed="false">
      <c r="A42" s="29"/>
      <c r="B42" s="28" t="str">
        <f aca="false">IF($A42="","",IFERROR(INDEX('זה אני - קליטה'!$AH$5:$AH$204,MATCH($A42&amp;"|תחילת שנה",'זה אני - קליטה'!$AF$5:$AF$204,0)),""))</f>
        <v/>
      </c>
      <c r="C42" s="28" t="str">
        <f aca="false">IF($A42="","",IFERROR(INDEX('זה אני - קליטה'!$AI$5:$AI$204,MATCH($A42&amp;"|תחילת שנה",'זה אני - קליטה'!$AF$5:$AF$204,0)),""))</f>
        <v/>
      </c>
      <c r="D42" s="28" t="str">
        <f aca="false">IF($A42="","",IFERROR(INDEX('זה אני - קליטה'!$AJ$5:$AJ$204,MATCH($A42&amp;"|תחילת שנה",'זה אני - קליטה'!$AF$5:$AF$204,0)),""))</f>
        <v/>
      </c>
      <c r="E42" s="28" t="str">
        <f aca="false">IF($A42="","",IFERROR(INDEX('זה אני - קליטה'!$AK$5:$AK$204,MATCH($A42&amp;"|תחילת שנה",'זה אני - קליטה'!$AF$5:$AF$204,0)),""))</f>
        <v/>
      </c>
      <c r="F42" s="28" t="str">
        <f aca="false">IF($A42="","",IFERROR(INDEX('זה אני - קליטה'!$AL$5:$AL$204,MATCH($A42&amp;"|תחילת שנה",'זה אני - קליטה'!$AF$5:$AF$204,0)),""))</f>
        <v/>
      </c>
      <c r="G42" s="27" t="str">
        <f aca="false">IF($A42="","",IFERROR(INDEX('זה אני - קליטה'!$AG$5:$AG$204,MATCH($A42&amp;"|תחילת שנה",'זה אני - קליטה'!$AF$5:$AF$204,0)),""))</f>
        <v/>
      </c>
      <c r="H42" s="28" t="str">
        <f aca="false">IF($A42="","",IFERROR(INDEX('זה אני - קליטה'!$AN$5:$AN$204,MATCH($A42&amp;"|תחילת שנה",'זה אני - קליטה'!$AF$5:$AF$204,0)),""))</f>
        <v/>
      </c>
      <c r="I42" s="28" t="str">
        <f aca="false">IF($A42="","",IFERROR(INDEX('זה אני - קליטה'!$AH$5:$AH$204,MATCH($A42&amp;"|אמצע שנה",'זה אני - קליטה'!$AF$5:$AF$204,0)),""))</f>
        <v/>
      </c>
      <c r="J42" s="28" t="str">
        <f aca="false">IF($A42="","",IFERROR(INDEX('זה אני - קליטה'!$AI$5:$AI$204,MATCH($A42&amp;"|אמצע שנה",'זה אני - קליטה'!$AF$5:$AF$204,0)),""))</f>
        <v/>
      </c>
      <c r="K42" s="28" t="str">
        <f aca="false">IF($A42="","",IFERROR(INDEX('זה אני - קליטה'!$AJ$5:$AJ$204,MATCH($A42&amp;"|אמצע שנה",'זה אני - קליטה'!$AF$5:$AF$204,0)),""))</f>
        <v/>
      </c>
      <c r="L42" s="28" t="str">
        <f aca="false">IF($A42="","",IFERROR(INDEX('זה אני - קליטה'!$AK$5:$AK$204,MATCH($A42&amp;"|אמצע שנה",'זה אני - קליטה'!$AF$5:$AF$204,0)),""))</f>
        <v/>
      </c>
      <c r="M42" s="28" t="str">
        <f aca="false">IF($A42="","",IFERROR(INDEX('זה אני - קליטה'!$AL$5:$AL$204,MATCH($A42&amp;"|אמצע שנה",'זה אני - קליטה'!$AF$5:$AF$204,0)),""))</f>
        <v/>
      </c>
      <c r="N42" s="27" t="str">
        <f aca="false">IF($A42="","",IFERROR(INDEX('זה אני - קליטה'!$AG$5:$AG$204,MATCH($A42&amp;"|אמצע שנה",'זה אני - קליטה'!$AF$5:$AF$204,0)),""))</f>
        <v/>
      </c>
      <c r="O42" s="28" t="str">
        <f aca="false">IF($A42="","",IFERROR(INDEX('זה אני - קליטה'!$AN$5:$AN$204,MATCH($A42&amp;"|אמצע שנה",'זה אני - קליטה'!$AF$5:$AF$204,0)),""))</f>
        <v/>
      </c>
      <c r="P42" s="28" t="str">
        <f aca="false">IF($A42="","",IFERROR(INDEX('זה אני - קליטה'!$AH$5:$AH$204,MATCH($A42&amp;"|סוף שנה",'זה אני - קליטה'!$AF$5:$AF$204,0)),""))</f>
        <v/>
      </c>
      <c r="Q42" s="28" t="str">
        <f aca="false">IF($A42="","",IFERROR(INDEX('זה אני - קליטה'!$AI$5:$AI$204,MATCH($A42&amp;"|סוף שנה",'זה אני - קליטה'!$AF$5:$AF$204,0)),""))</f>
        <v/>
      </c>
      <c r="R42" s="28" t="str">
        <f aca="false">IF($A42="","",IFERROR(INDEX('זה אני - קליטה'!$AJ$5:$AJ$204,MATCH($A42&amp;"|סוף שנה",'זה אני - קליטה'!$AF$5:$AF$204,0)),""))</f>
        <v/>
      </c>
      <c r="S42" s="28" t="str">
        <f aca="false">IF($A42="","",IFERROR(INDEX('זה אני - קליטה'!$AK$5:$AK$204,MATCH($A42&amp;"|סוף שנה",'זה אני - קליטה'!$AF$5:$AF$204,0)),""))</f>
        <v/>
      </c>
      <c r="T42" s="28" t="str">
        <f aca="false">IF($A42="","",IFERROR(INDEX('זה אני - קליטה'!$AL$5:$AL$204,MATCH($A42&amp;"|סוף שנה",'זה אני - קליטה'!$AF$5:$AF$204,0)),""))</f>
        <v/>
      </c>
      <c r="U42" s="27" t="str">
        <f aca="false">IF($A42="","",IFERROR(INDEX('זה אני - קליטה'!$AG$5:$AG$204,MATCH($A42&amp;"|סוף שנה",'זה אני - קליטה'!$AF$5:$AF$204,0)),""))</f>
        <v/>
      </c>
      <c r="V42" s="28" t="str">
        <f aca="false">IF($A42="","",IFERROR(INDEX('זה אני - קליטה'!$AN$5:$AN$204,MATCH($A42&amp;"|סוף שנה",'זה אני - קליטה'!$AF$5:$AF$204,0)),""))</f>
        <v/>
      </c>
      <c r="W42" s="32" t="str">
        <f aca="false">IF(AND(ISNUMBER(F42),ISNUMBER(T42)),T42-F42,"")</f>
        <v/>
      </c>
      <c r="X42" s="27" t="str">
        <f aca="false">IF(W42="","",IF(W42&gt;=0.25,"עלייה",IF(W42&lt;=-0.25,"ירידה","יציב")))</f>
        <v/>
      </c>
    </row>
    <row r="43" customFormat="false" ht="15" hidden="false" customHeight="false" outlineLevel="0" collapsed="false">
      <c r="A43" s="29"/>
      <c r="B43" s="28" t="str">
        <f aca="false">IF($A43="","",IFERROR(INDEX('זה אני - קליטה'!$AH$5:$AH$204,MATCH($A43&amp;"|תחילת שנה",'זה אני - קליטה'!$AF$5:$AF$204,0)),""))</f>
        <v/>
      </c>
      <c r="C43" s="28" t="str">
        <f aca="false">IF($A43="","",IFERROR(INDEX('זה אני - קליטה'!$AI$5:$AI$204,MATCH($A43&amp;"|תחילת שנה",'זה אני - קליטה'!$AF$5:$AF$204,0)),""))</f>
        <v/>
      </c>
      <c r="D43" s="28" t="str">
        <f aca="false">IF($A43="","",IFERROR(INDEX('זה אני - קליטה'!$AJ$5:$AJ$204,MATCH($A43&amp;"|תחילת שנה",'זה אני - קליטה'!$AF$5:$AF$204,0)),""))</f>
        <v/>
      </c>
      <c r="E43" s="28" t="str">
        <f aca="false">IF($A43="","",IFERROR(INDEX('זה אני - קליטה'!$AK$5:$AK$204,MATCH($A43&amp;"|תחילת שנה",'זה אני - קליטה'!$AF$5:$AF$204,0)),""))</f>
        <v/>
      </c>
      <c r="F43" s="28" t="str">
        <f aca="false">IF($A43="","",IFERROR(INDEX('זה אני - קליטה'!$AL$5:$AL$204,MATCH($A43&amp;"|תחילת שנה",'זה אני - קליטה'!$AF$5:$AF$204,0)),""))</f>
        <v/>
      </c>
      <c r="G43" s="27" t="str">
        <f aca="false">IF($A43="","",IFERROR(INDEX('זה אני - קליטה'!$AG$5:$AG$204,MATCH($A43&amp;"|תחילת שנה",'זה אני - קליטה'!$AF$5:$AF$204,0)),""))</f>
        <v/>
      </c>
      <c r="H43" s="28" t="str">
        <f aca="false">IF($A43="","",IFERROR(INDEX('זה אני - קליטה'!$AN$5:$AN$204,MATCH($A43&amp;"|תחילת שנה",'זה אני - קליטה'!$AF$5:$AF$204,0)),""))</f>
        <v/>
      </c>
      <c r="I43" s="28" t="str">
        <f aca="false">IF($A43="","",IFERROR(INDEX('זה אני - קליטה'!$AH$5:$AH$204,MATCH($A43&amp;"|אמצע שנה",'זה אני - קליטה'!$AF$5:$AF$204,0)),""))</f>
        <v/>
      </c>
      <c r="J43" s="28" t="str">
        <f aca="false">IF($A43="","",IFERROR(INDEX('זה אני - קליטה'!$AI$5:$AI$204,MATCH($A43&amp;"|אמצע שנה",'זה אני - קליטה'!$AF$5:$AF$204,0)),""))</f>
        <v/>
      </c>
      <c r="K43" s="28" t="str">
        <f aca="false">IF($A43="","",IFERROR(INDEX('זה אני - קליטה'!$AJ$5:$AJ$204,MATCH($A43&amp;"|אמצע שנה",'זה אני - קליטה'!$AF$5:$AF$204,0)),""))</f>
        <v/>
      </c>
      <c r="L43" s="28" t="str">
        <f aca="false">IF($A43="","",IFERROR(INDEX('זה אני - קליטה'!$AK$5:$AK$204,MATCH($A43&amp;"|אמצע שנה",'זה אני - קליטה'!$AF$5:$AF$204,0)),""))</f>
        <v/>
      </c>
      <c r="M43" s="28" t="str">
        <f aca="false">IF($A43="","",IFERROR(INDEX('זה אני - קליטה'!$AL$5:$AL$204,MATCH($A43&amp;"|אמצע שנה",'זה אני - קליטה'!$AF$5:$AF$204,0)),""))</f>
        <v/>
      </c>
      <c r="N43" s="27" t="str">
        <f aca="false">IF($A43="","",IFERROR(INDEX('זה אני - קליטה'!$AG$5:$AG$204,MATCH($A43&amp;"|אמצע שנה",'זה אני - קליטה'!$AF$5:$AF$204,0)),""))</f>
        <v/>
      </c>
      <c r="O43" s="28" t="str">
        <f aca="false">IF($A43="","",IFERROR(INDEX('זה אני - קליטה'!$AN$5:$AN$204,MATCH($A43&amp;"|אמצע שנה",'זה אני - קליטה'!$AF$5:$AF$204,0)),""))</f>
        <v/>
      </c>
      <c r="P43" s="28" t="str">
        <f aca="false">IF($A43="","",IFERROR(INDEX('זה אני - קליטה'!$AH$5:$AH$204,MATCH($A43&amp;"|סוף שנה",'זה אני - קליטה'!$AF$5:$AF$204,0)),""))</f>
        <v/>
      </c>
      <c r="Q43" s="28" t="str">
        <f aca="false">IF($A43="","",IFERROR(INDEX('זה אני - קליטה'!$AI$5:$AI$204,MATCH($A43&amp;"|סוף שנה",'זה אני - קליטה'!$AF$5:$AF$204,0)),""))</f>
        <v/>
      </c>
      <c r="R43" s="28" t="str">
        <f aca="false">IF($A43="","",IFERROR(INDEX('זה אני - קליטה'!$AJ$5:$AJ$204,MATCH($A43&amp;"|סוף שנה",'זה אני - קליטה'!$AF$5:$AF$204,0)),""))</f>
        <v/>
      </c>
      <c r="S43" s="28" t="str">
        <f aca="false">IF($A43="","",IFERROR(INDEX('זה אני - קליטה'!$AK$5:$AK$204,MATCH($A43&amp;"|סוף שנה",'זה אני - קליטה'!$AF$5:$AF$204,0)),""))</f>
        <v/>
      </c>
      <c r="T43" s="28" t="str">
        <f aca="false">IF($A43="","",IFERROR(INDEX('זה אני - קליטה'!$AL$5:$AL$204,MATCH($A43&amp;"|סוף שנה",'זה אני - קליטה'!$AF$5:$AF$204,0)),""))</f>
        <v/>
      </c>
      <c r="U43" s="27" t="str">
        <f aca="false">IF($A43="","",IFERROR(INDEX('זה אני - קליטה'!$AG$5:$AG$204,MATCH($A43&amp;"|סוף שנה",'זה אני - קליטה'!$AF$5:$AF$204,0)),""))</f>
        <v/>
      </c>
      <c r="V43" s="28" t="str">
        <f aca="false">IF($A43="","",IFERROR(INDEX('זה אני - קליטה'!$AN$5:$AN$204,MATCH($A43&amp;"|סוף שנה",'זה אני - קליטה'!$AF$5:$AF$204,0)),""))</f>
        <v/>
      </c>
      <c r="W43" s="32" t="str">
        <f aca="false">IF(AND(ISNUMBER(F43),ISNUMBER(T43)),T43-F43,"")</f>
        <v/>
      </c>
      <c r="X43" s="27" t="str">
        <f aca="false">IF(W43="","",IF(W43&gt;=0.25,"עלייה",IF(W43&lt;=-0.25,"ירידה","יציב")))</f>
        <v/>
      </c>
    </row>
    <row r="44" customFormat="false" ht="15" hidden="false" customHeight="false" outlineLevel="0" collapsed="false">
      <c r="A44" s="29"/>
      <c r="B44" s="28" t="str">
        <f aca="false">IF($A44="","",IFERROR(INDEX('זה אני - קליטה'!$AH$5:$AH$204,MATCH($A44&amp;"|תחילת שנה",'זה אני - קליטה'!$AF$5:$AF$204,0)),""))</f>
        <v/>
      </c>
      <c r="C44" s="28" t="str">
        <f aca="false">IF($A44="","",IFERROR(INDEX('זה אני - קליטה'!$AI$5:$AI$204,MATCH($A44&amp;"|תחילת שנה",'זה אני - קליטה'!$AF$5:$AF$204,0)),""))</f>
        <v/>
      </c>
      <c r="D44" s="28" t="str">
        <f aca="false">IF($A44="","",IFERROR(INDEX('זה אני - קליטה'!$AJ$5:$AJ$204,MATCH($A44&amp;"|תחילת שנה",'זה אני - קליטה'!$AF$5:$AF$204,0)),""))</f>
        <v/>
      </c>
      <c r="E44" s="28" t="str">
        <f aca="false">IF($A44="","",IFERROR(INDEX('זה אני - קליטה'!$AK$5:$AK$204,MATCH($A44&amp;"|תחילת שנה",'זה אני - קליטה'!$AF$5:$AF$204,0)),""))</f>
        <v/>
      </c>
      <c r="F44" s="28" t="str">
        <f aca="false">IF($A44="","",IFERROR(INDEX('זה אני - קליטה'!$AL$5:$AL$204,MATCH($A44&amp;"|תחילת שנה",'זה אני - קליטה'!$AF$5:$AF$204,0)),""))</f>
        <v/>
      </c>
      <c r="G44" s="27" t="str">
        <f aca="false">IF($A44="","",IFERROR(INDEX('זה אני - קליטה'!$AG$5:$AG$204,MATCH($A44&amp;"|תחילת שנה",'זה אני - קליטה'!$AF$5:$AF$204,0)),""))</f>
        <v/>
      </c>
      <c r="H44" s="28" t="str">
        <f aca="false">IF($A44="","",IFERROR(INDEX('זה אני - קליטה'!$AN$5:$AN$204,MATCH($A44&amp;"|תחילת שנה",'זה אני - קליטה'!$AF$5:$AF$204,0)),""))</f>
        <v/>
      </c>
      <c r="I44" s="28" t="str">
        <f aca="false">IF($A44="","",IFERROR(INDEX('זה אני - קליטה'!$AH$5:$AH$204,MATCH($A44&amp;"|אמצע שנה",'זה אני - קליטה'!$AF$5:$AF$204,0)),""))</f>
        <v/>
      </c>
      <c r="J44" s="28" t="str">
        <f aca="false">IF($A44="","",IFERROR(INDEX('זה אני - קליטה'!$AI$5:$AI$204,MATCH($A44&amp;"|אמצע שנה",'זה אני - קליטה'!$AF$5:$AF$204,0)),""))</f>
        <v/>
      </c>
      <c r="K44" s="28" t="str">
        <f aca="false">IF($A44="","",IFERROR(INDEX('זה אני - קליטה'!$AJ$5:$AJ$204,MATCH($A44&amp;"|אמצע שנה",'זה אני - קליטה'!$AF$5:$AF$204,0)),""))</f>
        <v/>
      </c>
      <c r="L44" s="28" t="str">
        <f aca="false">IF($A44="","",IFERROR(INDEX('זה אני - קליטה'!$AK$5:$AK$204,MATCH($A44&amp;"|אמצע שנה",'זה אני - קליטה'!$AF$5:$AF$204,0)),""))</f>
        <v/>
      </c>
      <c r="M44" s="28" t="str">
        <f aca="false">IF($A44="","",IFERROR(INDEX('זה אני - קליטה'!$AL$5:$AL$204,MATCH($A44&amp;"|אמצע שנה",'זה אני - קליטה'!$AF$5:$AF$204,0)),""))</f>
        <v/>
      </c>
      <c r="N44" s="27" t="str">
        <f aca="false">IF($A44="","",IFERROR(INDEX('זה אני - קליטה'!$AG$5:$AG$204,MATCH($A44&amp;"|אמצע שנה",'זה אני - קליטה'!$AF$5:$AF$204,0)),""))</f>
        <v/>
      </c>
      <c r="O44" s="28" t="str">
        <f aca="false">IF($A44="","",IFERROR(INDEX('זה אני - קליטה'!$AN$5:$AN$204,MATCH($A44&amp;"|אמצע שנה",'זה אני - קליטה'!$AF$5:$AF$204,0)),""))</f>
        <v/>
      </c>
      <c r="P44" s="28" t="str">
        <f aca="false">IF($A44="","",IFERROR(INDEX('זה אני - קליטה'!$AH$5:$AH$204,MATCH($A44&amp;"|סוף שנה",'זה אני - קליטה'!$AF$5:$AF$204,0)),""))</f>
        <v/>
      </c>
      <c r="Q44" s="28" t="str">
        <f aca="false">IF($A44="","",IFERROR(INDEX('זה אני - קליטה'!$AI$5:$AI$204,MATCH($A44&amp;"|סוף שנה",'זה אני - קליטה'!$AF$5:$AF$204,0)),""))</f>
        <v/>
      </c>
      <c r="R44" s="28" t="str">
        <f aca="false">IF($A44="","",IFERROR(INDEX('זה אני - קליטה'!$AJ$5:$AJ$204,MATCH($A44&amp;"|סוף שנה",'זה אני - קליטה'!$AF$5:$AF$204,0)),""))</f>
        <v/>
      </c>
      <c r="S44" s="28" t="str">
        <f aca="false">IF($A44="","",IFERROR(INDEX('זה אני - קליטה'!$AK$5:$AK$204,MATCH($A44&amp;"|סוף שנה",'זה אני - קליטה'!$AF$5:$AF$204,0)),""))</f>
        <v/>
      </c>
      <c r="T44" s="28" t="str">
        <f aca="false">IF($A44="","",IFERROR(INDEX('זה אני - קליטה'!$AL$5:$AL$204,MATCH($A44&amp;"|סוף שנה",'זה אני - קליטה'!$AF$5:$AF$204,0)),""))</f>
        <v/>
      </c>
      <c r="U44" s="27" t="str">
        <f aca="false">IF($A44="","",IFERROR(INDEX('זה אני - קליטה'!$AG$5:$AG$204,MATCH($A44&amp;"|סוף שנה",'זה אני - קליטה'!$AF$5:$AF$204,0)),""))</f>
        <v/>
      </c>
      <c r="V44" s="28" t="str">
        <f aca="false">IF($A44="","",IFERROR(INDEX('זה אני - קליטה'!$AN$5:$AN$204,MATCH($A44&amp;"|סוף שנה",'זה אני - קליטה'!$AF$5:$AF$204,0)),""))</f>
        <v/>
      </c>
      <c r="W44" s="32" t="str">
        <f aca="false">IF(AND(ISNUMBER(F44),ISNUMBER(T44)),T44-F44,"")</f>
        <v/>
      </c>
      <c r="X44" s="27" t="str">
        <f aca="false">IF(W44="","",IF(W44&gt;=0.25,"עלייה",IF(W44&lt;=-0.25,"ירידה","יציב")))</f>
        <v/>
      </c>
    </row>
    <row r="45" customFormat="false" ht="15" hidden="false" customHeight="false" outlineLevel="0" collapsed="false">
      <c r="A45" s="29"/>
      <c r="B45" s="28" t="str">
        <f aca="false">IF($A45="","",IFERROR(INDEX('זה אני - קליטה'!$AH$5:$AH$204,MATCH($A45&amp;"|תחילת שנה",'זה אני - קליטה'!$AF$5:$AF$204,0)),""))</f>
        <v/>
      </c>
      <c r="C45" s="28" t="str">
        <f aca="false">IF($A45="","",IFERROR(INDEX('זה אני - קליטה'!$AI$5:$AI$204,MATCH($A45&amp;"|תחילת שנה",'זה אני - קליטה'!$AF$5:$AF$204,0)),""))</f>
        <v/>
      </c>
      <c r="D45" s="28" t="str">
        <f aca="false">IF($A45="","",IFERROR(INDEX('זה אני - קליטה'!$AJ$5:$AJ$204,MATCH($A45&amp;"|תחילת שנה",'זה אני - קליטה'!$AF$5:$AF$204,0)),""))</f>
        <v/>
      </c>
      <c r="E45" s="28" t="str">
        <f aca="false">IF($A45="","",IFERROR(INDEX('זה אני - קליטה'!$AK$5:$AK$204,MATCH($A45&amp;"|תחילת שנה",'זה אני - קליטה'!$AF$5:$AF$204,0)),""))</f>
        <v/>
      </c>
      <c r="F45" s="28" t="str">
        <f aca="false">IF($A45="","",IFERROR(INDEX('זה אני - קליטה'!$AL$5:$AL$204,MATCH($A45&amp;"|תחילת שנה",'זה אני - קליטה'!$AF$5:$AF$204,0)),""))</f>
        <v/>
      </c>
      <c r="G45" s="27" t="str">
        <f aca="false">IF($A45="","",IFERROR(INDEX('זה אני - קליטה'!$AG$5:$AG$204,MATCH($A45&amp;"|תחילת שנה",'זה אני - קליטה'!$AF$5:$AF$204,0)),""))</f>
        <v/>
      </c>
      <c r="H45" s="28" t="str">
        <f aca="false">IF($A45="","",IFERROR(INDEX('זה אני - קליטה'!$AN$5:$AN$204,MATCH($A45&amp;"|תחילת שנה",'זה אני - קליטה'!$AF$5:$AF$204,0)),""))</f>
        <v/>
      </c>
      <c r="I45" s="28" t="str">
        <f aca="false">IF($A45="","",IFERROR(INDEX('זה אני - קליטה'!$AH$5:$AH$204,MATCH($A45&amp;"|אמצע שנה",'זה אני - קליטה'!$AF$5:$AF$204,0)),""))</f>
        <v/>
      </c>
      <c r="J45" s="28" t="str">
        <f aca="false">IF($A45="","",IFERROR(INDEX('זה אני - קליטה'!$AI$5:$AI$204,MATCH($A45&amp;"|אמצע שנה",'זה אני - קליטה'!$AF$5:$AF$204,0)),""))</f>
        <v/>
      </c>
      <c r="K45" s="28" t="str">
        <f aca="false">IF($A45="","",IFERROR(INDEX('זה אני - קליטה'!$AJ$5:$AJ$204,MATCH($A45&amp;"|אמצע שנה",'זה אני - קליטה'!$AF$5:$AF$204,0)),""))</f>
        <v/>
      </c>
      <c r="L45" s="28" t="str">
        <f aca="false">IF($A45="","",IFERROR(INDEX('זה אני - קליטה'!$AK$5:$AK$204,MATCH($A45&amp;"|אמצע שנה",'זה אני - קליטה'!$AF$5:$AF$204,0)),""))</f>
        <v/>
      </c>
      <c r="M45" s="28" t="str">
        <f aca="false">IF($A45="","",IFERROR(INDEX('זה אני - קליטה'!$AL$5:$AL$204,MATCH($A45&amp;"|אמצע שנה",'זה אני - קליטה'!$AF$5:$AF$204,0)),""))</f>
        <v/>
      </c>
      <c r="N45" s="27" t="str">
        <f aca="false">IF($A45="","",IFERROR(INDEX('זה אני - קליטה'!$AG$5:$AG$204,MATCH($A45&amp;"|אמצע שנה",'זה אני - קליטה'!$AF$5:$AF$204,0)),""))</f>
        <v/>
      </c>
      <c r="O45" s="28" t="str">
        <f aca="false">IF($A45="","",IFERROR(INDEX('זה אני - קליטה'!$AN$5:$AN$204,MATCH($A45&amp;"|אמצע שנה",'זה אני - קליטה'!$AF$5:$AF$204,0)),""))</f>
        <v/>
      </c>
      <c r="P45" s="28" t="str">
        <f aca="false">IF($A45="","",IFERROR(INDEX('זה אני - קליטה'!$AH$5:$AH$204,MATCH($A45&amp;"|סוף שנה",'זה אני - קליטה'!$AF$5:$AF$204,0)),""))</f>
        <v/>
      </c>
      <c r="Q45" s="28" t="str">
        <f aca="false">IF($A45="","",IFERROR(INDEX('זה אני - קליטה'!$AI$5:$AI$204,MATCH($A45&amp;"|סוף שנה",'זה אני - קליטה'!$AF$5:$AF$204,0)),""))</f>
        <v/>
      </c>
      <c r="R45" s="28" t="str">
        <f aca="false">IF($A45="","",IFERROR(INDEX('זה אני - קליטה'!$AJ$5:$AJ$204,MATCH($A45&amp;"|סוף שנה",'זה אני - קליטה'!$AF$5:$AF$204,0)),""))</f>
        <v/>
      </c>
      <c r="S45" s="28" t="str">
        <f aca="false">IF($A45="","",IFERROR(INDEX('זה אני - קליטה'!$AK$5:$AK$204,MATCH($A45&amp;"|סוף שנה",'זה אני - קליטה'!$AF$5:$AF$204,0)),""))</f>
        <v/>
      </c>
      <c r="T45" s="28" t="str">
        <f aca="false">IF($A45="","",IFERROR(INDEX('זה אני - קליטה'!$AL$5:$AL$204,MATCH($A45&amp;"|סוף שנה",'זה אני - קליטה'!$AF$5:$AF$204,0)),""))</f>
        <v/>
      </c>
      <c r="U45" s="27" t="str">
        <f aca="false">IF($A45="","",IFERROR(INDEX('זה אני - קליטה'!$AG$5:$AG$204,MATCH($A45&amp;"|סוף שנה",'זה אני - קליטה'!$AF$5:$AF$204,0)),""))</f>
        <v/>
      </c>
      <c r="V45" s="28" t="str">
        <f aca="false">IF($A45="","",IFERROR(INDEX('זה אני - קליטה'!$AN$5:$AN$204,MATCH($A45&amp;"|סוף שנה",'זה אני - קליטה'!$AF$5:$AF$204,0)),""))</f>
        <v/>
      </c>
      <c r="W45" s="32" t="str">
        <f aca="false">IF(AND(ISNUMBER(F45),ISNUMBER(T45)),T45-F45,"")</f>
        <v/>
      </c>
      <c r="X45" s="27" t="str">
        <f aca="false">IF(W45="","",IF(W45&gt;=0.25,"עלייה",IF(W45&lt;=-0.25,"ירידה","יציב")))</f>
        <v/>
      </c>
    </row>
    <row r="46" customFormat="false" ht="15" hidden="false" customHeight="false" outlineLevel="0" collapsed="false">
      <c r="A46" s="29"/>
      <c r="B46" s="28" t="str">
        <f aca="false">IF($A46="","",IFERROR(INDEX('זה אני - קליטה'!$AH$5:$AH$204,MATCH($A46&amp;"|תחילת שנה",'זה אני - קליטה'!$AF$5:$AF$204,0)),""))</f>
        <v/>
      </c>
      <c r="C46" s="28" t="str">
        <f aca="false">IF($A46="","",IFERROR(INDEX('זה אני - קליטה'!$AI$5:$AI$204,MATCH($A46&amp;"|תחילת שנה",'זה אני - קליטה'!$AF$5:$AF$204,0)),""))</f>
        <v/>
      </c>
      <c r="D46" s="28" t="str">
        <f aca="false">IF($A46="","",IFERROR(INDEX('זה אני - קליטה'!$AJ$5:$AJ$204,MATCH($A46&amp;"|תחילת שנה",'זה אני - קליטה'!$AF$5:$AF$204,0)),""))</f>
        <v/>
      </c>
      <c r="E46" s="28" t="str">
        <f aca="false">IF($A46="","",IFERROR(INDEX('זה אני - קליטה'!$AK$5:$AK$204,MATCH($A46&amp;"|תחילת שנה",'זה אני - קליטה'!$AF$5:$AF$204,0)),""))</f>
        <v/>
      </c>
      <c r="F46" s="28" t="str">
        <f aca="false">IF($A46="","",IFERROR(INDEX('זה אני - קליטה'!$AL$5:$AL$204,MATCH($A46&amp;"|תחילת שנה",'זה אני - קליטה'!$AF$5:$AF$204,0)),""))</f>
        <v/>
      </c>
      <c r="G46" s="27" t="str">
        <f aca="false">IF($A46="","",IFERROR(INDEX('זה אני - קליטה'!$AG$5:$AG$204,MATCH($A46&amp;"|תחילת שנה",'זה אני - קליטה'!$AF$5:$AF$204,0)),""))</f>
        <v/>
      </c>
      <c r="H46" s="28" t="str">
        <f aca="false">IF($A46="","",IFERROR(INDEX('זה אני - קליטה'!$AN$5:$AN$204,MATCH($A46&amp;"|תחילת שנה",'זה אני - קליטה'!$AF$5:$AF$204,0)),""))</f>
        <v/>
      </c>
      <c r="I46" s="28" t="str">
        <f aca="false">IF($A46="","",IFERROR(INDEX('זה אני - קליטה'!$AH$5:$AH$204,MATCH($A46&amp;"|אמצע שנה",'זה אני - קליטה'!$AF$5:$AF$204,0)),""))</f>
        <v/>
      </c>
      <c r="J46" s="28" t="str">
        <f aca="false">IF($A46="","",IFERROR(INDEX('זה אני - קליטה'!$AI$5:$AI$204,MATCH($A46&amp;"|אמצע שנה",'זה אני - קליטה'!$AF$5:$AF$204,0)),""))</f>
        <v/>
      </c>
      <c r="K46" s="28" t="str">
        <f aca="false">IF($A46="","",IFERROR(INDEX('זה אני - קליטה'!$AJ$5:$AJ$204,MATCH($A46&amp;"|אמצע שנה",'זה אני - קליטה'!$AF$5:$AF$204,0)),""))</f>
        <v/>
      </c>
      <c r="L46" s="28" t="str">
        <f aca="false">IF($A46="","",IFERROR(INDEX('זה אני - קליטה'!$AK$5:$AK$204,MATCH($A46&amp;"|אמצע שנה",'זה אני - קליטה'!$AF$5:$AF$204,0)),""))</f>
        <v/>
      </c>
      <c r="M46" s="28" t="str">
        <f aca="false">IF($A46="","",IFERROR(INDEX('זה אני - קליטה'!$AL$5:$AL$204,MATCH($A46&amp;"|אמצע שנה",'זה אני - קליטה'!$AF$5:$AF$204,0)),""))</f>
        <v/>
      </c>
      <c r="N46" s="27" t="str">
        <f aca="false">IF($A46="","",IFERROR(INDEX('זה אני - קליטה'!$AG$5:$AG$204,MATCH($A46&amp;"|אמצע שנה",'זה אני - קליטה'!$AF$5:$AF$204,0)),""))</f>
        <v/>
      </c>
      <c r="O46" s="28" t="str">
        <f aca="false">IF($A46="","",IFERROR(INDEX('זה אני - קליטה'!$AN$5:$AN$204,MATCH($A46&amp;"|אמצע שנה",'זה אני - קליטה'!$AF$5:$AF$204,0)),""))</f>
        <v/>
      </c>
      <c r="P46" s="28" t="str">
        <f aca="false">IF($A46="","",IFERROR(INDEX('זה אני - קליטה'!$AH$5:$AH$204,MATCH($A46&amp;"|סוף שנה",'זה אני - קליטה'!$AF$5:$AF$204,0)),""))</f>
        <v/>
      </c>
      <c r="Q46" s="28" t="str">
        <f aca="false">IF($A46="","",IFERROR(INDEX('זה אני - קליטה'!$AI$5:$AI$204,MATCH($A46&amp;"|סוף שנה",'זה אני - קליטה'!$AF$5:$AF$204,0)),""))</f>
        <v/>
      </c>
      <c r="R46" s="28" t="str">
        <f aca="false">IF($A46="","",IFERROR(INDEX('זה אני - קליטה'!$AJ$5:$AJ$204,MATCH($A46&amp;"|סוף שנה",'זה אני - קליטה'!$AF$5:$AF$204,0)),""))</f>
        <v/>
      </c>
      <c r="S46" s="28" t="str">
        <f aca="false">IF($A46="","",IFERROR(INDEX('זה אני - קליטה'!$AK$5:$AK$204,MATCH($A46&amp;"|סוף שנה",'זה אני - קליטה'!$AF$5:$AF$204,0)),""))</f>
        <v/>
      </c>
      <c r="T46" s="28" t="str">
        <f aca="false">IF($A46="","",IFERROR(INDEX('זה אני - קליטה'!$AL$5:$AL$204,MATCH($A46&amp;"|סוף שנה",'זה אני - קליטה'!$AF$5:$AF$204,0)),""))</f>
        <v/>
      </c>
      <c r="U46" s="27" t="str">
        <f aca="false">IF($A46="","",IFERROR(INDEX('זה אני - קליטה'!$AG$5:$AG$204,MATCH($A46&amp;"|סוף שנה",'זה אני - קליטה'!$AF$5:$AF$204,0)),""))</f>
        <v/>
      </c>
      <c r="V46" s="28" t="str">
        <f aca="false">IF($A46="","",IFERROR(INDEX('זה אני - קליטה'!$AN$5:$AN$204,MATCH($A46&amp;"|סוף שנה",'זה אני - קליטה'!$AF$5:$AF$204,0)),""))</f>
        <v/>
      </c>
      <c r="W46" s="32" t="str">
        <f aca="false">IF(AND(ISNUMBER(F46),ISNUMBER(T46)),T46-F46,"")</f>
        <v/>
      </c>
      <c r="X46" s="27" t="str">
        <f aca="false">IF(W46="","",IF(W46&gt;=0.25,"עלייה",IF(W46&lt;=-0.25,"ירידה","יציב")))</f>
        <v/>
      </c>
    </row>
    <row r="47" customFormat="false" ht="15" hidden="false" customHeight="false" outlineLevel="0" collapsed="false">
      <c r="A47" s="29"/>
      <c r="B47" s="28" t="str">
        <f aca="false">IF($A47="","",IFERROR(INDEX('זה אני - קליטה'!$AH$5:$AH$204,MATCH($A47&amp;"|תחילת שנה",'זה אני - קליטה'!$AF$5:$AF$204,0)),""))</f>
        <v/>
      </c>
      <c r="C47" s="28" t="str">
        <f aca="false">IF($A47="","",IFERROR(INDEX('זה אני - קליטה'!$AI$5:$AI$204,MATCH($A47&amp;"|תחילת שנה",'זה אני - קליטה'!$AF$5:$AF$204,0)),""))</f>
        <v/>
      </c>
      <c r="D47" s="28" t="str">
        <f aca="false">IF($A47="","",IFERROR(INDEX('זה אני - קליטה'!$AJ$5:$AJ$204,MATCH($A47&amp;"|תחילת שנה",'זה אני - קליטה'!$AF$5:$AF$204,0)),""))</f>
        <v/>
      </c>
      <c r="E47" s="28" t="str">
        <f aca="false">IF($A47="","",IFERROR(INDEX('זה אני - קליטה'!$AK$5:$AK$204,MATCH($A47&amp;"|תחילת שנה",'זה אני - קליטה'!$AF$5:$AF$204,0)),""))</f>
        <v/>
      </c>
      <c r="F47" s="28" t="str">
        <f aca="false">IF($A47="","",IFERROR(INDEX('זה אני - קליטה'!$AL$5:$AL$204,MATCH($A47&amp;"|תחילת שנה",'זה אני - קליטה'!$AF$5:$AF$204,0)),""))</f>
        <v/>
      </c>
      <c r="G47" s="27" t="str">
        <f aca="false">IF($A47="","",IFERROR(INDEX('זה אני - קליטה'!$AG$5:$AG$204,MATCH($A47&amp;"|תחילת שנה",'זה אני - קליטה'!$AF$5:$AF$204,0)),""))</f>
        <v/>
      </c>
      <c r="H47" s="28" t="str">
        <f aca="false">IF($A47="","",IFERROR(INDEX('זה אני - קליטה'!$AN$5:$AN$204,MATCH($A47&amp;"|תחילת שנה",'זה אני - קליטה'!$AF$5:$AF$204,0)),""))</f>
        <v/>
      </c>
      <c r="I47" s="28" t="str">
        <f aca="false">IF($A47="","",IFERROR(INDEX('זה אני - קליטה'!$AH$5:$AH$204,MATCH($A47&amp;"|אמצע שנה",'זה אני - קליטה'!$AF$5:$AF$204,0)),""))</f>
        <v/>
      </c>
      <c r="J47" s="28" t="str">
        <f aca="false">IF($A47="","",IFERROR(INDEX('זה אני - קליטה'!$AI$5:$AI$204,MATCH($A47&amp;"|אמצע שנה",'זה אני - קליטה'!$AF$5:$AF$204,0)),""))</f>
        <v/>
      </c>
      <c r="K47" s="28" t="str">
        <f aca="false">IF($A47="","",IFERROR(INDEX('זה אני - קליטה'!$AJ$5:$AJ$204,MATCH($A47&amp;"|אמצע שנה",'זה אני - קליטה'!$AF$5:$AF$204,0)),""))</f>
        <v/>
      </c>
      <c r="L47" s="28" t="str">
        <f aca="false">IF($A47="","",IFERROR(INDEX('זה אני - קליטה'!$AK$5:$AK$204,MATCH($A47&amp;"|אמצע שנה",'זה אני - קליטה'!$AF$5:$AF$204,0)),""))</f>
        <v/>
      </c>
      <c r="M47" s="28" t="str">
        <f aca="false">IF($A47="","",IFERROR(INDEX('זה אני - קליטה'!$AL$5:$AL$204,MATCH($A47&amp;"|אמצע שנה",'זה אני - קליטה'!$AF$5:$AF$204,0)),""))</f>
        <v/>
      </c>
      <c r="N47" s="27" t="str">
        <f aca="false">IF($A47="","",IFERROR(INDEX('זה אני - קליטה'!$AG$5:$AG$204,MATCH($A47&amp;"|אמצע שנה",'זה אני - קליטה'!$AF$5:$AF$204,0)),""))</f>
        <v/>
      </c>
      <c r="O47" s="28" t="str">
        <f aca="false">IF($A47="","",IFERROR(INDEX('זה אני - קליטה'!$AN$5:$AN$204,MATCH($A47&amp;"|אמצע שנה",'זה אני - קליטה'!$AF$5:$AF$204,0)),""))</f>
        <v/>
      </c>
      <c r="P47" s="28" t="str">
        <f aca="false">IF($A47="","",IFERROR(INDEX('זה אני - קליטה'!$AH$5:$AH$204,MATCH($A47&amp;"|סוף שנה",'זה אני - קליטה'!$AF$5:$AF$204,0)),""))</f>
        <v/>
      </c>
      <c r="Q47" s="28" t="str">
        <f aca="false">IF($A47="","",IFERROR(INDEX('זה אני - קליטה'!$AI$5:$AI$204,MATCH($A47&amp;"|סוף שנה",'זה אני - קליטה'!$AF$5:$AF$204,0)),""))</f>
        <v/>
      </c>
      <c r="R47" s="28" t="str">
        <f aca="false">IF($A47="","",IFERROR(INDEX('זה אני - קליטה'!$AJ$5:$AJ$204,MATCH($A47&amp;"|סוף שנה",'זה אני - קליטה'!$AF$5:$AF$204,0)),""))</f>
        <v/>
      </c>
      <c r="S47" s="28" t="str">
        <f aca="false">IF($A47="","",IFERROR(INDEX('זה אני - קליטה'!$AK$5:$AK$204,MATCH($A47&amp;"|סוף שנה",'זה אני - קליטה'!$AF$5:$AF$204,0)),""))</f>
        <v/>
      </c>
      <c r="T47" s="28" t="str">
        <f aca="false">IF($A47="","",IFERROR(INDEX('זה אני - קליטה'!$AL$5:$AL$204,MATCH($A47&amp;"|סוף שנה",'זה אני - קליטה'!$AF$5:$AF$204,0)),""))</f>
        <v/>
      </c>
      <c r="U47" s="27" t="str">
        <f aca="false">IF($A47="","",IFERROR(INDEX('זה אני - קליטה'!$AG$5:$AG$204,MATCH($A47&amp;"|סוף שנה",'זה אני - קליטה'!$AF$5:$AF$204,0)),""))</f>
        <v/>
      </c>
      <c r="V47" s="28" t="str">
        <f aca="false">IF($A47="","",IFERROR(INDEX('זה אני - קליטה'!$AN$5:$AN$204,MATCH($A47&amp;"|סוף שנה",'זה אני - קליטה'!$AF$5:$AF$204,0)),""))</f>
        <v/>
      </c>
      <c r="W47" s="32" t="str">
        <f aca="false">IF(AND(ISNUMBER(F47),ISNUMBER(T47)),T47-F47,"")</f>
        <v/>
      </c>
      <c r="X47" s="27" t="str">
        <f aca="false">IF(W47="","",IF(W47&gt;=0.25,"עלייה",IF(W47&lt;=-0.25,"ירידה","יציב")))</f>
        <v/>
      </c>
    </row>
    <row r="48" customFormat="false" ht="15" hidden="false" customHeight="false" outlineLevel="0" collapsed="false">
      <c r="A48" s="29"/>
      <c r="B48" s="28" t="str">
        <f aca="false">IF($A48="","",IFERROR(INDEX('זה אני - קליטה'!$AH$5:$AH$204,MATCH($A48&amp;"|תחילת שנה",'זה אני - קליטה'!$AF$5:$AF$204,0)),""))</f>
        <v/>
      </c>
      <c r="C48" s="28" t="str">
        <f aca="false">IF($A48="","",IFERROR(INDEX('זה אני - קליטה'!$AI$5:$AI$204,MATCH($A48&amp;"|תחילת שנה",'זה אני - קליטה'!$AF$5:$AF$204,0)),""))</f>
        <v/>
      </c>
      <c r="D48" s="28" t="str">
        <f aca="false">IF($A48="","",IFERROR(INDEX('זה אני - קליטה'!$AJ$5:$AJ$204,MATCH($A48&amp;"|תחילת שנה",'זה אני - קליטה'!$AF$5:$AF$204,0)),""))</f>
        <v/>
      </c>
      <c r="E48" s="28" t="str">
        <f aca="false">IF($A48="","",IFERROR(INDEX('זה אני - קליטה'!$AK$5:$AK$204,MATCH($A48&amp;"|תחילת שנה",'זה אני - קליטה'!$AF$5:$AF$204,0)),""))</f>
        <v/>
      </c>
      <c r="F48" s="28" t="str">
        <f aca="false">IF($A48="","",IFERROR(INDEX('זה אני - קליטה'!$AL$5:$AL$204,MATCH($A48&amp;"|תחילת שנה",'זה אני - קליטה'!$AF$5:$AF$204,0)),""))</f>
        <v/>
      </c>
      <c r="G48" s="27" t="str">
        <f aca="false">IF($A48="","",IFERROR(INDEX('זה אני - קליטה'!$AG$5:$AG$204,MATCH($A48&amp;"|תחילת שנה",'זה אני - קליטה'!$AF$5:$AF$204,0)),""))</f>
        <v/>
      </c>
      <c r="H48" s="28" t="str">
        <f aca="false">IF($A48="","",IFERROR(INDEX('זה אני - קליטה'!$AN$5:$AN$204,MATCH($A48&amp;"|תחילת שנה",'זה אני - קליטה'!$AF$5:$AF$204,0)),""))</f>
        <v/>
      </c>
      <c r="I48" s="28" t="str">
        <f aca="false">IF($A48="","",IFERROR(INDEX('זה אני - קליטה'!$AH$5:$AH$204,MATCH($A48&amp;"|אמצע שנה",'זה אני - קליטה'!$AF$5:$AF$204,0)),""))</f>
        <v/>
      </c>
      <c r="J48" s="28" t="str">
        <f aca="false">IF($A48="","",IFERROR(INDEX('זה אני - קליטה'!$AI$5:$AI$204,MATCH($A48&amp;"|אמצע שנה",'זה אני - קליטה'!$AF$5:$AF$204,0)),""))</f>
        <v/>
      </c>
      <c r="K48" s="28" t="str">
        <f aca="false">IF($A48="","",IFERROR(INDEX('זה אני - קליטה'!$AJ$5:$AJ$204,MATCH($A48&amp;"|אמצע שנה",'זה אני - קליטה'!$AF$5:$AF$204,0)),""))</f>
        <v/>
      </c>
      <c r="L48" s="28" t="str">
        <f aca="false">IF($A48="","",IFERROR(INDEX('זה אני - קליטה'!$AK$5:$AK$204,MATCH($A48&amp;"|אמצע שנה",'זה אני - קליטה'!$AF$5:$AF$204,0)),""))</f>
        <v/>
      </c>
      <c r="M48" s="28" t="str">
        <f aca="false">IF($A48="","",IFERROR(INDEX('זה אני - קליטה'!$AL$5:$AL$204,MATCH($A48&amp;"|אמצע שנה",'זה אני - קליטה'!$AF$5:$AF$204,0)),""))</f>
        <v/>
      </c>
      <c r="N48" s="27" t="str">
        <f aca="false">IF($A48="","",IFERROR(INDEX('זה אני - קליטה'!$AG$5:$AG$204,MATCH($A48&amp;"|אמצע שנה",'זה אני - קליטה'!$AF$5:$AF$204,0)),""))</f>
        <v/>
      </c>
      <c r="O48" s="28" t="str">
        <f aca="false">IF($A48="","",IFERROR(INDEX('זה אני - קליטה'!$AN$5:$AN$204,MATCH($A48&amp;"|אמצע שנה",'זה אני - קליטה'!$AF$5:$AF$204,0)),""))</f>
        <v/>
      </c>
      <c r="P48" s="28" t="str">
        <f aca="false">IF($A48="","",IFERROR(INDEX('זה אני - קליטה'!$AH$5:$AH$204,MATCH($A48&amp;"|סוף שנה",'זה אני - קליטה'!$AF$5:$AF$204,0)),""))</f>
        <v/>
      </c>
      <c r="Q48" s="28" t="str">
        <f aca="false">IF($A48="","",IFERROR(INDEX('זה אני - קליטה'!$AI$5:$AI$204,MATCH($A48&amp;"|סוף שנה",'זה אני - קליטה'!$AF$5:$AF$204,0)),""))</f>
        <v/>
      </c>
      <c r="R48" s="28" t="str">
        <f aca="false">IF($A48="","",IFERROR(INDEX('זה אני - קליטה'!$AJ$5:$AJ$204,MATCH($A48&amp;"|סוף שנה",'זה אני - קליטה'!$AF$5:$AF$204,0)),""))</f>
        <v/>
      </c>
      <c r="S48" s="28" t="str">
        <f aca="false">IF($A48="","",IFERROR(INDEX('זה אני - קליטה'!$AK$5:$AK$204,MATCH($A48&amp;"|סוף שנה",'זה אני - קליטה'!$AF$5:$AF$204,0)),""))</f>
        <v/>
      </c>
      <c r="T48" s="28" t="str">
        <f aca="false">IF($A48="","",IFERROR(INDEX('זה אני - קליטה'!$AL$5:$AL$204,MATCH($A48&amp;"|סוף שנה",'זה אני - קליטה'!$AF$5:$AF$204,0)),""))</f>
        <v/>
      </c>
      <c r="U48" s="27" t="str">
        <f aca="false">IF($A48="","",IFERROR(INDEX('זה אני - קליטה'!$AG$5:$AG$204,MATCH($A48&amp;"|סוף שנה",'זה אני - קליטה'!$AF$5:$AF$204,0)),""))</f>
        <v/>
      </c>
      <c r="V48" s="28" t="str">
        <f aca="false">IF($A48="","",IFERROR(INDEX('זה אני - קליטה'!$AN$5:$AN$204,MATCH($A48&amp;"|סוף שנה",'זה אני - קליטה'!$AF$5:$AF$204,0)),""))</f>
        <v/>
      </c>
      <c r="W48" s="32" t="str">
        <f aca="false">IF(AND(ISNUMBER(F48),ISNUMBER(T48)),T48-F48,"")</f>
        <v/>
      </c>
      <c r="X48" s="27" t="str">
        <f aca="false">IF(W48="","",IF(W48&gt;=0.25,"עלייה",IF(W48&lt;=-0.25,"ירידה","יציב")))</f>
        <v/>
      </c>
    </row>
    <row r="49" customFormat="false" ht="15" hidden="false" customHeight="false" outlineLevel="0" collapsed="false">
      <c r="A49" s="29"/>
      <c r="B49" s="28" t="str">
        <f aca="false">IF($A49="","",IFERROR(INDEX('זה אני - קליטה'!$AH$5:$AH$204,MATCH($A49&amp;"|תחילת שנה",'זה אני - קליטה'!$AF$5:$AF$204,0)),""))</f>
        <v/>
      </c>
      <c r="C49" s="28" t="str">
        <f aca="false">IF($A49="","",IFERROR(INDEX('זה אני - קליטה'!$AI$5:$AI$204,MATCH($A49&amp;"|תחילת שנה",'זה אני - קליטה'!$AF$5:$AF$204,0)),""))</f>
        <v/>
      </c>
      <c r="D49" s="28" t="str">
        <f aca="false">IF($A49="","",IFERROR(INDEX('זה אני - קליטה'!$AJ$5:$AJ$204,MATCH($A49&amp;"|תחילת שנה",'זה אני - קליטה'!$AF$5:$AF$204,0)),""))</f>
        <v/>
      </c>
      <c r="E49" s="28" t="str">
        <f aca="false">IF($A49="","",IFERROR(INDEX('זה אני - קליטה'!$AK$5:$AK$204,MATCH($A49&amp;"|תחילת שנה",'זה אני - קליטה'!$AF$5:$AF$204,0)),""))</f>
        <v/>
      </c>
      <c r="F49" s="28" t="str">
        <f aca="false">IF($A49="","",IFERROR(INDEX('זה אני - קליטה'!$AL$5:$AL$204,MATCH($A49&amp;"|תחילת שנה",'זה אני - קליטה'!$AF$5:$AF$204,0)),""))</f>
        <v/>
      </c>
      <c r="G49" s="27" t="str">
        <f aca="false">IF($A49="","",IFERROR(INDEX('זה אני - קליטה'!$AG$5:$AG$204,MATCH($A49&amp;"|תחילת שנה",'זה אני - קליטה'!$AF$5:$AF$204,0)),""))</f>
        <v/>
      </c>
      <c r="H49" s="28" t="str">
        <f aca="false">IF($A49="","",IFERROR(INDEX('זה אני - קליטה'!$AN$5:$AN$204,MATCH($A49&amp;"|תחילת שנה",'זה אני - קליטה'!$AF$5:$AF$204,0)),""))</f>
        <v/>
      </c>
      <c r="I49" s="28" t="str">
        <f aca="false">IF($A49="","",IFERROR(INDEX('זה אני - קליטה'!$AH$5:$AH$204,MATCH($A49&amp;"|אמצע שנה",'זה אני - קליטה'!$AF$5:$AF$204,0)),""))</f>
        <v/>
      </c>
      <c r="J49" s="28" t="str">
        <f aca="false">IF($A49="","",IFERROR(INDEX('זה אני - קליטה'!$AI$5:$AI$204,MATCH($A49&amp;"|אמצע שנה",'זה אני - קליטה'!$AF$5:$AF$204,0)),""))</f>
        <v/>
      </c>
      <c r="K49" s="28" t="str">
        <f aca="false">IF($A49="","",IFERROR(INDEX('זה אני - קליטה'!$AJ$5:$AJ$204,MATCH($A49&amp;"|אמצע שנה",'זה אני - קליטה'!$AF$5:$AF$204,0)),""))</f>
        <v/>
      </c>
      <c r="L49" s="28" t="str">
        <f aca="false">IF($A49="","",IFERROR(INDEX('זה אני - קליטה'!$AK$5:$AK$204,MATCH($A49&amp;"|אמצע שנה",'זה אני - קליטה'!$AF$5:$AF$204,0)),""))</f>
        <v/>
      </c>
      <c r="M49" s="28" t="str">
        <f aca="false">IF($A49="","",IFERROR(INDEX('זה אני - קליטה'!$AL$5:$AL$204,MATCH($A49&amp;"|אמצע שנה",'זה אני - קליטה'!$AF$5:$AF$204,0)),""))</f>
        <v/>
      </c>
      <c r="N49" s="27" t="str">
        <f aca="false">IF($A49="","",IFERROR(INDEX('זה אני - קליטה'!$AG$5:$AG$204,MATCH($A49&amp;"|אמצע שנה",'זה אני - קליטה'!$AF$5:$AF$204,0)),""))</f>
        <v/>
      </c>
      <c r="O49" s="28" t="str">
        <f aca="false">IF($A49="","",IFERROR(INDEX('זה אני - קליטה'!$AN$5:$AN$204,MATCH($A49&amp;"|אמצע שנה",'זה אני - קליטה'!$AF$5:$AF$204,0)),""))</f>
        <v/>
      </c>
      <c r="P49" s="28" t="str">
        <f aca="false">IF($A49="","",IFERROR(INDEX('זה אני - קליטה'!$AH$5:$AH$204,MATCH($A49&amp;"|סוף שנה",'זה אני - קליטה'!$AF$5:$AF$204,0)),""))</f>
        <v/>
      </c>
      <c r="Q49" s="28" t="str">
        <f aca="false">IF($A49="","",IFERROR(INDEX('זה אני - קליטה'!$AI$5:$AI$204,MATCH($A49&amp;"|סוף שנה",'זה אני - קליטה'!$AF$5:$AF$204,0)),""))</f>
        <v/>
      </c>
      <c r="R49" s="28" t="str">
        <f aca="false">IF($A49="","",IFERROR(INDEX('זה אני - קליטה'!$AJ$5:$AJ$204,MATCH($A49&amp;"|סוף שנה",'זה אני - קליטה'!$AF$5:$AF$204,0)),""))</f>
        <v/>
      </c>
      <c r="S49" s="28" t="str">
        <f aca="false">IF($A49="","",IFERROR(INDEX('זה אני - קליטה'!$AK$5:$AK$204,MATCH($A49&amp;"|סוף שנה",'זה אני - קליטה'!$AF$5:$AF$204,0)),""))</f>
        <v/>
      </c>
      <c r="T49" s="28" t="str">
        <f aca="false">IF($A49="","",IFERROR(INDEX('זה אני - קליטה'!$AL$5:$AL$204,MATCH($A49&amp;"|סוף שנה",'זה אני - קליטה'!$AF$5:$AF$204,0)),""))</f>
        <v/>
      </c>
      <c r="U49" s="27" t="str">
        <f aca="false">IF($A49="","",IFERROR(INDEX('זה אני - קליטה'!$AG$5:$AG$204,MATCH($A49&amp;"|סוף שנה",'זה אני - קליטה'!$AF$5:$AF$204,0)),""))</f>
        <v/>
      </c>
      <c r="V49" s="28" t="str">
        <f aca="false">IF($A49="","",IFERROR(INDEX('זה אני - קליטה'!$AN$5:$AN$204,MATCH($A49&amp;"|סוף שנה",'זה אני - קליטה'!$AF$5:$AF$204,0)),""))</f>
        <v/>
      </c>
      <c r="W49" s="32" t="str">
        <f aca="false">IF(AND(ISNUMBER(F49),ISNUMBER(T49)),T49-F49,"")</f>
        <v/>
      </c>
      <c r="X49" s="27" t="str">
        <f aca="false">IF(W49="","",IF(W49&gt;=0.25,"עלייה",IF(W49&lt;=-0.25,"ירידה","יציב")))</f>
        <v/>
      </c>
    </row>
    <row r="50" customFormat="false" ht="15" hidden="false" customHeight="false" outlineLevel="0" collapsed="false">
      <c r="A50" s="29"/>
      <c r="B50" s="28" t="str">
        <f aca="false">IF($A50="","",IFERROR(INDEX('זה אני - קליטה'!$AH$5:$AH$204,MATCH($A50&amp;"|תחילת שנה",'זה אני - קליטה'!$AF$5:$AF$204,0)),""))</f>
        <v/>
      </c>
      <c r="C50" s="28" t="str">
        <f aca="false">IF($A50="","",IFERROR(INDEX('זה אני - קליטה'!$AI$5:$AI$204,MATCH($A50&amp;"|תחילת שנה",'זה אני - קליטה'!$AF$5:$AF$204,0)),""))</f>
        <v/>
      </c>
      <c r="D50" s="28" t="str">
        <f aca="false">IF($A50="","",IFERROR(INDEX('זה אני - קליטה'!$AJ$5:$AJ$204,MATCH($A50&amp;"|תחילת שנה",'זה אני - קליטה'!$AF$5:$AF$204,0)),""))</f>
        <v/>
      </c>
      <c r="E50" s="28" t="str">
        <f aca="false">IF($A50="","",IFERROR(INDEX('זה אני - קליטה'!$AK$5:$AK$204,MATCH($A50&amp;"|תחילת שנה",'זה אני - קליטה'!$AF$5:$AF$204,0)),""))</f>
        <v/>
      </c>
      <c r="F50" s="28" t="str">
        <f aca="false">IF($A50="","",IFERROR(INDEX('זה אני - קליטה'!$AL$5:$AL$204,MATCH($A50&amp;"|תחילת שנה",'זה אני - קליטה'!$AF$5:$AF$204,0)),""))</f>
        <v/>
      </c>
      <c r="G50" s="27" t="str">
        <f aca="false">IF($A50="","",IFERROR(INDEX('זה אני - קליטה'!$AG$5:$AG$204,MATCH($A50&amp;"|תחילת שנה",'זה אני - קליטה'!$AF$5:$AF$204,0)),""))</f>
        <v/>
      </c>
      <c r="H50" s="28" t="str">
        <f aca="false">IF($A50="","",IFERROR(INDEX('זה אני - קליטה'!$AN$5:$AN$204,MATCH($A50&amp;"|תחילת שנה",'זה אני - קליטה'!$AF$5:$AF$204,0)),""))</f>
        <v/>
      </c>
      <c r="I50" s="28" t="str">
        <f aca="false">IF($A50="","",IFERROR(INDEX('זה אני - קליטה'!$AH$5:$AH$204,MATCH($A50&amp;"|אמצע שנה",'זה אני - קליטה'!$AF$5:$AF$204,0)),""))</f>
        <v/>
      </c>
      <c r="J50" s="28" t="str">
        <f aca="false">IF($A50="","",IFERROR(INDEX('זה אני - קליטה'!$AI$5:$AI$204,MATCH($A50&amp;"|אמצע שנה",'זה אני - קליטה'!$AF$5:$AF$204,0)),""))</f>
        <v/>
      </c>
      <c r="K50" s="28" t="str">
        <f aca="false">IF($A50="","",IFERROR(INDEX('זה אני - קליטה'!$AJ$5:$AJ$204,MATCH($A50&amp;"|אמצע שנה",'זה אני - קליטה'!$AF$5:$AF$204,0)),""))</f>
        <v/>
      </c>
      <c r="L50" s="28" t="str">
        <f aca="false">IF($A50="","",IFERROR(INDEX('זה אני - קליטה'!$AK$5:$AK$204,MATCH($A50&amp;"|אמצע שנה",'זה אני - קליטה'!$AF$5:$AF$204,0)),""))</f>
        <v/>
      </c>
      <c r="M50" s="28" t="str">
        <f aca="false">IF($A50="","",IFERROR(INDEX('זה אני - קליטה'!$AL$5:$AL$204,MATCH($A50&amp;"|אמצע שנה",'זה אני - קליטה'!$AF$5:$AF$204,0)),""))</f>
        <v/>
      </c>
      <c r="N50" s="27" t="str">
        <f aca="false">IF($A50="","",IFERROR(INDEX('זה אני - קליטה'!$AG$5:$AG$204,MATCH($A50&amp;"|אמצע שנה",'זה אני - קליטה'!$AF$5:$AF$204,0)),""))</f>
        <v/>
      </c>
      <c r="O50" s="28" t="str">
        <f aca="false">IF($A50="","",IFERROR(INDEX('זה אני - קליטה'!$AN$5:$AN$204,MATCH($A50&amp;"|אמצע שנה",'זה אני - קליטה'!$AF$5:$AF$204,0)),""))</f>
        <v/>
      </c>
      <c r="P50" s="28" t="str">
        <f aca="false">IF($A50="","",IFERROR(INDEX('זה אני - קליטה'!$AH$5:$AH$204,MATCH($A50&amp;"|סוף שנה",'זה אני - קליטה'!$AF$5:$AF$204,0)),""))</f>
        <v/>
      </c>
      <c r="Q50" s="28" t="str">
        <f aca="false">IF($A50="","",IFERROR(INDEX('זה אני - קליטה'!$AI$5:$AI$204,MATCH($A50&amp;"|סוף שנה",'זה אני - קליטה'!$AF$5:$AF$204,0)),""))</f>
        <v/>
      </c>
      <c r="R50" s="28" t="str">
        <f aca="false">IF($A50="","",IFERROR(INDEX('זה אני - קליטה'!$AJ$5:$AJ$204,MATCH($A50&amp;"|סוף שנה",'זה אני - קליטה'!$AF$5:$AF$204,0)),""))</f>
        <v/>
      </c>
      <c r="S50" s="28" t="str">
        <f aca="false">IF($A50="","",IFERROR(INDEX('זה אני - קליטה'!$AK$5:$AK$204,MATCH($A50&amp;"|סוף שנה",'זה אני - קליטה'!$AF$5:$AF$204,0)),""))</f>
        <v/>
      </c>
      <c r="T50" s="28" t="str">
        <f aca="false">IF($A50="","",IFERROR(INDEX('זה אני - קליטה'!$AL$5:$AL$204,MATCH($A50&amp;"|סוף שנה",'זה אני - קליטה'!$AF$5:$AF$204,0)),""))</f>
        <v/>
      </c>
      <c r="U50" s="27" t="str">
        <f aca="false">IF($A50="","",IFERROR(INDEX('זה אני - קליטה'!$AG$5:$AG$204,MATCH($A50&amp;"|סוף שנה",'זה אני - קליטה'!$AF$5:$AF$204,0)),""))</f>
        <v/>
      </c>
      <c r="V50" s="28" t="str">
        <f aca="false">IF($A50="","",IFERROR(INDEX('זה אני - קליטה'!$AN$5:$AN$204,MATCH($A50&amp;"|סוף שנה",'זה אני - קליטה'!$AF$5:$AF$204,0)),""))</f>
        <v/>
      </c>
      <c r="W50" s="32" t="str">
        <f aca="false">IF(AND(ISNUMBER(F50),ISNUMBER(T50)),T50-F50,"")</f>
        <v/>
      </c>
      <c r="X50" s="27" t="str">
        <f aca="false">IF(W50="","",IF(W50&gt;=0.25,"עלייה",IF(W50&lt;=-0.25,"ירידה","יציב")))</f>
        <v/>
      </c>
    </row>
    <row r="51" customFormat="false" ht="15" hidden="false" customHeight="false" outlineLevel="0" collapsed="false">
      <c r="A51" s="29"/>
      <c r="B51" s="28" t="str">
        <f aca="false">IF($A51="","",IFERROR(INDEX('זה אני - קליטה'!$AH$5:$AH$204,MATCH($A51&amp;"|תחילת שנה",'זה אני - קליטה'!$AF$5:$AF$204,0)),""))</f>
        <v/>
      </c>
      <c r="C51" s="28" t="str">
        <f aca="false">IF($A51="","",IFERROR(INDEX('זה אני - קליטה'!$AI$5:$AI$204,MATCH($A51&amp;"|תחילת שנה",'זה אני - קליטה'!$AF$5:$AF$204,0)),""))</f>
        <v/>
      </c>
      <c r="D51" s="28" t="str">
        <f aca="false">IF($A51="","",IFERROR(INDEX('זה אני - קליטה'!$AJ$5:$AJ$204,MATCH($A51&amp;"|תחילת שנה",'זה אני - קליטה'!$AF$5:$AF$204,0)),""))</f>
        <v/>
      </c>
      <c r="E51" s="28" t="str">
        <f aca="false">IF($A51="","",IFERROR(INDEX('זה אני - קליטה'!$AK$5:$AK$204,MATCH($A51&amp;"|תחילת שנה",'זה אני - קליטה'!$AF$5:$AF$204,0)),""))</f>
        <v/>
      </c>
      <c r="F51" s="28" t="str">
        <f aca="false">IF($A51="","",IFERROR(INDEX('זה אני - קליטה'!$AL$5:$AL$204,MATCH($A51&amp;"|תחילת שנה",'זה אני - קליטה'!$AF$5:$AF$204,0)),""))</f>
        <v/>
      </c>
      <c r="G51" s="27" t="str">
        <f aca="false">IF($A51="","",IFERROR(INDEX('זה אני - קליטה'!$AG$5:$AG$204,MATCH($A51&amp;"|תחילת שנה",'זה אני - קליטה'!$AF$5:$AF$204,0)),""))</f>
        <v/>
      </c>
      <c r="H51" s="28" t="str">
        <f aca="false">IF($A51="","",IFERROR(INDEX('זה אני - קליטה'!$AN$5:$AN$204,MATCH($A51&amp;"|תחילת שנה",'זה אני - קליטה'!$AF$5:$AF$204,0)),""))</f>
        <v/>
      </c>
      <c r="I51" s="28" t="str">
        <f aca="false">IF($A51="","",IFERROR(INDEX('זה אני - קליטה'!$AH$5:$AH$204,MATCH($A51&amp;"|אמצע שנה",'זה אני - קליטה'!$AF$5:$AF$204,0)),""))</f>
        <v/>
      </c>
      <c r="J51" s="28" t="str">
        <f aca="false">IF($A51="","",IFERROR(INDEX('זה אני - קליטה'!$AI$5:$AI$204,MATCH($A51&amp;"|אמצע שנה",'זה אני - קליטה'!$AF$5:$AF$204,0)),""))</f>
        <v/>
      </c>
      <c r="K51" s="28" t="str">
        <f aca="false">IF($A51="","",IFERROR(INDEX('זה אני - קליטה'!$AJ$5:$AJ$204,MATCH($A51&amp;"|אמצע שנה",'זה אני - קליטה'!$AF$5:$AF$204,0)),""))</f>
        <v/>
      </c>
      <c r="L51" s="28" t="str">
        <f aca="false">IF($A51="","",IFERROR(INDEX('זה אני - קליטה'!$AK$5:$AK$204,MATCH($A51&amp;"|אמצע שנה",'זה אני - קליטה'!$AF$5:$AF$204,0)),""))</f>
        <v/>
      </c>
      <c r="M51" s="28" t="str">
        <f aca="false">IF($A51="","",IFERROR(INDEX('זה אני - קליטה'!$AL$5:$AL$204,MATCH($A51&amp;"|אמצע שנה",'זה אני - קליטה'!$AF$5:$AF$204,0)),""))</f>
        <v/>
      </c>
      <c r="N51" s="27" t="str">
        <f aca="false">IF($A51="","",IFERROR(INDEX('זה אני - קליטה'!$AG$5:$AG$204,MATCH($A51&amp;"|אמצע שנה",'זה אני - קליטה'!$AF$5:$AF$204,0)),""))</f>
        <v/>
      </c>
      <c r="O51" s="28" t="str">
        <f aca="false">IF($A51="","",IFERROR(INDEX('זה אני - קליטה'!$AN$5:$AN$204,MATCH($A51&amp;"|אמצע שנה",'זה אני - קליטה'!$AF$5:$AF$204,0)),""))</f>
        <v/>
      </c>
      <c r="P51" s="28" t="str">
        <f aca="false">IF($A51="","",IFERROR(INDEX('זה אני - קליטה'!$AH$5:$AH$204,MATCH($A51&amp;"|סוף שנה",'זה אני - קליטה'!$AF$5:$AF$204,0)),""))</f>
        <v/>
      </c>
      <c r="Q51" s="28" t="str">
        <f aca="false">IF($A51="","",IFERROR(INDEX('זה אני - קליטה'!$AI$5:$AI$204,MATCH($A51&amp;"|סוף שנה",'זה אני - קליטה'!$AF$5:$AF$204,0)),""))</f>
        <v/>
      </c>
      <c r="R51" s="28" t="str">
        <f aca="false">IF($A51="","",IFERROR(INDEX('זה אני - קליטה'!$AJ$5:$AJ$204,MATCH($A51&amp;"|סוף שנה",'זה אני - קליטה'!$AF$5:$AF$204,0)),""))</f>
        <v/>
      </c>
      <c r="S51" s="28" t="str">
        <f aca="false">IF($A51="","",IFERROR(INDEX('זה אני - קליטה'!$AK$5:$AK$204,MATCH($A51&amp;"|סוף שנה",'זה אני - קליטה'!$AF$5:$AF$204,0)),""))</f>
        <v/>
      </c>
      <c r="T51" s="28" t="str">
        <f aca="false">IF($A51="","",IFERROR(INDEX('זה אני - קליטה'!$AL$5:$AL$204,MATCH($A51&amp;"|סוף שנה",'זה אני - קליטה'!$AF$5:$AF$204,0)),""))</f>
        <v/>
      </c>
      <c r="U51" s="27" t="str">
        <f aca="false">IF($A51="","",IFERROR(INDEX('זה אני - קליטה'!$AG$5:$AG$204,MATCH($A51&amp;"|סוף שנה",'זה אני - קליטה'!$AF$5:$AF$204,0)),""))</f>
        <v/>
      </c>
      <c r="V51" s="28" t="str">
        <f aca="false">IF($A51="","",IFERROR(INDEX('זה אני - קליטה'!$AN$5:$AN$204,MATCH($A51&amp;"|סוף שנה",'זה אני - קליטה'!$AF$5:$AF$204,0)),""))</f>
        <v/>
      </c>
      <c r="W51" s="32" t="str">
        <f aca="false">IF(AND(ISNUMBER(F51),ISNUMBER(T51)),T51-F51,"")</f>
        <v/>
      </c>
      <c r="X51" s="27" t="str">
        <f aca="false">IF(W51="","",IF(W51&gt;=0.25,"עלייה",IF(W51&lt;=-0.25,"ירידה","יציב")))</f>
        <v/>
      </c>
    </row>
    <row r="52" customFormat="false" ht="15" hidden="false" customHeight="false" outlineLevel="0" collapsed="false">
      <c r="A52" s="29"/>
      <c r="B52" s="28" t="str">
        <f aca="false">IF($A52="","",IFERROR(INDEX('זה אני - קליטה'!$AH$5:$AH$204,MATCH($A52&amp;"|תחילת שנה",'זה אני - קליטה'!$AF$5:$AF$204,0)),""))</f>
        <v/>
      </c>
      <c r="C52" s="28" t="str">
        <f aca="false">IF($A52="","",IFERROR(INDEX('זה אני - קליטה'!$AI$5:$AI$204,MATCH($A52&amp;"|תחילת שנה",'זה אני - קליטה'!$AF$5:$AF$204,0)),""))</f>
        <v/>
      </c>
      <c r="D52" s="28" t="str">
        <f aca="false">IF($A52="","",IFERROR(INDEX('זה אני - קליטה'!$AJ$5:$AJ$204,MATCH($A52&amp;"|תחילת שנה",'זה אני - קליטה'!$AF$5:$AF$204,0)),""))</f>
        <v/>
      </c>
      <c r="E52" s="28" t="str">
        <f aca="false">IF($A52="","",IFERROR(INDEX('זה אני - קליטה'!$AK$5:$AK$204,MATCH($A52&amp;"|תחילת שנה",'זה אני - קליטה'!$AF$5:$AF$204,0)),""))</f>
        <v/>
      </c>
      <c r="F52" s="28" t="str">
        <f aca="false">IF($A52="","",IFERROR(INDEX('זה אני - קליטה'!$AL$5:$AL$204,MATCH($A52&amp;"|תחילת שנה",'זה אני - קליטה'!$AF$5:$AF$204,0)),""))</f>
        <v/>
      </c>
      <c r="G52" s="27" t="str">
        <f aca="false">IF($A52="","",IFERROR(INDEX('זה אני - קליטה'!$AG$5:$AG$204,MATCH($A52&amp;"|תחילת שנה",'זה אני - קליטה'!$AF$5:$AF$204,0)),""))</f>
        <v/>
      </c>
      <c r="H52" s="28" t="str">
        <f aca="false">IF($A52="","",IFERROR(INDEX('זה אני - קליטה'!$AN$5:$AN$204,MATCH($A52&amp;"|תחילת שנה",'זה אני - קליטה'!$AF$5:$AF$204,0)),""))</f>
        <v/>
      </c>
      <c r="I52" s="28" t="str">
        <f aca="false">IF($A52="","",IFERROR(INDEX('זה אני - קליטה'!$AH$5:$AH$204,MATCH($A52&amp;"|אמצע שנה",'זה אני - קליטה'!$AF$5:$AF$204,0)),""))</f>
        <v/>
      </c>
      <c r="J52" s="28" t="str">
        <f aca="false">IF($A52="","",IFERROR(INDEX('זה אני - קליטה'!$AI$5:$AI$204,MATCH($A52&amp;"|אמצע שנה",'זה אני - קליטה'!$AF$5:$AF$204,0)),""))</f>
        <v/>
      </c>
      <c r="K52" s="28" t="str">
        <f aca="false">IF($A52="","",IFERROR(INDEX('זה אני - קליטה'!$AJ$5:$AJ$204,MATCH($A52&amp;"|אמצע שנה",'זה אני - קליטה'!$AF$5:$AF$204,0)),""))</f>
        <v/>
      </c>
      <c r="L52" s="28" t="str">
        <f aca="false">IF($A52="","",IFERROR(INDEX('זה אני - קליטה'!$AK$5:$AK$204,MATCH($A52&amp;"|אמצע שנה",'זה אני - קליטה'!$AF$5:$AF$204,0)),""))</f>
        <v/>
      </c>
      <c r="M52" s="28" t="str">
        <f aca="false">IF($A52="","",IFERROR(INDEX('זה אני - קליטה'!$AL$5:$AL$204,MATCH($A52&amp;"|אמצע שנה",'זה אני - קליטה'!$AF$5:$AF$204,0)),""))</f>
        <v/>
      </c>
      <c r="N52" s="27" t="str">
        <f aca="false">IF($A52="","",IFERROR(INDEX('זה אני - קליטה'!$AG$5:$AG$204,MATCH($A52&amp;"|אמצע שנה",'זה אני - קליטה'!$AF$5:$AF$204,0)),""))</f>
        <v/>
      </c>
      <c r="O52" s="28" t="str">
        <f aca="false">IF($A52="","",IFERROR(INDEX('זה אני - קליטה'!$AN$5:$AN$204,MATCH($A52&amp;"|אמצע שנה",'זה אני - קליטה'!$AF$5:$AF$204,0)),""))</f>
        <v/>
      </c>
      <c r="P52" s="28" t="str">
        <f aca="false">IF($A52="","",IFERROR(INDEX('זה אני - קליטה'!$AH$5:$AH$204,MATCH($A52&amp;"|סוף שנה",'זה אני - קליטה'!$AF$5:$AF$204,0)),""))</f>
        <v/>
      </c>
      <c r="Q52" s="28" t="str">
        <f aca="false">IF($A52="","",IFERROR(INDEX('זה אני - קליטה'!$AI$5:$AI$204,MATCH($A52&amp;"|סוף שנה",'זה אני - קליטה'!$AF$5:$AF$204,0)),""))</f>
        <v/>
      </c>
      <c r="R52" s="28" t="str">
        <f aca="false">IF($A52="","",IFERROR(INDEX('זה אני - קליטה'!$AJ$5:$AJ$204,MATCH($A52&amp;"|סוף שנה",'זה אני - קליטה'!$AF$5:$AF$204,0)),""))</f>
        <v/>
      </c>
      <c r="S52" s="28" t="str">
        <f aca="false">IF($A52="","",IFERROR(INDEX('זה אני - קליטה'!$AK$5:$AK$204,MATCH($A52&amp;"|סוף שנה",'זה אני - קליטה'!$AF$5:$AF$204,0)),""))</f>
        <v/>
      </c>
      <c r="T52" s="28" t="str">
        <f aca="false">IF($A52="","",IFERROR(INDEX('זה אני - קליטה'!$AL$5:$AL$204,MATCH($A52&amp;"|סוף שנה",'זה אני - קליטה'!$AF$5:$AF$204,0)),""))</f>
        <v/>
      </c>
      <c r="U52" s="27" t="str">
        <f aca="false">IF($A52="","",IFERROR(INDEX('זה אני - קליטה'!$AG$5:$AG$204,MATCH($A52&amp;"|סוף שנה",'זה אני - קליטה'!$AF$5:$AF$204,0)),""))</f>
        <v/>
      </c>
      <c r="V52" s="28" t="str">
        <f aca="false">IF($A52="","",IFERROR(INDEX('זה אני - קליטה'!$AN$5:$AN$204,MATCH($A52&amp;"|סוף שנה",'זה אני - קליטה'!$AF$5:$AF$204,0)),""))</f>
        <v/>
      </c>
      <c r="W52" s="32" t="str">
        <f aca="false">IF(AND(ISNUMBER(F52),ISNUMBER(T52)),T52-F52,"")</f>
        <v/>
      </c>
      <c r="X52" s="27" t="str">
        <f aca="false">IF(W52="","",IF(W52&gt;=0.25,"עלייה",IF(W52&lt;=-0.25,"ירידה","יציב")))</f>
        <v/>
      </c>
    </row>
    <row r="53" customFormat="false" ht="15" hidden="false" customHeight="false" outlineLevel="0" collapsed="false">
      <c r="A53" s="29"/>
      <c r="B53" s="28" t="str">
        <f aca="false">IF($A53="","",IFERROR(INDEX('זה אני - קליטה'!$AH$5:$AH$204,MATCH($A53&amp;"|תחילת שנה",'זה אני - קליטה'!$AF$5:$AF$204,0)),""))</f>
        <v/>
      </c>
      <c r="C53" s="28" t="str">
        <f aca="false">IF($A53="","",IFERROR(INDEX('זה אני - קליטה'!$AI$5:$AI$204,MATCH($A53&amp;"|תחילת שנה",'זה אני - קליטה'!$AF$5:$AF$204,0)),""))</f>
        <v/>
      </c>
      <c r="D53" s="28" t="str">
        <f aca="false">IF($A53="","",IFERROR(INDEX('זה אני - קליטה'!$AJ$5:$AJ$204,MATCH($A53&amp;"|תחילת שנה",'זה אני - קליטה'!$AF$5:$AF$204,0)),""))</f>
        <v/>
      </c>
      <c r="E53" s="28" t="str">
        <f aca="false">IF($A53="","",IFERROR(INDEX('זה אני - קליטה'!$AK$5:$AK$204,MATCH($A53&amp;"|תחילת שנה",'זה אני - קליטה'!$AF$5:$AF$204,0)),""))</f>
        <v/>
      </c>
      <c r="F53" s="28" t="str">
        <f aca="false">IF($A53="","",IFERROR(INDEX('זה אני - קליטה'!$AL$5:$AL$204,MATCH($A53&amp;"|תחילת שנה",'זה אני - קליטה'!$AF$5:$AF$204,0)),""))</f>
        <v/>
      </c>
      <c r="G53" s="27" t="str">
        <f aca="false">IF($A53="","",IFERROR(INDEX('זה אני - קליטה'!$AG$5:$AG$204,MATCH($A53&amp;"|תחילת שנה",'זה אני - קליטה'!$AF$5:$AF$204,0)),""))</f>
        <v/>
      </c>
      <c r="H53" s="28" t="str">
        <f aca="false">IF($A53="","",IFERROR(INDEX('זה אני - קליטה'!$AN$5:$AN$204,MATCH($A53&amp;"|תחילת שנה",'זה אני - קליטה'!$AF$5:$AF$204,0)),""))</f>
        <v/>
      </c>
      <c r="I53" s="28" t="str">
        <f aca="false">IF($A53="","",IFERROR(INDEX('זה אני - קליטה'!$AH$5:$AH$204,MATCH($A53&amp;"|אמצע שנה",'זה אני - קליטה'!$AF$5:$AF$204,0)),""))</f>
        <v/>
      </c>
      <c r="J53" s="28" t="str">
        <f aca="false">IF($A53="","",IFERROR(INDEX('זה אני - קליטה'!$AI$5:$AI$204,MATCH($A53&amp;"|אמצע שנה",'זה אני - קליטה'!$AF$5:$AF$204,0)),""))</f>
        <v/>
      </c>
      <c r="K53" s="28" t="str">
        <f aca="false">IF($A53="","",IFERROR(INDEX('זה אני - קליטה'!$AJ$5:$AJ$204,MATCH($A53&amp;"|אמצע שנה",'זה אני - קליטה'!$AF$5:$AF$204,0)),""))</f>
        <v/>
      </c>
      <c r="L53" s="28" t="str">
        <f aca="false">IF($A53="","",IFERROR(INDEX('זה אני - קליטה'!$AK$5:$AK$204,MATCH($A53&amp;"|אמצע שנה",'זה אני - קליטה'!$AF$5:$AF$204,0)),""))</f>
        <v/>
      </c>
      <c r="M53" s="28" t="str">
        <f aca="false">IF($A53="","",IFERROR(INDEX('זה אני - קליטה'!$AL$5:$AL$204,MATCH($A53&amp;"|אמצע שנה",'זה אני - קליטה'!$AF$5:$AF$204,0)),""))</f>
        <v/>
      </c>
      <c r="N53" s="27" t="str">
        <f aca="false">IF($A53="","",IFERROR(INDEX('זה אני - קליטה'!$AG$5:$AG$204,MATCH($A53&amp;"|אמצע שנה",'זה אני - קליטה'!$AF$5:$AF$204,0)),""))</f>
        <v/>
      </c>
      <c r="O53" s="28" t="str">
        <f aca="false">IF($A53="","",IFERROR(INDEX('זה אני - קליטה'!$AN$5:$AN$204,MATCH($A53&amp;"|אמצע שנה",'זה אני - קליטה'!$AF$5:$AF$204,0)),""))</f>
        <v/>
      </c>
      <c r="P53" s="28" t="str">
        <f aca="false">IF($A53="","",IFERROR(INDEX('זה אני - קליטה'!$AH$5:$AH$204,MATCH($A53&amp;"|סוף שנה",'זה אני - קליטה'!$AF$5:$AF$204,0)),""))</f>
        <v/>
      </c>
      <c r="Q53" s="28" t="str">
        <f aca="false">IF($A53="","",IFERROR(INDEX('זה אני - קליטה'!$AI$5:$AI$204,MATCH($A53&amp;"|סוף שנה",'זה אני - קליטה'!$AF$5:$AF$204,0)),""))</f>
        <v/>
      </c>
      <c r="R53" s="28" t="str">
        <f aca="false">IF($A53="","",IFERROR(INDEX('זה אני - קליטה'!$AJ$5:$AJ$204,MATCH($A53&amp;"|סוף שנה",'זה אני - קליטה'!$AF$5:$AF$204,0)),""))</f>
        <v/>
      </c>
      <c r="S53" s="28" t="str">
        <f aca="false">IF($A53="","",IFERROR(INDEX('זה אני - קליטה'!$AK$5:$AK$204,MATCH($A53&amp;"|סוף שנה",'זה אני - קליטה'!$AF$5:$AF$204,0)),""))</f>
        <v/>
      </c>
      <c r="T53" s="28" t="str">
        <f aca="false">IF($A53="","",IFERROR(INDEX('זה אני - קליטה'!$AL$5:$AL$204,MATCH($A53&amp;"|סוף שנה",'זה אני - קליטה'!$AF$5:$AF$204,0)),""))</f>
        <v/>
      </c>
      <c r="U53" s="27" t="str">
        <f aca="false">IF($A53="","",IFERROR(INDEX('זה אני - קליטה'!$AG$5:$AG$204,MATCH($A53&amp;"|סוף שנה",'זה אני - קליטה'!$AF$5:$AF$204,0)),""))</f>
        <v/>
      </c>
      <c r="V53" s="28" t="str">
        <f aca="false">IF($A53="","",IFERROR(INDEX('זה אני - קליטה'!$AN$5:$AN$204,MATCH($A53&amp;"|סוף שנה",'זה אני - קליטה'!$AF$5:$AF$204,0)),""))</f>
        <v/>
      </c>
      <c r="W53" s="32" t="str">
        <f aca="false">IF(AND(ISNUMBER(F53),ISNUMBER(T53)),T53-F53,"")</f>
        <v/>
      </c>
      <c r="X53" s="27" t="str">
        <f aca="false">IF(W53="","",IF(W53&gt;=0.25,"עלייה",IF(W53&lt;=-0.25,"ירידה","יציב")))</f>
        <v/>
      </c>
    </row>
    <row r="54" customFormat="false" ht="15" hidden="false" customHeight="false" outlineLevel="0" collapsed="false">
      <c r="A54" s="29"/>
      <c r="B54" s="28" t="str">
        <f aca="false">IF($A54="","",IFERROR(INDEX('זה אני - קליטה'!$AH$5:$AH$204,MATCH($A54&amp;"|תחילת שנה",'זה אני - קליטה'!$AF$5:$AF$204,0)),""))</f>
        <v/>
      </c>
      <c r="C54" s="28" t="str">
        <f aca="false">IF($A54="","",IFERROR(INDEX('זה אני - קליטה'!$AI$5:$AI$204,MATCH($A54&amp;"|תחילת שנה",'זה אני - קליטה'!$AF$5:$AF$204,0)),""))</f>
        <v/>
      </c>
      <c r="D54" s="28" t="str">
        <f aca="false">IF($A54="","",IFERROR(INDEX('זה אני - קליטה'!$AJ$5:$AJ$204,MATCH($A54&amp;"|תחילת שנה",'זה אני - קליטה'!$AF$5:$AF$204,0)),""))</f>
        <v/>
      </c>
      <c r="E54" s="28" t="str">
        <f aca="false">IF($A54="","",IFERROR(INDEX('זה אני - קליטה'!$AK$5:$AK$204,MATCH($A54&amp;"|תחילת שנה",'זה אני - קליטה'!$AF$5:$AF$204,0)),""))</f>
        <v/>
      </c>
      <c r="F54" s="28" t="str">
        <f aca="false">IF($A54="","",IFERROR(INDEX('זה אני - קליטה'!$AL$5:$AL$204,MATCH($A54&amp;"|תחילת שנה",'זה אני - קליטה'!$AF$5:$AF$204,0)),""))</f>
        <v/>
      </c>
      <c r="G54" s="27" t="str">
        <f aca="false">IF($A54="","",IFERROR(INDEX('זה אני - קליטה'!$AG$5:$AG$204,MATCH($A54&amp;"|תחילת שנה",'זה אני - קליטה'!$AF$5:$AF$204,0)),""))</f>
        <v/>
      </c>
      <c r="H54" s="28" t="str">
        <f aca="false">IF($A54="","",IFERROR(INDEX('זה אני - קליטה'!$AN$5:$AN$204,MATCH($A54&amp;"|תחילת שנה",'זה אני - קליטה'!$AF$5:$AF$204,0)),""))</f>
        <v/>
      </c>
      <c r="I54" s="28" t="str">
        <f aca="false">IF($A54="","",IFERROR(INDEX('זה אני - קליטה'!$AH$5:$AH$204,MATCH($A54&amp;"|אמצע שנה",'זה אני - קליטה'!$AF$5:$AF$204,0)),""))</f>
        <v/>
      </c>
      <c r="J54" s="28" t="str">
        <f aca="false">IF($A54="","",IFERROR(INDEX('זה אני - קליטה'!$AI$5:$AI$204,MATCH($A54&amp;"|אמצע שנה",'זה אני - קליטה'!$AF$5:$AF$204,0)),""))</f>
        <v/>
      </c>
      <c r="K54" s="28" t="str">
        <f aca="false">IF($A54="","",IFERROR(INDEX('זה אני - קליטה'!$AJ$5:$AJ$204,MATCH($A54&amp;"|אמצע שנה",'זה אני - קליטה'!$AF$5:$AF$204,0)),""))</f>
        <v/>
      </c>
      <c r="L54" s="28" t="str">
        <f aca="false">IF($A54="","",IFERROR(INDEX('זה אני - קליטה'!$AK$5:$AK$204,MATCH($A54&amp;"|אמצע שנה",'זה אני - קליטה'!$AF$5:$AF$204,0)),""))</f>
        <v/>
      </c>
      <c r="M54" s="28" t="str">
        <f aca="false">IF($A54="","",IFERROR(INDEX('זה אני - קליטה'!$AL$5:$AL$204,MATCH($A54&amp;"|אמצע שנה",'זה אני - קליטה'!$AF$5:$AF$204,0)),""))</f>
        <v/>
      </c>
      <c r="N54" s="27" t="str">
        <f aca="false">IF($A54="","",IFERROR(INDEX('זה אני - קליטה'!$AG$5:$AG$204,MATCH($A54&amp;"|אמצע שנה",'זה אני - קליטה'!$AF$5:$AF$204,0)),""))</f>
        <v/>
      </c>
      <c r="O54" s="28" t="str">
        <f aca="false">IF($A54="","",IFERROR(INDEX('זה אני - קליטה'!$AN$5:$AN$204,MATCH($A54&amp;"|אמצע שנה",'זה אני - קליטה'!$AF$5:$AF$204,0)),""))</f>
        <v/>
      </c>
      <c r="P54" s="28" t="str">
        <f aca="false">IF($A54="","",IFERROR(INDEX('זה אני - קליטה'!$AH$5:$AH$204,MATCH($A54&amp;"|סוף שנה",'זה אני - קליטה'!$AF$5:$AF$204,0)),""))</f>
        <v/>
      </c>
      <c r="Q54" s="28" t="str">
        <f aca="false">IF($A54="","",IFERROR(INDEX('זה אני - קליטה'!$AI$5:$AI$204,MATCH($A54&amp;"|סוף שנה",'זה אני - קליטה'!$AF$5:$AF$204,0)),""))</f>
        <v/>
      </c>
      <c r="R54" s="28" t="str">
        <f aca="false">IF($A54="","",IFERROR(INDEX('זה אני - קליטה'!$AJ$5:$AJ$204,MATCH($A54&amp;"|סוף שנה",'זה אני - קליטה'!$AF$5:$AF$204,0)),""))</f>
        <v/>
      </c>
      <c r="S54" s="28" t="str">
        <f aca="false">IF($A54="","",IFERROR(INDEX('זה אני - קליטה'!$AK$5:$AK$204,MATCH($A54&amp;"|סוף שנה",'זה אני - קליטה'!$AF$5:$AF$204,0)),""))</f>
        <v/>
      </c>
      <c r="T54" s="28" t="str">
        <f aca="false">IF($A54="","",IFERROR(INDEX('זה אני - קליטה'!$AL$5:$AL$204,MATCH($A54&amp;"|סוף שנה",'זה אני - קליטה'!$AF$5:$AF$204,0)),""))</f>
        <v/>
      </c>
      <c r="U54" s="27" t="str">
        <f aca="false">IF($A54="","",IFERROR(INDEX('זה אני - קליטה'!$AG$5:$AG$204,MATCH($A54&amp;"|סוף שנה",'זה אני - קליטה'!$AF$5:$AF$204,0)),""))</f>
        <v/>
      </c>
      <c r="V54" s="28" t="str">
        <f aca="false">IF($A54="","",IFERROR(INDEX('זה אני - קליטה'!$AN$5:$AN$204,MATCH($A54&amp;"|סוף שנה",'זה אני - קליטה'!$AF$5:$AF$204,0)),""))</f>
        <v/>
      </c>
      <c r="W54" s="32" t="str">
        <f aca="false">IF(AND(ISNUMBER(F54),ISNUMBER(T54)),T54-F54,"")</f>
        <v/>
      </c>
      <c r="X54" s="27" t="str">
        <f aca="false">IF(W54="","",IF(W54&gt;=0.25,"עלייה",IF(W54&lt;=-0.25,"ירידה","יציב")))</f>
        <v/>
      </c>
    </row>
    <row r="55" customFormat="false" ht="15" hidden="false" customHeight="false" outlineLevel="0" collapsed="false">
      <c r="A55" s="29"/>
      <c r="B55" s="28" t="str">
        <f aca="false">IF($A55="","",IFERROR(INDEX('זה אני - קליטה'!$AH$5:$AH$204,MATCH($A55&amp;"|תחילת שנה",'זה אני - קליטה'!$AF$5:$AF$204,0)),""))</f>
        <v/>
      </c>
      <c r="C55" s="28" t="str">
        <f aca="false">IF($A55="","",IFERROR(INDEX('זה אני - קליטה'!$AI$5:$AI$204,MATCH($A55&amp;"|תחילת שנה",'זה אני - קליטה'!$AF$5:$AF$204,0)),""))</f>
        <v/>
      </c>
      <c r="D55" s="28" t="str">
        <f aca="false">IF($A55="","",IFERROR(INDEX('זה אני - קליטה'!$AJ$5:$AJ$204,MATCH($A55&amp;"|תחילת שנה",'זה אני - קליטה'!$AF$5:$AF$204,0)),""))</f>
        <v/>
      </c>
      <c r="E55" s="28" t="str">
        <f aca="false">IF($A55="","",IFERROR(INDEX('זה אני - קליטה'!$AK$5:$AK$204,MATCH($A55&amp;"|תחילת שנה",'זה אני - קליטה'!$AF$5:$AF$204,0)),""))</f>
        <v/>
      </c>
      <c r="F55" s="28" t="str">
        <f aca="false">IF($A55="","",IFERROR(INDEX('זה אני - קליטה'!$AL$5:$AL$204,MATCH($A55&amp;"|תחילת שנה",'זה אני - קליטה'!$AF$5:$AF$204,0)),""))</f>
        <v/>
      </c>
      <c r="G55" s="27" t="str">
        <f aca="false">IF($A55="","",IFERROR(INDEX('זה אני - קליטה'!$AG$5:$AG$204,MATCH($A55&amp;"|תחילת שנה",'זה אני - קליטה'!$AF$5:$AF$204,0)),""))</f>
        <v/>
      </c>
      <c r="H55" s="28" t="str">
        <f aca="false">IF($A55="","",IFERROR(INDEX('זה אני - קליטה'!$AN$5:$AN$204,MATCH($A55&amp;"|תחילת שנה",'זה אני - קליטה'!$AF$5:$AF$204,0)),""))</f>
        <v/>
      </c>
      <c r="I55" s="28" t="str">
        <f aca="false">IF($A55="","",IFERROR(INDEX('זה אני - קליטה'!$AH$5:$AH$204,MATCH($A55&amp;"|אמצע שנה",'זה אני - קליטה'!$AF$5:$AF$204,0)),""))</f>
        <v/>
      </c>
      <c r="J55" s="28" t="str">
        <f aca="false">IF($A55="","",IFERROR(INDEX('זה אני - קליטה'!$AI$5:$AI$204,MATCH($A55&amp;"|אמצע שנה",'זה אני - קליטה'!$AF$5:$AF$204,0)),""))</f>
        <v/>
      </c>
      <c r="K55" s="28" t="str">
        <f aca="false">IF($A55="","",IFERROR(INDEX('זה אני - קליטה'!$AJ$5:$AJ$204,MATCH($A55&amp;"|אמצע שנה",'זה אני - קליטה'!$AF$5:$AF$204,0)),""))</f>
        <v/>
      </c>
      <c r="L55" s="28" t="str">
        <f aca="false">IF($A55="","",IFERROR(INDEX('זה אני - קליטה'!$AK$5:$AK$204,MATCH($A55&amp;"|אמצע שנה",'זה אני - קליטה'!$AF$5:$AF$204,0)),""))</f>
        <v/>
      </c>
      <c r="M55" s="28" t="str">
        <f aca="false">IF($A55="","",IFERROR(INDEX('זה אני - קליטה'!$AL$5:$AL$204,MATCH($A55&amp;"|אמצע שנה",'זה אני - קליטה'!$AF$5:$AF$204,0)),""))</f>
        <v/>
      </c>
      <c r="N55" s="27" t="str">
        <f aca="false">IF($A55="","",IFERROR(INDEX('זה אני - קליטה'!$AG$5:$AG$204,MATCH($A55&amp;"|אמצע שנה",'זה אני - קליטה'!$AF$5:$AF$204,0)),""))</f>
        <v/>
      </c>
      <c r="O55" s="28" t="str">
        <f aca="false">IF($A55="","",IFERROR(INDEX('זה אני - קליטה'!$AN$5:$AN$204,MATCH($A55&amp;"|אמצע שנה",'זה אני - קליטה'!$AF$5:$AF$204,0)),""))</f>
        <v/>
      </c>
      <c r="P55" s="28" t="str">
        <f aca="false">IF($A55="","",IFERROR(INDEX('זה אני - קליטה'!$AH$5:$AH$204,MATCH($A55&amp;"|סוף שנה",'זה אני - קליטה'!$AF$5:$AF$204,0)),""))</f>
        <v/>
      </c>
      <c r="Q55" s="28" t="str">
        <f aca="false">IF($A55="","",IFERROR(INDEX('זה אני - קליטה'!$AI$5:$AI$204,MATCH($A55&amp;"|סוף שנה",'זה אני - קליטה'!$AF$5:$AF$204,0)),""))</f>
        <v/>
      </c>
      <c r="R55" s="28" t="str">
        <f aca="false">IF($A55="","",IFERROR(INDEX('זה אני - קליטה'!$AJ$5:$AJ$204,MATCH($A55&amp;"|סוף שנה",'זה אני - קליטה'!$AF$5:$AF$204,0)),""))</f>
        <v/>
      </c>
      <c r="S55" s="28" t="str">
        <f aca="false">IF($A55="","",IFERROR(INDEX('זה אני - קליטה'!$AK$5:$AK$204,MATCH($A55&amp;"|סוף שנה",'זה אני - קליטה'!$AF$5:$AF$204,0)),""))</f>
        <v/>
      </c>
      <c r="T55" s="28" t="str">
        <f aca="false">IF($A55="","",IFERROR(INDEX('זה אני - קליטה'!$AL$5:$AL$204,MATCH($A55&amp;"|סוף שנה",'זה אני - קליטה'!$AF$5:$AF$204,0)),""))</f>
        <v/>
      </c>
      <c r="U55" s="27" t="str">
        <f aca="false">IF($A55="","",IFERROR(INDEX('זה אני - קליטה'!$AG$5:$AG$204,MATCH($A55&amp;"|סוף שנה",'זה אני - קליטה'!$AF$5:$AF$204,0)),""))</f>
        <v/>
      </c>
      <c r="V55" s="28" t="str">
        <f aca="false">IF($A55="","",IFERROR(INDEX('זה אני - קליטה'!$AN$5:$AN$204,MATCH($A55&amp;"|סוף שנה",'זה אני - קליטה'!$AF$5:$AF$204,0)),""))</f>
        <v/>
      </c>
      <c r="W55" s="32" t="str">
        <f aca="false">IF(AND(ISNUMBER(F55),ISNUMBER(T55)),T55-F55,"")</f>
        <v/>
      </c>
      <c r="X55" s="27" t="str">
        <f aca="false">IF(W55="","",IF(W55&gt;=0.25,"עלייה",IF(W55&lt;=-0.25,"ירידה","יציב")))</f>
        <v/>
      </c>
    </row>
    <row r="56" customFormat="false" ht="15" hidden="false" customHeight="false" outlineLevel="0" collapsed="false">
      <c r="A56" s="29"/>
      <c r="B56" s="28" t="str">
        <f aca="false">IF($A56="","",IFERROR(INDEX('זה אני - קליטה'!$AH$5:$AH$204,MATCH($A56&amp;"|תחילת שנה",'זה אני - קליטה'!$AF$5:$AF$204,0)),""))</f>
        <v/>
      </c>
      <c r="C56" s="28" t="str">
        <f aca="false">IF($A56="","",IFERROR(INDEX('זה אני - קליטה'!$AI$5:$AI$204,MATCH($A56&amp;"|תחילת שנה",'זה אני - קליטה'!$AF$5:$AF$204,0)),""))</f>
        <v/>
      </c>
      <c r="D56" s="28" t="str">
        <f aca="false">IF($A56="","",IFERROR(INDEX('זה אני - קליטה'!$AJ$5:$AJ$204,MATCH($A56&amp;"|תחילת שנה",'זה אני - קליטה'!$AF$5:$AF$204,0)),""))</f>
        <v/>
      </c>
      <c r="E56" s="28" t="str">
        <f aca="false">IF($A56="","",IFERROR(INDEX('זה אני - קליטה'!$AK$5:$AK$204,MATCH($A56&amp;"|תחילת שנה",'זה אני - קליטה'!$AF$5:$AF$204,0)),""))</f>
        <v/>
      </c>
      <c r="F56" s="28" t="str">
        <f aca="false">IF($A56="","",IFERROR(INDEX('זה אני - קליטה'!$AL$5:$AL$204,MATCH($A56&amp;"|תחילת שנה",'זה אני - קליטה'!$AF$5:$AF$204,0)),""))</f>
        <v/>
      </c>
      <c r="G56" s="27" t="str">
        <f aca="false">IF($A56="","",IFERROR(INDEX('זה אני - קליטה'!$AG$5:$AG$204,MATCH($A56&amp;"|תחילת שנה",'זה אני - קליטה'!$AF$5:$AF$204,0)),""))</f>
        <v/>
      </c>
      <c r="H56" s="28" t="str">
        <f aca="false">IF($A56="","",IFERROR(INDEX('זה אני - קליטה'!$AN$5:$AN$204,MATCH($A56&amp;"|תחילת שנה",'זה אני - קליטה'!$AF$5:$AF$204,0)),""))</f>
        <v/>
      </c>
      <c r="I56" s="28" t="str">
        <f aca="false">IF($A56="","",IFERROR(INDEX('זה אני - קליטה'!$AH$5:$AH$204,MATCH($A56&amp;"|אמצע שנה",'זה אני - קליטה'!$AF$5:$AF$204,0)),""))</f>
        <v/>
      </c>
      <c r="J56" s="28" t="str">
        <f aca="false">IF($A56="","",IFERROR(INDEX('זה אני - קליטה'!$AI$5:$AI$204,MATCH($A56&amp;"|אמצע שנה",'זה אני - קליטה'!$AF$5:$AF$204,0)),""))</f>
        <v/>
      </c>
      <c r="K56" s="28" t="str">
        <f aca="false">IF($A56="","",IFERROR(INDEX('זה אני - קליטה'!$AJ$5:$AJ$204,MATCH($A56&amp;"|אמצע שנה",'זה אני - קליטה'!$AF$5:$AF$204,0)),""))</f>
        <v/>
      </c>
      <c r="L56" s="28" t="str">
        <f aca="false">IF($A56="","",IFERROR(INDEX('זה אני - קליטה'!$AK$5:$AK$204,MATCH($A56&amp;"|אמצע שנה",'זה אני - קליטה'!$AF$5:$AF$204,0)),""))</f>
        <v/>
      </c>
      <c r="M56" s="28" t="str">
        <f aca="false">IF($A56="","",IFERROR(INDEX('זה אני - קליטה'!$AL$5:$AL$204,MATCH($A56&amp;"|אמצע שנה",'זה אני - קליטה'!$AF$5:$AF$204,0)),""))</f>
        <v/>
      </c>
      <c r="N56" s="27" t="str">
        <f aca="false">IF($A56="","",IFERROR(INDEX('זה אני - קליטה'!$AG$5:$AG$204,MATCH($A56&amp;"|אמצע שנה",'זה אני - קליטה'!$AF$5:$AF$204,0)),""))</f>
        <v/>
      </c>
      <c r="O56" s="28" t="str">
        <f aca="false">IF($A56="","",IFERROR(INDEX('זה אני - קליטה'!$AN$5:$AN$204,MATCH($A56&amp;"|אמצע שנה",'זה אני - קליטה'!$AF$5:$AF$204,0)),""))</f>
        <v/>
      </c>
      <c r="P56" s="28" t="str">
        <f aca="false">IF($A56="","",IFERROR(INDEX('זה אני - קליטה'!$AH$5:$AH$204,MATCH($A56&amp;"|סוף שנה",'זה אני - קליטה'!$AF$5:$AF$204,0)),""))</f>
        <v/>
      </c>
      <c r="Q56" s="28" t="str">
        <f aca="false">IF($A56="","",IFERROR(INDEX('זה אני - קליטה'!$AI$5:$AI$204,MATCH($A56&amp;"|סוף שנה",'זה אני - קליטה'!$AF$5:$AF$204,0)),""))</f>
        <v/>
      </c>
      <c r="R56" s="28" t="str">
        <f aca="false">IF($A56="","",IFERROR(INDEX('זה אני - קליטה'!$AJ$5:$AJ$204,MATCH($A56&amp;"|סוף שנה",'זה אני - קליטה'!$AF$5:$AF$204,0)),""))</f>
        <v/>
      </c>
      <c r="S56" s="28" t="str">
        <f aca="false">IF($A56="","",IFERROR(INDEX('זה אני - קליטה'!$AK$5:$AK$204,MATCH($A56&amp;"|סוף שנה",'זה אני - קליטה'!$AF$5:$AF$204,0)),""))</f>
        <v/>
      </c>
      <c r="T56" s="28" t="str">
        <f aca="false">IF($A56="","",IFERROR(INDEX('זה אני - קליטה'!$AL$5:$AL$204,MATCH($A56&amp;"|סוף שנה",'זה אני - קליטה'!$AF$5:$AF$204,0)),""))</f>
        <v/>
      </c>
      <c r="U56" s="27" t="str">
        <f aca="false">IF($A56="","",IFERROR(INDEX('זה אני - קליטה'!$AG$5:$AG$204,MATCH($A56&amp;"|סוף שנה",'זה אני - קליטה'!$AF$5:$AF$204,0)),""))</f>
        <v/>
      </c>
      <c r="V56" s="28" t="str">
        <f aca="false">IF($A56="","",IFERROR(INDEX('זה אני - קליטה'!$AN$5:$AN$204,MATCH($A56&amp;"|סוף שנה",'זה אני - קליטה'!$AF$5:$AF$204,0)),""))</f>
        <v/>
      </c>
      <c r="W56" s="32" t="str">
        <f aca="false">IF(AND(ISNUMBER(F56),ISNUMBER(T56)),T56-F56,"")</f>
        <v/>
      </c>
      <c r="X56" s="27" t="str">
        <f aca="false">IF(W56="","",IF(W56&gt;=0.25,"עלייה",IF(W56&lt;=-0.25,"ירידה","יציב")))</f>
        <v/>
      </c>
    </row>
    <row r="57" customFormat="false" ht="15" hidden="false" customHeight="false" outlineLevel="0" collapsed="false">
      <c r="A57" s="29"/>
      <c r="B57" s="28" t="str">
        <f aca="false">IF($A57="","",IFERROR(INDEX('זה אני - קליטה'!$AH$5:$AH$204,MATCH($A57&amp;"|תחילת שנה",'זה אני - קליטה'!$AF$5:$AF$204,0)),""))</f>
        <v/>
      </c>
      <c r="C57" s="28" t="str">
        <f aca="false">IF($A57="","",IFERROR(INDEX('זה אני - קליטה'!$AI$5:$AI$204,MATCH($A57&amp;"|תחילת שנה",'זה אני - קליטה'!$AF$5:$AF$204,0)),""))</f>
        <v/>
      </c>
      <c r="D57" s="28" t="str">
        <f aca="false">IF($A57="","",IFERROR(INDEX('זה אני - קליטה'!$AJ$5:$AJ$204,MATCH($A57&amp;"|תחילת שנה",'זה אני - קליטה'!$AF$5:$AF$204,0)),""))</f>
        <v/>
      </c>
      <c r="E57" s="28" t="str">
        <f aca="false">IF($A57="","",IFERROR(INDEX('זה אני - קליטה'!$AK$5:$AK$204,MATCH($A57&amp;"|תחילת שנה",'זה אני - קליטה'!$AF$5:$AF$204,0)),""))</f>
        <v/>
      </c>
      <c r="F57" s="28" t="str">
        <f aca="false">IF($A57="","",IFERROR(INDEX('זה אני - קליטה'!$AL$5:$AL$204,MATCH($A57&amp;"|תחילת שנה",'זה אני - קליטה'!$AF$5:$AF$204,0)),""))</f>
        <v/>
      </c>
      <c r="G57" s="27" t="str">
        <f aca="false">IF($A57="","",IFERROR(INDEX('זה אני - קליטה'!$AG$5:$AG$204,MATCH($A57&amp;"|תחילת שנה",'זה אני - קליטה'!$AF$5:$AF$204,0)),""))</f>
        <v/>
      </c>
      <c r="H57" s="28" t="str">
        <f aca="false">IF($A57="","",IFERROR(INDEX('זה אני - קליטה'!$AN$5:$AN$204,MATCH($A57&amp;"|תחילת שנה",'זה אני - קליטה'!$AF$5:$AF$204,0)),""))</f>
        <v/>
      </c>
      <c r="I57" s="28" t="str">
        <f aca="false">IF($A57="","",IFERROR(INDEX('זה אני - קליטה'!$AH$5:$AH$204,MATCH($A57&amp;"|אמצע שנה",'זה אני - קליטה'!$AF$5:$AF$204,0)),""))</f>
        <v/>
      </c>
      <c r="J57" s="28" t="str">
        <f aca="false">IF($A57="","",IFERROR(INDEX('זה אני - קליטה'!$AI$5:$AI$204,MATCH($A57&amp;"|אמצע שנה",'זה אני - קליטה'!$AF$5:$AF$204,0)),""))</f>
        <v/>
      </c>
      <c r="K57" s="28" t="str">
        <f aca="false">IF($A57="","",IFERROR(INDEX('זה אני - קליטה'!$AJ$5:$AJ$204,MATCH($A57&amp;"|אמצע שנה",'זה אני - קליטה'!$AF$5:$AF$204,0)),""))</f>
        <v/>
      </c>
      <c r="L57" s="28" t="str">
        <f aca="false">IF($A57="","",IFERROR(INDEX('זה אני - קליטה'!$AK$5:$AK$204,MATCH($A57&amp;"|אמצע שנה",'זה אני - קליטה'!$AF$5:$AF$204,0)),""))</f>
        <v/>
      </c>
      <c r="M57" s="28" t="str">
        <f aca="false">IF($A57="","",IFERROR(INDEX('זה אני - קליטה'!$AL$5:$AL$204,MATCH($A57&amp;"|אמצע שנה",'זה אני - קליטה'!$AF$5:$AF$204,0)),""))</f>
        <v/>
      </c>
      <c r="N57" s="27" t="str">
        <f aca="false">IF($A57="","",IFERROR(INDEX('זה אני - קליטה'!$AG$5:$AG$204,MATCH($A57&amp;"|אמצע שנה",'זה אני - קליטה'!$AF$5:$AF$204,0)),""))</f>
        <v/>
      </c>
      <c r="O57" s="28" t="str">
        <f aca="false">IF($A57="","",IFERROR(INDEX('זה אני - קליטה'!$AN$5:$AN$204,MATCH($A57&amp;"|אמצע שנה",'זה אני - קליטה'!$AF$5:$AF$204,0)),""))</f>
        <v/>
      </c>
      <c r="P57" s="28" t="str">
        <f aca="false">IF($A57="","",IFERROR(INDEX('זה אני - קליטה'!$AH$5:$AH$204,MATCH($A57&amp;"|סוף שנה",'זה אני - קליטה'!$AF$5:$AF$204,0)),""))</f>
        <v/>
      </c>
      <c r="Q57" s="28" t="str">
        <f aca="false">IF($A57="","",IFERROR(INDEX('זה אני - קליטה'!$AI$5:$AI$204,MATCH($A57&amp;"|סוף שנה",'זה אני - קליטה'!$AF$5:$AF$204,0)),""))</f>
        <v/>
      </c>
      <c r="R57" s="28" t="str">
        <f aca="false">IF($A57="","",IFERROR(INDEX('זה אני - קליטה'!$AJ$5:$AJ$204,MATCH($A57&amp;"|סוף שנה",'זה אני - קליטה'!$AF$5:$AF$204,0)),""))</f>
        <v/>
      </c>
      <c r="S57" s="28" t="str">
        <f aca="false">IF($A57="","",IFERROR(INDEX('זה אני - קליטה'!$AK$5:$AK$204,MATCH($A57&amp;"|סוף שנה",'זה אני - קליטה'!$AF$5:$AF$204,0)),""))</f>
        <v/>
      </c>
      <c r="T57" s="28" t="str">
        <f aca="false">IF($A57="","",IFERROR(INDEX('זה אני - קליטה'!$AL$5:$AL$204,MATCH($A57&amp;"|סוף שנה",'זה אני - קליטה'!$AF$5:$AF$204,0)),""))</f>
        <v/>
      </c>
      <c r="U57" s="27" t="str">
        <f aca="false">IF($A57="","",IFERROR(INDEX('זה אני - קליטה'!$AG$5:$AG$204,MATCH($A57&amp;"|סוף שנה",'זה אני - קליטה'!$AF$5:$AF$204,0)),""))</f>
        <v/>
      </c>
      <c r="V57" s="28" t="str">
        <f aca="false">IF($A57="","",IFERROR(INDEX('זה אני - קליטה'!$AN$5:$AN$204,MATCH($A57&amp;"|סוף שנה",'זה אני - קליטה'!$AF$5:$AF$204,0)),""))</f>
        <v/>
      </c>
      <c r="W57" s="32" t="str">
        <f aca="false">IF(AND(ISNUMBER(F57),ISNUMBER(T57)),T57-F57,"")</f>
        <v/>
      </c>
      <c r="X57" s="27" t="str">
        <f aca="false">IF(W57="","",IF(W57&gt;=0.25,"עלייה",IF(W57&lt;=-0.25,"ירידה","יציב")))</f>
        <v/>
      </c>
    </row>
    <row r="58" customFormat="false" ht="15" hidden="false" customHeight="false" outlineLevel="0" collapsed="false">
      <c r="A58" s="29"/>
      <c r="B58" s="28" t="str">
        <f aca="false">IF($A58="","",IFERROR(INDEX('זה אני - קליטה'!$AH$5:$AH$204,MATCH($A58&amp;"|תחילת שנה",'זה אני - קליטה'!$AF$5:$AF$204,0)),""))</f>
        <v/>
      </c>
      <c r="C58" s="28" t="str">
        <f aca="false">IF($A58="","",IFERROR(INDEX('זה אני - קליטה'!$AI$5:$AI$204,MATCH($A58&amp;"|תחילת שנה",'זה אני - קליטה'!$AF$5:$AF$204,0)),""))</f>
        <v/>
      </c>
      <c r="D58" s="28" t="str">
        <f aca="false">IF($A58="","",IFERROR(INDEX('זה אני - קליטה'!$AJ$5:$AJ$204,MATCH($A58&amp;"|תחילת שנה",'זה אני - קליטה'!$AF$5:$AF$204,0)),""))</f>
        <v/>
      </c>
      <c r="E58" s="28" t="str">
        <f aca="false">IF($A58="","",IFERROR(INDEX('זה אני - קליטה'!$AK$5:$AK$204,MATCH($A58&amp;"|תחילת שנה",'זה אני - קליטה'!$AF$5:$AF$204,0)),""))</f>
        <v/>
      </c>
      <c r="F58" s="28" t="str">
        <f aca="false">IF($A58="","",IFERROR(INDEX('זה אני - קליטה'!$AL$5:$AL$204,MATCH($A58&amp;"|תחילת שנה",'זה אני - קליטה'!$AF$5:$AF$204,0)),""))</f>
        <v/>
      </c>
      <c r="G58" s="27" t="str">
        <f aca="false">IF($A58="","",IFERROR(INDEX('זה אני - קליטה'!$AG$5:$AG$204,MATCH($A58&amp;"|תחילת שנה",'זה אני - קליטה'!$AF$5:$AF$204,0)),""))</f>
        <v/>
      </c>
      <c r="H58" s="28" t="str">
        <f aca="false">IF($A58="","",IFERROR(INDEX('זה אני - קליטה'!$AN$5:$AN$204,MATCH($A58&amp;"|תחילת שנה",'זה אני - קליטה'!$AF$5:$AF$204,0)),""))</f>
        <v/>
      </c>
      <c r="I58" s="28" t="str">
        <f aca="false">IF($A58="","",IFERROR(INDEX('זה אני - קליטה'!$AH$5:$AH$204,MATCH($A58&amp;"|אמצע שנה",'זה אני - קליטה'!$AF$5:$AF$204,0)),""))</f>
        <v/>
      </c>
      <c r="J58" s="28" t="str">
        <f aca="false">IF($A58="","",IFERROR(INDEX('זה אני - קליטה'!$AI$5:$AI$204,MATCH($A58&amp;"|אמצע שנה",'זה אני - קליטה'!$AF$5:$AF$204,0)),""))</f>
        <v/>
      </c>
      <c r="K58" s="28" t="str">
        <f aca="false">IF($A58="","",IFERROR(INDEX('זה אני - קליטה'!$AJ$5:$AJ$204,MATCH($A58&amp;"|אמצע שנה",'זה אני - קליטה'!$AF$5:$AF$204,0)),""))</f>
        <v/>
      </c>
      <c r="L58" s="28" t="str">
        <f aca="false">IF($A58="","",IFERROR(INDEX('זה אני - קליטה'!$AK$5:$AK$204,MATCH($A58&amp;"|אמצע שנה",'זה אני - קליטה'!$AF$5:$AF$204,0)),""))</f>
        <v/>
      </c>
      <c r="M58" s="28" t="str">
        <f aca="false">IF($A58="","",IFERROR(INDEX('זה אני - קליטה'!$AL$5:$AL$204,MATCH($A58&amp;"|אמצע שנה",'זה אני - קליטה'!$AF$5:$AF$204,0)),""))</f>
        <v/>
      </c>
      <c r="N58" s="27" t="str">
        <f aca="false">IF($A58="","",IFERROR(INDEX('זה אני - קליטה'!$AG$5:$AG$204,MATCH($A58&amp;"|אמצע שנה",'זה אני - קליטה'!$AF$5:$AF$204,0)),""))</f>
        <v/>
      </c>
      <c r="O58" s="28" t="str">
        <f aca="false">IF($A58="","",IFERROR(INDEX('זה אני - קליטה'!$AN$5:$AN$204,MATCH($A58&amp;"|אמצע שנה",'זה אני - קליטה'!$AF$5:$AF$204,0)),""))</f>
        <v/>
      </c>
      <c r="P58" s="28" t="str">
        <f aca="false">IF($A58="","",IFERROR(INDEX('זה אני - קליטה'!$AH$5:$AH$204,MATCH($A58&amp;"|סוף שנה",'זה אני - קליטה'!$AF$5:$AF$204,0)),""))</f>
        <v/>
      </c>
      <c r="Q58" s="28" t="str">
        <f aca="false">IF($A58="","",IFERROR(INDEX('זה אני - קליטה'!$AI$5:$AI$204,MATCH($A58&amp;"|סוף שנה",'זה אני - קליטה'!$AF$5:$AF$204,0)),""))</f>
        <v/>
      </c>
      <c r="R58" s="28" t="str">
        <f aca="false">IF($A58="","",IFERROR(INDEX('זה אני - קליטה'!$AJ$5:$AJ$204,MATCH($A58&amp;"|סוף שנה",'זה אני - קליטה'!$AF$5:$AF$204,0)),""))</f>
        <v/>
      </c>
      <c r="S58" s="28" t="str">
        <f aca="false">IF($A58="","",IFERROR(INDEX('זה אני - קליטה'!$AK$5:$AK$204,MATCH($A58&amp;"|סוף שנה",'זה אני - קליטה'!$AF$5:$AF$204,0)),""))</f>
        <v/>
      </c>
      <c r="T58" s="28" t="str">
        <f aca="false">IF($A58="","",IFERROR(INDEX('זה אני - קליטה'!$AL$5:$AL$204,MATCH($A58&amp;"|סוף שנה",'זה אני - קליטה'!$AF$5:$AF$204,0)),""))</f>
        <v/>
      </c>
      <c r="U58" s="27" t="str">
        <f aca="false">IF($A58="","",IFERROR(INDEX('זה אני - קליטה'!$AG$5:$AG$204,MATCH($A58&amp;"|סוף שנה",'זה אני - קליטה'!$AF$5:$AF$204,0)),""))</f>
        <v/>
      </c>
      <c r="V58" s="28" t="str">
        <f aca="false">IF($A58="","",IFERROR(INDEX('זה אני - קליטה'!$AN$5:$AN$204,MATCH($A58&amp;"|סוף שנה",'זה אני - קליטה'!$AF$5:$AF$204,0)),""))</f>
        <v/>
      </c>
      <c r="W58" s="32" t="str">
        <f aca="false">IF(AND(ISNUMBER(F58),ISNUMBER(T58)),T58-F58,"")</f>
        <v/>
      </c>
      <c r="X58" s="27" t="str">
        <f aca="false">IF(W58="","",IF(W58&gt;=0.25,"עלייה",IF(W58&lt;=-0.25,"ירידה","יציב")))</f>
        <v/>
      </c>
    </row>
    <row r="59" customFormat="false" ht="15" hidden="false" customHeight="false" outlineLevel="0" collapsed="false">
      <c r="A59" s="29"/>
      <c r="B59" s="28" t="str">
        <f aca="false">IF($A59="","",IFERROR(INDEX('זה אני - קליטה'!$AH$5:$AH$204,MATCH($A59&amp;"|תחילת שנה",'זה אני - קליטה'!$AF$5:$AF$204,0)),""))</f>
        <v/>
      </c>
      <c r="C59" s="28" t="str">
        <f aca="false">IF($A59="","",IFERROR(INDEX('זה אני - קליטה'!$AI$5:$AI$204,MATCH($A59&amp;"|תחילת שנה",'זה אני - קליטה'!$AF$5:$AF$204,0)),""))</f>
        <v/>
      </c>
      <c r="D59" s="28" t="str">
        <f aca="false">IF($A59="","",IFERROR(INDEX('זה אני - קליטה'!$AJ$5:$AJ$204,MATCH($A59&amp;"|תחילת שנה",'זה אני - קליטה'!$AF$5:$AF$204,0)),""))</f>
        <v/>
      </c>
      <c r="E59" s="28" t="str">
        <f aca="false">IF($A59="","",IFERROR(INDEX('זה אני - קליטה'!$AK$5:$AK$204,MATCH($A59&amp;"|תחילת שנה",'זה אני - קליטה'!$AF$5:$AF$204,0)),""))</f>
        <v/>
      </c>
      <c r="F59" s="28" t="str">
        <f aca="false">IF($A59="","",IFERROR(INDEX('זה אני - קליטה'!$AL$5:$AL$204,MATCH($A59&amp;"|תחילת שנה",'זה אני - קליטה'!$AF$5:$AF$204,0)),""))</f>
        <v/>
      </c>
      <c r="G59" s="27" t="str">
        <f aca="false">IF($A59="","",IFERROR(INDEX('זה אני - קליטה'!$AG$5:$AG$204,MATCH($A59&amp;"|תחילת שנה",'זה אני - קליטה'!$AF$5:$AF$204,0)),""))</f>
        <v/>
      </c>
      <c r="H59" s="28" t="str">
        <f aca="false">IF($A59="","",IFERROR(INDEX('זה אני - קליטה'!$AN$5:$AN$204,MATCH($A59&amp;"|תחילת שנה",'זה אני - קליטה'!$AF$5:$AF$204,0)),""))</f>
        <v/>
      </c>
      <c r="I59" s="28" t="str">
        <f aca="false">IF($A59="","",IFERROR(INDEX('זה אני - קליטה'!$AH$5:$AH$204,MATCH($A59&amp;"|אמצע שנה",'זה אני - קליטה'!$AF$5:$AF$204,0)),""))</f>
        <v/>
      </c>
      <c r="J59" s="28" t="str">
        <f aca="false">IF($A59="","",IFERROR(INDEX('זה אני - קליטה'!$AI$5:$AI$204,MATCH($A59&amp;"|אמצע שנה",'זה אני - קליטה'!$AF$5:$AF$204,0)),""))</f>
        <v/>
      </c>
      <c r="K59" s="28" t="str">
        <f aca="false">IF($A59="","",IFERROR(INDEX('זה אני - קליטה'!$AJ$5:$AJ$204,MATCH($A59&amp;"|אמצע שנה",'זה אני - קליטה'!$AF$5:$AF$204,0)),""))</f>
        <v/>
      </c>
      <c r="L59" s="28" t="str">
        <f aca="false">IF($A59="","",IFERROR(INDEX('זה אני - קליטה'!$AK$5:$AK$204,MATCH($A59&amp;"|אמצע שנה",'זה אני - קליטה'!$AF$5:$AF$204,0)),""))</f>
        <v/>
      </c>
      <c r="M59" s="28" t="str">
        <f aca="false">IF($A59="","",IFERROR(INDEX('זה אני - קליטה'!$AL$5:$AL$204,MATCH($A59&amp;"|אמצע שנה",'זה אני - קליטה'!$AF$5:$AF$204,0)),""))</f>
        <v/>
      </c>
      <c r="N59" s="27" t="str">
        <f aca="false">IF($A59="","",IFERROR(INDEX('זה אני - קליטה'!$AG$5:$AG$204,MATCH($A59&amp;"|אמצע שנה",'זה אני - קליטה'!$AF$5:$AF$204,0)),""))</f>
        <v/>
      </c>
      <c r="O59" s="28" t="str">
        <f aca="false">IF($A59="","",IFERROR(INDEX('זה אני - קליטה'!$AN$5:$AN$204,MATCH($A59&amp;"|אמצע שנה",'זה אני - קליטה'!$AF$5:$AF$204,0)),""))</f>
        <v/>
      </c>
      <c r="P59" s="28" t="str">
        <f aca="false">IF($A59="","",IFERROR(INDEX('זה אני - קליטה'!$AH$5:$AH$204,MATCH($A59&amp;"|סוף שנה",'זה אני - קליטה'!$AF$5:$AF$204,0)),""))</f>
        <v/>
      </c>
      <c r="Q59" s="28" t="str">
        <f aca="false">IF($A59="","",IFERROR(INDEX('זה אני - קליטה'!$AI$5:$AI$204,MATCH($A59&amp;"|סוף שנה",'זה אני - קליטה'!$AF$5:$AF$204,0)),""))</f>
        <v/>
      </c>
      <c r="R59" s="28" t="str">
        <f aca="false">IF($A59="","",IFERROR(INDEX('זה אני - קליטה'!$AJ$5:$AJ$204,MATCH($A59&amp;"|סוף שנה",'זה אני - קליטה'!$AF$5:$AF$204,0)),""))</f>
        <v/>
      </c>
      <c r="S59" s="28" t="str">
        <f aca="false">IF($A59="","",IFERROR(INDEX('זה אני - קליטה'!$AK$5:$AK$204,MATCH($A59&amp;"|סוף שנה",'זה אני - קליטה'!$AF$5:$AF$204,0)),""))</f>
        <v/>
      </c>
      <c r="T59" s="28" t="str">
        <f aca="false">IF($A59="","",IFERROR(INDEX('זה אני - קליטה'!$AL$5:$AL$204,MATCH($A59&amp;"|סוף שנה",'זה אני - קליטה'!$AF$5:$AF$204,0)),""))</f>
        <v/>
      </c>
      <c r="U59" s="27" t="str">
        <f aca="false">IF($A59="","",IFERROR(INDEX('זה אני - קליטה'!$AG$5:$AG$204,MATCH($A59&amp;"|סוף שנה",'זה אני - קליטה'!$AF$5:$AF$204,0)),""))</f>
        <v/>
      </c>
      <c r="V59" s="28" t="str">
        <f aca="false">IF($A59="","",IFERROR(INDEX('זה אני - קליטה'!$AN$5:$AN$204,MATCH($A59&amp;"|סוף שנה",'זה אני - קליטה'!$AF$5:$AF$204,0)),""))</f>
        <v/>
      </c>
      <c r="W59" s="32" t="str">
        <f aca="false">IF(AND(ISNUMBER(F59),ISNUMBER(T59)),T59-F59,"")</f>
        <v/>
      </c>
      <c r="X59" s="27" t="str">
        <f aca="false">IF(W59="","",IF(W59&gt;=0.25,"עלייה",IF(W59&lt;=-0.25,"ירידה","יציב")))</f>
        <v/>
      </c>
    </row>
    <row r="60" customFormat="false" ht="15" hidden="false" customHeight="false" outlineLevel="0" collapsed="false">
      <c r="A60" s="29"/>
      <c r="B60" s="28" t="str">
        <f aca="false">IF($A60="","",IFERROR(INDEX('זה אני - קליטה'!$AH$5:$AH$204,MATCH($A60&amp;"|תחילת שנה",'זה אני - קליטה'!$AF$5:$AF$204,0)),""))</f>
        <v/>
      </c>
      <c r="C60" s="28" t="str">
        <f aca="false">IF($A60="","",IFERROR(INDEX('זה אני - קליטה'!$AI$5:$AI$204,MATCH($A60&amp;"|תחילת שנה",'זה אני - קליטה'!$AF$5:$AF$204,0)),""))</f>
        <v/>
      </c>
      <c r="D60" s="28" t="str">
        <f aca="false">IF($A60="","",IFERROR(INDEX('זה אני - קליטה'!$AJ$5:$AJ$204,MATCH($A60&amp;"|תחילת שנה",'זה אני - קליטה'!$AF$5:$AF$204,0)),""))</f>
        <v/>
      </c>
      <c r="E60" s="28" t="str">
        <f aca="false">IF($A60="","",IFERROR(INDEX('זה אני - קליטה'!$AK$5:$AK$204,MATCH($A60&amp;"|תחילת שנה",'זה אני - קליטה'!$AF$5:$AF$204,0)),""))</f>
        <v/>
      </c>
      <c r="F60" s="28" t="str">
        <f aca="false">IF($A60="","",IFERROR(INDEX('זה אני - קליטה'!$AL$5:$AL$204,MATCH($A60&amp;"|תחילת שנה",'זה אני - קליטה'!$AF$5:$AF$204,0)),""))</f>
        <v/>
      </c>
      <c r="G60" s="27" t="str">
        <f aca="false">IF($A60="","",IFERROR(INDEX('זה אני - קליטה'!$AG$5:$AG$204,MATCH($A60&amp;"|תחילת שנה",'זה אני - קליטה'!$AF$5:$AF$204,0)),""))</f>
        <v/>
      </c>
      <c r="H60" s="28" t="str">
        <f aca="false">IF($A60="","",IFERROR(INDEX('זה אני - קליטה'!$AN$5:$AN$204,MATCH($A60&amp;"|תחילת שנה",'זה אני - קליטה'!$AF$5:$AF$204,0)),""))</f>
        <v/>
      </c>
      <c r="I60" s="28" t="str">
        <f aca="false">IF($A60="","",IFERROR(INDEX('זה אני - קליטה'!$AH$5:$AH$204,MATCH($A60&amp;"|אמצע שנה",'זה אני - קליטה'!$AF$5:$AF$204,0)),""))</f>
        <v/>
      </c>
      <c r="J60" s="28" t="str">
        <f aca="false">IF($A60="","",IFERROR(INDEX('זה אני - קליטה'!$AI$5:$AI$204,MATCH($A60&amp;"|אמצע שנה",'זה אני - קליטה'!$AF$5:$AF$204,0)),""))</f>
        <v/>
      </c>
      <c r="K60" s="28" t="str">
        <f aca="false">IF($A60="","",IFERROR(INDEX('זה אני - קליטה'!$AJ$5:$AJ$204,MATCH($A60&amp;"|אמצע שנה",'זה אני - קליטה'!$AF$5:$AF$204,0)),""))</f>
        <v/>
      </c>
      <c r="L60" s="28" t="str">
        <f aca="false">IF($A60="","",IFERROR(INDEX('זה אני - קליטה'!$AK$5:$AK$204,MATCH($A60&amp;"|אמצע שנה",'זה אני - קליטה'!$AF$5:$AF$204,0)),""))</f>
        <v/>
      </c>
      <c r="M60" s="28" t="str">
        <f aca="false">IF($A60="","",IFERROR(INDEX('זה אני - קליטה'!$AL$5:$AL$204,MATCH($A60&amp;"|אמצע שנה",'זה אני - קליטה'!$AF$5:$AF$204,0)),""))</f>
        <v/>
      </c>
      <c r="N60" s="27" t="str">
        <f aca="false">IF($A60="","",IFERROR(INDEX('זה אני - קליטה'!$AG$5:$AG$204,MATCH($A60&amp;"|אמצע שנה",'זה אני - קליטה'!$AF$5:$AF$204,0)),""))</f>
        <v/>
      </c>
      <c r="O60" s="28" t="str">
        <f aca="false">IF($A60="","",IFERROR(INDEX('זה אני - קליטה'!$AN$5:$AN$204,MATCH($A60&amp;"|אמצע שנה",'זה אני - קליטה'!$AF$5:$AF$204,0)),""))</f>
        <v/>
      </c>
      <c r="P60" s="28" t="str">
        <f aca="false">IF($A60="","",IFERROR(INDEX('זה אני - קליטה'!$AH$5:$AH$204,MATCH($A60&amp;"|סוף שנה",'זה אני - קליטה'!$AF$5:$AF$204,0)),""))</f>
        <v/>
      </c>
      <c r="Q60" s="28" t="str">
        <f aca="false">IF($A60="","",IFERROR(INDEX('זה אני - קליטה'!$AI$5:$AI$204,MATCH($A60&amp;"|סוף שנה",'זה אני - קליטה'!$AF$5:$AF$204,0)),""))</f>
        <v/>
      </c>
      <c r="R60" s="28" t="str">
        <f aca="false">IF($A60="","",IFERROR(INDEX('זה אני - קליטה'!$AJ$5:$AJ$204,MATCH($A60&amp;"|סוף שנה",'זה אני - קליטה'!$AF$5:$AF$204,0)),""))</f>
        <v/>
      </c>
      <c r="S60" s="28" t="str">
        <f aca="false">IF($A60="","",IFERROR(INDEX('זה אני - קליטה'!$AK$5:$AK$204,MATCH($A60&amp;"|סוף שנה",'זה אני - קליטה'!$AF$5:$AF$204,0)),""))</f>
        <v/>
      </c>
      <c r="T60" s="28" t="str">
        <f aca="false">IF($A60="","",IFERROR(INDEX('זה אני - קליטה'!$AL$5:$AL$204,MATCH($A60&amp;"|סוף שנה",'זה אני - קליטה'!$AF$5:$AF$204,0)),""))</f>
        <v/>
      </c>
      <c r="U60" s="27" t="str">
        <f aca="false">IF($A60="","",IFERROR(INDEX('זה אני - קליטה'!$AG$5:$AG$204,MATCH($A60&amp;"|סוף שנה",'זה אני - קליטה'!$AF$5:$AF$204,0)),""))</f>
        <v/>
      </c>
      <c r="V60" s="28" t="str">
        <f aca="false">IF($A60="","",IFERROR(INDEX('זה אני - קליטה'!$AN$5:$AN$204,MATCH($A60&amp;"|סוף שנה",'זה אני - קליטה'!$AF$5:$AF$204,0)),""))</f>
        <v/>
      </c>
      <c r="W60" s="32" t="str">
        <f aca="false">IF(AND(ISNUMBER(F60),ISNUMBER(T60)),T60-F60,"")</f>
        <v/>
      </c>
      <c r="X60" s="27" t="str">
        <f aca="false">IF(W60="","",IF(W60&gt;=0.25,"עלייה",IF(W60&lt;=-0.25,"ירידה","יציב")))</f>
        <v/>
      </c>
    </row>
    <row r="61" customFormat="false" ht="15" hidden="false" customHeight="false" outlineLevel="0" collapsed="false">
      <c r="A61" s="29"/>
      <c r="B61" s="28" t="str">
        <f aca="false">IF($A61="","",IFERROR(INDEX('זה אני - קליטה'!$AH$5:$AH$204,MATCH($A61&amp;"|תחילת שנה",'זה אני - קליטה'!$AF$5:$AF$204,0)),""))</f>
        <v/>
      </c>
      <c r="C61" s="28" t="str">
        <f aca="false">IF($A61="","",IFERROR(INDEX('זה אני - קליטה'!$AI$5:$AI$204,MATCH($A61&amp;"|תחילת שנה",'זה אני - קליטה'!$AF$5:$AF$204,0)),""))</f>
        <v/>
      </c>
      <c r="D61" s="28" t="str">
        <f aca="false">IF($A61="","",IFERROR(INDEX('זה אני - קליטה'!$AJ$5:$AJ$204,MATCH($A61&amp;"|תחילת שנה",'זה אני - קליטה'!$AF$5:$AF$204,0)),""))</f>
        <v/>
      </c>
      <c r="E61" s="28" t="str">
        <f aca="false">IF($A61="","",IFERROR(INDEX('זה אני - קליטה'!$AK$5:$AK$204,MATCH($A61&amp;"|תחילת שנה",'זה אני - קליטה'!$AF$5:$AF$204,0)),""))</f>
        <v/>
      </c>
      <c r="F61" s="28" t="str">
        <f aca="false">IF($A61="","",IFERROR(INDEX('זה אני - קליטה'!$AL$5:$AL$204,MATCH($A61&amp;"|תחילת שנה",'זה אני - קליטה'!$AF$5:$AF$204,0)),""))</f>
        <v/>
      </c>
      <c r="G61" s="27" t="str">
        <f aca="false">IF($A61="","",IFERROR(INDEX('זה אני - קליטה'!$AG$5:$AG$204,MATCH($A61&amp;"|תחילת שנה",'זה אני - קליטה'!$AF$5:$AF$204,0)),""))</f>
        <v/>
      </c>
      <c r="H61" s="28" t="str">
        <f aca="false">IF($A61="","",IFERROR(INDEX('זה אני - קליטה'!$AN$5:$AN$204,MATCH($A61&amp;"|תחילת שנה",'זה אני - קליטה'!$AF$5:$AF$204,0)),""))</f>
        <v/>
      </c>
      <c r="I61" s="28" t="str">
        <f aca="false">IF($A61="","",IFERROR(INDEX('זה אני - קליטה'!$AH$5:$AH$204,MATCH($A61&amp;"|אמצע שנה",'זה אני - קליטה'!$AF$5:$AF$204,0)),""))</f>
        <v/>
      </c>
      <c r="J61" s="28" t="str">
        <f aca="false">IF($A61="","",IFERROR(INDEX('זה אני - קליטה'!$AI$5:$AI$204,MATCH($A61&amp;"|אמצע שנה",'זה אני - קליטה'!$AF$5:$AF$204,0)),""))</f>
        <v/>
      </c>
      <c r="K61" s="28" t="str">
        <f aca="false">IF($A61="","",IFERROR(INDEX('זה אני - קליטה'!$AJ$5:$AJ$204,MATCH($A61&amp;"|אמצע שנה",'זה אני - קליטה'!$AF$5:$AF$204,0)),""))</f>
        <v/>
      </c>
      <c r="L61" s="28" t="str">
        <f aca="false">IF($A61="","",IFERROR(INDEX('זה אני - קליטה'!$AK$5:$AK$204,MATCH($A61&amp;"|אמצע שנה",'זה אני - קליטה'!$AF$5:$AF$204,0)),""))</f>
        <v/>
      </c>
      <c r="M61" s="28" t="str">
        <f aca="false">IF($A61="","",IFERROR(INDEX('זה אני - קליטה'!$AL$5:$AL$204,MATCH($A61&amp;"|אמצע שנה",'זה אני - קליטה'!$AF$5:$AF$204,0)),""))</f>
        <v/>
      </c>
      <c r="N61" s="27" t="str">
        <f aca="false">IF($A61="","",IFERROR(INDEX('זה אני - קליטה'!$AG$5:$AG$204,MATCH($A61&amp;"|אמצע שנה",'זה אני - קליטה'!$AF$5:$AF$204,0)),""))</f>
        <v/>
      </c>
      <c r="O61" s="28" t="str">
        <f aca="false">IF($A61="","",IFERROR(INDEX('זה אני - קליטה'!$AN$5:$AN$204,MATCH($A61&amp;"|אמצע שנה",'זה אני - קליטה'!$AF$5:$AF$204,0)),""))</f>
        <v/>
      </c>
      <c r="P61" s="28" t="str">
        <f aca="false">IF($A61="","",IFERROR(INDEX('זה אני - קליטה'!$AH$5:$AH$204,MATCH($A61&amp;"|סוף שנה",'זה אני - קליטה'!$AF$5:$AF$204,0)),""))</f>
        <v/>
      </c>
      <c r="Q61" s="28" t="str">
        <f aca="false">IF($A61="","",IFERROR(INDEX('זה אני - קליטה'!$AI$5:$AI$204,MATCH($A61&amp;"|סוף שנה",'זה אני - קליטה'!$AF$5:$AF$204,0)),""))</f>
        <v/>
      </c>
      <c r="R61" s="28" t="str">
        <f aca="false">IF($A61="","",IFERROR(INDEX('זה אני - קליטה'!$AJ$5:$AJ$204,MATCH($A61&amp;"|סוף שנה",'זה אני - קליטה'!$AF$5:$AF$204,0)),""))</f>
        <v/>
      </c>
      <c r="S61" s="28" t="str">
        <f aca="false">IF($A61="","",IFERROR(INDEX('זה אני - קליטה'!$AK$5:$AK$204,MATCH($A61&amp;"|סוף שנה",'זה אני - קליטה'!$AF$5:$AF$204,0)),""))</f>
        <v/>
      </c>
      <c r="T61" s="28" t="str">
        <f aca="false">IF($A61="","",IFERROR(INDEX('זה אני - קליטה'!$AL$5:$AL$204,MATCH($A61&amp;"|סוף שנה",'זה אני - קליטה'!$AF$5:$AF$204,0)),""))</f>
        <v/>
      </c>
      <c r="U61" s="27" t="str">
        <f aca="false">IF($A61="","",IFERROR(INDEX('זה אני - קליטה'!$AG$5:$AG$204,MATCH($A61&amp;"|סוף שנה",'זה אני - קליטה'!$AF$5:$AF$204,0)),""))</f>
        <v/>
      </c>
      <c r="V61" s="28" t="str">
        <f aca="false">IF($A61="","",IFERROR(INDEX('זה אני - קליטה'!$AN$5:$AN$204,MATCH($A61&amp;"|סוף שנה",'זה אני - קליטה'!$AF$5:$AF$204,0)),""))</f>
        <v/>
      </c>
      <c r="W61" s="32" t="str">
        <f aca="false">IF(AND(ISNUMBER(F61),ISNUMBER(T61)),T61-F61,"")</f>
        <v/>
      </c>
      <c r="X61" s="27" t="str">
        <f aca="false">IF(W61="","",IF(W61&gt;=0.25,"עלייה",IF(W61&lt;=-0.25,"ירידה","יציב")))</f>
        <v/>
      </c>
    </row>
    <row r="62" customFormat="false" ht="15" hidden="false" customHeight="false" outlineLevel="0" collapsed="false">
      <c r="A62" s="29"/>
      <c r="B62" s="28" t="str">
        <f aca="false">IF($A62="","",IFERROR(INDEX('זה אני - קליטה'!$AH$5:$AH$204,MATCH($A62&amp;"|תחילת שנה",'זה אני - קליטה'!$AF$5:$AF$204,0)),""))</f>
        <v/>
      </c>
      <c r="C62" s="28" t="str">
        <f aca="false">IF($A62="","",IFERROR(INDEX('זה אני - קליטה'!$AI$5:$AI$204,MATCH($A62&amp;"|תחילת שנה",'זה אני - קליטה'!$AF$5:$AF$204,0)),""))</f>
        <v/>
      </c>
      <c r="D62" s="28" t="str">
        <f aca="false">IF($A62="","",IFERROR(INDEX('זה אני - קליטה'!$AJ$5:$AJ$204,MATCH($A62&amp;"|תחילת שנה",'זה אני - קליטה'!$AF$5:$AF$204,0)),""))</f>
        <v/>
      </c>
      <c r="E62" s="28" t="str">
        <f aca="false">IF($A62="","",IFERROR(INDEX('זה אני - קליטה'!$AK$5:$AK$204,MATCH($A62&amp;"|תחילת שנה",'זה אני - קליטה'!$AF$5:$AF$204,0)),""))</f>
        <v/>
      </c>
      <c r="F62" s="28" t="str">
        <f aca="false">IF($A62="","",IFERROR(INDEX('זה אני - קליטה'!$AL$5:$AL$204,MATCH($A62&amp;"|תחילת שנה",'זה אני - קליטה'!$AF$5:$AF$204,0)),""))</f>
        <v/>
      </c>
      <c r="G62" s="27" t="str">
        <f aca="false">IF($A62="","",IFERROR(INDEX('זה אני - קליטה'!$AG$5:$AG$204,MATCH($A62&amp;"|תחילת שנה",'זה אני - קליטה'!$AF$5:$AF$204,0)),""))</f>
        <v/>
      </c>
      <c r="H62" s="28" t="str">
        <f aca="false">IF($A62="","",IFERROR(INDEX('זה אני - קליטה'!$AN$5:$AN$204,MATCH($A62&amp;"|תחילת שנה",'זה אני - קליטה'!$AF$5:$AF$204,0)),""))</f>
        <v/>
      </c>
      <c r="I62" s="28" t="str">
        <f aca="false">IF($A62="","",IFERROR(INDEX('זה אני - קליטה'!$AH$5:$AH$204,MATCH($A62&amp;"|אמצע שנה",'זה אני - קליטה'!$AF$5:$AF$204,0)),""))</f>
        <v/>
      </c>
      <c r="J62" s="28" t="str">
        <f aca="false">IF($A62="","",IFERROR(INDEX('זה אני - קליטה'!$AI$5:$AI$204,MATCH($A62&amp;"|אמצע שנה",'זה אני - קליטה'!$AF$5:$AF$204,0)),""))</f>
        <v/>
      </c>
      <c r="K62" s="28" t="str">
        <f aca="false">IF($A62="","",IFERROR(INDEX('זה אני - קליטה'!$AJ$5:$AJ$204,MATCH($A62&amp;"|אמצע שנה",'זה אני - קליטה'!$AF$5:$AF$204,0)),""))</f>
        <v/>
      </c>
      <c r="L62" s="28" t="str">
        <f aca="false">IF($A62="","",IFERROR(INDEX('זה אני - קליטה'!$AK$5:$AK$204,MATCH($A62&amp;"|אמצע שנה",'זה אני - קליטה'!$AF$5:$AF$204,0)),""))</f>
        <v/>
      </c>
      <c r="M62" s="28" t="str">
        <f aca="false">IF($A62="","",IFERROR(INDEX('זה אני - קליטה'!$AL$5:$AL$204,MATCH($A62&amp;"|אמצע שנה",'זה אני - קליטה'!$AF$5:$AF$204,0)),""))</f>
        <v/>
      </c>
      <c r="N62" s="27" t="str">
        <f aca="false">IF($A62="","",IFERROR(INDEX('זה אני - קליטה'!$AG$5:$AG$204,MATCH($A62&amp;"|אמצע שנה",'זה אני - קליטה'!$AF$5:$AF$204,0)),""))</f>
        <v/>
      </c>
      <c r="O62" s="28" t="str">
        <f aca="false">IF($A62="","",IFERROR(INDEX('זה אני - קליטה'!$AN$5:$AN$204,MATCH($A62&amp;"|אמצע שנה",'זה אני - קליטה'!$AF$5:$AF$204,0)),""))</f>
        <v/>
      </c>
      <c r="P62" s="28" t="str">
        <f aca="false">IF($A62="","",IFERROR(INDEX('זה אני - קליטה'!$AH$5:$AH$204,MATCH($A62&amp;"|סוף שנה",'זה אני - קליטה'!$AF$5:$AF$204,0)),""))</f>
        <v/>
      </c>
      <c r="Q62" s="28" t="str">
        <f aca="false">IF($A62="","",IFERROR(INDEX('זה אני - קליטה'!$AI$5:$AI$204,MATCH($A62&amp;"|סוף שנה",'זה אני - קליטה'!$AF$5:$AF$204,0)),""))</f>
        <v/>
      </c>
      <c r="R62" s="28" t="str">
        <f aca="false">IF($A62="","",IFERROR(INDEX('זה אני - קליטה'!$AJ$5:$AJ$204,MATCH($A62&amp;"|סוף שנה",'זה אני - קליטה'!$AF$5:$AF$204,0)),""))</f>
        <v/>
      </c>
      <c r="S62" s="28" t="str">
        <f aca="false">IF($A62="","",IFERROR(INDEX('זה אני - קליטה'!$AK$5:$AK$204,MATCH($A62&amp;"|סוף שנה",'זה אני - קליטה'!$AF$5:$AF$204,0)),""))</f>
        <v/>
      </c>
      <c r="T62" s="28" t="str">
        <f aca="false">IF($A62="","",IFERROR(INDEX('זה אני - קליטה'!$AL$5:$AL$204,MATCH($A62&amp;"|סוף שנה",'זה אני - קליטה'!$AF$5:$AF$204,0)),""))</f>
        <v/>
      </c>
      <c r="U62" s="27" t="str">
        <f aca="false">IF($A62="","",IFERROR(INDEX('זה אני - קליטה'!$AG$5:$AG$204,MATCH($A62&amp;"|סוף שנה",'זה אני - קליטה'!$AF$5:$AF$204,0)),""))</f>
        <v/>
      </c>
      <c r="V62" s="28" t="str">
        <f aca="false">IF($A62="","",IFERROR(INDEX('זה אני - קליטה'!$AN$5:$AN$204,MATCH($A62&amp;"|סוף שנה",'זה אני - קליטה'!$AF$5:$AF$204,0)),""))</f>
        <v/>
      </c>
      <c r="W62" s="32" t="str">
        <f aca="false">IF(AND(ISNUMBER(F62),ISNUMBER(T62)),T62-F62,"")</f>
        <v/>
      </c>
      <c r="X62" s="27" t="str">
        <f aca="false">IF(W62="","",IF(W62&gt;=0.25,"עלייה",IF(W62&lt;=-0.25,"ירידה","יציב")))</f>
        <v/>
      </c>
    </row>
    <row r="63" customFormat="false" ht="15" hidden="false" customHeight="false" outlineLevel="0" collapsed="false">
      <c r="A63" s="29"/>
      <c r="B63" s="28" t="str">
        <f aca="false">IF($A63="","",IFERROR(INDEX('זה אני - קליטה'!$AH$5:$AH$204,MATCH($A63&amp;"|תחילת שנה",'זה אני - קליטה'!$AF$5:$AF$204,0)),""))</f>
        <v/>
      </c>
      <c r="C63" s="28" t="str">
        <f aca="false">IF($A63="","",IFERROR(INDEX('זה אני - קליטה'!$AI$5:$AI$204,MATCH($A63&amp;"|תחילת שנה",'זה אני - קליטה'!$AF$5:$AF$204,0)),""))</f>
        <v/>
      </c>
      <c r="D63" s="28" t="str">
        <f aca="false">IF($A63="","",IFERROR(INDEX('זה אני - קליטה'!$AJ$5:$AJ$204,MATCH($A63&amp;"|תחילת שנה",'זה אני - קליטה'!$AF$5:$AF$204,0)),""))</f>
        <v/>
      </c>
      <c r="E63" s="28" t="str">
        <f aca="false">IF($A63="","",IFERROR(INDEX('זה אני - קליטה'!$AK$5:$AK$204,MATCH($A63&amp;"|תחילת שנה",'זה אני - קליטה'!$AF$5:$AF$204,0)),""))</f>
        <v/>
      </c>
      <c r="F63" s="28" t="str">
        <f aca="false">IF($A63="","",IFERROR(INDEX('זה אני - קליטה'!$AL$5:$AL$204,MATCH($A63&amp;"|תחילת שנה",'זה אני - קליטה'!$AF$5:$AF$204,0)),""))</f>
        <v/>
      </c>
      <c r="G63" s="27" t="str">
        <f aca="false">IF($A63="","",IFERROR(INDEX('זה אני - קליטה'!$AG$5:$AG$204,MATCH($A63&amp;"|תחילת שנה",'זה אני - קליטה'!$AF$5:$AF$204,0)),""))</f>
        <v/>
      </c>
      <c r="H63" s="28" t="str">
        <f aca="false">IF($A63="","",IFERROR(INDEX('זה אני - קליטה'!$AN$5:$AN$204,MATCH($A63&amp;"|תחילת שנה",'זה אני - קליטה'!$AF$5:$AF$204,0)),""))</f>
        <v/>
      </c>
      <c r="I63" s="28" t="str">
        <f aca="false">IF($A63="","",IFERROR(INDEX('זה אני - קליטה'!$AH$5:$AH$204,MATCH($A63&amp;"|אמצע שנה",'זה אני - קליטה'!$AF$5:$AF$204,0)),""))</f>
        <v/>
      </c>
      <c r="J63" s="28" t="str">
        <f aca="false">IF($A63="","",IFERROR(INDEX('זה אני - קליטה'!$AI$5:$AI$204,MATCH($A63&amp;"|אמצע שנה",'זה אני - קליטה'!$AF$5:$AF$204,0)),""))</f>
        <v/>
      </c>
      <c r="K63" s="28" t="str">
        <f aca="false">IF($A63="","",IFERROR(INDEX('זה אני - קליטה'!$AJ$5:$AJ$204,MATCH($A63&amp;"|אמצע שנה",'זה אני - קליטה'!$AF$5:$AF$204,0)),""))</f>
        <v/>
      </c>
      <c r="L63" s="28" t="str">
        <f aca="false">IF($A63="","",IFERROR(INDEX('זה אני - קליטה'!$AK$5:$AK$204,MATCH($A63&amp;"|אמצע שנה",'זה אני - קליטה'!$AF$5:$AF$204,0)),""))</f>
        <v/>
      </c>
      <c r="M63" s="28" t="str">
        <f aca="false">IF($A63="","",IFERROR(INDEX('זה אני - קליטה'!$AL$5:$AL$204,MATCH($A63&amp;"|אמצע שנה",'זה אני - קליטה'!$AF$5:$AF$204,0)),""))</f>
        <v/>
      </c>
      <c r="N63" s="27" t="str">
        <f aca="false">IF($A63="","",IFERROR(INDEX('זה אני - קליטה'!$AG$5:$AG$204,MATCH($A63&amp;"|אמצע שנה",'זה אני - קליטה'!$AF$5:$AF$204,0)),""))</f>
        <v/>
      </c>
      <c r="O63" s="28" t="str">
        <f aca="false">IF($A63="","",IFERROR(INDEX('זה אני - קליטה'!$AN$5:$AN$204,MATCH($A63&amp;"|אמצע שנה",'זה אני - קליטה'!$AF$5:$AF$204,0)),""))</f>
        <v/>
      </c>
      <c r="P63" s="28" t="str">
        <f aca="false">IF($A63="","",IFERROR(INDEX('זה אני - קליטה'!$AH$5:$AH$204,MATCH($A63&amp;"|סוף שנה",'זה אני - קליטה'!$AF$5:$AF$204,0)),""))</f>
        <v/>
      </c>
      <c r="Q63" s="28" t="str">
        <f aca="false">IF($A63="","",IFERROR(INDEX('זה אני - קליטה'!$AI$5:$AI$204,MATCH($A63&amp;"|סוף שנה",'זה אני - קליטה'!$AF$5:$AF$204,0)),""))</f>
        <v/>
      </c>
      <c r="R63" s="28" t="str">
        <f aca="false">IF($A63="","",IFERROR(INDEX('זה אני - קליטה'!$AJ$5:$AJ$204,MATCH($A63&amp;"|סוף שנה",'זה אני - קליטה'!$AF$5:$AF$204,0)),""))</f>
        <v/>
      </c>
      <c r="S63" s="28" t="str">
        <f aca="false">IF($A63="","",IFERROR(INDEX('זה אני - קליטה'!$AK$5:$AK$204,MATCH($A63&amp;"|סוף שנה",'זה אני - קליטה'!$AF$5:$AF$204,0)),""))</f>
        <v/>
      </c>
      <c r="T63" s="28" t="str">
        <f aca="false">IF($A63="","",IFERROR(INDEX('זה אני - קליטה'!$AL$5:$AL$204,MATCH($A63&amp;"|סוף שנה",'זה אני - קליטה'!$AF$5:$AF$204,0)),""))</f>
        <v/>
      </c>
      <c r="U63" s="27" t="str">
        <f aca="false">IF($A63="","",IFERROR(INDEX('זה אני - קליטה'!$AG$5:$AG$204,MATCH($A63&amp;"|סוף שנה",'זה אני - קליטה'!$AF$5:$AF$204,0)),""))</f>
        <v/>
      </c>
      <c r="V63" s="28" t="str">
        <f aca="false">IF($A63="","",IFERROR(INDEX('זה אני - קליטה'!$AN$5:$AN$204,MATCH($A63&amp;"|סוף שנה",'זה אני - קליטה'!$AF$5:$AF$204,0)),""))</f>
        <v/>
      </c>
      <c r="W63" s="32" t="str">
        <f aca="false">IF(AND(ISNUMBER(F63),ISNUMBER(T63)),T63-F63,"")</f>
        <v/>
      </c>
      <c r="X63" s="27" t="str">
        <f aca="false">IF(W63="","",IF(W63&gt;=0.25,"עלייה",IF(W63&lt;=-0.25,"ירידה","יציב")))</f>
        <v/>
      </c>
    </row>
    <row r="64" customFormat="false" ht="15" hidden="false" customHeight="false" outlineLevel="0" collapsed="false">
      <c r="A64" s="29"/>
      <c r="B64" s="28" t="str">
        <f aca="false">IF($A64="","",IFERROR(INDEX('זה אני - קליטה'!$AH$5:$AH$204,MATCH($A64&amp;"|תחילת שנה",'זה אני - קליטה'!$AF$5:$AF$204,0)),""))</f>
        <v/>
      </c>
      <c r="C64" s="28" t="str">
        <f aca="false">IF($A64="","",IFERROR(INDEX('זה אני - קליטה'!$AI$5:$AI$204,MATCH($A64&amp;"|תחילת שנה",'זה אני - קליטה'!$AF$5:$AF$204,0)),""))</f>
        <v/>
      </c>
      <c r="D64" s="28" t="str">
        <f aca="false">IF($A64="","",IFERROR(INDEX('זה אני - קליטה'!$AJ$5:$AJ$204,MATCH($A64&amp;"|תחילת שנה",'זה אני - קליטה'!$AF$5:$AF$204,0)),""))</f>
        <v/>
      </c>
      <c r="E64" s="28" t="str">
        <f aca="false">IF($A64="","",IFERROR(INDEX('זה אני - קליטה'!$AK$5:$AK$204,MATCH($A64&amp;"|תחילת שנה",'זה אני - קליטה'!$AF$5:$AF$204,0)),""))</f>
        <v/>
      </c>
      <c r="F64" s="28" t="str">
        <f aca="false">IF($A64="","",IFERROR(INDEX('זה אני - קליטה'!$AL$5:$AL$204,MATCH($A64&amp;"|תחילת שנה",'זה אני - קליטה'!$AF$5:$AF$204,0)),""))</f>
        <v/>
      </c>
      <c r="G64" s="27" t="str">
        <f aca="false">IF($A64="","",IFERROR(INDEX('זה אני - קליטה'!$AG$5:$AG$204,MATCH($A64&amp;"|תחילת שנה",'זה אני - קליטה'!$AF$5:$AF$204,0)),""))</f>
        <v/>
      </c>
      <c r="H64" s="28" t="str">
        <f aca="false">IF($A64="","",IFERROR(INDEX('זה אני - קליטה'!$AN$5:$AN$204,MATCH($A64&amp;"|תחילת שנה",'זה אני - קליטה'!$AF$5:$AF$204,0)),""))</f>
        <v/>
      </c>
      <c r="I64" s="28" t="str">
        <f aca="false">IF($A64="","",IFERROR(INDEX('זה אני - קליטה'!$AH$5:$AH$204,MATCH($A64&amp;"|אמצע שנה",'זה אני - קליטה'!$AF$5:$AF$204,0)),""))</f>
        <v/>
      </c>
      <c r="J64" s="28" t="str">
        <f aca="false">IF($A64="","",IFERROR(INDEX('זה אני - קליטה'!$AI$5:$AI$204,MATCH($A64&amp;"|אמצע שנה",'זה אני - קליטה'!$AF$5:$AF$204,0)),""))</f>
        <v/>
      </c>
      <c r="K64" s="28" t="str">
        <f aca="false">IF($A64="","",IFERROR(INDEX('זה אני - קליטה'!$AJ$5:$AJ$204,MATCH($A64&amp;"|אמצע שנה",'זה אני - קליטה'!$AF$5:$AF$204,0)),""))</f>
        <v/>
      </c>
      <c r="L64" s="28" t="str">
        <f aca="false">IF($A64="","",IFERROR(INDEX('זה אני - קליטה'!$AK$5:$AK$204,MATCH($A64&amp;"|אמצע שנה",'זה אני - קליטה'!$AF$5:$AF$204,0)),""))</f>
        <v/>
      </c>
      <c r="M64" s="28" t="str">
        <f aca="false">IF($A64="","",IFERROR(INDEX('זה אני - קליטה'!$AL$5:$AL$204,MATCH($A64&amp;"|אמצע שנה",'זה אני - קליטה'!$AF$5:$AF$204,0)),""))</f>
        <v/>
      </c>
      <c r="N64" s="27" t="str">
        <f aca="false">IF($A64="","",IFERROR(INDEX('זה אני - קליטה'!$AG$5:$AG$204,MATCH($A64&amp;"|אמצע שנה",'זה אני - קליטה'!$AF$5:$AF$204,0)),""))</f>
        <v/>
      </c>
      <c r="O64" s="28" t="str">
        <f aca="false">IF($A64="","",IFERROR(INDEX('זה אני - קליטה'!$AN$5:$AN$204,MATCH($A64&amp;"|אמצע שנה",'זה אני - קליטה'!$AF$5:$AF$204,0)),""))</f>
        <v/>
      </c>
      <c r="P64" s="28" t="str">
        <f aca="false">IF($A64="","",IFERROR(INDEX('זה אני - קליטה'!$AH$5:$AH$204,MATCH($A64&amp;"|סוף שנה",'זה אני - קליטה'!$AF$5:$AF$204,0)),""))</f>
        <v/>
      </c>
      <c r="Q64" s="28" t="str">
        <f aca="false">IF($A64="","",IFERROR(INDEX('זה אני - קליטה'!$AI$5:$AI$204,MATCH($A64&amp;"|סוף שנה",'זה אני - קליטה'!$AF$5:$AF$204,0)),""))</f>
        <v/>
      </c>
      <c r="R64" s="28" t="str">
        <f aca="false">IF($A64="","",IFERROR(INDEX('זה אני - קליטה'!$AJ$5:$AJ$204,MATCH($A64&amp;"|סוף שנה",'זה אני - קליטה'!$AF$5:$AF$204,0)),""))</f>
        <v/>
      </c>
      <c r="S64" s="28" t="str">
        <f aca="false">IF($A64="","",IFERROR(INDEX('זה אני - קליטה'!$AK$5:$AK$204,MATCH($A64&amp;"|סוף שנה",'זה אני - קליטה'!$AF$5:$AF$204,0)),""))</f>
        <v/>
      </c>
      <c r="T64" s="28" t="str">
        <f aca="false">IF($A64="","",IFERROR(INDEX('זה אני - קליטה'!$AL$5:$AL$204,MATCH($A64&amp;"|סוף שנה",'זה אני - קליטה'!$AF$5:$AF$204,0)),""))</f>
        <v/>
      </c>
      <c r="U64" s="27" t="str">
        <f aca="false">IF($A64="","",IFERROR(INDEX('זה אני - קליטה'!$AG$5:$AG$204,MATCH($A64&amp;"|סוף שנה",'זה אני - קליטה'!$AF$5:$AF$204,0)),""))</f>
        <v/>
      </c>
      <c r="V64" s="28" t="str">
        <f aca="false">IF($A64="","",IFERROR(INDEX('זה אני - קליטה'!$AN$5:$AN$204,MATCH($A64&amp;"|סוף שנה",'זה אני - קליטה'!$AF$5:$AF$204,0)),""))</f>
        <v/>
      </c>
      <c r="W64" s="32" t="str">
        <f aca="false">IF(AND(ISNUMBER(F64),ISNUMBER(T64)),T64-F64,"")</f>
        <v/>
      </c>
      <c r="X64" s="27" t="str">
        <f aca="false">IF(W64="","",IF(W64&gt;=0.25,"עלייה",IF(W64&lt;=-0.25,"ירידה","יציב")))</f>
        <v/>
      </c>
    </row>
    <row r="65" customFormat="false" ht="15" hidden="false" customHeight="false" outlineLevel="0" collapsed="false">
      <c r="A65" s="29"/>
      <c r="B65" s="28" t="str">
        <f aca="false">IF($A65="","",IFERROR(INDEX('זה אני - קליטה'!$AH$5:$AH$204,MATCH($A65&amp;"|תחילת שנה",'זה אני - קליטה'!$AF$5:$AF$204,0)),""))</f>
        <v/>
      </c>
      <c r="C65" s="28" t="str">
        <f aca="false">IF($A65="","",IFERROR(INDEX('זה אני - קליטה'!$AI$5:$AI$204,MATCH($A65&amp;"|תחילת שנה",'זה אני - קליטה'!$AF$5:$AF$204,0)),""))</f>
        <v/>
      </c>
      <c r="D65" s="28" t="str">
        <f aca="false">IF($A65="","",IFERROR(INDEX('זה אני - קליטה'!$AJ$5:$AJ$204,MATCH($A65&amp;"|תחילת שנה",'זה אני - קליטה'!$AF$5:$AF$204,0)),""))</f>
        <v/>
      </c>
      <c r="E65" s="28" t="str">
        <f aca="false">IF($A65="","",IFERROR(INDEX('זה אני - קליטה'!$AK$5:$AK$204,MATCH($A65&amp;"|תחילת שנה",'זה אני - קליטה'!$AF$5:$AF$204,0)),""))</f>
        <v/>
      </c>
      <c r="F65" s="28" t="str">
        <f aca="false">IF($A65="","",IFERROR(INDEX('זה אני - קליטה'!$AL$5:$AL$204,MATCH($A65&amp;"|תחילת שנה",'זה אני - קליטה'!$AF$5:$AF$204,0)),""))</f>
        <v/>
      </c>
      <c r="G65" s="27" t="str">
        <f aca="false">IF($A65="","",IFERROR(INDEX('זה אני - קליטה'!$AG$5:$AG$204,MATCH($A65&amp;"|תחילת שנה",'זה אני - קליטה'!$AF$5:$AF$204,0)),""))</f>
        <v/>
      </c>
      <c r="H65" s="28" t="str">
        <f aca="false">IF($A65="","",IFERROR(INDEX('זה אני - קליטה'!$AN$5:$AN$204,MATCH($A65&amp;"|תחילת שנה",'זה אני - קליטה'!$AF$5:$AF$204,0)),""))</f>
        <v/>
      </c>
      <c r="I65" s="28" t="str">
        <f aca="false">IF($A65="","",IFERROR(INDEX('זה אני - קליטה'!$AH$5:$AH$204,MATCH($A65&amp;"|אמצע שנה",'זה אני - קליטה'!$AF$5:$AF$204,0)),""))</f>
        <v/>
      </c>
      <c r="J65" s="28" t="str">
        <f aca="false">IF($A65="","",IFERROR(INDEX('זה אני - קליטה'!$AI$5:$AI$204,MATCH($A65&amp;"|אמצע שנה",'זה אני - קליטה'!$AF$5:$AF$204,0)),""))</f>
        <v/>
      </c>
      <c r="K65" s="28" t="str">
        <f aca="false">IF($A65="","",IFERROR(INDEX('זה אני - קליטה'!$AJ$5:$AJ$204,MATCH($A65&amp;"|אמצע שנה",'זה אני - קליטה'!$AF$5:$AF$204,0)),""))</f>
        <v/>
      </c>
      <c r="L65" s="28" t="str">
        <f aca="false">IF($A65="","",IFERROR(INDEX('זה אני - קליטה'!$AK$5:$AK$204,MATCH($A65&amp;"|אמצע שנה",'זה אני - קליטה'!$AF$5:$AF$204,0)),""))</f>
        <v/>
      </c>
      <c r="M65" s="28" t="str">
        <f aca="false">IF($A65="","",IFERROR(INDEX('זה אני - קליטה'!$AL$5:$AL$204,MATCH($A65&amp;"|אמצע שנה",'זה אני - קליטה'!$AF$5:$AF$204,0)),""))</f>
        <v/>
      </c>
      <c r="N65" s="27" t="str">
        <f aca="false">IF($A65="","",IFERROR(INDEX('זה אני - קליטה'!$AG$5:$AG$204,MATCH($A65&amp;"|אמצע שנה",'זה אני - קליטה'!$AF$5:$AF$204,0)),""))</f>
        <v/>
      </c>
      <c r="O65" s="28" t="str">
        <f aca="false">IF($A65="","",IFERROR(INDEX('זה אני - קליטה'!$AN$5:$AN$204,MATCH($A65&amp;"|אמצע שנה",'זה אני - קליטה'!$AF$5:$AF$204,0)),""))</f>
        <v/>
      </c>
      <c r="P65" s="28" t="str">
        <f aca="false">IF($A65="","",IFERROR(INDEX('זה אני - קליטה'!$AH$5:$AH$204,MATCH($A65&amp;"|סוף שנה",'זה אני - קליטה'!$AF$5:$AF$204,0)),""))</f>
        <v/>
      </c>
      <c r="Q65" s="28" t="str">
        <f aca="false">IF($A65="","",IFERROR(INDEX('זה אני - קליטה'!$AI$5:$AI$204,MATCH($A65&amp;"|סוף שנה",'זה אני - קליטה'!$AF$5:$AF$204,0)),""))</f>
        <v/>
      </c>
      <c r="R65" s="28" t="str">
        <f aca="false">IF($A65="","",IFERROR(INDEX('זה אני - קליטה'!$AJ$5:$AJ$204,MATCH($A65&amp;"|סוף שנה",'זה אני - קליטה'!$AF$5:$AF$204,0)),""))</f>
        <v/>
      </c>
      <c r="S65" s="28" t="str">
        <f aca="false">IF($A65="","",IFERROR(INDEX('זה אני - קליטה'!$AK$5:$AK$204,MATCH($A65&amp;"|סוף שנה",'זה אני - קליטה'!$AF$5:$AF$204,0)),""))</f>
        <v/>
      </c>
      <c r="T65" s="28" t="str">
        <f aca="false">IF($A65="","",IFERROR(INDEX('זה אני - קליטה'!$AL$5:$AL$204,MATCH($A65&amp;"|סוף שנה",'זה אני - קליטה'!$AF$5:$AF$204,0)),""))</f>
        <v/>
      </c>
      <c r="U65" s="27" t="str">
        <f aca="false">IF($A65="","",IFERROR(INDEX('זה אני - קליטה'!$AG$5:$AG$204,MATCH($A65&amp;"|סוף שנה",'זה אני - קליטה'!$AF$5:$AF$204,0)),""))</f>
        <v/>
      </c>
      <c r="V65" s="28" t="str">
        <f aca="false">IF($A65="","",IFERROR(INDEX('זה אני - קליטה'!$AN$5:$AN$204,MATCH($A65&amp;"|סוף שנה",'זה אני - קליטה'!$AF$5:$AF$204,0)),""))</f>
        <v/>
      </c>
      <c r="W65" s="32" t="str">
        <f aca="false">IF(AND(ISNUMBER(F65),ISNUMBER(T65)),T65-F65,"")</f>
        <v/>
      </c>
      <c r="X65" s="27" t="str">
        <f aca="false">IF(W65="","",IF(W65&gt;=0.25,"עלייה",IF(W65&lt;=-0.25,"ירידה","יציב")))</f>
        <v/>
      </c>
    </row>
    <row r="66" customFormat="false" ht="15" hidden="false" customHeight="false" outlineLevel="0" collapsed="false">
      <c r="A66" s="29"/>
      <c r="B66" s="28" t="str">
        <f aca="false">IF($A66="","",IFERROR(INDEX('זה אני - קליטה'!$AH$5:$AH$204,MATCH($A66&amp;"|תחילת שנה",'זה אני - קליטה'!$AF$5:$AF$204,0)),""))</f>
        <v/>
      </c>
      <c r="C66" s="28" t="str">
        <f aca="false">IF($A66="","",IFERROR(INDEX('זה אני - קליטה'!$AI$5:$AI$204,MATCH($A66&amp;"|תחילת שנה",'זה אני - קליטה'!$AF$5:$AF$204,0)),""))</f>
        <v/>
      </c>
      <c r="D66" s="28" t="str">
        <f aca="false">IF($A66="","",IFERROR(INDEX('זה אני - קליטה'!$AJ$5:$AJ$204,MATCH($A66&amp;"|תחילת שנה",'זה אני - קליטה'!$AF$5:$AF$204,0)),""))</f>
        <v/>
      </c>
      <c r="E66" s="28" t="str">
        <f aca="false">IF($A66="","",IFERROR(INDEX('זה אני - קליטה'!$AK$5:$AK$204,MATCH($A66&amp;"|תחילת שנה",'זה אני - קליטה'!$AF$5:$AF$204,0)),""))</f>
        <v/>
      </c>
      <c r="F66" s="28" t="str">
        <f aca="false">IF($A66="","",IFERROR(INDEX('זה אני - קליטה'!$AL$5:$AL$204,MATCH($A66&amp;"|תחילת שנה",'זה אני - קליטה'!$AF$5:$AF$204,0)),""))</f>
        <v/>
      </c>
      <c r="G66" s="27" t="str">
        <f aca="false">IF($A66="","",IFERROR(INDEX('זה אני - קליטה'!$AG$5:$AG$204,MATCH($A66&amp;"|תחילת שנה",'זה אני - קליטה'!$AF$5:$AF$204,0)),""))</f>
        <v/>
      </c>
      <c r="H66" s="28" t="str">
        <f aca="false">IF($A66="","",IFERROR(INDEX('זה אני - קליטה'!$AN$5:$AN$204,MATCH($A66&amp;"|תחילת שנה",'זה אני - קליטה'!$AF$5:$AF$204,0)),""))</f>
        <v/>
      </c>
      <c r="I66" s="28" t="str">
        <f aca="false">IF($A66="","",IFERROR(INDEX('זה אני - קליטה'!$AH$5:$AH$204,MATCH($A66&amp;"|אמצע שנה",'זה אני - קליטה'!$AF$5:$AF$204,0)),""))</f>
        <v/>
      </c>
      <c r="J66" s="28" t="str">
        <f aca="false">IF($A66="","",IFERROR(INDEX('זה אני - קליטה'!$AI$5:$AI$204,MATCH($A66&amp;"|אמצע שנה",'זה אני - קליטה'!$AF$5:$AF$204,0)),""))</f>
        <v/>
      </c>
      <c r="K66" s="28" t="str">
        <f aca="false">IF($A66="","",IFERROR(INDEX('זה אני - קליטה'!$AJ$5:$AJ$204,MATCH($A66&amp;"|אמצע שנה",'זה אני - קליטה'!$AF$5:$AF$204,0)),""))</f>
        <v/>
      </c>
      <c r="L66" s="28" t="str">
        <f aca="false">IF($A66="","",IFERROR(INDEX('זה אני - קליטה'!$AK$5:$AK$204,MATCH($A66&amp;"|אמצע שנה",'זה אני - קליטה'!$AF$5:$AF$204,0)),""))</f>
        <v/>
      </c>
      <c r="M66" s="28" t="str">
        <f aca="false">IF($A66="","",IFERROR(INDEX('זה אני - קליטה'!$AL$5:$AL$204,MATCH($A66&amp;"|אמצע שנה",'זה אני - קליטה'!$AF$5:$AF$204,0)),""))</f>
        <v/>
      </c>
      <c r="N66" s="27" t="str">
        <f aca="false">IF($A66="","",IFERROR(INDEX('זה אני - קליטה'!$AG$5:$AG$204,MATCH($A66&amp;"|אמצע שנה",'זה אני - קליטה'!$AF$5:$AF$204,0)),""))</f>
        <v/>
      </c>
      <c r="O66" s="28" t="str">
        <f aca="false">IF($A66="","",IFERROR(INDEX('זה אני - קליטה'!$AN$5:$AN$204,MATCH($A66&amp;"|אמצע שנה",'זה אני - קליטה'!$AF$5:$AF$204,0)),""))</f>
        <v/>
      </c>
      <c r="P66" s="28" t="str">
        <f aca="false">IF($A66="","",IFERROR(INDEX('זה אני - קליטה'!$AH$5:$AH$204,MATCH($A66&amp;"|סוף שנה",'זה אני - קליטה'!$AF$5:$AF$204,0)),""))</f>
        <v/>
      </c>
      <c r="Q66" s="28" t="str">
        <f aca="false">IF($A66="","",IFERROR(INDEX('זה אני - קליטה'!$AI$5:$AI$204,MATCH($A66&amp;"|סוף שנה",'זה אני - קליטה'!$AF$5:$AF$204,0)),""))</f>
        <v/>
      </c>
      <c r="R66" s="28" t="str">
        <f aca="false">IF($A66="","",IFERROR(INDEX('זה אני - קליטה'!$AJ$5:$AJ$204,MATCH($A66&amp;"|סוף שנה",'זה אני - קליטה'!$AF$5:$AF$204,0)),""))</f>
        <v/>
      </c>
      <c r="S66" s="28" t="str">
        <f aca="false">IF($A66="","",IFERROR(INDEX('זה אני - קליטה'!$AK$5:$AK$204,MATCH($A66&amp;"|סוף שנה",'זה אני - קליטה'!$AF$5:$AF$204,0)),""))</f>
        <v/>
      </c>
      <c r="T66" s="28" t="str">
        <f aca="false">IF($A66="","",IFERROR(INDEX('זה אני - קליטה'!$AL$5:$AL$204,MATCH($A66&amp;"|סוף שנה",'זה אני - קליטה'!$AF$5:$AF$204,0)),""))</f>
        <v/>
      </c>
      <c r="U66" s="27" t="str">
        <f aca="false">IF($A66="","",IFERROR(INDEX('זה אני - קליטה'!$AG$5:$AG$204,MATCH($A66&amp;"|סוף שנה",'זה אני - קליטה'!$AF$5:$AF$204,0)),""))</f>
        <v/>
      </c>
      <c r="V66" s="28" t="str">
        <f aca="false">IF($A66="","",IFERROR(INDEX('זה אני - קליטה'!$AN$5:$AN$204,MATCH($A66&amp;"|סוף שנה",'זה אני - קליטה'!$AF$5:$AF$204,0)),""))</f>
        <v/>
      </c>
      <c r="W66" s="32" t="str">
        <f aca="false">IF(AND(ISNUMBER(F66),ISNUMBER(T66)),T66-F66,"")</f>
        <v/>
      </c>
      <c r="X66" s="27" t="str">
        <f aca="false">IF(W66="","",IF(W66&gt;=0.25,"עלייה",IF(W66&lt;=-0.25,"ירידה","יציב")))</f>
        <v/>
      </c>
    </row>
    <row r="67" customFormat="false" ht="15" hidden="false" customHeight="false" outlineLevel="0" collapsed="false">
      <c r="A67" s="29"/>
      <c r="B67" s="28" t="str">
        <f aca="false">IF($A67="","",IFERROR(INDEX('זה אני - קליטה'!$AH$5:$AH$204,MATCH($A67&amp;"|תחילת שנה",'זה אני - קליטה'!$AF$5:$AF$204,0)),""))</f>
        <v/>
      </c>
      <c r="C67" s="28" t="str">
        <f aca="false">IF($A67="","",IFERROR(INDEX('זה אני - קליטה'!$AI$5:$AI$204,MATCH($A67&amp;"|תחילת שנה",'זה אני - קליטה'!$AF$5:$AF$204,0)),""))</f>
        <v/>
      </c>
      <c r="D67" s="28" t="str">
        <f aca="false">IF($A67="","",IFERROR(INDEX('זה אני - קליטה'!$AJ$5:$AJ$204,MATCH($A67&amp;"|תחילת שנה",'זה אני - קליטה'!$AF$5:$AF$204,0)),""))</f>
        <v/>
      </c>
      <c r="E67" s="28" t="str">
        <f aca="false">IF($A67="","",IFERROR(INDEX('זה אני - קליטה'!$AK$5:$AK$204,MATCH($A67&amp;"|תחילת שנה",'זה אני - קליטה'!$AF$5:$AF$204,0)),""))</f>
        <v/>
      </c>
      <c r="F67" s="28" t="str">
        <f aca="false">IF($A67="","",IFERROR(INDEX('זה אני - קליטה'!$AL$5:$AL$204,MATCH($A67&amp;"|תחילת שנה",'זה אני - קליטה'!$AF$5:$AF$204,0)),""))</f>
        <v/>
      </c>
      <c r="G67" s="27" t="str">
        <f aca="false">IF($A67="","",IFERROR(INDEX('זה אני - קליטה'!$AG$5:$AG$204,MATCH($A67&amp;"|תחילת שנה",'זה אני - קליטה'!$AF$5:$AF$204,0)),""))</f>
        <v/>
      </c>
      <c r="H67" s="28" t="str">
        <f aca="false">IF($A67="","",IFERROR(INDEX('זה אני - קליטה'!$AN$5:$AN$204,MATCH($A67&amp;"|תחילת שנה",'זה אני - קליטה'!$AF$5:$AF$204,0)),""))</f>
        <v/>
      </c>
      <c r="I67" s="28" t="str">
        <f aca="false">IF($A67="","",IFERROR(INDEX('זה אני - קליטה'!$AH$5:$AH$204,MATCH($A67&amp;"|אמצע שנה",'זה אני - קליטה'!$AF$5:$AF$204,0)),""))</f>
        <v/>
      </c>
      <c r="J67" s="28" t="str">
        <f aca="false">IF($A67="","",IFERROR(INDEX('זה אני - קליטה'!$AI$5:$AI$204,MATCH($A67&amp;"|אמצע שנה",'זה אני - קליטה'!$AF$5:$AF$204,0)),""))</f>
        <v/>
      </c>
      <c r="K67" s="28" t="str">
        <f aca="false">IF($A67="","",IFERROR(INDEX('זה אני - קליטה'!$AJ$5:$AJ$204,MATCH($A67&amp;"|אמצע שנה",'זה אני - קליטה'!$AF$5:$AF$204,0)),""))</f>
        <v/>
      </c>
      <c r="L67" s="28" t="str">
        <f aca="false">IF($A67="","",IFERROR(INDEX('זה אני - קליטה'!$AK$5:$AK$204,MATCH($A67&amp;"|אמצע שנה",'זה אני - קליטה'!$AF$5:$AF$204,0)),""))</f>
        <v/>
      </c>
      <c r="M67" s="28" t="str">
        <f aca="false">IF($A67="","",IFERROR(INDEX('זה אני - קליטה'!$AL$5:$AL$204,MATCH($A67&amp;"|אמצע שנה",'זה אני - קליטה'!$AF$5:$AF$204,0)),""))</f>
        <v/>
      </c>
      <c r="N67" s="27" t="str">
        <f aca="false">IF($A67="","",IFERROR(INDEX('זה אני - קליטה'!$AG$5:$AG$204,MATCH($A67&amp;"|אמצע שנה",'זה אני - קליטה'!$AF$5:$AF$204,0)),""))</f>
        <v/>
      </c>
      <c r="O67" s="28" t="str">
        <f aca="false">IF($A67="","",IFERROR(INDEX('זה אני - קליטה'!$AN$5:$AN$204,MATCH($A67&amp;"|אמצע שנה",'זה אני - קליטה'!$AF$5:$AF$204,0)),""))</f>
        <v/>
      </c>
      <c r="P67" s="28" t="str">
        <f aca="false">IF($A67="","",IFERROR(INDEX('זה אני - קליטה'!$AH$5:$AH$204,MATCH($A67&amp;"|סוף שנה",'זה אני - קליטה'!$AF$5:$AF$204,0)),""))</f>
        <v/>
      </c>
      <c r="Q67" s="28" t="str">
        <f aca="false">IF($A67="","",IFERROR(INDEX('זה אני - קליטה'!$AI$5:$AI$204,MATCH($A67&amp;"|סוף שנה",'זה אני - קליטה'!$AF$5:$AF$204,0)),""))</f>
        <v/>
      </c>
      <c r="R67" s="28" t="str">
        <f aca="false">IF($A67="","",IFERROR(INDEX('זה אני - קליטה'!$AJ$5:$AJ$204,MATCH($A67&amp;"|סוף שנה",'זה אני - קליטה'!$AF$5:$AF$204,0)),""))</f>
        <v/>
      </c>
      <c r="S67" s="28" t="str">
        <f aca="false">IF($A67="","",IFERROR(INDEX('זה אני - קליטה'!$AK$5:$AK$204,MATCH($A67&amp;"|סוף שנה",'זה אני - קליטה'!$AF$5:$AF$204,0)),""))</f>
        <v/>
      </c>
      <c r="T67" s="28" t="str">
        <f aca="false">IF($A67="","",IFERROR(INDEX('זה אני - קליטה'!$AL$5:$AL$204,MATCH($A67&amp;"|סוף שנה",'זה אני - קליטה'!$AF$5:$AF$204,0)),""))</f>
        <v/>
      </c>
      <c r="U67" s="27" t="str">
        <f aca="false">IF($A67="","",IFERROR(INDEX('זה אני - קליטה'!$AG$5:$AG$204,MATCH($A67&amp;"|סוף שנה",'זה אני - קליטה'!$AF$5:$AF$204,0)),""))</f>
        <v/>
      </c>
      <c r="V67" s="28" t="str">
        <f aca="false">IF($A67="","",IFERROR(INDEX('זה אני - קליטה'!$AN$5:$AN$204,MATCH($A67&amp;"|סוף שנה",'זה אני - קליטה'!$AF$5:$AF$204,0)),""))</f>
        <v/>
      </c>
      <c r="W67" s="32" t="str">
        <f aca="false">IF(AND(ISNUMBER(F67),ISNUMBER(T67)),T67-F67,"")</f>
        <v/>
      </c>
      <c r="X67" s="27" t="str">
        <f aca="false">IF(W67="","",IF(W67&gt;=0.25,"עלייה",IF(W67&lt;=-0.25,"ירידה","יציב")))</f>
        <v/>
      </c>
    </row>
    <row r="68" customFormat="false" ht="15" hidden="false" customHeight="false" outlineLevel="0" collapsed="false">
      <c r="A68" s="29"/>
      <c r="B68" s="28" t="str">
        <f aca="false">IF($A68="","",IFERROR(INDEX('זה אני - קליטה'!$AH$5:$AH$204,MATCH($A68&amp;"|תחילת שנה",'זה אני - קליטה'!$AF$5:$AF$204,0)),""))</f>
        <v/>
      </c>
      <c r="C68" s="28" t="str">
        <f aca="false">IF($A68="","",IFERROR(INDEX('זה אני - קליטה'!$AI$5:$AI$204,MATCH($A68&amp;"|תחילת שנה",'זה אני - קליטה'!$AF$5:$AF$204,0)),""))</f>
        <v/>
      </c>
      <c r="D68" s="28" t="str">
        <f aca="false">IF($A68="","",IFERROR(INDEX('זה אני - קליטה'!$AJ$5:$AJ$204,MATCH($A68&amp;"|תחילת שנה",'זה אני - קליטה'!$AF$5:$AF$204,0)),""))</f>
        <v/>
      </c>
      <c r="E68" s="28" t="str">
        <f aca="false">IF($A68="","",IFERROR(INDEX('זה אני - קליטה'!$AK$5:$AK$204,MATCH($A68&amp;"|תחילת שנה",'זה אני - קליטה'!$AF$5:$AF$204,0)),""))</f>
        <v/>
      </c>
      <c r="F68" s="28" t="str">
        <f aca="false">IF($A68="","",IFERROR(INDEX('זה אני - קליטה'!$AL$5:$AL$204,MATCH($A68&amp;"|תחילת שנה",'זה אני - קליטה'!$AF$5:$AF$204,0)),""))</f>
        <v/>
      </c>
      <c r="G68" s="27" t="str">
        <f aca="false">IF($A68="","",IFERROR(INDEX('זה אני - קליטה'!$AG$5:$AG$204,MATCH($A68&amp;"|תחילת שנה",'זה אני - קליטה'!$AF$5:$AF$204,0)),""))</f>
        <v/>
      </c>
      <c r="H68" s="28" t="str">
        <f aca="false">IF($A68="","",IFERROR(INDEX('זה אני - קליטה'!$AN$5:$AN$204,MATCH($A68&amp;"|תחילת שנה",'זה אני - קליטה'!$AF$5:$AF$204,0)),""))</f>
        <v/>
      </c>
      <c r="I68" s="28" t="str">
        <f aca="false">IF($A68="","",IFERROR(INDEX('זה אני - קליטה'!$AH$5:$AH$204,MATCH($A68&amp;"|אמצע שנה",'זה אני - קליטה'!$AF$5:$AF$204,0)),""))</f>
        <v/>
      </c>
      <c r="J68" s="28" t="str">
        <f aca="false">IF($A68="","",IFERROR(INDEX('זה אני - קליטה'!$AI$5:$AI$204,MATCH($A68&amp;"|אמצע שנה",'זה אני - קליטה'!$AF$5:$AF$204,0)),""))</f>
        <v/>
      </c>
      <c r="K68" s="28" t="str">
        <f aca="false">IF($A68="","",IFERROR(INDEX('זה אני - קליטה'!$AJ$5:$AJ$204,MATCH($A68&amp;"|אמצע שנה",'זה אני - קליטה'!$AF$5:$AF$204,0)),""))</f>
        <v/>
      </c>
      <c r="L68" s="28" t="str">
        <f aca="false">IF($A68="","",IFERROR(INDEX('זה אני - קליטה'!$AK$5:$AK$204,MATCH($A68&amp;"|אמצע שנה",'זה אני - קליטה'!$AF$5:$AF$204,0)),""))</f>
        <v/>
      </c>
      <c r="M68" s="28" t="str">
        <f aca="false">IF($A68="","",IFERROR(INDEX('זה אני - קליטה'!$AL$5:$AL$204,MATCH($A68&amp;"|אמצע שנה",'זה אני - קליטה'!$AF$5:$AF$204,0)),""))</f>
        <v/>
      </c>
      <c r="N68" s="27" t="str">
        <f aca="false">IF($A68="","",IFERROR(INDEX('זה אני - קליטה'!$AG$5:$AG$204,MATCH($A68&amp;"|אמצע שנה",'זה אני - קליטה'!$AF$5:$AF$204,0)),""))</f>
        <v/>
      </c>
      <c r="O68" s="28" t="str">
        <f aca="false">IF($A68="","",IFERROR(INDEX('זה אני - קליטה'!$AN$5:$AN$204,MATCH($A68&amp;"|אמצע שנה",'זה אני - קליטה'!$AF$5:$AF$204,0)),""))</f>
        <v/>
      </c>
      <c r="P68" s="28" t="str">
        <f aca="false">IF($A68="","",IFERROR(INDEX('זה אני - קליטה'!$AH$5:$AH$204,MATCH($A68&amp;"|סוף שנה",'זה אני - קליטה'!$AF$5:$AF$204,0)),""))</f>
        <v/>
      </c>
      <c r="Q68" s="28" t="str">
        <f aca="false">IF($A68="","",IFERROR(INDEX('זה אני - קליטה'!$AI$5:$AI$204,MATCH($A68&amp;"|סוף שנה",'זה אני - קליטה'!$AF$5:$AF$204,0)),""))</f>
        <v/>
      </c>
      <c r="R68" s="28" t="str">
        <f aca="false">IF($A68="","",IFERROR(INDEX('זה אני - קליטה'!$AJ$5:$AJ$204,MATCH($A68&amp;"|סוף שנה",'זה אני - קליטה'!$AF$5:$AF$204,0)),""))</f>
        <v/>
      </c>
      <c r="S68" s="28" t="str">
        <f aca="false">IF($A68="","",IFERROR(INDEX('זה אני - קליטה'!$AK$5:$AK$204,MATCH($A68&amp;"|סוף שנה",'זה אני - קליטה'!$AF$5:$AF$204,0)),""))</f>
        <v/>
      </c>
      <c r="T68" s="28" t="str">
        <f aca="false">IF($A68="","",IFERROR(INDEX('זה אני - קליטה'!$AL$5:$AL$204,MATCH($A68&amp;"|סוף שנה",'זה אני - קליטה'!$AF$5:$AF$204,0)),""))</f>
        <v/>
      </c>
      <c r="U68" s="27" t="str">
        <f aca="false">IF($A68="","",IFERROR(INDEX('זה אני - קליטה'!$AG$5:$AG$204,MATCH($A68&amp;"|סוף שנה",'זה אני - קליטה'!$AF$5:$AF$204,0)),""))</f>
        <v/>
      </c>
      <c r="V68" s="28" t="str">
        <f aca="false">IF($A68="","",IFERROR(INDEX('זה אני - קליטה'!$AN$5:$AN$204,MATCH($A68&amp;"|סוף שנה",'זה אני - קליטה'!$AF$5:$AF$204,0)),""))</f>
        <v/>
      </c>
      <c r="W68" s="32" t="str">
        <f aca="false">IF(AND(ISNUMBER(F68),ISNUMBER(T68)),T68-F68,"")</f>
        <v/>
      </c>
      <c r="X68" s="27" t="str">
        <f aca="false">IF(W68="","",IF(W68&gt;=0.25,"עלייה",IF(W68&lt;=-0.25,"ירידה","יציב")))</f>
        <v/>
      </c>
    </row>
    <row r="69" customFormat="false" ht="15" hidden="false" customHeight="false" outlineLevel="0" collapsed="false">
      <c r="A69" s="29"/>
      <c r="B69" s="28" t="str">
        <f aca="false">IF($A69="","",IFERROR(INDEX('זה אני - קליטה'!$AH$5:$AH$204,MATCH($A69&amp;"|תחילת שנה",'זה אני - קליטה'!$AF$5:$AF$204,0)),""))</f>
        <v/>
      </c>
      <c r="C69" s="28" t="str">
        <f aca="false">IF($A69="","",IFERROR(INDEX('זה אני - קליטה'!$AI$5:$AI$204,MATCH($A69&amp;"|תחילת שנה",'זה אני - קליטה'!$AF$5:$AF$204,0)),""))</f>
        <v/>
      </c>
      <c r="D69" s="28" t="str">
        <f aca="false">IF($A69="","",IFERROR(INDEX('זה אני - קליטה'!$AJ$5:$AJ$204,MATCH($A69&amp;"|תחילת שנה",'זה אני - קליטה'!$AF$5:$AF$204,0)),""))</f>
        <v/>
      </c>
      <c r="E69" s="28" t="str">
        <f aca="false">IF($A69="","",IFERROR(INDEX('זה אני - קליטה'!$AK$5:$AK$204,MATCH($A69&amp;"|תחילת שנה",'זה אני - קליטה'!$AF$5:$AF$204,0)),""))</f>
        <v/>
      </c>
      <c r="F69" s="28" t="str">
        <f aca="false">IF($A69="","",IFERROR(INDEX('זה אני - קליטה'!$AL$5:$AL$204,MATCH($A69&amp;"|תחילת שנה",'זה אני - קליטה'!$AF$5:$AF$204,0)),""))</f>
        <v/>
      </c>
      <c r="G69" s="27" t="str">
        <f aca="false">IF($A69="","",IFERROR(INDEX('זה אני - קליטה'!$AG$5:$AG$204,MATCH($A69&amp;"|תחילת שנה",'זה אני - קליטה'!$AF$5:$AF$204,0)),""))</f>
        <v/>
      </c>
      <c r="H69" s="28" t="str">
        <f aca="false">IF($A69="","",IFERROR(INDEX('זה אני - קליטה'!$AN$5:$AN$204,MATCH($A69&amp;"|תחילת שנה",'זה אני - קליטה'!$AF$5:$AF$204,0)),""))</f>
        <v/>
      </c>
      <c r="I69" s="28" t="str">
        <f aca="false">IF($A69="","",IFERROR(INDEX('זה אני - קליטה'!$AH$5:$AH$204,MATCH($A69&amp;"|אמצע שנה",'זה אני - קליטה'!$AF$5:$AF$204,0)),""))</f>
        <v/>
      </c>
      <c r="J69" s="28" t="str">
        <f aca="false">IF($A69="","",IFERROR(INDEX('זה אני - קליטה'!$AI$5:$AI$204,MATCH($A69&amp;"|אמצע שנה",'זה אני - קליטה'!$AF$5:$AF$204,0)),""))</f>
        <v/>
      </c>
      <c r="K69" s="28" t="str">
        <f aca="false">IF($A69="","",IFERROR(INDEX('זה אני - קליטה'!$AJ$5:$AJ$204,MATCH($A69&amp;"|אמצע שנה",'זה אני - קליטה'!$AF$5:$AF$204,0)),""))</f>
        <v/>
      </c>
      <c r="L69" s="28" t="str">
        <f aca="false">IF($A69="","",IFERROR(INDEX('זה אני - קליטה'!$AK$5:$AK$204,MATCH($A69&amp;"|אמצע שנה",'זה אני - קליטה'!$AF$5:$AF$204,0)),""))</f>
        <v/>
      </c>
      <c r="M69" s="28" t="str">
        <f aca="false">IF($A69="","",IFERROR(INDEX('זה אני - קליטה'!$AL$5:$AL$204,MATCH($A69&amp;"|אמצע שנה",'זה אני - קליטה'!$AF$5:$AF$204,0)),""))</f>
        <v/>
      </c>
      <c r="N69" s="27" t="str">
        <f aca="false">IF($A69="","",IFERROR(INDEX('זה אני - קליטה'!$AG$5:$AG$204,MATCH($A69&amp;"|אמצע שנה",'זה אני - קליטה'!$AF$5:$AF$204,0)),""))</f>
        <v/>
      </c>
      <c r="O69" s="28" t="str">
        <f aca="false">IF($A69="","",IFERROR(INDEX('זה אני - קליטה'!$AN$5:$AN$204,MATCH($A69&amp;"|אמצע שנה",'זה אני - קליטה'!$AF$5:$AF$204,0)),""))</f>
        <v/>
      </c>
      <c r="P69" s="28" t="str">
        <f aca="false">IF($A69="","",IFERROR(INDEX('זה אני - קליטה'!$AH$5:$AH$204,MATCH($A69&amp;"|סוף שנה",'זה אני - קליטה'!$AF$5:$AF$204,0)),""))</f>
        <v/>
      </c>
      <c r="Q69" s="28" t="str">
        <f aca="false">IF($A69="","",IFERROR(INDEX('זה אני - קליטה'!$AI$5:$AI$204,MATCH($A69&amp;"|סוף שנה",'זה אני - קליטה'!$AF$5:$AF$204,0)),""))</f>
        <v/>
      </c>
      <c r="R69" s="28" t="str">
        <f aca="false">IF($A69="","",IFERROR(INDEX('זה אני - קליטה'!$AJ$5:$AJ$204,MATCH($A69&amp;"|סוף שנה",'זה אני - קליטה'!$AF$5:$AF$204,0)),""))</f>
        <v/>
      </c>
      <c r="S69" s="28" t="str">
        <f aca="false">IF($A69="","",IFERROR(INDEX('זה אני - קליטה'!$AK$5:$AK$204,MATCH($A69&amp;"|סוף שנה",'זה אני - קליטה'!$AF$5:$AF$204,0)),""))</f>
        <v/>
      </c>
      <c r="T69" s="28" t="str">
        <f aca="false">IF($A69="","",IFERROR(INDEX('זה אני - קליטה'!$AL$5:$AL$204,MATCH($A69&amp;"|סוף שנה",'זה אני - קליטה'!$AF$5:$AF$204,0)),""))</f>
        <v/>
      </c>
      <c r="U69" s="27" t="str">
        <f aca="false">IF($A69="","",IFERROR(INDEX('זה אני - קליטה'!$AG$5:$AG$204,MATCH($A69&amp;"|סוף שנה",'זה אני - קליטה'!$AF$5:$AF$204,0)),""))</f>
        <v/>
      </c>
      <c r="V69" s="28" t="str">
        <f aca="false">IF($A69="","",IFERROR(INDEX('זה אני - קליטה'!$AN$5:$AN$204,MATCH($A69&amp;"|סוף שנה",'זה אני - קליטה'!$AF$5:$AF$204,0)),""))</f>
        <v/>
      </c>
      <c r="W69" s="32" t="str">
        <f aca="false">IF(AND(ISNUMBER(F69),ISNUMBER(T69)),T69-F69,"")</f>
        <v/>
      </c>
      <c r="X69" s="27" t="str">
        <f aca="false">IF(W69="","",IF(W69&gt;=0.25,"עלייה",IF(W69&lt;=-0.25,"ירידה","יציב")))</f>
        <v/>
      </c>
    </row>
    <row r="70" customFormat="false" ht="15" hidden="false" customHeight="false" outlineLevel="0" collapsed="false">
      <c r="A70" s="29"/>
      <c r="B70" s="28" t="str">
        <f aca="false">IF($A70="","",IFERROR(INDEX('זה אני - קליטה'!$AH$5:$AH$204,MATCH($A70&amp;"|תחילת שנה",'זה אני - קליטה'!$AF$5:$AF$204,0)),""))</f>
        <v/>
      </c>
      <c r="C70" s="28" t="str">
        <f aca="false">IF($A70="","",IFERROR(INDEX('זה אני - קליטה'!$AI$5:$AI$204,MATCH($A70&amp;"|תחילת שנה",'זה אני - קליטה'!$AF$5:$AF$204,0)),""))</f>
        <v/>
      </c>
      <c r="D70" s="28" t="str">
        <f aca="false">IF($A70="","",IFERROR(INDEX('זה אני - קליטה'!$AJ$5:$AJ$204,MATCH($A70&amp;"|תחילת שנה",'זה אני - קליטה'!$AF$5:$AF$204,0)),""))</f>
        <v/>
      </c>
      <c r="E70" s="28" t="str">
        <f aca="false">IF($A70="","",IFERROR(INDEX('זה אני - קליטה'!$AK$5:$AK$204,MATCH($A70&amp;"|תחילת שנה",'זה אני - קליטה'!$AF$5:$AF$204,0)),""))</f>
        <v/>
      </c>
      <c r="F70" s="28" t="str">
        <f aca="false">IF($A70="","",IFERROR(INDEX('זה אני - קליטה'!$AL$5:$AL$204,MATCH($A70&amp;"|תחילת שנה",'זה אני - קליטה'!$AF$5:$AF$204,0)),""))</f>
        <v/>
      </c>
      <c r="G70" s="27" t="str">
        <f aca="false">IF($A70="","",IFERROR(INDEX('זה אני - קליטה'!$AG$5:$AG$204,MATCH($A70&amp;"|תחילת שנה",'זה אני - קליטה'!$AF$5:$AF$204,0)),""))</f>
        <v/>
      </c>
      <c r="H70" s="28" t="str">
        <f aca="false">IF($A70="","",IFERROR(INDEX('זה אני - קליטה'!$AN$5:$AN$204,MATCH($A70&amp;"|תחילת שנה",'זה אני - קליטה'!$AF$5:$AF$204,0)),""))</f>
        <v/>
      </c>
      <c r="I70" s="28" t="str">
        <f aca="false">IF($A70="","",IFERROR(INDEX('זה אני - קליטה'!$AH$5:$AH$204,MATCH($A70&amp;"|אמצע שנה",'זה אני - קליטה'!$AF$5:$AF$204,0)),""))</f>
        <v/>
      </c>
      <c r="J70" s="28" t="str">
        <f aca="false">IF($A70="","",IFERROR(INDEX('זה אני - קליטה'!$AI$5:$AI$204,MATCH($A70&amp;"|אמצע שנה",'זה אני - קליטה'!$AF$5:$AF$204,0)),""))</f>
        <v/>
      </c>
      <c r="K70" s="28" t="str">
        <f aca="false">IF($A70="","",IFERROR(INDEX('זה אני - קליטה'!$AJ$5:$AJ$204,MATCH($A70&amp;"|אמצע שנה",'זה אני - קליטה'!$AF$5:$AF$204,0)),""))</f>
        <v/>
      </c>
      <c r="L70" s="28" t="str">
        <f aca="false">IF($A70="","",IFERROR(INDEX('זה אני - קליטה'!$AK$5:$AK$204,MATCH($A70&amp;"|אמצע שנה",'זה אני - קליטה'!$AF$5:$AF$204,0)),""))</f>
        <v/>
      </c>
      <c r="M70" s="28" t="str">
        <f aca="false">IF($A70="","",IFERROR(INDEX('זה אני - קליטה'!$AL$5:$AL$204,MATCH($A70&amp;"|אמצע שנה",'זה אני - קליטה'!$AF$5:$AF$204,0)),""))</f>
        <v/>
      </c>
      <c r="N70" s="27" t="str">
        <f aca="false">IF($A70="","",IFERROR(INDEX('זה אני - קליטה'!$AG$5:$AG$204,MATCH($A70&amp;"|אמצע שנה",'זה אני - קליטה'!$AF$5:$AF$204,0)),""))</f>
        <v/>
      </c>
      <c r="O70" s="28" t="str">
        <f aca="false">IF($A70="","",IFERROR(INDEX('זה אני - קליטה'!$AN$5:$AN$204,MATCH($A70&amp;"|אמצע שנה",'זה אני - קליטה'!$AF$5:$AF$204,0)),""))</f>
        <v/>
      </c>
      <c r="P70" s="28" t="str">
        <f aca="false">IF($A70="","",IFERROR(INDEX('זה אני - קליטה'!$AH$5:$AH$204,MATCH($A70&amp;"|סוף שנה",'זה אני - קליטה'!$AF$5:$AF$204,0)),""))</f>
        <v/>
      </c>
      <c r="Q70" s="28" t="str">
        <f aca="false">IF($A70="","",IFERROR(INDEX('זה אני - קליטה'!$AI$5:$AI$204,MATCH($A70&amp;"|סוף שנה",'זה אני - קליטה'!$AF$5:$AF$204,0)),""))</f>
        <v/>
      </c>
      <c r="R70" s="28" t="str">
        <f aca="false">IF($A70="","",IFERROR(INDEX('זה אני - קליטה'!$AJ$5:$AJ$204,MATCH($A70&amp;"|סוף שנה",'זה אני - קליטה'!$AF$5:$AF$204,0)),""))</f>
        <v/>
      </c>
      <c r="S70" s="28" t="str">
        <f aca="false">IF($A70="","",IFERROR(INDEX('זה אני - קליטה'!$AK$5:$AK$204,MATCH($A70&amp;"|סוף שנה",'זה אני - קליטה'!$AF$5:$AF$204,0)),""))</f>
        <v/>
      </c>
      <c r="T70" s="28" t="str">
        <f aca="false">IF($A70="","",IFERROR(INDEX('זה אני - קליטה'!$AL$5:$AL$204,MATCH($A70&amp;"|סוף שנה",'זה אני - קליטה'!$AF$5:$AF$204,0)),""))</f>
        <v/>
      </c>
      <c r="U70" s="27" t="str">
        <f aca="false">IF($A70="","",IFERROR(INDEX('זה אני - קליטה'!$AG$5:$AG$204,MATCH($A70&amp;"|סוף שנה",'זה אני - קליטה'!$AF$5:$AF$204,0)),""))</f>
        <v/>
      </c>
      <c r="V70" s="28" t="str">
        <f aca="false">IF($A70="","",IFERROR(INDEX('זה אני - קליטה'!$AN$5:$AN$204,MATCH($A70&amp;"|סוף שנה",'זה אני - קליטה'!$AF$5:$AF$204,0)),""))</f>
        <v/>
      </c>
      <c r="W70" s="32" t="str">
        <f aca="false">IF(AND(ISNUMBER(F70),ISNUMBER(T70)),T70-F70,"")</f>
        <v/>
      </c>
      <c r="X70" s="27" t="str">
        <f aca="false">IF(W70="","",IF(W70&gt;=0.25,"עלייה",IF(W70&lt;=-0.25,"ירידה","יציב")))</f>
        <v/>
      </c>
    </row>
    <row r="71" customFormat="false" ht="15" hidden="false" customHeight="false" outlineLevel="0" collapsed="false">
      <c r="A71" s="29"/>
      <c r="B71" s="28" t="str">
        <f aca="false">IF($A71="","",IFERROR(INDEX('זה אני - קליטה'!$AH$5:$AH$204,MATCH($A71&amp;"|תחילת שנה",'זה אני - קליטה'!$AF$5:$AF$204,0)),""))</f>
        <v/>
      </c>
      <c r="C71" s="28" t="str">
        <f aca="false">IF($A71="","",IFERROR(INDEX('זה אני - קליטה'!$AI$5:$AI$204,MATCH($A71&amp;"|תחילת שנה",'זה אני - קליטה'!$AF$5:$AF$204,0)),""))</f>
        <v/>
      </c>
      <c r="D71" s="28" t="str">
        <f aca="false">IF($A71="","",IFERROR(INDEX('זה אני - קליטה'!$AJ$5:$AJ$204,MATCH($A71&amp;"|תחילת שנה",'זה אני - קליטה'!$AF$5:$AF$204,0)),""))</f>
        <v/>
      </c>
      <c r="E71" s="28" t="str">
        <f aca="false">IF($A71="","",IFERROR(INDEX('זה אני - קליטה'!$AK$5:$AK$204,MATCH($A71&amp;"|תחילת שנה",'זה אני - קליטה'!$AF$5:$AF$204,0)),""))</f>
        <v/>
      </c>
      <c r="F71" s="28" t="str">
        <f aca="false">IF($A71="","",IFERROR(INDEX('זה אני - קליטה'!$AL$5:$AL$204,MATCH($A71&amp;"|תחילת שנה",'זה אני - קליטה'!$AF$5:$AF$204,0)),""))</f>
        <v/>
      </c>
      <c r="G71" s="27" t="str">
        <f aca="false">IF($A71="","",IFERROR(INDEX('זה אני - קליטה'!$AG$5:$AG$204,MATCH($A71&amp;"|תחילת שנה",'זה אני - קליטה'!$AF$5:$AF$204,0)),""))</f>
        <v/>
      </c>
      <c r="H71" s="28" t="str">
        <f aca="false">IF($A71="","",IFERROR(INDEX('זה אני - קליטה'!$AN$5:$AN$204,MATCH($A71&amp;"|תחילת שנה",'זה אני - קליטה'!$AF$5:$AF$204,0)),""))</f>
        <v/>
      </c>
      <c r="I71" s="28" t="str">
        <f aca="false">IF($A71="","",IFERROR(INDEX('זה אני - קליטה'!$AH$5:$AH$204,MATCH($A71&amp;"|אמצע שנה",'זה אני - קליטה'!$AF$5:$AF$204,0)),""))</f>
        <v/>
      </c>
      <c r="J71" s="28" t="str">
        <f aca="false">IF($A71="","",IFERROR(INDEX('זה אני - קליטה'!$AI$5:$AI$204,MATCH($A71&amp;"|אמצע שנה",'זה אני - קליטה'!$AF$5:$AF$204,0)),""))</f>
        <v/>
      </c>
      <c r="K71" s="28" t="str">
        <f aca="false">IF($A71="","",IFERROR(INDEX('זה אני - קליטה'!$AJ$5:$AJ$204,MATCH($A71&amp;"|אמצע שנה",'זה אני - קליטה'!$AF$5:$AF$204,0)),""))</f>
        <v/>
      </c>
      <c r="L71" s="28" t="str">
        <f aca="false">IF($A71="","",IFERROR(INDEX('זה אני - קליטה'!$AK$5:$AK$204,MATCH($A71&amp;"|אמצע שנה",'זה אני - קליטה'!$AF$5:$AF$204,0)),""))</f>
        <v/>
      </c>
      <c r="M71" s="28" t="str">
        <f aca="false">IF($A71="","",IFERROR(INDEX('זה אני - קליטה'!$AL$5:$AL$204,MATCH($A71&amp;"|אמצע שנה",'זה אני - קליטה'!$AF$5:$AF$204,0)),""))</f>
        <v/>
      </c>
      <c r="N71" s="27" t="str">
        <f aca="false">IF($A71="","",IFERROR(INDEX('זה אני - קליטה'!$AG$5:$AG$204,MATCH($A71&amp;"|אמצע שנה",'זה אני - קליטה'!$AF$5:$AF$204,0)),""))</f>
        <v/>
      </c>
      <c r="O71" s="28" t="str">
        <f aca="false">IF($A71="","",IFERROR(INDEX('זה אני - קליטה'!$AN$5:$AN$204,MATCH($A71&amp;"|אמצע שנה",'זה אני - קליטה'!$AF$5:$AF$204,0)),""))</f>
        <v/>
      </c>
      <c r="P71" s="28" t="str">
        <f aca="false">IF($A71="","",IFERROR(INDEX('זה אני - קליטה'!$AH$5:$AH$204,MATCH($A71&amp;"|סוף שנה",'זה אני - קליטה'!$AF$5:$AF$204,0)),""))</f>
        <v/>
      </c>
      <c r="Q71" s="28" t="str">
        <f aca="false">IF($A71="","",IFERROR(INDEX('זה אני - קליטה'!$AI$5:$AI$204,MATCH($A71&amp;"|סוף שנה",'זה אני - קליטה'!$AF$5:$AF$204,0)),""))</f>
        <v/>
      </c>
      <c r="R71" s="28" t="str">
        <f aca="false">IF($A71="","",IFERROR(INDEX('זה אני - קליטה'!$AJ$5:$AJ$204,MATCH($A71&amp;"|סוף שנה",'זה אני - קליטה'!$AF$5:$AF$204,0)),""))</f>
        <v/>
      </c>
      <c r="S71" s="28" t="str">
        <f aca="false">IF($A71="","",IFERROR(INDEX('זה אני - קליטה'!$AK$5:$AK$204,MATCH($A71&amp;"|סוף שנה",'זה אני - קליטה'!$AF$5:$AF$204,0)),""))</f>
        <v/>
      </c>
      <c r="T71" s="28" t="str">
        <f aca="false">IF($A71="","",IFERROR(INDEX('זה אני - קליטה'!$AL$5:$AL$204,MATCH($A71&amp;"|סוף שנה",'זה אני - קליטה'!$AF$5:$AF$204,0)),""))</f>
        <v/>
      </c>
      <c r="U71" s="27" t="str">
        <f aca="false">IF($A71="","",IFERROR(INDEX('זה אני - קליטה'!$AG$5:$AG$204,MATCH($A71&amp;"|סוף שנה",'זה אני - קליטה'!$AF$5:$AF$204,0)),""))</f>
        <v/>
      </c>
      <c r="V71" s="28" t="str">
        <f aca="false">IF($A71="","",IFERROR(INDEX('זה אני - קליטה'!$AN$5:$AN$204,MATCH($A71&amp;"|סוף שנה",'זה אני - קליטה'!$AF$5:$AF$204,0)),""))</f>
        <v/>
      </c>
      <c r="W71" s="32" t="str">
        <f aca="false">IF(AND(ISNUMBER(F71),ISNUMBER(T71)),T71-F71,"")</f>
        <v/>
      </c>
      <c r="X71" s="27" t="str">
        <f aca="false">IF(W71="","",IF(W71&gt;=0.25,"עלייה",IF(W71&lt;=-0.25,"ירידה","יציב")))</f>
        <v/>
      </c>
    </row>
    <row r="72" customFormat="false" ht="15" hidden="false" customHeight="false" outlineLevel="0" collapsed="false">
      <c r="A72" s="29"/>
      <c r="B72" s="28" t="str">
        <f aca="false">IF($A72="","",IFERROR(INDEX('זה אני - קליטה'!$AH$5:$AH$204,MATCH($A72&amp;"|תחילת שנה",'זה אני - קליטה'!$AF$5:$AF$204,0)),""))</f>
        <v/>
      </c>
      <c r="C72" s="28" t="str">
        <f aca="false">IF($A72="","",IFERROR(INDEX('זה אני - קליטה'!$AI$5:$AI$204,MATCH($A72&amp;"|תחילת שנה",'זה אני - קליטה'!$AF$5:$AF$204,0)),""))</f>
        <v/>
      </c>
      <c r="D72" s="28" t="str">
        <f aca="false">IF($A72="","",IFERROR(INDEX('זה אני - קליטה'!$AJ$5:$AJ$204,MATCH($A72&amp;"|תחילת שנה",'זה אני - קליטה'!$AF$5:$AF$204,0)),""))</f>
        <v/>
      </c>
      <c r="E72" s="28" t="str">
        <f aca="false">IF($A72="","",IFERROR(INDEX('זה אני - קליטה'!$AK$5:$AK$204,MATCH($A72&amp;"|תחילת שנה",'זה אני - קליטה'!$AF$5:$AF$204,0)),""))</f>
        <v/>
      </c>
      <c r="F72" s="28" t="str">
        <f aca="false">IF($A72="","",IFERROR(INDEX('זה אני - קליטה'!$AL$5:$AL$204,MATCH($A72&amp;"|תחילת שנה",'זה אני - קליטה'!$AF$5:$AF$204,0)),""))</f>
        <v/>
      </c>
      <c r="G72" s="27" t="str">
        <f aca="false">IF($A72="","",IFERROR(INDEX('זה אני - קליטה'!$AG$5:$AG$204,MATCH($A72&amp;"|תחילת שנה",'זה אני - קליטה'!$AF$5:$AF$204,0)),""))</f>
        <v/>
      </c>
      <c r="H72" s="28" t="str">
        <f aca="false">IF($A72="","",IFERROR(INDEX('זה אני - קליטה'!$AN$5:$AN$204,MATCH($A72&amp;"|תחילת שנה",'זה אני - קליטה'!$AF$5:$AF$204,0)),""))</f>
        <v/>
      </c>
      <c r="I72" s="28" t="str">
        <f aca="false">IF($A72="","",IFERROR(INDEX('זה אני - קליטה'!$AH$5:$AH$204,MATCH($A72&amp;"|אמצע שנה",'זה אני - קליטה'!$AF$5:$AF$204,0)),""))</f>
        <v/>
      </c>
      <c r="J72" s="28" t="str">
        <f aca="false">IF($A72="","",IFERROR(INDEX('זה אני - קליטה'!$AI$5:$AI$204,MATCH($A72&amp;"|אמצע שנה",'זה אני - קליטה'!$AF$5:$AF$204,0)),""))</f>
        <v/>
      </c>
      <c r="K72" s="28" t="str">
        <f aca="false">IF($A72="","",IFERROR(INDEX('זה אני - קליטה'!$AJ$5:$AJ$204,MATCH($A72&amp;"|אמצע שנה",'זה אני - קליטה'!$AF$5:$AF$204,0)),""))</f>
        <v/>
      </c>
      <c r="L72" s="28" t="str">
        <f aca="false">IF($A72="","",IFERROR(INDEX('זה אני - קליטה'!$AK$5:$AK$204,MATCH($A72&amp;"|אמצע שנה",'זה אני - קליטה'!$AF$5:$AF$204,0)),""))</f>
        <v/>
      </c>
      <c r="M72" s="28" t="str">
        <f aca="false">IF($A72="","",IFERROR(INDEX('זה אני - קליטה'!$AL$5:$AL$204,MATCH($A72&amp;"|אמצע שנה",'זה אני - קליטה'!$AF$5:$AF$204,0)),""))</f>
        <v/>
      </c>
      <c r="N72" s="27" t="str">
        <f aca="false">IF($A72="","",IFERROR(INDEX('זה אני - קליטה'!$AG$5:$AG$204,MATCH($A72&amp;"|אמצע שנה",'זה אני - קליטה'!$AF$5:$AF$204,0)),""))</f>
        <v/>
      </c>
      <c r="O72" s="28" t="str">
        <f aca="false">IF($A72="","",IFERROR(INDEX('זה אני - קליטה'!$AN$5:$AN$204,MATCH($A72&amp;"|אמצע שנה",'זה אני - קליטה'!$AF$5:$AF$204,0)),""))</f>
        <v/>
      </c>
      <c r="P72" s="28" t="str">
        <f aca="false">IF($A72="","",IFERROR(INDEX('זה אני - קליטה'!$AH$5:$AH$204,MATCH($A72&amp;"|סוף שנה",'זה אני - קליטה'!$AF$5:$AF$204,0)),""))</f>
        <v/>
      </c>
      <c r="Q72" s="28" t="str">
        <f aca="false">IF($A72="","",IFERROR(INDEX('זה אני - קליטה'!$AI$5:$AI$204,MATCH($A72&amp;"|סוף שנה",'זה אני - קליטה'!$AF$5:$AF$204,0)),""))</f>
        <v/>
      </c>
      <c r="R72" s="28" t="str">
        <f aca="false">IF($A72="","",IFERROR(INDEX('זה אני - קליטה'!$AJ$5:$AJ$204,MATCH($A72&amp;"|סוף שנה",'זה אני - קליטה'!$AF$5:$AF$204,0)),""))</f>
        <v/>
      </c>
      <c r="S72" s="28" t="str">
        <f aca="false">IF($A72="","",IFERROR(INDEX('זה אני - קליטה'!$AK$5:$AK$204,MATCH($A72&amp;"|סוף שנה",'זה אני - קליטה'!$AF$5:$AF$204,0)),""))</f>
        <v/>
      </c>
      <c r="T72" s="28" t="str">
        <f aca="false">IF($A72="","",IFERROR(INDEX('זה אני - קליטה'!$AL$5:$AL$204,MATCH($A72&amp;"|סוף שנה",'זה אני - קליטה'!$AF$5:$AF$204,0)),""))</f>
        <v/>
      </c>
      <c r="U72" s="27" t="str">
        <f aca="false">IF($A72="","",IFERROR(INDEX('זה אני - קליטה'!$AG$5:$AG$204,MATCH($A72&amp;"|סוף שנה",'זה אני - קליטה'!$AF$5:$AF$204,0)),""))</f>
        <v/>
      </c>
      <c r="V72" s="28" t="str">
        <f aca="false">IF($A72="","",IFERROR(INDEX('זה אני - קליטה'!$AN$5:$AN$204,MATCH($A72&amp;"|סוף שנה",'זה אני - קליטה'!$AF$5:$AF$204,0)),""))</f>
        <v/>
      </c>
      <c r="W72" s="32" t="str">
        <f aca="false">IF(AND(ISNUMBER(F72),ISNUMBER(T72)),T72-F72,"")</f>
        <v/>
      </c>
      <c r="X72" s="27" t="str">
        <f aca="false">IF(W72="","",IF(W72&gt;=0.25,"עלייה",IF(W72&lt;=-0.25,"ירידה","יציב")))</f>
        <v/>
      </c>
    </row>
    <row r="73" customFormat="false" ht="15" hidden="false" customHeight="false" outlineLevel="0" collapsed="false">
      <c r="A73" s="29"/>
      <c r="B73" s="28" t="str">
        <f aca="false">IF($A73="","",IFERROR(INDEX('זה אני - קליטה'!$AH$5:$AH$204,MATCH($A73&amp;"|תחילת שנה",'זה אני - קליטה'!$AF$5:$AF$204,0)),""))</f>
        <v/>
      </c>
      <c r="C73" s="28" t="str">
        <f aca="false">IF($A73="","",IFERROR(INDEX('זה אני - קליטה'!$AI$5:$AI$204,MATCH($A73&amp;"|תחילת שנה",'זה אני - קליטה'!$AF$5:$AF$204,0)),""))</f>
        <v/>
      </c>
      <c r="D73" s="28" t="str">
        <f aca="false">IF($A73="","",IFERROR(INDEX('זה אני - קליטה'!$AJ$5:$AJ$204,MATCH($A73&amp;"|תחילת שנה",'זה אני - קליטה'!$AF$5:$AF$204,0)),""))</f>
        <v/>
      </c>
      <c r="E73" s="28" t="str">
        <f aca="false">IF($A73="","",IFERROR(INDEX('זה אני - קליטה'!$AK$5:$AK$204,MATCH($A73&amp;"|תחילת שנה",'זה אני - קליטה'!$AF$5:$AF$204,0)),""))</f>
        <v/>
      </c>
      <c r="F73" s="28" t="str">
        <f aca="false">IF($A73="","",IFERROR(INDEX('זה אני - קליטה'!$AL$5:$AL$204,MATCH($A73&amp;"|תחילת שנה",'זה אני - קליטה'!$AF$5:$AF$204,0)),""))</f>
        <v/>
      </c>
      <c r="G73" s="27" t="str">
        <f aca="false">IF($A73="","",IFERROR(INDEX('זה אני - קליטה'!$AG$5:$AG$204,MATCH($A73&amp;"|תחילת שנה",'זה אני - קליטה'!$AF$5:$AF$204,0)),""))</f>
        <v/>
      </c>
      <c r="H73" s="28" t="str">
        <f aca="false">IF($A73="","",IFERROR(INDEX('זה אני - קליטה'!$AN$5:$AN$204,MATCH($A73&amp;"|תחילת שנה",'זה אני - קליטה'!$AF$5:$AF$204,0)),""))</f>
        <v/>
      </c>
      <c r="I73" s="28" t="str">
        <f aca="false">IF($A73="","",IFERROR(INDEX('זה אני - קליטה'!$AH$5:$AH$204,MATCH($A73&amp;"|אמצע שנה",'זה אני - קליטה'!$AF$5:$AF$204,0)),""))</f>
        <v/>
      </c>
      <c r="J73" s="28" t="str">
        <f aca="false">IF($A73="","",IFERROR(INDEX('זה אני - קליטה'!$AI$5:$AI$204,MATCH($A73&amp;"|אמצע שנה",'זה אני - קליטה'!$AF$5:$AF$204,0)),""))</f>
        <v/>
      </c>
      <c r="K73" s="28" t="str">
        <f aca="false">IF($A73="","",IFERROR(INDEX('זה אני - קליטה'!$AJ$5:$AJ$204,MATCH($A73&amp;"|אמצע שנה",'זה אני - קליטה'!$AF$5:$AF$204,0)),""))</f>
        <v/>
      </c>
      <c r="L73" s="28" t="str">
        <f aca="false">IF($A73="","",IFERROR(INDEX('זה אני - קליטה'!$AK$5:$AK$204,MATCH($A73&amp;"|אמצע שנה",'זה אני - קליטה'!$AF$5:$AF$204,0)),""))</f>
        <v/>
      </c>
      <c r="M73" s="28" t="str">
        <f aca="false">IF($A73="","",IFERROR(INDEX('זה אני - קליטה'!$AL$5:$AL$204,MATCH($A73&amp;"|אמצע שנה",'זה אני - קליטה'!$AF$5:$AF$204,0)),""))</f>
        <v/>
      </c>
      <c r="N73" s="27" t="str">
        <f aca="false">IF($A73="","",IFERROR(INDEX('זה אני - קליטה'!$AG$5:$AG$204,MATCH($A73&amp;"|אמצע שנה",'זה אני - קליטה'!$AF$5:$AF$204,0)),""))</f>
        <v/>
      </c>
      <c r="O73" s="28" t="str">
        <f aca="false">IF($A73="","",IFERROR(INDEX('זה אני - קליטה'!$AN$5:$AN$204,MATCH($A73&amp;"|אמצע שנה",'זה אני - קליטה'!$AF$5:$AF$204,0)),""))</f>
        <v/>
      </c>
      <c r="P73" s="28" t="str">
        <f aca="false">IF($A73="","",IFERROR(INDEX('זה אני - קליטה'!$AH$5:$AH$204,MATCH($A73&amp;"|סוף שנה",'זה אני - קליטה'!$AF$5:$AF$204,0)),""))</f>
        <v/>
      </c>
      <c r="Q73" s="28" t="str">
        <f aca="false">IF($A73="","",IFERROR(INDEX('זה אני - קליטה'!$AI$5:$AI$204,MATCH($A73&amp;"|סוף שנה",'זה אני - קליטה'!$AF$5:$AF$204,0)),""))</f>
        <v/>
      </c>
      <c r="R73" s="28" t="str">
        <f aca="false">IF($A73="","",IFERROR(INDEX('זה אני - קליטה'!$AJ$5:$AJ$204,MATCH($A73&amp;"|סוף שנה",'זה אני - קליטה'!$AF$5:$AF$204,0)),""))</f>
        <v/>
      </c>
      <c r="S73" s="28" t="str">
        <f aca="false">IF($A73="","",IFERROR(INDEX('זה אני - קליטה'!$AK$5:$AK$204,MATCH($A73&amp;"|סוף שנה",'זה אני - קליטה'!$AF$5:$AF$204,0)),""))</f>
        <v/>
      </c>
      <c r="T73" s="28" t="str">
        <f aca="false">IF($A73="","",IFERROR(INDEX('זה אני - קליטה'!$AL$5:$AL$204,MATCH($A73&amp;"|סוף שנה",'זה אני - קליטה'!$AF$5:$AF$204,0)),""))</f>
        <v/>
      </c>
      <c r="U73" s="27" t="str">
        <f aca="false">IF($A73="","",IFERROR(INDEX('זה אני - קליטה'!$AG$5:$AG$204,MATCH($A73&amp;"|סוף שנה",'זה אני - קליטה'!$AF$5:$AF$204,0)),""))</f>
        <v/>
      </c>
      <c r="V73" s="28" t="str">
        <f aca="false">IF($A73="","",IFERROR(INDEX('זה אני - קליטה'!$AN$5:$AN$204,MATCH($A73&amp;"|סוף שנה",'זה אני - קליטה'!$AF$5:$AF$204,0)),""))</f>
        <v/>
      </c>
      <c r="W73" s="32" t="str">
        <f aca="false">IF(AND(ISNUMBER(F73),ISNUMBER(T73)),T73-F73,"")</f>
        <v/>
      </c>
      <c r="X73" s="27" t="str">
        <f aca="false">IF(W73="","",IF(W73&gt;=0.25,"עלייה",IF(W73&lt;=-0.25,"ירידה","יציב")))</f>
        <v/>
      </c>
    </row>
    <row r="74" customFormat="false" ht="15" hidden="false" customHeight="false" outlineLevel="0" collapsed="false">
      <c r="A74" s="29"/>
      <c r="B74" s="28" t="str">
        <f aca="false">IF($A74="","",IFERROR(INDEX('זה אני - קליטה'!$AH$5:$AH$204,MATCH($A74&amp;"|תחילת שנה",'זה אני - קליטה'!$AF$5:$AF$204,0)),""))</f>
        <v/>
      </c>
      <c r="C74" s="28" t="str">
        <f aca="false">IF($A74="","",IFERROR(INDEX('זה אני - קליטה'!$AI$5:$AI$204,MATCH($A74&amp;"|תחילת שנה",'זה אני - קליטה'!$AF$5:$AF$204,0)),""))</f>
        <v/>
      </c>
      <c r="D74" s="28" t="str">
        <f aca="false">IF($A74="","",IFERROR(INDEX('זה אני - קליטה'!$AJ$5:$AJ$204,MATCH($A74&amp;"|תחילת שנה",'זה אני - קליטה'!$AF$5:$AF$204,0)),""))</f>
        <v/>
      </c>
      <c r="E74" s="28" t="str">
        <f aca="false">IF($A74="","",IFERROR(INDEX('זה אני - קליטה'!$AK$5:$AK$204,MATCH($A74&amp;"|תחילת שנה",'זה אני - קליטה'!$AF$5:$AF$204,0)),""))</f>
        <v/>
      </c>
      <c r="F74" s="28" t="str">
        <f aca="false">IF($A74="","",IFERROR(INDEX('זה אני - קליטה'!$AL$5:$AL$204,MATCH($A74&amp;"|תחילת שנה",'זה אני - קליטה'!$AF$5:$AF$204,0)),""))</f>
        <v/>
      </c>
      <c r="G74" s="27" t="str">
        <f aca="false">IF($A74="","",IFERROR(INDEX('זה אני - קליטה'!$AG$5:$AG$204,MATCH($A74&amp;"|תחילת שנה",'זה אני - קליטה'!$AF$5:$AF$204,0)),""))</f>
        <v/>
      </c>
      <c r="H74" s="28" t="str">
        <f aca="false">IF($A74="","",IFERROR(INDEX('זה אני - קליטה'!$AN$5:$AN$204,MATCH($A74&amp;"|תחילת שנה",'זה אני - קליטה'!$AF$5:$AF$204,0)),""))</f>
        <v/>
      </c>
      <c r="I74" s="28" t="str">
        <f aca="false">IF($A74="","",IFERROR(INDEX('זה אני - קליטה'!$AH$5:$AH$204,MATCH($A74&amp;"|אמצע שנה",'זה אני - קליטה'!$AF$5:$AF$204,0)),""))</f>
        <v/>
      </c>
      <c r="J74" s="28" t="str">
        <f aca="false">IF($A74="","",IFERROR(INDEX('זה אני - קליטה'!$AI$5:$AI$204,MATCH($A74&amp;"|אמצע שנה",'זה אני - קליטה'!$AF$5:$AF$204,0)),""))</f>
        <v/>
      </c>
      <c r="K74" s="28" t="str">
        <f aca="false">IF($A74="","",IFERROR(INDEX('זה אני - קליטה'!$AJ$5:$AJ$204,MATCH($A74&amp;"|אמצע שנה",'זה אני - קליטה'!$AF$5:$AF$204,0)),""))</f>
        <v/>
      </c>
      <c r="L74" s="28" t="str">
        <f aca="false">IF($A74="","",IFERROR(INDEX('זה אני - קליטה'!$AK$5:$AK$204,MATCH($A74&amp;"|אמצע שנה",'זה אני - קליטה'!$AF$5:$AF$204,0)),""))</f>
        <v/>
      </c>
      <c r="M74" s="28" t="str">
        <f aca="false">IF($A74="","",IFERROR(INDEX('זה אני - קליטה'!$AL$5:$AL$204,MATCH($A74&amp;"|אמצע שנה",'זה אני - קליטה'!$AF$5:$AF$204,0)),""))</f>
        <v/>
      </c>
      <c r="N74" s="27" t="str">
        <f aca="false">IF($A74="","",IFERROR(INDEX('זה אני - קליטה'!$AG$5:$AG$204,MATCH($A74&amp;"|אמצע שנה",'זה אני - קליטה'!$AF$5:$AF$204,0)),""))</f>
        <v/>
      </c>
      <c r="O74" s="28" t="str">
        <f aca="false">IF($A74="","",IFERROR(INDEX('זה אני - קליטה'!$AN$5:$AN$204,MATCH($A74&amp;"|אמצע שנה",'זה אני - קליטה'!$AF$5:$AF$204,0)),""))</f>
        <v/>
      </c>
      <c r="P74" s="28" t="str">
        <f aca="false">IF($A74="","",IFERROR(INDEX('זה אני - קליטה'!$AH$5:$AH$204,MATCH($A74&amp;"|סוף שנה",'זה אני - קליטה'!$AF$5:$AF$204,0)),""))</f>
        <v/>
      </c>
      <c r="Q74" s="28" t="str">
        <f aca="false">IF($A74="","",IFERROR(INDEX('זה אני - קליטה'!$AI$5:$AI$204,MATCH($A74&amp;"|סוף שנה",'זה אני - קליטה'!$AF$5:$AF$204,0)),""))</f>
        <v/>
      </c>
      <c r="R74" s="28" t="str">
        <f aca="false">IF($A74="","",IFERROR(INDEX('זה אני - קליטה'!$AJ$5:$AJ$204,MATCH($A74&amp;"|סוף שנה",'זה אני - קליטה'!$AF$5:$AF$204,0)),""))</f>
        <v/>
      </c>
      <c r="S74" s="28" t="str">
        <f aca="false">IF($A74="","",IFERROR(INDEX('זה אני - קליטה'!$AK$5:$AK$204,MATCH($A74&amp;"|סוף שנה",'זה אני - קליטה'!$AF$5:$AF$204,0)),""))</f>
        <v/>
      </c>
      <c r="T74" s="28" t="str">
        <f aca="false">IF($A74="","",IFERROR(INDEX('זה אני - קליטה'!$AL$5:$AL$204,MATCH($A74&amp;"|סוף שנה",'זה אני - קליטה'!$AF$5:$AF$204,0)),""))</f>
        <v/>
      </c>
      <c r="U74" s="27" t="str">
        <f aca="false">IF($A74="","",IFERROR(INDEX('זה אני - קליטה'!$AG$5:$AG$204,MATCH($A74&amp;"|סוף שנה",'זה אני - קליטה'!$AF$5:$AF$204,0)),""))</f>
        <v/>
      </c>
      <c r="V74" s="28" t="str">
        <f aca="false">IF($A74="","",IFERROR(INDEX('זה אני - קליטה'!$AN$5:$AN$204,MATCH($A74&amp;"|סוף שנה",'זה אני - קליטה'!$AF$5:$AF$204,0)),""))</f>
        <v/>
      </c>
      <c r="W74" s="32" t="str">
        <f aca="false">IF(AND(ISNUMBER(F74),ISNUMBER(T74)),T74-F74,"")</f>
        <v/>
      </c>
      <c r="X74" s="27" t="str">
        <f aca="false">IF(W74="","",IF(W74&gt;=0.25,"עלייה",IF(W74&lt;=-0.25,"ירידה","יציב")))</f>
        <v/>
      </c>
    </row>
    <row r="75" customFormat="false" ht="15" hidden="false" customHeight="false" outlineLevel="0" collapsed="false">
      <c r="A75" s="29"/>
      <c r="B75" s="28" t="str">
        <f aca="false">IF($A75="","",IFERROR(INDEX('זה אני - קליטה'!$AH$5:$AH$204,MATCH($A75&amp;"|תחילת שנה",'זה אני - קליטה'!$AF$5:$AF$204,0)),""))</f>
        <v/>
      </c>
      <c r="C75" s="28" t="str">
        <f aca="false">IF($A75="","",IFERROR(INDEX('זה אני - קליטה'!$AI$5:$AI$204,MATCH($A75&amp;"|תחילת שנה",'זה אני - קליטה'!$AF$5:$AF$204,0)),""))</f>
        <v/>
      </c>
      <c r="D75" s="28" t="str">
        <f aca="false">IF($A75="","",IFERROR(INDEX('זה אני - קליטה'!$AJ$5:$AJ$204,MATCH($A75&amp;"|תחילת שנה",'זה אני - קליטה'!$AF$5:$AF$204,0)),""))</f>
        <v/>
      </c>
      <c r="E75" s="28" t="str">
        <f aca="false">IF($A75="","",IFERROR(INDEX('זה אני - קליטה'!$AK$5:$AK$204,MATCH($A75&amp;"|תחילת שנה",'זה אני - קליטה'!$AF$5:$AF$204,0)),""))</f>
        <v/>
      </c>
      <c r="F75" s="28" t="str">
        <f aca="false">IF($A75="","",IFERROR(INDEX('זה אני - קליטה'!$AL$5:$AL$204,MATCH($A75&amp;"|תחילת שנה",'זה אני - קליטה'!$AF$5:$AF$204,0)),""))</f>
        <v/>
      </c>
      <c r="G75" s="27" t="str">
        <f aca="false">IF($A75="","",IFERROR(INDEX('זה אני - קליטה'!$AG$5:$AG$204,MATCH($A75&amp;"|תחילת שנה",'זה אני - קליטה'!$AF$5:$AF$204,0)),""))</f>
        <v/>
      </c>
      <c r="H75" s="28" t="str">
        <f aca="false">IF($A75="","",IFERROR(INDEX('זה אני - קליטה'!$AN$5:$AN$204,MATCH($A75&amp;"|תחילת שנה",'זה אני - קליטה'!$AF$5:$AF$204,0)),""))</f>
        <v/>
      </c>
      <c r="I75" s="28" t="str">
        <f aca="false">IF($A75="","",IFERROR(INDEX('זה אני - קליטה'!$AH$5:$AH$204,MATCH($A75&amp;"|אמצע שנה",'זה אני - קליטה'!$AF$5:$AF$204,0)),""))</f>
        <v/>
      </c>
      <c r="J75" s="28" t="str">
        <f aca="false">IF($A75="","",IFERROR(INDEX('זה אני - קליטה'!$AI$5:$AI$204,MATCH($A75&amp;"|אמצע שנה",'זה אני - קליטה'!$AF$5:$AF$204,0)),""))</f>
        <v/>
      </c>
      <c r="K75" s="28" t="str">
        <f aca="false">IF($A75="","",IFERROR(INDEX('זה אני - קליטה'!$AJ$5:$AJ$204,MATCH($A75&amp;"|אמצע שנה",'זה אני - קליטה'!$AF$5:$AF$204,0)),""))</f>
        <v/>
      </c>
      <c r="L75" s="28" t="str">
        <f aca="false">IF($A75="","",IFERROR(INDEX('זה אני - קליטה'!$AK$5:$AK$204,MATCH($A75&amp;"|אמצע שנה",'זה אני - קליטה'!$AF$5:$AF$204,0)),""))</f>
        <v/>
      </c>
      <c r="M75" s="28" t="str">
        <f aca="false">IF($A75="","",IFERROR(INDEX('זה אני - קליטה'!$AL$5:$AL$204,MATCH($A75&amp;"|אמצע שנה",'זה אני - קליטה'!$AF$5:$AF$204,0)),""))</f>
        <v/>
      </c>
      <c r="N75" s="27" t="str">
        <f aca="false">IF($A75="","",IFERROR(INDEX('זה אני - קליטה'!$AG$5:$AG$204,MATCH($A75&amp;"|אמצע שנה",'זה אני - קליטה'!$AF$5:$AF$204,0)),""))</f>
        <v/>
      </c>
      <c r="O75" s="28" t="str">
        <f aca="false">IF($A75="","",IFERROR(INDEX('זה אני - קליטה'!$AN$5:$AN$204,MATCH($A75&amp;"|אמצע שנה",'זה אני - קליטה'!$AF$5:$AF$204,0)),""))</f>
        <v/>
      </c>
      <c r="P75" s="28" t="str">
        <f aca="false">IF($A75="","",IFERROR(INDEX('זה אני - קליטה'!$AH$5:$AH$204,MATCH($A75&amp;"|סוף שנה",'זה אני - קליטה'!$AF$5:$AF$204,0)),""))</f>
        <v/>
      </c>
      <c r="Q75" s="28" t="str">
        <f aca="false">IF($A75="","",IFERROR(INDEX('זה אני - קליטה'!$AI$5:$AI$204,MATCH($A75&amp;"|סוף שנה",'זה אני - קליטה'!$AF$5:$AF$204,0)),""))</f>
        <v/>
      </c>
      <c r="R75" s="28" t="str">
        <f aca="false">IF($A75="","",IFERROR(INDEX('זה אני - קליטה'!$AJ$5:$AJ$204,MATCH($A75&amp;"|סוף שנה",'זה אני - קליטה'!$AF$5:$AF$204,0)),""))</f>
        <v/>
      </c>
      <c r="S75" s="28" t="str">
        <f aca="false">IF($A75="","",IFERROR(INDEX('זה אני - קליטה'!$AK$5:$AK$204,MATCH($A75&amp;"|סוף שנה",'זה אני - קליטה'!$AF$5:$AF$204,0)),""))</f>
        <v/>
      </c>
      <c r="T75" s="28" t="str">
        <f aca="false">IF($A75="","",IFERROR(INDEX('זה אני - קליטה'!$AL$5:$AL$204,MATCH($A75&amp;"|סוף שנה",'זה אני - קליטה'!$AF$5:$AF$204,0)),""))</f>
        <v/>
      </c>
      <c r="U75" s="27" t="str">
        <f aca="false">IF($A75="","",IFERROR(INDEX('זה אני - קליטה'!$AG$5:$AG$204,MATCH($A75&amp;"|סוף שנה",'זה אני - קליטה'!$AF$5:$AF$204,0)),""))</f>
        <v/>
      </c>
      <c r="V75" s="28" t="str">
        <f aca="false">IF($A75="","",IFERROR(INDEX('זה אני - קליטה'!$AN$5:$AN$204,MATCH($A75&amp;"|סוף שנה",'זה אני - קליטה'!$AF$5:$AF$204,0)),""))</f>
        <v/>
      </c>
      <c r="W75" s="32" t="str">
        <f aca="false">IF(AND(ISNUMBER(F75),ISNUMBER(T75)),T75-F75,"")</f>
        <v/>
      </c>
      <c r="X75" s="27" t="str">
        <f aca="false">IF(W75="","",IF(W75&gt;=0.25,"עלייה",IF(W75&lt;=-0.25,"ירידה","יציב")))</f>
        <v/>
      </c>
    </row>
    <row r="76" customFormat="false" ht="15" hidden="false" customHeight="false" outlineLevel="0" collapsed="false">
      <c r="A76" s="29"/>
      <c r="B76" s="28" t="str">
        <f aca="false">IF($A76="","",IFERROR(INDEX('זה אני - קליטה'!$AH$5:$AH$204,MATCH($A76&amp;"|תחילת שנה",'זה אני - קליטה'!$AF$5:$AF$204,0)),""))</f>
        <v/>
      </c>
      <c r="C76" s="28" t="str">
        <f aca="false">IF($A76="","",IFERROR(INDEX('זה אני - קליטה'!$AI$5:$AI$204,MATCH($A76&amp;"|תחילת שנה",'זה אני - קליטה'!$AF$5:$AF$204,0)),""))</f>
        <v/>
      </c>
      <c r="D76" s="28" t="str">
        <f aca="false">IF($A76="","",IFERROR(INDEX('זה אני - קליטה'!$AJ$5:$AJ$204,MATCH($A76&amp;"|תחילת שנה",'זה אני - קליטה'!$AF$5:$AF$204,0)),""))</f>
        <v/>
      </c>
      <c r="E76" s="28" t="str">
        <f aca="false">IF($A76="","",IFERROR(INDEX('זה אני - קליטה'!$AK$5:$AK$204,MATCH($A76&amp;"|תחילת שנה",'זה אני - קליטה'!$AF$5:$AF$204,0)),""))</f>
        <v/>
      </c>
      <c r="F76" s="28" t="str">
        <f aca="false">IF($A76="","",IFERROR(INDEX('זה אני - קליטה'!$AL$5:$AL$204,MATCH($A76&amp;"|תחילת שנה",'זה אני - קליטה'!$AF$5:$AF$204,0)),""))</f>
        <v/>
      </c>
      <c r="G76" s="27" t="str">
        <f aca="false">IF($A76="","",IFERROR(INDEX('זה אני - קליטה'!$AG$5:$AG$204,MATCH($A76&amp;"|תחילת שנה",'זה אני - קליטה'!$AF$5:$AF$204,0)),""))</f>
        <v/>
      </c>
      <c r="H76" s="28" t="str">
        <f aca="false">IF($A76="","",IFERROR(INDEX('זה אני - קליטה'!$AN$5:$AN$204,MATCH($A76&amp;"|תחילת שנה",'זה אני - קליטה'!$AF$5:$AF$204,0)),""))</f>
        <v/>
      </c>
      <c r="I76" s="28" t="str">
        <f aca="false">IF($A76="","",IFERROR(INDEX('זה אני - קליטה'!$AH$5:$AH$204,MATCH($A76&amp;"|אמצע שנה",'זה אני - קליטה'!$AF$5:$AF$204,0)),""))</f>
        <v/>
      </c>
      <c r="J76" s="28" t="str">
        <f aca="false">IF($A76="","",IFERROR(INDEX('זה אני - קליטה'!$AI$5:$AI$204,MATCH($A76&amp;"|אמצע שנה",'זה אני - קליטה'!$AF$5:$AF$204,0)),""))</f>
        <v/>
      </c>
      <c r="K76" s="28" t="str">
        <f aca="false">IF($A76="","",IFERROR(INDEX('זה אני - קליטה'!$AJ$5:$AJ$204,MATCH($A76&amp;"|אמצע שנה",'זה אני - קליטה'!$AF$5:$AF$204,0)),""))</f>
        <v/>
      </c>
      <c r="L76" s="28" t="str">
        <f aca="false">IF($A76="","",IFERROR(INDEX('זה אני - קליטה'!$AK$5:$AK$204,MATCH($A76&amp;"|אמצע שנה",'זה אני - קליטה'!$AF$5:$AF$204,0)),""))</f>
        <v/>
      </c>
      <c r="M76" s="28" t="str">
        <f aca="false">IF($A76="","",IFERROR(INDEX('זה אני - קליטה'!$AL$5:$AL$204,MATCH($A76&amp;"|אמצע שנה",'זה אני - קליטה'!$AF$5:$AF$204,0)),""))</f>
        <v/>
      </c>
      <c r="N76" s="27" t="str">
        <f aca="false">IF($A76="","",IFERROR(INDEX('זה אני - קליטה'!$AG$5:$AG$204,MATCH($A76&amp;"|אמצע שנה",'זה אני - קליטה'!$AF$5:$AF$204,0)),""))</f>
        <v/>
      </c>
      <c r="O76" s="28" t="str">
        <f aca="false">IF($A76="","",IFERROR(INDEX('זה אני - קליטה'!$AN$5:$AN$204,MATCH($A76&amp;"|אמצע שנה",'זה אני - קליטה'!$AF$5:$AF$204,0)),""))</f>
        <v/>
      </c>
      <c r="P76" s="28" t="str">
        <f aca="false">IF($A76="","",IFERROR(INDEX('זה אני - קליטה'!$AH$5:$AH$204,MATCH($A76&amp;"|סוף שנה",'זה אני - קליטה'!$AF$5:$AF$204,0)),""))</f>
        <v/>
      </c>
      <c r="Q76" s="28" t="str">
        <f aca="false">IF($A76="","",IFERROR(INDEX('זה אני - קליטה'!$AI$5:$AI$204,MATCH($A76&amp;"|סוף שנה",'זה אני - קליטה'!$AF$5:$AF$204,0)),""))</f>
        <v/>
      </c>
      <c r="R76" s="28" t="str">
        <f aca="false">IF($A76="","",IFERROR(INDEX('זה אני - קליטה'!$AJ$5:$AJ$204,MATCH($A76&amp;"|סוף שנה",'זה אני - קליטה'!$AF$5:$AF$204,0)),""))</f>
        <v/>
      </c>
      <c r="S76" s="28" t="str">
        <f aca="false">IF($A76="","",IFERROR(INDEX('זה אני - קליטה'!$AK$5:$AK$204,MATCH($A76&amp;"|סוף שנה",'זה אני - קליטה'!$AF$5:$AF$204,0)),""))</f>
        <v/>
      </c>
      <c r="T76" s="28" t="str">
        <f aca="false">IF($A76="","",IFERROR(INDEX('זה אני - קליטה'!$AL$5:$AL$204,MATCH($A76&amp;"|סוף שנה",'זה אני - קליטה'!$AF$5:$AF$204,0)),""))</f>
        <v/>
      </c>
      <c r="U76" s="27" t="str">
        <f aca="false">IF($A76="","",IFERROR(INDEX('זה אני - קליטה'!$AG$5:$AG$204,MATCH($A76&amp;"|סוף שנה",'זה אני - קליטה'!$AF$5:$AF$204,0)),""))</f>
        <v/>
      </c>
      <c r="V76" s="28" t="str">
        <f aca="false">IF($A76="","",IFERROR(INDEX('זה אני - קליטה'!$AN$5:$AN$204,MATCH($A76&amp;"|סוף שנה",'זה אני - קליטה'!$AF$5:$AF$204,0)),""))</f>
        <v/>
      </c>
      <c r="W76" s="32" t="str">
        <f aca="false">IF(AND(ISNUMBER(F76),ISNUMBER(T76)),T76-F76,"")</f>
        <v/>
      </c>
      <c r="X76" s="27" t="str">
        <f aca="false">IF(W76="","",IF(W76&gt;=0.25,"עלייה",IF(W76&lt;=-0.25,"ירידה","יציב")))</f>
        <v/>
      </c>
    </row>
    <row r="77" customFormat="false" ht="15" hidden="false" customHeight="false" outlineLevel="0" collapsed="false">
      <c r="A77" s="29"/>
      <c r="B77" s="28" t="str">
        <f aca="false">IF($A77="","",IFERROR(INDEX('זה אני - קליטה'!$AH$5:$AH$204,MATCH($A77&amp;"|תחילת שנה",'זה אני - קליטה'!$AF$5:$AF$204,0)),""))</f>
        <v/>
      </c>
      <c r="C77" s="28" t="str">
        <f aca="false">IF($A77="","",IFERROR(INDEX('זה אני - קליטה'!$AI$5:$AI$204,MATCH($A77&amp;"|תחילת שנה",'זה אני - קליטה'!$AF$5:$AF$204,0)),""))</f>
        <v/>
      </c>
      <c r="D77" s="28" t="str">
        <f aca="false">IF($A77="","",IFERROR(INDEX('זה אני - קליטה'!$AJ$5:$AJ$204,MATCH($A77&amp;"|תחילת שנה",'זה אני - קליטה'!$AF$5:$AF$204,0)),""))</f>
        <v/>
      </c>
      <c r="E77" s="28" t="str">
        <f aca="false">IF($A77="","",IFERROR(INDEX('זה אני - קליטה'!$AK$5:$AK$204,MATCH($A77&amp;"|תחילת שנה",'זה אני - קליטה'!$AF$5:$AF$204,0)),""))</f>
        <v/>
      </c>
      <c r="F77" s="28" t="str">
        <f aca="false">IF($A77="","",IFERROR(INDEX('זה אני - קליטה'!$AL$5:$AL$204,MATCH($A77&amp;"|תחילת שנה",'זה אני - קליטה'!$AF$5:$AF$204,0)),""))</f>
        <v/>
      </c>
      <c r="G77" s="27" t="str">
        <f aca="false">IF($A77="","",IFERROR(INDEX('זה אני - קליטה'!$AG$5:$AG$204,MATCH($A77&amp;"|תחילת שנה",'זה אני - קליטה'!$AF$5:$AF$204,0)),""))</f>
        <v/>
      </c>
      <c r="H77" s="28" t="str">
        <f aca="false">IF($A77="","",IFERROR(INDEX('זה אני - קליטה'!$AN$5:$AN$204,MATCH($A77&amp;"|תחילת שנה",'זה אני - קליטה'!$AF$5:$AF$204,0)),""))</f>
        <v/>
      </c>
      <c r="I77" s="28" t="str">
        <f aca="false">IF($A77="","",IFERROR(INDEX('זה אני - קליטה'!$AH$5:$AH$204,MATCH($A77&amp;"|אמצע שנה",'זה אני - קליטה'!$AF$5:$AF$204,0)),""))</f>
        <v/>
      </c>
      <c r="J77" s="28" t="str">
        <f aca="false">IF($A77="","",IFERROR(INDEX('זה אני - קליטה'!$AI$5:$AI$204,MATCH($A77&amp;"|אמצע שנה",'זה אני - קליטה'!$AF$5:$AF$204,0)),""))</f>
        <v/>
      </c>
      <c r="K77" s="28" t="str">
        <f aca="false">IF($A77="","",IFERROR(INDEX('זה אני - קליטה'!$AJ$5:$AJ$204,MATCH($A77&amp;"|אמצע שנה",'זה אני - קליטה'!$AF$5:$AF$204,0)),""))</f>
        <v/>
      </c>
      <c r="L77" s="28" t="str">
        <f aca="false">IF($A77="","",IFERROR(INDEX('זה אני - קליטה'!$AK$5:$AK$204,MATCH($A77&amp;"|אמצע שנה",'זה אני - קליטה'!$AF$5:$AF$204,0)),""))</f>
        <v/>
      </c>
      <c r="M77" s="28" t="str">
        <f aca="false">IF($A77="","",IFERROR(INDEX('זה אני - קליטה'!$AL$5:$AL$204,MATCH($A77&amp;"|אמצע שנה",'זה אני - קליטה'!$AF$5:$AF$204,0)),""))</f>
        <v/>
      </c>
      <c r="N77" s="27" t="str">
        <f aca="false">IF($A77="","",IFERROR(INDEX('זה אני - קליטה'!$AG$5:$AG$204,MATCH($A77&amp;"|אמצע שנה",'זה אני - קליטה'!$AF$5:$AF$204,0)),""))</f>
        <v/>
      </c>
      <c r="O77" s="28" t="str">
        <f aca="false">IF($A77="","",IFERROR(INDEX('זה אני - קליטה'!$AN$5:$AN$204,MATCH($A77&amp;"|אמצע שנה",'זה אני - קליטה'!$AF$5:$AF$204,0)),""))</f>
        <v/>
      </c>
      <c r="P77" s="28" t="str">
        <f aca="false">IF($A77="","",IFERROR(INDEX('זה אני - קליטה'!$AH$5:$AH$204,MATCH($A77&amp;"|סוף שנה",'זה אני - קליטה'!$AF$5:$AF$204,0)),""))</f>
        <v/>
      </c>
      <c r="Q77" s="28" t="str">
        <f aca="false">IF($A77="","",IFERROR(INDEX('זה אני - קליטה'!$AI$5:$AI$204,MATCH($A77&amp;"|סוף שנה",'זה אני - קליטה'!$AF$5:$AF$204,0)),""))</f>
        <v/>
      </c>
      <c r="R77" s="28" t="str">
        <f aca="false">IF($A77="","",IFERROR(INDEX('זה אני - קליטה'!$AJ$5:$AJ$204,MATCH($A77&amp;"|סוף שנה",'זה אני - קליטה'!$AF$5:$AF$204,0)),""))</f>
        <v/>
      </c>
      <c r="S77" s="28" t="str">
        <f aca="false">IF($A77="","",IFERROR(INDEX('זה אני - קליטה'!$AK$5:$AK$204,MATCH($A77&amp;"|סוף שנה",'זה אני - קליטה'!$AF$5:$AF$204,0)),""))</f>
        <v/>
      </c>
      <c r="T77" s="28" t="str">
        <f aca="false">IF($A77="","",IFERROR(INDEX('זה אני - קליטה'!$AL$5:$AL$204,MATCH($A77&amp;"|סוף שנה",'זה אני - קליטה'!$AF$5:$AF$204,0)),""))</f>
        <v/>
      </c>
      <c r="U77" s="27" t="str">
        <f aca="false">IF($A77="","",IFERROR(INDEX('זה אני - קליטה'!$AG$5:$AG$204,MATCH($A77&amp;"|סוף שנה",'זה אני - קליטה'!$AF$5:$AF$204,0)),""))</f>
        <v/>
      </c>
      <c r="V77" s="28" t="str">
        <f aca="false">IF($A77="","",IFERROR(INDEX('זה אני - קליטה'!$AN$5:$AN$204,MATCH($A77&amp;"|סוף שנה",'זה אני - קליטה'!$AF$5:$AF$204,0)),""))</f>
        <v/>
      </c>
      <c r="W77" s="32" t="str">
        <f aca="false">IF(AND(ISNUMBER(F77),ISNUMBER(T77)),T77-F77,"")</f>
        <v/>
      </c>
      <c r="X77" s="27" t="str">
        <f aca="false">IF(W77="","",IF(W77&gt;=0.25,"עלייה",IF(W77&lt;=-0.25,"ירידה","יציב")))</f>
        <v/>
      </c>
    </row>
    <row r="78" customFormat="false" ht="15" hidden="false" customHeight="false" outlineLevel="0" collapsed="false">
      <c r="A78" s="29"/>
      <c r="B78" s="28" t="str">
        <f aca="false">IF($A78="","",IFERROR(INDEX('זה אני - קליטה'!$AH$5:$AH$204,MATCH($A78&amp;"|תחילת שנה",'זה אני - קליטה'!$AF$5:$AF$204,0)),""))</f>
        <v/>
      </c>
      <c r="C78" s="28" t="str">
        <f aca="false">IF($A78="","",IFERROR(INDEX('זה אני - קליטה'!$AI$5:$AI$204,MATCH($A78&amp;"|תחילת שנה",'זה אני - קליטה'!$AF$5:$AF$204,0)),""))</f>
        <v/>
      </c>
      <c r="D78" s="28" t="str">
        <f aca="false">IF($A78="","",IFERROR(INDEX('זה אני - קליטה'!$AJ$5:$AJ$204,MATCH($A78&amp;"|תחילת שנה",'זה אני - קליטה'!$AF$5:$AF$204,0)),""))</f>
        <v/>
      </c>
      <c r="E78" s="28" t="str">
        <f aca="false">IF($A78="","",IFERROR(INDEX('זה אני - קליטה'!$AK$5:$AK$204,MATCH($A78&amp;"|תחילת שנה",'זה אני - קליטה'!$AF$5:$AF$204,0)),""))</f>
        <v/>
      </c>
      <c r="F78" s="28" t="str">
        <f aca="false">IF($A78="","",IFERROR(INDEX('זה אני - קליטה'!$AL$5:$AL$204,MATCH($A78&amp;"|תחילת שנה",'זה אני - קליטה'!$AF$5:$AF$204,0)),""))</f>
        <v/>
      </c>
      <c r="G78" s="27" t="str">
        <f aca="false">IF($A78="","",IFERROR(INDEX('זה אני - קליטה'!$AG$5:$AG$204,MATCH($A78&amp;"|תחילת שנה",'זה אני - קליטה'!$AF$5:$AF$204,0)),""))</f>
        <v/>
      </c>
      <c r="H78" s="28" t="str">
        <f aca="false">IF($A78="","",IFERROR(INDEX('זה אני - קליטה'!$AN$5:$AN$204,MATCH($A78&amp;"|תחילת שנה",'זה אני - קליטה'!$AF$5:$AF$204,0)),""))</f>
        <v/>
      </c>
      <c r="I78" s="28" t="str">
        <f aca="false">IF($A78="","",IFERROR(INDEX('זה אני - קליטה'!$AH$5:$AH$204,MATCH($A78&amp;"|אמצע שנה",'זה אני - קליטה'!$AF$5:$AF$204,0)),""))</f>
        <v/>
      </c>
      <c r="J78" s="28" t="str">
        <f aca="false">IF($A78="","",IFERROR(INDEX('זה אני - קליטה'!$AI$5:$AI$204,MATCH($A78&amp;"|אמצע שנה",'זה אני - קליטה'!$AF$5:$AF$204,0)),""))</f>
        <v/>
      </c>
      <c r="K78" s="28" t="str">
        <f aca="false">IF($A78="","",IFERROR(INDEX('זה אני - קליטה'!$AJ$5:$AJ$204,MATCH($A78&amp;"|אמצע שנה",'זה אני - קליטה'!$AF$5:$AF$204,0)),""))</f>
        <v/>
      </c>
      <c r="L78" s="28" t="str">
        <f aca="false">IF($A78="","",IFERROR(INDEX('זה אני - קליטה'!$AK$5:$AK$204,MATCH($A78&amp;"|אמצע שנה",'זה אני - קליטה'!$AF$5:$AF$204,0)),""))</f>
        <v/>
      </c>
      <c r="M78" s="28" t="str">
        <f aca="false">IF($A78="","",IFERROR(INDEX('זה אני - קליטה'!$AL$5:$AL$204,MATCH($A78&amp;"|אמצע שנה",'זה אני - קליטה'!$AF$5:$AF$204,0)),""))</f>
        <v/>
      </c>
      <c r="N78" s="27" t="str">
        <f aca="false">IF($A78="","",IFERROR(INDEX('זה אני - קליטה'!$AG$5:$AG$204,MATCH($A78&amp;"|אמצע שנה",'זה אני - קליטה'!$AF$5:$AF$204,0)),""))</f>
        <v/>
      </c>
      <c r="O78" s="28" t="str">
        <f aca="false">IF($A78="","",IFERROR(INDEX('זה אני - קליטה'!$AN$5:$AN$204,MATCH($A78&amp;"|אמצע שנה",'זה אני - קליטה'!$AF$5:$AF$204,0)),""))</f>
        <v/>
      </c>
      <c r="P78" s="28" t="str">
        <f aca="false">IF($A78="","",IFERROR(INDEX('זה אני - קליטה'!$AH$5:$AH$204,MATCH($A78&amp;"|סוף שנה",'זה אני - קליטה'!$AF$5:$AF$204,0)),""))</f>
        <v/>
      </c>
      <c r="Q78" s="28" t="str">
        <f aca="false">IF($A78="","",IFERROR(INDEX('זה אני - קליטה'!$AI$5:$AI$204,MATCH($A78&amp;"|סוף שנה",'זה אני - קליטה'!$AF$5:$AF$204,0)),""))</f>
        <v/>
      </c>
      <c r="R78" s="28" t="str">
        <f aca="false">IF($A78="","",IFERROR(INDEX('זה אני - קליטה'!$AJ$5:$AJ$204,MATCH($A78&amp;"|סוף שנה",'זה אני - קליטה'!$AF$5:$AF$204,0)),""))</f>
        <v/>
      </c>
      <c r="S78" s="28" t="str">
        <f aca="false">IF($A78="","",IFERROR(INDEX('זה אני - קליטה'!$AK$5:$AK$204,MATCH($A78&amp;"|סוף שנה",'זה אני - קליטה'!$AF$5:$AF$204,0)),""))</f>
        <v/>
      </c>
      <c r="T78" s="28" t="str">
        <f aca="false">IF($A78="","",IFERROR(INDEX('זה אני - קליטה'!$AL$5:$AL$204,MATCH($A78&amp;"|סוף שנה",'זה אני - קליטה'!$AF$5:$AF$204,0)),""))</f>
        <v/>
      </c>
      <c r="U78" s="27" t="str">
        <f aca="false">IF($A78="","",IFERROR(INDEX('זה אני - קליטה'!$AG$5:$AG$204,MATCH($A78&amp;"|סוף שנה",'זה אני - קליטה'!$AF$5:$AF$204,0)),""))</f>
        <v/>
      </c>
      <c r="V78" s="28" t="str">
        <f aca="false">IF($A78="","",IFERROR(INDEX('זה אני - קליטה'!$AN$5:$AN$204,MATCH($A78&amp;"|סוף שנה",'זה אני - קליטה'!$AF$5:$AF$204,0)),""))</f>
        <v/>
      </c>
      <c r="W78" s="32" t="str">
        <f aca="false">IF(AND(ISNUMBER(F78),ISNUMBER(T78)),T78-F78,"")</f>
        <v/>
      </c>
      <c r="X78" s="27" t="str">
        <f aca="false">IF(W78="","",IF(W78&gt;=0.25,"עלייה",IF(W78&lt;=-0.25,"ירידה","יציב")))</f>
        <v/>
      </c>
    </row>
    <row r="79" customFormat="false" ht="15" hidden="false" customHeight="false" outlineLevel="0" collapsed="false">
      <c r="A79" s="29"/>
      <c r="B79" s="28" t="str">
        <f aca="false">IF($A79="","",IFERROR(INDEX('זה אני - קליטה'!$AH$5:$AH$204,MATCH($A79&amp;"|תחילת שנה",'זה אני - קליטה'!$AF$5:$AF$204,0)),""))</f>
        <v/>
      </c>
      <c r="C79" s="28" t="str">
        <f aca="false">IF($A79="","",IFERROR(INDEX('זה אני - קליטה'!$AI$5:$AI$204,MATCH($A79&amp;"|תחילת שנה",'זה אני - קליטה'!$AF$5:$AF$204,0)),""))</f>
        <v/>
      </c>
      <c r="D79" s="28" t="str">
        <f aca="false">IF($A79="","",IFERROR(INDEX('זה אני - קליטה'!$AJ$5:$AJ$204,MATCH($A79&amp;"|תחילת שנה",'זה אני - קליטה'!$AF$5:$AF$204,0)),""))</f>
        <v/>
      </c>
      <c r="E79" s="28" t="str">
        <f aca="false">IF($A79="","",IFERROR(INDEX('זה אני - קליטה'!$AK$5:$AK$204,MATCH($A79&amp;"|תחילת שנה",'זה אני - קליטה'!$AF$5:$AF$204,0)),""))</f>
        <v/>
      </c>
      <c r="F79" s="28" t="str">
        <f aca="false">IF($A79="","",IFERROR(INDEX('זה אני - קליטה'!$AL$5:$AL$204,MATCH($A79&amp;"|תחילת שנה",'זה אני - קליטה'!$AF$5:$AF$204,0)),""))</f>
        <v/>
      </c>
      <c r="G79" s="27" t="str">
        <f aca="false">IF($A79="","",IFERROR(INDEX('זה אני - קליטה'!$AG$5:$AG$204,MATCH($A79&amp;"|תחילת שנה",'זה אני - קליטה'!$AF$5:$AF$204,0)),""))</f>
        <v/>
      </c>
      <c r="H79" s="28" t="str">
        <f aca="false">IF($A79="","",IFERROR(INDEX('זה אני - קליטה'!$AN$5:$AN$204,MATCH($A79&amp;"|תחילת שנה",'זה אני - קליטה'!$AF$5:$AF$204,0)),""))</f>
        <v/>
      </c>
      <c r="I79" s="28" t="str">
        <f aca="false">IF($A79="","",IFERROR(INDEX('זה אני - קליטה'!$AH$5:$AH$204,MATCH($A79&amp;"|אמצע שנה",'זה אני - קליטה'!$AF$5:$AF$204,0)),""))</f>
        <v/>
      </c>
      <c r="J79" s="28" t="str">
        <f aca="false">IF($A79="","",IFERROR(INDEX('זה אני - קליטה'!$AI$5:$AI$204,MATCH($A79&amp;"|אמצע שנה",'זה אני - קליטה'!$AF$5:$AF$204,0)),""))</f>
        <v/>
      </c>
      <c r="K79" s="28" t="str">
        <f aca="false">IF($A79="","",IFERROR(INDEX('זה אני - קליטה'!$AJ$5:$AJ$204,MATCH($A79&amp;"|אמצע שנה",'זה אני - קליטה'!$AF$5:$AF$204,0)),""))</f>
        <v/>
      </c>
      <c r="L79" s="28" t="str">
        <f aca="false">IF($A79="","",IFERROR(INDEX('זה אני - קליטה'!$AK$5:$AK$204,MATCH($A79&amp;"|אמצע שנה",'זה אני - קליטה'!$AF$5:$AF$204,0)),""))</f>
        <v/>
      </c>
      <c r="M79" s="28" t="str">
        <f aca="false">IF($A79="","",IFERROR(INDEX('זה אני - קליטה'!$AL$5:$AL$204,MATCH($A79&amp;"|אמצע שנה",'זה אני - קליטה'!$AF$5:$AF$204,0)),""))</f>
        <v/>
      </c>
      <c r="N79" s="27" t="str">
        <f aca="false">IF($A79="","",IFERROR(INDEX('זה אני - קליטה'!$AG$5:$AG$204,MATCH($A79&amp;"|אמצע שנה",'זה אני - קליטה'!$AF$5:$AF$204,0)),""))</f>
        <v/>
      </c>
      <c r="O79" s="28" t="str">
        <f aca="false">IF($A79="","",IFERROR(INDEX('זה אני - קליטה'!$AN$5:$AN$204,MATCH($A79&amp;"|אמצע שנה",'זה אני - קליטה'!$AF$5:$AF$204,0)),""))</f>
        <v/>
      </c>
      <c r="P79" s="28" t="str">
        <f aca="false">IF($A79="","",IFERROR(INDEX('זה אני - קליטה'!$AH$5:$AH$204,MATCH($A79&amp;"|סוף שנה",'זה אני - קליטה'!$AF$5:$AF$204,0)),""))</f>
        <v/>
      </c>
      <c r="Q79" s="28" t="str">
        <f aca="false">IF($A79="","",IFERROR(INDEX('זה אני - קליטה'!$AI$5:$AI$204,MATCH($A79&amp;"|סוף שנה",'זה אני - קליטה'!$AF$5:$AF$204,0)),""))</f>
        <v/>
      </c>
      <c r="R79" s="28" t="str">
        <f aca="false">IF($A79="","",IFERROR(INDEX('זה אני - קליטה'!$AJ$5:$AJ$204,MATCH($A79&amp;"|סוף שנה",'זה אני - קליטה'!$AF$5:$AF$204,0)),""))</f>
        <v/>
      </c>
      <c r="S79" s="28" t="str">
        <f aca="false">IF($A79="","",IFERROR(INDEX('זה אני - קליטה'!$AK$5:$AK$204,MATCH($A79&amp;"|סוף שנה",'זה אני - קליטה'!$AF$5:$AF$204,0)),""))</f>
        <v/>
      </c>
      <c r="T79" s="28" t="str">
        <f aca="false">IF($A79="","",IFERROR(INDEX('זה אני - קליטה'!$AL$5:$AL$204,MATCH($A79&amp;"|סוף שנה",'זה אני - קליטה'!$AF$5:$AF$204,0)),""))</f>
        <v/>
      </c>
      <c r="U79" s="27" t="str">
        <f aca="false">IF($A79="","",IFERROR(INDEX('זה אני - קליטה'!$AG$5:$AG$204,MATCH($A79&amp;"|סוף שנה",'זה אני - קליטה'!$AF$5:$AF$204,0)),""))</f>
        <v/>
      </c>
      <c r="V79" s="28" t="str">
        <f aca="false">IF($A79="","",IFERROR(INDEX('זה אני - קליטה'!$AN$5:$AN$204,MATCH($A79&amp;"|סוף שנה",'זה אני - קליטה'!$AF$5:$AF$204,0)),""))</f>
        <v/>
      </c>
      <c r="W79" s="32" t="str">
        <f aca="false">IF(AND(ISNUMBER(F79),ISNUMBER(T79)),T79-F79,"")</f>
        <v/>
      </c>
      <c r="X79" s="27" t="str">
        <f aca="false">IF(W79="","",IF(W79&gt;=0.25,"עלייה",IF(W79&lt;=-0.25,"ירידה","יציב")))</f>
        <v/>
      </c>
    </row>
    <row r="80" customFormat="false" ht="15" hidden="false" customHeight="false" outlineLevel="0" collapsed="false">
      <c r="A80" s="29"/>
      <c r="B80" s="28" t="str">
        <f aca="false">IF($A80="","",IFERROR(INDEX('זה אני - קליטה'!$AH$5:$AH$204,MATCH($A80&amp;"|תחילת שנה",'זה אני - קליטה'!$AF$5:$AF$204,0)),""))</f>
        <v/>
      </c>
      <c r="C80" s="28" t="str">
        <f aca="false">IF($A80="","",IFERROR(INDEX('זה אני - קליטה'!$AI$5:$AI$204,MATCH($A80&amp;"|תחילת שנה",'זה אני - קליטה'!$AF$5:$AF$204,0)),""))</f>
        <v/>
      </c>
      <c r="D80" s="28" t="str">
        <f aca="false">IF($A80="","",IFERROR(INDEX('זה אני - קליטה'!$AJ$5:$AJ$204,MATCH($A80&amp;"|תחילת שנה",'זה אני - קליטה'!$AF$5:$AF$204,0)),""))</f>
        <v/>
      </c>
      <c r="E80" s="28" t="str">
        <f aca="false">IF($A80="","",IFERROR(INDEX('זה אני - קליטה'!$AK$5:$AK$204,MATCH($A80&amp;"|תחילת שנה",'זה אני - קליטה'!$AF$5:$AF$204,0)),""))</f>
        <v/>
      </c>
      <c r="F80" s="28" t="str">
        <f aca="false">IF($A80="","",IFERROR(INDEX('זה אני - קליטה'!$AL$5:$AL$204,MATCH($A80&amp;"|תחילת שנה",'זה אני - קליטה'!$AF$5:$AF$204,0)),""))</f>
        <v/>
      </c>
      <c r="G80" s="27" t="str">
        <f aca="false">IF($A80="","",IFERROR(INDEX('זה אני - קליטה'!$AG$5:$AG$204,MATCH($A80&amp;"|תחילת שנה",'זה אני - קליטה'!$AF$5:$AF$204,0)),""))</f>
        <v/>
      </c>
      <c r="H80" s="28" t="str">
        <f aca="false">IF($A80="","",IFERROR(INDEX('זה אני - קליטה'!$AN$5:$AN$204,MATCH($A80&amp;"|תחילת שנה",'זה אני - קליטה'!$AF$5:$AF$204,0)),""))</f>
        <v/>
      </c>
      <c r="I80" s="28" t="str">
        <f aca="false">IF($A80="","",IFERROR(INDEX('זה אני - קליטה'!$AH$5:$AH$204,MATCH($A80&amp;"|אמצע שנה",'זה אני - קליטה'!$AF$5:$AF$204,0)),""))</f>
        <v/>
      </c>
      <c r="J80" s="28" t="str">
        <f aca="false">IF($A80="","",IFERROR(INDEX('זה אני - קליטה'!$AI$5:$AI$204,MATCH($A80&amp;"|אמצע שנה",'זה אני - קליטה'!$AF$5:$AF$204,0)),""))</f>
        <v/>
      </c>
      <c r="K80" s="28" t="str">
        <f aca="false">IF($A80="","",IFERROR(INDEX('זה אני - קליטה'!$AJ$5:$AJ$204,MATCH($A80&amp;"|אמצע שנה",'זה אני - קליטה'!$AF$5:$AF$204,0)),""))</f>
        <v/>
      </c>
      <c r="L80" s="28" t="str">
        <f aca="false">IF($A80="","",IFERROR(INDEX('זה אני - קליטה'!$AK$5:$AK$204,MATCH($A80&amp;"|אמצע שנה",'זה אני - קליטה'!$AF$5:$AF$204,0)),""))</f>
        <v/>
      </c>
      <c r="M80" s="28" t="str">
        <f aca="false">IF($A80="","",IFERROR(INDEX('זה אני - קליטה'!$AL$5:$AL$204,MATCH($A80&amp;"|אמצע שנה",'זה אני - קליטה'!$AF$5:$AF$204,0)),""))</f>
        <v/>
      </c>
      <c r="N80" s="27" t="str">
        <f aca="false">IF($A80="","",IFERROR(INDEX('זה אני - קליטה'!$AG$5:$AG$204,MATCH($A80&amp;"|אמצע שנה",'זה אני - קליטה'!$AF$5:$AF$204,0)),""))</f>
        <v/>
      </c>
      <c r="O80" s="28" t="str">
        <f aca="false">IF($A80="","",IFERROR(INDEX('זה אני - קליטה'!$AN$5:$AN$204,MATCH($A80&amp;"|אמצע שנה",'זה אני - קליטה'!$AF$5:$AF$204,0)),""))</f>
        <v/>
      </c>
      <c r="P80" s="28" t="str">
        <f aca="false">IF($A80="","",IFERROR(INDEX('זה אני - קליטה'!$AH$5:$AH$204,MATCH($A80&amp;"|סוף שנה",'זה אני - קליטה'!$AF$5:$AF$204,0)),""))</f>
        <v/>
      </c>
      <c r="Q80" s="28" t="str">
        <f aca="false">IF($A80="","",IFERROR(INDEX('זה אני - קליטה'!$AI$5:$AI$204,MATCH($A80&amp;"|סוף שנה",'זה אני - קליטה'!$AF$5:$AF$204,0)),""))</f>
        <v/>
      </c>
      <c r="R80" s="28" t="str">
        <f aca="false">IF($A80="","",IFERROR(INDEX('זה אני - קליטה'!$AJ$5:$AJ$204,MATCH($A80&amp;"|סוף שנה",'זה אני - קליטה'!$AF$5:$AF$204,0)),""))</f>
        <v/>
      </c>
      <c r="S80" s="28" t="str">
        <f aca="false">IF($A80="","",IFERROR(INDEX('זה אני - קליטה'!$AK$5:$AK$204,MATCH($A80&amp;"|סוף שנה",'זה אני - קליטה'!$AF$5:$AF$204,0)),""))</f>
        <v/>
      </c>
      <c r="T80" s="28" t="str">
        <f aca="false">IF($A80="","",IFERROR(INDEX('זה אני - קליטה'!$AL$5:$AL$204,MATCH($A80&amp;"|סוף שנה",'זה אני - קליטה'!$AF$5:$AF$204,0)),""))</f>
        <v/>
      </c>
      <c r="U80" s="27" t="str">
        <f aca="false">IF($A80="","",IFERROR(INDEX('זה אני - קליטה'!$AG$5:$AG$204,MATCH($A80&amp;"|סוף שנה",'זה אני - קליטה'!$AF$5:$AF$204,0)),""))</f>
        <v/>
      </c>
      <c r="V80" s="28" t="str">
        <f aca="false">IF($A80="","",IFERROR(INDEX('זה אני - קליטה'!$AN$5:$AN$204,MATCH($A80&amp;"|סוף שנה",'זה אני - קליטה'!$AF$5:$AF$204,0)),""))</f>
        <v/>
      </c>
      <c r="W80" s="32" t="str">
        <f aca="false">IF(AND(ISNUMBER(F80),ISNUMBER(T80)),T80-F80,"")</f>
        <v/>
      </c>
      <c r="X80" s="27" t="str">
        <f aca="false">IF(W80="","",IF(W80&gt;=0.25,"עלייה",IF(W80&lt;=-0.25,"ירידה","יציב")))</f>
        <v/>
      </c>
    </row>
    <row r="81" customFormat="false" ht="15" hidden="false" customHeight="false" outlineLevel="0" collapsed="false">
      <c r="A81" s="29"/>
      <c r="B81" s="28" t="str">
        <f aca="false">IF($A81="","",IFERROR(INDEX('זה אני - קליטה'!$AH$5:$AH$204,MATCH($A81&amp;"|תחילת שנה",'זה אני - קליטה'!$AF$5:$AF$204,0)),""))</f>
        <v/>
      </c>
      <c r="C81" s="28" t="str">
        <f aca="false">IF($A81="","",IFERROR(INDEX('זה אני - קליטה'!$AI$5:$AI$204,MATCH($A81&amp;"|תחילת שנה",'זה אני - קליטה'!$AF$5:$AF$204,0)),""))</f>
        <v/>
      </c>
      <c r="D81" s="28" t="str">
        <f aca="false">IF($A81="","",IFERROR(INDEX('זה אני - קליטה'!$AJ$5:$AJ$204,MATCH($A81&amp;"|תחילת שנה",'זה אני - קליטה'!$AF$5:$AF$204,0)),""))</f>
        <v/>
      </c>
      <c r="E81" s="28" t="str">
        <f aca="false">IF($A81="","",IFERROR(INDEX('זה אני - קליטה'!$AK$5:$AK$204,MATCH($A81&amp;"|תחילת שנה",'זה אני - קליטה'!$AF$5:$AF$204,0)),""))</f>
        <v/>
      </c>
      <c r="F81" s="28" t="str">
        <f aca="false">IF($A81="","",IFERROR(INDEX('זה אני - קליטה'!$AL$5:$AL$204,MATCH($A81&amp;"|תחילת שנה",'זה אני - קליטה'!$AF$5:$AF$204,0)),""))</f>
        <v/>
      </c>
      <c r="G81" s="27" t="str">
        <f aca="false">IF($A81="","",IFERROR(INDEX('זה אני - קליטה'!$AG$5:$AG$204,MATCH($A81&amp;"|תחילת שנה",'זה אני - קליטה'!$AF$5:$AF$204,0)),""))</f>
        <v/>
      </c>
      <c r="H81" s="28" t="str">
        <f aca="false">IF($A81="","",IFERROR(INDEX('זה אני - קליטה'!$AN$5:$AN$204,MATCH($A81&amp;"|תחילת שנה",'זה אני - קליטה'!$AF$5:$AF$204,0)),""))</f>
        <v/>
      </c>
      <c r="I81" s="28" t="str">
        <f aca="false">IF($A81="","",IFERROR(INDEX('זה אני - קליטה'!$AH$5:$AH$204,MATCH($A81&amp;"|אמצע שנה",'זה אני - קליטה'!$AF$5:$AF$204,0)),""))</f>
        <v/>
      </c>
      <c r="J81" s="28" t="str">
        <f aca="false">IF($A81="","",IFERROR(INDEX('זה אני - קליטה'!$AI$5:$AI$204,MATCH($A81&amp;"|אמצע שנה",'זה אני - קליטה'!$AF$5:$AF$204,0)),""))</f>
        <v/>
      </c>
      <c r="K81" s="28" t="str">
        <f aca="false">IF($A81="","",IFERROR(INDEX('זה אני - קליטה'!$AJ$5:$AJ$204,MATCH($A81&amp;"|אמצע שנה",'זה אני - קליטה'!$AF$5:$AF$204,0)),""))</f>
        <v/>
      </c>
      <c r="L81" s="28" t="str">
        <f aca="false">IF($A81="","",IFERROR(INDEX('זה אני - קליטה'!$AK$5:$AK$204,MATCH($A81&amp;"|אמצע שנה",'זה אני - קליטה'!$AF$5:$AF$204,0)),""))</f>
        <v/>
      </c>
      <c r="M81" s="28" t="str">
        <f aca="false">IF($A81="","",IFERROR(INDEX('זה אני - קליטה'!$AL$5:$AL$204,MATCH($A81&amp;"|אמצע שנה",'זה אני - קליטה'!$AF$5:$AF$204,0)),""))</f>
        <v/>
      </c>
      <c r="N81" s="27" t="str">
        <f aca="false">IF($A81="","",IFERROR(INDEX('זה אני - קליטה'!$AG$5:$AG$204,MATCH($A81&amp;"|אמצע שנה",'זה אני - קליטה'!$AF$5:$AF$204,0)),""))</f>
        <v/>
      </c>
      <c r="O81" s="28" t="str">
        <f aca="false">IF($A81="","",IFERROR(INDEX('זה אני - קליטה'!$AN$5:$AN$204,MATCH($A81&amp;"|אמצע שנה",'זה אני - קליטה'!$AF$5:$AF$204,0)),""))</f>
        <v/>
      </c>
      <c r="P81" s="28" t="str">
        <f aca="false">IF($A81="","",IFERROR(INDEX('זה אני - קליטה'!$AH$5:$AH$204,MATCH($A81&amp;"|סוף שנה",'זה אני - קליטה'!$AF$5:$AF$204,0)),""))</f>
        <v/>
      </c>
      <c r="Q81" s="28" t="str">
        <f aca="false">IF($A81="","",IFERROR(INDEX('זה אני - קליטה'!$AI$5:$AI$204,MATCH($A81&amp;"|סוף שנה",'זה אני - קליטה'!$AF$5:$AF$204,0)),""))</f>
        <v/>
      </c>
      <c r="R81" s="28" t="str">
        <f aca="false">IF($A81="","",IFERROR(INDEX('זה אני - קליטה'!$AJ$5:$AJ$204,MATCH($A81&amp;"|סוף שנה",'זה אני - קליטה'!$AF$5:$AF$204,0)),""))</f>
        <v/>
      </c>
      <c r="S81" s="28" t="str">
        <f aca="false">IF($A81="","",IFERROR(INDEX('זה אני - קליטה'!$AK$5:$AK$204,MATCH($A81&amp;"|סוף שנה",'זה אני - קליטה'!$AF$5:$AF$204,0)),""))</f>
        <v/>
      </c>
      <c r="T81" s="28" t="str">
        <f aca="false">IF($A81="","",IFERROR(INDEX('זה אני - קליטה'!$AL$5:$AL$204,MATCH($A81&amp;"|סוף שנה",'זה אני - קליטה'!$AF$5:$AF$204,0)),""))</f>
        <v/>
      </c>
      <c r="U81" s="27" t="str">
        <f aca="false">IF($A81="","",IFERROR(INDEX('זה אני - קליטה'!$AG$5:$AG$204,MATCH($A81&amp;"|סוף שנה",'זה אני - קליטה'!$AF$5:$AF$204,0)),""))</f>
        <v/>
      </c>
      <c r="V81" s="28" t="str">
        <f aca="false">IF($A81="","",IFERROR(INDEX('זה אני - קליטה'!$AN$5:$AN$204,MATCH($A81&amp;"|סוף שנה",'זה אני - קליטה'!$AF$5:$AF$204,0)),""))</f>
        <v/>
      </c>
      <c r="W81" s="32" t="str">
        <f aca="false">IF(AND(ISNUMBER(F81),ISNUMBER(T81)),T81-F81,"")</f>
        <v/>
      </c>
      <c r="X81" s="27" t="str">
        <f aca="false">IF(W81="","",IF(W81&gt;=0.25,"עלייה",IF(W81&lt;=-0.25,"ירידה","יציב")))</f>
        <v/>
      </c>
    </row>
    <row r="82" customFormat="false" ht="15" hidden="false" customHeight="false" outlineLevel="0" collapsed="false">
      <c r="A82" s="29"/>
      <c r="B82" s="28" t="str">
        <f aca="false">IF($A82="","",IFERROR(INDEX('זה אני - קליטה'!$AH$5:$AH$204,MATCH($A82&amp;"|תחילת שנה",'זה אני - קליטה'!$AF$5:$AF$204,0)),""))</f>
        <v/>
      </c>
      <c r="C82" s="28" t="str">
        <f aca="false">IF($A82="","",IFERROR(INDEX('זה אני - קליטה'!$AI$5:$AI$204,MATCH($A82&amp;"|תחילת שנה",'זה אני - קליטה'!$AF$5:$AF$204,0)),""))</f>
        <v/>
      </c>
      <c r="D82" s="28" t="str">
        <f aca="false">IF($A82="","",IFERROR(INDEX('זה אני - קליטה'!$AJ$5:$AJ$204,MATCH($A82&amp;"|תחילת שנה",'זה אני - קליטה'!$AF$5:$AF$204,0)),""))</f>
        <v/>
      </c>
      <c r="E82" s="28" t="str">
        <f aca="false">IF($A82="","",IFERROR(INDEX('זה אני - קליטה'!$AK$5:$AK$204,MATCH($A82&amp;"|תחילת שנה",'זה אני - קליטה'!$AF$5:$AF$204,0)),""))</f>
        <v/>
      </c>
      <c r="F82" s="28" t="str">
        <f aca="false">IF($A82="","",IFERROR(INDEX('זה אני - קליטה'!$AL$5:$AL$204,MATCH($A82&amp;"|תחילת שנה",'זה אני - קליטה'!$AF$5:$AF$204,0)),""))</f>
        <v/>
      </c>
      <c r="G82" s="27" t="str">
        <f aca="false">IF($A82="","",IFERROR(INDEX('זה אני - קליטה'!$AG$5:$AG$204,MATCH($A82&amp;"|תחילת שנה",'זה אני - קליטה'!$AF$5:$AF$204,0)),""))</f>
        <v/>
      </c>
      <c r="H82" s="28" t="str">
        <f aca="false">IF($A82="","",IFERROR(INDEX('זה אני - קליטה'!$AN$5:$AN$204,MATCH($A82&amp;"|תחילת שנה",'זה אני - קליטה'!$AF$5:$AF$204,0)),""))</f>
        <v/>
      </c>
      <c r="I82" s="28" t="str">
        <f aca="false">IF($A82="","",IFERROR(INDEX('זה אני - קליטה'!$AH$5:$AH$204,MATCH($A82&amp;"|אמצע שנה",'זה אני - קליטה'!$AF$5:$AF$204,0)),""))</f>
        <v/>
      </c>
      <c r="J82" s="28" t="str">
        <f aca="false">IF($A82="","",IFERROR(INDEX('זה אני - קליטה'!$AI$5:$AI$204,MATCH($A82&amp;"|אמצע שנה",'זה אני - קליטה'!$AF$5:$AF$204,0)),""))</f>
        <v/>
      </c>
      <c r="K82" s="28" t="str">
        <f aca="false">IF($A82="","",IFERROR(INDEX('זה אני - קליטה'!$AJ$5:$AJ$204,MATCH($A82&amp;"|אמצע שנה",'זה אני - קליטה'!$AF$5:$AF$204,0)),""))</f>
        <v/>
      </c>
      <c r="L82" s="28" t="str">
        <f aca="false">IF($A82="","",IFERROR(INDEX('זה אני - קליטה'!$AK$5:$AK$204,MATCH($A82&amp;"|אמצע שנה",'זה אני - קליטה'!$AF$5:$AF$204,0)),""))</f>
        <v/>
      </c>
      <c r="M82" s="28" t="str">
        <f aca="false">IF($A82="","",IFERROR(INDEX('זה אני - קליטה'!$AL$5:$AL$204,MATCH($A82&amp;"|אמצע שנה",'זה אני - קליטה'!$AF$5:$AF$204,0)),""))</f>
        <v/>
      </c>
      <c r="N82" s="27" t="str">
        <f aca="false">IF($A82="","",IFERROR(INDEX('זה אני - קליטה'!$AG$5:$AG$204,MATCH($A82&amp;"|אמצע שנה",'זה אני - קליטה'!$AF$5:$AF$204,0)),""))</f>
        <v/>
      </c>
      <c r="O82" s="28" t="str">
        <f aca="false">IF($A82="","",IFERROR(INDEX('זה אני - קליטה'!$AN$5:$AN$204,MATCH($A82&amp;"|אמצע שנה",'זה אני - קליטה'!$AF$5:$AF$204,0)),""))</f>
        <v/>
      </c>
      <c r="P82" s="28" t="str">
        <f aca="false">IF($A82="","",IFERROR(INDEX('זה אני - קליטה'!$AH$5:$AH$204,MATCH($A82&amp;"|סוף שנה",'זה אני - קליטה'!$AF$5:$AF$204,0)),""))</f>
        <v/>
      </c>
      <c r="Q82" s="28" t="str">
        <f aca="false">IF($A82="","",IFERROR(INDEX('זה אני - קליטה'!$AI$5:$AI$204,MATCH($A82&amp;"|סוף שנה",'זה אני - קליטה'!$AF$5:$AF$204,0)),""))</f>
        <v/>
      </c>
      <c r="R82" s="28" t="str">
        <f aca="false">IF($A82="","",IFERROR(INDEX('זה אני - קליטה'!$AJ$5:$AJ$204,MATCH($A82&amp;"|סוף שנה",'זה אני - קליטה'!$AF$5:$AF$204,0)),""))</f>
        <v/>
      </c>
      <c r="S82" s="28" t="str">
        <f aca="false">IF($A82="","",IFERROR(INDEX('זה אני - קליטה'!$AK$5:$AK$204,MATCH($A82&amp;"|סוף שנה",'זה אני - קליטה'!$AF$5:$AF$204,0)),""))</f>
        <v/>
      </c>
      <c r="T82" s="28" t="str">
        <f aca="false">IF($A82="","",IFERROR(INDEX('זה אני - קליטה'!$AL$5:$AL$204,MATCH($A82&amp;"|סוף שנה",'זה אני - קליטה'!$AF$5:$AF$204,0)),""))</f>
        <v/>
      </c>
      <c r="U82" s="27" t="str">
        <f aca="false">IF($A82="","",IFERROR(INDEX('זה אני - קליטה'!$AG$5:$AG$204,MATCH($A82&amp;"|סוף שנה",'זה אני - קליטה'!$AF$5:$AF$204,0)),""))</f>
        <v/>
      </c>
      <c r="V82" s="28" t="str">
        <f aca="false">IF($A82="","",IFERROR(INDEX('זה אני - קליטה'!$AN$5:$AN$204,MATCH($A82&amp;"|סוף שנה",'זה אני - קליטה'!$AF$5:$AF$204,0)),""))</f>
        <v/>
      </c>
      <c r="W82" s="32" t="str">
        <f aca="false">IF(AND(ISNUMBER(F82),ISNUMBER(T82)),T82-F82,"")</f>
        <v/>
      </c>
      <c r="X82" s="27" t="str">
        <f aca="false">IF(W82="","",IF(W82&gt;=0.25,"עלייה",IF(W82&lt;=-0.25,"ירידה","יציב")))</f>
        <v/>
      </c>
    </row>
    <row r="83" customFormat="false" ht="15" hidden="false" customHeight="false" outlineLevel="0" collapsed="false">
      <c r="A83" s="29"/>
      <c r="B83" s="28" t="str">
        <f aca="false">IF($A83="","",IFERROR(INDEX('זה אני - קליטה'!$AH$5:$AH$204,MATCH($A83&amp;"|תחילת שנה",'זה אני - קליטה'!$AF$5:$AF$204,0)),""))</f>
        <v/>
      </c>
      <c r="C83" s="28" t="str">
        <f aca="false">IF($A83="","",IFERROR(INDEX('זה אני - קליטה'!$AI$5:$AI$204,MATCH($A83&amp;"|תחילת שנה",'זה אני - קליטה'!$AF$5:$AF$204,0)),""))</f>
        <v/>
      </c>
      <c r="D83" s="28" t="str">
        <f aca="false">IF($A83="","",IFERROR(INDEX('זה אני - קליטה'!$AJ$5:$AJ$204,MATCH($A83&amp;"|תחילת שנה",'זה אני - קליטה'!$AF$5:$AF$204,0)),""))</f>
        <v/>
      </c>
      <c r="E83" s="28" t="str">
        <f aca="false">IF($A83="","",IFERROR(INDEX('זה אני - קליטה'!$AK$5:$AK$204,MATCH($A83&amp;"|תחילת שנה",'זה אני - קליטה'!$AF$5:$AF$204,0)),""))</f>
        <v/>
      </c>
      <c r="F83" s="28" t="str">
        <f aca="false">IF($A83="","",IFERROR(INDEX('זה אני - קליטה'!$AL$5:$AL$204,MATCH($A83&amp;"|תחילת שנה",'זה אני - קליטה'!$AF$5:$AF$204,0)),""))</f>
        <v/>
      </c>
      <c r="G83" s="27" t="str">
        <f aca="false">IF($A83="","",IFERROR(INDEX('זה אני - קליטה'!$AG$5:$AG$204,MATCH($A83&amp;"|תחילת שנה",'זה אני - קליטה'!$AF$5:$AF$204,0)),""))</f>
        <v/>
      </c>
      <c r="H83" s="28" t="str">
        <f aca="false">IF($A83="","",IFERROR(INDEX('זה אני - קליטה'!$AN$5:$AN$204,MATCH($A83&amp;"|תחילת שנה",'זה אני - קליטה'!$AF$5:$AF$204,0)),""))</f>
        <v/>
      </c>
      <c r="I83" s="28" t="str">
        <f aca="false">IF($A83="","",IFERROR(INDEX('זה אני - קליטה'!$AH$5:$AH$204,MATCH($A83&amp;"|אמצע שנה",'זה אני - קליטה'!$AF$5:$AF$204,0)),""))</f>
        <v/>
      </c>
      <c r="J83" s="28" t="str">
        <f aca="false">IF($A83="","",IFERROR(INDEX('זה אני - קליטה'!$AI$5:$AI$204,MATCH($A83&amp;"|אמצע שנה",'זה אני - קליטה'!$AF$5:$AF$204,0)),""))</f>
        <v/>
      </c>
      <c r="K83" s="28" t="str">
        <f aca="false">IF($A83="","",IFERROR(INDEX('זה אני - קליטה'!$AJ$5:$AJ$204,MATCH($A83&amp;"|אמצע שנה",'זה אני - קליטה'!$AF$5:$AF$204,0)),""))</f>
        <v/>
      </c>
      <c r="L83" s="28" t="str">
        <f aca="false">IF($A83="","",IFERROR(INDEX('זה אני - קליטה'!$AK$5:$AK$204,MATCH($A83&amp;"|אמצע שנה",'זה אני - קליטה'!$AF$5:$AF$204,0)),""))</f>
        <v/>
      </c>
      <c r="M83" s="28" t="str">
        <f aca="false">IF($A83="","",IFERROR(INDEX('זה אני - קליטה'!$AL$5:$AL$204,MATCH($A83&amp;"|אמצע שנה",'זה אני - קליטה'!$AF$5:$AF$204,0)),""))</f>
        <v/>
      </c>
      <c r="N83" s="27" t="str">
        <f aca="false">IF($A83="","",IFERROR(INDEX('זה אני - קליטה'!$AG$5:$AG$204,MATCH($A83&amp;"|אמצע שנה",'זה אני - קליטה'!$AF$5:$AF$204,0)),""))</f>
        <v/>
      </c>
      <c r="O83" s="28" t="str">
        <f aca="false">IF($A83="","",IFERROR(INDEX('זה אני - קליטה'!$AN$5:$AN$204,MATCH($A83&amp;"|אמצע שנה",'זה אני - קליטה'!$AF$5:$AF$204,0)),""))</f>
        <v/>
      </c>
      <c r="P83" s="28" t="str">
        <f aca="false">IF($A83="","",IFERROR(INDEX('זה אני - קליטה'!$AH$5:$AH$204,MATCH($A83&amp;"|סוף שנה",'זה אני - קליטה'!$AF$5:$AF$204,0)),""))</f>
        <v/>
      </c>
      <c r="Q83" s="28" t="str">
        <f aca="false">IF($A83="","",IFERROR(INDEX('זה אני - קליטה'!$AI$5:$AI$204,MATCH($A83&amp;"|סוף שנה",'זה אני - קליטה'!$AF$5:$AF$204,0)),""))</f>
        <v/>
      </c>
      <c r="R83" s="28" t="str">
        <f aca="false">IF($A83="","",IFERROR(INDEX('זה אני - קליטה'!$AJ$5:$AJ$204,MATCH($A83&amp;"|סוף שנה",'זה אני - קליטה'!$AF$5:$AF$204,0)),""))</f>
        <v/>
      </c>
      <c r="S83" s="28" t="str">
        <f aca="false">IF($A83="","",IFERROR(INDEX('זה אני - קליטה'!$AK$5:$AK$204,MATCH($A83&amp;"|סוף שנה",'זה אני - קליטה'!$AF$5:$AF$204,0)),""))</f>
        <v/>
      </c>
      <c r="T83" s="28" t="str">
        <f aca="false">IF($A83="","",IFERROR(INDEX('זה אני - קליטה'!$AL$5:$AL$204,MATCH($A83&amp;"|סוף שנה",'זה אני - קליטה'!$AF$5:$AF$204,0)),""))</f>
        <v/>
      </c>
      <c r="U83" s="27" t="str">
        <f aca="false">IF($A83="","",IFERROR(INDEX('זה אני - קליטה'!$AG$5:$AG$204,MATCH($A83&amp;"|סוף שנה",'זה אני - קליטה'!$AF$5:$AF$204,0)),""))</f>
        <v/>
      </c>
      <c r="V83" s="28" t="str">
        <f aca="false">IF($A83="","",IFERROR(INDEX('זה אני - קליטה'!$AN$5:$AN$204,MATCH($A83&amp;"|סוף שנה",'זה אני - קליטה'!$AF$5:$AF$204,0)),""))</f>
        <v/>
      </c>
      <c r="W83" s="32" t="str">
        <f aca="false">IF(AND(ISNUMBER(F83),ISNUMBER(T83)),T83-F83,"")</f>
        <v/>
      </c>
      <c r="X83" s="27" t="str">
        <f aca="false">IF(W83="","",IF(W83&gt;=0.25,"עלייה",IF(W83&lt;=-0.25,"ירידה","יציב")))</f>
        <v/>
      </c>
    </row>
    <row r="84" customFormat="false" ht="15" hidden="false" customHeight="false" outlineLevel="0" collapsed="false">
      <c r="A84" s="29"/>
      <c r="B84" s="28" t="str">
        <f aca="false">IF($A84="","",IFERROR(INDEX('זה אני - קליטה'!$AH$5:$AH$204,MATCH($A84&amp;"|תחילת שנה",'זה אני - קליטה'!$AF$5:$AF$204,0)),""))</f>
        <v/>
      </c>
      <c r="C84" s="28" t="str">
        <f aca="false">IF($A84="","",IFERROR(INDEX('זה אני - קליטה'!$AI$5:$AI$204,MATCH($A84&amp;"|תחילת שנה",'זה אני - קליטה'!$AF$5:$AF$204,0)),""))</f>
        <v/>
      </c>
      <c r="D84" s="28" t="str">
        <f aca="false">IF($A84="","",IFERROR(INDEX('זה אני - קליטה'!$AJ$5:$AJ$204,MATCH($A84&amp;"|תחילת שנה",'זה אני - קליטה'!$AF$5:$AF$204,0)),""))</f>
        <v/>
      </c>
      <c r="E84" s="28" t="str">
        <f aca="false">IF($A84="","",IFERROR(INDEX('זה אני - קליטה'!$AK$5:$AK$204,MATCH($A84&amp;"|תחילת שנה",'זה אני - קליטה'!$AF$5:$AF$204,0)),""))</f>
        <v/>
      </c>
      <c r="F84" s="28" t="str">
        <f aca="false">IF($A84="","",IFERROR(INDEX('זה אני - קליטה'!$AL$5:$AL$204,MATCH($A84&amp;"|תחילת שנה",'זה אני - קליטה'!$AF$5:$AF$204,0)),""))</f>
        <v/>
      </c>
      <c r="G84" s="27" t="str">
        <f aca="false">IF($A84="","",IFERROR(INDEX('זה אני - קליטה'!$AG$5:$AG$204,MATCH($A84&amp;"|תחילת שנה",'זה אני - קליטה'!$AF$5:$AF$204,0)),""))</f>
        <v/>
      </c>
      <c r="H84" s="28" t="str">
        <f aca="false">IF($A84="","",IFERROR(INDEX('זה אני - קליטה'!$AN$5:$AN$204,MATCH($A84&amp;"|תחילת שנה",'זה אני - קליטה'!$AF$5:$AF$204,0)),""))</f>
        <v/>
      </c>
      <c r="I84" s="28" t="str">
        <f aca="false">IF($A84="","",IFERROR(INDEX('זה אני - קליטה'!$AH$5:$AH$204,MATCH($A84&amp;"|אמצע שנה",'זה אני - קליטה'!$AF$5:$AF$204,0)),""))</f>
        <v/>
      </c>
      <c r="J84" s="28" t="str">
        <f aca="false">IF($A84="","",IFERROR(INDEX('זה אני - קליטה'!$AI$5:$AI$204,MATCH($A84&amp;"|אמצע שנה",'זה אני - קליטה'!$AF$5:$AF$204,0)),""))</f>
        <v/>
      </c>
      <c r="K84" s="28" t="str">
        <f aca="false">IF($A84="","",IFERROR(INDEX('זה אני - קליטה'!$AJ$5:$AJ$204,MATCH($A84&amp;"|אמצע שנה",'זה אני - קליטה'!$AF$5:$AF$204,0)),""))</f>
        <v/>
      </c>
      <c r="L84" s="28" t="str">
        <f aca="false">IF($A84="","",IFERROR(INDEX('זה אני - קליטה'!$AK$5:$AK$204,MATCH($A84&amp;"|אמצע שנה",'זה אני - קליטה'!$AF$5:$AF$204,0)),""))</f>
        <v/>
      </c>
      <c r="M84" s="28" t="str">
        <f aca="false">IF($A84="","",IFERROR(INDEX('זה אני - קליטה'!$AL$5:$AL$204,MATCH($A84&amp;"|אמצע שנה",'זה אני - קליטה'!$AF$5:$AF$204,0)),""))</f>
        <v/>
      </c>
      <c r="N84" s="27" t="str">
        <f aca="false">IF($A84="","",IFERROR(INDEX('זה אני - קליטה'!$AG$5:$AG$204,MATCH($A84&amp;"|אמצע שנה",'זה אני - קליטה'!$AF$5:$AF$204,0)),""))</f>
        <v/>
      </c>
      <c r="O84" s="28" t="str">
        <f aca="false">IF($A84="","",IFERROR(INDEX('זה אני - קליטה'!$AN$5:$AN$204,MATCH($A84&amp;"|אמצע שנה",'זה אני - קליטה'!$AF$5:$AF$204,0)),""))</f>
        <v/>
      </c>
      <c r="P84" s="28" t="str">
        <f aca="false">IF($A84="","",IFERROR(INDEX('זה אני - קליטה'!$AH$5:$AH$204,MATCH($A84&amp;"|סוף שנה",'זה אני - קליטה'!$AF$5:$AF$204,0)),""))</f>
        <v/>
      </c>
      <c r="Q84" s="28" t="str">
        <f aca="false">IF($A84="","",IFERROR(INDEX('זה אני - קליטה'!$AI$5:$AI$204,MATCH($A84&amp;"|סוף שנה",'זה אני - קליטה'!$AF$5:$AF$204,0)),""))</f>
        <v/>
      </c>
      <c r="R84" s="28" t="str">
        <f aca="false">IF($A84="","",IFERROR(INDEX('זה אני - קליטה'!$AJ$5:$AJ$204,MATCH($A84&amp;"|סוף שנה",'זה אני - קליטה'!$AF$5:$AF$204,0)),""))</f>
        <v/>
      </c>
      <c r="S84" s="28" t="str">
        <f aca="false">IF($A84="","",IFERROR(INDEX('זה אני - קליטה'!$AK$5:$AK$204,MATCH($A84&amp;"|סוף שנה",'זה אני - קליטה'!$AF$5:$AF$204,0)),""))</f>
        <v/>
      </c>
      <c r="T84" s="28" t="str">
        <f aca="false">IF($A84="","",IFERROR(INDEX('זה אני - קליטה'!$AL$5:$AL$204,MATCH($A84&amp;"|סוף שנה",'זה אני - קליטה'!$AF$5:$AF$204,0)),""))</f>
        <v/>
      </c>
      <c r="U84" s="27" t="str">
        <f aca="false">IF($A84="","",IFERROR(INDEX('זה אני - קליטה'!$AG$5:$AG$204,MATCH($A84&amp;"|סוף שנה",'זה אני - קליטה'!$AF$5:$AF$204,0)),""))</f>
        <v/>
      </c>
      <c r="V84" s="28" t="str">
        <f aca="false">IF($A84="","",IFERROR(INDEX('זה אני - קליטה'!$AN$5:$AN$204,MATCH($A84&amp;"|סוף שנה",'זה אני - קליטה'!$AF$5:$AF$204,0)),""))</f>
        <v/>
      </c>
      <c r="W84" s="32" t="str">
        <f aca="false">IF(AND(ISNUMBER(F84),ISNUMBER(T84)),T84-F84,"")</f>
        <v/>
      </c>
      <c r="X84" s="27" t="str">
        <f aca="false">IF(W84="","",IF(W84&gt;=0.25,"עלייה",IF(W84&lt;=-0.25,"ירידה","יציב")))</f>
        <v/>
      </c>
    </row>
    <row r="85" customFormat="false" ht="15" hidden="false" customHeight="false" outlineLevel="0" collapsed="false">
      <c r="A85" s="29"/>
      <c r="B85" s="28" t="str">
        <f aca="false">IF($A85="","",IFERROR(INDEX('זה אני - קליטה'!$AH$5:$AH$204,MATCH($A85&amp;"|תחילת שנה",'זה אני - קליטה'!$AF$5:$AF$204,0)),""))</f>
        <v/>
      </c>
      <c r="C85" s="28" t="str">
        <f aca="false">IF($A85="","",IFERROR(INDEX('זה אני - קליטה'!$AI$5:$AI$204,MATCH($A85&amp;"|תחילת שנה",'זה אני - קליטה'!$AF$5:$AF$204,0)),""))</f>
        <v/>
      </c>
      <c r="D85" s="28" t="str">
        <f aca="false">IF($A85="","",IFERROR(INDEX('זה אני - קליטה'!$AJ$5:$AJ$204,MATCH($A85&amp;"|תחילת שנה",'זה אני - קליטה'!$AF$5:$AF$204,0)),""))</f>
        <v/>
      </c>
      <c r="E85" s="28" t="str">
        <f aca="false">IF($A85="","",IFERROR(INDEX('זה אני - קליטה'!$AK$5:$AK$204,MATCH($A85&amp;"|תחילת שנה",'זה אני - קליטה'!$AF$5:$AF$204,0)),""))</f>
        <v/>
      </c>
      <c r="F85" s="28" t="str">
        <f aca="false">IF($A85="","",IFERROR(INDEX('זה אני - קליטה'!$AL$5:$AL$204,MATCH($A85&amp;"|תחילת שנה",'זה אני - קליטה'!$AF$5:$AF$204,0)),""))</f>
        <v/>
      </c>
      <c r="G85" s="27" t="str">
        <f aca="false">IF($A85="","",IFERROR(INDEX('זה אני - קליטה'!$AG$5:$AG$204,MATCH($A85&amp;"|תחילת שנה",'זה אני - קליטה'!$AF$5:$AF$204,0)),""))</f>
        <v/>
      </c>
      <c r="H85" s="28" t="str">
        <f aca="false">IF($A85="","",IFERROR(INDEX('זה אני - קליטה'!$AN$5:$AN$204,MATCH($A85&amp;"|תחילת שנה",'זה אני - קליטה'!$AF$5:$AF$204,0)),""))</f>
        <v/>
      </c>
      <c r="I85" s="28" t="str">
        <f aca="false">IF($A85="","",IFERROR(INDEX('זה אני - קליטה'!$AH$5:$AH$204,MATCH($A85&amp;"|אמצע שנה",'זה אני - קליטה'!$AF$5:$AF$204,0)),""))</f>
        <v/>
      </c>
      <c r="J85" s="28" t="str">
        <f aca="false">IF($A85="","",IFERROR(INDEX('זה אני - קליטה'!$AI$5:$AI$204,MATCH($A85&amp;"|אמצע שנה",'זה אני - קליטה'!$AF$5:$AF$204,0)),""))</f>
        <v/>
      </c>
      <c r="K85" s="28" t="str">
        <f aca="false">IF($A85="","",IFERROR(INDEX('זה אני - קליטה'!$AJ$5:$AJ$204,MATCH($A85&amp;"|אמצע שנה",'זה אני - קליטה'!$AF$5:$AF$204,0)),""))</f>
        <v/>
      </c>
      <c r="L85" s="28" t="str">
        <f aca="false">IF($A85="","",IFERROR(INDEX('זה אני - קליטה'!$AK$5:$AK$204,MATCH($A85&amp;"|אמצע שנה",'זה אני - קליטה'!$AF$5:$AF$204,0)),""))</f>
        <v/>
      </c>
      <c r="M85" s="28" t="str">
        <f aca="false">IF($A85="","",IFERROR(INDEX('זה אני - קליטה'!$AL$5:$AL$204,MATCH($A85&amp;"|אמצע שנה",'זה אני - קליטה'!$AF$5:$AF$204,0)),""))</f>
        <v/>
      </c>
      <c r="N85" s="27" t="str">
        <f aca="false">IF($A85="","",IFERROR(INDEX('זה אני - קליטה'!$AG$5:$AG$204,MATCH($A85&amp;"|אמצע שנה",'זה אני - קליטה'!$AF$5:$AF$204,0)),""))</f>
        <v/>
      </c>
      <c r="O85" s="28" t="str">
        <f aca="false">IF($A85="","",IFERROR(INDEX('זה אני - קליטה'!$AN$5:$AN$204,MATCH($A85&amp;"|אמצע שנה",'זה אני - קליטה'!$AF$5:$AF$204,0)),""))</f>
        <v/>
      </c>
      <c r="P85" s="28" t="str">
        <f aca="false">IF($A85="","",IFERROR(INDEX('זה אני - קליטה'!$AH$5:$AH$204,MATCH($A85&amp;"|סוף שנה",'זה אני - קליטה'!$AF$5:$AF$204,0)),""))</f>
        <v/>
      </c>
      <c r="Q85" s="28" t="str">
        <f aca="false">IF($A85="","",IFERROR(INDEX('זה אני - קליטה'!$AI$5:$AI$204,MATCH($A85&amp;"|סוף שנה",'זה אני - קליטה'!$AF$5:$AF$204,0)),""))</f>
        <v/>
      </c>
      <c r="R85" s="28" t="str">
        <f aca="false">IF($A85="","",IFERROR(INDEX('זה אני - קליטה'!$AJ$5:$AJ$204,MATCH($A85&amp;"|סוף שנה",'זה אני - קליטה'!$AF$5:$AF$204,0)),""))</f>
        <v/>
      </c>
      <c r="S85" s="28" t="str">
        <f aca="false">IF($A85="","",IFERROR(INDEX('זה אני - קליטה'!$AK$5:$AK$204,MATCH($A85&amp;"|סוף שנה",'זה אני - קליטה'!$AF$5:$AF$204,0)),""))</f>
        <v/>
      </c>
      <c r="T85" s="28" t="str">
        <f aca="false">IF($A85="","",IFERROR(INDEX('זה אני - קליטה'!$AL$5:$AL$204,MATCH($A85&amp;"|סוף שנה",'זה אני - קליטה'!$AF$5:$AF$204,0)),""))</f>
        <v/>
      </c>
      <c r="U85" s="27" t="str">
        <f aca="false">IF($A85="","",IFERROR(INDEX('זה אני - קליטה'!$AG$5:$AG$204,MATCH($A85&amp;"|סוף שנה",'זה אני - קליטה'!$AF$5:$AF$204,0)),""))</f>
        <v/>
      </c>
      <c r="V85" s="28" t="str">
        <f aca="false">IF($A85="","",IFERROR(INDEX('זה אני - קליטה'!$AN$5:$AN$204,MATCH($A85&amp;"|סוף שנה",'זה אני - קליטה'!$AF$5:$AF$204,0)),""))</f>
        <v/>
      </c>
      <c r="W85" s="32" t="str">
        <f aca="false">IF(AND(ISNUMBER(F85),ISNUMBER(T85)),T85-F85,"")</f>
        <v/>
      </c>
      <c r="X85" s="27" t="str">
        <f aca="false">IF(W85="","",IF(W85&gt;=0.25,"עלייה",IF(W85&lt;=-0.25,"ירידה","יציב")))</f>
        <v/>
      </c>
    </row>
    <row r="86" customFormat="false" ht="15" hidden="false" customHeight="false" outlineLevel="0" collapsed="false">
      <c r="A86" s="29"/>
      <c r="B86" s="28" t="str">
        <f aca="false">IF($A86="","",IFERROR(INDEX('זה אני - קליטה'!$AH$5:$AH$204,MATCH($A86&amp;"|תחילת שנה",'זה אני - קליטה'!$AF$5:$AF$204,0)),""))</f>
        <v/>
      </c>
      <c r="C86" s="28" t="str">
        <f aca="false">IF($A86="","",IFERROR(INDEX('זה אני - קליטה'!$AI$5:$AI$204,MATCH($A86&amp;"|תחילת שנה",'זה אני - קליטה'!$AF$5:$AF$204,0)),""))</f>
        <v/>
      </c>
      <c r="D86" s="28" t="str">
        <f aca="false">IF($A86="","",IFERROR(INDEX('זה אני - קליטה'!$AJ$5:$AJ$204,MATCH($A86&amp;"|תחילת שנה",'זה אני - קליטה'!$AF$5:$AF$204,0)),""))</f>
        <v/>
      </c>
      <c r="E86" s="28" t="str">
        <f aca="false">IF($A86="","",IFERROR(INDEX('זה אני - קליטה'!$AK$5:$AK$204,MATCH($A86&amp;"|תחילת שנה",'זה אני - קליטה'!$AF$5:$AF$204,0)),""))</f>
        <v/>
      </c>
      <c r="F86" s="28" t="str">
        <f aca="false">IF($A86="","",IFERROR(INDEX('זה אני - קליטה'!$AL$5:$AL$204,MATCH($A86&amp;"|תחילת שנה",'זה אני - קליטה'!$AF$5:$AF$204,0)),""))</f>
        <v/>
      </c>
      <c r="G86" s="27" t="str">
        <f aca="false">IF($A86="","",IFERROR(INDEX('זה אני - קליטה'!$AG$5:$AG$204,MATCH($A86&amp;"|תחילת שנה",'זה אני - קליטה'!$AF$5:$AF$204,0)),""))</f>
        <v/>
      </c>
      <c r="H86" s="28" t="str">
        <f aca="false">IF($A86="","",IFERROR(INDEX('זה אני - קליטה'!$AN$5:$AN$204,MATCH($A86&amp;"|תחילת שנה",'זה אני - קליטה'!$AF$5:$AF$204,0)),""))</f>
        <v/>
      </c>
      <c r="I86" s="28" t="str">
        <f aca="false">IF($A86="","",IFERROR(INDEX('זה אני - קליטה'!$AH$5:$AH$204,MATCH($A86&amp;"|אמצע שנה",'זה אני - קליטה'!$AF$5:$AF$204,0)),""))</f>
        <v/>
      </c>
      <c r="J86" s="28" t="str">
        <f aca="false">IF($A86="","",IFERROR(INDEX('זה אני - קליטה'!$AI$5:$AI$204,MATCH($A86&amp;"|אמצע שנה",'זה אני - קליטה'!$AF$5:$AF$204,0)),""))</f>
        <v/>
      </c>
      <c r="K86" s="28" t="str">
        <f aca="false">IF($A86="","",IFERROR(INDEX('זה אני - קליטה'!$AJ$5:$AJ$204,MATCH($A86&amp;"|אמצע שנה",'זה אני - קליטה'!$AF$5:$AF$204,0)),""))</f>
        <v/>
      </c>
      <c r="L86" s="28" t="str">
        <f aca="false">IF($A86="","",IFERROR(INDEX('זה אני - קליטה'!$AK$5:$AK$204,MATCH($A86&amp;"|אמצע שנה",'זה אני - קליטה'!$AF$5:$AF$204,0)),""))</f>
        <v/>
      </c>
      <c r="M86" s="28" t="str">
        <f aca="false">IF($A86="","",IFERROR(INDEX('זה אני - קליטה'!$AL$5:$AL$204,MATCH($A86&amp;"|אמצע שנה",'זה אני - קליטה'!$AF$5:$AF$204,0)),""))</f>
        <v/>
      </c>
      <c r="N86" s="27" t="str">
        <f aca="false">IF($A86="","",IFERROR(INDEX('זה אני - קליטה'!$AG$5:$AG$204,MATCH($A86&amp;"|אמצע שנה",'זה אני - קליטה'!$AF$5:$AF$204,0)),""))</f>
        <v/>
      </c>
      <c r="O86" s="28" t="str">
        <f aca="false">IF($A86="","",IFERROR(INDEX('זה אני - קליטה'!$AN$5:$AN$204,MATCH($A86&amp;"|אמצע שנה",'זה אני - קליטה'!$AF$5:$AF$204,0)),""))</f>
        <v/>
      </c>
      <c r="P86" s="28" t="str">
        <f aca="false">IF($A86="","",IFERROR(INDEX('זה אני - קליטה'!$AH$5:$AH$204,MATCH($A86&amp;"|סוף שנה",'זה אני - קליטה'!$AF$5:$AF$204,0)),""))</f>
        <v/>
      </c>
      <c r="Q86" s="28" t="str">
        <f aca="false">IF($A86="","",IFERROR(INDEX('זה אני - קליטה'!$AI$5:$AI$204,MATCH($A86&amp;"|סוף שנה",'זה אני - קליטה'!$AF$5:$AF$204,0)),""))</f>
        <v/>
      </c>
      <c r="R86" s="28" t="str">
        <f aca="false">IF($A86="","",IFERROR(INDEX('זה אני - קליטה'!$AJ$5:$AJ$204,MATCH($A86&amp;"|סוף שנה",'זה אני - קליטה'!$AF$5:$AF$204,0)),""))</f>
        <v/>
      </c>
      <c r="S86" s="28" t="str">
        <f aca="false">IF($A86="","",IFERROR(INDEX('זה אני - קליטה'!$AK$5:$AK$204,MATCH($A86&amp;"|סוף שנה",'זה אני - קליטה'!$AF$5:$AF$204,0)),""))</f>
        <v/>
      </c>
      <c r="T86" s="28" t="str">
        <f aca="false">IF($A86="","",IFERROR(INDEX('זה אני - קליטה'!$AL$5:$AL$204,MATCH($A86&amp;"|סוף שנה",'זה אני - קליטה'!$AF$5:$AF$204,0)),""))</f>
        <v/>
      </c>
      <c r="U86" s="27" t="str">
        <f aca="false">IF($A86="","",IFERROR(INDEX('זה אני - קליטה'!$AG$5:$AG$204,MATCH($A86&amp;"|סוף שנה",'זה אני - קליטה'!$AF$5:$AF$204,0)),""))</f>
        <v/>
      </c>
      <c r="V86" s="28" t="str">
        <f aca="false">IF($A86="","",IFERROR(INDEX('זה אני - קליטה'!$AN$5:$AN$204,MATCH($A86&amp;"|סוף שנה",'זה אני - קליטה'!$AF$5:$AF$204,0)),""))</f>
        <v/>
      </c>
      <c r="W86" s="32" t="str">
        <f aca="false">IF(AND(ISNUMBER(F86),ISNUMBER(T86)),T86-F86,"")</f>
        <v/>
      </c>
      <c r="X86" s="27" t="str">
        <f aca="false">IF(W86="","",IF(W86&gt;=0.25,"עלייה",IF(W86&lt;=-0.25,"ירידה","יציב")))</f>
        <v/>
      </c>
    </row>
    <row r="87" customFormat="false" ht="15" hidden="false" customHeight="false" outlineLevel="0" collapsed="false">
      <c r="A87" s="29"/>
      <c r="B87" s="28" t="str">
        <f aca="false">IF($A87="","",IFERROR(INDEX('זה אני - קליטה'!$AH$5:$AH$204,MATCH($A87&amp;"|תחילת שנה",'זה אני - קליטה'!$AF$5:$AF$204,0)),""))</f>
        <v/>
      </c>
      <c r="C87" s="28" t="str">
        <f aca="false">IF($A87="","",IFERROR(INDEX('זה אני - קליטה'!$AI$5:$AI$204,MATCH($A87&amp;"|תחילת שנה",'זה אני - קליטה'!$AF$5:$AF$204,0)),""))</f>
        <v/>
      </c>
      <c r="D87" s="28" t="str">
        <f aca="false">IF($A87="","",IFERROR(INDEX('זה אני - קליטה'!$AJ$5:$AJ$204,MATCH($A87&amp;"|תחילת שנה",'זה אני - קליטה'!$AF$5:$AF$204,0)),""))</f>
        <v/>
      </c>
      <c r="E87" s="28" t="str">
        <f aca="false">IF($A87="","",IFERROR(INDEX('זה אני - קליטה'!$AK$5:$AK$204,MATCH($A87&amp;"|תחילת שנה",'זה אני - קליטה'!$AF$5:$AF$204,0)),""))</f>
        <v/>
      </c>
      <c r="F87" s="28" t="str">
        <f aca="false">IF($A87="","",IFERROR(INDEX('זה אני - קליטה'!$AL$5:$AL$204,MATCH($A87&amp;"|תחילת שנה",'זה אני - קליטה'!$AF$5:$AF$204,0)),""))</f>
        <v/>
      </c>
      <c r="G87" s="27" t="str">
        <f aca="false">IF($A87="","",IFERROR(INDEX('זה אני - קליטה'!$AG$5:$AG$204,MATCH($A87&amp;"|תחילת שנה",'זה אני - קליטה'!$AF$5:$AF$204,0)),""))</f>
        <v/>
      </c>
      <c r="H87" s="28" t="str">
        <f aca="false">IF($A87="","",IFERROR(INDEX('זה אני - קליטה'!$AN$5:$AN$204,MATCH($A87&amp;"|תחילת שנה",'זה אני - קליטה'!$AF$5:$AF$204,0)),""))</f>
        <v/>
      </c>
      <c r="I87" s="28" t="str">
        <f aca="false">IF($A87="","",IFERROR(INDEX('זה אני - קליטה'!$AH$5:$AH$204,MATCH($A87&amp;"|אמצע שנה",'זה אני - קליטה'!$AF$5:$AF$204,0)),""))</f>
        <v/>
      </c>
      <c r="J87" s="28" t="str">
        <f aca="false">IF($A87="","",IFERROR(INDEX('זה אני - קליטה'!$AI$5:$AI$204,MATCH($A87&amp;"|אמצע שנה",'זה אני - קליטה'!$AF$5:$AF$204,0)),""))</f>
        <v/>
      </c>
      <c r="K87" s="28" t="str">
        <f aca="false">IF($A87="","",IFERROR(INDEX('זה אני - קליטה'!$AJ$5:$AJ$204,MATCH($A87&amp;"|אמצע שנה",'זה אני - קליטה'!$AF$5:$AF$204,0)),""))</f>
        <v/>
      </c>
      <c r="L87" s="28" t="str">
        <f aca="false">IF($A87="","",IFERROR(INDEX('זה אני - קליטה'!$AK$5:$AK$204,MATCH($A87&amp;"|אמצע שנה",'זה אני - קליטה'!$AF$5:$AF$204,0)),""))</f>
        <v/>
      </c>
      <c r="M87" s="28" t="str">
        <f aca="false">IF($A87="","",IFERROR(INDEX('זה אני - קליטה'!$AL$5:$AL$204,MATCH($A87&amp;"|אמצע שנה",'זה אני - קליטה'!$AF$5:$AF$204,0)),""))</f>
        <v/>
      </c>
      <c r="N87" s="27" t="str">
        <f aca="false">IF($A87="","",IFERROR(INDEX('זה אני - קליטה'!$AG$5:$AG$204,MATCH($A87&amp;"|אמצע שנה",'זה אני - קליטה'!$AF$5:$AF$204,0)),""))</f>
        <v/>
      </c>
      <c r="O87" s="28" t="str">
        <f aca="false">IF($A87="","",IFERROR(INDEX('זה אני - קליטה'!$AN$5:$AN$204,MATCH($A87&amp;"|אמצע שנה",'זה אני - קליטה'!$AF$5:$AF$204,0)),""))</f>
        <v/>
      </c>
      <c r="P87" s="28" t="str">
        <f aca="false">IF($A87="","",IFERROR(INDEX('זה אני - קליטה'!$AH$5:$AH$204,MATCH($A87&amp;"|סוף שנה",'זה אני - קליטה'!$AF$5:$AF$204,0)),""))</f>
        <v/>
      </c>
      <c r="Q87" s="28" t="str">
        <f aca="false">IF($A87="","",IFERROR(INDEX('זה אני - קליטה'!$AI$5:$AI$204,MATCH($A87&amp;"|סוף שנה",'זה אני - קליטה'!$AF$5:$AF$204,0)),""))</f>
        <v/>
      </c>
      <c r="R87" s="28" t="str">
        <f aca="false">IF($A87="","",IFERROR(INDEX('זה אני - קליטה'!$AJ$5:$AJ$204,MATCH($A87&amp;"|סוף שנה",'זה אני - קליטה'!$AF$5:$AF$204,0)),""))</f>
        <v/>
      </c>
      <c r="S87" s="28" t="str">
        <f aca="false">IF($A87="","",IFERROR(INDEX('זה אני - קליטה'!$AK$5:$AK$204,MATCH($A87&amp;"|סוף שנה",'זה אני - קליטה'!$AF$5:$AF$204,0)),""))</f>
        <v/>
      </c>
      <c r="T87" s="28" t="str">
        <f aca="false">IF($A87="","",IFERROR(INDEX('זה אני - קליטה'!$AL$5:$AL$204,MATCH($A87&amp;"|סוף שנה",'זה אני - קליטה'!$AF$5:$AF$204,0)),""))</f>
        <v/>
      </c>
      <c r="U87" s="27" t="str">
        <f aca="false">IF($A87="","",IFERROR(INDEX('זה אני - קליטה'!$AG$5:$AG$204,MATCH($A87&amp;"|סוף שנה",'זה אני - קליטה'!$AF$5:$AF$204,0)),""))</f>
        <v/>
      </c>
      <c r="V87" s="28" t="str">
        <f aca="false">IF($A87="","",IFERROR(INDEX('זה אני - קליטה'!$AN$5:$AN$204,MATCH($A87&amp;"|סוף שנה",'זה אני - קליטה'!$AF$5:$AF$204,0)),""))</f>
        <v/>
      </c>
      <c r="W87" s="32" t="str">
        <f aca="false">IF(AND(ISNUMBER(F87),ISNUMBER(T87)),T87-F87,"")</f>
        <v/>
      </c>
      <c r="X87" s="27" t="str">
        <f aca="false">IF(W87="","",IF(W87&gt;=0.25,"עלייה",IF(W87&lt;=-0.25,"ירידה","יציב")))</f>
        <v/>
      </c>
    </row>
    <row r="88" customFormat="false" ht="15" hidden="false" customHeight="false" outlineLevel="0" collapsed="false">
      <c r="A88" s="29"/>
      <c r="B88" s="28" t="str">
        <f aca="false">IF($A88="","",IFERROR(INDEX('זה אני - קליטה'!$AH$5:$AH$204,MATCH($A88&amp;"|תחילת שנה",'זה אני - קליטה'!$AF$5:$AF$204,0)),""))</f>
        <v/>
      </c>
      <c r="C88" s="28" t="str">
        <f aca="false">IF($A88="","",IFERROR(INDEX('זה אני - קליטה'!$AI$5:$AI$204,MATCH($A88&amp;"|תחילת שנה",'זה אני - קליטה'!$AF$5:$AF$204,0)),""))</f>
        <v/>
      </c>
      <c r="D88" s="28" t="str">
        <f aca="false">IF($A88="","",IFERROR(INDEX('זה אני - קליטה'!$AJ$5:$AJ$204,MATCH($A88&amp;"|תחילת שנה",'זה אני - קליטה'!$AF$5:$AF$204,0)),""))</f>
        <v/>
      </c>
      <c r="E88" s="28" t="str">
        <f aca="false">IF($A88="","",IFERROR(INDEX('זה אני - קליטה'!$AK$5:$AK$204,MATCH($A88&amp;"|תחילת שנה",'זה אני - קליטה'!$AF$5:$AF$204,0)),""))</f>
        <v/>
      </c>
      <c r="F88" s="28" t="str">
        <f aca="false">IF($A88="","",IFERROR(INDEX('זה אני - קליטה'!$AL$5:$AL$204,MATCH($A88&amp;"|תחילת שנה",'זה אני - קליטה'!$AF$5:$AF$204,0)),""))</f>
        <v/>
      </c>
      <c r="G88" s="27" t="str">
        <f aca="false">IF($A88="","",IFERROR(INDEX('זה אני - קליטה'!$AG$5:$AG$204,MATCH($A88&amp;"|תחילת שנה",'זה אני - קליטה'!$AF$5:$AF$204,0)),""))</f>
        <v/>
      </c>
      <c r="H88" s="28" t="str">
        <f aca="false">IF($A88="","",IFERROR(INDEX('זה אני - קליטה'!$AN$5:$AN$204,MATCH($A88&amp;"|תחילת שנה",'זה אני - קליטה'!$AF$5:$AF$204,0)),""))</f>
        <v/>
      </c>
      <c r="I88" s="28" t="str">
        <f aca="false">IF($A88="","",IFERROR(INDEX('זה אני - קליטה'!$AH$5:$AH$204,MATCH($A88&amp;"|אמצע שנה",'זה אני - קליטה'!$AF$5:$AF$204,0)),""))</f>
        <v/>
      </c>
      <c r="J88" s="28" t="str">
        <f aca="false">IF($A88="","",IFERROR(INDEX('זה אני - קליטה'!$AI$5:$AI$204,MATCH($A88&amp;"|אמצע שנה",'זה אני - קליטה'!$AF$5:$AF$204,0)),""))</f>
        <v/>
      </c>
      <c r="K88" s="28" t="str">
        <f aca="false">IF($A88="","",IFERROR(INDEX('זה אני - קליטה'!$AJ$5:$AJ$204,MATCH($A88&amp;"|אמצע שנה",'זה אני - קליטה'!$AF$5:$AF$204,0)),""))</f>
        <v/>
      </c>
      <c r="L88" s="28" t="str">
        <f aca="false">IF($A88="","",IFERROR(INDEX('זה אני - קליטה'!$AK$5:$AK$204,MATCH($A88&amp;"|אמצע שנה",'זה אני - קליטה'!$AF$5:$AF$204,0)),""))</f>
        <v/>
      </c>
      <c r="M88" s="28" t="str">
        <f aca="false">IF($A88="","",IFERROR(INDEX('זה אני - קליטה'!$AL$5:$AL$204,MATCH($A88&amp;"|אמצע שנה",'זה אני - קליטה'!$AF$5:$AF$204,0)),""))</f>
        <v/>
      </c>
      <c r="N88" s="27" t="str">
        <f aca="false">IF($A88="","",IFERROR(INDEX('זה אני - קליטה'!$AG$5:$AG$204,MATCH($A88&amp;"|אמצע שנה",'זה אני - קליטה'!$AF$5:$AF$204,0)),""))</f>
        <v/>
      </c>
      <c r="O88" s="28" t="str">
        <f aca="false">IF($A88="","",IFERROR(INDEX('זה אני - קליטה'!$AN$5:$AN$204,MATCH($A88&amp;"|אמצע שנה",'זה אני - קליטה'!$AF$5:$AF$204,0)),""))</f>
        <v/>
      </c>
      <c r="P88" s="28" t="str">
        <f aca="false">IF($A88="","",IFERROR(INDEX('זה אני - קליטה'!$AH$5:$AH$204,MATCH($A88&amp;"|סוף שנה",'זה אני - קליטה'!$AF$5:$AF$204,0)),""))</f>
        <v/>
      </c>
      <c r="Q88" s="28" t="str">
        <f aca="false">IF($A88="","",IFERROR(INDEX('זה אני - קליטה'!$AI$5:$AI$204,MATCH($A88&amp;"|סוף שנה",'זה אני - קליטה'!$AF$5:$AF$204,0)),""))</f>
        <v/>
      </c>
      <c r="R88" s="28" t="str">
        <f aca="false">IF($A88="","",IFERROR(INDEX('זה אני - קליטה'!$AJ$5:$AJ$204,MATCH($A88&amp;"|סוף שנה",'זה אני - קליטה'!$AF$5:$AF$204,0)),""))</f>
        <v/>
      </c>
      <c r="S88" s="28" t="str">
        <f aca="false">IF($A88="","",IFERROR(INDEX('זה אני - קליטה'!$AK$5:$AK$204,MATCH($A88&amp;"|סוף שנה",'זה אני - קליטה'!$AF$5:$AF$204,0)),""))</f>
        <v/>
      </c>
      <c r="T88" s="28" t="str">
        <f aca="false">IF($A88="","",IFERROR(INDEX('זה אני - קליטה'!$AL$5:$AL$204,MATCH($A88&amp;"|סוף שנה",'זה אני - קליטה'!$AF$5:$AF$204,0)),""))</f>
        <v/>
      </c>
      <c r="U88" s="27" t="str">
        <f aca="false">IF($A88="","",IFERROR(INDEX('זה אני - קליטה'!$AG$5:$AG$204,MATCH($A88&amp;"|סוף שנה",'זה אני - קליטה'!$AF$5:$AF$204,0)),""))</f>
        <v/>
      </c>
      <c r="V88" s="28" t="str">
        <f aca="false">IF($A88="","",IFERROR(INDEX('זה אני - קליטה'!$AN$5:$AN$204,MATCH($A88&amp;"|סוף שנה",'זה אני - קליטה'!$AF$5:$AF$204,0)),""))</f>
        <v/>
      </c>
      <c r="W88" s="32" t="str">
        <f aca="false">IF(AND(ISNUMBER(F88),ISNUMBER(T88)),T88-F88,"")</f>
        <v/>
      </c>
      <c r="X88" s="27" t="str">
        <f aca="false">IF(W88="","",IF(W88&gt;=0.25,"עלייה",IF(W88&lt;=-0.25,"ירידה","יציב")))</f>
        <v/>
      </c>
    </row>
    <row r="89" customFormat="false" ht="15" hidden="false" customHeight="false" outlineLevel="0" collapsed="false">
      <c r="A89" s="29"/>
      <c r="B89" s="28" t="str">
        <f aca="false">IF($A89="","",IFERROR(INDEX('זה אני - קליטה'!$AH$5:$AH$204,MATCH($A89&amp;"|תחילת שנה",'זה אני - קליטה'!$AF$5:$AF$204,0)),""))</f>
        <v/>
      </c>
      <c r="C89" s="28" t="str">
        <f aca="false">IF($A89="","",IFERROR(INDEX('זה אני - קליטה'!$AI$5:$AI$204,MATCH($A89&amp;"|תחילת שנה",'זה אני - קליטה'!$AF$5:$AF$204,0)),""))</f>
        <v/>
      </c>
      <c r="D89" s="28" t="str">
        <f aca="false">IF($A89="","",IFERROR(INDEX('זה אני - קליטה'!$AJ$5:$AJ$204,MATCH($A89&amp;"|תחילת שנה",'זה אני - קליטה'!$AF$5:$AF$204,0)),""))</f>
        <v/>
      </c>
      <c r="E89" s="28" t="str">
        <f aca="false">IF($A89="","",IFERROR(INDEX('זה אני - קליטה'!$AK$5:$AK$204,MATCH($A89&amp;"|תחילת שנה",'זה אני - קליטה'!$AF$5:$AF$204,0)),""))</f>
        <v/>
      </c>
      <c r="F89" s="28" t="str">
        <f aca="false">IF($A89="","",IFERROR(INDEX('זה אני - קליטה'!$AL$5:$AL$204,MATCH($A89&amp;"|תחילת שנה",'זה אני - קליטה'!$AF$5:$AF$204,0)),""))</f>
        <v/>
      </c>
      <c r="G89" s="27" t="str">
        <f aca="false">IF($A89="","",IFERROR(INDEX('זה אני - קליטה'!$AG$5:$AG$204,MATCH($A89&amp;"|תחילת שנה",'זה אני - קליטה'!$AF$5:$AF$204,0)),""))</f>
        <v/>
      </c>
      <c r="H89" s="28" t="str">
        <f aca="false">IF($A89="","",IFERROR(INDEX('זה אני - קליטה'!$AN$5:$AN$204,MATCH($A89&amp;"|תחילת שנה",'זה אני - קליטה'!$AF$5:$AF$204,0)),""))</f>
        <v/>
      </c>
      <c r="I89" s="28" t="str">
        <f aca="false">IF($A89="","",IFERROR(INDEX('זה אני - קליטה'!$AH$5:$AH$204,MATCH($A89&amp;"|אמצע שנה",'זה אני - קליטה'!$AF$5:$AF$204,0)),""))</f>
        <v/>
      </c>
      <c r="J89" s="28" t="str">
        <f aca="false">IF($A89="","",IFERROR(INDEX('זה אני - קליטה'!$AI$5:$AI$204,MATCH($A89&amp;"|אמצע שנה",'זה אני - קליטה'!$AF$5:$AF$204,0)),""))</f>
        <v/>
      </c>
      <c r="K89" s="28" t="str">
        <f aca="false">IF($A89="","",IFERROR(INDEX('זה אני - קליטה'!$AJ$5:$AJ$204,MATCH($A89&amp;"|אמצע שנה",'זה אני - קליטה'!$AF$5:$AF$204,0)),""))</f>
        <v/>
      </c>
      <c r="L89" s="28" t="str">
        <f aca="false">IF($A89="","",IFERROR(INDEX('זה אני - קליטה'!$AK$5:$AK$204,MATCH($A89&amp;"|אמצע שנה",'זה אני - קליטה'!$AF$5:$AF$204,0)),""))</f>
        <v/>
      </c>
      <c r="M89" s="28" t="str">
        <f aca="false">IF($A89="","",IFERROR(INDEX('זה אני - קליטה'!$AL$5:$AL$204,MATCH($A89&amp;"|אמצע שנה",'זה אני - קליטה'!$AF$5:$AF$204,0)),""))</f>
        <v/>
      </c>
      <c r="N89" s="27" t="str">
        <f aca="false">IF($A89="","",IFERROR(INDEX('זה אני - קליטה'!$AG$5:$AG$204,MATCH($A89&amp;"|אמצע שנה",'זה אני - קליטה'!$AF$5:$AF$204,0)),""))</f>
        <v/>
      </c>
      <c r="O89" s="28" t="str">
        <f aca="false">IF($A89="","",IFERROR(INDEX('זה אני - קליטה'!$AN$5:$AN$204,MATCH($A89&amp;"|אמצע שנה",'זה אני - קליטה'!$AF$5:$AF$204,0)),""))</f>
        <v/>
      </c>
      <c r="P89" s="28" t="str">
        <f aca="false">IF($A89="","",IFERROR(INDEX('זה אני - קליטה'!$AH$5:$AH$204,MATCH($A89&amp;"|סוף שנה",'זה אני - קליטה'!$AF$5:$AF$204,0)),""))</f>
        <v/>
      </c>
      <c r="Q89" s="28" t="str">
        <f aca="false">IF($A89="","",IFERROR(INDEX('זה אני - קליטה'!$AI$5:$AI$204,MATCH($A89&amp;"|סוף שנה",'זה אני - קליטה'!$AF$5:$AF$204,0)),""))</f>
        <v/>
      </c>
      <c r="R89" s="28" t="str">
        <f aca="false">IF($A89="","",IFERROR(INDEX('זה אני - קליטה'!$AJ$5:$AJ$204,MATCH($A89&amp;"|סוף שנה",'זה אני - קליטה'!$AF$5:$AF$204,0)),""))</f>
        <v/>
      </c>
      <c r="S89" s="28" t="str">
        <f aca="false">IF($A89="","",IFERROR(INDEX('זה אני - קליטה'!$AK$5:$AK$204,MATCH($A89&amp;"|סוף שנה",'זה אני - קליטה'!$AF$5:$AF$204,0)),""))</f>
        <v/>
      </c>
      <c r="T89" s="28" t="str">
        <f aca="false">IF($A89="","",IFERROR(INDEX('זה אני - קליטה'!$AL$5:$AL$204,MATCH($A89&amp;"|סוף שנה",'זה אני - קליטה'!$AF$5:$AF$204,0)),""))</f>
        <v/>
      </c>
      <c r="U89" s="27" t="str">
        <f aca="false">IF($A89="","",IFERROR(INDEX('זה אני - קליטה'!$AG$5:$AG$204,MATCH($A89&amp;"|סוף שנה",'זה אני - קליטה'!$AF$5:$AF$204,0)),""))</f>
        <v/>
      </c>
      <c r="V89" s="28" t="str">
        <f aca="false">IF($A89="","",IFERROR(INDEX('זה אני - קליטה'!$AN$5:$AN$204,MATCH($A89&amp;"|סוף שנה",'זה אני - קליטה'!$AF$5:$AF$204,0)),""))</f>
        <v/>
      </c>
      <c r="W89" s="32" t="str">
        <f aca="false">IF(AND(ISNUMBER(F89),ISNUMBER(T89)),T89-F89,"")</f>
        <v/>
      </c>
      <c r="X89" s="27" t="str">
        <f aca="false">IF(W89="","",IF(W89&gt;=0.25,"עלייה",IF(W89&lt;=-0.25,"ירידה","יציב")))</f>
        <v/>
      </c>
    </row>
    <row r="90" customFormat="false" ht="15" hidden="false" customHeight="false" outlineLevel="0" collapsed="false">
      <c r="A90" s="29"/>
      <c r="B90" s="28" t="str">
        <f aca="false">IF($A90="","",IFERROR(INDEX('זה אני - קליטה'!$AH$5:$AH$204,MATCH($A90&amp;"|תחילת שנה",'זה אני - קליטה'!$AF$5:$AF$204,0)),""))</f>
        <v/>
      </c>
      <c r="C90" s="28" t="str">
        <f aca="false">IF($A90="","",IFERROR(INDEX('זה אני - קליטה'!$AI$5:$AI$204,MATCH($A90&amp;"|תחילת שנה",'זה אני - קליטה'!$AF$5:$AF$204,0)),""))</f>
        <v/>
      </c>
      <c r="D90" s="28" t="str">
        <f aca="false">IF($A90="","",IFERROR(INDEX('זה אני - קליטה'!$AJ$5:$AJ$204,MATCH($A90&amp;"|תחילת שנה",'זה אני - קליטה'!$AF$5:$AF$204,0)),""))</f>
        <v/>
      </c>
      <c r="E90" s="28" t="str">
        <f aca="false">IF($A90="","",IFERROR(INDEX('זה אני - קליטה'!$AK$5:$AK$204,MATCH($A90&amp;"|תחילת שנה",'זה אני - קליטה'!$AF$5:$AF$204,0)),""))</f>
        <v/>
      </c>
      <c r="F90" s="28" t="str">
        <f aca="false">IF($A90="","",IFERROR(INDEX('זה אני - קליטה'!$AL$5:$AL$204,MATCH($A90&amp;"|תחילת שנה",'זה אני - קליטה'!$AF$5:$AF$204,0)),""))</f>
        <v/>
      </c>
      <c r="G90" s="27" t="str">
        <f aca="false">IF($A90="","",IFERROR(INDEX('זה אני - קליטה'!$AG$5:$AG$204,MATCH($A90&amp;"|תחילת שנה",'זה אני - קליטה'!$AF$5:$AF$204,0)),""))</f>
        <v/>
      </c>
      <c r="H90" s="28" t="str">
        <f aca="false">IF($A90="","",IFERROR(INDEX('זה אני - קליטה'!$AN$5:$AN$204,MATCH($A90&amp;"|תחילת שנה",'זה אני - קליטה'!$AF$5:$AF$204,0)),""))</f>
        <v/>
      </c>
      <c r="I90" s="28" t="str">
        <f aca="false">IF($A90="","",IFERROR(INDEX('זה אני - קליטה'!$AH$5:$AH$204,MATCH($A90&amp;"|אמצע שנה",'זה אני - קליטה'!$AF$5:$AF$204,0)),""))</f>
        <v/>
      </c>
      <c r="J90" s="28" t="str">
        <f aca="false">IF($A90="","",IFERROR(INDEX('זה אני - קליטה'!$AI$5:$AI$204,MATCH($A90&amp;"|אמצע שנה",'זה אני - קליטה'!$AF$5:$AF$204,0)),""))</f>
        <v/>
      </c>
      <c r="K90" s="28" t="str">
        <f aca="false">IF($A90="","",IFERROR(INDEX('זה אני - קליטה'!$AJ$5:$AJ$204,MATCH($A90&amp;"|אמצע שנה",'זה אני - קליטה'!$AF$5:$AF$204,0)),""))</f>
        <v/>
      </c>
      <c r="L90" s="28" t="str">
        <f aca="false">IF($A90="","",IFERROR(INDEX('זה אני - קליטה'!$AK$5:$AK$204,MATCH($A90&amp;"|אמצע שנה",'זה אני - קליטה'!$AF$5:$AF$204,0)),""))</f>
        <v/>
      </c>
      <c r="M90" s="28" t="str">
        <f aca="false">IF($A90="","",IFERROR(INDEX('זה אני - קליטה'!$AL$5:$AL$204,MATCH($A90&amp;"|אמצע שנה",'זה אני - קליטה'!$AF$5:$AF$204,0)),""))</f>
        <v/>
      </c>
      <c r="N90" s="27" t="str">
        <f aca="false">IF($A90="","",IFERROR(INDEX('זה אני - קליטה'!$AG$5:$AG$204,MATCH($A90&amp;"|אמצע שנה",'זה אני - קליטה'!$AF$5:$AF$204,0)),""))</f>
        <v/>
      </c>
      <c r="O90" s="28" t="str">
        <f aca="false">IF($A90="","",IFERROR(INDEX('זה אני - קליטה'!$AN$5:$AN$204,MATCH($A90&amp;"|אמצע שנה",'זה אני - קליטה'!$AF$5:$AF$204,0)),""))</f>
        <v/>
      </c>
      <c r="P90" s="28" t="str">
        <f aca="false">IF($A90="","",IFERROR(INDEX('זה אני - קליטה'!$AH$5:$AH$204,MATCH($A90&amp;"|סוף שנה",'זה אני - קליטה'!$AF$5:$AF$204,0)),""))</f>
        <v/>
      </c>
      <c r="Q90" s="28" t="str">
        <f aca="false">IF($A90="","",IFERROR(INDEX('זה אני - קליטה'!$AI$5:$AI$204,MATCH($A90&amp;"|סוף שנה",'זה אני - קליטה'!$AF$5:$AF$204,0)),""))</f>
        <v/>
      </c>
      <c r="R90" s="28" t="str">
        <f aca="false">IF($A90="","",IFERROR(INDEX('זה אני - קליטה'!$AJ$5:$AJ$204,MATCH($A90&amp;"|סוף שנה",'זה אני - קליטה'!$AF$5:$AF$204,0)),""))</f>
        <v/>
      </c>
      <c r="S90" s="28" t="str">
        <f aca="false">IF($A90="","",IFERROR(INDEX('זה אני - קליטה'!$AK$5:$AK$204,MATCH($A90&amp;"|סוף שנה",'זה אני - קליטה'!$AF$5:$AF$204,0)),""))</f>
        <v/>
      </c>
      <c r="T90" s="28" t="str">
        <f aca="false">IF($A90="","",IFERROR(INDEX('זה אני - קליטה'!$AL$5:$AL$204,MATCH($A90&amp;"|סוף שנה",'זה אני - קליטה'!$AF$5:$AF$204,0)),""))</f>
        <v/>
      </c>
      <c r="U90" s="27" t="str">
        <f aca="false">IF($A90="","",IFERROR(INDEX('זה אני - קליטה'!$AG$5:$AG$204,MATCH($A90&amp;"|סוף שנה",'זה אני - קליטה'!$AF$5:$AF$204,0)),""))</f>
        <v/>
      </c>
      <c r="V90" s="28" t="str">
        <f aca="false">IF($A90="","",IFERROR(INDEX('זה אני - קליטה'!$AN$5:$AN$204,MATCH($A90&amp;"|סוף שנה",'זה אני - קליטה'!$AF$5:$AF$204,0)),""))</f>
        <v/>
      </c>
      <c r="W90" s="32" t="str">
        <f aca="false">IF(AND(ISNUMBER(F90),ISNUMBER(T90)),T90-F90,"")</f>
        <v/>
      </c>
      <c r="X90" s="27" t="str">
        <f aca="false">IF(W90="","",IF(W90&gt;=0.25,"עלייה",IF(W90&lt;=-0.25,"ירידה","יציב")))</f>
        <v/>
      </c>
    </row>
    <row r="91" customFormat="false" ht="15" hidden="false" customHeight="false" outlineLevel="0" collapsed="false">
      <c r="A91" s="29"/>
      <c r="B91" s="28" t="str">
        <f aca="false">IF($A91="","",IFERROR(INDEX('זה אני - קליטה'!$AH$5:$AH$204,MATCH($A91&amp;"|תחילת שנה",'זה אני - קליטה'!$AF$5:$AF$204,0)),""))</f>
        <v/>
      </c>
      <c r="C91" s="28" t="str">
        <f aca="false">IF($A91="","",IFERROR(INDEX('זה אני - קליטה'!$AI$5:$AI$204,MATCH($A91&amp;"|תחילת שנה",'זה אני - קליטה'!$AF$5:$AF$204,0)),""))</f>
        <v/>
      </c>
      <c r="D91" s="28" t="str">
        <f aca="false">IF($A91="","",IFERROR(INDEX('זה אני - קליטה'!$AJ$5:$AJ$204,MATCH($A91&amp;"|תחילת שנה",'זה אני - קליטה'!$AF$5:$AF$204,0)),""))</f>
        <v/>
      </c>
      <c r="E91" s="28" t="str">
        <f aca="false">IF($A91="","",IFERROR(INDEX('זה אני - קליטה'!$AK$5:$AK$204,MATCH($A91&amp;"|תחילת שנה",'זה אני - קליטה'!$AF$5:$AF$204,0)),""))</f>
        <v/>
      </c>
      <c r="F91" s="28" t="str">
        <f aca="false">IF($A91="","",IFERROR(INDEX('זה אני - קליטה'!$AL$5:$AL$204,MATCH($A91&amp;"|תחילת שנה",'זה אני - קליטה'!$AF$5:$AF$204,0)),""))</f>
        <v/>
      </c>
      <c r="G91" s="27" t="str">
        <f aca="false">IF($A91="","",IFERROR(INDEX('זה אני - קליטה'!$AG$5:$AG$204,MATCH($A91&amp;"|תחילת שנה",'זה אני - קליטה'!$AF$5:$AF$204,0)),""))</f>
        <v/>
      </c>
      <c r="H91" s="28" t="str">
        <f aca="false">IF($A91="","",IFERROR(INDEX('זה אני - קליטה'!$AN$5:$AN$204,MATCH($A91&amp;"|תחילת שנה",'זה אני - קליטה'!$AF$5:$AF$204,0)),""))</f>
        <v/>
      </c>
      <c r="I91" s="28" t="str">
        <f aca="false">IF($A91="","",IFERROR(INDEX('זה אני - קליטה'!$AH$5:$AH$204,MATCH($A91&amp;"|אמצע שנה",'זה אני - קליטה'!$AF$5:$AF$204,0)),""))</f>
        <v/>
      </c>
      <c r="J91" s="28" t="str">
        <f aca="false">IF($A91="","",IFERROR(INDEX('זה אני - קליטה'!$AI$5:$AI$204,MATCH($A91&amp;"|אמצע שנה",'זה אני - קליטה'!$AF$5:$AF$204,0)),""))</f>
        <v/>
      </c>
      <c r="K91" s="28" t="str">
        <f aca="false">IF($A91="","",IFERROR(INDEX('זה אני - קליטה'!$AJ$5:$AJ$204,MATCH($A91&amp;"|אמצע שנה",'זה אני - קליטה'!$AF$5:$AF$204,0)),""))</f>
        <v/>
      </c>
      <c r="L91" s="28" t="str">
        <f aca="false">IF($A91="","",IFERROR(INDEX('זה אני - קליטה'!$AK$5:$AK$204,MATCH($A91&amp;"|אמצע שנה",'זה אני - קליטה'!$AF$5:$AF$204,0)),""))</f>
        <v/>
      </c>
      <c r="M91" s="28" t="str">
        <f aca="false">IF($A91="","",IFERROR(INDEX('זה אני - קליטה'!$AL$5:$AL$204,MATCH($A91&amp;"|אמצע שנה",'זה אני - קליטה'!$AF$5:$AF$204,0)),""))</f>
        <v/>
      </c>
      <c r="N91" s="27" t="str">
        <f aca="false">IF($A91="","",IFERROR(INDEX('זה אני - קליטה'!$AG$5:$AG$204,MATCH($A91&amp;"|אמצע שנה",'זה אני - קליטה'!$AF$5:$AF$204,0)),""))</f>
        <v/>
      </c>
      <c r="O91" s="28" t="str">
        <f aca="false">IF($A91="","",IFERROR(INDEX('זה אני - קליטה'!$AN$5:$AN$204,MATCH($A91&amp;"|אמצע שנה",'זה אני - קליטה'!$AF$5:$AF$204,0)),""))</f>
        <v/>
      </c>
      <c r="P91" s="28" t="str">
        <f aca="false">IF($A91="","",IFERROR(INDEX('זה אני - קליטה'!$AH$5:$AH$204,MATCH($A91&amp;"|סוף שנה",'זה אני - קליטה'!$AF$5:$AF$204,0)),""))</f>
        <v/>
      </c>
      <c r="Q91" s="28" t="str">
        <f aca="false">IF($A91="","",IFERROR(INDEX('זה אני - קליטה'!$AI$5:$AI$204,MATCH($A91&amp;"|סוף שנה",'זה אני - קליטה'!$AF$5:$AF$204,0)),""))</f>
        <v/>
      </c>
      <c r="R91" s="28" t="str">
        <f aca="false">IF($A91="","",IFERROR(INDEX('זה אני - קליטה'!$AJ$5:$AJ$204,MATCH($A91&amp;"|סוף שנה",'זה אני - קליטה'!$AF$5:$AF$204,0)),""))</f>
        <v/>
      </c>
      <c r="S91" s="28" t="str">
        <f aca="false">IF($A91="","",IFERROR(INDEX('זה אני - קליטה'!$AK$5:$AK$204,MATCH($A91&amp;"|סוף שנה",'זה אני - קליטה'!$AF$5:$AF$204,0)),""))</f>
        <v/>
      </c>
      <c r="T91" s="28" t="str">
        <f aca="false">IF($A91="","",IFERROR(INDEX('זה אני - קליטה'!$AL$5:$AL$204,MATCH($A91&amp;"|סוף שנה",'זה אני - קליטה'!$AF$5:$AF$204,0)),""))</f>
        <v/>
      </c>
      <c r="U91" s="27" t="str">
        <f aca="false">IF($A91="","",IFERROR(INDEX('זה אני - קליטה'!$AG$5:$AG$204,MATCH($A91&amp;"|סוף שנה",'זה אני - קליטה'!$AF$5:$AF$204,0)),""))</f>
        <v/>
      </c>
      <c r="V91" s="28" t="str">
        <f aca="false">IF($A91="","",IFERROR(INDEX('זה אני - קליטה'!$AN$5:$AN$204,MATCH($A91&amp;"|סוף שנה",'זה אני - קליטה'!$AF$5:$AF$204,0)),""))</f>
        <v/>
      </c>
      <c r="W91" s="32" t="str">
        <f aca="false">IF(AND(ISNUMBER(F91),ISNUMBER(T91)),T91-F91,"")</f>
        <v/>
      </c>
      <c r="X91" s="27" t="str">
        <f aca="false">IF(W91="","",IF(W91&gt;=0.25,"עלייה",IF(W91&lt;=-0.25,"ירידה","יציב")))</f>
        <v/>
      </c>
    </row>
    <row r="92" customFormat="false" ht="15" hidden="false" customHeight="false" outlineLevel="0" collapsed="false">
      <c r="A92" s="29"/>
      <c r="B92" s="28" t="str">
        <f aca="false">IF($A92="","",IFERROR(INDEX('זה אני - קליטה'!$AH$5:$AH$204,MATCH($A92&amp;"|תחילת שנה",'זה אני - קליטה'!$AF$5:$AF$204,0)),""))</f>
        <v/>
      </c>
      <c r="C92" s="28" t="str">
        <f aca="false">IF($A92="","",IFERROR(INDEX('זה אני - קליטה'!$AI$5:$AI$204,MATCH($A92&amp;"|תחילת שנה",'זה אני - קליטה'!$AF$5:$AF$204,0)),""))</f>
        <v/>
      </c>
      <c r="D92" s="28" t="str">
        <f aca="false">IF($A92="","",IFERROR(INDEX('זה אני - קליטה'!$AJ$5:$AJ$204,MATCH($A92&amp;"|תחילת שנה",'זה אני - קליטה'!$AF$5:$AF$204,0)),""))</f>
        <v/>
      </c>
      <c r="E92" s="28" t="str">
        <f aca="false">IF($A92="","",IFERROR(INDEX('זה אני - קליטה'!$AK$5:$AK$204,MATCH($A92&amp;"|תחילת שנה",'זה אני - קליטה'!$AF$5:$AF$204,0)),""))</f>
        <v/>
      </c>
      <c r="F92" s="28" t="str">
        <f aca="false">IF($A92="","",IFERROR(INDEX('זה אני - קליטה'!$AL$5:$AL$204,MATCH($A92&amp;"|תחילת שנה",'זה אני - קליטה'!$AF$5:$AF$204,0)),""))</f>
        <v/>
      </c>
      <c r="G92" s="27" t="str">
        <f aca="false">IF($A92="","",IFERROR(INDEX('זה אני - קליטה'!$AG$5:$AG$204,MATCH($A92&amp;"|תחילת שנה",'זה אני - קליטה'!$AF$5:$AF$204,0)),""))</f>
        <v/>
      </c>
      <c r="H92" s="28" t="str">
        <f aca="false">IF($A92="","",IFERROR(INDEX('זה אני - קליטה'!$AN$5:$AN$204,MATCH($A92&amp;"|תחילת שנה",'זה אני - קליטה'!$AF$5:$AF$204,0)),""))</f>
        <v/>
      </c>
      <c r="I92" s="28" t="str">
        <f aca="false">IF($A92="","",IFERROR(INDEX('זה אני - קליטה'!$AH$5:$AH$204,MATCH($A92&amp;"|אמצע שנה",'זה אני - קליטה'!$AF$5:$AF$204,0)),""))</f>
        <v/>
      </c>
      <c r="J92" s="28" t="str">
        <f aca="false">IF($A92="","",IFERROR(INDEX('זה אני - קליטה'!$AI$5:$AI$204,MATCH($A92&amp;"|אמצע שנה",'זה אני - קליטה'!$AF$5:$AF$204,0)),""))</f>
        <v/>
      </c>
      <c r="K92" s="28" t="str">
        <f aca="false">IF($A92="","",IFERROR(INDEX('זה אני - קליטה'!$AJ$5:$AJ$204,MATCH($A92&amp;"|אמצע שנה",'זה אני - קליטה'!$AF$5:$AF$204,0)),""))</f>
        <v/>
      </c>
      <c r="L92" s="28" t="str">
        <f aca="false">IF($A92="","",IFERROR(INDEX('זה אני - קליטה'!$AK$5:$AK$204,MATCH($A92&amp;"|אמצע שנה",'זה אני - קליטה'!$AF$5:$AF$204,0)),""))</f>
        <v/>
      </c>
      <c r="M92" s="28" t="str">
        <f aca="false">IF($A92="","",IFERROR(INDEX('זה אני - קליטה'!$AL$5:$AL$204,MATCH($A92&amp;"|אמצע שנה",'זה אני - קליטה'!$AF$5:$AF$204,0)),""))</f>
        <v/>
      </c>
      <c r="N92" s="27" t="str">
        <f aca="false">IF($A92="","",IFERROR(INDEX('זה אני - קליטה'!$AG$5:$AG$204,MATCH($A92&amp;"|אמצע שנה",'זה אני - קליטה'!$AF$5:$AF$204,0)),""))</f>
        <v/>
      </c>
      <c r="O92" s="28" t="str">
        <f aca="false">IF($A92="","",IFERROR(INDEX('זה אני - קליטה'!$AN$5:$AN$204,MATCH($A92&amp;"|אמצע שנה",'זה אני - קליטה'!$AF$5:$AF$204,0)),""))</f>
        <v/>
      </c>
      <c r="P92" s="28" t="str">
        <f aca="false">IF($A92="","",IFERROR(INDEX('זה אני - קליטה'!$AH$5:$AH$204,MATCH($A92&amp;"|סוף שנה",'זה אני - קליטה'!$AF$5:$AF$204,0)),""))</f>
        <v/>
      </c>
      <c r="Q92" s="28" t="str">
        <f aca="false">IF($A92="","",IFERROR(INDEX('זה אני - קליטה'!$AI$5:$AI$204,MATCH($A92&amp;"|סוף שנה",'זה אני - קליטה'!$AF$5:$AF$204,0)),""))</f>
        <v/>
      </c>
      <c r="R92" s="28" t="str">
        <f aca="false">IF($A92="","",IFERROR(INDEX('זה אני - קליטה'!$AJ$5:$AJ$204,MATCH($A92&amp;"|סוף שנה",'זה אני - קליטה'!$AF$5:$AF$204,0)),""))</f>
        <v/>
      </c>
      <c r="S92" s="28" t="str">
        <f aca="false">IF($A92="","",IFERROR(INDEX('זה אני - קליטה'!$AK$5:$AK$204,MATCH($A92&amp;"|סוף שנה",'זה אני - קליטה'!$AF$5:$AF$204,0)),""))</f>
        <v/>
      </c>
      <c r="T92" s="28" t="str">
        <f aca="false">IF($A92="","",IFERROR(INDEX('זה אני - קליטה'!$AL$5:$AL$204,MATCH($A92&amp;"|סוף שנה",'זה אני - קליטה'!$AF$5:$AF$204,0)),""))</f>
        <v/>
      </c>
      <c r="U92" s="27" t="str">
        <f aca="false">IF($A92="","",IFERROR(INDEX('זה אני - קליטה'!$AG$5:$AG$204,MATCH($A92&amp;"|סוף שנה",'זה אני - קליטה'!$AF$5:$AF$204,0)),""))</f>
        <v/>
      </c>
      <c r="V92" s="28" t="str">
        <f aca="false">IF($A92="","",IFERROR(INDEX('זה אני - קליטה'!$AN$5:$AN$204,MATCH($A92&amp;"|סוף שנה",'זה אני - קליטה'!$AF$5:$AF$204,0)),""))</f>
        <v/>
      </c>
      <c r="W92" s="32" t="str">
        <f aca="false">IF(AND(ISNUMBER(F92),ISNUMBER(T92)),T92-F92,"")</f>
        <v/>
      </c>
      <c r="X92" s="27" t="str">
        <f aca="false">IF(W92="","",IF(W92&gt;=0.25,"עלייה",IF(W92&lt;=-0.25,"ירידה","יציב")))</f>
        <v/>
      </c>
    </row>
    <row r="93" customFormat="false" ht="15" hidden="false" customHeight="false" outlineLevel="0" collapsed="false">
      <c r="A93" s="29"/>
      <c r="B93" s="28" t="str">
        <f aca="false">IF($A93="","",IFERROR(INDEX('זה אני - קליטה'!$AH$5:$AH$204,MATCH($A93&amp;"|תחילת שנה",'זה אני - קליטה'!$AF$5:$AF$204,0)),""))</f>
        <v/>
      </c>
      <c r="C93" s="28" t="str">
        <f aca="false">IF($A93="","",IFERROR(INDEX('זה אני - קליטה'!$AI$5:$AI$204,MATCH($A93&amp;"|תחילת שנה",'זה אני - קליטה'!$AF$5:$AF$204,0)),""))</f>
        <v/>
      </c>
      <c r="D93" s="28" t="str">
        <f aca="false">IF($A93="","",IFERROR(INDEX('זה אני - קליטה'!$AJ$5:$AJ$204,MATCH($A93&amp;"|תחילת שנה",'זה אני - קליטה'!$AF$5:$AF$204,0)),""))</f>
        <v/>
      </c>
      <c r="E93" s="28" t="str">
        <f aca="false">IF($A93="","",IFERROR(INDEX('זה אני - קליטה'!$AK$5:$AK$204,MATCH($A93&amp;"|תחילת שנה",'זה אני - קליטה'!$AF$5:$AF$204,0)),""))</f>
        <v/>
      </c>
      <c r="F93" s="28" t="str">
        <f aca="false">IF($A93="","",IFERROR(INDEX('זה אני - קליטה'!$AL$5:$AL$204,MATCH($A93&amp;"|תחילת שנה",'זה אני - קליטה'!$AF$5:$AF$204,0)),""))</f>
        <v/>
      </c>
      <c r="G93" s="27" t="str">
        <f aca="false">IF($A93="","",IFERROR(INDEX('זה אני - קליטה'!$AG$5:$AG$204,MATCH($A93&amp;"|תחילת שנה",'זה אני - קליטה'!$AF$5:$AF$204,0)),""))</f>
        <v/>
      </c>
      <c r="H93" s="28" t="str">
        <f aca="false">IF($A93="","",IFERROR(INDEX('זה אני - קליטה'!$AN$5:$AN$204,MATCH($A93&amp;"|תחילת שנה",'זה אני - קליטה'!$AF$5:$AF$204,0)),""))</f>
        <v/>
      </c>
      <c r="I93" s="28" t="str">
        <f aca="false">IF($A93="","",IFERROR(INDEX('זה אני - קליטה'!$AH$5:$AH$204,MATCH($A93&amp;"|אמצע שנה",'זה אני - קליטה'!$AF$5:$AF$204,0)),""))</f>
        <v/>
      </c>
      <c r="J93" s="28" t="str">
        <f aca="false">IF($A93="","",IFERROR(INDEX('זה אני - קליטה'!$AI$5:$AI$204,MATCH($A93&amp;"|אמצע שנה",'זה אני - קליטה'!$AF$5:$AF$204,0)),""))</f>
        <v/>
      </c>
      <c r="K93" s="28" t="str">
        <f aca="false">IF($A93="","",IFERROR(INDEX('זה אני - קליטה'!$AJ$5:$AJ$204,MATCH($A93&amp;"|אמצע שנה",'זה אני - קליטה'!$AF$5:$AF$204,0)),""))</f>
        <v/>
      </c>
      <c r="L93" s="28" t="str">
        <f aca="false">IF($A93="","",IFERROR(INDEX('זה אני - קליטה'!$AK$5:$AK$204,MATCH($A93&amp;"|אמצע שנה",'זה אני - קליטה'!$AF$5:$AF$204,0)),""))</f>
        <v/>
      </c>
      <c r="M93" s="28" t="str">
        <f aca="false">IF($A93="","",IFERROR(INDEX('זה אני - קליטה'!$AL$5:$AL$204,MATCH($A93&amp;"|אמצע שנה",'זה אני - קליטה'!$AF$5:$AF$204,0)),""))</f>
        <v/>
      </c>
      <c r="N93" s="27" t="str">
        <f aca="false">IF($A93="","",IFERROR(INDEX('זה אני - קליטה'!$AG$5:$AG$204,MATCH($A93&amp;"|אמצע שנה",'זה אני - קליטה'!$AF$5:$AF$204,0)),""))</f>
        <v/>
      </c>
      <c r="O93" s="28" t="str">
        <f aca="false">IF($A93="","",IFERROR(INDEX('זה אני - קליטה'!$AN$5:$AN$204,MATCH($A93&amp;"|אמצע שנה",'זה אני - קליטה'!$AF$5:$AF$204,0)),""))</f>
        <v/>
      </c>
      <c r="P93" s="28" t="str">
        <f aca="false">IF($A93="","",IFERROR(INDEX('זה אני - קליטה'!$AH$5:$AH$204,MATCH($A93&amp;"|סוף שנה",'זה אני - קליטה'!$AF$5:$AF$204,0)),""))</f>
        <v/>
      </c>
      <c r="Q93" s="28" t="str">
        <f aca="false">IF($A93="","",IFERROR(INDEX('זה אני - קליטה'!$AI$5:$AI$204,MATCH($A93&amp;"|סוף שנה",'זה אני - קליטה'!$AF$5:$AF$204,0)),""))</f>
        <v/>
      </c>
      <c r="R93" s="28" t="str">
        <f aca="false">IF($A93="","",IFERROR(INDEX('זה אני - קליטה'!$AJ$5:$AJ$204,MATCH($A93&amp;"|סוף שנה",'זה אני - קליטה'!$AF$5:$AF$204,0)),""))</f>
        <v/>
      </c>
      <c r="S93" s="28" t="str">
        <f aca="false">IF($A93="","",IFERROR(INDEX('זה אני - קליטה'!$AK$5:$AK$204,MATCH($A93&amp;"|סוף שנה",'זה אני - קליטה'!$AF$5:$AF$204,0)),""))</f>
        <v/>
      </c>
      <c r="T93" s="28" t="str">
        <f aca="false">IF($A93="","",IFERROR(INDEX('זה אני - קליטה'!$AL$5:$AL$204,MATCH($A93&amp;"|סוף שנה",'זה אני - קליטה'!$AF$5:$AF$204,0)),""))</f>
        <v/>
      </c>
      <c r="U93" s="27" t="str">
        <f aca="false">IF($A93="","",IFERROR(INDEX('זה אני - קליטה'!$AG$5:$AG$204,MATCH($A93&amp;"|סוף שנה",'זה אני - קליטה'!$AF$5:$AF$204,0)),""))</f>
        <v/>
      </c>
      <c r="V93" s="28" t="str">
        <f aca="false">IF($A93="","",IFERROR(INDEX('זה אני - קליטה'!$AN$5:$AN$204,MATCH($A93&amp;"|סוף שנה",'זה אני - קליטה'!$AF$5:$AF$204,0)),""))</f>
        <v/>
      </c>
      <c r="W93" s="32" t="str">
        <f aca="false">IF(AND(ISNUMBER(F93),ISNUMBER(T93)),T93-F93,"")</f>
        <v/>
      </c>
      <c r="X93" s="27" t="str">
        <f aca="false">IF(W93="","",IF(W93&gt;=0.25,"עלייה",IF(W93&lt;=-0.25,"ירידה","יציב")))</f>
        <v/>
      </c>
    </row>
    <row r="94" customFormat="false" ht="15" hidden="false" customHeight="false" outlineLevel="0" collapsed="false">
      <c r="A94" s="29"/>
      <c r="B94" s="28" t="str">
        <f aca="false">IF($A94="","",IFERROR(INDEX('זה אני - קליטה'!$AH$5:$AH$204,MATCH($A94&amp;"|תחילת שנה",'זה אני - קליטה'!$AF$5:$AF$204,0)),""))</f>
        <v/>
      </c>
      <c r="C94" s="28" t="str">
        <f aca="false">IF($A94="","",IFERROR(INDEX('זה אני - קליטה'!$AI$5:$AI$204,MATCH($A94&amp;"|תחילת שנה",'זה אני - קליטה'!$AF$5:$AF$204,0)),""))</f>
        <v/>
      </c>
      <c r="D94" s="28" t="str">
        <f aca="false">IF($A94="","",IFERROR(INDEX('זה אני - קליטה'!$AJ$5:$AJ$204,MATCH($A94&amp;"|תחילת שנה",'זה אני - קליטה'!$AF$5:$AF$204,0)),""))</f>
        <v/>
      </c>
      <c r="E94" s="28" t="str">
        <f aca="false">IF($A94="","",IFERROR(INDEX('זה אני - קליטה'!$AK$5:$AK$204,MATCH($A94&amp;"|תחילת שנה",'זה אני - קליטה'!$AF$5:$AF$204,0)),""))</f>
        <v/>
      </c>
      <c r="F94" s="28" t="str">
        <f aca="false">IF($A94="","",IFERROR(INDEX('זה אני - קליטה'!$AL$5:$AL$204,MATCH($A94&amp;"|תחילת שנה",'זה אני - קליטה'!$AF$5:$AF$204,0)),""))</f>
        <v/>
      </c>
      <c r="G94" s="27" t="str">
        <f aca="false">IF($A94="","",IFERROR(INDEX('זה אני - קליטה'!$AG$5:$AG$204,MATCH($A94&amp;"|תחילת שנה",'זה אני - קליטה'!$AF$5:$AF$204,0)),""))</f>
        <v/>
      </c>
      <c r="H94" s="28" t="str">
        <f aca="false">IF($A94="","",IFERROR(INDEX('זה אני - קליטה'!$AN$5:$AN$204,MATCH($A94&amp;"|תחילת שנה",'זה אני - קליטה'!$AF$5:$AF$204,0)),""))</f>
        <v/>
      </c>
      <c r="I94" s="28" t="str">
        <f aca="false">IF($A94="","",IFERROR(INDEX('זה אני - קליטה'!$AH$5:$AH$204,MATCH($A94&amp;"|אמצע שנה",'זה אני - קליטה'!$AF$5:$AF$204,0)),""))</f>
        <v/>
      </c>
      <c r="J94" s="28" t="str">
        <f aca="false">IF($A94="","",IFERROR(INDEX('זה אני - קליטה'!$AI$5:$AI$204,MATCH($A94&amp;"|אמצע שנה",'זה אני - קליטה'!$AF$5:$AF$204,0)),""))</f>
        <v/>
      </c>
      <c r="K94" s="28" t="str">
        <f aca="false">IF($A94="","",IFERROR(INDEX('זה אני - קליטה'!$AJ$5:$AJ$204,MATCH($A94&amp;"|אמצע שנה",'זה אני - קליטה'!$AF$5:$AF$204,0)),""))</f>
        <v/>
      </c>
      <c r="L94" s="28" t="str">
        <f aca="false">IF($A94="","",IFERROR(INDEX('זה אני - קליטה'!$AK$5:$AK$204,MATCH($A94&amp;"|אמצע שנה",'זה אני - קליטה'!$AF$5:$AF$204,0)),""))</f>
        <v/>
      </c>
      <c r="M94" s="28" t="str">
        <f aca="false">IF($A94="","",IFERROR(INDEX('זה אני - קליטה'!$AL$5:$AL$204,MATCH($A94&amp;"|אמצע שנה",'זה אני - קליטה'!$AF$5:$AF$204,0)),""))</f>
        <v/>
      </c>
      <c r="N94" s="27" t="str">
        <f aca="false">IF($A94="","",IFERROR(INDEX('זה אני - קליטה'!$AG$5:$AG$204,MATCH($A94&amp;"|אמצע שנה",'זה אני - קליטה'!$AF$5:$AF$204,0)),""))</f>
        <v/>
      </c>
      <c r="O94" s="28" t="str">
        <f aca="false">IF($A94="","",IFERROR(INDEX('זה אני - קליטה'!$AN$5:$AN$204,MATCH($A94&amp;"|אמצע שנה",'זה אני - קליטה'!$AF$5:$AF$204,0)),""))</f>
        <v/>
      </c>
      <c r="P94" s="28" t="str">
        <f aca="false">IF($A94="","",IFERROR(INDEX('זה אני - קליטה'!$AH$5:$AH$204,MATCH($A94&amp;"|סוף שנה",'זה אני - קליטה'!$AF$5:$AF$204,0)),""))</f>
        <v/>
      </c>
      <c r="Q94" s="28" t="str">
        <f aca="false">IF($A94="","",IFERROR(INDEX('זה אני - קליטה'!$AI$5:$AI$204,MATCH($A94&amp;"|סוף שנה",'זה אני - קליטה'!$AF$5:$AF$204,0)),""))</f>
        <v/>
      </c>
      <c r="R94" s="28" t="str">
        <f aca="false">IF($A94="","",IFERROR(INDEX('זה אני - קליטה'!$AJ$5:$AJ$204,MATCH($A94&amp;"|סוף שנה",'זה אני - קליטה'!$AF$5:$AF$204,0)),""))</f>
        <v/>
      </c>
      <c r="S94" s="28" t="str">
        <f aca="false">IF($A94="","",IFERROR(INDEX('זה אני - קליטה'!$AK$5:$AK$204,MATCH($A94&amp;"|סוף שנה",'זה אני - קליטה'!$AF$5:$AF$204,0)),""))</f>
        <v/>
      </c>
      <c r="T94" s="28" t="str">
        <f aca="false">IF($A94="","",IFERROR(INDEX('זה אני - קליטה'!$AL$5:$AL$204,MATCH($A94&amp;"|סוף שנה",'זה אני - קליטה'!$AF$5:$AF$204,0)),""))</f>
        <v/>
      </c>
      <c r="U94" s="27" t="str">
        <f aca="false">IF($A94="","",IFERROR(INDEX('זה אני - קליטה'!$AG$5:$AG$204,MATCH($A94&amp;"|סוף שנה",'זה אני - קליטה'!$AF$5:$AF$204,0)),""))</f>
        <v/>
      </c>
      <c r="V94" s="28" t="str">
        <f aca="false">IF($A94="","",IFERROR(INDEX('זה אני - קליטה'!$AN$5:$AN$204,MATCH($A94&amp;"|סוף שנה",'זה אני - קליטה'!$AF$5:$AF$204,0)),""))</f>
        <v/>
      </c>
      <c r="W94" s="32" t="str">
        <f aca="false">IF(AND(ISNUMBER(F94),ISNUMBER(T94)),T94-F94,"")</f>
        <v/>
      </c>
      <c r="X94" s="27" t="str">
        <f aca="false">IF(W94="","",IF(W94&gt;=0.25,"עלייה",IF(W94&lt;=-0.25,"ירידה","יציב")))</f>
        <v/>
      </c>
    </row>
    <row r="95" customFormat="false" ht="15" hidden="false" customHeight="false" outlineLevel="0" collapsed="false">
      <c r="A95" s="29"/>
      <c r="B95" s="28" t="str">
        <f aca="false">IF($A95="","",IFERROR(INDEX('זה אני - קליטה'!$AH$5:$AH$204,MATCH($A95&amp;"|תחילת שנה",'זה אני - קליטה'!$AF$5:$AF$204,0)),""))</f>
        <v/>
      </c>
      <c r="C95" s="28" t="str">
        <f aca="false">IF($A95="","",IFERROR(INDEX('זה אני - קליטה'!$AI$5:$AI$204,MATCH($A95&amp;"|תחילת שנה",'זה אני - קליטה'!$AF$5:$AF$204,0)),""))</f>
        <v/>
      </c>
      <c r="D95" s="28" t="str">
        <f aca="false">IF($A95="","",IFERROR(INDEX('זה אני - קליטה'!$AJ$5:$AJ$204,MATCH($A95&amp;"|תחילת שנה",'זה אני - קליטה'!$AF$5:$AF$204,0)),""))</f>
        <v/>
      </c>
      <c r="E95" s="28" t="str">
        <f aca="false">IF($A95="","",IFERROR(INDEX('זה אני - קליטה'!$AK$5:$AK$204,MATCH($A95&amp;"|תחילת שנה",'זה אני - קליטה'!$AF$5:$AF$204,0)),""))</f>
        <v/>
      </c>
      <c r="F95" s="28" t="str">
        <f aca="false">IF($A95="","",IFERROR(INDEX('זה אני - קליטה'!$AL$5:$AL$204,MATCH($A95&amp;"|תחילת שנה",'זה אני - קליטה'!$AF$5:$AF$204,0)),""))</f>
        <v/>
      </c>
      <c r="G95" s="27" t="str">
        <f aca="false">IF($A95="","",IFERROR(INDEX('זה אני - קליטה'!$AG$5:$AG$204,MATCH($A95&amp;"|תחילת שנה",'זה אני - קליטה'!$AF$5:$AF$204,0)),""))</f>
        <v/>
      </c>
      <c r="H95" s="28" t="str">
        <f aca="false">IF($A95="","",IFERROR(INDEX('זה אני - קליטה'!$AN$5:$AN$204,MATCH($A95&amp;"|תחילת שנה",'זה אני - קליטה'!$AF$5:$AF$204,0)),""))</f>
        <v/>
      </c>
      <c r="I95" s="28" t="str">
        <f aca="false">IF($A95="","",IFERROR(INDEX('זה אני - קליטה'!$AH$5:$AH$204,MATCH($A95&amp;"|אמצע שנה",'זה אני - קליטה'!$AF$5:$AF$204,0)),""))</f>
        <v/>
      </c>
      <c r="J95" s="28" t="str">
        <f aca="false">IF($A95="","",IFERROR(INDEX('זה אני - קליטה'!$AI$5:$AI$204,MATCH($A95&amp;"|אמצע שנה",'זה אני - קליטה'!$AF$5:$AF$204,0)),""))</f>
        <v/>
      </c>
      <c r="K95" s="28" t="str">
        <f aca="false">IF($A95="","",IFERROR(INDEX('זה אני - קליטה'!$AJ$5:$AJ$204,MATCH($A95&amp;"|אמצע שנה",'זה אני - קליטה'!$AF$5:$AF$204,0)),""))</f>
        <v/>
      </c>
      <c r="L95" s="28" t="str">
        <f aca="false">IF($A95="","",IFERROR(INDEX('זה אני - קליטה'!$AK$5:$AK$204,MATCH($A95&amp;"|אמצע שנה",'זה אני - קליטה'!$AF$5:$AF$204,0)),""))</f>
        <v/>
      </c>
      <c r="M95" s="28" t="str">
        <f aca="false">IF($A95="","",IFERROR(INDEX('זה אני - קליטה'!$AL$5:$AL$204,MATCH($A95&amp;"|אמצע שנה",'זה אני - קליטה'!$AF$5:$AF$204,0)),""))</f>
        <v/>
      </c>
      <c r="N95" s="27" t="str">
        <f aca="false">IF($A95="","",IFERROR(INDEX('זה אני - קליטה'!$AG$5:$AG$204,MATCH($A95&amp;"|אמצע שנה",'זה אני - קליטה'!$AF$5:$AF$204,0)),""))</f>
        <v/>
      </c>
      <c r="O95" s="28" t="str">
        <f aca="false">IF($A95="","",IFERROR(INDEX('זה אני - קליטה'!$AN$5:$AN$204,MATCH($A95&amp;"|אמצע שנה",'זה אני - קליטה'!$AF$5:$AF$204,0)),""))</f>
        <v/>
      </c>
      <c r="P95" s="28" t="str">
        <f aca="false">IF($A95="","",IFERROR(INDEX('זה אני - קליטה'!$AH$5:$AH$204,MATCH($A95&amp;"|סוף שנה",'זה אני - קליטה'!$AF$5:$AF$204,0)),""))</f>
        <v/>
      </c>
      <c r="Q95" s="28" t="str">
        <f aca="false">IF($A95="","",IFERROR(INDEX('זה אני - קליטה'!$AI$5:$AI$204,MATCH($A95&amp;"|סוף שנה",'זה אני - קליטה'!$AF$5:$AF$204,0)),""))</f>
        <v/>
      </c>
      <c r="R95" s="28" t="str">
        <f aca="false">IF($A95="","",IFERROR(INDEX('זה אני - קליטה'!$AJ$5:$AJ$204,MATCH($A95&amp;"|סוף שנה",'זה אני - קליטה'!$AF$5:$AF$204,0)),""))</f>
        <v/>
      </c>
      <c r="S95" s="28" t="str">
        <f aca="false">IF($A95="","",IFERROR(INDEX('זה אני - קליטה'!$AK$5:$AK$204,MATCH($A95&amp;"|סוף שנה",'זה אני - קליטה'!$AF$5:$AF$204,0)),""))</f>
        <v/>
      </c>
      <c r="T95" s="28" t="str">
        <f aca="false">IF($A95="","",IFERROR(INDEX('זה אני - קליטה'!$AL$5:$AL$204,MATCH($A95&amp;"|סוף שנה",'זה אני - קליטה'!$AF$5:$AF$204,0)),""))</f>
        <v/>
      </c>
      <c r="U95" s="27" t="str">
        <f aca="false">IF($A95="","",IFERROR(INDEX('זה אני - קליטה'!$AG$5:$AG$204,MATCH($A95&amp;"|סוף שנה",'זה אני - קליטה'!$AF$5:$AF$204,0)),""))</f>
        <v/>
      </c>
      <c r="V95" s="28" t="str">
        <f aca="false">IF($A95="","",IFERROR(INDEX('זה אני - קליטה'!$AN$5:$AN$204,MATCH($A95&amp;"|סוף שנה",'זה אני - קליטה'!$AF$5:$AF$204,0)),""))</f>
        <v/>
      </c>
      <c r="W95" s="32" t="str">
        <f aca="false">IF(AND(ISNUMBER(F95),ISNUMBER(T95)),T95-F95,"")</f>
        <v/>
      </c>
      <c r="X95" s="27" t="str">
        <f aca="false">IF(W95="","",IF(W95&gt;=0.25,"עלייה",IF(W95&lt;=-0.25,"ירידה","יציב")))</f>
        <v/>
      </c>
    </row>
    <row r="96" customFormat="false" ht="15" hidden="false" customHeight="false" outlineLevel="0" collapsed="false">
      <c r="A96" s="29"/>
      <c r="B96" s="28" t="str">
        <f aca="false">IF($A96="","",IFERROR(INDEX('זה אני - קליטה'!$AH$5:$AH$204,MATCH($A96&amp;"|תחילת שנה",'זה אני - קליטה'!$AF$5:$AF$204,0)),""))</f>
        <v/>
      </c>
      <c r="C96" s="28" t="str">
        <f aca="false">IF($A96="","",IFERROR(INDEX('זה אני - קליטה'!$AI$5:$AI$204,MATCH($A96&amp;"|תחילת שנה",'זה אני - קליטה'!$AF$5:$AF$204,0)),""))</f>
        <v/>
      </c>
      <c r="D96" s="28" t="str">
        <f aca="false">IF($A96="","",IFERROR(INDEX('זה אני - קליטה'!$AJ$5:$AJ$204,MATCH($A96&amp;"|תחילת שנה",'זה אני - קליטה'!$AF$5:$AF$204,0)),""))</f>
        <v/>
      </c>
      <c r="E96" s="28" t="str">
        <f aca="false">IF($A96="","",IFERROR(INDEX('זה אני - קליטה'!$AK$5:$AK$204,MATCH($A96&amp;"|תחילת שנה",'זה אני - קליטה'!$AF$5:$AF$204,0)),""))</f>
        <v/>
      </c>
      <c r="F96" s="28" t="str">
        <f aca="false">IF($A96="","",IFERROR(INDEX('זה אני - קליטה'!$AL$5:$AL$204,MATCH($A96&amp;"|תחילת שנה",'זה אני - קליטה'!$AF$5:$AF$204,0)),""))</f>
        <v/>
      </c>
      <c r="G96" s="27" t="str">
        <f aca="false">IF($A96="","",IFERROR(INDEX('זה אני - קליטה'!$AG$5:$AG$204,MATCH($A96&amp;"|תחילת שנה",'זה אני - קליטה'!$AF$5:$AF$204,0)),""))</f>
        <v/>
      </c>
      <c r="H96" s="28" t="str">
        <f aca="false">IF($A96="","",IFERROR(INDEX('זה אני - קליטה'!$AN$5:$AN$204,MATCH($A96&amp;"|תחילת שנה",'זה אני - קליטה'!$AF$5:$AF$204,0)),""))</f>
        <v/>
      </c>
      <c r="I96" s="28" t="str">
        <f aca="false">IF($A96="","",IFERROR(INDEX('זה אני - קליטה'!$AH$5:$AH$204,MATCH($A96&amp;"|אמצע שנה",'זה אני - קליטה'!$AF$5:$AF$204,0)),""))</f>
        <v/>
      </c>
      <c r="J96" s="28" t="str">
        <f aca="false">IF($A96="","",IFERROR(INDEX('זה אני - קליטה'!$AI$5:$AI$204,MATCH($A96&amp;"|אמצע שנה",'זה אני - קליטה'!$AF$5:$AF$204,0)),""))</f>
        <v/>
      </c>
      <c r="K96" s="28" t="str">
        <f aca="false">IF($A96="","",IFERROR(INDEX('זה אני - קליטה'!$AJ$5:$AJ$204,MATCH($A96&amp;"|אמצע שנה",'זה אני - קליטה'!$AF$5:$AF$204,0)),""))</f>
        <v/>
      </c>
      <c r="L96" s="28" t="str">
        <f aca="false">IF($A96="","",IFERROR(INDEX('זה אני - קליטה'!$AK$5:$AK$204,MATCH($A96&amp;"|אמצע שנה",'זה אני - קליטה'!$AF$5:$AF$204,0)),""))</f>
        <v/>
      </c>
      <c r="M96" s="28" t="str">
        <f aca="false">IF($A96="","",IFERROR(INDEX('זה אני - קליטה'!$AL$5:$AL$204,MATCH($A96&amp;"|אמצע שנה",'זה אני - קליטה'!$AF$5:$AF$204,0)),""))</f>
        <v/>
      </c>
      <c r="N96" s="27" t="str">
        <f aca="false">IF($A96="","",IFERROR(INDEX('זה אני - קליטה'!$AG$5:$AG$204,MATCH($A96&amp;"|אמצע שנה",'זה אני - קליטה'!$AF$5:$AF$204,0)),""))</f>
        <v/>
      </c>
      <c r="O96" s="28" t="str">
        <f aca="false">IF($A96="","",IFERROR(INDEX('זה אני - קליטה'!$AN$5:$AN$204,MATCH($A96&amp;"|אמצע שנה",'זה אני - קליטה'!$AF$5:$AF$204,0)),""))</f>
        <v/>
      </c>
      <c r="P96" s="28" t="str">
        <f aca="false">IF($A96="","",IFERROR(INDEX('זה אני - קליטה'!$AH$5:$AH$204,MATCH($A96&amp;"|סוף שנה",'זה אני - קליטה'!$AF$5:$AF$204,0)),""))</f>
        <v/>
      </c>
      <c r="Q96" s="28" t="str">
        <f aca="false">IF($A96="","",IFERROR(INDEX('זה אני - קליטה'!$AI$5:$AI$204,MATCH($A96&amp;"|סוף שנה",'זה אני - קליטה'!$AF$5:$AF$204,0)),""))</f>
        <v/>
      </c>
      <c r="R96" s="28" t="str">
        <f aca="false">IF($A96="","",IFERROR(INDEX('זה אני - קליטה'!$AJ$5:$AJ$204,MATCH($A96&amp;"|סוף שנה",'זה אני - קליטה'!$AF$5:$AF$204,0)),""))</f>
        <v/>
      </c>
      <c r="S96" s="28" t="str">
        <f aca="false">IF($A96="","",IFERROR(INDEX('זה אני - קליטה'!$AK$5:$AK$204,MATCH($A96&amp;"|סוף שנה",'זה אני - קליטה'!$AF$5:$AF$204,0)),""))</f>
        <v/>
      </c>
      <c r="T96" s="28" t="str">
        <f aca="false">IF($A96="","",IFERROR(INDEX('זה אני - קליטה'!$AL$5:$AL$204,MATCH($A96&amp;"|סוף שנה",'זה אני - קליטה'!$AF$5:$AF$204,0)),""))</f>
        <v/>
      </c>
      <c r="U96" s="27" t="str">
        <f aca="false">IF($A96="","",IFERROR(INDEX('זה אני - קליטה'!$AG$5:$AG$204,MATCH($A96&amp;"|סוף שנה",'זה אני - קליטה'!$AF$5:$AF$204,0)),""))</f>
        <v/>
      </c>
      <c r="V96" s="28" t="str">
        <f aca="false">IF($A96="","",IFERROR(INDEX('זה אני - קליטה'!$AN$5:$AN$204,MATCH($A96&amp;"|סוף שנה",'זה אני - קליטה'!$AF$5:$AF$204,0)),""))</f>
        <v/>
      </c>
      <c r="W96" s="32" t="str">
        <f aca="false">IF(AND(ISNUMBER(F96),ISNUMBER(T96)),T96-F96,"")</f>
        <v/>
      </c>
      <c r="X96" s="27" t="str">
        <f aca="false">IF(W96="","",IF(W96&gt;=0.25,"עלייה",IF(W96&lt;=-0.25,"ירידה","יציב")))</f>
        <v/>
      </c>
    </row>
    <row r="97" customFormat="false" ht="15" hidden="false" customHeight="false" outlineLevel="0" collapsed="false">
      <c r="A97" s="29"/>
      <c r="B97" s="28" t="str">
        <f aca="false">IF($A97="","",IFERROR(INDEX('זה אני - קליטה'!$AH$5:$AH$204,MATCH($A97&amp;"|תחילת שנה",'זה אני - קליטה'!$AF$5:$AF$204,0)),""))</f>
        <v/>
      </c>
      <c r="C97" s="28" t="str">
        <f aca="false">IF($A97="","",IFERROR(INDEX('זה אני - קליטה'!$AI$5:$AI$204,MATCH($A97&amp;"|תחילת שנה",'זה אני - קליטה'!$AF$5:$AF$204,0)),""))</f>
        <v/>
      </c>
      <c r="D97" s="28" t="str">
        <f aca="false">IF($A97="","",IFERROR(INDEX('זה אני - קליטה'!$AJ$5:$AJ$204,MATCH($A97&amp;"|תחילת שנה",'זה אני - קליטה'!$AF$5:$AF$204,0)),""))</f>
        <v/>
      </c>
      <c r="E97" s="28" t="str">
        <f aca="false">IF($A97="","",IFERROR(INDEX('זה אני - קליטה'!$AK$5:$AK$204,MATCH($A97&amp;"|תחילת שנה",'זה אני - קליטה'!$AF$5:$AF$204,0)),""))</f>
        <v/>
      </c>
      <c r="F97" s="28" t="str">
        <f aca="false">IF($A97="","",IFERROR(INDEX('זה אני - קליטה'!$AL$5:$AL$204,MATCH($A97&amp;"|תחילת שנה",'זה אני - קליטה'!$AF$5:$AF$204,0)),""))</f>
        <v/>
      </c>
      <c r="G97" s="27" t="str">
        <f aca="false">IF($A97="","",IFERROR(INDEX('זה אני - קליטה'!$AG$5:$AG$204,MATCH($A97&amp;"|תחילת שנה",'זה אני - קליטה'!$AF$5:$AF$204,0)),""))</f>
        <v/>
      </c>
      <c r="H97" s="28" t="str">
        <f aca="false">IF($A97="","",IFERROR(INDEX('זה אני - קליטה'!$AN$5:$AN$204,MATCH($A97&amp;"|תחילת שנה",'זה אני - קליטה'!$AF$5:$AF$204,0)),""))</f>
        <v/>
      </c>
      <c r="I97" s="28" t="str">
        <f aca="false">IF($A97="","",IFERROR(INDEX('זה אני - קליטה'!$AH$5:$AH$204,MATCH($A97&amp;"|אמצע שנה",'זה אני - קליטה'!$AF$5:$AF$204,0)),""))</f>
        <v/>
      </c>
      <c r="J97" s="28" t="str">
        <f aca="false">IF($A97="","",IFERROR(INDEX('זה אני - קליטה'!$AI$5:$AI$204,MATCH($A97&amp;"|אמצע שנה",'זה אני - קליטה'!$AF$5:$AF$204,0)),""))</f>
        <v/>
      </c>
      <c r="K97" s="28" t="str">
        <f aca="false">IF($A97="","",IFERROR(INDEX('זה אני - קליטה'!$AJ$5:$AJ$204,MATCH($A97&amp;"|אמצע שנה",'זה אני - קליטה'!$AF$5:$AF$204,0)),""))</f>
        <v/>
      </c>
      <c r="L97" s="28" t="str">
        <f aca="false">IF($A97="","",IFERROR(INDEX('זה אני - קליטה'!$AK$5:$AK$204,MATCH($A97&amp;"|אמצע שנה",'זה אני - קליטה'!$AF$5:$AF$204,0)),""))</f>
        <v/>
      </c>
      <c r="M97" s="28" t="str">
        <f aca="false">IF($A97="","",IFERROR(INDEX('זה אני - קליטה'!$AL$5:$AL$204,MATCH($A97&amp;"|אמצע שנה",'זה אני - קליטה'!$AF$5:$AF$204,0)),""))</f>
        <v/>
      </c>
      <c r="N97" s="27" t="str">
        <f aca="false">IF($A97="","",IFERROR(INDEX('זה אני - קליטה'!$AG$5:$AG$204,MATCH($A97&amp;"|אמצע שנה",'זה אני - קליטה'!$AF$5:$AF$204,0)),""))</f>
        <v/>
      </c>
      <c r="O97" s="28" t="str">
        <f aca="false">IF($A97="","",IFERROR(INDEX('זה אני - קליטה'!$AN$5:$AN$204,MATCH($A97&amp;"|אמצע שנה",'זה אני - קליטה'!$AF$5:$AF$204,0)),""))</f>
        <v/>
      </c>
      <c r="P97" s="28" t="str">
        <f aca="false">IF($A97="","",IFERROR(INDEX('זה אני - קליטה'!$AH$5:$AH$204,MATCH($A97&amp;"|סוף שנה",'זה אני - קליטה'!$AF$5:$AF$204,0)),""))</f>
        <v/>
      </c>
      <c r="Q97" s="28" t="str">
        <f aca="false">IF($A97="","",IFERROR(INDEX('זה אני - קליטה'!$AI$5:$AI$204,MATCH($A97&amp;"|סוף שנה",'זה אני - קליטה'!$AF$5:$AF$204,0)),""))</f>
        <v/>
      </c>
      <c r="R97" s="28" t="str">
        <f aca="false">IF($A97="","",IFERROR(INDEX('זה אני - קליטה'!$AJ$5:$AJ$204,MATCH($A97&amp;"|סוף שנה",'זה אני - קליטה'!$AF$5:$AF$204,0)),""))</f>
        <v/>
      </c>
      <c r="S97" s="28" t="str">
        <f aca="false">IF($A97="","",IFERROR(INDEX('זה אני - קליטה'!$AK$5:$AK$204,MATCH($A97&amp;"|סוף שנה",'זה אני - קליטה'!$AF$5:$AF$204,0)),""))</f>
        <v/>
      </c>
      <c r="T97" s="28" t="str">
        <f aca="false">IF($A97="","",IFERROR(INDEX('זה אני - קליטה'!$AL$5:$AL$204,MATCH($A97&amp;"|סוף שנה",'זה אני - קליטה'!$AF$5:$AF$204,0)),""))</f>
        <v/>
      </c>
      <c r="U97" s="27" t="str">
        <f aca="false">IF($A97="","",IFERROR(INDEX('זה אני - קליטה'!$AG$5:$AG$204,MATCH($A97&amp;"|סוף שנה",'זה אני - קליטה'!$AF$5:$AF$204,0)),""))</f>
        <v/>
      </c>
      <c r="V97" s="28" t="str">
        <f aca="false">IF($A97="","",IFERROR(INDEX('זה אני - קליטה'!$AN$5:$AN$204,MATCH($A97&amp;"|סוף שנה",'זה אני - קליטה'!$AF$5:$AF$204,0)),""))</f>
        <v/>
      </c>
      <c r="W97" s="32" t="str">
        <f aca="false">IF(AND(ISNUMBER(F97),ISNUMBER(T97)),T97-F97,"")</f>
        <v/>
      </c>
      <c r="X97" s="27" t="str">
        <f aca="false">IF(W97="","",IF(W97&gt;=0.25,"עלייה",IF(W97&lt;=-0.25,"ירידה","יציב")))</f>
        <v/>
      </c>
    </row>
    <row r="98" customFormat="false" ht="15" hidden="false" customHeight="false" outlineLevel="0" collapsed="false">
      <c r="A98" s="29"/>
      <c r="B98" s="28" t="str">
        <f aca="false">IF($A98="","",IFERROR(INDEX('זה אני - קליטה'!$AH$5:$AH$204,MATCH($A98&amp;"|תחילת שנה",'זה אני - קליטה'!$AF$5:$AF$204,0)),""))</f>
        <v/>
      </c>
      <c r="C98" s="28" t="str">
        <f aca="false">IF($A98="","",IFERROR(INDEX('זה אני - קליטה'!$AI$5:$AI$204,MATCH($A98&amp;"|תחילת שנה",'זה אני - קליטה'!$AF$5:$AF$204,0)),""))</f>
        <v/>
      </c>
      <c r="D98" s="28" t="str">
        <f aca="false">IF($A98="","",IFERROR(INDEX('זה אני - קליטה'!$AJ$5:$AJ$204,MATCH($A98&amp;"|תחילת שנה",'זה אני - קליטה'!$AF$5:$AF$204,0)),""))</f>
        <v/>
      </c>
      <c r="E98" s="28" t="str">
        <f aca="false">IF($A98="","",IFERROR(INDEX('זה אני - קליטה'!$AK$5:$AK$204,MATCH($A98&amp;"|תחילת שנה",'זה אני - קליטה'!$AF$5:$AF$204,0)),""))</f>
        <v/>
      </c>
      <c r="F98" s="28" t="str">
        <f aca="false">IF($A98="","",IFERROR(INDEX('זה אני - קליטה'!$AL$5:$AL$204,MATCH($A98&amp;"|תחילת שנה",'זה אני - קליטה'!$AF$5:$AF$204,0)),""))</f>
        <v/>
      </c>
      <c r="G98" s="27" t="str">
        <f aca="false">IF($A98="","",IFERROR(INDEX('זה אני - קליטה'!$AG$5:$AG$204,MATCH($A98&amp;"|תחילת שנה",'זה אני - קליטה'!$AF$5:$AF$204,0)),""))</f>
        <v/>
      </c>
      <c r="H98" s="28" t="str">
        <f aca="false">IF($A98="","",IFERROR(INDEX('זה אני - קליטה'!$AN$5:$AN$204,MATCH($A98&amp;"|תחילת שנה",'זה אני - קליטה'!$AF$5:$AF$204,0)),""))</f>
        <v/>
      </c>
      <c r="I98" s="28" t="str">
        <f aca="false">IF($A98="","",IFERROR(INDEX('זה אני - קליטה'!$AH$5:$AH$204,MATCH($A98&amp;"|אמצע שנה",'זה אני - קליטה'!$AF$5:$AF$204,0)),""))</f>
        <v/>
      </c>
      <c r="J98" s="28" t="str">
        <f aca="false">IF($A98="","",IFERROR(INDEX('זה אני - קליטה'!$AI$5:$AI$204,MATCH($A98&amp;"|אמצע שנה",'זה אני - קליטה'!$AF$5:$AF$204,0)),""))</f>
        <v/>
      </c>
      <c r="K98" s="28" t="str">
        <f aca="false">IF($A98="","",IFERROR(INDEX('זה אני - קליטה'!$AJ$5:$AJ$204,MATCH($A98&amp;"|אמצע שנה",'זה אני - קליטה'!$AF$5:$AF$204,0)),""))</f>
        <v/>
      </c>
      <c r="L98" s="28" t="str">
        <f aca="false">IF($A98="","",IFERROR(INDEX('זה אני - קליטה'!$AK$5:$AK$204,MATCH($A98&amp;"|אמצע שנה",'זה אני - קליטה'!$AF$5:$AF$204,0)),""))</f>
        <v/>
      </c>
      <c r="M98" s="28" t="str">
        <f aca="false">IF($A98="","",IFERROR(INDEX('זה אני - קליטה'!$AL$5:$AL$204,MATCH($A98&amp;"|אמצע שנה",'זה אני - קליטה'!$AF$5:$AF$204,0)),""))</f>
        <v/>
      </c>
      <c r="N98" s="27" t="str">
        <f aca="false">IF($A98="","",IFERROR(INDEX('זה אני - קליטה'!$AG$5:$AG$204,MATCH($A98&amp;"|אמצע שנה",'זה אני - קליטה'!$AF$5:$AF$204,0)),""))</f>
        <v/>
      </c>
      <c r="O98" s="28" t="str">
        <f aca="false">IF($A98="","",IFERROR(INDEX('זה אני - קליטה'!$AN$5:$AN$204,MATCH($A98&amp;"|אמצע שנה",'זה אני - קליטה'!$AF$5:$AF$204,0)),""))</f>
        <v/>
      </c>
      <c r="P98" s="28" t="str">
        <f aca="false">IF($A98="","",IFERROR(INDEX('זה אני - קליטה'!$AH$5:$AH$204,MATCH($A98&amp;"|סוף שנה",'זה אני - קליטה'!$AF$5:$AF$204,0)),""))</f>
        <v/>
      </c>
      <c r="Q98" s="28" t="str">
        <f aca="false">IF($A98="","",IFERROR(INDEX('זה אני - קליטה'!$AI$5:$AI$204,MATCH($A98&amp;"|סוף שנה",'זה אני - קליטה'!$AF$5:$AF$204,0)),""))</f>
        <v/>
      </c>
      <c r="R98" s="28" t="str">
        <f aca="false">IF($A98="","",IFERROR(INDEX('זה אני - קליטה'!$AJ$5:$AJ$204,MATCH($A98&amp;"|סוף שנה",'זה אני - קליטה'!$AF$5:$AF$204,0)),""))</f>
        <v/>
      </c>
      <c r="S98" s="28" t="str">
        <f aca="false">IF($A98="","",IFERROR(INDEX('זה אני - קליטה'!$AK$5:$AK$204,MATCH($A98&amp;"|סוף שנה",'זה אני - קליטה'!$AF$5:$AF$204,0)),""))</f>
        <v/>
      </c>
      <c r="T98" s="28" t="str">
        <f aca="false">IF($A98="","",IFERROR(INDEX('זה אני - קליטה'!$AL$5:$AL$204,MATCH($A98&amp;"|סוף שנה",'זה אני - קליטה'!$AF$5:$AF$204,0)),""))</f>
        <v/>
      </c>
      <c r="U98" s="27" t="str">
        <f aca="false">IF($A98="","",IFERROR(INDEX('זה אני - קליטה'!$AG$5:$AG$204,MATCH($A98&amp;"|סוף שנה",'זה אני - קליטה'!$AF$5:$AF$204,0)),""))</f>
        <v/>
      </c>
      <c r="V98" s="28" t="str">
        <f aca="false">IF($A98="","",IFERROR(INDEX('זה אני - קליטה'!$AN$5:$AN$204,MATCH($A98&amp;"|סוף שנה",'זה אני - קליטה'!$AF$5:$AF$204,0)),""))</f>
        <v/>
      </c>
      <c r="W98" s="32" t="str">
        <f aca="false">IF(AND(ISNUMBER(F98),ISNUMBER(T98)),T98-F98,"")</f>
        <v/>
      </c>
      <c r="X98" s="27" t="str">
        <f aca="false">IF(W98="","",IF(W98&gt;=0.25,"עלייה",IF(W98&lt;=-0.25,"ירידה","יציב")))</f>
        <v/>
      </c>
    </row>
    <row r="99" customFormat="false" ht="15" hidden="false" customHeight="false" outlineLevel="0" collapsed="false">
      <c r="A99" s="29"/>
      <c r="B99" s="28" t="str">
        <f aca="false">IF($A99="","",IFERROR(INDEX('זה אני - קליטה'!$AH$5:$AH$204,MATCH($A99&amp;"|תחילת שנה",'זה אני - קליטה'!$AF$5:$AF$204,0)),""))</f>
        <v/>
      </c>
      <c r="C99" s="28" t="str">
        <f aca="false">IF($A99="","",IFERROR(INDEX('זה אני - קליטה'!$AI$5:$AI$204,MATCH($A99&amp;"|תחילת שנה",'זה אני - קליטה'!$AF$5:$AF$204,0)),""))</f>
        <v/>
      </c>
      <c r="D99" s="28" t="str">
        <f aca="false">IF($A99="","",IFERROR(INDEX('זה אני - קליטה'!$AJ$5:$AJ$204,MATCH($A99&amp;"|תחילת שנה",'זה אני - קליטה'!$AF$5:$AF$204,0)),""))</f>
        <v/>
      </c>
      <c r="E99" s="28" t="str">
        <f aca="false">IF($A99="","",IFERROR(INDEX('זה אני - קליטה'!$AK$5:$AK$204,MATCH($A99&amp;"|תחילת שנה",'זה אני - קליטה'!$AF$5:$AF$204,0)),""))</f>
        <v/>
      </c>
      <c r="F99" s="28" t="str">
        <f aca="false">IF($A99="","",IFERROR(INDEX('זה אני - קליטה'!$AL$5:$AL$204,MATCH($A99&amp;"|תחילת שנה",'זה אני - קליטה'!$AF$5:$AF$204,0)),""))</f>
        <v/>
      </c>
      <c r="G99" s="27" t="str">
        <f aca="false">IF($A99="","",IFERROR(INDEX('זה אני - קליטה'!$AG$5:$AG$204,MATCH($A99&amp;"|תחילת שנה",'זה אני - קליטה'!$AF$5:$AF$204,0)),""))</f>
        <v/>
      </c>
      <c r="H99" s="28" t="str">
        <f aca="false">IF($A99="","",IFERROR(INDEX('זה אני - קליטה'!$AN$5:$AN$204,MATCH($A99&amp;"|תחילת שנה",'זה אני - קליטה'!$AF$5:$AF$204,0)),""))</f>
        <v/>
      </c>
      <c r="I99" s="28" t="str">
        <f aca="false">IF($A99="","",IFERROR(INDEX('זה אני - קליטה'!$AH$5:$AH$204,MATCH($A99&amp;"|אמצע שנה",'זה אני - קליטה'!$AF$5:$AF$204,0)),""))</f>
        <v/>
      </c>
      <c r="J99" s="28" t="str">
        <f aca="false">IF($A99="","",IFERROR(INDEX('זה אני - קליטה'!$AI$5:$AI$204,MATCH($A99&amp;"|אמצע שנה",'זה אני - קליטה'!$AF$5:$AF$204,0)),""))</f>
        <v/>
      </c>
      <c r="K99" s="28" t="str">
        <f aca="false">IF($A99="","",IFERROR(INDEX('זה אני - קליטה'!$AJ$5:$AJ$204,MATCH($A99&amp;"|אמצע שנה",'זה אני - קליטה'!$AF$5:$AF$204,0)),""))</f>
        <v/>
      </c>
      <c r="L99" s="28" t="str">
        <f aca="false">IF($A99="","",IFERROR(INDEX('זה אני - קליטה'!$AK$5:$AK$204,MATCH($A99&amp;"|אמצע שנה",'זה אני - קליטה'!$AF$5:$AF$204,0)),""))</f>
        <v/>
      </c>
      <c r="M99" s="28" t="str">
        <f aca="false">IF($A99="","",IFERROR(INDEX('זה אני - קליטה'!$AL$5:$AL$204,MATCH($A99&amp;"|אמצע שנה",'זה אני - קליטה'!$AF$5:$AF$204,0)),""))</f>
        <v/>
      </c>
      <c r="N99" s="27" t="str">
        <f aca="false">IF($A99="","",IFERROR(INDEX('זה אני - קליטה'!$AG$5:$AG$204,MATCH($A99&amp;"|אמצע שנה",'זה אני - קליטה'!$AF$5:$AF$204,0)),""))</f>
        <v/>
      </c>
      <c r="O99" s="28" t="str">
        <f aca="false">IF($A99="","",IFERROR(INDEX('זה אני - קליטה'!$AN$5:$AN$204,MATCH($A99&amp;"|אמצע שנה",'זה אני - קליטה'!$AF$5:$AF$204,0)),""))</f>
        <v/>
      </c>
      <c r="P99" s="28" t="str">
        <f aca="false">IF($A99="","",IFERROR(INDEX('זה אני - קליטה'!$AH$5:$AH$204,MATCH($A99&amp;"|סוף שנה",'זה אני - קליטה'!$AF$5:$AF$204,0)),""))</f>
        <v/>
      </c>
      <c r="Q99" s="28" t="str">
        <f aca="false">IF($A99="","",IFERROR(INDEX('זה אני - קליטה'!$AI$5:$AI$204,MATCH($A99&amp;"|סוף שנה",'זה אני - קליטה'!$AF$5:$AF$204,0)),""))</f>
        <v/>
      </c>
      <c r="R99" s="28" t="str">
        <f aca="false">IF($A99="","",IFERROR(INDEX('זה אני - קליטה'!$AJ$5:$AJ$204,MATCH($A99&amp;"|סוף שנה",'זה אני - קליטה'!$AF$5:$AF$204,0)),""))</f>
        <v/>
      </c>
      <c r="S99" s="28" t="str">
        <f aca="false">IF($A99="","",IFERROR(INDEX('זה אני - קליטה'!$AK$5:$AK$204,MATCH($A99&amp;"|סוף שנה",'זה אני - קליטה'!$AF$5:$AF$204,0)),""))</f>
        <v/>
      </c>
      <c r="T99" s="28" t="str">
        <f aca="false">IF($A99="","",IFERROR(INDEX('זה אני - קליטה'!$AL$5:$AL$204,MATCH($A99&amp;"|סוף שנה",'זה אני - קליטה'!$AF$5:$AF$204,0)),""))</f>
        <v/>
      </c>
      <c r="U99" s="27" t="str">
        <f aca="false">IF($A99="","",IFERROR(INDEX('זה אני - קליטה'!$AG$5:$AG$204,MATCH($A99&amp;"|סוף שנה",'זה אני - קליטה'!$AF$5:$AF$204,0)),""))</f>
        <v/>
      </c>
      <c r="V99" s="28" t="str">
        <f aca="false">IF($A99="","",IFERROR(INDEX('זה אני - קליטה'!$AN$5:$AN$204,MATCH($A99&amp;"|סוף שנה",'זה אני - קליטה'!$AF$5:$AF$204,0)),""))</f>
        <v/>
      </c>
      <c r="W99" s="32" t="str">
        <f aca="false">IF(AND(ISNUMBER(F99),ISNUMBER(T99)),T99-F99,"")</f>
        <v/>
      </c>
      <c r="X99" s="27" t="str">
        <f aca="false">IF(W99="","",IF(W99&gt;=0.25,"עלייה",IF(W99&lt;=-0.25,"ירידה","יציב")))</f>
        <v/>
      </c>
    </row>
    <row r="100" customFormat="false" ht="15" hidden="false" customHeight="false" outlineLevel="0" collapsed="false">
      <c r="A100" s="29"/>
      <c r="B100" s="28" t="str">
        <f aca="false">IF($A100="","",IFERROR(INDEX('זה אני - קליטה'!$AH$5:$AH$204,MATCH($A100&amp;"|תחילת שנה",'זה אני - קליטה'!$AF$5:$AF$204,0)),""))</f>
        <v/>
      </c>
      <c r="C100" s="28" t="str">
        <f aca="false">IF($A100="","",IFERROR(INDEX('זה אני - קליטה'!$AI$5:$AI$204,MATCH($A100&amp;"|תחילת שנה",'זה אני - קליטה'!$AF$5:$AF$204,0)),""))</f>
        <v/>
      </c>
      <c r="D100" s="28" t="str">
        <f aca="false">IF($A100="","",IFERROR(INDEX('זה אני - קליטה'!$AJ$5:$AJ$204,MATCH($A100&amp;"|תחילת שנה",'זה אני - קליטה'!$AF$5:$AF$204,0)),""))</f>
        <v/>
      </c>
      <c r="E100" s="28" t="str">
        <f aca="false">IF($A100="","",IFERROR(INDEX('זה אני - קליטה'!$AK$5:$AK$204,MATCH($A100&amp;"|תחילת שנה",'זה אני - קליטה'!$AF$5:$AF$204,0)),""))</f>
        <v/>
      </c>
      <c r="F100" s="28" t="str">
        <f aca="false">IF($A100="","",IFERROR(INDEX('זה אני - קליטה'!$AL$5:$AL$204,MATCH($A100&amp;"|תחילת שנה",'זה אני - קליטה'!$AF$5:$AF$204,0)),""))</f>
        <v/>
      </c>
      <c r="G100" s="27" t="str">
        <f aca="false">IF($A100="","",IFERROR(INDEX('זה אני - קליטה'!$AG$5:$AG$204,MATCH($A100&amp;"|תחילת שנה",'זה אני - קליטה'!$AF$5:$AF$204,0)),""))</f>
        <v/>
      </c>
      <c r="H100" s="28" t="str">
        <f aca="false">IF($A100="","",IFERROR(INDEX('זה אני - קליטה'!$AN$5:$AN$204,MATCH($A100&amp;"|תחילת שנה",'זה אני - קליטה'!$AF$5:$AF$204,0)),""))</f>
        <v/>
      </c>
      <c r="I100" s="28" t="str">
        <f aca="false">IF($A100="","",IFERROR(INDEX('זה אני - קליטה'!$AH$5:$AH$204,MATCH($A100&amp;"|אמצע שנה",'זה אני - קליטה'!$AF$5:$AF$204,0)),""))</f>
        <v/>
      </c>
      <c r="J100" s="28" t="str">
        <f aca="false">IF($A100="","",IFERROR(INDEX('זה אני - קליטה'!$AI$5:$AI$204,MATCH($A100&amp;"|אמצע שנה",'זה אני - קליטה'!$AF$5:$AF$204,0)),""))</f>
        <v/>
      </c>
      <c r="K100" s="28" t="str">
        <f aca="false">IF($A100="","",IFERROR(INDEX('זה אני - קליטה'!$AJ$5:$AJ$204,MATCH($A100&amp;"|אמצע שנה",'זה אני - קליטה'!$AF$5:$AF$204,0)),""))</f>
        <v/>
      </c>
      <c r="L100" s="28" t="str">
        <f aca="false">IF($A100="","",IFERROR(INDEX('זה אני - קליטה'!$AK$5:$AK$204,MATCH($A100&amp;"|אמצע שנה",'זה אני - קליטה'!$AF$5:$AF$204,0)),""))</f>
        <v/>
      </c>
      <c r="M100" s="28" t="str">
        <f aca="false">IF($A100="","",IFERROR(INDEX('זה אני - קליטה'!$AL$5:$AL$204,MATCH($A100&amp;"|אמצע שנה",'זה אני - קליטה'!$AF$5:$AF$204,0)),""))</f>
        <v/>
      </c>
      <c r="N100" s="27" t="str">
        <f aca="false">IF($A100="","",IFERROR(INDEX('זה אני - קליטה'!$AG$5:$AG$204,MATCH($A100&amp;"|אמצע שנה",'זה אני - קליטה'!$AF$5:$AF$204,0)),""))</f>
        <v/>
      </c>
      <c r="O100" s="28" t="str">
        <f aca="false">IF($A100="","",IFERROR(INDEX('זה אני - קליטה'!$AN$5:$AN$204,MATCH($A100&amp;"|אמצע שנה",'זה אני - קליטה'!$AF$5:$AF$204,0)),""))</f>
        <v/>
      </c>
      <c r="P100" s="28" t="str">
        <f aca="false">IF($A100="","",IFERROR(INDEX('זה אני - קליטה'!$AH$5:$AH$204,MATCH($A100&amp;"|סוף שנה",'זה אני - קליטה'!$AF$5:$AF$204,0)),""))</f>
        <v/>
      </c>
      <c r="Q100" s="28" t="str">
        <f aca="false">IF($A100="","",IFERROR(INDEX('זה אני - קליטה'!$AI$5:$AI$204,MATCH($A100&amp;"|סוף שנה",'זה אני - קליטה'!$AF$5:$AF$204,0)),""))</f>
        <v/>
      </c>
      <c r="R100" s="28" t="str">
        <f aca="false">IF($A100="","",IFERROR(INDEX('זה אני - קליטה'!$AJ$5:$AJ$204,MATCH($A100&amp;"|סוף שנה",'זה אני - קליטה'!$AF$5:$AF$204,0)),""))</f>
        <v/>
      </c>
      <c r="S100" s="28" t="str">
        <f aca="false">IF($A100="","",IFERROR(INDEX('זה אני - קליטה'!$AK$5:$AK$204,MATCH($A100&amp;"|סוף שנה",'זה אני - קליטה'!$AF$5:$AF$204,0)),""))</f>
        <v/>
      </c>
      <c r="T100" s="28" t="str">
        <f aca="false">IF($A100="","",IFERROR(INDEX('זה אני - קליטה'!$AL$5:$AL$204,MATCH($A100&amp;"|סוף שנה",'זה אני - קליטה'!$AF$5:$AF$204,0)),""))</f>
        <v/>
      </c>
      <c r="U100" s="27" t="str">
        <f aca="false">IF($A100="","",IFERROR(INDEX('זה אני - קליטה'!$AG$5:$AG$204,MATCH($A100&amp;"|סוף שנה",'זה אני - קליטה'!$AF$5:$AF$204,0)),""))</f>
        <v/>
      </c>
      <c r="V100" s="28" t="str">
        <f aca="false">IF($A100="","",IFERROR(INDEX('זה אני - קליטה'!$AN$5:$AN$204,MATCH($A100&amp;"|סוף שנה",'זה אני - קליטה'!$AF$5:$AF$204,0)),""))</f>
        <v/>
      </c>
      <c r="W100" s="32" t="str">
        <f aca="false">IF(AND(ISNUMBER(F100),ISNUMBER(T100)),T100-F100,"")</f>
        <v/>
      </c>
      <c r="X100" s="27" t="str">
        <f aca="false">IF(W100="","",IF(W100&gt;=0.25,"עלייה",IF(W100&lt;=-0.25,"ירידה","יציב")))</f>
        <v/>
      </c>
    </row>
    <row r="101" customFormat="false" ht="15" hidden="false" customHeight="false" outlineLevel="0" collapsed="false">
      <c r="A101" s="29"/>
      <c r="B101" s="28" t="str">
        <f aca="false">IF($A101="","",IFERROR(INDEX('זה אני - קליטה'!$AH$5:$AH$204,MATCH($A101&amp;"|תחילת שנה",'זה אני - קליטה'!$AF$5:$AF$204,0)),""))</f>
        <v/>
      </c>
      <c r="C101" s="28" t="str">
        <f aca="false">IF($A101="","",IFERROR(INDEX('זה אני - קליטה'!$AI$5:$AI$204,MATCH($A101&amp;"|תחילת שנה",'זה אני - קליטה'!$AF$5:$AF$204,0)),""))</f>
        <v/>
      </c>
      <c r="D101" s="28" t="str">
        <f aca="false">IF($A101="","",IFERROR(INDEX('זה אני - קליטה'!$AJ$5:$AJ$204,MATCH($A101&amp;"|תחילת שנה",'זה אני - קליטה'!$AF$5:$AF$204,0)),""))</f>
        <v/>
      </c>
      <c r="E101" s="28" t="str">
        <f aca="false">IF($A101="","",IFERROR(INDEX('זה אני - קליטה'!$AK$5:$AK$204,MATCH($A101&amp;"|תחילת שנה",'זה אני - קליטה'!$AF$5:$AF$204,0)),""))</f>
        <v/>
      </c>
      <c r="F101" s="28" t="str">
        <f aca="false">IF($A101="","",IFERROR(INDEX('זה אני - קליטה'!$AL$5:$AL$204,MATCH($A101&amp;"|תחילת שנה",'זה אני - קליטה'!$AF$5:$AF$204,0)),""))</f>
        <v/>
      </c>
      <c r="G101" s="27" t="str">
        <f aca="false">IF($A101="","",IFERROR(INDEX('זה אני - קליטה'!$AG$5:$AG$204,MATCH($A101&amp;"|תחילת שנה",'זה אני - קליטה'!$AF$5:$AF$204,0)),""))</f>
        <v/>
      </c>
      <c r="H101" s="28" t="str">
        <f aca="false">IF($A101="","",IFERROR(INDEX('זה אני - קליטה'!$AN$5:$AN$204,MATCH($A101&amp;"|תחילת שנה",'זה אני - קליטה'!$AF$5:$AF$204,0)),""))</f>
        <v/>
      </c>
      <c r="I101" s="28" t="str">
        <f aca="false">IF($A101="","",IFERROR(INDEX('זה אני - קליטה'!$AH$5:$AH$204,MATCH($A101&amp;"|אמצע שנה",'זה אני - קליטה'!$AF$5:$AF$204,0)),""))</f>
        <v/>
      </c>
      <c r="J101" s="28" t="str">
        <f aca="false">IF($A101="","",IFERROR(INDEX('זה אני - קליטה'!$AI$5:$AI$204,MATCH($A101&amp;"|אמצע שנה",'זה אני - קליטה'!$AF$5:$AF$204,0)),""))</f>
        <v/>
      </c>
      <c r="K101" s="28" t="str">
        <f aca="false">IF($A101="","",IFERROR(INDEX('זה אני - קליטה'!$AJ$5:$AJ$204,MATCH($A101&amp;"|אמצע שנה",'זה אני - קליטה'!$AF$5:$AF$204,0)),""))</f>
        <v/>
      </c>
      <c r="L101" s="28" t="str">
        <f aca="false">IF($A101="","",IFERROR(INDEX('זה אני - קליטה'!$AK$5:$AK$204,MATCH($A101&amp;"|אמצע שנה",'זה אני - קליטה'!$AF$5:$AF$204,0)),""))</f>
        <v/>
      </c>
      <c r="M101" s="28" t="str">
        <f aca="false">IF($A101="","",IFERROR(INDEX('זה אני - קליטה'!$AL$5:$AL$204,MATCH($A101&amp;"|אמצע שנה",'זה אני - קליטה'!$AF$5:$AF$204,0)),""))</f>
        <v/>
      </c>
      <c r="N101" s="27" t="str">
        <f aca="false">IF($A101="","",IFERROR(INDEX('זה אני - קליטה'!$AG$5:$AG$204,MATCH($A101&amp;"|אמצע שנה",'זה אני - קליטה'!$AF$5:$AF$204,0)),""))</f>
        <v/>
      </c>
      <c r="O101" s="28" t="str">
        <f aca="false">IF($A101="","",IFERROR(INDEX('זה אני - קליטה'!$AN$5:$AN$204,MATCH($A101&amp;"|אמצע שנה",'זה אני - קליטה'!$AF$5:$AF$204,0)),""))</f>
        <v/>
      </c>
      <c r="P101" s="28" t="str">
        <f aca="false">IF($A101="","",IFERROR(INDEX('זה אני - קליטה'!$AH$5:$AH$204,MATCH($A101&amp;"|סוף שנה",'זה אני - קליטה'!$AF$5:$AF$204,0)),""))</f>
        <v/>
      </c>
      <c r="Q101" s="28" t="str">
        <f aca="false">IF($A101="","",IFERROR(INDEX('זה אני - קליטה'!$AI$5:$AI$204,MATCH($A101&amp;"|סוף שנה",'זה אני - קליטה'!$AF$5:$AF$204,0)),""))</f>
        <v/>
      </c>
      <c r="R101" s="28" t="str">
        <f aca="false">IF($A101="","",IFERROR(INDEX('זה אני - קליטה'!$AJ$5:$AJ$204,MATCH($A101&amp;"|סוף שנה",'זה אני - קליטה'!$AF$5:$AF$204,0)),""))</f>
        <v/>
      </c>
      <c r="S101" s="28" t="str">
        <f aca="false">IF($A101="","",IFERROR(INDEX('זה אני - קליטה'!$AK$5:$AK$204,MATCH($A101&amp;"|סוף שנה",'זה אני - קליטה'!$AF$5:$AF$204,0)),""))</f>
        <v/>
      </c>
      <c r="T101" s="28" t="str">
        <f aca="false">IF($A101="","",IFERROR(INDEX('זה אני - קליטה'!$AL$5:$AL$204,MATCH($A101&amp;"|סוף שנה",'זה אני - קליטה'!$AF$5:$AF$204,0)),""))</f>
        <v/>
      </c>
      <c r="U101" s="27" t="str">
        <f aca="false">IF($A101="","",IFERROR(INDEX('זה אני - קליטה'!$AG$5:$AG$204,MATCH($A101&amp;"|סוף שנה",'זה אני - קליטה'!$AF$5:$AF$204,0)),""))</f>
        <v/>
      </c>
      <c r="V101" s="28" t="str">
        <f aca="false">IF($A101="","",IFERROR(INDEX('זה אני - קליטה'!$AN$5:$AN$204,MATCH($A101&amp;"|סוף שנה",'זה אני - קליטה'!$AF$5:$AF$204,0)),""))</f>
        <v/>
      </c>
      <c r="W101" s="32" t="str">
        <f aca="false">IF(AND(ISNUMBER(F101),ISNUMBER(T101)),T101-F101,"")</f>
        <v/>
      </c>
      <c r="X101" s="27" t="str">
        <f aca="false">IF(W101="","",IF(W101&gt;=0.25,"עלייה",IF(W101&lt;=-0.25,"ירידה","יציב")))</f>
        <v/>
      </c>
    </row>
    <row r="102" customFormat="false" ht="15" hidden="false" customHeight="false" outlineLevel="0" collapsed="false">
      <c r="A102" s="29"/>
      <c r="B102" s="28" t="str">
        <f aca="false">IF($A102="","",IFERROR(INDEX('זה אני - קליטה'!$AH$5:$AH$204,MATCH($A102&amp;"|תחילת שנה",'זה אני - קליטה'!$AF$5:$AF$204,0)),""))</f>
        <v/>
      </c>
      <c r="C102" s="28" t="str">
        <f aca="false">IF($A102="","",IFERROR(INDEX('זה אני - קליטה'!$AI$5:$AI$204,MATCH($A102&amp;"|תחילת שנה",'זה אני - קליטה'!$AF$5:$AF$204,0)),""))</f>
        <v/>
      </c>
      <c r="D102" s="28" t="str">
        <f aca="false">IF($A102="","",IFERROR(INDEX('זה אני - קליטה'!$AJ$5:$AJ$204,MATCH($A102&amp;"|תחילת שנה",'זה אני - קליטה'!$AF$5:$AF$204,0)),""))</f>
        <v/>
      </c>
      <c r="E102" s="28" t="str">
        <f aca="false">IF($A102="","",IFERROR(INDEX('זה אני - קליטה'!$AK$5:$AK$204,MATCH($A102&amp;"|תחילת שנה",'זה אני - קליטה'!$AF$5:$AF$204,0)),""))</f>
        <v/>
      </c>
      <c r="F102" s="28" t="str">
        <f aca="false">IF($A102="","",IFERROR(INDEX('זה אני - קליטה'!$AL$5:$AL$204,MATCH($A102&amp;"|תחילת שנה",'זה אני - קליטה'!$AF$5:$AF$204,0)),""))</f>
        <v/>
      </c>
      <c r="G102" s="27" t="str">
        <f aca="false">IF($A102="","",IFERROR(INDEX('זה אני - קליטה'!$AG$5:$AG$204,MATCH($A102&amp;"|תחילת שנה",'זה אני - קליטה'!$AF$5:$AF$204,0)),""))</f>
        <v/>
      </c>
      <c r="H102" s="28" t="str">
        <f aca="false">IF($A102="","",IFERROR(INDEX('זה אני - קליטה'!$AN$5:$AN$204,MATCH($A102&amp;"|תחילת שנה",'זה אני - קליטה'!$AF$5:$AF$204,0)),""))</f>
        <v/>
      </c>
      <c r="I102" s="28" t="str">
        <f aca="false">IF($A102="","",IFERROR(INDEX('זה אני - קליטה'!$AH$5:$AH$204,MATCH($A102&amp;"|אמצע שנה",'זה אני - קליטה'!$AF$5:$AF$204,0)),""))</f>
        <v/>
      </c>
      <c r="J102" s="28" t="str">
        <f aca="false">IF($A102="","",IFERROR(INDEX('זה אני - קליטה'!$AI$5:$AI$204,MATCH($A102&amp;"|אמצע שנה",'זה אני - קליטה'!$AF$5:$AF$204,0)),""))</f>
        <v/>
      </c>
      <c r="K102" s="28" t="str">
        <f aca="false">IF($A102="","",IFERROR(INDEX('זה אני - קליטה'!$AJ$5:$AJ$204,MATCH($A102&amp;"|אמצע שנה",'זה אני - קליטה'!$AF$5:$AF$204,0)),""))</f>
        <v/>
      </c>
      <c r="L102" s="28" t="str">
        <f aca="false">IF($A102="","",IFERROR(INDEX('זה אני - קליטה'!$AK$5:$AK$204,MATCH($A102&amp;"|אמצע שנה",'זה אני - קליטה'!$AF$5:$AF$204,0)),""))</f>
        <v/>
      </c>
      <c r="M102" s="28" t="str">
        <f aca="false">IF($A102="","",IFERROR(INDEX('זה אני - קליטה'!$AL$5:$AL$204,MATCH($A102&amp;"|אמצע שנה",'זה אני - קליטה'!$AF$5:$AF$204,0)),""))</f>
        <v/>
      </c>
      <c r="N102" s="27" t="str">
        <f aca="false">IF($A102="","",IFERROR(INDEX('זה אני - קליטה'!$AG$5:$AG$204,MATCH($A102&amp;"|אמצע שנה",'זה אני - קליטה'!$AF$5:$AF$204,0)),""))</f>
        <v/>
      </c>
      <c r="O102" s="28" t="str">
        <f aca="false">IF($A102="","",IFERROR(INDEX('זה אני - קליטה'!$AN$5:$AN$204,MATCH($A102&amp;"|אמצע שנה",'זה אני - קליטה'!$AF$5:$AF$204,0)),""))</f>
        <v/>
      </c>
      <c r="P102" s="28" t="str">
        <f aca="false">IF($A102="","",IFERROR(INDEX('זה אני - קליטה'!$AH$5:$AH$204,MATCH($A102&amp;"|סוף שנה",'זה אני - קליטה'!$AF$5:$AF$204,0)),""))</f>
        <v/>
      </c>
      <c r="Q102" s="28" t="str">
        <f aca="false">IF($A102="","",IFERROR(INDEX('זה אני - קליטה'!$AI$5:$AI$204,MATCH($A102&amp;"|סוף שנה",'זה אני - קליטה'!$AF$5:$AF$204,0)),""))</f>
        <v/>
      </c>
      <c r="R102" s="28" t="str">
        <f aca="false">IF($A102="","",IFERROR(INDEX('זה אני - קליטה'!$AJ$5:$AJ$204,MATCH($A102&amp;"|סוף שנה",'זה אני - קליטה'!$AF$5:$AF$204,0)),""))</f>
        <v/>
      </c>
      <c r="S102" s="28" t="str">
        <f aca="false">IF($A102="","",IFERROR(INDEX('זה אני - קליטה'!$AK$5:$AK$204,MATCH($A102&amp;"|סוף שנה",'זה אני - קליטה'!$AF$5:$AF$204,0)),""))</f>
        <v/>
      </c>
      <c r="T102" s="28" t="str">
        <f aca="false">IF($A102="","",IFERROR(INDEX('זה אני - קליטה'!$AL$5:$AL$204,MATCH($A102&amp;"|סוף שנה",'זה אני - קליטה'!$AF$5:$AF$204,0)),""))</f>
        <v/>
      </c>
      <c r="U102" s="27" t="str">
        <f aca="false">IF($A102="","",IFERROR(INDEX('זה אני - קליטה'!$AG$5:$AG$204,MATCH($A102&amp;"|סוף שנה",'זה אני - קליטה'!$AF$5:$AF$204,0)),""))</f>
        <v/>
      </c>
      <c r="V102" s="28" t="str">
        <f aca="false">IF($A102="","",IFERROR(INDEX('זה אני - קליטה'!$AN$5:$AN$204,MATCH($A102&amp;"|סוף שנה",'זה אני - קליטה'!$AF$5:$AF$204,0)),""))</f>
        <v/>
      </c>
      <c r="W102" s="32" t="str">
        <f aca="false">IF(AND(ISNUMBER(F102),ISNUMBER(T102)),T102-F102,"")</f>
        <v/>
      </c>
      <c r="X102" s="27" t="str">
        <f aca="false">IF(W102="","",IF(W102&gt;=0.25,"עלייה",IF(W102&lt;=-0.25,"ירידה","יציב")))</f>
        <v/>
      </c>
    </row>
    <row r="103" customFormat="false" ht="15" hidden="false" customHeight="false" outlineLevel="0" collapsed="false">
      <c r="A103" s="29"/>
      <c r="B103" s="28" t="str">
        <f aca="false">IF($A103="","",IFERROR(INDEX('זה אני - קליטה'!$AH$5:$AH$204,MATCH($A103&amp;"|תחילת שנה",'זה אני - קליטה'!$AF$5:$AF$204,0)),""))</f>
        <v/>
      </c>
      <c r="C103" s="28" t="str">
        <f aca="false">IF($A103="","",IFERROR(INDEX('זה אני - קליטה'!$AI$5:$AI$204,MATCH($A103&amp;"|תחילת שנה",'זה אני - קליטה'!$AF$5:$AF$204,0)),""))</f>
        <v/>
      </c>
      <c r="D103" s="28" t="str">
        <f aca="false">IF($A103="","",IFERROR(INDEX('זה אני - קליטה'!$AJ$5:$AJ$204,MATCH($A103&amp;"|תחילת שנה",'זה אני - קליטה'!$AF$5:$AF$204,0)),""))</f>
        <v/>
      </c>
      <c r="E103" s="28" t="str">
        <f aca="false">IF($A103="","",IFERROR(INDEX('זה אני - קליטה'!$AK$5:$AK$204,MATCH($A103&amp;"|תחילת שנה",'זה אני - קליטה'!$AF$5:$AF$204,0)),""))</f>
        <v/>
      </c>
      <c r="F103" s="28" t="str">
        <f aca="false">IF($A103="","",IFERROR(INDEX('זה אני - קליטה'!$AL$5:$AL$204,MATCH($A103&amp;"|תחילת שנה",'זה אני - קליטה'!$AF$5:$AF$204,0)),""))</f>
        <v/>
      </c>
      <c r="G103" s="27" t="str">
        <f aca="false">IF($A103="","",IFERROR(INDEX('זה אני - קליטה'!$AG$5:$AG$204,MATCH($A103&amp;"|תחילת שנה",'זה אני - קליטה'!$AF$5:$AF$204,0)),""))</f>
        <v/>
      </c>
      <c r="H103" s="28" t="str">
        <f aca="false">IF($A103="","",IFERROR(INDEX('זה אני - קליטה'!$AN$5:$AN$204,MATCH($A103&amp;"|תחילת שנה",'זה אני - קליטה'!$AF$5:$AF$204,0)),""))</f>
        <v/>
      </c>
      <c r="I103" s="28" t="str">
        <f aca="false">IF($A103="","",IFERROR(INDEX('זה אני - קליטה'!$AH$5:$AH$204,MATCH($A103&amp;"|אמצע שנה",'זה אני - קליטה'!$AF$5:$AF$204,0)),""))</f>
        <v/>
      </c>
      <c r="J103" s="28" t="str">
        <f aca="false">IF($A103="","",IFERROR(INDEX('זה אני - קליטה'!$AI$5:$AI$204,MATCH($A103&amp;"|אמצע שנה",'זה אני - קליטה'!$AF$5:$AF$204,0)),""))</f>
        <v/>
      </c>
      <c r="K103" s="28" t="str">
        <f aca="false">IF($A103="","",IFERROR(INDEX('זה אני - קליטה'!$AJ$5:$AJ$204,MATCH($A103&amp;"|אמצע שנה",'זה אני - קליטה'!$AF$5:$AF$204,0)),""))</f>
        <v/>
      </c>
      <c r="L103" s="28" t="str">
        <f aca="false">IF($A103="","",IFERROR(INDEX('זה אני - קליטה'!$AK$5:$AK$204,MATCH($A103&amp;"|אמצע שנה",'זה אני - קליטה'!$AF$5:$AF$204,0)),""))</f>
        <v/>
      </c>
      <c r="M103" s="28" t="str">
        <f aca="false">IF($A103="","",IFERROR(INDEX('זה אני - קליטה'!$AL$5:$AL$204,MATCH($A103&amp;"|אמצע שנה",'זה אני - קליטה'!$AF$5:$AF$204,0)),""))</f>
        <v/>
      </c>
      <c r="N103" s="27" t="str">
        <f aca="false">IF($A103="","",IFERROR(INDEX('זה אני - קליטה'!$AG$5:$AG$204,MATCH($A103&amp;"|אמצע שנה",'זה אני - קליטה'!$AF$5:$AF$204,0)),""))</f>
        <v/>
      </c>
      <c r="O103" s="28" t="str">
        <f aca="false">IF($A103="","",IFERROR(INDEX('זה אני - קליטה'!$AN$5:$AN$204,MATCH($A103&amp;"|אמצע שנה",'זה אני - קליטה'!$AF$5:$AF$204,0)),""))</f>
        <v/>
      </c>
      <c r="P103" s="28" t="str">
        <f aca="false">IF($A103="","",IFERROR(INDEX('זה אני - קליטה'!$AH$5:$AH$204,MATCH($A103&amp;"|סוף שנה",'זה אני - קליטה'!$AF$5:$AF$204,0)),""))</f>
        <v/>
      </c>
      <c r="Q103" s="28" t="str">
        <f aca="false">IF($A103="","",IFERROR(INDEX('זה אני - קליטה'!$AI$5:$AI$204,MATCH($A103&amp;"|סוף שנה",'זה אני - קליטה'!$AF$5:$AF$204,0)),""))</f>
        <v/>
      </c>
      <c r="R103" s="28" t="str">
        <f aca="false">IF($A103="","",IFERROR(INDEX('זה אני - קליטה'!$AJ$5:$AJ$204,MATCH($A103&amp;"|סוף שנה",'זה אני - קליטה'!$AF$5:$AF$204,0)),""))</f>
        <v/>
      </c>
      <c r="S103" s="28" t="str">
        <f aca="false">IF($A103="","",IFERROR(INDEX('זה אני - קליטה'!$AK$5:$AK$204,MATCH($A103&amp;"|סוף שנה",'זה אני - קליטה'!$AF$5:$AF$204,0)),""))</f>
        <v/>
      </c>
      <c r="T103" s="28" t="str">
        <f aca="false">IF($A103="","",IFERROR(INDEX('זה אני - קליטה'!$AL$5:$AL$204,MATCH($A103&amp;"|סוף שנה",'זה אני - קליטה'!$AF$5:$AF$204,0)),""))</f>
        <v/>
      </c>
      <c r="U103" s="27" t="str">
        <f aca="false">IF($A103="","",IFERROR(INDEX('זה אני - קליטה'!$AG$5:$AG$204,MATCH($A103&amp;"|סוף שנה",'זה אני - קליטה'!$AF$5:$AF$204,0)),""))</f>
        <v/>
      </c>
      <c r="V103" s="28" t="str">
        <f aca="false">IF($A103="","",IFERROR(INDEX('זה אני - קליטה'!$AN$5:$AN$204,MATCH($A103&amp;"|סוף שנה",'זה אני - קליטה'!$AF$5:$AF$204,0)),""))</f>
        <v/>
      </c>
      <c r="W103" s="32" t="str">
        <f aca="false">IF(AND(ISNUMBER(F103),ISNUMBER(T103)),T103-F103,"")</f>
        <v/>
      </c>
      <c r="X103" s="27" t="str">
        <f aca="false">IF(W103="","",IF(W103&gt;=0.25,"עלייה",IF(W103&lt;=-0.25,"ירידה","יציב")))</f>
        <v/>
      </c>
    </row>
    <row r="104" customFormat="false" ht="15" hidden="false" customHeight="false" outlineLevel="0" collapsed="false">
      <c r="A104" s="29"/>
      <c r="B104" s="28" t="str">
        <f aca="false">IF($A104="","",IFERROR(INDEX('זה אני - קליטה'!$AH$5:$AH$204,MATCH($A104&amp;"|תחילת שנה",'זה אני - קליטה'!$AF$5:$AF$204,0)),""))</f>
        <v/>
      </c>
      <c r="C104" s="28" t="str">
        <f aca="false">IF($A104="","",IFERROR(INDEX('זה אני - קליטה'!$AI$5:$AI$204,MATCH($A104&amp;"|תחילת שנה",'זה אני - קליטה'!$AF$5:$AF$204,0)),""))</f>
        <v/>
      </c>
      <c r="D104" s="28" t="str">
        <f aca="false">IF($A104="","",IFERROR(INDEX('זה אני - קליטה'!$AJ$5:$AJ$204,MATCH($A104&amp;"|תחילת שנה",'זה אני - קליטה'!$AF$5:$AF$204,0)),""))</f>
        <v/>
      </c>
      <c r="E104" s="28" t="str">
        <f aca="false">IF($A104="","",IFERROR(INDEX('זה אני - קליטה'!$AK$5:$AK$204,MATCH($A104&amp;"|תחילת שנה",'זה אני - קליטה'!$AF$5:$AF$204,0)),""))</f>
        <v/>
      </c>
      <c r="F104" s="28" t="str">
        <f aca="false">IF($A104="","",IFERROR(INDEX('זה אני - קליטה'!$AL$5:$AL$204,MATCH($A104&amp;"|תחילת שנה",'זה אני - קליטה'!$AF$5:$AF$204,0)),""))</f>
        <v/>
      </c>
      <c r="G104" s="27" t="str">
        <f aca="false">IF($A104="","",IFERROR(INDEX('זה אני - קליטה'!$AG$5:$AG$204,MATCH($A104&amp;"|תחילת שנה",'זה אני - קליטה'!$AF$5:$AF$204,0)),""))</f>
        <v/>
      </c>
      <c r="H104" s="28" t="str">
        <f aca="false">IF($A104="","",IFERROR(INDEX('זה אני - קליטה'!$AN$5:$AN$204,MATCH($A104&amp;"|תחילת שנה",'זה אני - קליטה'!$AF$5:$AF$204,0)),""))</f>
        <v/>
      </c>
      <c r="I104" s="28" t="str">
        <f aca="false">IF($A104="","",IFERROR(INDEX('זה אני - קליטה'!$AH$5:$AH$204,MATCH($A104&amp;"|אמצע שנה",'זה אני - קליטה'!$AF$5:$AF$204,0)),""))</f>
        <v/>
      </c>
      <c r="J104" s="28" t="str">
        <f aca="false">IF($A104="","",IFERROR(INDEX('זה אני - קליטה'!$AI$5:$AI$204,MATCH($A104&amp;"|אמצע שנה",'זה אני - קליטה'!$AF$5:$AF$204,0)),""))</f>
        <v/>
      </c>
      <c r="K104" s="28" t="str">
        <f aca="false">IF($A104="","",IFERROR(INDEX('זה אני - קליטה'!$AJ$5:$AJ$204,MATCH($A104&amp;"|אמצע שנה",'זה אני - קליטה'!$AF$5:$AF$204,0)),""))</f>
        <v/>
      </c>
      <c r="L104" s="28" t="str">
        <f aca="false">IF($A104="","",IFERROR(INDEX('זה אני - קליטה'!$AK$5:$AK$204,MATCH($A104&amp;"|אמצע שנה",'זה אני - קליטה'!$AF$5:$AF$204,0)),""))</f>
        <v/>
      </c>
      <c r="M104" s="28" t="str">
        <f aca="false">IF($A104="","",IFERROR(INDEX('זה אני - קליטה'!$AL$5:$AL$204,MATCH($A104&amp;"|אמצע שנה",'זה אני - קליטה'!$AF$5:$AF$204,0)),""))</f>
        <v/>
      </c>
      <c r="N104" s="27" t="str">
        <f aca="false">IF($A104="","",IFERROR(INDEX('זה אני - קליטה'!$AG$5:$AG$204,MATCH($A104&amp;"|אמצע שנה",'זה אני - קליטה'!$AF$5:$AF$204,0)),""))</f>
        <v/>
      </c>
      <c r="O104" s="28" t="str">
        <f aca="false">IF($A104="","",IFERROR(INDEX('זה אני - קליטה'!$AN$5:$AN$204,MATCH($A104&amp;"|אמצע שנה",'זה אני - קליטה'!$AF$5:$AF$204,0)),""))</f>
        <v/>
      </c>
      <c r="P104" s="28" t="str">
        <f aca="false">IF($A104="","",IFERROR(INDEX('זה אני - קליטה'!$AH$5:$AH$204,MATCH($A104&amp;"|סוף שנה",'זה אני - קליטה'!$AF$5:$AF$204,0)),""))</f>
        <v/>
      </c>
      <c r="Q104" s="28" t="str">
        <f aca="false">IF($A104="","",IFERROR(INDEX('זה אני - קליטה'!$AI$5:$AI$204,MATCH($A104&amp;"|סוף שנה",'זה אני - קליטה'!$AF$5:$AF$204,0)),""))</f>
        <v/>
      </c>
      <c r="R104" s="28" t="str">
        <f aca="false">IF($A104="","",IFERROR(INDEX('זה אני - קליטה'!$AJ$5:$AJ$204,MATCH($A104&amp;"|סוף שנה",'זה אני - קליטה'!$AF$5:$AF$204,0)),""))</f>
        <v/>
      </c>
      <c r="S104" s="28" t="str">
        <f aca="false">IF($A104="","",IFERROR(INDEX('זה אני - קליטה'!$AK$5:$AK$204,MATCH($A104&amp;"|סוף שנה",'זה אני - קליטה'!$AF$5:$AF$204,0)),""))</f>
        <v/>
      </c>
      <c r="T104" s="28" t="str">
        <f aca="false">IF($A104="","",IFERROR(INDEX('זה אני - קליטה'!$AL$5:$AL$204,MATCH($A104&amp;"|סוף שנה",'זה אני - קליטה'!$AF$5:$AF$204,0)),""))</f>
        <v/>
      </c>
      <c r="U104" s="27" t="str">
        <f aca="false">IF($A104="","",IFERROR(INDEX('זה אני - קליטה'!$AG$5:$AG$204,MATCH($A104&amp;"|סוף שנה",'זה אני - קליטה'!$AF$5:$AF$204,0)),""))</f>
        <v/>
      </c>
      <c r="V104" s="28" t="str">
        <f aca="false">IF($A104="","",IFERROR(INDEX('זה אני - קליטה'!$AN$5:$AN$204,MATCH($A104&amp;"|סוף שנה",'זה אני - קליטה'!$AF$5:$AF$204,0)),""))</f>
        <v/>
      </c>
      <c r="W104" s="32" t="str">
        <f aca="false">IF(AND(ISNUMBER(F104),ISNUMBER(T104)),T104-F104,"")</f>
        <v/>
      </c>
      <c r="X104" s="27" t="str">
        <f aca="false">IF(W104="","",IF(W104&gt;=0.25,"עלייה",IF(W104&lt;=-0.25,"ירידה","יציב")))</f>
        <v/>
      </c>
    </row>
    <row r="105" customFormat="false" ht="15" hidden="false" customHeight="false" outlineLevel="0" collapsed="false">
      <c r="A105" s="29"/>
      <c r="B105" s="28" t="str">
        <f aca="false">IF($A105="","",IFERROR(INDEX('זה אני - קליטה'!$AH$5:$AH$204,MATCH($A105&amp;"|תחילת שנה",'זה אני - קליטה'!$AF$5:$AF$204,0)),""))</f>
        <v/>
      </c>
      <c r="C105" s="28" t="str">
        <f aca="false">IF($A105="","",IFERROR(INDEX('זה אני - קליטה'!$AI$5:$AI$204,MATCH($A105&amp;"|תחילת שנה",'זה אני - קליטה'!$AF$5:$AF$204,0)),""))</f>
        <v/>
      </c>
      <c r="D105" s="28" t="str">
        <f aca="false">IF($A105="","",IFERROR(INDEX('זה אני - קליטה'!$AJ$5:$AJ$204,MATCH($A105&amp;"|תחילת שנה",'זה אני - קליטה'!$AF$5:$AF$204,0)),""))</f>
        <v/>
      </c>
      <c r="E105" s="28" t="str">
        <f aca="false">IF($A105="","",IFERROR(INDEX('זה אני - קליטה'!$AK$5:$AK$204,MATCH($A105&amp;"|תחילת שנה",'זה אני - קליטה'!$AF$5:$AF$204,0)),""))</f>
        <v/>
      </c>
      <c r="F105" s="28" t="str">
        <f aca="false">IF($A105="","",IFERROR(INDEX('זה אני - קליטה'!$AL$5:$AL$204,MATCH($A105&amp;"|תחילת שנה",'זה אני - קליטה'!$AF$5:$AF$204,0)),""))</f>
        <v/>
      </c>
      <c r="G105" s="27" t="str">
        <f aca="false">IF($A105="","",IFERROR(INDEX('זה אני - קליטה'!$AG$5:$AG$204,MATCH($A105&amp;"|תחילת שנה",'זה אני - קליטה'!$AF$5:$AF$204,0)),""))</f>
        <v/>
      </c>
      <c r="H105" s="28" t="str">
        <f aca="false">IF($A105="","",IFERROR(INDEX('זה אני - קליטה'!$AN$5:$AN$204,MATCH($A105&amp;"|תחילת שנה",'זה אני - קליטה'!$AF$5:$AF$204,0)),""))</f>
        <v/>
      </c>
      <c r="I105" s="28" t="str">
        <f aca="false">IF($A105="","",IFERROR(INDEX('זה אני - קליטה'!$AH$5:$AH$204,MATCH($A105&amp;"|אמצע שנה",'זה אני - קליטה'!$AF$5:$AF$204,0)),""))</f>
        <v/>
      </c>
      <c r="J105" s="28" t="str">
        <f aca="false">IF($A105="","",IFERROR(INDEX('זה אני - קליטה'!$AI$5:$AI$204,MATCH($A105&amp;"|אמצע שנה",'זה אני - קליטה'!$AF$5:$AF$204,0)),""))</f>
        <v/>
      </c>
      <c r="K105" s="28" t="str">
        <f aca="false">IF($A105="","",IFERROR(INDEX('זה אני - קליטה'!$AJ$5:$AJ$204,MATCH($A105&amp;"|אמצע שנה",'זה אני - קליטה'!$AF$5:$AF$204,0)),""))</f>
        <v/>
      </c>
      <c r="L105" s="28" t="str">
        <f aca="false">IF($A105="","",IFERROR(INDEX('זה אני - קליטה'!$AK$5:$AK$204,MATCH($A105&amp;"|אמצע שנה",'זה אני - קליטה'!$AF$5:$AF$204,0)),""))</f>
        <v/>
      </c>
      <c r="M105" s="28" t="str">
        <f aca="false">IF($A105="","",IFERROR(INDEX('זה אני - קליטה'!$AL$5:$AL$204,MATCH($A105&amp;"|אמצע שנה",'זה אני - קליטה'!$AF$5:$AF$204,0)),""))</f>
        <v/>
      </c>
      <c r="N105" s="27" t="str">
        <f aca="false">IF($A105="","",IFERROR(INDEX('זה אני - קליטה'!$AG$5:$AG$204,MATCH($A105&amp;"|אמצע שנה",'זה אני - קליטה'!$AF$5:$AF$204,0)),""))</f>
        <v/>
      </c>
      <c r="O105" s="28" t="str">
        <f aca="false">IF($A105="","",IFERROR(INDEX('זה אני - קליטה'!$AN$5:$AN$204,MATCH($A105&amp;"|אמצע שנה",'זה אני - קליטה'!$AF$5:$AF$204,0)),""))</f>
        <v/>
      </c>
      <c r="P105" s="28" t="str">
        <f aca="false">IF($A105="","",IFERROR(INDEX('זה אני - קליטה'!$AH$5:$AH$204,MATCH($A105&amp;"|סוף שנה",'זה אני - קליטה'!$AF$5:$AF$204,0)),""))</f>
        <v/>
      </c>
      <c r="Q105" s="28" t="str">
        <f aca="false">IF($A105="","",IFERROR(INDEX('זה אני - קליטה'!$AI$5:$AI$204,MATCH($A105&amp;"|סוף שנה",'זה אני - קליטה'!$AF$5:$AF$204,0)),""))</f>
        <v/>
      </c>
      <c r="R105" s="28" t="str">
        <f aca="false">IF($A105="","",IFERROR(INDEX('זה אני - קליטה'!$AJ$5:$AJ$204,MATCH($A105&amp;"|סוף שנה",'זה אני - קליטה'!$AF$5:$AF$204,0)),""))</f>
        <v/>
      </c>
      <c r="S105" s="28" t="str">
        <f aca="false">IF($A105="","",IFERROR(INDEX('זה אני - קליטה'!$AK$5:$AK$204,MATCH($A105&amp;"|סוף שנה",'זה אני - קליטה'!$AF$5:$AF$204,0)),""))</f>
        <v/>
      </c>
      <c r="T105" s="28" t="str">
        <f aca="false">IF($A105="","",IFERROR(INDEX('זה אני - קליטה'!$AL$5:$AL$204,MATCH($A105&amp;"|סוף שנה",'זה אני - קליטה'!$AF$5:$AF$204,0)),""))</f>
        <v/>
      </c>
      <c r="U105" s="27" t="str">
        <f aca="false">IF($A105="","",IFERROR(INDEX('זה אני - קליטה'!$AG$5:$AG$204,MATCH($A105&amp;"|סוף שנה",'זה אני - קליטה'!$AF$5:$AF$204,0)),""))</f>
        <v/>
      </c>
      <c r="V105" s="28" t="str">
        <f aca="false">IF($A105="","",IFERROR(INDEX('זה אני - קליטה'!$AN$5:$AN$204,MATCH($A105&amp;"|סוף שנה",'זה אני - קליטה'!$AF$5:$AF$204,0)),""))</f>
        <v/>
      </c>
      <c r="W105" s="32" t="str">
        <f aca="false">IF(AND(ISNUMBER(F105),ISNUMBER(T105)),T105-F105,"")</f>
        <v/>
      </c>
      <c r="X105" s="27" t="str">
        <f aca="false">IF(W105="","",IF(W105&gt;=0.25,"עלייה",IF(W105&lt;=-0.25,"ירידה","יציב")))</f>
        <v/>
      </c>
    </row>
    <row r="106" customFormat="false" ht="15" hidden="false" customHeight="false" outlineLevel="0" collapsed="false">
      <c r="A106" s="29"/>
      <c r="B106" s="28" t="str">
        <f aca="false">IF($A106="","",IFERROR(INDEX('זה אני - קליטה'!$AH$5:$AH$204,MATCH($A106&amp;"|תחילת שנה",'זה אני - קליטה'!$AF$5:$AF$204,0)),""))</f>
        <v/>
      </c>
      <c r="C106" s="28" t="str">
        <f aca="false">IF($A106="","",IFERROR(INDEX('זה אני - קליטה'!$AI$5:$AI$204,MATCH($A106&amp;"|תחילת שנה",'זה אני - קליטה'!$AF$5:$AF$204,0)),""))</f>
        <v/>
      </c>
      <c r="D106" s="28" t="str">
        <f aca="false">IF($A106="","",IFERROR(INDEX('זה אני - קליטה'!$AJ$5:$AJ$204,MATCH($A106&amp;"|תחילת שנה",'זה אני - קליטה'!$AF$5:$AF$204,0)),""))</f>
        <v/>
      </c>
      <c r="E106" s="28" t="str">
        <f aca="false">IF($A106="","",IFERROR(INDEX('זה אני - קליטה'!$AK$5:$AK$204,MATCH($A106&amp;"|תחילת שנה",'זה אני - קליטה'!$AF$5:$AF$204,0)),""))</f>
        <v/>
      </c>
      <c r="F106" s="28" t="str">
        <f aca="false">IF($A106="","",IFERROR(INDEX('זה אני - קליטה'!$AL$5:$AL$204,MATCH($A106&amp;"|תחילת שנה",'זה אני - קליטה'!$AF$5:$AF$204,0)),""))</f>
        <v/>
      </c>
      <c r="G106" s="27" t="str">
        <f aca="false">IF($A106="","",IFERROR(INDEX('זה אני - קליטה'!$AG$5:$AG$204,MATCH($A106&amp;"|תחילת שנה",'זה אני - קליטה'!$AF$5:$AF$204,0)),""))</f>
        <v/>
      </c>
      <c r="H106" s="28" t="str">
        <f aca="false">IF($A106="","",IFERROR(INDEX('זה אני - קליטה'!$AN$5:$AN$204,MATCH($A106&amp;"|תחילת שנה",'זה אני - קליטה'!$AF$5:$AF$204,0)),""))</f>
        <v/>
      </c>
      <c r="I106" s="28" t="str">
        <f aca="false">IF($A106="","",IFERROR(INDEX('זה אני - קליטה'!$AH$5:$AH$204,MATCH($A106&amp;"|אמצע שנה",'זה אני - קליטה'!$AF$5:$AF$204,0)),""))</f>
        <v/>
      </c>
      <c r="J106" s="28" t="str">
        <f aca="false">IF($A106="","",IFERROR(INDEX('זה אני - קליטה'!$AI$5:$AI$204,MATCH($A106&amp;"|אמצע שנה",'זה אני - קליטה'!$AF$5:$AF$204,0)),""))</f>
        <v/>
      </c>
      <c r="K106" s="28" t="str">
        <f aca="false">IF($A106="","",IFERROR(INDEX('זה אני - קליטה'!$AJ$5:$AJ$204,MATCH($A106&amp;"|אמצע שנה",'זה אני - קליטה'!$AF$5:$AF$204,0)),""))</f>
        <v/>
      </c>
      <c r="L106" s="28" t="str">
        <f aca="false">IF($A106="","",IFERROR(INDEX('זה אני - קליטה'!$AK$5:$AK$204,MATCH($A106&amp;"|אמצע שנה",'זה אני - קליטה'!$AF$5:$AF$204,0)),""))</f>
        <v/>
      </c>
      <c r="M106" s="28" t="str">
        <f aca="false">IF($A106="","",IFERROR(INDEX('זה אני - קליטה'!$AL$5:$AL$204,MATCH($A106&amp;"|אמצע שנה",'זה אני - קליטה'!$AF$5:$AF$204,0)),""))</f>
        <v/>
      </c>
      <c r="N106" s="27" t="str">
        <f aca="false">IF($A106="","",IFERROR(INDEX('זה אני - קליטה'!$AG$5:$AG$204,MATCH($A106&amp;"|אמצע שנה",'זה אני - קליטה'!$AF$5:$AF$204,0)),""))</f>
        <v/>
      </c>
      <c r="O106" s="28" t="str">
        <f aca="false">IF($A106="","",IFERROR(INDEX('זה אני - קליטה'!$AN$5:$AN$204,MATCH($A106&amp;"|אמצע שנה",'זה אני - קליטה'!$AF$5:$AF$204,0)),""))</f>
        <v/>
      </c>
      <c r="P106" s="28" t="str">
        <f aca="false">IF($A106="","",IFERROR(INDEX('זה אני - קליטה'!$AH$5:$AH$204,MATCH($A106&amp;"|סוף שנה",'זה אני - קליטה'!$AF$5:$AF$204,0)),""))</f>
        <v/>
      </c>
      <c r="Q106" s="28" t="str">
        <f aca="false">IF($A106="","",IFERROR(INDEX('זה אני - קליטה'!$AI$5:$AI$204,MATCH($A106&amp;"|סוף שנה",'זה אני - קליטה'!$AF$5:$AF$204,0)),""))</f>
        <v/>
      </c>
      <c r="R106" s="28" t="str">
        <f aca="false">IF($A106="","",IFERROR(INDEX('זה אני - קליטה'!$AJ$5:$AJ$204,MATCH($A106&amp;"|סוף שנה",'זה אני - קליטה'!$AF$5:$AF$204,0)),""))</f>
        <v/>
      </c>
      <c r="S106" s="28" t="str">
        <f aca="false">IF($A106="","",IFERROR(INDEX('זה אני - קליטה'!$AK$5:$AK$204,MATCH($A106&amp;"|סוף שנה",'זה אני - קליטה'!$AF$5:$AF$204,0)),""))</f>
        <v/>
      </c>
      <c r="T106" s="28" t="str">
        <f aca="false">IF($A106="","",IFERROR(INDEX('זה אני - קליטה'!$AL$5:$AL$204,MATCH($A106&amp;"|סוף שנה",'זה אני - קליטה'!$AF$5:$AF$204,0)),""))</f>
        <v/>
      </c>
      <c r="U106" s="27" t="str">
        <f aca="false">IF($A106="","",IFERROR(INDEX('זה אני - קליטה'!$AG$5:$AG$204,MATCH($A106&amp;"|סוף שנה",'זה אני - קליטה'!$AF$5:$AF$204,0)),""))</f>
        <v/>
      </c>
      <c r="V106" s="28" t="str">
        <f aca="false">IF($A106="","",IFERROR(INDEX('זה אני - קליטה'!$AN$5:$AN$204,MATCH($A106&amp;"|סוף שנה",'זה אני - קליטה'!$AF$5:$AF$204,0)),""))</f>
        <v/>
      </c>
      <c r="W106" s="32" t="str">
        <f aca="false">IF(AND(ISNUMBER(F106),ISNUMBER(T106)),T106-F106,"")</f>
        <v/>
      </c>
      <c r="X106" s="27" t="str">
        <f aca="false">IF(W106="","",IF(W106&gt;=0.25,"עלייה",IF(W106&lt;=-0.25,"ירידה","יציב")))</f>
        <v/>
      </c>
    </row>
    <row r="107" customFormat="false" ht="15" hidden="false" customHeight="false" outlineLevel="0" collapsed="false">
      <c r="A107" s="29"/>
      <c r="B107" s="28" t="str">
        <f aca="false">IF($A107="","",IFERROR(INDEX('זה אני - קליטה'!$AH$5:$AH$204,MATCH($A107&amp;"|תחילת שנה",'זה אני - קליטה'!$AF$5:$AF$204,0)),""))</f>
        <v/>
      </c>
      <c r="C107" s="28" t="str">
        <f aca="false">IF($A107="","",IFERROR(INDEX('זה אני - קליטה'!$AI$5:$AI$204,MATCH($A107&amp;"|תחילת שנה",'זה אני - קליטה'!$AF$5:$AF$204,0)),""))</f>
        <v/>
      </c>
      <c r="D107" s="28" t="str">
        <f aca="false">IF($A107="","",IFERROR(INDEX('זה אני - קליטה'!$AJ$5:$AJ$204,MATCH($A107&amp;"|תחילת שנה",'זה אני - קליטה'!$AF$5:$AF$204,0)),""))</f>
        <v/>
      </c>
      <c r="E107" s="28" t="str">
        <f aca="false">IF($A107="","",IFERROR(INDEX('זה אני - קליטה'!$AK$5:$AK$204,MATCH($A107&amp;"|תחילת שנה",'זה אני - קליטה'!$AF$5:$AF$204,0)),""))</f>
        <v/>
      </c>
      <c r="F107" s="28" t="str">
        <f aca="false">IF($A107="","",IFERROR(INDEX('זה אני - קליטה'!$AL$5:$AL$204,MATCH($A107&amp;"|תחילת שנה",'זה אני - קליטה'!$AF$5:$AF$204,0)),""))</f>
        <v/>
      </c>
      <c r="G107" s="27" t="str">
        <f aca="false">IF($A107="","",IFERROR(INDEX('זה אני - קליטה'!$AG$5:$AG$204,MATCH($A107&amp;"|תחילת שנה",'זה אני - קליטה'!$AF$5:$AF$204,0)),""))</f>
        <v/>
      </c>
      <c r="H107" s="28" t="str">
        <f aca="false">IF($A107="","",IFERROR(INDEX('זה אני - קליטה'!$AN$5:$AN$204,MATCH($A107&amp;"|תחילת שנה",'זה אני - קליטה'!$AF$5:$AF$204,0)),""))</f>
        <v/>
      </c>
      <c r="I107" s="28" t="str">
        <f aca="false">IF($A107="","",IFERROR(INDEX('זה אני - קליטה'!$AH$5:$AH$204,MATCH($A107&amp;"|אמצע שנה",'זה אני - קליטה'!$AF$5:$AF$204,0)),""))</f>
        <v/>
      </c>
      <c r="J107" s="28" t="str">
        <f aca="false">IF($A107="","",IFERROR(INDEX('זה אני - קליטה'!$AI$5:$AI$204,MATCH($A107&amp;"|אמצע שנה",'זה אני - קליטה'!$AF$5:$AF$204,0)),""))</f>
        <v/>
      </c>
      <c r="K107" s="28" t="str">
        <f aca="false">IF($A107="","",IFERROR(INDEX('זה אני - קליטה'!$AJ$5:$AJ$204,MATCH($A107&amp;"|אמצע שנה",'זה אני - קליטה'!$AF$5:$AF$204,0)),""))</f>
        <v/>
      </c>
      <c r="L107" s="28" t="str">
        <f aca="false">IF($A107="","",IFERROR(INDEX('זה אני - קליטה'!$AK$5:$AK$204,MATCH($A107&amp;"|אמצע שנה",'זה אני - קליטה'!$AF$5:$AF$204,0)),""))</f>
        <v/>
      </c>
      <c r="M107" s="28" t="str">
        <f aca="false">IF($A107="","",IFERROR(INDEX('זה אני - קליטה'!$AL$5:$AL$204,MATCH($A107&amp;"|אמצע שנה",'זה אני - קליטה'!$AF$5:$AF$204,0)),""))</f>
        <v/>
      </c>
      <c r="N107" s="27" t="str">
        <f aca="false">IF($A107="","",IFERROR(INDEX('זה אני - קליטה'!$AG$5:$AG$204,MATCH($A107&amp;"|אמצע שנה",'זה אני - קליטה'!$AF$5:$AF$204,0)),""))</f>
        <v/>
      </c>
      <c r="O107" s="28" t="str">
        <f aca="false">IF($A107="","",IFERROR(INDEX('זה אני - קליטה'!$AN$5:$AN$204,MATCH($A107&amp;"|אמצע שנה",'זה אני - קליטה'!$AF$5:$AF$204,0)),""))</f>
        <v/>
      </c>
      <c r="P107" s="28" t="str">
        <f aca="false">IF($A107="","",IFERROR(INDEX('זה אני - קליטה'!$AH$5:$AH$204,MATCH($A107&amp;"|סוף שנה",'זה אני - קליטה'!$AF$5:$AF$204,0)),""))</f>
        <v/>
      </c>
      <c r="Q107" s="28" t="str">
        <f aca="false">IF($A107="","",IFERROR(INDEX('זה אני - קליטה'!$AI$5:$AI$204,MATCH($A107&amp;"|סוף שנה",'זה אני - קליטה'!$AF$5:$AF$204,0)),""))</f>
        <v/>
      </c>
      <c r="R107" s="28" t="str">
        <f aca="false">IF($A107="","",IFERROR(INDEX('זה אני - קליטה'!$AJ$5:$AJ$204,MATCH($A107&amp;"|סוף שנה",'זה אני - קליטה'!$AF$5:$AF$204,0)),""))</f>
        <v/>
      </c>
      <c r="S107" s="28" t="str">
        <f aca="false">IF($A107="","",IFERROR(INDEX('זה אני - קליטה'!$AK$5:$AK$204,MATCH($A107&amp;"|סוף שנה",'זה אני - קליטה'!$AF$5:$AF$204,0)),""))</f>
        <v/>
      </c>
      <c r="T107" s="28" t="str">
        <f aca="false">IF($A107="","",IFERROR(INDEX('זה אני - קליטה'!$AL$5:$AL$204,MATCH($A107&amp;"|סוף שנה",'זה אני - קליטה'!$AF$5:$AF$204,0)),""))</f>
        <v/>
      </c>
      <c r="U107" s="27" t="str">
        <f aca="false">IF($A107="","",IFERROR(INDEX('זה אני - קליטה'!$AG$5:$AG$204,MATCH($A107&amp;"|סוף שנה",'זה אני - קליטה'!$AF$5:$AF$204,0)),""))</f>
        <v/>
      </c>
      <c r="V107" s="28" t="str">
        <f aca="false">IF($A107="","",IFERROR(INDEX('זה אני - קליטה'!$AN$5:$AN$204,MATCH($A107&amp;"|סוף שנה",'זה אני - קליטה'!$AF$5:$AF$204,0)),""))</f>
        <v/>
      </c>
      <c r="W107" s="32" t="str">
        <f aca="false">IF(AND(ISNUMBER(F107),ISNUMBER(T107)),T107-F107,"")</f>
        <v/>
      </c>
      <c r="X107" s="27" t="str">
        <f aca="false">IF(W107="","",IF(W107&gt;=0.25,"עלייה",IF(W107&lt;=-0.25,"ירידה","יציב")))</f>
        <v/>
      </c>
    </row>
    <row r="108" customFormat="false" ht="15" hidden="false" customHeight="false" outlineLevel="0" collapsed="false">
      <c r="A108" s="29"/>
      <c r="B108" s="28" t="str">
        <f aca="false">IF($A108="","",IFERROR(INDEX('זה אני - קליטה'!$AH$5:$AH$204,MATCH($A108&amp;"|תחילת שנה",'זה אני - קליטה'!$AF$5:$AF$204,0)),""))</f>
        <v/>
      </c>
      <c r="C108" s="28" t="str">
        <f aca="false">IF($A108="","",IFERROR(INDEX('זה אני - קליטה'!$AI$5:$AI$204,MATCH($A108&amp;"|תחילת שנה",'זה אני - קליטה'!$AF$5:$AF$204,0)),""))</f>
        <v/>
      </c>
      <c r="D108" s="28" t="str">
        <f aca="false">IF($A108="","",IFERROR(INDEX('זה אני - קליטה'!$AJ$5:$AJ$204,MATCH($A108&amp;"|תחילת שנה",'זה אני - קליטה'!$AF$5:$AF$204,0)),""))</f>
        <v/>
      </c>
      <c r="E108" s="28" t="str">
        <f aca="false">IF($A108="","",IFERROR(INDEX('זה אני - קליטה'!$AK$5:$AK$204,MATCH($A108&amp;"|תחילת שנה",'זה אני - קליטה'!$AF$5:$AF$204,0)),""))</f>
        <v/>
      </c>
      <c r="F108" s="28" t="str">
        <f aca="false">IF($A108="","",IFERROR(INDEX('זה אני - קליטה'!$AL$5:$AL$204,MATCH($A108&amp;"|תחילת שנה",'זה אני - קליטה'!$AF$5:$AF$204,0)),""))</f>
        <v/>
      </c>
      <c r="G108" s="27" t="str">
        <f aca="false">IF($A108="","",IFERROR(INDEX('זה אני - קליטה'!$AG$5:$AG$204,MATCH($A108&amp;"|תחילת שנה",'זה אני - קליטה'!$AF$5:$AF$204,0)),""))</f>
        <v/>
      </c>
      <c r="H108" s="28" t="str">
        <f aca="false">IF($A108="","",IFERROR(INDEX('זה אני - קליטה'!$AN$5:$AN$204,MATCH($A108&amp;"|תחילת שנה",'זה אני - קליטה'!$AF$5:$AF$204,0)),""))</f>
        <v/>
      </c>
      <c r="I108" s="28" t="str">
        <f aca="false">IF($A108="","",IFERROR(INDEX('זה אני - קליטה'!$AH$5:$AH$204,MATCH($A108&amp;"|אמצע שנה",'זה אני - קליטה'!$AF$5:$AF$204,0)),""))</f>
        <v/>
      </c>
      <c r="J108" s="28" t="str">
        <f aca="false">IF($A108="","",IFERROR(INDEX('זה אני - קליטה'!$AI$5:$AI$204,MATCH($A108&amp;"|אמצע שנה",'זה אני - קליטה'!$AF$5:$AF$204,0)),""))</f>
        <v/>
      </c>
      <c r="K108" s="28" t="str">
        <f aca="false">IF($A108="","",IFERROR(INDEX('זה אני - קליטה'!$AJ$5:$AJ$204,MATCH($A108&amp;"|אמצע שנה",'זה אני - קליטה'!$AF$5:$AF$204,0)),""))</f>
        <v/>
      </c>
      <c r="L108" s="28" t="str">
        <f aca="false">IF($A108="","",IFERROR(INDEX('זה אני - קליטה'!$AK$5:$AK$204,MATCH($A108&amp;"|אמצע שנה",'זה אני - קליטה'!$AF$5:$AF$204,0)),""))</f>
        <v/>
      </c>
      <c r="M108" s="28" t="str">
        <f aca="false">IF($A108="","",IFERROR(INDEX('זה אני - קליטה'!$AL$5:$AL$204,MATCH($A108&amp;"|אמצע שנה",'זה אני - קליטה'!$AF$5:$AF$204,0)),""))</f>
        <v/>
      </c>
      <c r="N108" s="27" t="str">
        <f aca="false">IF($A108="","",IFERROR(INDEX('זה אני - קליטה'!$AG$5:$AG$204,MATCH($A108&amp;"|אמצע שנה",'זה אני - קליטה'!$AF$5:$AF$204,0)),""))</f>
        <v/>
      </c>
      <c r="O108" s="28" t="str">
        <f aca="false">IF($A108="","",IFERROR(INDEX('זה אני - קליטה'!$AN$5:$AN$204,MATCH($A108&amp;"|אמצע שנה",'זה אני - קליטה'!$AF$5:$AF$204,0)),""))</f>
        <v/>
      </c>
      <c r="P108" s="28" t="str">
        <f aca="false">IF($A108="","",IFERROR(INDEX('זה אני - קליטה'!$AH$5:$AH$204,MATCH($A108&amp;"|סוף שנה",'זה אני - קליטה'!$AF$5:$AF$204,0)),""))</f>
        <v/>
      </c>
      <c r="Q108" s="28" t="str">
        <f aca="false">IF($A108="","",IFERROR(INDEX('זה אני - קליטה'!$AI$5:$AI$204,MATCH($A108&amp;"|סוף שנה",'זה אני - קליטה'!$AF$5:$AF$204,0)),""))</f>
        <v/>
      </c>
      <c r="R108" s="28" t="str">
        <f aca="false">IF($A108="","",IFERROR(INDEX('זה אני - קליטה'!$AJ$5:$AJ$204,MATCH($A108&amp;"|סוף שנה",'זה אני - קליטה'!$AF$5:$AF$204,0)),""))</f>
        <v/>
      </c>
      <c r="S108" s="28" t="str">
        <f aca="false">IF($A108="","",IFERROR(INDEX('זה אני - קליטה'!$AK$5:$AK$204,MATCH($A108&amp;"|סוף שנה",'זה אני - קליטה'!$AF$5:$AF$204,0)),""))</f>
        <v/>
      </c>
      <c r="T108" s="28" t="str">
        <f aca="false">IF($A108="","",IFERROR(INDEX('זה אני - קליטה'!$AL$5:$AL$204,MATCH($A108&amp;"|סוף שנה",'זה אני - קליטה'!$AF$5:$AF$204,0)),""))</f>
        <v/>
      </c>
      <c r="U108" s="27" t="str">
        <f aca="false">IF($A108="","",IFERROR(INDEX('זה אני - קליטה'!$AG$5:$AG$204,MATCH($A108&amp;"|סוף שנה",'זה אני - קליטה'!$AF$5:$AF$204,0)),""))</f>
        <v/>
      </c>
      <c r="V108" s="28" t="str">
        <f aca="false">IF($A108="","",IFERROR(INDEX('זה אני - קליטה'!$AN$5:$AN$204,MATCH($A108&amp;"|סוף שנה",'זה אני - קליטה'!$AF$5:$AF$204,0)),""))</f>
        <v/>
      </c>
      <c r="W108" s="32" t="str">
        <f aca="false">IF(AND(ISNUMBER(F108),ISNUMBER(T108)),T108-F108,"")</f>
        <v/>
      </c>
      <c r="X108" s="27" t="str">
        <f aca="false">IF(W108="","",IF(W108&gt;=0.25,"עלייה",IF(W108&lt;=-0.25,"ירידה","יציב")))</f>
        <v/>
      </c>
    </row>
    <row r="109" customFormat="false" ht="15" hidden="false" customHeight="false" outlineLevel="0" collapsed="false">
      <c r="A109" s="29"/>
      <c r="B109" s="28" t="str">
        <f aca="false">IF($A109="","",IFERROR(INDEX('זה אני - קליטה'!$AH$5:$AH$204,MATCH($A109&amp;"|תחילת שנה",'זה אני - קליטה'!$AF$5:$AF$204,0)),""))</f>
        <v/>
      </c>
      <c r="C109" s="28" t="str">
        <f aca="false">IF($A109="","",IFERROR(INDEX('זה אני - קליטה'!$AI$5:$AI$204,MATCH($A109&amp;"|תחילת שנה",'זה אני - קליטה'!$AF$5:$AF$204,0)),""))</f>
        <v/>
      </c>
      <c r="D109" s="28" t="str">
        <f aca="false">IF($A109="","",IFERROR(INDEX('זה אני - קליטה'!$AJ$5:$AJ$204,MATCH($A109&amp;"|תחילת שנה",'זה אני - קליטה'!$AF$5:$AF$204,0)),""))</f>
        <v/>
      </c>
      <c r="E109" s="28" t="str">
        <f aca="false">IF($A109="","",IFERROR(INDEX('זה אני - קליטה'!$AK$5:$AK$204,MATCH($A109&amp;"|תחילת שנה",'זה אני - קליטה'!$AF$5:$AF$204,0)),""))</f>
        <v/>
      </c>
      <c r="F109" s="28" t="str">
        <f aca="false">IF($A109="","",IFERROR(INDEX('זה אני - קליטה'!$AL$5:$AL$204,MATCH($A109&amp;"|תחילת שנה",'זה אני - קליטה'!$AF$5:$AF$204,0)),""))</f>
        <v/>
      </c>
      <c r="G109" s="27" t="str">
        <f aca="false">IF($A109="","",IFERROR(INDEX('זה אני - קליטה'!$AG$5:$AG$204,MATCH($A109&amp;"|תחילת שנה",'זה אני - קליטה'!$AF$5:$AF$204,0)),""))</f>
        <v/>
      </c>
      <c r="H109" s="28" t="str">
        <f aca="false">IF($A109="","",IFERROR(INDEX('זה אני - קליטה'!$AN$5:$AN$204,MATCH($A109&amp;"|תחילת שנה",'זה אני - קליטה'!$AF$5:$AF$204,0)),""))</f>
        <v/>
      </c>
      <c r="I109" s="28" t="str">
        <f aca="false">IF($A109="","",IFERROR(INDEX('זה אני - קליטה'!$AH$5:$AH$204,MATCH($A109&amp;"|אמצע שנה",'זה אני - קליטה'!$AF$5:$AF$204,0)),""))</f>
        <v/>
      </c>
      <c r="J109" s="28" t="str">
        <f aca="false">IF($A109="","",IFERROR(INDEX('זה אני - קליטה'!$AI$5:$AI$204,MATCH($A109&amp;"|אמצע שנה",'זה אני - קליטה'!$AF$5:$AF$204,0)),""))</f>
        <v/>
      </c>
      <c r="K109" s="28" t="str">
        <f aca="false">IF($A109="","",IFERROR(INDEX('זה אני - קליטה'!$AJ$5:$AJ$204,MATCH($A109&amp;"|אמצע שנה",'זה אני - קליטה'!$AF$5:$AF$204,0)),""))</f>
        <v/>
      </c>
      <c r="L109" s="28" t="str">
        <f aca="false">IF($A109="","",IFERROR(INDEX('זה אני - קליטה'!$AK$5:$AK$204,MATCH($A109&amp;"|אמצע שנה",'זה אני - קליטה'!$AF$5:$AF$204,0)),""))</f>
        <v/>
      </c>
      <c r="M109" s="28" t="str">
        <f aca="false">IF($A109="","",IFERROR(INDEX('זה אני - קליטה'!$AL$5:$AL$204,MATCH($A109&amp;"|אמצע שנה",'זה אני - קליטה'!$AF$5:$AF$204,0)),""))</f>
        <v/>
      </c>
      <c r="N109" s="27" t="str">
        <f aca="false">IF($A109="","",IFERROR(INDEX('זה אני - קליטה'!$AG$5:$AG$204,MATCH($A109&amp;"|אמצע שנה",'זה אני - קליטה'!$AF$5:$AF$204,0)),""))</f>
        <v/>
      </c>
      <c r="O109" s="28" t="str">
        <f aca="false">IF($A109="","",IFERROR(INDEX('זה אני - קליטה'!$AN$5:$AN$204,MATCH($A109&amp;"|אמצע שנה",'זה אני - קליטה'!$AF$5:$AF$204,0)),""))</f>
        <v/>
      </c>
      <c r="P109" s="28" t="str">
        <f aca="false">IF($A109="","",IFERROR(INDEX('זה אני - קליטה'!$AH$5:$AH$204,MATCH($A109&amp;"|סוף שנה",'זה אני - קליטה'!$AF$5:$AF$204,0)),""))</f>
        <v/>
      </c>
      <c r="Q109" s="28" t="str">
        <f aca="false">IF($A109="","",IFERROR(INDEX('זה אני - קליטה'!$AI$5:$AI$204,MATCH($A109&amp;"|סוף שנה",'זה אני - קליטה'!$AF$5:$AF$204,0)),""))</f>
        <v/>
      </c>
      <c r="R109" s="28" t="str">
        <f aca="false">IF($A109="","",IFERROR(INDEX('זה אני - קליטה'!$AJ$5:$AJ$204,MATCH($A109&amp;"|סוף שנה",'זה אני - קליטה'!$AF$5:$AF$204,0)),""))</f>
        <v/>
      </c>
      <c r="S109" s="28" t="str">
        <f aca="false">IF($A109="","",IFERROR(INDEX('זה אני - קליטה'!$AK$5:$AK$204,MATCH($A109&amp;"|סוף שנה",'זה אני - קליטה'!$AF$5:$AF$204,0)),""))</f>
        <v/>
      </c>
      <c r="T109" s="28" t="str">
        <f aca="false">IF($A109="","",IFERROR(INDEX('זה אני - קליטה'!$AL$5:$AL$204,MATCH($A109&amp;"|סוף שנה",'זה אני - קליטה'!$AF$5:$AF$204,0)),""))</f>
        <v/>
      </c>
      <c r="U109" s="27" t="str">
        <f aca="false">IF($A109="","",IFERROR(INDEX('זה אני - קליטה'!$AG$5:$AG$204,MATCH($A109&amp;"|סוף שנה",'זה אני - קליטה'!$AF$5:$AF$204,0)),""))</f>
        <v/>
      </c>
      <c r="V109" s="28" t="str">
        <f aca="false">IF($A109="","",IFERROR(INDEX('זה אני - קליטה'!$AN$5:$AN$204,MATCH($A109&amp;"|סוף שנה",'זה אני - קליטה'!$AF$5:$AF$204,0)),""))</f>
        <v/>
      </c>
      <c r="W109" s="32" t="str">
        <f aca="false">IF(AND(ISNUMBER(F109),ISNUMBER(T109)),T109-F109,"")</f>
        <v/>
      </c>
      <c r="X109" s="27" t="str">
        <f aca="false">IF(W109="","",IF(W109&gt;=0.25,"עלייה",IF(W109&lt;=-0.25,"ירידה","יציב")))</f>
        <v/>
      </c>
    </row>
    <row r="110" customFormat="false" ht="15" hidden="false" customHeight="false" outlineLevel="0" collapsed="false">
      <c r="A110" s="29"/>
      <c r="B110" s="28" t="str">
        <f aca="false">IF($A110="","",IFERROR(INDEX('זה אני - קליטה'!$AH$5:$AH$204,MATCH($A110&amp;"|תחילת שנה",'זה אני - קליטה'!$AF$5:$AF$204,0)),""))</f>
        <v/>
      </c>
      <c r="C110" s="28" t="str">
        <f aca="false">IF($A110="","",IFERROR(INDEX('זה אני - קליטה'!$AI$5:$AI$204,MATCH($A110&amp;"|תחילת שנה",'זה אני - קליטה'!$AF$5:$AF$204,0)),""))</f>
        <v/>
      </c>
      <c r="D110" s="28" t="str">
        <f aca="false">IF($A110="","",IFERROR(INDEX('זה אני - קליטה'!$AJ$5:$AJ$204,MATCH($A110&amp;"|תחילת שנה",'זה אני - קליטה'!$AF$5:$AF$204,0)),""))</f>
        <v/>
      </c>
      <c r="E110" s="28" t="str">
        <f aca="false">IF($A110="","",IFERROR(INDEX('זה אני - קליטה'!$AK$5:$AK$204,MATCH($A110&amp;"|תחילת שנה",'זה אני - קליטה'!$AF$5:$AF$204,0)),""))</f>
        <v/>
      </c>
      <c r="F110" s="28" t="str">
        <f aca="false">IF($A110="","",IFERROR(INDEX('זה אני - קליטה'!$AL$5:$AL$204,MATCH($A110&amp;"|תחילת שנה",'זה אני - קליטה'!$AF$5:$AF$204,0)),""))</f>
        <v/>
      </c>
      <c r="G110" s="27" t="str">
        <f aca="false">IF($A110="","",IFERROR(INDEX('זה אני - קליטה'!$AG$5:$AG$204,MATCH($A110&amp;"|תחילת שנה",'זה אני - קליטה'!$AF$5:$AF$204,0)),""))</f>
        <v/>
      </c>
      <c r="H110" s="28" t="str">
        <f aca="false">IF($A110="","",IFERROR(INDEX('זה אני - קליטה'!$AN$5:$AN$204,MATCH($A110&amp;"|תחילת שנה",'זה אני - קליטה'!$AF$5:$AF$204,0)),""))</f>
        <v/>
      </c>
      <c r="I110" s="28" t="str">
        <f aca="false">IF($A110="","",IFERROR(INDEX('זה אני - קליטה'!$AH$5:$AH$204,MATCH($A110&amp;"|אמצע שנה",'זה אני - קליטה'!$AF$5:$AF$204,0)),""))</f>
        <v/>
      </c>
      <c r="J110" s="28" t="str">
        <f aca="false">IF($A110="","",IFERROR(INDEX('זה אני - קליטה'!$AI$5:$AI$204,MATCH($A110&amp;"|אמצע שנה",'זה אני - קליטה'!$AF$5:$AF$204,0)),""))</f>
        <v/>
      </c>
      <c r="K110" s="28" t="str">
        <f aca="false">IF($A110="","",IFERROR(INDEX('זה אני - קליטה'!$AJ$5:$AJ$204,MATCH($A110&amp;"|אמצע שנה",'זה אני - קליטה'!$AF$5:$AF$204,0)),""))</f>
        <v/>
      </c>
      <c r="L110" s="28" t="str">
        <f aca="false">IF($A110="","",IFERROR(INDEX('זה אני - קליטה'!$AK$5:$AK$204,MATCH($A110&amp;"|אמצע שנה",'זה אני - קליטה'!$AF$5:$AF$204,0)),""))</f>
        <v/>
      </c>
      <c r="M110" s="28" t="str">
        <f aca="false">IF($A110="","",IFERROR(INDEX('זה אני - קליטה'!$AL$5:$AL$204,MATCH($A110&amp;"|אמצע שנה",'זה אני - קליטה'!$AF$5:$AF$204,0)),""))</f>
        <v/>
      </c>
      <c r="N110" s="27" t="str">
        <f aca="false">IF($A110="","",IFERROR(INDEX('זה אני - קליטה'!$AG$5:$AG$204,MATCH($A110&amp;"|אמצע שנה",'זה אני - קליטה'!$AF$5:$AF$204,0)),""))</f>
        <v/>
      </c>
      <c r="O110" s="28" t="str">
        <f aca="false">IF($A110="","",IFERROR(INDEX('זה אני - קליטה'!$AN$5:$AN$204,MATCH($A110&amp;"|אמצע שנה",'זה אני - קליטה'!$AF$5:$AF$204,0)),""))</f>
        <v/>
      </c>
      <c r="P110" s="28" t="str">
        <f aca="false">IF($A110="","",IFERROR(INDEX('זה אני - קליטה'!$AH$5:$AH$204,MATCH($A110&amp;"|סוף שנה",'זה אני - קליטה'!$AF$5:$AF$204,0)),""))</f>
        <v/>
      </c>
      <c r="Q110" s="28" t="str">
        <f aca="false">IF($A110="","",IFERROR(INDEX('זה אני - קליטה'!$AI$5:$AI$204,MATCH($A110&amp;"|סוף שנה",'זה אני - קליטה'!$AF$5:$AF$204,0)),""))</f>
        <v/>
      </c>
      <c r="R110" s="28" t="str">
        <f aca="false">IF($A110="","",IFERROR(INDEX('זה אני - קליטה'!$AJ$5:$AJ$204,MATCH($A110&amp;"|סוף שנה",'זה אני - קליטה'!$AF$5:$AF$204,0)),""))</f>
        <v/>
      </c>
      <c r="S110" s="28" t="str">
        <f aca="false">IF($A110="","",IFERROR(INDEX('זה אני - קליטה'!$AK$5:$AK$204,MATCH($A110&amp;"|סוף שנה",'זה אני - קליטה'!$AF$5:$AF$204,0)),""))</f>
        <v/>
      </c>
      <c r="T110" s="28" t="str">
        <f aca="false">IF($A110="","",IFERROR(INDEX('זה אני - קליטה'!$AL$5:$AL$204,MATCH($A110&amp;"|סוף שנה",'זה אני - קליטה'!$AF$5:$AF$204,0)),""))</f>
        <v/>
      </c>
      <c r="U110" s="27" t="str">
        <f aca="false">IF($A110="","",IFERROR(INDEX('זה אני - קליטה'!$AG$5:$AG$204,MATCH($A110&amp;"|סוף שנה",'זה אני - קליטה'!$AF$5:$AF$204,0)),""))</f>
        <v/>
      </c>
      <c r="V110" s="28" t="str">
        <f aca="false">IF($A110="","",IFERROR(INDEX('זה אני - קליטה'!$AN$5:$AN$204,MATCH($A110&amp;"|סוף שנה",'זה אני - קליטה'!$AF$5:$AF$204,0)),""))</f>
        <v/>
      </c>
      <c r="W110" s="32" t="str">
        <f aca="false">IF(AND(ISNUMBER(F110),ISNUMBER(T110)),T110-F110,"")</f>
        <v/>
      </c>
      <c r="X110" s="27" t="str">
        <f aca="false">IF(W110="","",IF(W110&gt;=0.25,"עלייה",IF(W110&lt;=-0.25,"ירידה","יציב")))</f>
        <v/>
      </c>
    </row>
    <row r="111" customFormat="false" ht="15" hidden="false" customHeight="false" outlineLevel="0" collapsed="false">
      <c r="A111" s="29"/>
      <c r="B111" s="28" t="str">
        <f aca="false">IF($A111="","",IFERROR(INDEX('זה אני - קליטה'!$AH$5:$AH$204,MATCH($A111&amp;"|תחילת שנה",'זה אני - קליטה'!$AF$5:$AF$204,0)),""))</f>
        <v/>
      </c>
      <c r="C111" s="28" t="str">
        <f aca="false">IF($A111="","",IFERROR(INDEX('זה אני - קליטה'!$AI$5:$AI$204,MATCH($A111&amp;"|תחילת שנה",'זה אני - קליטה'!$AF$5:$AF$204,0)),""))</f>
        <v/>
      </c>
      <c r="D111" s="28" t="str">
        <f aca="false">IF($A111="","",IFERROR(INDEX('זה אני - קליטה'!$AJ$5:$AJ$204,MATCH($A111&amp;"|תחילת שנה",'זה אני - קליטה'!$AF$5:$AF$204,0)),""))</f>
        <v/>
      </c>
      <c r="E111" s="28" t="str">
        <f aca="false">IF($A111="","",IFERROR(INDEX('זה אני - קליטה'!$AK$5:$AK$204,MATCH($A111&amp;"|תחילת שנה",'זה אני - קליטה'!$AF$5:$AF$204,0)),""))</f>
        <v/>
      </c>
      <c r="F111" s="28" t="str">
        <f aca="false">IF($A111="","",IFERROR(INDEX('זה אני - קליטה'!$AL$5:$AL$204,MATCH($A111&amp;"|תחילת שנה",'זה אני - קליטה'!$AF$5:$AF$204,0)),""))</f>
        <v/>
      </c>
      <c r="G111" s="27" t="str">
        <f aca="false">IF($A111="","",IFERROR(INDEX('זה אני - קליטה'!$AG$5:$AG$204,MATCH($A111&amp;"|תחילת שנה",'זה אני - קליטה'!$AF$5:$AF$204,0)),""))</f>
        <v/>
      </c>
      <c r="H111" s="28" t="str">
        <f aca="false">IF($A111="","",IFERROR(INDEX('זה אני - קליטה'!$AN$5:$AN$204,MATCH($A111&amp;"|תחילת שנה",'זה אני - קליטה'!$AF$5:$AF$204,0)),""))</f>
        <v/>
      </c>
      <c r="I111" s="28" t="str">
        <f aca="false">IF($A111="","",IFERROR(INDEX('זה אני - קליטה'!$AH$5:$AH$204,MATCH($A111&amp;"|אמצע שנה",'זה אני - קליטה'!$AF$5:$AF$204,0)),""))</f>
        <v/>
      </c>
      <c r="J111" s="28" t="str">
        <f aca="false">IF($A111="","",IFERROR(INDEX('זה אני - קליטה'!$AI$5:$AI$204,MATCH($A111&amp;"|אמצע שנה",'זה אני - קליטה'!$AF$5:$AF$204,0)),""))</f>
        <v/>
      </c>
      <c r="K111" s="28" t="str">
        <f aca="false">IF($A111="","",IFERROR(INDEX('זה אני - קליטה'!$AJ$5:$AJ$204,MATCH($A111&amp;"|אמצע שנה",'זה אני - קליטה'!$AF$5:$AF$204,0)),""))</f>
        <v/>
      </c>
      <c r="L111" s="28" t="str">
        <f aca="false">IF($A111="","",IFERROR(INDEX('זה אני - קליטה'!$AK$5:$AK$204,MATCH($A111&amp;"|אמצע שנה",'זה אני - קליטה'!$AF$5:$AF$204,0)),""))</f>
        <v/>
      </c>
      <c r="M111" s="28" t="str">
        <f aca="false">IF($A111="","",IFERROR(INDEX('זה אני - קליטה'!$AL$5:$AL$204,MATCH($A111&amp;"|אמצע שנה",'זה אני - קליטה'!$AF$5:$AF$204,0)),""))</f>
        <v/>
      </c>
      <c r="N111" s="27" t="str">
        <f aca="false">IF($A111="","",IFERROR(INDEX('זה אני - קליטה'!$AG$5:$AG$204,MATCH($A111&amp;"|אמצע שנה",'זה אני - קליטה'!$AF$5:$AF$204,0)),""))</f>
        <v/>
      </c>
      <c r="O111" s="28" t="str">
        <f aca="false">IF($A111="","",IFERROR(INDEX('זה אני - קליטה'!$AN$5:$AN$204,MATCH($A111&amp;"|אמצע שנה",'זה אני - קליטה'!$AF$5:$AF$204,0)),""))</f>
        <v/>
      </c>
      <c r="P111" s="28" t="str">
        <f aca="false">IF($A111="","",IFERROR(INDEX('זה אני - קליטה'!$AH$5:$AH$204,MATCH($A111&amp;"|סוף שנה",'זה אני - קליטה'!$AF$5:$AF$204,0)),""))</f>
        <v/>
      </c>
      <c r="Q111" s="28" t="str">
        <f aca="false">IF($A111="","",IFERROR(INDEX('זה אני - קליטה'!$AI$5:$AI$204,MATCH($A111&amp;"|סוף שנה",'זה אני - קליטה'!$AF$5:$AF$204,0)),""))</f>
        <v/>
      </c>
      <c r="R111" s="28" t="str">
        <f aca="false">IF($A111="","",IFERROR(INDEX('זה אני - קליטה'!$AJ$5:$AJ$204,MATCH($A111&amp;"|סוף שנה",'זה אני - קליטה'!$AF$5:$AF$204,0)),""))</f>
        <v/>
      </c>
      <c r="S111" s="28" t="str">
        <f aca="false">IF($A111="","",IFERROR(INDEX('זה אני - קליטה'!$AK$5:$AK$204,MATCH($A111&amp;"|סוף שנה",'זה אני - קליטה'!$AF$5:$AF$204,0)),""))</f>
        <v/>
      </c>
      <c r="T111" s="28" t="str">
        <f aca="false">IF($A111="","",IFERROR(INDEX('זה אני - קליטה'!$AL$5:$AL$204,MATCH($A111&amp;"|סוף שנה",'זה אני - קליטה'!$AF$5:$AF$204,0)),""))</f>
        <v/>
      </c>
      <c r="U111" s="27" t="str">
        <f aca="false">IF($A111="","",IFERROR(INDEX('זה אני - קליטה'!$AG$5:$AG$204,MATCH($A111&amp;"|סוף שנה",'זה אני - קליטה'!$AF$5:$AF$204,0)),""))</f>
        <v/>
      </c>
      <c r="V111" s="28" t="str">
        <f aca="false">IF($A111="","",IFERROR(INDEX('זה אני - קליטה'!$AN$5:$AN$204,MATCH($A111&amp;"|סוף שנה",'זה אני - קליטה'!$AF$5:$AF$204,0)),""))</f>
        <v/>
      </c>
      <c r="W111" s="32" t="str">
        <f aca="false">IF(AND(ISNUMBER(F111),ISNUMBER(T111)),T111-F111,"")</f>
        <v/>
      </c>
      <c r="X111" s="27" t="str">
        <f aca="false">IF(W111="","",IF(W111&gt;=0.25,"עלייה",IF(W111&lt;=-0.25,"ירידה","יציב")))</f>
        <v/>
      </c>
    </row>
    <row r="112" customFormat="false" ht="15" hidden="false" customHeight="false" outlineLevel="0" collapsed="false">
      <c r="A112" s="29"/>
      <c r="B112" s="28" t="str">
        <f aca="false">IF($A112="","",IFERROR(INDEX('זה אני - קליטה'!$AH$5:$AH$204,MATCH($A112&amp;"|תחילת שנה",'זה אני - קליטה'!$AF$5:$AF$204,0)),""))</f>
        <v/>
      </c>
      <c r="C112" s="28" t="str">
        <f aca="false">IF($A112="","",IFERROR(INDEX('זה אני - קליטה'!$AI$5:$AI$204,MATCH($A112&amp;"|תחילת שנה",'זה אני - קליטה'!$AF$5:$AF$204,0)),""))</f>
        <v/>
      </c>
      <c r="D112" s="28" t="str">
        <f aca="false">IF($A112="","",IFERROR(INDEX('זה אני - קליטה'!$AJ$5:$AJ$204,MATCH($A112&amp;"|תחילת שנה",'זה אני - קליטה'!$AF$5:$AF$204,0)),""))</f>
        <v/>
      </c>
      <c r="E112" s="28" t="str">
        <f aca="false">IF($A112="","",IFERROR(INDEX('זה אני - קליטה'!$AK$5:$AK$204,MATCH($A112&amp;"|תחילת שנה",'זה אני - קליטה'!$AF$5:$AF$204,0)),""))</f>
        <v/>
      </c>
      <c r="F112" s="28" t="str">
        <f aca="false">IF($A112="","",IFERROR(INDEX('זה אני - קליטה'!$AL$5:$AL$204,MATCH($A112&amp;"|תחילת שנה",'זה אני - קליטה'!$AF$5:$AF$204,0)),""))</f>
        <v/>
      </c>
      <c r="G112" s="27" t="str">
        <f aca="false">IF($A112="","",IFERROR(INDEX('זה אני - קליטה'!$AG$5:$AG$204,MATCH($A112&amp;"|תחילת שנה",'זה אני - קליטה'!$AF$5:$AF$204,0)),""))</f>
        <v/>
      </c>
      <c r="H112" s="28" t="str">
        <f aca="false">IF($A112="","",IFERROR(INDEX('זה אני - קליטה'!$AN$5:$AN$204,MATCH($A112&amp;"|תחילת שנה",'זה אני - קליטה'!$AF$5:$AF$204,0)),""))</f>
        <v/>
      </c>
      <c r="I112" s="28" t="str">
        <f aca="false">IF($A112="","",IFERROR(INDEX('זה אני - קליטה'!$AH$5:$AH$204,MATCH($A112&amp;"|אמצע שנה",'זה אני - קליטה'!$AF$5:$AF$204,0)),""))</f>
        <v/>
      </c>
      <c r="J112" s="28" t="str">
        <f aca="false">IF($A112="","",IFERROR(INDEX('זה אני - קליטה'!$AI$5:$AI$204,MATCH($A112&amp;"|אמצע שנה",'זה אני - קליטה'!$AF$5:$AF$204,0)),""))</f>
        <v/>
      </c>
      <c r="K112" s="28" t="str">
        <f aca="false">IF($A112="","",IFERROR(INDEX('זה אני - קליטה'!$AJ$5:$AJ$204,MATCH($A112&amp;"|אמצע שנה",'זה אני - קליטה'!$AF$5:$AF$204,0)),""))</f>
        <v/>
      </c>
      <c r="L112" s="28" t="str">
        <f aca="false">IF($A112="","",IFERROR(INDEX('זה אני - קליטה'!$AK$5:$AK$204,MATCH($A112&amp;"|אמצע שנה",'זה אני - קליטה'!$AF$5:$AF$204,0)),""))</f>
        <v/>
      </c>
      <c r="M112" s="28" t="str">
        <f aca="false">IF($A112="","",IFERROR(INDEX('זה אני - קליטה'!$AL$5:$AL$204,MATCH($A112&amp;"|אמצע שנה",'זה אני - קליטה'!$AF$5:$AF$204,0)),""))</f>
        <v/>
      </c>
      <c r="N112" s="27" t="str">
        <f aca="false">IF($A112="","",IFERROR(INDEX('זה אני - קליטה'!$AG$5:$AG$204,MATCH($A112&amp;"|אמצע שנה",'זה אני - קליטה'!$AF$5:$AF$204,0)),""))</f>
        <v/>
      </c>
      <c r="O112" s="28" t="str">
        <f aca="false">IF($A112="","",IFERROR(INDEX('זה אני - קליטה'!$AN$5:$AN$204,MATCH($A112&amp;"|אמצע שנה",'זה אני - קליטה'!$AF$5:$AF$204,0)),""))</f>
        <v/>
      </c>
      <c r="P112" s="28" t="str">
        <f aca="false">IF($A112="","",IFERROR(INDEX('זה אני - קליטה'!$AH$5:$AH$204,MATCH($A112&amp;"|סוף שנה",'זה אני - קליטה'!$AF$5:$AF$204,0)),""))</f>
        <v/>
      </c>
      <c r="Q112" s="28" t="str">
        <f aca="false">IF($A112="","",IFERROR(INDEX('זה אני - קליטה'!$AI$5:$AI$204,MATCH($A112&amp;"|סוף שנה",'זה אני - קליטה'!$AF$5:$AF$204,0)),""))</f>
        <v/>
      </c>
      <c r="R112" s="28" t="str">
        <f aca="false">IF($A112="","",IFERROR(INDEX('זה אני - קליטה'!$AJ$5:$AJ$204,MATCH($A112&amp;"|סוף שנה",'זה אני - קליטה'!$AF$5:$AF$204,0)),""))</f>
        <v/>
      </c>
      <c r="S112" s="28" t="str">
        <f aca="false">IF($A112="","",IFERROR(INDEX('זה אני - קליטה'!$AK$5:$AK$204,MATCH($A112&amp;"|סוף שנה",'זה אני - קליטה'!$AF$5:$AF$204,0)),""))</f>
        <v/>
      </c>
      <c r="T112" s="28" t="str">
        <f aca="false">IF($A112="","",IFERROR(INDEX('זה אני - קליטה'!$AL$5:$AL$204,MATCH($A112&amp;"|סוף שנה",'זה אני - קליטה'!$AF$5:$AF$204,0)),""))</f>
        <v/>
      </c>
      <c r="U112" s="27" t="str">
        <f aca="false">IF($A112="","",IFERROR(INDEX('זה אני - קליטה'!$AG$5:$AG$204,MATCH($A112&amp;"|סוף שנה",'זה אני - קליטה'!$AF$5:$AF$204,0)),""))</f>
        <v/>
      </c>
      <c r="V112" s="28" t="str">
        <f aca="false">IF($A112="","",IFERROR(INDEX('זה אני - קליטה'!$AN$5:$AN$204,MATCH($A112&amp;"|סוף שנה",'זה אני - קליטה'!$AF$5:$AF$204,0)),""))</f>
        <v/>
      </c>
      <c r="W112" s="32" t="str">
        <f aca="false">IF(AND(ISNUMBER(F112),ISNUMBER(T112)),T112-F112,"")</f>
        <v/>
      </c>
      <c r="X112" s="27" t="str">
        <f aca="false">IF(W112="","",IF(W112&gt;=0.25,"עלייה",IF(W112&lt;=-0.25,"ירידה","יציב")))</f>
        <v/>
      </c>
    </row>
    <row r="113" customFormat="false" ht="15" hidden="false" customHeight="false" outlineLevel="0" collapsed="false">
      <c r="A113" s="29"/>
      <c r="B113" s="28" t="str">
        <f aca="false">IF($A113="","",IFERROR(INDEX('זה אני - קליטה'!$AH$5:$AH$204,MATCH($A113&amp;"|תחילת שנה",'זה אני - קליטה'!$AF$5:$AF$204,0)),""))</f>
        <v/>
      </c>
      <c r="C113" s="28" t="str">
        <f aca="false">IF($A113="","",IFERROR(INDEX('זה אני - קליטה'!$AI$5:$AI$204,MATCH($A113&amp;"|תחילת שנה",'זה אני - קליטה'!$AF$5:$AF$204,0)),""))</f>
        <v/>
      </c>
      <c r="D113" s="28" t="str">
        <f aca="false">IF($A113="","",IFERROR(INDEX('זה אני - קליטה'!$AJ$5:$AJ$204,MATCH($A113&amp;"|תחילת שנה",'זה אני - קליטה'!$AF$5:$AF$204,0)),""))</f>
        <v/>
      </c>
      <c r="E113" s="28" t="str">
        <f aca="false">IF($A113="","",IFERROR(INDEX('זה אני - קליטה'!$AK$5:$AK$204,MATCH($A113&amp;"|תחילת שנה",'זה אני - קליטה'!$AF$5:$AF$204,0)),""))</f>
        <v/>
      </c>
      <c r="F113" s="28" t="str">
        <f aca="false">IF($A113="","",IFERROR(INDEX('זה אני - קליטה'!$AL$5:$AL$204,MATCH($A113&amp;"|תחילת שנה",'זה אני - קליטה'!$AF$5:$AF$204,0)),""))</f>
        <v/>
      </c>
      <c r="G113" s="27" t="str">
        <f aca="false">IF($A113="","",IFERROR(INDEX('זה אני - קליטה'!$AG$5:$AG$204,MATCH($A113&amp;"|תחילת שנה",'זה אני - קליטה'!$AF$5:$AF$204,0)),""))</f>
        <v/>
      </c>
      <c r="H113" s="28" t="str">
        <f aca="false">IF($A113="","",IFERROR(INDEX('זה אני - קליטה'!$AN$5:$AN$204,MATCH($A113&amp;"|תחילת שנה",'זה אני - קליטה'!$AF$5:$AF$204,0)),""))</f>
        <v/>
      </c>
      <c r="I113" s="28" t="str">
        <f aca="false">IF($A113="","",IFERROR(INDEX('זה אני - קליטה'!$AH$5:$AH$204,MATCH($A113&amp;"|אמצע שנה",'זה אני - קליטה'!$AF$5:$AF$204,0)),""))</f>
        <v/>
      </c>
      <c r="J113" s="28" t="str">
        <f aca="false">IF($A113="","",IFERROR(INDEX('זה אני - קליטה'!$AI$5:$AI$204,MATCH($A113&amp;"|אמצע שנה",'זה אני - קליטה'!$AF$5:$AF$204,0)),""))</f>
        <v/>
      </c>
      <c r="K113" s="28" t="str">
        <f aca="false">IF($A113="","",IFERROR(INDEX('זה אני - קליטה'!$AJ$5:$AJ$204,MATCH($A113&amp;"|אמצע שנה",'זה אני - קליטה'!$AF$5:$AF$204,0)),""))</f>
        <v/>
      </c>
      <c r="L113" s="28" t="str">
        <f aca="false">IF($A113="","",IFERROR(INDEX('זה אני - קליטה'!$AK$5:$AK$204,MATCH($A113&amp;"|אמצע שנה",'זה אני - קליטה'!$AF$5:$AF$204,0)),""))</f>
        <v/>
      </c>
      <c r="M113" s="28" t="str">
        <f aca="false">IF($A113="","",IFERROR(INDEX('זה אני - קליטה'!$AL$5:$AL$204,MATCH($A113&amp;"|אמצע שנה",'זה אני - קליטה'!$AF$5:$AF$204,0)),""))</f>
        <v/>
      </c>
      <c r="N113" s="27" t="str">
        <f aca="false">IF($A113="","",IFERROR(INDEX('זה אני - קליטה'!$AG$5:$AG$204,MATCH($A113&amp;"|אמצע שנה",'זה אני - קליטה'!$AF$5:$AF$204,0)),""))</f>
        <v/>
      </c>
      <c r="O113" s="28" t="str">
        <f aca="false">IF($A113="","",IFERROR(INDEX('זה אני - קליטה'!$AN$5:$AN$204,MATCH($A113&amp;"|אמצע שנה",'זה אני - קליטה'!$AF$5:$AF$204,0)),""))</f>
        <v/>
      </c>
      <c r="P113" s="28" t="str">
        <f aca="false">IF($A113="","",IFERROR(INDEX('זה אני - קליטה'!$AH$5:$AH$204,MATCH($A113&amp;"|סוף שנה",'זה אני - קליטה'!$AF$5:$AF$204,0)),""))</f>
        <v/>
      </c>
      <c r="Q113" s="28" t="str">
        <f aca="false">IF($A113="","",IFERROR(INDEX('זה אני - קליטה'!$AI$5:$AI$204,MATCH($A113&amp;"|סוף שנה",'זה אני - קליטה'!$AF$5:$AF$204,0)),""))</f>
        <v/>
      </c>
      <c r="R113" s="28" t="str">
        <f aca="false">IF($A113="","",IFERROR(INDEX('זה אני - קליטה'!$AJ$5:$AJ$204,MATCH($A113&amp;"|סוף שנה",'זה אני - קליטה'!$AF$5:$AF$204,0)),""))</f>
        <v/>
      </c>
      <c r="S113" s="28" t="str">
        <f aca="false">IF($A113="","",IFERROR(INDEX('זה אני - קליטה'!$AK$5:$AK$204,MATCH($A113&amp;"|סוף שנה",'זה אני - קליטה'!$AF$5:$AF$204,0)),""))</f>
        <v/>
      </c>
      <c r="T113" s="28" t="str">
        <f aca="false">IF($A113="","",IFERROR(INDEX('זה אני - קליטה'!$AL$5:$AL$204,MATCH($A113&amp;"|סוף שנה",'זה אני - קליטה'!$AF$5:$AF$204,0)),""))</f>
        <v/>
      </c>
      <c r="U113" s="27" t="str">
        <f aca="false">IF($A113="","",IFERROR(INDEX('זה אני - קליטה'!$AG$5:$AG$204,MATCH($A113&amp;"|סוף שנה",'זה אני - קליטה'!$AF$5:$AF$204,0)),""))</f>
        <v/>
      </c>
      <c r="V113" s="28" t="str">
        <f aca="false">IF($A113="","",IFERROR(INDEX('זה אני - קליטה'!$AN$5:$AN$204,MATCH($A113&amp;"|סוף שנה",'זה אני - קליטה'!$AF$5:$AF$204,0)),""))</f>
        <v/>
      </c>
      <c r="W113" s="32" t="str">
        <f aca="false">IF(AND(ISNUMBER(F113),ISNUMBER(T113)),T113-F113,"")</f>
        <v/>
      </c>
      <c r="X113" s="27" t="str">
        <f aca="false">IF(W113="","",IF(W113&gt;=0.25,"עלייה",IF(W113&lt;=-0.25,"ירידה","יציב")))</f>
        <v/>
      </c>
    </row>
    <row r="114" customFormat="false" ht="15" hidden="false" customHeight="false" outlineLevel="0" collapsed="false">
      <c r="A114" s="29"/>
      <c r="B114" s="28" t="str">
        <f aca="false">IF($A114="","",IFERROR(INDEX('זה אני - קליטה'!$AH$5:$AH$204,MATCH($A114&amp;"|תחילת שנה",'זה אני - קליטה'!$AF$5:$AF$204,0)),""))</f>
        <v/>
      </c>
      <c r="C114" s="28" t="str">
        <f aca="false">IF($A114="","",IFERROR(INDEX('זה אני - קליטה'!$AI$5:$AI$204,MATCH($A114&amp;"|תחילת שנה",'זה אני - קליטה'!$AF$5:$AF$204,0)),""))</f>
        <v/>
      </c>
      <c r="D114" s="28" t="str">
        <f aca="false">IF($A114="","",IFERROR(INDEX('זה אני - קליטה'!$AJ$5:$AJ$204,MATCH($A114&amp;"|תחילת שנה",'זה אני - קליטה'!$AF$5:$AF$204,0)),""))</f>
        <v/>
      </c>
      <c r="E114" s="28" t="str">
        <f aca="false">IF($A114="","",IFERROR(INDEX('זה אני - קליטה'!$AK$5:$AK$204,MATCH($A114&amp;"|תחילת שנה",'זה אני - קליטה'!$AF$5:$AF$204,0)),""))</f>
        <v/>
      </c>
      <c r="F114" s="28" t="str">
        <f aca="false">IF($A114="","",IFERROR(INDEX('זה אני - קליטה'!$AL$5:$AL$204,MATCH($A114&amp;"|תחילת שנה",'זה אני - קליטה'!$AF$5:$AF$204,0)),""))</f>
        <v/>
      </c>
      <c r="G114" s="27" t="str">
        <f aca="false">IF($A114="","",IFERROR(INDEX('זה אני - קליטה'!$AG$5:$AG$204,MATCH($A114&amp;"|תחילת שנה",'זה אני - קליטה'!$AF$5:$AF$204,0)),""))</f>
        <v/>
      </c>
      <c r="H114" s="28" t="str">
        <f aca="false">IF($A114="","",IFERROR(INDEX('זה אני - קליטה'!$AN$5:$AN$204,MATCH($A114&amp;"|תחילת שנה",'זה אני - קליטה'!$AF$5:$AF$204,0)),""))</f>
        <v/>
      </c>
      <c r="I114" s="28" t="str">
        <f aca="false">IF($A114="","",IFERROR(INDEX('זה אני - קליטה'!$AH$5:$AH$204,MATCH($A114&amp;"|אמצע שנה",'זה אני - קליטה'!$AF$5:$AF$204,0)),""))</f>
        <v/>
      </c>
      <c r="J114" s="28" t="str">
        <f aca="false">IF($A114="","",IFERROR(INDEX('זה אני - קליטה'!$AI$5:$AI$204,MATCH($A114&amp;"|אמצע שנה",'זה אני - קליטה'!$AF$5:$AF$204,0)),""))</f>
        <v/>
      </c>
      <c r="K114" s="28" t="str">
        <f aca="false">IF($A114="","",IFERROR(INDEX('זה אני - קליטה'!$AJ$5:$AJ$204,MATCH($A114&amp;"|אמצע שנה",'זה אני - קליטה'!$AF$5:$AF$204,0)),""))</f>
        <v/>
      </c>
      <c r="L114" s="28" t="str">
        <f aca="false">IF($A114="","",IFERROR(INDEX('זה אני - קליטה'!$AK$5:$AK$204,MATCH($A114&amp;"|אמצע שנה",'זה אני - קליטה'!$AF$5:$AF$204,0)),""))</f>
        <v/>
      </c>
      <c r="M114" s="28" t="str">
        <f aca="false">IF($A114="","",IFERROR(INDEX('זה אני - קליטה'!$AL$5:$AL$204,MATCH($A114&amp;"|אמצע שנה",'זה אני - קליטה'!$AF$5:$AF$204,0)),""))</f>
        <v/>
      </c>
      <c r="N114" s="27" t="str">
        <f aca="false">IF($A114="","",IFERROR(INDEX('זה אני - קליטה'!$AG$5:$AG$204,MATCH($A114&amp;"|אמצע שנה",'זה אני - קליטה'!$AF$5:$AF$204,0)),""))</f>
        <v/>
      </c>
      <c r="O114" s="28" t="str">
        <f aca="false">IF($A114="","",IFERROR(INDEX('זה אני - קליטה'!$AN$5:$AN$204,MATCH($A114&amp;"|אמצע שנה",'זה אני - קליטה'!$AF$5:$AF$204,0)),""))</f>
        <v/>
      </c>
      <c r="P114" s="28" t="str">
        <f aca="false">IF($A114="","",IFERROR(INDEX('זה אני - קליטה'!$AH$5:$AH$204,MATCH($A114&amp;"|סוף שנה",'זה אני - קליטה'!$AF$5:$AF$204,0)),""))</f>
        <v/>
      </c>
      <c r="Q114" s="28" t="str">
        <f aca="false">IF($A114="","",IFERROR(INDEX('זה אני - קליטה'!$AI$5:$AI$204,MATCH($A114&amp;"|סוף שנה",'זה אני - קליטה'!$AF$5:$AF$204,0)),""))</f>
        <v/>
      </c>
      <c r="R114" s="28" t="str">
        <f aca="false">IF($A114="","",IFERROR(INDEX('זה אני - קליטה'!$AJ$5:$AJ$204,MATCH($A114&amp;"|סוף שנה",'זה אני - קליטה'!$AF$5:$AF$204,0)),""))</f>
        <v/>
      </c>
      <c r="S114" s="28" t="str">
        <f aca="false">IF($A114="","",IFERROR(INDEX('זה אני - קליטה'!$AK$5:$AK$204,MATCH($A114&amp;"|סוף שנה",'זה אני - קליטה'!$AF$5:$AF$204,0)),""))</f>
        <v/>
      </c>
      <c r="T114" s="28" t="str">
        <f aca="false">IF($A114="","",IFERROR(INDEX('זה אני - קליטה'!$AL$5:$AL$204,MATCH($A114&amp;"|סוף שנה",'זה אני - קליטה'!$AF$5:$AF$204,0)),""))</f>
        <v/>
      </c>
      <c r="U114" s="27" t="str">
        <f aca="false">IF($A114="","",IFERROR(INDEX('זה אני - קליטה'!$AG$5:$AG$204,MATCH($A114&amp;"|סוף שנה",'זה אני - קליטה'!$AF$5:$AF$204,0)),""))</f>
        <v/>
      </c>
      <c r="V114" s="28" t="str">
        <f aca="false">IF($A114="","",IFERROR(INDEX('זה אני - קליטה'!$AN$5:$AN$204,MATCH($A114&amp;"|סוף שנה",'זה אני - קליטה'!$AF$5:$AF$204,0)),""))</f>
        <v/>
      </c>
      <c r="W114" s="32" t="str">
        <f aca="false">IF(AND(ISNUMBER(F114),ISNUMBER(T114)),T114-F114,"")</f>
        <v/>
      </c>
      <c r="X114" s="27" t="str">
        <f aca="false">IF(W114="","",IF(W114&gt;=0.25,"עלייה",IF(W114&lt;=-0.25,"ירידה","יציב")))</f>
        <v/>
      </c>
    </row>
    <row r="115" customFormat="false" ht="15" hidden="false" customHeight="false" outlineLevel="0" collapsed="false">
      <c r="A115" s="29"/>
      <c r="B115" s="28" t="str">
        <f aca="false">IF($A115="","",IFERROR(INDEX('זה אני - קליטה'!$AH$5:$AH$204,MATCH($A115&amp;"|תחילת שנה",'זה אני - קליטה'!$AF$5:$AF$204,0)),""))</f>
        <v/>
      </c>
      <c r="C115" s="28" t="str">
        <f aca="false">IF($A115="","",IFERROR(INDEX('זה אני - קליטה'!$AI$5:$AI$204,MATCH($A115&amp;"|תחילת שנה",'זה אני - קליטה'!$AF$5:$AF$204,0)),""))</f>
        <v/>
      </c>
      <c r="D115" s="28" t="str">
        <f aca="false">IF($A115="","",IFERROR(INDEX('זה אני - קליטה'!$AJ$5:$AJ$204,MATCH($A115&amp;"|תחילת שנה",'זה אני - קליטה'!$AF$5:$AF$204,0)),""))</f>
        <v/>
      </c>
      <c r="E115" s="28" t="str">
        <f aca="false">IF($A115="","",IFERROR(INDEX('זה אני - קליטה'!$AK$5:$AK$204,MATCH($A115&amp;"|תחילת שנה",'זה אני - קליטה'!$AF$5:$AF$204,0)),""))</f>
        <v/>
      </c>
      <c r="F115" s="28" t="str">
        <f aca="false">IF($A115="","",IFERROR(INDEX('זה אני - קליטה'!$AL$5:$AL$204,MATCH($A115&amp;"|תחילת שנה",'זה אני - קליטה'!$AF$5:$AF$204,0)),""))</f>
        <v/>
      </c>
      <c r="G115" s="27" t="str">
        <f aca="false">IF($A115="","",IFERROR(INDEX('זה אני - קליטה'!$AG$5:$AG$204,MATCH($A115&amp;"|תחילת שנה",'זה אני - קליטה'!$AF$5:$AF$204,0)),""))</f>
        <v/>
      </c>
      <c r="H115" s="28" t="str">
        <f aca="false">IF($A115="","",IFERROR(INDEX('זה אני - קליטה'!$AN$5:$AN$204,MATCH($A115&amp;"|תחילת שנה",'זה אני - קליטה'!$AF$5:$AF$204,0)),""))</f>
        <v/>
      </c>
      <c r="I115" s="28" t="str">
        <f aca="false">IF($A115="","",IFERROR(INDEX('זה אני - קליטה'!$AH$5:$AH$204,MATCH($A115&amp;"|אמצע שנה",'זה אני - קליטה'!$AF$5:$AF$204,0)),""))</f>
        <v/>
      </c>
      <c r="J115" s="28" t="str">
        <f aca="false">IF($A115="","",IFERROR(INDEX('זה אני - קליטה'!$AI$5:$AI$204,MATCH($A115&amp;"|אמצע שנה",'זה אני - קליטה'!$AF$5:$AF$204,0)),""))</f>
        <v/>
      </c>
      <c r="K115" s="28" t="str">
        <f aca="false">IF($A115="","",IFERROR(INDEX('זה אני - קליטה'!$AJ$5:$AJ$204,MATCH($A115&amp;"|אמצע שנה",'זה אני - קליטה'!$AF$5:$AF$204,0)),""))</f>
        <v/>
      </c>
      <c r="L115" s="28" t="str">
        <f aca="false">IF($A115="","",IFERROR(INDEX('זה אני - קליטה'!$AK$5:$AK$204,MATCH($A115&amp;"|אמצע שנה",'זה אני - קליטה'!$AF$5:$AF$204,0)),""))</f>
        <v/>
      </c>
      <c r="M115" s="28" t="str">
        <f aca="false">IF($A115="","",IFERROR(INDEX('זה אני - קליטה'!$AL$5:$AL$204,MATCH($A115&amp;"|אמצע שנה",'זה אני - קליטה'!$AF$5:$AF$204,0)),""))</f>
        <v/>
      </c>
      <c r="N115" s="27" t="str">
        <f aca="false">IF($A115="","",IFERROR(INDEX('זה אני - קליטה'!$AG$5:$AG$204,MATCH($A115&amp;"|אמצע שנה",'זה אני - קליטה'!$AF$5:$AF$204,0)),""))</f>
        <v/>
      </c>
      <c r="O115" s="28" t="str">
        <f aca="false">IF($A115="","",IFERROR(INDEX('זה אני - קליטה'!$AN$5:$AN$204,MATCH($A115&amp;"|אמצע שנה",'זה אני - קליטה'!$AF$5:$AF$204,0)),""))</f>
        <v/>
      </c>
      <c r="P115" s="28" t="str">
        <f aca="false">IF($A115="","",IFERROR(INDEX('זה אני - קליטה'!$AH$5:$AH$204,MATCH($A115&amp;"|סוף שנה",'זה אני - קליטה'!$AF$5:$AF$204,0)),""))</f>
        <v/>
      </c>
      <c r="Q115" s="28" t="str">
        <f aca="false">IF($A115="","",IFERROR(INDEX('זה אני - קליטה'!$AI$5:$AI$204,MATCH($A115&amp;"|סוף שנה",'זה אני - קליטה'!$AF$5:$AF$204,0)),""))</f>
        <v/>
      </c>
      <c r="R115" s="28" t="str">
        <f aca="false">IF($A115="","",IFERROR(INDEX('זה אני - קליטה'!$AJ$5:$AJ$204,MATCH($A115&amp;"|סוף שנה",'זה אני - קליטה'!$AF$5:$AF$204,0)),""))</f>
        <v/>
      </c>
      <c r="S115" s="28" t="str">
        <f aca="false">IF($A115="","",IFERROR(INDEX('זה אני - קליטה'!$AK$5:$AK$204,MATCH($A115&amp;"|סוף שנה",'זה אני - קליטה'!$AF$5:$AF$204,0)),""))</f>
        <v/>
      </c>
      <c r="T115" s="28" t="str">
        <f aca="false">IF($A115="","",IFERROR(INDEX('זה אני - קליטה'!$AL$5:$AL$204,MATCH($A115&amp;"|סוף שנה",'זה אני - קליטה'!$AF$5:$AF$204,0)),""))</f>
        <v/>
      </c>
      <c r="U115" s="27" t="str">
        <f aca="false">IF($A115="","",IFERROR(INDEX('זה אני - קליטה'!$AG$5:$AG$204,MATCH($A115&amp;"|סוף שנה",'זה אני - קליטה'!$AF$5:$AF$204,0)),""))</f>
        <v/>
      </c>
      <c r="V115" s="28" t="str">
        <f aca="false">IF($A115="","",IFERROR(INDEX('זה אני - קליטה'!$AN$5:$AN$204,MATCH($A115&amp;"|סוף שנה",'זה אני - קליטה'!$AF$5:$AF$204,0)),""))</f>
        <v/>
      </c>
      <c r="W115" s="32" t="str">
        <f aca="false">IF(AND(ISNUMBER(F115),ISNUMBER(T115)),T115-F115,"")</f>
        <v/>
      </c>
      <c r="X115" s="27" t="str">
        <f aca="false">IF(W115="","",IF(W115&gt;=0.25,"עלייה",IF(W115&lt;=-0.25,"ירידה","יציב")))</f>
        <v/>
      </c>
    </row>
    <row r="116" customFormat="false" ht="15" hidden="false" customHeight="false" outlineLevel="0" collapsed="false">
      <c r="A116" s="29"/>
      <c r="B116" s="28" t="str">
        <f aca="false">IF($A116="","",IFERROR(INDEX('זה אני - קליטה'!$AH$5:$AH$204,MATCH($A116&amp;"|תחילת שנה",'זה אני - קליטה'!$AF$5:$AF$204,0)),""))</f>
        <v/>
      </c>
      <c r="C116" s="28" t="str">
        <f aca="false">IF($A116="","",IFERROR(INDEX('זה אני - קליטה'!$AI$5:$AI$204,MATCH($A116&amp;"|תחילת שנה",'זה אני - קליטה'!$AF$5:$AF$204,0)),""))</f>
        <v/>
      </c>
      <c r="D116" s="28" t="str">
        <f aca="false">IF($A116="","",IFERROR(INDEX('זה אני - קליטה'!$AJ$5:$AJ$204,MATCH($A116&amp;"|תחילת שנה",'זה אני - קליטה'!$AF$5:$AF$204,0)),""))</f>
        <v/>
      </c>
      <c r="E116" s="28" t="str">
        <f aca="false">IF($A116="","",IFERROR(INDEX('זה אני - קליטה'!$AK$5:$AK$204,MATCH($A116&amp;"|תחילת שנה",'זה אני - קליטה'!$AF$5:$AF$204,0)),""))</f>
        <v/>
      </c>
      <c r="F116" s="28" t="str">
        <f aca="false">IF($A116="","",IFERROR(INDEX('זה אני - קליטה'!$AL$5:$AL$204,MATCH($A116&amp;"|תחילת שנה",'זה אני - קליטה'!$AF$5:$AF$204,0)),""))</f>
        <v/>
      </c>
      <c r="G116" s="27" t="str">
        <f aca="false">IF($A116="","",IFERROR(INDEX('זה אני - קליטה'!$AG$5:$AG$204,MATCH($A116&amp;"|תחילת שנה",'זה אני - קליטה'!$AF$5:$AF$204,0)),""))</f>
        <v/>
      </c>
      <c r="H116" s="28" t="str">
        <f aca="false">IF($A116="","",IFERROR(INDEX('זה אני - קליטה'!$AN$5:$AN$204,MATCH($A116&amp;"|תחילת שנה",'זה אני - קליטה'!$AF$5:$AF$204,0)),""))</f>
        <v/>
      </c>
      <c r="I116" s="28" t="str">
        <f aca="false">IF($A116="","",IFERROR(INDEX('זה אני - קליטה'!$AH$5:$AH$204,MATCH($A116&amp;"|אמצע שנה",'זה אני - קליטה'!$AF$5:$AF$204,0)),""))</f>
        <v/>
      </c>
      <c r="J116" s="28" t="str">
        <f aca="false">IF($A116="","",IFERROR(INDEX('זה אני - קליטה'!$AI$5:$AI$204,MATCH($A116&amp;"|אמצע שנה",'זה אני - קליטה'!$AF$5:$AF$204,0)),""))</f>
        <v/>
      </c>
      <c r="K116" s="28" t="str">
        <f aca="false">IF($A116="","",IFERROR(INDEX('זה אני - קליטה'!$AJ$5:$AJ$204,MATCH($A116&amp;"|אמצע שנה",'זה אני - קליטה'!$AF$5:$AF$204,0)),""))</f>
        <v/>
      </c>
      <c r="L116" s="28" t="str">
        <f aca="false">IF($A116="","",IFERROR(INDEX('זה אני - קליטה'!$AK$5:$AK$204,MATCH($A116&amp;"|אמצע שנה",'זה אני - קליטה'!$AF$5:$AF$204,0)),""))</f>
        <v/>
      </c>
      <c r="M116" s="28" t="str">
        <f aca="false">IF($A116="","",IFERROR(INDEX('זה אני - קליטה'!$AL$5:$AL$204,MATCH($A116&amp;"|אמצע שנה",'זה אני - קליטה'!$AF$5:$AF$204,0)),""))</f>
        <v/>
      </c>
      <c r="N116" s="27" t="str">
        <f aca="false">IF($A116="","",IFERROR(INDEX('זה אני - קליטה'!$AG$5:$AG$204,MATCH($A116&amp;"|אמצע שנה",'זה אני - קליטה'!$AF$5:$AF$204,0)),""))</f>
        <v/>
      </c>
      <c r="O116" s="28" t="str">
        <f aca="false">IF($A116="","",IFERROR(INDEX('זה אני - קליטה'!$AN$5:$AN$204,MATCH($A116&amp;"|אמצע שנה",'זה אני - קליטה'!$AF$5:$AF$204,0)),""))</f>
        <v/>
      </c>
      <c r="P116" s="28" t="str">
        <f aca="false">IF($A116="","",IFERROR(INDEX('זה אני - קליטה'!$AH$5:$AH$204,MATCH($A116&amp;"|סוף שנה",'זה אני - קליטה'!$AF$5:$AF$204,0)),""))</f>
        <v/>
      </c>
      <c r="Q116" s="28" t="str">
        <f aca="false">IF($A116="","",IFERROR(INDEX('זה אני - קליטה'!$AI$5:$AI$204,MATCH($A116&amp;"|סוף שנה",'זה אני - קליטה'!$AF$5:$AF$204,0)),""))</f>
        <v/>
      </c>
      <c r="R116" s="28" t="str">
        <f aca="false">IF($A116="","",IFERROR(INDEX('זה אני - קליטה'!$AJ$5:$AJ$204,MATCH($A116&amp;"|סוף שנה",'זה אני - קליטה'!$AF$5:$AF$204,0)),""))</f>
        <v/>
      </c>
      <c r="S116" s="28" t="str">
        <f aca="false">IF($A116="","",IFERROR(INDEX('זה אני - קליטה'!$AK$5:$AK$204,MATCH($A116&amp;"|סוף שנה",'זה אני - קליטה'!$AF$5:$AF$204,0)),""))</f>
        <v/>
      </c>
      <c r="T116" s="28" t="str">
        <f aca="false">IF($A116="","",IFERROR(INDEX('זה אני - קליטה'!$AL$5:$AL$204,MATCH($A116&amp;"|סוף שנה",'זה אני - קליטה'!$AF$5:$AF$204,0)),""))</f>
        <v/>
      </c>
      <c r="U116" s="27" t="str">
        <f aca="false">IF($A116="","",IFERROR(INDEX('זה אני - קליטה'!$AG$5:$AG$204,MATCH($A116&amp;"|סוף שנה",'זה אני - קליטה'!$AF$5:$AF$204,0)),""))</f>
        <v/>
      </c>
      <c r="V116" s="28" t="str">
        <f aca="false">IF($A116="","",IFERROR(INDEX('זה אני - קליטה'!$AN$5:$AN$204,MATCH($A116&amp;"|סוף שנה",'זה אני - קליטה'!$AF$5:$AF$204,0)),""))</f>
        <v/>
      </c>
      <c r="W116" s="32" t="str">
        <f aca="false">IF(AND(ISNUMBER(F116),ISNUMBER(T116)),T116-F116,"")</f>
        <v/>
      </c>
      <c r="X116" s="27" t="str">
        <f aca="false">IF(W116="","",IF(W116&gt;=0.25,"עלייה",IF(W116&lt;=-0.25,"ירידה","יציב")))</f>
        <v/>
      </c>
    </row>
    <row r="117" customFormat="false" ht="15" hidden="false" customHeight="false" outlineLevel="0" collapsed="false">
      <c r="A117" s="29"/>
      <c r="B117" s="28" t="str">
        <f aca="false">IF($A117="","",IFERROR(INDEX('זה אני - קליטה'!$AH$5:$AH$204,MATCH($A117&amp;"|תחילת שנה",'זה אני - קליטה'!$AF$5:$AF$204,0)),""))</f>
        <v/>
      </c>
      <c r="C117" s="28" t="str">
        <f aca="false">IF($A117="","",IFERROR(INDEX('זה אני - קליטה'!$AI$5:$AI$204,MATCH($A117&amp;"|תחילת שנה",'זה אני - קליטה'!$AF$5:$AF$204,0)),""))</f>
        <v/>
      </c>
      <c r="D117" s="28" t="str">
        <f aca="false">IF($A117="","",IFERROR(INDEX('זה אני - קליטה'!$AJ$5:$AJ$204,MATCH($A117&amp;"|תחילת שנה",'זה אני - קליטה'!$AF$5:$AF$204,0)),""))</f>
        <v/>
      </c>
      <c r="E117" s="28" t="str">
        <f aca="false">IF($A117="","",IFERROR(INDEX('זה אני - קליטה'!$AK$5:$AK$204,MATCH($A117&amp;"|תחילת שנה",'זה אני - קליטה'!$AF$5:$AF$204,0)),""))</f>
        <v/>
      </c>
      <c r="F117" s="28" t="str">
        <f aca="false">IF($A117="","",IFERROR(INDEX('זה אני - קליטה'!$AL$5:$AL$204,MATCH($A117&amp;"|תחילת שנה",'זה אני - קליטה'!$AF$5:$AF$204,0)),""))</f>
        <v/>
      </c>
      <c r="G117" s="27" t="str">
        <f aca="false">IF($A117="","",IFERROR(INDEX('זה אני - קליטה'!$AG$5:$AG$204,MATCH($A117&amp;"|תחילת שנה",'זה אני - קליטה'!$AF$5:$AF$204,0)),""))</f>
        <v/>
      </c>
      <c r="H117" s="28" t="str">
        <f aca="false">IF($A117="","",IFERROR(INDEX('זה אני - קליטה'!$AN$5:$AN$204,MATCH($A117&amp;"|תחילת שנה",'זה אני - קליטה'!$AF$5:$AF$204,0)),""))</f>
        <v/>
      </c>
      <c r="I117" s="28" t="str">
        <f aca="false">IF($A117="","",IFERROR(INDEX('זה אני - קליטה'!$AH$5:$AH$204,MATCH($A117&amp;"|אמצע שנה",'זה אני - קליטה'!$AF$5:$AF$204,0)),""))</f>
        <v/>
      </c>
      <c r="J117" s="28" t="str">
        <f aca="false">IF($A117="","",IFERROR(INDEX('זה אני - קליטה'!$AI$5:$AI$204,MATCH($A117&amp;"|אמצע שנה",'זה אני - קליטה'!$AF$5:$AF$204,0)),""))</f>
        <v/>
      </c>
      <c r="K117" s="28" t="str">
        <f aca="false">IF($A117="","",IFERROR(INDEX('זה אני - קליטה'!$AJ$5:$AJ$204,MATCH($A117&amp;"|אמצע שנה",'זה אני - קליטה'!$AF$5:$AF$204,0)),""))</f>
        <v/>
      </c>
      <c r="L117" s="28" t="str">
        <f aca="false">IF($A117="","",IFERROR(INDEX('זה אני - קליטה'!$AK$5:$AK$204,MATCH($A117&amp;"|אמצע שנה",'זה אני - קליטה'!$AF$5:$AF$204,0)),""))</f>
        <v/>
      </c>
      <c r="M117" s="28" t="str">
        <f aca="false">IF($A117="","",IFERROR(INDEX('זה אני - קליטה'!$AL$5:$AL$204,MATCH($A117&amp;"|אמצע שנה",'זה אני - קליטה'!$AF$5:$AF$204,0)),""))</f>
        <v/>
      </c>
      <c r="N117" s="27" t="str">
        <f aca="false">IF($A117="","",IFERROR(INDEX('זה אני - קליטה'!$AG$5:$AG$204,MATCH($A117&amp;"|אמצע שנה",'זה אני - קליטה'!$AF$5:$AF$204,0)),""))</f>
        <v/>
      </c>
      <c r="O117" s="28" t="str">
        <f aca="false">IF($A117="","",IFERROR(INDEX('זה אני - קליטה'!$AN$5:$AN$204,MATCH($A117&amp;"|אמצע שנה",'זה אני - קליטה'!$AF$5:$AF$204,0)),""))</f>
        <v/>
      </c>
      <c r="P117" s="28" t="str">
        <f aca="false">IF($A117="","",IFERROR(INDEX('זה אני - קליטה'!$AH$5:$AH$204,MATCH($A117&amp;"|סוף שנה",'זה אני - קליטה'!$AF$5:$AF$204,0)),""))</f>
        <v/>
      </c>
      <c r="Q117" s="28" t="str">
        <f aca="false">IF($A117="","",IFERROR(INDEX('זה אני - קליטה'!$AI$5:$AI$204,MATCH($A117&amp;"|סוף שנה",'זה אני - קליטה'!$AF$5:$AF$204,0)),""))</f>
        <v/>
      </c>
      <c r="R117" s="28" t="str">
        <f aca="false">IF($A117="","",IFERROR(INDEX('זה אני - קליטה'!$AJ$5:$AJ$204,MATCH($A117&amp;"|סוף שנה",'זה אני - קליטה'!$AF$5:$AF$204,0)),""))</f>
        <v/>
      </c>
      <c r="S117" s="28" t="str">
        <f aca="false">IF($A117="","",IFERROR(INDEX('זה אני - קליטה'!$AK$5:$AK$204,MATCH($A117&amp;"|סוף שנה",'זה אני - קליטה'!$AF$5:$AF$204,0)),""))</f>
        <v/>
      </c>
      <c r="T117" s="28" t="str">
        <f aca="false">IF($A117="","",IFERROR(INDEX('זה אני - קליטה'!$AL$5:$AL$204,MATCH($A117&amp;"|סוף שנה",'זה אני - קליטה'!$AF$5:$AF$204,0)),""))</f>
        <v/>
      </c>
      <c r="U117" s="27" t="str">
        <f aca="false">IF($A117="","",IFERROR(INDEX('זה אני - קליטה'!$AG$5:$AG$204,MATCH($A117&amp;"|סוף שנה",'זה אני - קליטה'!$AF$5:$AF$204,0)),""))</f>
        <v/>
      </c>
      <c r="V117" s="28" t="str">
        <f aca="false">IF($A117="","",IFERROR(INDEX('זה אני - קליטה'!$AN$5:$AN$204,MATCH($A117&amp;"|סוף שנה",'זה אני - קליטה'!$AF$5:$AF$204,0)),""))</f>
        <v/>
      </c>
      <c r="W117" s="32" t="str">
        <f aca="false">IF(AND(ISNUMBER(F117),ISNUMBER(T117)),T117-F117,"")</f>
        <v/>
      </c>
      <c r="X117" s="27" t="str">
        <f aca="false">IF(W117="","",IF(W117&gt;=0.25,"עלייה",IF(W117&lt;=-0.25,"ירידה","יציב")))</f>
        <v/>
      </c>
    </row>
    <row r="118" customFormat="false" ht="15" hidden="false" customHeight="false" outlineLevel="0" collapsed="false">
      <c r="A118" s="29"/>
      <c r="B118" s="28" t="str">
        <f aca="false">IF($A118="","",IFERROR(INDEX('זה אני - קליטה'!$AH$5:$AH$204,MATCH($A118&amp;"|תחילת שנה",'זה אני - קליטה'!$AF$5:$AF$204,0)),""))</f>
        <v/>
      </c>
      <c r="C118" s="28" t="str">
        <f aca="false">IF($A118="","",IFERROR(INDEX('זה אני - קליטה'!$AI$5:$AI$204,MATCH($A118&amp;"|תחילת שנה",'זה אני - קליטה'!$AF$5:$AF$204,0)),""))</f>
        <v/>
      </c>
      <c r="D118" s="28" t="str">
        <f aca="false">IF($A118="","",IFERROR(INDEX('זה אני - קליטה'!$AJ$5:$AJ$204,MATCH($A118&amp;"|תחילת שנה",'זה אני - קליטה'!$AF$5:$AF$204,0)),""))</f>
        <v/>
      </c>
      <c r="E118" s="28" t="str">
        <f aca="false">IF($A118="","",IFERROR(INDEX('זה אני - קליטה'!$AK$5:$AK$204,MATCH($A118&amp;"|תחילת שנה",'זה אני - קליטה'!$AF$5:$AF$204,0)),""))</f>
        <v/>
      </c>
      <c r="F118" s="28" t="str">
        <f aca="false">IF($A118="","",IFERROR(INDEX('זה אני - קליטה'!$AL$5:$AL$204,MATCH($A118&amp;"|תחילת שנה",'זה אני - קליטה'!$AF$5:$AF$204,0)),""))</f>
        <v/>
      </c>
      <c r="G118" s="27" t="str">
        <f aca="false">IF($A118="","",IFERROR(INDEX('זה אני - קליטה'!$AG$5:$AG$204,MATCH($A118&amp;"|תחילת שנה",'זה אני - קליטה'!$AF$5:$AF$204,0)),""))</f>
        <v/>
      </c>
      <c r="H118" s="28" t="str">
        <f aca="false">IF($A118="","",IFERROR(INDEX('זה אני - קליטה'!$AN$5:$AN$204,MATCH($A118&amp;"|תחילת שנה",'זה אני - קליטה'!$AF$5:$AF$204,0)),""))</f>
        <v/>
      </c>
      <c r="I118" s="28" t="str">
        <f aca="false">IF($A118="","",IFERROR(INDEX('זה אני - קליטה'!$AH$5:$AH$204,MATCH($A118&amp;"|אמצע שנה",'זה אני - קליטה'!$AF$5:$AF$204,0)),""))</f>
        <v/>
      </c>
      <c r="J118" s="28" t="str">
        <f aca="false">IF($A118="","",IFERROR(INDEX('זה אני - קליטה'!$AI$5:$AI$204,MATCH($A118&amp;"|אמצע שנה",'זה אני - קליטה'!$AF$5:$AF$204,0)),""))</f>
        <v/>
      </c>
      <c r="K118" s="28" t="str">
        <f aca="false">IF($A118="","",IFERROR(INDEX('זה אני - קליטה'!$AJ$5:$AJ$204,MATCH($A118&amp;"|אמצע שנה",'זה אני - קליטה'!$AF$5:$AF$204,0)),""))</f>
        <v/>
      </c>
      <c r="L118" s="28" t="str">
        <f aca="false">IF($A118="","",IFERROR(INDEX('זה אני - קליטה'!$AK$5:$AK$204,MATCH($A118&amp;"|אמצע שנה",'זה אני - קליטה'!$AF$5:$AF$204,0)),""))</f>
        <v/>
      </c>
      <c r="M118" s="28" t="str">
        <f aca="false">IF($A118="","",IFERROR(INDEX('זה אני - קליטה'!$AL$5:$AL$204,MATCH($A118&amp;"|אמצע שנה",'זה אני - קליטה'!$AF$5:$AF$204,0)),""))</f>
        <v/>
      </c>
      <c r="N118" s="27" t="str">
        <f aca="false">IF($A118="","",IFERROR(INDEX('זה אני - קליטה'!$AG$5:$AG$204,MATCH($A118&amp;"|אמצע שנה",'זה אני - קליטה'!$AF$5:$AF$204,0)),""))</f>
        <v/>
      </c>
      <c r="O118" s="28" t="str">
        <f aca="false">IF($A118="","",IFERROR(INDEX('זה אני - קליטה'!$AN$5:$AN$204,MATCH($A118&amp;"|אמצע שנה",'זה אני - קליטה'!$AF$5:$AF$204,0)),""))</f>
        <v/>
      </c>
      <c r="P118" s="28" t="str">
        <f aca="false">IF($A118="","",IFERROR(INDEX('זה אני - קליטה'!$AH$5:$AH$204,MATCH($A118&amp;"|סוף שנה",'זה אני - קליטה'!$AF$5:$AF$204,0)),""))</f>
        <v/>
      </c>
      <c r="Q118" s="28" t="str">
        <f aca="false">IF($A118="","",IFERROR(INDEX('זה אני - קליטה'!$AI$5:$AI$204,MATCH($A118&amp;"|סוף שנה",'זה אני - קליטה'!$AF$5:$AF$204,0)),""))</f>
        <v/>
      </c>
      <c r="R118" s="28" t="str">
        <f aca="false">IF($A118="","",IFERROR(INDEX('זה אני - קליטה'!$AJ$5:$AJ$204,MATCH($A118&amp;"|סוף שנה",'זה אני - קליטה'!$AF$5:$AF$204,0)),""))</f>
        <v/>
      </c>
      <c r="S118" s="28" t="str">
        <f aca="false">IF($A118="","",IFERROR(INDEX('זה אני - קליטה'!$AK$5:$AK$204,MATCH($A118&amp;"|סוף שנה",'זה אני - קליטה'!$AF$5:$AF$204,0)),""))</f>
        <v/>
      </c>
      <c r="T118" s="28" t="str">
        <f aca="false">IF($A118="","",IFERROR(INDEX('זה אני - קליטה'!$AL$5:$AL$204,MATCH($A118&amp;"|סוף שנה",'זה אני - קליטה'!$AF$5:$AF$204,0)),""))</f>
        <v/>
      </c>
      <c r="U118" s="27" t="str">
        <f aca="false">IF($A118="","",IFERROR(INDEX('זה אני - קליטה'!$AG$5:$AG$204,MATCH($A118&amp;"|סוף שנה",'זה אני - קליטה'!$AF$5:$AF$204,0)),""))</f>
        <v/>
      </c>
      <c r="V118" s="28" t="str">
        <f aca="false">IF($A118="","",IFERROR(INDEX('זה אני - קליטה'!$AN$5:$AN$204,MATCH($A118&amp;"|סוף שנה",'זה אני - קליטה'!$AF$5:$AF$204,0)),""))</f>
        <v/>
      </c>
      <c r="W118" s="32" t="str">
        <f aca="false">IF(AND(ISNUMBER(F118),ISNUMBER(T118)),T118-F118,"")</f>
        <v/>
      </c>
      <c r="X118" s="27" t="str">
        <f aca="false">IF(W118="","",IF(W118&gt;=0.25,"עלייה",IF(W118&lt;=-0.25,"ירידה","יציב")))</f>
        <v/>
      </c>
    </row>
    <row r="119" customFormat="false" ht="15" hidden="false" customHeight="false" outlineLevel="0" collapsed="false">
      <c r="A119" s="29"/>
      <c r="B119" s="28" t="str">
        <f aca="false">IF($A119="","",IFERROR(INDEX('זה אני - קליטה'!$AH$5:$AH$204,MATCH($A119&amp;"|תחילת שנה",'זה אני - קליטה'!$AF$5:$AF$204,0)),""))</f>
        <v/>
      </c>
      <c r="C119" s="28" t="str">
        <f aca="false">IF($A119="","",IFERROR(INDEX('זה אני - קליטה'!$AI$5:$AI$204,MATCH($A119&amp;"|תחילת שנה",'זה אני - קליטה'!$AF$5:$AF$204,0)),""))</f>
        <v/>
      </c>
      <c r="D119" s="28" t="str">
        <f aca="false">IF($A119="","",IFERROR(INDEX('זה אני - קליטה'!$AJ$5:$AJ$204,MATCH($A119&amp;"|תחילת שנה",'זה אני - קליטה'!$AF$5:$AF$204,0)),""))</f>
        <v/>
      </c>
      <c r="E119" s="28" t="str">
        <f aca="false">IF($A119="","",IFERROR(INDEX('זה אני - קליטה'!$AK$5:$AK$204,MATCH($A119&amp;"|תחילת שנה",'זה אני - קליטה'!$AF$5:$AF$204,0)),""))</f>
        <v/>
      </c>
      <c r="F119" s="28" t="str">
        <f aca="false">IF($A119="","",IFERROR(INDEX('זה אני - קליטה'!$AL$5:$AL$204,MATCH($A119&amp;"|תחילת שנה",'זה אני - קליטה'!$AF$5:$AF$204,0)),""))</f>
        <v/>
      </c>
      <c r="G119" s="27" t="str">
        <f aca="false">IF($A119="","",IFERROR(INDEX('זה אני - קליטה'!$AG$5:$AG$204,MATCH($A119&amp;"|תחילת שנה",'זה אני - קליטה'!$AF$5:$AF$204,0)),""))</f>
        <v/>
      </c>
      <c r="H119" s="28" t="str">
        <f aca="false">IF($A119="","",IFERROR(INDEX('זה אני - קליטה'!$AN$5:$AN$204,MATCH($A119&amp;"|תחילת שנה",'זה אני - קליטה'!$AF$5:$AF$204,0)),""))</f>
        <v/>
      </c>
      <c r="I119" s="28" t="str">
        <f aca="false">IF($A119="","",IFERROR(INDEX('זה אני - קליטה'!$AH$5:$AH$204,MATCH($A119&amp;"|אמצע שנה",'זה אני - קליטה'!$AF$5:$AF$204,0)),""))</f>
        <v/>
      </c>
      <c r="J119" s="28" t="str">
        <f aca="false">IF($A119="","",IFERROR(INDEX('זה אני - קליטה'!$AI$5:$AI$204,MATCH($A119&amp;"|אמצע שנה",'זה אני - קליטה'!$AF$5:$AF$204,0)),""))</f>
        <v/>
      </c>
      <c r="K119" s="28" t="str">
        <f aca="false">IF($A119="","",IFERROR(INDEX('זה אני - קליטה'!$AJ$5:$AJ$204,MATCH($A119&amp;"|אמצע שנה",'זה אני - קליטה'!$AF$5:$AF$204,0)),""))</f>
        <v/>
      </c>
      <c r="L119" s="28" t="str">
        <f aca="false">IF($A119="","",IFERROR(INDEX('זה אני - קליטה'!$AK$5:$AK$204,MATCH($A119&amp;"|אמצע שנה",'זה אני - קליטה'!$AF$5:$AF$204,0)),""))</f>
        <v/>
      </c>
      <c r="M119" s="28" t="str">
        <f aca="false">IF($A119="","",IFERROR(INDEX('זה אני - קליטה'!$AL$5:$AL$204,MATCH($A119&amp;"|אמצע שנה",'זה אני - קליטה'!$AF$5:$AF$204,0)),""))</f>
        <v/>
      </c>
      <c r="N119" s="27" t="str">
        <f aca="false">IF($A119="","",IFERROR(INDEX('זה אני - קליטה'!$AG$5:$AG$204,MATCH($A119&amp;"|אמצע שנה",'זה אני - קליטה'!$AF$5:$AF$204,0)),""))</f>
        <v/>
      </c>
      <c r="O119" s="28" t="str">
        <f aca="false">IF($A119="","",IFERROR(INDEX('זה אני - קליטה'!$AN$5:$AN$204,MATCH($A119&amp;"|אמצע שנה",'זה אני - קליטה'!$AF$5:$AF$204,0)),""))</f>
        <v/>
      </c>
      <c r="P119" s="28" t="str">
        <f aca="false">IF($A119="","",IFERROR(INDEX('זה אני - קליטה'!$AH$5:$AH$204,MATCH($A119&amp;"|סוף שנה",'זה אני - קליטה'!$AF$5:$AF$204,0)),""))</f>
        <v/>
      </c>
      <c r="Q119" s="28" t="str">
        <f aca="false">IF($A119="","",IFERROR(INDEX('זה אני - קליטה'!$AI$5:$AI$204,MATCH($A119&amp;"|סוף שנה",'זה אני - קליטה'!$AF$5:$AF$204,0)),""))</f>
        <v/>
      </c>
      <c r="R119" s="28" t="str">
        <f aca="false">IF($A119="","",IFERROR(INDEX('זה אני - קליטה'!$AJ$5:$AJ$204,MATCH($A119&amp;"|סוף שנה",'זה אני - קליטה'!$AF$5:$AF$204,0)),""))</f>
        <v/>
      </c>
      <c r="S119" s="28" t="str">
        <f aca="false">IF($A119="","",IFERROR(INDEX('זה אני - קליטה'!$AK$5:$AK$204,MATCH($A119&amp;"|סוף שנה",'זה אני - קליטה'!$AF$5:$AF$204,0)),""))</f>
        <v/>
      </c>
      <c r="T119" s="28" t="str">
        <f aca="false">IF($A119="","",IFERROR(INDEX('זה אני - קליטה'!$AL$5:$AL$204,MATCH($A119&amp;"|סוף שנה",'זה אני - קליטה'!$AF$5:$AF$204,0)),""))</f>
        <v/>
      </c>
      <c r="U119" s="27" t="str">
        <f aca="false">IF($A119="","",IFERROR(INDEX('זה אני - קליטה'!$AG$5:$AG$204,MATCH($A119&amp;"|סוף שנה",'זה אני - קליטה'!$AF$5:$AF$204,0)),""))</f>
        <v/>
      </c>
      <c r="V119" s="28" t="str">
        <f aca="false">IF($A119="","",IFERROR(INDEX('זה אני - קליטה'!$AN$5:$AN$204,MATCH($A119&amp;"|סוף שנה",'זה אני - קליטה'!$AF$5:$AF$204,0)),""))</f>
        <v/>
      </c>
      <c r="W119" s="32" t="str">
        <f aca="false">IF(AND(ISNUMBER(F119),ISNUMBER(T119)),T119-F119,"")</f>
        <v/>
      </c>
      <c r="X119" s="27" t="str">
        <f aca="false">IF(W119="","",IF(W119&gt;=0.25,"עלייה",IF(W119&lt;=-0.25,"ירידה","יציב")))</f>
        <v/>
      </c>
    </row>
    <row r="120" customFormat="false" ht="15" hidden="false" customHeight="false" outlineLevel="0" collapsed="false">
      <c r="A120" s="29"/>
      <c r="B120" s="28" t="str">
        <f aca="false">IF($A120="","",IFERROR(INDEX('זה אני - קליטה'!$AH$5:$AH$204,MATCH($A120&amp;"|תחילת שנה",'זה אני - קליטה'!$AF$5:$AF$204,0)),""))</f>
        <v/>
      </c>
      <c r="C120" s="28" t="str">
        <f aca="false">IF($A120="","",IFERROR(INDEX('זה אני - קליטה'!$AI$5:$AI$204,MATCH($A120&amp;"|תחילת שנה",'זה אני - קליטה'!$AF$5:$AF$204,0)),""))</f>
        <v/>
      </c>
      <c r="D120" s="28" t="str">
        <f aca="false">IF($A120="","",IFERROR(INDEX('זה אני - קליטה'!$AJ$5:$AJ$204,MATCH($A120&amp;"|תחילת שנה",'זה אני - קליטה'!$AF$5:$AF$204,0)),""))</f>
        <v/>
      </c>
      <c r="E120" s="28" t="str">
        <f aca="false">IF($A120="","",IFERROR(INDEX('זה אני - קליטה'!$AK$5:$AK$204,MATCH($A120&amp;"|תחילת שנה",'זה אני - קליטה'!$AF$5:$AF$204,0)),""))</f>
        <v/>
      </c>
      <c r="F120" s="28" t="str">
        <f aca="false">IF($A120="","",IFERROR(INDEX('זה אני - קליטה'!$AL$5:$AL$204,MATCH($A120&amp;"|תחילת שנה",'זה אני - קליטה'!$AF$5:$AF$204,0)),""))</f>
        <v/>
      </c>
      <c r="G120" s="27" t="str">
        <f aca="false">IF($A120="","",IFERROR(INDEX('זה אני - קליטה'!$AG$5:$AG$204,MATCH($A120&amp;"|תחילת שנה",'זה אני - קליטה'!$AF$5:$AF$204,0)),""))</f>
        <v/>
      </c>
      <c r="H120" s="28" t="str">
        <f aca="false">IF($A120="","",IFERROR(INDEX('זה אני - קליטה'!$AN$5:$AN$204,MATCH($A120&amp;"|תחילת שנה",'זה אני - קליטה'!$AF$5:$AF$204,0)),""))</f>
        <v/>
      </c>
      <c r="I120" s="28" t="str">
        <f aca="false">IF($A120="","",IFERROR(INDEX('זה אני - קליטה'!$AH$5:$AH$204,MATCH($A120&amp;"|אמצע שנה",'זה אני - קליטה'!$AF$5:$AF$204,0)),""))</f>
        <v/>
      </c>
      <c r="J120" s="28" t="str">
        <f aca="false">IF($A120="","",IFERROR(INDEX('זה אני - קליטה'!$AI$5:$AI$204,MATCH($A120&amp;"|אמצע שנה",'זה אני - קליטה'!$AF$5:$AF$204,0)),""))</f>
        <v/>
      </c>
      <c r="K120" s="28" t="str">
        <f aca="false">IF($A120="","",IFERROR(INDEX('זה אני - קליטה'!$AJ$5:$AJ$204,MATCH($A120&amp;"|אמצע שנה",'זה אני - קליטה'!$AF$5:$AF$204,0)),""))</f>
        <v/>
      </c>
      <c r="L120" s="28" t="str">
        <f aca="false">IF($A120="","",IFERROR(INDEX('זה אני - קליטה'!$AK$5:$AK$204,MATCH($A120&amp;"|אמצע שנה",'זה אני - קליטה'!$AF$5:$AF$204,0)),""))</f>
        <v/>
      </c>
      <c r="M120" s="28" t="str">
        <f aca="false">IF($A120="","",IFERROR(INDEX('זה אני - קליטה'!$AL$5:$AL$204,MATCH($A120&amp;"|אמצע שנה",'זה אני - קליטה'!$AF$5:$AF$204,0)),""))</f>
        <v/>
      </c>
      <c r="N120" s="27" t="str">
        <f aca="false">IF($A120="","",IFERROR(INDEX('זה אני - קליטה'!$AG$5:$AG$204,MATCH($A120&amp;"|אמצע שנה",'זה אני - קליטה'!$AF$5:$AF$204,0)),""))</f>
        <v/>
      </c>
      <c r="O120" s="28" t="str">
        <f aca="false">IF($A120="","",IFERROR(INDEX('זה אני - קליטה'!$AN$5:$AN$204,MATCH($A120&amp;"|אמצע שנה",'זה אני - קליטה'!$AF$5:$AF$204,0)),""))</f>
        <v/>
      </c>
      <c r="P120" s="28" t="str">
        <f aca="false">IF($A120="","",IFERROR(INDEX('זה אני - קליטה'!$AH$5:$AH$204,MATCH($A120&amp;"|סוף שנה",'זה אני - קליטה'!$AF$5:$AF$204,0)),""))</f>
        <v/>
      </c>
      <c r="Q120" s="28" t="str">
        <f aca="false">IF($A120="","",IFERROR(INDEX('זה אני - קליטה'!$AI$5:$AI$204,MATCH($A120&amp;"|סוף שנה",'זה אני - קליטה'!$AF$5:$AF$204,0)),""))</f>
        <v/>
      </c>
      <c r="R120" s="28" t="str">
        <f aca="false">IF($A120="","",IFERROR(INDEX('זה אני - קליטה'!$AJ$5:$AJ$204,MATCH($A120&amp;"|סוף שנה",'זה אני - קליטה'!$AF$5:$AF$204,0)),""))</f>
        <v/>
      </c>
      <c r="S120" s="28" t="str">
        <f aca="false">IF($A120="","",IFERROR(INDEX('זה אני - קליטה'!$AK$5:$AK$204,MATCH($A120&amp;"|סוף שנה",'זה אני - קליטה'!$AF$5:$AF$204,0)),""))</f>
        <v/>
      </c>
      <c r="T120" s="28" t="str">
        <f aca="false">IF($A120="","",IFERROR(INDEX('זה אני - קליטה'!$AL$5:$AL$204,MATCH($A120&amp;"|סוף שנה",'זה אני - קליטה'!$AF$5:$AF$204,0)),""))</f>
        <v/>
      </c>
      <c r="U120" s="27" t="str">
        <f aca="false">IF($A120="","",IFERROR(INDEX('זה אני - קליטה'!$AG$5:$AG$204,MATCH($A120&amp;"|סוף שנה",'זה אני - קליטה'!$AF$5:$AF$204,0)),""))</f>
        <v/>
      </c>
      <c r="V120" s="28" t="str">
        <f aca="false">IF($A120="","",IFERROR(INDEX('זה אני - קליטה'!$AN$5:$AN$204,MATCH($A120&amp;"|סוף שנה",'זה אני - קליטה'!$AF$5:$AF$204,0)),""))</f>
        <v/>
      </c>
      <c r="W120" s="32" t="str">
        <f aca="false">IF(AND(ISNUMBER(F120),ISNUMBER(T120)),T120-F120,"")</f>
        <v/>
      </c>
      <c r="X120" s="27" t="str">
        <f aca="false">IF(W120="","",IF(W120&gt;=0.25,"עלייה",IF(W120&lt;=-0.25,"ירידה","יציב")))</f>
        <v/>
      </c>
    </row>
    <row r="121" customFormat="false" ht="15" hidden="false" customHeight="false" outlineLevel="0" collapsed="false">
      <c r="A121" s="29"/>
      <c r="B121" s="28" t="str">
        <f aca="false">IF($A121="","",IFERROR(INDEX('זה אני - קליטה'!$AH$5:$AH$204,MATCH($A121&amp;"|תחילת שנה",'זה אני - קליטה'!$AF$5:$AF$204,0)),""))</f>
        <v/>
      </c>
      <c r="C121" s="28" t="str">
        <f aca="false">IF($A121="","",IFERROR(INDEX('זה אני - קליטה'!$AI$5:$AI$204,MATCH($A121&amp;"|תחילת שנה",'זה אני - קליטה'!$AF$5:$AF$204,0)),""))</f>
        <v/>
      </c>
      <c r="D121" s="28" t="str">
        <f aca="false">IF($A121="","",IFERROR(INDEX('זה אני - קליטה'!$AJ$5:$AJ$204,MATCH($A121&amp;"|תחילת שנה",'זה אני - קליטה'!$AF$5:$AF$204,0)),""))</f>
        <v/>
      </c>
      <c r="E121" s="28" t="str">
        <f aca="false">IF($A121="","",IFERROR(INDEX('זה אני - קליטה'!$AK$5:$AK$204,MATCH($A121&amp;"|תחילת שנה",'זה אני - קליטה'!$AF$5:$AF$204,0)),""))</f>
        <v/>
      </c>
      <c r="F121" s="28" t="str">
        <f aca="false">IF($A121="","",IFERROR(INDEX('זה אני - קליטה'!$AL$5:$AL$204,MATCH($A121&amp;"|תחילת שנה",'זה אני - קליטה'!$AF$5:$AF$204,0)),""))</f>
        <v/>
      </c>
      <c r="G121" s="27" t="str">
        <f aca="false">IF($A121="","",IFERROR(INDEX('זה אני - קליטה'!$AG$5:$AG$204,MATCH($A121&amp;"|תחילת שנה",'זה אני - קליטה'!$AF$5:$AF$204,0)),""))</f>
        <v/>
      </c>
      <c r="H121" s="28" t="str">
        <f aca="false">IF($A121="","",IFERROR(INDEX('זה אני - קליטה'!$AN$5:$AN$204,MATCH($A121&amp;"|תחילת שנה",'זה אני - קליטה'!$AF$5:$AF$204,0)),""))</f>
        <v/>
      </c>
      <c r="I121" s="28" t="str">
        <f aca="false">IF($A121="","",IFERROR(INDEX('זה אני - קליטה'!$AH$5:$AH$204,MATCH($A121&amp;"|אמצע שנה",'זה אני - קליטה'!$AF$5:$AF$204,0)),""))</f>
        <v/>
      </c>
      <c r="J121" s="28" t="str">
        <f aca="false">IF($A121="","",IFERROR(INDEX('זה אני - קליטה'!$AI$5:$AI$204,MATCH($A121&amp;"|אמצע שנה",'זה אני - קליטה'!$AF$5:$AF$204,0)),""))</f>
        <v/>
      </c>
      <c r="K121" s="28" t="str">
        <f aca="false">IF($A121="","",IFERROR(INDEX('זה אני - קליטה'!$AJ$5:$AJ$204,MATCH($A121&amp;"|אמצע שנה",'זה אני - קליטה'!$AF$5:$AF$204,0)),""))</f>
        <v/>
      </c>
      <c r="L121" s="28" t="str">
        <f aca="false">IF($A121="","",IFERROR(INDEX('זה אני - קליטה'!$AK$5:$AK$204,MATCH($A121&amp;"|אמצע שנה",'זה אני - קליטה'!$AF$5:$AF$204,0)),""))</f>
        <v/>
      </c>
      <c r="M121" s="28" t="str">
        <f aca="false">IF($A121="","",IFERROR(INDEX('זה אני - קליטה'!$AL$5:$AL$204,MATCH($A121&amp;"|אמצע שנה",'זה אני - קליטה'!$AF$5:$AF$204,0)),""))</f>
        <v/>
      </c>
      <c r="N121" s="27" t="str">
        <f aca="false">IF($A121="","",IFERROR(INDEX('זה אני - קליטה'!$AG$5:$AG$204,MATCH($A121&amp;"|אמצע שנה",'זה אני - קליטה'!$AF$5:$AF$204,0)),""))</f>
        <v/>
      </c>
      <c r="O121" s="28" t="str">
        <f aca="false">IF($A121="","",IFERROR(INDEX('זה אני - קליטה'!$AN$5:$AN$204,MATCH($A121&amp;"|אמצע שנה",'זה אני - קליטה'!$AF$5:$AF$204,0)),""))</f>
        <v/>
      </c>
      <c r="P121" s="28" t="str">
        <f aca="false">IF($A121="","",IFERROR(INDEX('זה אני - קליטה'!$AH$5:$AH$204,MATCH($A121&amp;"|סוף שנה",'זה אני - קליטה'!$AF$5:$AF$204,0)),""))</f>
        <v/>
      </c>
      <c r="Q121" s="28" t="str">
        <f aca="false">IF($A121="","",IFERROR(INDEX('זה אני - קליטה'!$AI$5:$AI$204,MATCH($A121&amp;"|סוף שנה",'זה אני - קליטה'!$AF$5:$AF$204,0)),""))</f>
        <v/>
      </c>
      <c r="R121" s="28" t="str">
        <f aca="false">IF($A121="","",IFERROR(INDEX('זה אני - קליטה'!$AJ$5:$AJ$204,MATCH($A121&amp;"|סוף שנה",'זה אני - קליטה'!$AF$5:$AF$204,0)),""))</f>
        <v/>
      </c>
      <c r="S121" s="28" t="str">
        <f aca="false">IF($A121="","",IFERROR(INDEX('זה אני - קליטה'!$AK$5:$AK$204,MATCH($A121&amp;"|סוף שנה",'זה אני - קליטה'!$AF$5:$AF$204,0)),""))</f>
        <v/>
      </c>
      <c r="T121" s="28" t="str">
        <f aca="false">IF($A121="","",IFERROR(INDEX('זה אני - קליטה'!$AL$5:$AL$204,MATCH($A121&amp;"|סוף שנה",'זה אני - קליטה'!$AF$5:$AF$204,0)),""))</f>
        <v/>
      </c>
      <c r="U121" s="27" t="str">
        <f aca="false">IF($A121="","",IFERROR(INDEX('זה אני - קליטה'!$AG$5:$AG$204,MATCH($A121&amp;"|סוף שנה",'זה אני - קליטה'!$AF$5:$AF$204,0)),""))</f>
        <v/>
      </c>
      <c r="V121" s="28" t="str">
        <f aca="false">IF($A121="","",IFERROR(INDEX('זה אני - קליטה'!$AN$5:$AN$204,MATCH($A121&amp;"|סוף שנה",'זה אני - קליטה'!$AF$5:$AF$204,0)),""))</f>
        <v/>
      </c>
      <c r="W121" s="32" t="str">
        <f aca="false">IF(AND(ISNUMBER(F121),ISNUMBER(T121)),T121-F121,"")</f>
        <v/>
      </c>
      <c r="X121" s="27" t="str">
        <f aca="false">IF(W121="","",IF(W121&gt;=0.25,"עלייה",IF(W121&lt;=-0.25,"ירידה","יציב")))</f>
        <v/>
      </c>
    </row>
    <row r="122" customFormat="false" ht="15" hidden="false" customHeight="false" outlineLevel="0" collapsed="false">
      <c r="A122" s="29"/>
      <c r="B122" s="28" t="str">
        <f aca="false">IF($A122="","",IFERROR(INDEX('זה אני - קליטה'!$AH$5:$AH$204,MATCH($A122&amp;"|תחילת שנה",'זה אני - קליטה'!$AF$5:$AF$204,0)),""))</f>
        <v/>
      </c>
      <c r="C122" s="28" t="str">
        <f aca="false">IF($A122="","",IFERROR(INDEX('זה אני - קליטה'!$AI$5:$AI$204,MATCH($A122&amp;"|תחילת שנה",'זה אני - קליטה'!$AF$5:$AF$204,0)),""))</f>
        <v/>
      </c>
      <c r="D122" s="28" t="str">
        <f aca="false">IF($A122="","",IFERROR(INDEX('זה אני - קליטה'!$AJ$5:$AJ$204,MATCH($A122&amp;"|תחילת שנה",'זה אני - קליטה'!$AF$5:$AF$204,0)),""))</f>
        <v/>
      </c>
      <c r="E122" s="28" t="str">
        <f aca="false">IF($A122="","",IFERROR(INDEX('זה אני - קליטה'!$AK$5:$AK$204,MATCH($A122&amp;"|תחילת שנה",'זה אני - קליטה'!$AF$5:$AF$204,0)),""))</f>
        <v/>
      </c>
      <c r="F122" s="28" t="str">
        <f aca="false">IF($A122="","",IFERROR(INDEX('זה אני - קליטה'!$AL$5:$AL$204,MATCH($A122&amp;"|תחילת שנה",'זה אני - קליטה'!$AF$5:$AF$204,0)),""))</f>
        <v/>
      </c>
      <c r="G122" s="27" t="str">
        <f aca="false">IF($A122="","",IFERROR(INDEX('זה אני - קליטה'!$AG$5:$AG$204,MATCH($A122&amp;"|תחילת שנה",'זה אני - קליטה'!$AF$5:$AF$204,0)),""))</f>
        <v/>
      </c>
      <c r="H122" s="28" t="str">
        <f aca="false">IF($A122="","",IFERROR(INDEX('זה אני - קליטה'!$AN$5:$AN$204,MATCH($A122&amp;"|תחילת שנה",'זה אני - קליטה'!$AF$5:$AF$204,0)),""))</f>
        <v/>
      </c>
      <c r="I122" s="28" t="str">
        <f aca="false">IF($A122="","",IFERROR(INDEX('זה אני - קליטה'!$AH$5:$AH$204,MATCH($A122&amp;"|אמצע שנה",'זה אני - קליטה'!$AF$5:$AF$204,0)),""))</f>
        <v/>
      </c>
      <c r="J122" s="28" t="str">
        <f aca="false">IF($A122="","",IFERROR(INDEX('זה אני - קליטה'!$AI$5:$AI$204,MATCH($A122&amp;"|אמצע שנה",'זה אני - קליטה'!$AF$5:$AF$204,0)),""))</f>
        <v/>
      </c>
      <c r="K122" s="28" t="str">
        <f aca="false">IF($A122="","",IFERROR(INDEX('זה אני - קליטה'!$AJ$5:$AJ$204,MATCH($A122&amp;"|אמצע שנה",'זה אני - קליטה'!$AF$5:$AF$204,0)),""))</f>
        <v/>
      </c>
      <c r="L122" s="28" t="str">
        <f aca="false">IF($A122="","",IFERROR(INDEX('זה אני - קליטה'!$AK$5:$AK$204,MATCH($A122&amp;"|אמצע שנה",'זה אני - קליטה'!$AF$5:$AF$204,0)),""))</f>
        <v/>
      </c>
      <c r="M122" s="28" t="str">
        <f aca="false">IF($A122="","",IFERROR(INDEX('זה אני - קליטה'!$AL$5:$AL$204,MATCH($A122&amp;"|אמצע שנה",'זה אני - קליטה'!$AF$5:$AF$204,0)),""))</f>
        <v/>
      </c>
      <c r="N122" s="27" t="str">
        <f aca="false">IF($A122="","",IFERROR(INDEX('זה אני - קליטה'!$AG$5:$AG$204,MATCH($A122&amp;"|אמצע שנה",'זה אני - קליטה'!$AF$5:$AF$204,0)),""))</f>
        <v/>
      </c>
      <c r="O122" s="28" t="str">
        <f aca="false">IF($A122="","",IFERROR(INDEX('זה אני - קליטה'!$AN$5:$AN$204,MATCH($A122&amp;"|אמצע שנה",'זה אני - קליטה'!$AF$5:$AF$204,0)),""))</f>
        <v/>
      </c>
      <c r="P122" s="28" t="str">
        <f aca="false">IF($A122="","",IFERROR(INDEX('זה אני - קליטה'!$AH$5:$AH$204,MATCH($A122&amp;"|סוף שנה",'זה אני - קליטה'!$AF$5:$AF$204,0)),""))</f>
        <v/>
      </c>
      <c r="Q122" s="28" t="str">
        <f aca="false">IF($A122="","",IFERROR(INDEX('זה אני - קליטה'!$AI$5:$AI$204,MATCH($A122&amp;"|סוף שנה",'זה אני - קליטה'!$AF$5:$AF$204,0)),""))</f>
        <v/>
      </c>
      <c r="R122" s="28" t="str">
        <f aca="false">IF($A122="","",IFERROR(INDEX('זה אני - קליטה'!$AJ$5:$AJ$204,MATCH($A122&amp;"|סוף שנה",'זה אני - קליטה'!$AF$5:$AF$204,0)),""))</f>
        <v/>
      </c>
      <c r="S122" s="28" t="str">
        <f aca="false">IF($A122="","",IFERROR(INDEX('זה אני - קליטה'!$AK$5:$AK$204,MATCH($A122&amp;"|סוף שנה",'זה אני - קליטה'!$AF$5:$AF$204,0)),""))</f>
        <v/>
      </c>
      <c r="T122" s="28" t="str">
        <f aca="false">IF($A122="","",IFERROR(INDEX('זה אני - קליטה'!$AL$5:$AL$204,MATCH($A122&amp;"|סוף שנה",'זה אני - קליטה'!$AF$5:$AF$204,0)),""))</f>
        <v/>
      </c>
      <c r="U122" s="27" t="str">
        <f aca="false">IF($A122="","",IFERROR(INDEX('זה אני - קליטה'!$AG$5:$AG$204,MATCH($A122&amp;"|סוף שנה",'זה אני - קליטה'!$AF$5:$AF$204,0)),""))</f>
        <v/>
      </c>
      <c r="V122" s="28" t="str">
        <f aca="false">IF($A122="","",IFERROR(INDEX('זה אני - קליטה'!$AN$5:$AN$204,MATCH($A122&amp;"|סוף שנה",'זה אני - קליטה'!$AF$5:$AF$204,0)),""))</f>
        <v/>
      </c>
      <c r="W122" s="32" t="str">
        <f aca="false">IF(AND(ISNUMBER(F122),ISNUMBER(T122)),T122-F122,"")</f>
        <v/>
      </c>
      <c r="X122" s="27" t="str">
        <f aca="false">IF(W122="","",IF(W122&gt;=0.25,"עלייה",IF(W122&lt;=-0.25,"ירידה","יציב")))</f>
        <v/>
      </c>
    </row>
    <row r="123" customFormat="false" ht="15" hidden="false" customHeight="false" outlineLevel="0" collapsed="false">
      <c r="A123" s="29"/>
      <c r="B123" s="28" t="str">
        <f aca="false">IF($A123="","",IFERROR(INDEX('זה אני - קליטה'!$AH$5:$AH$204,MATCH($A123&amp;"|תחילת שנה",'זה אני - קליטה'!$AF$5:$AF$204,0)),""))</f>
        <v/>
      </c>
      <c r="C123" s="28" t="str">
        <f aca="false">IF($A123="","",IFERROR(INDEX('זה אני - קליטה'!$AI$5:$AI$204,MATCH($A123&amp;"|תחילת שנה",'זה אני - קליטה'!$AF$5:$AF$204,0)),""))</f>
        <v/>
      </c>
      <c r="D123" s="28" t="str">
        <f aca="false">IF($A123="","",IFERROR(INDEX('זה אני - קליטה'!$AJ$5:$AJ$204,MATCH($A123&amp;"|תחילת שנה",'זה אני - קליטה'!$AF$5:$AF$204,0)),""))</f>
        <v/>
      </c>
      <c r="E123" s="28" t="str">
        <f aca="false">IF($A123="","",IFERROR(INDEX('זה אני - קליטה'!$AK$5:$AK$204,MATCH($A123&amp;"|תחילת שנה",'זה אני - קליטה'!$AF$5:$AF$204,0)),""))</f>
        <v/>
      </c>
      <c r="F123" s="28" t="str">
        <f aca="false">IF($A123="","",IFERROR(INDEX('זה אני - קליטה'!$AL$5:$AL$204,MATCH($A123&amp;"|תחילת שנה",'זה אני - קליטה'!$AF$5:$AF$204,0)),""))</f>
        <v/>
      </c>
      <c r="G123" s="27" t="str">
        <f aca="false">IF($A123="","",IFERROR(INDEX('זה אני - קליטה'!$AG$5:$AG$204,MATCH($A123&amp;"|תחילת שנה",'זה אני - קליטה'!$AF$5:$AF$204,0)),""))</f>
        <v/>
      </c>
      <c r="H123" s="28" t="str">
        <f aca="false">IF($A123="","",IFERROR(INDEX('זה אני - קליטה'!$AN$5:$AN$204,MATCH($A123&amp;"|תחילת שנה",'זה אני - קליטה'!$AF$5:$AF$204,0)),""))</f>
        <v/>
      </c>
      <c r="I123" s="28" t="str">
        <f aca="false">IF($A123="","",IFERROR(INDEX('זה אני - קליטה'!$AH$5:$AH$204,MATCH($A123&amp;"|אמצע שנה",'זה אני - קליטה'!$AF$5:$AF$204,0)),""))</f>
        <v/>
      </c>
      <c r="J123" s="28" t="str">
        <f aca="false">IF($A123="","",IFERROR(INDEX('זה אני - קליטה'!$AI$5:$AI$204,MATCH($A123&amp;"|אמצע שנה",'זה אני - קליטה'!$AF$5:$AF$204,0)),""))</f>
        <v/>
      </c>
      <c r="K123" s="28" t="str">
        <f aca="false">IF($A123="","",IFERROR(INDEX('זה אני - קליטה'!$AJ$5:$AJ$204,MATCH($A123&amp;"|אמצע שנה",'זה אני - קליטה'!$AF$5:$AF$204,0)),""))</f>
        <v/>
      </c>
      <c r="L123" s="28" t="str">
        <f aca="false">IF($A123="","",IFERROR(INDEX('זה אני - קליטה'!$AK$5:$AK$204,MATCH($A123&amp;"|אמצע שנה",'זה אני - קליטה'!$AF$5:$AF$204,0)),""))</f>
        <v/>
      </c>
      <c r="M123" s="28" t="str">
        <f aca="false">IF($A123="","",IFERROR(INDEX('זה אני - קליטה'!$AL$5:$AL$204,MATCH($A123&amp;"|אמצע שנה",'זה אני - קליטה'!$AF$5:$AF$204,0)),""))</f>
        <v/>
      </c>
      <c r="N123" s="27" t="str">
        <f aca="false">IF($A123="","",IFERROR(INDEX('זה אני - קליטה'!$AG$5:$AG$204,MATCH($A123&amp;"|אמצע שנה",'זה אני - קליטה'!$AF$5:$AF$204,0)),""))</f>
        <v/>
      </c>
      <c r="O123" s="28" t="str">
        <f aca="false">IF($A123="","",IFERROR(INDEX('זה אני - קליטה'!$AN$5:$AN$204,MATCH($A123&amp;"|אמצע שנה",'זה אני - קליטה'!$AF$5:$AF$204,0)),""))</f>
        <v/>
      </c>
      <c r="P123" s="28" t="str">
        <f aca="false">IF($A123="","",IFERROR(INDEX('זה אני - קליטה'!$AH$5:$AH$204,MATCH($A123&amp;"|סוף שנה",'זה אני - קליטה'!$AF$5:$AF$204,0)),""))</f>
        <v/>
      </c>
      <c r="Q123" s="28" t="str">
        <f aca="false">IF($A123="","",IFERROR(INDEX('זה אני - קליטה'!$AI$5:$AI$204,MATCH($A123&amp;"|סוף שנה",'זה אני - קליטה'!$AF$5:$AF$204,0)),""))</f>
        <v/>
      </c>
      <c r="R123" s="28" t="str">
        <f aca="false">IF($A123="","",IFERROR(INDEX('זה אני - קליטה'!$AJ$5:$AJ$204,MATCH($A123&amp;"|סוף שנה",'זה אני - קליטה'!$AF$5:$AF$204,0)),""))</f>
        <v/>
      </c>
      <c r="S123" s="28" t="str">
        <f aca="false">IF($A123="","",IFERROR(INDEX('זה אני - קליטה'!$AK$5:$AK$204,MATCH($A123&amp;"|סוף שנה",'זה אני - קליטה'!$AF$5:$AF$204,0)),""))</f>
        <v/>
      </c>
      <c r="T123" s="28" t="str">
        <f aca="false">IF($A123="","",IFERROR(INDEX('זה אני - קליטה'!$AL$5:$AL$204,MATCH($A123&amp;"|סוף שנה",'זה אני - קליטה'!$AF$5:$AF$204,0)),""))</f>
        <v/>
      </c>
      <c r="U123" s="27" t="str">
        <f aca="false">IF($A123="","",IFERROR(INDEX('זה אני - קליטה'!$AG$5:$AG$204,MATCH($A123&amp;"|סוף שנה",'זה אני - קליטה'!$AF$5:$AF$204,0)),""))</f>
        <v/>
      </c>
      <c r="V123" s="28" t="str">
        <f aca="false">IF($A123="","",IFERROR(INDEX('זה אני - קליטה'!$AN$5:$AN$204,MATCH($A123&amp;"|סוף שנה",'זה אני - קליטה'!$AF$5:$AF$204,0)),""))</f>
        <v/>
      </c>
      <c r="W123" s="32" t="str">
        <f aca="false">IF(AND(ISNUMBER(F123),ISNUMBER(T123)),T123-F123,"")</f>
        <v/>
      </c>
      <c r="X123" s="27" t="str">
        <f aca="false">IF(W123="","",IF(W123&gt;=0.25,"עלייה",IF(W123&lt;=-0.25,"ירידה","יציב")))</f>
        <v/>
      </c>
    </row>
    <row r="124" customFormat="false" ht="15" hidden="false" customHeight="false" outlineLevel="0" collapsed="false">
      <c r="A124" s="29"/>
      <c r="B124" s="28" t="str">
        <f aca="false">IF($A124="","",IFERROR(INDEX('זה אני - קליטה'!$AH$5:$AH$204,MATCH($A124&amp;"|תחילת שנה",'זה אני - קליטה'!$AF$5:$AF$204,0)),""))</f>
        <v/>
      </c>
      <c r="C124" s="28" t="str">
        <f aca="false">IF($A124="","",IFERROR(INDEX('זה אני - קליטה'!$AI$5:$AI$204,MATCH($A124&amp;"|תחילת שנה",'זה אני - קליטה'!$AF$5:$AF$204,0)),""))</f>
        <v/>
      </c>
      <c r="D124" s="28" t="str">
        <f aca="false">IF($A124="","",IFERROR(INDEX('זה אני - קליטה'!$AJ$5:$AJ$204,MATCH($A124&amp;"|תחילת שנה",'זה אני - קליטה'!$AF$5:$AF$204,0)),""))</f>
        <v/>
      </c>
      <c r="E124" s="28" t="str">
        <f aca="false">IF($A124="","",IFERROR(INDEX('זה אני - קליטה'!$AK$5:$AK$204,MATCH($A124&amp;"|תחילת שנה",'זה אני - קליטה'!$AF$5:$AF$204,0)),""))</f>
        <v/>
      </c>
      <c r="F124" s="28" t="str">
        <f aca="false">IF($A124="","",IFERROR(INDEX('זה אני - קליטה'!$AL$5:$AL$204,MATCH($A124&amp;"|תחילת שנה",'זה אני - קליטה'!$AF$5:$AF$204,0)),""))</f>
        <v/>
      </c>
      <c r="G124" s="27" t="str">
        <f aca="false">IF($A124="","",IFERROR(INDEX('זה אני - קליטה'!$AG$5:$AG$204,MATCH($A124&amp;"|תחילת שנה",'זה אני - קליטה'!$AF$5:$AF$204,0)),""))</f>
        <v/>
      </c>
      <c r="H124" s="28" t="str">
        <f aca="false">IF($A124="","",IFERROR(INDEX('זה אני - קליטה'!$AN$5:$AN$204,MATCH($A124&amp;"|תחילת שנה",'זה אני - קליטה'!$AF$5:$AF$204,0)),""))</f>
        <v/>
      </c>
      <c r="I124" s="28" t="str">
        <f aca="false">IF($A124="","",IFERROR(INDEX('זה אני - קליטה'!$AH$5:$AH$204,MATCH($A124&amp;"|אמצע שנה",'זה אני - קליטה'!$AF$5:$AF$204,0)),""))</f>
        <v/>
      </c>
      <c r="J124" s="28" t="str">
        <f aca="false">IF($A124="","",IFERROR(INDEX('זה אני - קליטה'!$AI$5:$AI$204,MATCH($A124&amp;"|אמצע שנה",'זה אני - קליטה'!$AF$5:$AF$204,0)),""))</f>
        <v/>
      </c>
      <c r="K124" s="28" t="str">
        <f aca="false">IF($A124="","",IFERROR(INDEX('זה אני - קליטה'!$AJ$5:$AJ$204,MATCH($A124&amp;"|אמצע שנה",'זה אני - קליטה'!$AF$5:$AF$204,0)),""))</f>
        <v/>
      </c>
      <c r="L124" s="28" t="str">
        <f aca="false">IF($A124="","",IFERROR(INDEX('זה אני - קליטה'!$AK$5:$AK$204,MATCH($A124&amp;"|אמצע שנה",'זה אני - קליטה'!$AF$5:$AF$204,0)),""))</f>
        <v/>
      </c>
      <c r="M124" s="28" t="str">
        <f aca="false">IF($A124="","",IFERROR(INDEX('זה אני - קליטה'!$AL$5:$AL$204,MATCH($A124&amp;"|אמצע שנה",'זה אני - קליטה'!$AF$5:$AF$204,0)),""))</f>
        <v/>
      </c>
      <c r="N124" s="27" t="str">
        <f aca="false">IF($A124="","",IFERROR(INDEX('זה אני - קליטה'!$AG$5:$AG$204,MATCH($A124&amp;"|אמצע שנה",'זה אני - קליטה'!$AF$5:$AF$204,0)),""))</f>
        <v/>
      </c>
      <c r="O124" s="28" t="str">
        <f aca="false">IF($A124="","",IFERROR(INDEX('זה אני - קליטה'!$AN$5:$AN$204,MATCH($A124&amp;"|אמצע שנה",'זה אני - קליטה'!$AF$5:$AF$204,0)),""))</f>
        <v/>
      </c>
      <c r="P124" s="28" t="str">
        <f aca="false">IF($A124="","",IFERROR(INDEX('זה אני - קליטה'!$AH$5:$AH$204,MATCH($A124&amp;"|סוף שנה",'זה אני - קליטה'!$AF$5:$AF$204,0)),""))</f>
        <v/>
      </c>
      <c r="Q124" s="28" t="str">
        <f aca="false">IF($A124="","",IFERROR(INDEX('זה אני - קליטה'!$AI$5:$AI$204,MATCH($A124&amp;"|סוף שנה",'זה אני - קליטה'!$AF$5:$AF$204,0)),""))</f>
        <v/>
      </c>
      <c r="R124" s="28" t="str">
        <f aca="false">IF($A124="","",IFERROR(INDEX('זה אני - קליטה'!$AJ$5:$AJ$204,MATCH($A124&amp;"|סוף שנה",'זה אני - קליטה'!$AF$5:$AF$204,0)),""))</f>
        <v/>
      </c>
      <c r="S124" s="28" t="str">
        <f aca="false">IF($A124="","",IFERROR(INDEX('זה אני - קליטה'!$AK$5:$AK$204,MATCH($A124&amp;"|סוף שנה",'זה אני - קליטה'!$AF$5:$AF$204,0)),""))</f>
        <v/>
      </c>
      <c r="T124" s="28" t="str">
        <f aca="false">IF($A124="","",IFERROR(INDEX('זה אני - קליטה'!$AL$5:$AL$204,MATCH($A124&amp;"|סוף שנה",'זה אני - קליטה'!$AF$5:$AF$204,0)),""))</f>
        <v/>
      </c>
      <c r="U124" s="27" t="str">
        <f aca="false">IF($A124="","",IFERROR(INDEX('זה אני - קליטה'!$AG$5:$AG$204,MATCH($A124&amp;"|סוף שנה",'זה אני - קליטה'!$AF$5:$AF$204,0)),""))</f>
        <v/>
      </c>
      <c r="V124" s="28" t="str">
        <f aca="false">IF($A124="","",IFERROR(INDEX('זה אני - קליטה'!$AN$5:$AN$204,MATCH($A124&amp;"|סוף שנה",'זה אני - קליטה'!$AF$5:$AF$204,0)),""))</f>
        <v/>
      </c>
      <c r="W124" s="32" t="str">
        <f aca="false">IF(AND(ISNUMBER(F124),ISNUMBER(T124)),T124-F124,"")</f>
        <v/>
      </c>
      <c r="X124" s="27" t="str">
        <f aca="false">IF(W124="","",IF(W124&gt;=0.25,"עלייה",IF(W124&lt;=-0.25,"ירידה","יציב")))</f>
        <v/>
      </c>
    </row>
    <row r="125" customFormat="false" ht="15" hidden="false" customHeight="false" outlineLevel="0" collapsed="false">
      <c r="A125" s="29"/>
      <c r="B125" s="28" t="str">
        <f aca="false">IF($A125="","",IFERROR(INDEX('זה אני - קליטה'!$AH$5:$AH$204,MATCH($A125&amp;"|תחילת שנה",'זה אני - קליטה'!$AF$5:$AF$204,0)),""))</f>
        <v/>
      </c>
      <c r="C125" s="28" t="str">
        <f aca="false">IF($A125="","",IFERROR(INDEX('זה אני - קליטה'!$AI$5:$AI$204,MATCH($A125&amp;"|תחילת שנה",'זה אני - קליטה'!$AF$5:$AF$204,0)),""))</f>
        <v/>
      </c>
      <c r="D125" s="28" t="str">
        <f aca="false">IF($A125="","",IFERROR(INDEX('זה אני - קליטה'!$AJ$5:$AJ$204,MATCH($A125&amp;"|תחילת שנה",'זה אני - קליטה'!$AF$5:$AF$204,0)),""))</f>
        <v/>
      </c>
      <c r="E125" s="28" t="str">
        <f aca="false">IF($A125="","",IFERROR(INDEX('זה אני - קליטה'!$AK$5:$AK$204,MATCH($A125&amp;"|תחילת שנה",'זה אני - קליטה'!$AF$5:$AF$204,0)),""))</f>
        <v/>
      </c>
      <c r="F125" s="28" t="str">
        <f aca="false">IF($A125="","",IFERROR(INDEX('זה אני - קליטה'!$AL$5:$AL$204,MATCH($A125&amp;"|תחילת שנה",'זה אני - קליטה'!$AF$5:$AF$204,0)),""))</f>
        <v/>
      </c>
      <c r="G125" s="27" t="str">
        <f aca="false">IF($A125="","",IFERROR(INDEX('זה אני - קליטה'!$AG$5:$AG$204,MATCH($A125&amp;"|תחילת שנה",'זה אני - קליטה'!$AF$5:$AF$204,0)),""))</f>
        <v/>
      </c>
      <c r="H125" s="28" t="str">
        <f aca="false">IF($A125="","",IFERROR(INDEX('זה אני - קליטה'!$AN$5:$AN$204,MATCH($A125&amp;"|תחילת שנה",'זה אני - קליטה'!$AF$5:$AF$204,0)),""))</f>
        <v/>
      </c>
      <c r="I125" s="28" t="str">
        <f aca="false">IF($A125="","",IFERROR(INDEX('זה אני - קליטה'!$AH$5:$AH$204,MATCH($A125&amp;"|אמצע שנה",'זה אני - קליטה'!$AF$5:$AF$204,0)),""))</f>
        <v/>
      </c>
      <c r="J125" s="28" t="str">
        <f aca="false">IF($A125="","",IFERROR(INDEX('זה אני - קליטה'!$AI$5:$AI$204,MATCH($A125&amp;"|אמצע שנה",'זה אני - קליטה'!$AF$5:$AF$204,0)),""))</f>
        <v/>
      </c>
      <c r="K125" s="28" t="str">
        <f aca="false">IF($A125="","",IFERROR(INDEX('זה אני - קליטה'!$AJ$5:$AJ$204,MATCH($A125&amp;"|אמצע שנה",'זה אני - קליטה'!$AF$5:$AF$204,0)),""))</f>
        <v/>
      </c>
      <c r="L125" s="28" t="str">
        <f aca="false">IF($A125="","",IFERROR(INDEX('זה אני - קליטה'!$AK$5:$AK$204,MATCH($A125&amp;"|אמצע שנה",'זה אני - קליטה'!$AF$5:$AF$204,0)),""))</f>
        <v/>
      </c>
      <c r="M125" s="28" t="str">
        <f aca="false">IF($A125="","",IFERROR(INDEX('זה אני - קליטה'!$AL$5:$AL$204,MATCH($A125&amp;"|אמצע שנה",'זה אני - קליטה'!$AF$5:$AF$204,0)),""))</f>
        <v/>
      </c>
      <c r="N125" s="27" t="str">
        <f aca="false">IF($A125="","",IFERROR(INDEX('זה אני - קליטה'!$AG$5:$AG$204,MATCH($A125&amp;"|אמצע שנה",'זה אני - קליטה'!$AF$5:$AF$204,0)),""))</f>
        <v/>
      </c>
      <c r="O125" s="28" t="str">
        <f aca="false">IF($A125="","",IFERROR(INDEX('זה אני - קליטה'!$AN$5:$AN$204,MATCH($A125&amp;"|אמצע שנה",'זה אני - קליטה'!$AF$5:$AF$204,0)),""))</f>
        <v/>
      </c>
      <c r="P125" s="28" t="str">
        <f aca="false">IF($A125="","",IFERROR(INDEX('זה אני - קליטה'!$AH$5:$AH$204,MATCH($A125&amp;"|סוף שנה",'זה אני - קליטה'!$AF$5:$AF$204,0)),""))</f>
        <v/>
      </c>
      <c r="Q125" s="28" t="str">
        <f aca="false">IF($A125="","",IFERROR(INDEX('זה אני - קליטה'!$AI$5:$AI$204,MATCH($A125&amp;"|סוף שנה",'זה אני - קליטה'!$AF$5:$AF$204,0)),""))</f>
        <v/>
      </c>
      <c r="R125" s="28" t="str">
        <f aca="false">IF($A125="","",IFERROR(INDEX('זה אני - קליטה'!$AJ$5:$AJ$204,MATCH($A125&amp;"|סוף שנה",'זה אני - קליטה'!$AF$5:$AF$204,0)),""))</f>
        <v/>
      </c>
      <c r="S125" s="28" t="str">
        <f aca="false">IF($A125="","",IFERROR(INDEX('זה אני - קליטה'!$AK$5:$AK$204,MATCH($A125&amp;"|סוף שנה",'זה אני - קליטה'!$AF$5:$AF$204,0)),""))</f>
        <v/>
      </c>
      <c r="T125" s="28" t="str">
        <f aca="false">IF($A125="","",IFERROR(INDEX('זה אני - קליטה'!$AL$5:$AL$204,MATCH($A125&amp;"|סוף שנה",'זה אני - קליטה'!$AF$5:$AF$204,0)),""))</f>
        <v/>
      </c>
      <c r="U125" s="27" t="str">
        <f aca="false">IF($A125="","",IFERROR(INDEX('זה אני - קליטה'!$AG$5:$AG$204,MATCH($A125&amp;"|סוף שנה",'זה אני - קליטה'!$AF$5:$AF$204,0)),""))</f>
        <v/>
      </c>
      <c r="V125" s="28" t="str">
        <f aca="false">IF($A125="","",IFERROR(INDEX('זה אני - קליטה'!$AN$5:$AN$204,MATCH($A125&amp;"|סוף שנה",'זה אני - קליטה'!$AF$5:$AF$204,0)),""))</f>
        <v/>
      </c>
      <c r="W125" s="32" t="str">
        <f aca="false">IF(AND(ISNUMBER(F125),ISNUMBER(T125)),T125-F125,"")</f>
        <v/>
      </c>
      <c r="X125" s="27" t="str">
        <f aca="false">IF(W125="","",IF(W125&gt;=0.25,"עלייה",IF(W125&lt;=-0.25,"ירידה","יציב")))</f>
        <v/>
      </c>
    </row>
    <row r="126" customFormat="false" ht="15" hidden="false" customHeight="false" outlineLevel="0" collapsed="false">
      <c r="A126" s="29"/>
      <c r="B126" s="28" t="str">
        <f aca="false">IF($A126="","",IFERROR(INDEX('זה אני - קליטה'!$AH$5:$AH$204,MATCH($A126&amp;"|תחילת שנה",'זה אני - קליטה'!$AF$5:$AF$204,0)),""))</f>
        <v/>
      </c>
      <c r="C126" s="28" t="str">
        <f aca="false">IF($A126="","",IFERROR(INDEX('זה אני - קליטה'!$AI$5:$AI$204,MATCH($A126&amp;"|תחילת שנה",'זה אני - קליטה'!$AF$5:$AF$204,0)),""))</f>
        <v/>
      </c>
      <c r="D126" s="28" t="str">
        <f aca="false">IF($A126="","",IFERROR(INDEX('זה אני - קליטה'!$AJ$5:$AJ$204,MATCH($A126&amp;"|תחילת שנה",'זה אני - קליטה'!$AF$5:$AF$204,0)),""))</f>
        <v/>
      </c>
      <c r="E126" s="28" t="str">
        <f aca="false">IF($A126="","",IFERROR(INDEX('זה אני - קליטה'!$AK$5:$AK$204,MATCH($A126&amp;"|תחילת שנה",'זה אני - קליטה'!$AF$5:$AF$204,0)),""))</f>
        <v/>
      </c>
      <c r="F126" s="28" t="str">
        <f aca="false">IF($A126="","",IFERROR(INDEX('זה אני - קליטה'!$AL$5:$AL$204,MATCH($A126&amp;"|תחילת שנה",'זה אני - קליטה'!$AF$5:$AF$204,0)),""))</f>
        <v/>
      </c>
      <c r="G126" s="27" t="str">
        <f aca="false">IF($A126="","",IFERROR(INDEX('זה אני - קליטה'!$AG$5:$AG$204,MATCH($A126&amp;"|תחילת שנה",'זה אני - קליטה'!$AF$5:$AF$204,0)),""))</f>
        <v/>
      </c>
      <c r="H126" s="28" t="str">
        <f aca="false">IF($A126="","",IFERROR(INDEX('זה אני - קליטה'!$AN$5:$AN$204,MATCH($A126&amp;"|תחילת שנה",'זה אני - קליטה'!$AF$5:$AF$204,0)),""))</f>
        <v/>
      </c>
      <c r="I126" s="28" t="str">
        <f aca="false">IF($A126="","",IFERROR(INDEX('זה אני - קליטה'!$AH$5:$AH$204,MATCH($A126&amp;"|אמצע שנה",'זה אני - קליטה'!$AF$5:$AF$204,0)),""))</f>
        <v/>
      </c>
      <c r="J126" s="28" t="str">
        <f aca="false">IF($A126="","",IFERROR(INDEX('זה אני - קליטה'!$AI$5:$AI$204,MATCH($A126&amp;"|אמצע שנה",'זה אני - קליטה'!$AF$5:$AF$204,0)),""))</f>
        <v/>
      </c>
      <c r="K126" s="28" t="str">
        <f aca="false">IF($A126="","",IFERROR(INDEX('זה אני - קליטה'!$AJ$5:$AJ$204,MATCH($A126&amp;"|אמצע שנה",'זה אני - קליטה'!$AF$5:$AF$204,0)),""))</f>
        <v/>
      </c>
      <c r="L126" s="28" t="str">
        <f aca="false">IF($A126="","",IFERROR(INDEX('זה אני - קליטה'!$AK$5:$AK$204,MATCH($A126&amp;"|אמצע שנה",'זה אני - קליטה'!$AF$5:$AF$204,0)),""))</f>
        <v/>
      </c>
      <c r="M126" s="28" t="str">
        <f aca="false">IF($A126="","",IFERROR(INDEX('זה אני - קליטה'!$AL$5:$AL$204,MATCH($A126&amp;"|אמצע שנה",'זה אני - קליטה'!$AF$5:$AF$204,0)),""))</f>
        <v/>
      </c>
      <c r="N126" s="27" t="str">
        <f aca="false">IF($A126="","",IFERROR(INDEX('זה אני - קליטה'!$AG$5:$AG$204,MATCH($A126&amp;"|אמצע שנה",'זה אני - קליטה'!$AF$5:$AF$204,0)),""))</f>
        <v/>
      </c>
      <c r="O126" s="28" t="str">
        <f aca="false">IF($A126="","",IFERROR(INDEX('זה אני - קליטה'!$AN$5:$AN$204,MATCH($A126&amp;"|אמצע שנה",'זה אני - קליטה'!$AF$5:$AF$204,0)),""))</f>
        <v/>
      </c>
      <c r="P126" s="28" t="str">
        <f aca="false">IF($A126="","",IFERROR(INDEX('זה אני - קליטה'!$AH$5:$AH$204,MATCH($A126&amp;"|סוף שנה",'זה אני - קליטה'!$AF$5:$AF$204,0)),""))</f>
        <v/>
      </c>
      <c r="Q126" s="28" t="str">
        <f aca="false">IF($A126="","",IFERROR(INDEX('זה אני - קליטה'!$AI$5:$AI$204,MATCH($A126&amp;"|סוף שנה",'זה אני - קליטה'!$AF$5:$AF$204,0)),""))</f>
        <v/>
      </c>
      <c r="R126" s="28" t="str">
        <f aca="false">IF($A126="","",IFERROR(INDEX('זה אני - קליטה'!$AJ$5:$AJ$204,MATCH($A126&amp;"|סוף שנה",'זה אני - קליטה'!$AF$5:$AF$204,0)),""))</f>
        <v/>
      </c>
      <c r="S126" s="28" t="str">
        <f aca="false">IF($A126="","",IFERROR(INDEX('זה אני - קליטה'!$AK$5:$AK$204,MATCH($A126&amp;"|סוף שנה",'זה אני - קליטה'!$AF$5:$AF$204,0)),""))</f>
        <v/>
      </c>
      <c r="T126" s="28" t="str">
        <f aca="false">IF($A126="","",IFERROR(INDEX('זה אני - קליטה'!$AL$5:$AL$204,MATCH($A126&amp;"|סוף שנה",'זה אני - קליטה'!$AF$5:$AF$204,0)),""))</f>
        <v/>
      </c>
      <c r="U126" s="27" t="str">
        <f aca="false">IF($A126="","",IFERROR(INDEX('זה אני - קליטה'!$AG$5:$AG$204,MATCH($A126&amp;"|סוף שנה",'זה אני - קליטה'!$AF$5:$AF$204,0)),""))</f>
        <v/>
      </c>
      <c r="V126" s="28" t="str">
        <f aca="false">IF($A126="","",IFERROR(INDEX('זה אני - קליטה'!$AN$5:$AN$204,MATCH($A126&amp;"|סוף שנה",'זה אני - קליטה'!$AF$5:$AF$204,0)),""))</f>
        <v/>
      </c>
      <c r="W126" s="32" t="str">
        <f aca="false">IF(AND(ISNUMBER(F126),ISNUMBER(T126)),T126-F126,"")</f>
        <v/>
      </c>
      <c r="X126" s="27" t="str">
        <f aca="false">IF(W126="","",IF(W126&gt;=0.25,"עלייה",IF(W126&lt;=-0.25,"ירידה","יציב")))</f>
        <v/>
      </c>
    </row>
    <row r="127" customFormat="false" ht="15" hidden="false" customHeight="false" outlineLevel="0" collapsed="false">
      <c r="A127" s="29"/>
      <c r="B127" s="28" t="str">
        <f aca="false">IF($A127="","",IFERROR(INDEX('זה אני - קליטה'!$AH$5:$AH$204,MATCH($A127&amp;"|תחילת שנה",'זה אני - קליטה'!$AF$5:$AF$204,0)),""))</f>
        <v/>
      </c>
      <c r="C127" s="28" t="str">
        <f aca="false">IF($A127="","",IFERROR(INDEX('זה אני - קליטה'!$AI$5:$AI$204,MATCH($A127&amp;"|תחילת שנה",'זה אני - קליטה'!$AF$5:$AF$204,0)),""))</f>
        <v/>
      </c>
      <c r="D127" s="28" t="str">
        <f aca="false">IF($A127="","",IFERROR(INDEX('זה אני - קליטה'!$AJ$5:$AJ$204,MATCH($A127&amp;"|תחילת שנה",'זה אני - קליטה'!$AF$5:$AF$204,0)),""))</f>
        <v/>
      </c>
      <c r="E127" s="28" t="str">
        <f aca="false">IF($A127="","",IFERROR(INDEX('זה אני - קליטה'!$AK$5:$AK$204,MATCH($A127&amp;"|תחילת שנה",'זה אני - קליטה'!$AF$5:$AF$204,0)),""))</f>
        <v/>
      </c>
      <c r="F127" s="28" t="str">
        <f aca="false">IF($A127="","",IFERROR(INDEX('זה אני - קליטה'!$AL$5:$AL$204,MATCH($A127&amp;"|תחילת שנה",'זה אני - קליטה'!$AF$5:$AF$204,0)),""))</f>
        <v/>
      </c>
      <c r="G127" s="27" t="str">
        <f aca="false">IF($A127="","",IFERROR(INDEX('זה אני - קליטה'!$AG$5:$AG$204,MATCH($A127&amp;"|תחילת שנה",'זה אני - קליטה'!$AF$5:$AF$204,0)),""))</f>
        <v/>
      </c>
      <c r="H127" s="28" t="str">
        <f aca="false">IF($A127="","",IFERROR(INDEX('זה אני - קליטה'!$AN$5:$AN$204,MATCH($A127&amp;"|תחילת שנה",'זה אני - קליטה'!$AF$5:$AF$204,0)),""))</f>
        <v/>
      </c>
      <c r="I127" s="28" t="str">
        <f aca="false">IF($A127="","",IFERROR(INDEX('זה אני - קליטה'!$AH$5:$AH$204,MATCH($A127&amp;"|אמצע שנה",'זה אני - קליטה'!$AF$5:$AF$204,0)),""))</f>
        <v/>
      </c>
      <c r="J127" s="28" t="str">
        <f aca="false">IF($A127="","",IFERROR(INDEX('זה אני - קליטה'!$AI$5:$AI$204,MATCH($A127&amp;"|אמצע שנה",'זה אני - קליטה'!$AF$5:$AF$204,0)),""))</f>
        <v/>
      </c>
      <c r="K127" s="28" t="str">
        <f aca="false">IF($A127="","",IFERROR(INDEX('זה אני - קליטה'!$AJ$5:$AJ$204,MATCH($A127&amp;"|אמצע שנה",'זה אני - קליטה'!$AF$5:$AF$204,0)),""))</f>
        <v/>
      </c>
      <c r="L127" s="28" t="str">
        <f aca="false">IF($A127="","",IFERROR(INDEX('זה אני - קליטה'!$AK$5:$AK$204,MATCH($A127&amp;"|אמצע שנה",'זה אני - קליטה'!$AF$5:$AF$204,0)),""))</f>
        <v/>
      </c>
      <c r="M127" s="28" t="str">
        <f aca="false">IF($A127="","",IFERROR(INDEX('זה אני - קליטה'!$AL$5:$AL$204,MATCH($A127&amp;"|אמצע שנה",'זה אני - קליטה'!$AF$5:$AF$204,0)),""))</f>
        <v/>
      </c>
      <c r="N127" s="27" t="str">
        <f aca="false">IF($A127="","",IFERROR(INDEX('זה אני - קליטה'!$AG$5:$AG$204,MATCH($A127&amp;"|אמצע שנה",'זה אני - קליטה'!$AF$5:$AF$204,0)),""))</f>
        <v/>
      </c>
      <c r="O127" s="28" t="str">
        <f aca="false">IF($A127="","",IFERROR(INDEX('זה אני - קליטה'!$AN$5:$AN$204,MATCH($A127&amp;"|אמצע שנה",'זה אני - קליטה'!$AF$5:$AF$204,0)),""))</f>
        <v/>
      </c>
      <c r="P127" s="28" t="str">
        <f aca="false">IF($A127="","",IFERROR(INDEX('זה אני - קליטה'!$AH$5:$AH$204,MATCH($A127&amp;"|סוף שנה",'זה אני - קליטה'!$AF$5:$AF$204,0)),""))</f>
        <v/>
      </c>
      <c r="Q127" s="28" t="str">
        <f aca="false">IF($A127="","",IFERROR(INDEX('זה אני - קליטה'!$AI$5:$AI$204,MATCH($A127&amp;"|סוף שנה",'זה אני - קליטה'!$AF$5:$AF$204,0)),""))</f>
        <v/>
      </c>
      <c r="R127" s="28" t="str">
        <f aca="false">IF($A127="","",IFERROR(INDEX('זה אני - קליטה'!$AJ$5:$AJ$204,MATCH($A127&amp;"|סוף שנה",'זה אני - קליטה'!$AF$5:$AF$204,0)),""))</f>
        <v/>
      </c>
      <c r="S127" s="28" t="str">
        <f aca="false">IF($A127="","",IFERROR(INDEX('זה אני - קליטה'!$AK$5:$AK$204,MATCH($A127&amp;"|סוף שנה",'זה אני - קליטה'!$AF$5:$AF$204,0)),""))</f>
        <v/>
      </c>
      <c r="T127" s="28" t="str">
        <f aca="false">IF($A127="","",IFERROR(INDEX('זה אני - קליטה'!$AL$5:$AL$204,MATCH($A127&amp;"|סוף שנה",'זה אני - קליטה'!$AF$5:$AF$204,0)),""))</f>
        <v/>
      </c>
      <c r="U127" s="27" t="str">
        <f aca="false">IF($A127="","",IFERROR(INDEX('זה אני - קליטה'!$AG$5:$AG$204,MATCH($A127&amp;"|סוף שנה",'זה אני - קליטה'!$AF$5:$AF$204,0)),""))</f>
        <v/>
      </c>
      <c r="V127" s="28" t="str">
        <f aca="false">IF($A127="","",IFERROR(INDEX('זה אני - קליטה'!$AN$5:$AN$204,MATCH($A127&amp;"|סוף שנה",'זה אני - קליטה'!$AF$5:$AF$204,0)),""))</f>
        <v/>
      </c>
      <c r="W127" s="32" t="str">
        <f aca="false">IF(AND(ISNUMBER(F127),ISNUMBER(T127)),T127-F127,"")</f>
        <v/>
      </c>
      <c r="X127" s="27" t="str">
        <f aca="false">IF(W127="","",IF(W127&gt;=0.25,"עלייה",IF(W127&lt;=-0.25,"ירידה","יציב")))</f>
        <v/>
      </c>
    </row>
    <row r="128" customFormat="false" ht="15" hidden="false" customHeight="false" outlineLevel="0" collapsed="false">
      <c r="A128" s="29"/>
      <c r="B128" s="28" t="str">
        <f aca="false">IF($A128="","",IFERROR(INDEX('זה אני - קליטה'!$AH$5:$AH$204,MATCH($A128&amp;"|תחילת שנה",'זה אני - קליטה'!$AF$5:$AF$204,0)),""))</f>
        <v/>
      </c>
      <c r="C128" s="28" t="str">
        <f aca="false">IF($A128="","",IFERROR(INDEX('זה אני - קליטה'!$AI$5:$AI$204,MATCH($A128&amp;"|תחילת שנה",'זה אני - קליטה'!$AF$5:$AF$204,0)),""))</f>
        <v/>
      </c>
      <c r="D128" s="28" t="str">
        <f aca="false">IF($A128="","",IFERROR(INDEX('זה אני - קליטה'!$AJ$5:$AJ$204,MATCH($A128&amp;"|תחילת שנה",'זה אני - קליטה'!$AF$5:$AF$204,0)),""))</f>
        <v/>
      </c>
      <c r="E128" s="28" t="str">
        <f aca="false">IF($A128="","",IFERROR(INDEX('זה אני - קליטה'!$AK$5:$AK$204,MATCH($A128&amp;"|תחילת שנה",'זה אני - קליטה'!$AF$5:$AF$204,0)),""))</f>
        <v/>
      </c>
      <c r="F128" s="28" t="str">
        <f aca="false">IF($A128="","",IFERROR(INDEX('זה אני - קליטה'!$AL$5:$AL$204,MATCH($A128&amp;"|תחילת שנה",'זה אני - קליטה'!$AF$5:$AF$204,0)),""))</f>
        <v/>
      </c>
      <c r="G128" s="27" t="str">
        <f aca="false">IF($A128="","",IFERROR(INDEX('זה אני - קליטה'!$AG$5:$AG$204,MATCH($A128&amp;"|תחילת שנה",'זה אני - קליטה'!$AF$5:$AF$204,0)),""))</f>
        <v/>
      </c>
      <c r="H128" s="28" t="str">
        <f aca="false">IF($A128="","",IFERROR(INDEX('זה אני - קליטה'!$AN$5:$AN$204,MATCH($A128&amp;"|תחילת שנה",'זה אני - קליטה'!$AF$5:$AF$204,0)),""))</f>
        <v/>
      </c>
      <c r="I128" s="28" t="str">
        <f aca="false">IF($A128="","",IFERROR(INDEX('זה אני - קליטה'!$AH$5:$AH$204,MATCH($A128&amp;"|אמצע שנה",'זה אני - קליטה'!$AF$5:$AF$204,0)),""))</f>
        <v/>
      </c>
      <c r="J128" s="28" t="str">
        <f aca="false">IF($A128="","",IFERROR(INDEX('זה אני - קליטה'!$AI$5:$AI$204,MATCH($A128&amp;"|אמצע שנה",'זה אני - קליטה'!$AF$5:$AF$204,0)),""))</f>
        <v/>
      </c>
      <c r="K128" s="28" t="str">
        <f aca="false">IF($A128="","",IFERROR(INDEX('זה אני - קליטה'!$AJ$5:$AJ$204,MATCH($A128&amp;"|אמצע שנה",'זה אני - קליטה'!$AF$5:$AF$204,0)),""))</f>
        <v/>
      </c>
      <c r="L128" s="28" t="str">
        <f aca="false">IF($A128="","",IFERROR(INDEX('זה אני - קליטה'!$AK$5:$AK$204,MATCH($A128&amp;"|אמצע שנה",'זה אני - קליטה'!$AF$5:$AF$204,0)),""))</f>
        <v/>
      </c>
      <c r="M128" s="28" t="str">
        <f aca="false">IF($A128="","",IFERROR(INDEX('זה אני - קליטה'!$AL$5:$AL$204,MATCH($A128&amp;"|אמצע שנה",'זה אני - קליטה'!$AF$5:$AF$204,0)),""))</f>
        <v/>
      </c>
      <c r="N128" s="27" t="str">
        <f aca="false">IF($A128="","",IFERROR(INDEX('זה אני - קליטה'!$AG$5:$AG$204,MATCH($A128&amp;"|אמצע שנה",'זה אני - קליטה'!$AF$5:$AF$204,0)),""))</f>
        <v/>
      </c>
      <c r="O128" s="28" t="str">
        <f aca="false">IF($A128="","",IFERROR(INDEX('זה אני - קליטה'!$AN$5:$AN$204,MATCH($A128&amp;"|אמצע שנה",'זה אני - קליטה'!$AF$5:$AF$204,0)),""))</f>
        <v/>
      </c>
      <c r="P128" s="28" t="str">
        <f aca="false">IF($A128="","",IFERROR(INDEX('זה אני - קליטה'!$AH$5:$AH$204,MATCH($A128&amp;"|סוף שנה",'זה אני - קליטה'!$AF$5:$AF$204,0)),""))</f>
        <v/>
      </c>
      <c r="Q128" s="28" t="str">
        <f aca="false">IF($A128="","",IFERROR(INDEX('זה אני - קליטה'!$AI$5:$AI$204,MATCH($A128&amp;"|סוף שנה",'זה אני - קליטה'!$AF$5:$AF$204,0)),""))</f>
        <v/>
      </c>
      <c r="R128" s="28" t="str">
        <f aca="false">IF($A128="","",IFERROR(INDEX('זה אני - קליטה'!$AJ$5:$AJ$204,MATCH($A128&amp;"|סוף שנה",'זה אני - קליטה'!$AF$5:$AF$204,0)),""))</f>
        <v/>
      </c>
      <c r="S128" s="28" t="str">
        <f aca="false">IF($A128="","",IFERROR(INDEX('זה אני - קליטה'!$AK$5:$AK$204,MATCH($A128&amp;"|סוף שנה",'זה אני - קליטה'!$AF$5:$AF$204,0)),""))</f>
        <v/>
      </c>
      <c r="T128" s="28" t="str">
        <f aca="false">IF($A128="","",IFERROR(INDEX('זה אני - קליטה'!$AL$5:$AL$204,MATCH($A128&amp;"|סוף שנה",'זה אני - קליטה'!$AF$5:$AF$204,0)),""))</f>
        <v/>
      </c>
      <c r="U128" s="27" t="str">
        <f aca="false">IF($A128="","",IFERROR(INDEX('זה אני - קליטה'!$AG$5:$AG$204,MATCH($A128&amp;"|סוף שנה",'זה אני - קליטה'!$AF$5:$AF$204,0)),""))</f>
        <v/>
      </c>
      <c r="V128" s="28" t="str">
        <f aca="false">IF($A128="","",IFERROR(INDEX('זה אני - קליטה'!$AN$5:$AN$204,MATCH($A128&amp;"|סוף שנה",'זה אני - קליטה'!$AF$5:$AF$204,0)),""))</f>
        <v/>
      </c>
      <c r="W128" s="32" t="str">
        <f aca="false">IF(AND(ISNUMBER(F128),ISNUMBER(T128)),T128-F128,"")</f>
        <v/>
      </c>
      <c r="X128" s="27" t="str">
        <f aca="false">IF(W128="","",IF(W128&gt;=0.25,"עלייה",IF(W128&lt;=-0.25,"ירידה","יציב")))</f>
        <v/>
      </c>
    </row>
    <row r="129" customFormat="false" ht="15" hidden="false" customHeight="false" outlineLevel="0" collapsed="false">
      <c r="A129" s="29"/>
      <c r="B129" s="28" t="str">
        <f aca="false">IF($A129="","",IFERROR(INDEX('זה אני - קליטה'!$AH$5:$AH$204,MATCH($A129&amp;"|תחילת שנה",'זה אני - קליטה'!$AF$5:$AF$204,0)),""))</f>
        <v/>
      </c>
      <c r="C129" s="28" t="str">
        <f aca="false">IF($A129="","",IFERROR(INDEX('זה אני - קליטה'!$AI$5:$AI$204,MATCH($A129&amp;"|תחילת שנה",'זה אני - קליטה'!$AF$5:$AF$204,0)),""))</f>
        <v/>
      </c>
      <c r="D129" s="28" t="str">
        <f aca="false">IF($A129="","",IFERROR(INDEX('זה אני - קליטה'!$AJ$5:$AJ$204,MATCH($A129&amp;"|תחילת שנה",'זה אני - קליטה'!$AF$5:$AF$204,0)),""))</f>
        <v/>
      </c>
      <c r="E129" s="28" t="str">
        <f aca="false">IF($A129="","",IFERROR(INDEX('זה אני - קליטה'!$AK$5:$AK$204,MATCH($A129&amp;"|תחילת שנה",'זה אני - קליטה'!$AF$5:$AF$204,0)),""))</f>
        <v/>
      </c>
      <c r="F129" s="28" t="str">
        <f aca="false">IF($A129="","",IFERROR(INDEX('זה אני - קליטה'!$AL$5:$AL$204,MATCH($A129&amp;"|תחילת שנה",'זה אני - קליטה'!$AF$5:$AF$204,0)),""))</f>
        <v/>
      </c>
      <c r="G129" s="27" t="str">
        <f aca="false">IF($A129="","",IFERROR(INDEX('זה אני - קליטה'!$AG$5:$AG$204,MATCH($A129&amp;"|תחילת שנה",'זה אני - קליטה'!$AF$5:$AF$204,0)),""))</f>
        <v/>
      </c>
      <c r="H129" s="28" t="str">
        <f aca="false">IF($A129="","",IFERROR(INDEX('זה אני - קליטה'!$AN$5:$AN$204,MATCH($A129&amp;"|תחילת שנה",'זה אני - קליטה'!$AF$5:$AF$204,0)),""))</f>
        <v/>
      </c>
      <c r="I129" s="28" t="str">
        <f aca="false">IF($A129="","",IFERROR(INDEX('זה אני - קליטה'!$AH$5:$AH$204,MATCH($A129&amp;"|אמצע שנה",'זה אני - קליטה'!$AF$5:$AF$204,0)),""))</f>
        <v/>
      </c>
      <c r="J129" s="28" t="str">
        <f aca="false">IF($A129="","",IFERROR(INDEX('זה אני - קליטה'!$AI$5:$AI$204,MATCH($A129&amp;"|אמצע שנה",'זה אני - קליטה'!$AF$5:$AF$204,0)),""))</f>
        <v/>
      </c>
      <c r="K129" s="28" t="str">
        <f aca="false">IF($A129="","",IFERROR(INDEX('זה אני - קליטה'!$AJ$5:$AJ$204,MATCH($A129&amp;"|אמצע שנה",'זה אני - קליטה'!$AF$5:$AF$204,0)),""))</f>
        <v/>
      </c>
      <c r="L129" s="28" t="str">
        <f aca="false">IF($A129="","",IFERROR(INDEX('זה אני - קליטה'!$AK$5:$AK$204,MATCH($A129&amp;"|אמצע שנה",'זה אני - קליטה'!$AF$5:$AF$204,0)),""))</f>
        <v/>
      </c>
      <c r="M129" s="28" t="str">
        <f aca="false">IF($A129="","",IFERROR(INDEX('זה אני - קליטה'!$AL$5:$AL$204,MATCH($A129&amp;"|אמצע שנה",'זה אני - קליטה'!$AF$5:$AF$204,0)),""))</f>
        <v/>
      </c>
      <c r="N129" s="27" t="str">
        <f aca="false">IF($A129="","",IFERROR(INDEX('זה אני - קליטה'!$AG$5:$AG$204,MATCH($A129&amp;"|אמצע שנה",'זה אני - קליטה'!$AF$5:$AF$204,0)),""))</f>
        <v/>
      </c>
      <c r="O129" s="28" t="str">
        <f aca="false">IF($A129="","",IFERROR(INDEX('זה אני - קליטה'!$AN$5:$AN$204,MATCH($A129&amp;"|אמצע שנה",'זה אני - קליטה'!$AF$5:$AF$204,0)),""))</f>
        <v/>
      </c>
      <c r="P129" s="28" t="str">
        <f aca="false">IF($A129="","",IFERROR(INDEX('זה אני - קליטה'!$AH$5:$AH$204,MATCH($A129&amp;"|סוף שנה",'זה אני - קליטה'!$AF$5:$AF$204,0)),""))</f>
        <v/>
      </c>
      <c r="Q129" s="28" t="str">
        <f aca="false">IF($A129="","",IFERROR(INDEX('זה אני - קליטה'!$AI$5:$AI$204,MATCH($A129&amp;"|סוף שנה",'זה אני - קליטה'!$AF$5:$AF$204,0)),""))</f>
        <v/>
      </c>
      <c r="R129" s="28" t="str">
        <f aca="false">IF($A129="","",IFERROR(INDEX('זה אני - קליטה'!$AJ$5:$AJ$204,MATCH($A129&amp;"|סוף שנה",'זה אני - קליטה'!$AF$5:$AF$204,0)),""))</f>
        <v/>
      </c>
      <c r="S129" s="28" t="str">
        <f aca="false">IF($A129="","",IFERROR(INDEX('זה אני - קליטה'!$AK$5:$AK$204,MATCH($A129&amp;"|סוף שנה",'זה אני - קליטה'!$AF$5:$AF$204,0)),""))</f>
        <v/>
      </c>
      <c r="T129" s="28" t="str">
        <f aca="false">IF($A129="","",IFERROR(INDEX('זה אני - קליטה'!$AL$5:$AL$204,MATCH($A129&amp;"|סוף שנה",'זה אני - קליטה'!$AF$5:$AF$204,0)),""))</f>
        <v/>
      </c>
      <c r="U129" s="27" t="str">
        <f aca="false">IF($A129="","",IFERROR(INDEX('זה אני - קליטה'!$AG$5:$AG$204,MATCH($A129&amp;"|סוף שנה",'זה אני - קליטה'!$AF$5:$AF$204,0)),""))</f>
        <v/>
      </c>
      <c r="V129" s="28" t="str">
        <f aca="false">IF($A129="","",IFERROR(INDEX('זה אני - קליטה'!$AN$5:$AN$204,MATCH($A129&amp;"|סוף שנה",'זה אני - קליטה'!$AF$5:$AF$204,0)),""))</f>
        <v/>
      </c>
      <c r="W129" s="32" t="str">
        <f aca="false">IF(AND(ISNUMBER(F129),ISNUMBER(T129)),T129-F129,"")</f>
        <v/>
      </c>
      <c r="X129" s="27" t="str">
        <f aca="false">IF(W129="","",IF(W129&gt;=0.25,"עלייה",IF(W129&lt;=-0.25,"ירידה","יציב")))</f>
        <v/>
      </c>
    </row>
    <row r="130" customFormat="false" ht="15" hidden="false" customHeight="false" outlineLevel="0" collapsed="false">
      <c r="A130" s="29"/>
      <c r="B130" s="28" t="str">
        <f aca="false">IF($A130="","",IFERROR(INDEX('זה אני - קליטה'!$AH$5:$AH$204,MATCH($A130&amp;"|תחילת שנה",'זה אני - קליטה'!$AF$5:$AF$204,0)),""))</f>
        <v/>
      </c>
      <c r="C130" s="28" t="str">
        <f aca="false">IF($A130="","",IFERROR(INDEX('זה אני - קליטה'!$AI$5:$AI$204,MATCH($A130&amp;"|תחילת שנה",'זה אני - קליטה'!$AF$5:$AF$204,0)),""))</f>
        <v/>
      </c>
      <c r="D130" s="28" t="str">
        <f aca="false">IF($A130="","",IFERROR(INDEX('זה אני - קליטה'!$AJ$5:$AJ$204,MATCH($A130&amp;"|תחילת שנה",'זה אני - קליטה'!$AF$5:$AF$204,0)),""))</f>
        <v/>
      </c>
      <c r="E130" s="28" t="str">
        <f aca="false">IF($A130="","",IFERROR(INDEX('זה אני - קליטה'!$AK$5:$AK$204,MATCH($A130&amp;"|תחילת שנה",'זה אני - קליטה'!$AF$5:$AF$204,0)),""))</f>
        <v/>
      </c>
      <c r="F130" s="28" t="str">
        <f aca="false">IF($A130="","",IFERROR(INDEX('זה אני - קליטה'!$AL$5:$AL$204,MATCH($A130&amp;"|תחילת שנה",'זה אני - קליטה'!$AF$5:$AF$204,0)),""))</f>
        <v/>
      </c>
      <c r="G130" s="27" t="str">
        <f aca="false">IF($A130="","",IFERROR(INDEX('זה אני - קליטה'!$AG$5:$AG$204,MATCH($A130&amp;"|תחילת שנה",'זה אני - קליטה'!$AF$5:$AF$204,0)),""))</f>
        <v/>
      </c>
      <c r="H130" s="28" t="str">
        <f aca="false">IF($A130="","",IFERROR(INDEX('זה אני - קליטה'!$AN$5:$AN$204,MATCH($A130&amp;"|תחילת שנה",'זה אני - קליטה'!$AF$5:$AF$204,0)),""))</f>
        <v/>
      </c>
      <c r="I130" s="28" t="str">
        <f aca="false">IF($A130="","",IFERROR(INDEX('זה אני - קליטה'!$AH$5:$AH$204,MATCH($A130&amp;"|אמצע שנה",'זה אני - קליטה'!$AF$5:$AF$204,0)),""))</f>
        <v/>
      </c>
      <c r="J130" s="28" t="str">
        <f aca="false">IF($A130="","",IFERROR(INDEX('זה אני - קליטה'!$AI$5:$AI$204,MATCH($A130&amp;"|אמצע שנה",'זה אני - קליטה'!$AF$5:$AF$204,0)),""))</f>
        <v/>
      </c>
      <c r="K130" s="28" t="str">
        <f aca="false">IF($A130="","",IFERROR(INDEX('זה אני - קליטה'!$AJ$5:$AJ$204,MATCH($A130&amp;"|אמצע שנה",'זה אני - קליטה'!$AF$5:$AF$204,0)),""))</f>
        <v/>
      </c>
      <c r="L130" s="28" t="str">
        <f aca="false">IF($A130="","",IFERROR(INDEX('זה אני - קליטה'!$AK$5:$AK$204,MATCH($A130&amp;"|אמצע שנה",'זה אני - קליטה'!$AF$5:$AF$204,0)),""))</f>
        <v/>
      </c>
      <c r="M130" s="28" t="str">
        <f aca="false">IF($A130="","",IFERROR(INDEX('זה אני - קליטה'!$AL$5:$AL$204,MATCH($A130&amp;"|אמצע שנה",'זה אני - קליטה'!$AF$5:$AF$204,0)),""))</f>
        <v/>
      </c>
      <c r="N130" s="27" t="str">
        <f aca="false">IF($A130="","",IFERROR(INDEX('זה אני - קליטה'!$AG$5:$AG$204,MATCH($A130&amp;"|אמצע שנה",'זה אני - קליטה'!$AF$5:$AF$204,0)),""))</f>
        <v/>
      </c>
      <c r="O130" s="28" t="str">
        <f aca="false">IF($A130="","",IFERROR(INDEX('זה אני - קליטה'!$AN$5:$AN$204,MATCH($A130&amp;"|אמצע שנה",'זה אני - קליטה'!$AF$5:$AF$204,0)),""))</f>
        <v/>
      </c>
      <c r="P130" s="28" t="str">
        <f aca="false">IF($A130="","",IFERROR(INDEX('זה אני - קליטה'!$AH$5:$AH$204,MATCH($A130&amp;"|סוף שנה",'זה אני - קליטה'!$AF$5:$AF$204,0)),""))</f>
        <v/>
      </c>
      <c r="Q130" s="28" t="str">
        <f aca="false">IF($A130="","",IFERROR(INDEX('זה אני - קליטה'!$AI$5:$AI$204,MATCH($A130&amp;"|סוף שנה",'זה אני - קליטה'!$AF$5:$AF$204,0)),""))</f>
        <v/>
      </c>
      <c r="R130" s="28" t="str">
        <f aca="false">IF($A130="","",IFERROR(INDEX('זה אני - קליטה'!$AJ$5:$AJ$204,MATCH($A130&amp;"|סוף שנה",'זה אני - קליטה'!$AF$5:$AF$204,0)),""))</f>
        <v/>
      </c>
      <c r="S130" s="28" t="str">
        <f aca="false">IF($A130="","",IFERROR(INDEX('זה אני - קליטה'!$AK$5:$AK$204,MATCH($A130&amp;"|סוף שנה",'זה אני - קליטה'!$AF$5:$AF$204,0)),""))</f>
        <v/>
      </c>
      <c r="T130" s="28" t="str">
        <f aca="false">IF($A130="","",IFERROR(INDEX('זה אני - קליטה'!$AL$5:$AL$204,MATCH($A130&amp;"|סוף שנה",'זה אני - קליטה'!$AF$5:$AF$204,0)),""))</f>
        <v/>
      </c>
      <c r="U130" s="27" t="str">
        <f aca="false">IF($A130="","",IFERROR(INDEX('זה אני - קליטה'!$AG$5:$AG$204,MATCH($A130&amp;"|סוף שנה",'זה אני - קליטה'!$AF$5:$AF$204,0)),""))</f>
        <v/>
      </c>
      <c r="V130" s="28" t="str">
        <f aca="false">IF($A130="","",IFERROR(INDEX('זה אני - קליטה'!$AN$5:$AN$204,MATCH($A130&amp;"|סוף שנה",'זה אני - קליטה'!$AF$5:$AF$204,0)),""))</f>
        <v/>
      </c>
      <c r="W130" s="32" t="str">
        <f aca="false">IF(AND(ISNUMBER(F130),ISNUMBER(T130)),T130-F130,"")</f>
        <v/>
      </c>
      <c r="X130" s="27" t="str">
        <f aca="false">IF(W130="","",IF(W130&gt;=0.25,"עלייה",IF(W130&lt;=-0.25,"ירידה","יציב")))</f>
        <v/>
      </c>
    </row>
    <row r="131" customFormat="false" ht="15" hidden="false" customHeight="false" outlineLevel="0" collapsed="false">
      <c r="A131" s="29"/>
      <c r="B131" s="28" t="str">
        <f aca="false">IF($A131="","",IFERROR(INDEX('זה אני - קליטה'!$AH$5:$AH$204,MATCH($A131&amp;"|תחילת שנה",'זה אני - קליטה'!$AF$5:$AF$204,0)),""))</f>
        <v/>
      </c>
      <c r="C131" s="28" t="str">
        <f aca="false">IF($A131="","",IFERROR(INDEX('זה אני - קליטה'!$AI$5:$AI$204,MATCH($A131&amp;"|תחילת שנה",'זה אני - קליטה'!$AF$5:$AF$204,0)),""))</f>
        <v/>
      </c>
      <c r="D131" s="28" t="str">
        <f aca="false">IF($A131="","",IFERROR(INDEX('זה אני - קליטה'!$AJ$5:$AJ$204,MATCH($A131&amp;"|תחילת שנה",'זה אני - קליטה'!$AF$5:$AF$204,0)),""))</f>
        <v/>
      </c>
      <c r="E131" s="28" t="str">
        <f aca="false">IF($A131="","",IFERROR(INDEX('זה אני - קליטה'!$AK$5:$AK$204,MATCH($A131&amp;"|תחילת שנה",'זה אני - קליטה'!$AF$5:$AF$204,0)),""))</f>
        <v/>
      </c>
      <c r="F131" s="28" t="str">
        <f aca="false">IF($A131="","",IFERROR(INDEX('זה אני - קליטה'!$AL$5:$AL$204,MATCH($A131&amp;"|תחילת שנה",'זה אני - קליטה'!$AF$5:$AF$204,0)),""))</f>
        <v/>
      </c>
      <c r="G131" s="27" t="str">
        <f aca="false">IF($A131="","",IFERROR(INDEX('זה אני - קליטה'!$AG$5:$AG$204,MATCH($A131&amp;"|תחילת שנה",'זה אני - קליטה'!$AF$5:$AF$204,0)),""))</f>
        <v/>
      </c>
      <c r="H131" s="28" t="str">
        <f aca="false">IF($A131="","",IFERROR(INDEX('זה אני - קליטה'!$AN$5:$AN$204,MATCH($A131&amp;"|תחילת שנה",'זה אני - קליטה'!$AF$5:$AF$204,0)),""))</f>
        <v/>
      </c>
      <c r="I131" s="28" t="str">
        <f aca="false">IF($A131="","",IFERROR(INDEX('זה אני - קליטה'!$AH$5:$AH$204,MATCH($A131&amp;"|אמצע שנה",'זה אני - קליטה'!$AF$5:$AF$204,0)),""))</f>
        <v/>
      </c>
      <c r="J131" s="28" t="str">
        <f aca="false">IF($A131="","",IFERROR(INDEX('זה אני - קליטה'!$AI$5:$AI$204,MATCH($A131&amp;"|אמצע שנה",'זה אני - קליטה'!$AF$5:$AF$204,0)),""))</f>
        <v/>
      </c>
      <c r="K131" s="28" t="str">
        <f aca="false">IF($A131="","",IFERROR(INDEX('זה אני - קליטה'!$AJ$5:$AJ$204,MATCH($A131&amp;"|אמצע שנה",'זה אני - קליטה'!$AF$5:$AF$204,0)),""))</f>
        <v/>
      </c>
      <c r="L131" s="28" t="str">
        <f aca="false">IF($A131="","",IFERROR(INDEX('זה אני - קליטה'!$AK$5:$AK$204,MATCH($A131&amp;"|אמצע שנה",'זה אני - קליטה'!$AF$5:$AF$204,0)),""))</f>
        <v/>
      </c>
      <c r="M131" s="28" t="str">
        <f aca="false">IF($A131="","",IFERROR(INDEX('זה אני - קליטה'!$AL$5:$AL$204,MATCH($A131&amp;"|אמצע שנה",'זה אני - קליטה'!$AF$5:$AF$204,0)),""))</f>
        <v/>
      </c>
      <c r="N131" s="27" t="str">
        <f aca="false">IF($A131="","",IFERROR(INDEX('זה אני - קליטה'!$AG$5:$AG$204,MATCH($A131&amp;"|אמצע שנה",'זה אני - קליטה'!$AF$5:$AF$204,0)),""))</f>
        <v/>
      </c>
      <c r="O131" s="28" t="str">
        <f aca="false">IF($A131="","",IFERROR(INDEX('זה אני - קליטה'!$AN$5:$AN$204,MATCH($A131&amp;"|אמצע שנה",'זה אני - קליטה'!$AF$5:$AF$204,0)),""))</f>
        <v/>
      </c>
      <c r="P131" s="28" t="str">
        <f aca="false">IF($A131="","",IFERROR(INDEX('זה אני - קליטה'!$AH$5:$AH$204,MATCH($A131&amp;"|סוף שנה",'זה אני - קליטה'!$AF$5:$AF$204,0)),""))</f>
        <v/>
      </c>
      <c r="Q131" s="28" t="str">
        <f aca="false">IF($A131="","",IFERROR(INDEX('זה אני - קליטה'!$AI$5:$AI$204,MATCH($A131&amp;"|סוף שנה",'זה אני - קליטה'!$AF$5:$AF$204,0)),""))</f>
        <v/>
      </c>
      <c r="R131" s="28" t="str">
        <f aca="false">IF($A131="","",IFERROR(INDEX('זה אני - קליטה'!$AJ$5:$AJ$204,MATCH($A131&amp;"|סוף שנה",'זה אני - קליטה'!$AF$5:$AF$204,0)),""))</f>
        <v/>
      </c>
      <c r="S131" s="28" t="str">
        <f aca="false">IF($A131="","",IFERROR(INDEX('זה אני - קליטה'!$AK$5:$AK$204,MATCH($A131&amp;"|סוף שנה",'זה אני - קליטה'!$AF$5:$AF$204,0)),""))</f>
        <v/>
      </c>
      <c r="T131" s="28" t="str">
        <f aca="false">IF($A131="","",IFERROR(INDEX('זה אני - קליטה'!$AL$5:$AL$204,MATCH($A131&amp;"|סוף שנה",'זה אני - קליטה'!$AF$5:$AF$204,0)),""))</f>
        <v/>
      </c>
      <c r="U131" s="27" t="str">
        <f aca="false">IF($A131="","",IFERROR(INDEX('זה אני - קליטה'!$AG$5:$AG$204,MATCH($A131&amp;"|סוף שנה",'זה אני - קליטה'!$AF$5:$AF$204,0)),""))</f>
        <v/>
      </c>
      <c r="V131" s="28" t="str">
        <f aca="false">IF($A131="","",IFERROR(INDEX('זה אני - קליטה'!$AN$5:$AN$204,MATCH($A131&amp;"|סוף שנה",'זה אני - קליטה'!$AF$5:$AF$204,0)),""))</f>
        <v/>
      </c>
      <c r="W131" s="32" t="str">
        <f aca="false">IF(AND(ISNUMBER(F131),ISNUMBER(T131)),T131-F131,"")</f>
        <v/>
      </c>
      <c r="X131" s="27" t="str">
        <f aca="false">IF(W131="","",IF(W131&gt;=0.25,"עלייה",IF(W131&lt;=-0.25,"ירידה","יציב")))</f>
        <v/>
      </c>
    </row>
    <row r="132" customFormat="false" ht="15" hidden="false" customHeight="false" outlineLevel="0" collapsed="false">
      <c r="A132" s="29"/>
      <c r="B132" s="28" t="str">
        <f aca="false">IF($A132="","",IFERROR(INDEX('זה אני - קליטה'!$AH$5:$AH$204,MATCH($A132&amp;"|תחילת שנה",'זה אני - קליטה'!$AF$5:$AF$204,0)),""))</f>
        <v/>
      </c>
      <c r="C132" s="28" t="str">
        <f aca="false">IF($A132="","",IFERROR(INDEX('זה אני - קליטה'!$AI$5:$AI$204,MATCH($A132&amp;"|תחילת שנה",'זה אני - קליטה'!$AF$5:$AF$204,0)),""))</f>
        <v/>
      </c>
      <c r="D132" s="28" t="str">
        <f aca="false">IF($A132="","",IFERROR(INDEX('זה אני - קליטה'!$AJ$5:$AJ$204,MATCH($A132&amp;"|תחילת שנה",'זה אני - קליטה'!$AF$5:$AF$204,0)),""))</f>
        <v/>
      </c>
      <c r="E132" s="28" t="str">
        <f aca="false">IF($A132="","",IFERROR(INDEX('זה אני - קליטה'!$AK$5:$AK$204,MATCH($A132&amp;"|תחילת שנה",'זה אני - קליטה'!$AF$5:$AF$204,0)),""))</f>
        <v/>
      </c>
      <c r="F132" s="28" t="str">
        <f aca="false">IF($A132="","",IFERROR(INDEX('זה אני - קליטה'!$AL$5:$AL$204,MATCH($A132&amp;"|תחילת שנה",'זה אני - קליטה'!$AF$5:$AF$204,0)),""))</f>
        <v/>
      </c>
      <c r="G132" s="27" t="str">
        <f aca="false">IF($A132="","",IFERROR(INDEX('זה אני - קליטה'!$AG$5:$AG$204,MATCH($A132&amp;"|תחילת שנה",'זה אני - קליטה'!$AF$5:$AF$204,0)),""))</f>
        <v/>
      </c>
      <c r="H132" s="28" t="str">
        <f aca="false">IF($A132="","",IFERROR(INDEX('זה אני - קליטה'!$AN$5:$AN$204,MATCH($A132&amp;"|תחילת שנה",'זה אני - קליטה'!$AF$5:$AF$204,0)),""))</f>
        <v/>
      </c>
      <c r="I132" s="28" t="str">
        <f aca="false">IF($A132="","",IFERROR(INDEX('זה אני - קליטה'!$AH$5:$AH$204,MATCH($A132&amp;"|אמצע שנה",'זה אני - קליטה'!$AF$5:$AF$204,0)),""))</f>
        <v/>
      </c>
      <c r="J132" s="28" t="str">
        <f aca="false">IF($A132="","",IFERROR(INDEX('זה אני - קליטה'!$AI$5:$AI$204,MATCH($A132&amp;"|אמצע שנה",'זה אני - קליטה'!$AF$5:$AF$204,0)),""))</f>
        <v/>
      </c>
      <c r="K132" s="28" t="str">
        <f aca="false">IF($A132="","",IFERROR(INDEX('זה אני - קליטה'!$AJ$5:$AJ$204,MATCH($A132&amp;"|אמצע שנה",'זה אני - קליטה'!$AF$5:$AF$204,0)),""))</f>
        <v/>
      </c>
      <c r="L132" s="28" t="str">
        <f aca="false">IF($A132="","",IFERROR(INDEX('זה אני - קליטה'!$AK$5:$AK$204,MATCH($A132&amp;"|אמצע שנה",'זה אני - קליטה'!$AF$5:$AF$204,0)),""))</f>
        <v/>
      </c>
      <c r="M132" s="28" t="str">
        <f aca="false">IF($A132="","",IFERROR(INDEX('זה אני - קליטה'!$AL$5:$AL$204,MATCH($A132&amp;"|אמצע שנה",'זה אני - קליטה'!$AF$5:$AF$204,0)),""))</f>
        <v/>
      </c>
      <c r="N132" s="27" t="str">
        <f aca="false">IF($A132="","",IFERROR(INDEX('זה אני - קליטה'!$AG$5:$AG$204,MATCH($A132&amp;"|אמצע שנה",'זה אני - קליטה'!$AF$5:$AF$204,0)),""))</f>
        <v/>
      </c>
      <c r="O132" s="28" t="str">
        <f aca="false">IF($A132="","",IFERROR(INDEX('זה אני - קליטה'!$AN$5:$AN$204,MATCH($A132&amp;"|אמצע שנה",'זה אני - קליטה'!$AF$5:$AF$204,0)),""))</f>
        <v/>
      </c>
      <c r="P132" s="28" t="str">
        <f aca="false">IF($A132="","",IFERROR(INDEX('זה אני - קליטה'!$AH$5:$AH$204,MATCH($A132&amp;"|סוף שנה",'זה אני - קליטה'!$AF$5:$AF$204,0)),""))</f>
        <v/>
      </c>
      <c r="Q132" s="28" t="str">
        <f aca="false">IF($A132="","",IFERROR(INDEX('זה אני - קליטה'!$AI$5:$AI$204,MATCH($A132&amp;"|סוף שנה",'זה אני - קליטה'!$AF$5:$AF$204,0)),""))</f>
        <v/>
      </c>
      <c r="R132" s="28" t="str">
        <f aca="false">IF($A132="","",IFERROR(INDEX('זה אני - קליטה'!$AJ$5:$AJ$204,MATCH($A132&amp;"|סוף שנה",'זה אני - קליטה'!$AF$5:$AF$204,0)),""))</f>
        <v/>
      </c>
      <c r="S132" s="28" t="str">
        <f aca="false">IF($A132="","",IFERROR(INDEX('זה אני - קליטה'!$AK$5:$AK$204,MATCH($A132&amp;"|סוף שנה",'זה אני - קליטה'!$AF$5:$AF$204,0)),""))</f>
        <v/>
      </c>
      <c r="T132" s="28" t="str">
        <f aca="false">IF($A132="","",IFERROR(INDEX('זה אני - קליטה'!$AL$5:$AL$204,MATCH($A132&amp;"|סוף שנה",'זה אני - קליטה'!$AF$5:$AF$204,0)),""))</f>
        <v/>
      </c>
      <c r="U132" s="27" t="str">
        <f aca="false">IF($A132="","",IFERROR(INDEX('זה אני - קליטה'!$AG$5:$AG$204,MATCH($A132&amp;"|סוף שנה",'זה אני - קליטה'!$AF$5:$AF$204,0)),""))</f>
        <v/>
      </c>
      <c r="V132" s="28" t="str">
        <f aca="false">IF($A132="","",IFERROR(INDEX('זה אני - קליטה'!$AN$5:$AN$204,MATCH($A132&amp;"|סוף שנה",'זה אני - קליטה'!$AF$5:$AF$204,0)),""))</f>
        <v/>
      </c>
      <c r="W132" s="32" t="str">
        <f aca="false">IF(AND(ISNUMBER(F132),ISNUMBER(T132)),T132-F132,"")</f>
        <v/>
      </c>
      <c r="X132" s="27" t="str">
        <f aca="false">IF(W132="","",IF(W132&gt;=0.25,"עלייה",IF(W132&lt;=-0.25,"ירידה","יציב")))</f>
        <v/>
      </c>
    </row>
    <row r="133" customFormat="false" ht="15" hidden="false" customHeight="false" outlineLevel="0" collapsed="false">
      <c r="A133" s="29"/>
      <c r="B133" s="28" t="str">
        <f aca="false">IF($A133="","",IFERROR(INDEX('זה אני - קליטה'!$AH$5:$AH$204,MATCH($A133&amp;"|תחילת שנה",'זה אני - קליטה'!$AF$5:$AF$204,0)),""))</f>
        <v/>
      </c>
      <c r="C133" s="28" t="str">
        <f aca="false">IF($A133="","",IFERROR(INDEX('זה אני - קליטה'!$AI$5:$AI$204,MATCH($A133&amp;"|תחילת שנה",'זה אני - קליטה'!$AF$5:$AF$204,0)),""))</f>
        <v/>
      </c>
      <c r="D133" s="28" t="str">
        <f aca="false">IF($A133="","",IFERROR(INDEX('זה אני - קליטה'!$AJ$5:$AJ$204,MATCH($A133&amp;"|תחילת שנה",'זה אני - קליטה'!$AF$5:$AF$204,0)),""))</f>
        <v/>
      </c>
      <c r="E133" s="28" t="str">
        <f aca="false">IF($A133="","",IFERROR(INDEX('זה אני - קליטה'!$AK$5:$AK$204,MATCH($A133&amp;"|תחילת שנה",'זה אני - קליטה'!$AF$5:$AF$204,0)),""))</f>
        <v/>
      </c>
      <c r="F133" s="28" t="str">
        <f aca="false">IF($A133="","",IFERROR(INDEX('זה אני - קליטה'!$AL$5:$AL$204,MATCH($A133&amp;"|תחילת שנה",'זה אני - קליטה'!$AF$5:$AF$204,0)),""))</f>
        <v/>
      </c>
      <c r="G133" s="27" t="str">
        <f aca="false">IF($A133="","",IFERROR(INDEX('זה אני - קליטה'!$AG$5:$AG$204,MATCH($A133&amp;"|תחילת שנה",'זה אני - קליטה'!$AF$5:$AF$204,0)),""))</f>
        <v/>
      </c>
      <c r="H133" s="28" t="str">
        <f aca="false">IF($A133="","",IFERROR(INDEX('זה אני - קליטה'!$AN$5:$AN$204,MATCH($A133&amp;"|תחילת שנה",'זה אני - קליטה'!$AF$5:$AF$204,0)),""))</f>
        <v/>
      </c>
      <c r="I133" s="28" t="str">
        <f aca="false">IF($A133="","",IFERROR(INDEX('זה אני - קליטה'!$AH$5:$AH$204,MATCH($A133&amp;"|אמצע שנה",'זה אני - קליטה'!$AF$5:$AF$204,0)),""))</f>
        <v/>
      </c>
      <c r="J133" s="28" t="str">
        <f aca="false">IF($A133="","",IFERROR(INDEX('זה אני - קליטה'!$AI$5:$AI$204,MATCH($A133&amp;"|אמצע שנה",'זה אני - קליטה'!$AF$5:$AF$204,0)),""))</f>
        <v/>
      </c>
      <c r="K133" s="28" t="str">
        <f aca="false">IF($A133="","",IFERROR(INDEX('זה אני - קליטה'!$AJ$5:$AJ$204,MATCH($A133&amp;"|אמצע שנה",'זה אני - קליטה'!$AF$5:$AF$204,0)),""))</f>
        <v/>
      </c>
      <c r="L133" s="28" t="str">
        <f aca="false">IF($A133="","",IFERROR(INDEX('זה אני - קליטה'!$AK$5:$AK$204,MATCH($A133&amp;"|אמצע שנה",'זה אני - קליטה'!$AF$5:$AF$204,0)),""))</f>
        <v/>
      </c>
      <c r="M133" s="28" t="str">
        <f aca="false">IF($A133="","",IFERROR(INDEX('זה אני - קליטה'!$AL$5:$AL$204,MATCH($A133&amp;"|אמצע שנה",'זה אני - קליטה'!$AF$5:$AF$204,0)),""))</f>
        <v/>
      </c>
      <c r="N133" s="27" t="str">
        <f aca="false">IF($A133="","",IFERROR(INDEX('זה אני - קליטה'!$AG$5:$AG$204,MATCH($A133&amp;"|אמצע שנה",'זה אני - קליטה'!$AF$5:$AF$204,0)),""))</f>
        <v/>
      </c>
      <c r="O133" s="28" t="str">
        <f aca="false">IF($A133="","",IFERROR(INDEX('זה אני - קליטה'!$AN$5:$AN$204,MATCH($A133&amp;"|אמצע שנה",'זה אני - קליטה'!$AF$5:$AF$204,0)),""))</f>
        <v/>
      </c>
      <c r="P133" s="28" t="str">
        <f aca="false">IF($A133="","",IFERROR(INDEX('זה אני - קליטה'!$AH$5:$AH$204,MATCH($A133&amp;"|סוף שנה",'זה אני - קליטה'!$AF$5:$AF$204,0)),""))</f>
        <v/>
      </c>
      <c r="Q133" s="28" t="str">
        <f aca="false">IF($A133="","",IFERROR(INDEX('זה אני - קליטה'!$AI$5:$AI$204,MATCH($A133&amp;"|סוף שנה",'זה אני - קליטה'!$AF$5:$AF$204,0)),""))</f>
        <v/>
      </c>
      <c r="R133" s="28" t="str">
        <f aca="false">IF($A133="","",IFERROR(INDEX('זה אני - קליטה'!$AJ$5:$AJ$204,MATCH($A133&amp;"|סוף שנה",'זה אני - קליטה'!$AF$5:$AF$204,0)),""))</f>
        <v/>
      </c>
      <c r="S133" s="28" t="str">
        <f aca="false">IF($A133="","",IFERROR(INDEX('זה אני - קליטה'!$AK$5:$AK$204,MATCH($A133&amp;"|סוף שנה",'זה אני - קליטה'!$AF$5:$AF$204,0)),""))</f>
        <v/>
      </c>
      <c r="T133" s="28" t="str">
        <f aca="false">IF($A133="","",IFERROR(INDEX('זה אני - קליטה'!$AL$5:$AL$204,MATCH($A133&amp;"|סוף שנה",'זה אני - קליטה'!$AF$5:$AF$204,0)),""))</f>
        <v/>
      </c>
      <c r="U133" s="27" t="str">
        <f aca="false">IF($A133="","",IFERROR(INDEX('זה אני - קליטה'!$AG$5:$AG$204,MATCH($A133&amp;"|סוף שנה",'זה אני - קליטה'!$AF$5:$AF$204,0)),""))</f>
        <v/>
      </c>
      <c r="V133" s="28" t="str">
        <f aca="false">IF($A133="","",IFERROR(INDEX('זה אני - קליטה'!$AN$5:$AN$204,MATCH($A133&amp;"|סוף שנה",'זה אני - קליטה'!$AF$5:$AF$204,0)),""))</f>
        <v/>
      </c>
      <c r="W133" s="32" t="str">
        <f aca="false">IF(AND(ISNUMBER(F133),ISNUMBER(T133)),T133-F133,"")</f>
        <v/>
      </c>
      <c r="X133" s="27" t="str">
        <f aca="false">IF(W133="","",IF(W133&gt;=0.25,"עלייה",IF(W133&lt;=-0.25,"ירידה","יציב")))</f>
        <v/>
      </c>
    </row>
    <row r="134" customFormat="false" ht="15" hidden="false" customHeight="false" outlineLevel="0" collapsed="false">
      <c r="A134" s="29"/>
      <c r="B134" s="28" t="str">
        <f aca="false">IF($A134="","",IFERROR(INDEX('זה אני - קליטה'!$AH$5:$AH$204,MATCH($A134&amp;"|תחילת שנה",'זה אני - קליטה'!$AF$5:$AF$204,0)),""))</f>
        <v/>
      </c>
      <c r="C134" s="28" t="str">
        <f aca="false">IF($A134="","",IFERROR(INDEX('זה אני - קליטה'!$AI$5:$AI$204,MATCH($A134&amp;"|תחילת שנה",'זה אני - קליטה'!$AF$5:$AF$204,0)),""))</f>
        <v/>
      </c>
      <c r="D134" s="28" t="str">
        <f aca="false">IF($A134="","",IFERROR(INDEX('זה אני - קליטה'!$AJ$5:$AJ$204,MATCH($A134&amp;"|תחילת שנה",'זה אני - קליטה'!$AF$5:$AF$204,0)),""))</f>
        <v/>
      </c>
      <c r="E134" s="28" t="str">
        <f aca="false">IF($A134="","",IFERROR(INDEX('זה אני - קליטה'!$AK$5:$AK$204,MATCH($A134&amp;"|תחילת שנה",'זה אני - קליטה'!$AF$5:$AF$204,0)),""))</f>
        <v/>
      </c>
      <c r="F134" s="28" t="str">
        <f aca="false">IF($A134="","",IFERROR(INDEX('זה אני - קליטה'!$AL$5:$AL$204,MATCH($A134&amp;"|תחילת שנה",'זה אני - קליטה'!$AF$5:$AF$204,0)),""))</f>
        <v/>
      </c>
      <c r="G134" s="27" t="str">
        <f aca="false">IF($A134="","",IFERROR(INDEX('זה אני - קליטה'!$AG$5:$AG$204,MATCH($A134&amp;"|תחילת שנה",'זה אני - קליטה'!$AF$5:$AF$204,0)),""))</f>
        <v/>
      </c>
      <c r="H134" s="28" t="str">
        <f aca="false">IF($A134="","",IFERROR(INDEX('זה אני - קליטה'!$AN$5:$AN$204,MATCH($A134&amp;"|תחילת שנה",'זה אני - קליטה'!$AF$5:$AF$204,0)),""))</f>
        <v/>
      </c>
      <c r="I134" s="28" t="str">
        <f aca="false">IF($A134="","",IFERROR(INDEX('זה אני - קליטה'!$AH$5:$AH$204,MATCH($A134&amp;"|אמצע שנה",'זה אני - קליטה'!$AF$5:$AF$204,0)),""))</f>
        <v/>
      </c>
      <c r="J134" s="28" t="str">
        <f aca="false">IF($A134="","",IFERROR(INDEX('זה אני - קליטה'!$AI$5:$AI$204,MATCH($A134&amp;"|אמצע שנה",'זה אני - קליטה'!$AF$5:$AF$204,0)),""))</f>
        <v/>
      </c>
      <c r="K134" s="28" t="str">
        <f aca="false">IF($A134="","",IFERROR(INDEX('זה אני - קליטה'!$AJ$5:$AJ$204,MATCH($A134&amp;"|אמצע שנה",'זה אני - קליטה'!$AF$5:$AF$204,0)),""))</f>
        <v/>
      </c>
      <c r="L134" s="28" t="str">
        <f aca="false">IF($A134="","",IFERROR(INDEX('זה אני - קליטה'!$AK$5:$AK$204,MATCH($A134&amp;"|אמצע שנה",'זה אני - קליטה'!$AF$5:$AF$204,0)),""))</f>
        <v/>
      </c>
      <c r="M134" s="28" t="str">
        <f aca="false">IF($A134="","",IFERROR(INDEX('זה אני - קליטה'!$AL$5:$AL$204,MATCH($A134&amp;"|אמצע שנה",'זה אני - קליטה'!$AF$5:$AF$204,0)),""))</f>
        <v/>
      </c>
      <c r="N134" s="27" t="str">
        <f aca="false">IF($A134="","",IFERROR(INDEX('זה אני - קליטה'!$AG$5:$AG$204,MATCH($A134&amp;"|אמצע שנה",'זה אני - קליטה'!$AF$5:$AF$204,0)),""))</f>
        <v/>
      </c>
      <c r="O134" s="28" t="str">
        <f aca="false">IF($A134="","",IFERROR(INDEX('זה אני - קליטה'!$AN$5:$AN$204,MATCH($A134&amp;"|אמצע שנה",'זה אני - קליטה'!$AF$5:$AF$204,0)),""))</f>
        <v/>
      </c>
      <c r="P134" s="28" t="str">
        <f aca="false">IF($A134="","",IFERROR(INDEX('זה אני - קליטה'!$AH$5:$AH$204,MATCH($A134&amp;"|סוף שנה",'זה אני - קליטה'!$AF$5:$AF$204,0)),""))</f>
        <v/>
      </c>
      <c r="Q134" s="28" t="str">
        <f aca="false">IF($A134="","",IFERROR(INDEX('זה אני - קליטה'!$AI$5:$AI$204,MATCH($A134&amp;"|סוף שנה",'זה אני - קליטה'!$AF$5:$AF$204,0)),""))</f>
        <v/>
      </c>
      <c r="R134" s="28" t="str">
        <f aca="false">IF($A134="","",IFERROR(INDEX('זה אני - קליטה'!$AJ$5:$AJ$204,MATCH($A134&amp;"|סוף שנה",'זה אני - קליטה'!$AF$5:$AF$204,0)),""))</f>
        <v/>
      </c>
      <c r="S134" s="28" t="str">
        <f aca="false">IF($A134="","",IFERROR(INDEX('זה אני - קליטה'!$AK$5:$AK$204,MATCH($A134&amp;"|סוף שנה",'זה אני - קליטה'!$AF$5:$AF$204,0)),""))</f>
        <v/>
      </c>
      <c r="T134" s="28" t="str">
        <f aca="false">IF($A134="","",IFERROR(INDEX('זה אני - קליטה'!$AL$5:$AL$204,MATCH($A134&amp;"|סוף שנה",'זה אני - קליטה'!$AF$5:$AF$204,0)),""))</f>
        <v/>
      </c>
      <c r="U134" s="27" t="str">
        <f aca="false">IF($A134="","",IFERROR(INDEX('זה אני - קליטה'!$AG$5:$AG$204,MATCH($A134&amp;"|סוף שנה",'זה אני - קליטה'!$AF$5:$AF$204,0)),""))</f>
        <v/>
      </c>
      <c r="V134" s="28" t="str">
        <f aca="false">IF($A134="","",IFERROR(INDEX('זה אני - קליטה'!$AN$5:$AN$204,MATCH($A134&amp;"|סוף שנה",'זה אני - קליטה'!$AF$5:$AF$204,0)),""))</f>
        <v/>
      </c>
      <c r="W134" s="32" t="str">
        <f aca="false">IF(AND(ISNUMBER(F134),ISNUMBER(T134)),T134-F134,"")</f>
        <v/>
      </c>
      <c r="X134" s="27" t="str">
        <f aca="false">IF(W134="","",IF(W134&gt;=0.25,"עלייה",IF(W134&lt;=-0.25,"ירידה","יציב")))</f>
        <v/>
      </c>
    </row>
    <row r="135" customFormat="false" ht="15" hidden="false" customHeight="false" outlineLevel="0" collapsed="false">
      <c r="A135" s="29"/>
      <c r="B135" s="28" t="str">
        <f aca="false">IF($A135="","",IFERROR(INDEX('זה אני - קליטה'!$AH$5:$AH$204,MATCH($A135&amp;"|תחילת שנה",'זה אני - קליטה'!$AF$5:$AF$204,0)),""))</f>
        <v/>
      </c>
      <c r="C135" s="28" t="str">
        <f aca="false">IF($A135="","",IFERROR(INDEX('זה אני - קליטה'!$AI$5:$AI$204,MATCH($A135&amp;"|תחילת שנה",'זה אני - קליטה'!$AF$5:$AF$204,0)),""))</f>
        <v/>
      </c>
      <c r="D135" s="28" t="str">
        <f aca="false">IF($A135="","",IFERROR(INDEX('זה אני - קליטה'!$AJ$5:$AJ$204,MATCH($A135&amp;"|תחילת שנה",'זה אני - קליטה'!$AF$5:$AF$204,0)),""))</f>
        <v/>
      </c>
      <c r="E135" s="28" t="str">
        <f aca="false">IF($A135="","",IFERROR(INDEX('זה אני - קליטה'!$AK$5:$AK$204,MATCH($A135&amp;"|תחילת שנה",'זה אני - קליטה'!$AF$5:$AF$204,0)),""))</f>
        <v/>
      </c>
      <c r="F135" s="28" t="str">
        <f aca="false">IF($A135="","",IFERROR(INDEX('זה אני - קליטה'!$AL$5:$AL$204,MATCH($A135&amp;"|תחילת שנה",'זה אני - קליטה'!$AF$5:$AF$204,0)),""))</f>
        <v/>
      </c>
      <c r="G135" s="27" t="str">
        <f aca="false">IF($A135="","",IFERROR(INDEX('זה אני - קליטה'!$AG$5:$AG$204,MATCH($A135&amp;"|תחילת שנה",'זה אני - קליטה'!$AF$5:$AF$204,0)),""))</f>
        <v/>
      </c>
      <c r="H135" s="28" t="str">
        <f aca="false">IF($A135="","",IFERROR(INDEX('זה אני - קליטה'!$AN$5:$AN$204,MATCH($A135&amp;"|תחילת שנה",'זה אני - קליטה'!$AF$5:$AF$204,0)),""))</f>
        <v/>
      </c>
      <c r="I135" s="28" t="str">
        <f aca="false">IF($A135="","",IFERROR(INDEX('זה אני - קליטה'!$AH$5:$AH$204,MATCH($A135&amp;"|אמצע שנה",'זה אני - קליטה'!$AF$5:$AF$204,0)),""))</f>
        <v/>
      </c>
      <c r="J135" s="28" t="str">
        <f aca="false">IF($A135="","",IFERROR(INDEX('זה אני - קליטה'!$AI$5:$AI$204,MATCH($A135&amp;"|אמצע שנה",'זה אני - קליטה'!$AF$5:$AF$204,0)),""))</f>
        <v/>
      </c>
      <c r="K135" s="28" t="str">
        <f aca="false">IF($A135="","",IFERROR(INDEX('זה אני - קליטה'!$AJ$5:$AJ$204,MATCH($A135&amp;"|אמצע שנה",'זה אני - קליטה'!$AF$5:$AF$204,0)),""))</f>
        <v/>
      </c>
      <c r="L135" s="28" t="str">
        <f aca="false">IF($A135="","",IFERROR(INDEX('זה אני - קליטה'!$AK$5:$AK$204,MATCH($A135&amp;"|אמצע שנה",'זה אני - קליטה'!$AF$5:$AF$204,0)),""))</f>
        <v/>
      </c>
      <c r="M135" s="28" t="str">
        <f aca="false">IF($A135="","",IFERROR(INDEX('זה אני - קליטה'!$AL$5:$AL$204,MATCH($A135&amp;"|אמצע שנה",'זה אני - קליטה'!$AF$5:$AF$204,0)),""))</f>
        <v/>
      </c>
      <c r="N135" s="27" t="str">
        <f aca="false">IF($A135="","",IFERROR(INDEX('זה אני - קליטה'!$AG$5:$AG$204,MATCH($A135&amp;"|אמצע שנה",'זה אני - קליטה'!$AF$5:$AF$204,0)),""))</f>
        <v/>
      </c>
      <c r="O135" s="28" t="str">
        <f aca="false">IF($A135="","",IFERROR(INDEX('זה אני - קליטה'!$AN$5:$AN$204,MATCH($A135&amp;"|אמצע שנה",'זה אני - קליטה'!$AF$5:$AF$204,0)),""))</f>
        <v/>
      </c>
      <c r="P135" s="28" t="str">
        <f aca="false">IF($A135="","",IFERROR(INDEX('זה אני - קליטה'!$AH$5:$AH$204,MATCH($A135&amp;"|סוף שנה",'זה אני - קליטה'!$AF$5:$AF$204,0)),""))</f>
        <v/>
      </c>
      <c r="Q135" s="28" t="str">
        <f aca="false">IF($A135="","",IFERROR(INDEX('זה אני - קליטה'!$AI$5:$AI$204,MATCH($A135&amp;"|סוף שנה",'זה אני - קליטה'!$AF$5:$AF$204,0)),""))</f>
        <v/>
      </c>
      <c r="R135" s="28" t="str">
        <f aca="false">IF($A135="","",IFERROR(INDEX('זה אני - קליטה'!$AJ$5:$AJ$204,MATCH($A135&amp;"|סוף שנה",'זה אני - קליטה'!$AF$5:$AF$204,0)),""))</f>
        <v/>
      </c>
      <c r="S135" s="28" t="str">
        <f aca="false">IF($A135="","",IFERROR(INDEX('זה אני - קליטה'!$AK$5:$AK$204,MATCH($A135&amp;"|סוף שנה",'זה אני - קליטה'!$AF$5:$AF$204,0)),""))</f>
        <v/>
      </c>
      <c r="T135" s="28" t="str">
        <f aca="false">IF($A135="","",IFERROR(INDEX('זה אני - קליטה'!$AL$5:$AL$204,MATCH($A135&amp;"|סוף שנה",'זה אני - קליטה'!$AF$5:$AF$204,0)),""))</f>
        <v/>
      </c>
      <c r="U135" s="27" t="str">
        <f aca="false">IF($A135="","",IFERROR(INDEX('זה אני - קליטה'!$AG$5:$AG$204,MATCH($A135&amp;"|סוף שנה",'זה אני - קליטה'!$AF$5:$AF$204,0)),""))</f>
        <v/>
      </c>
      <c r="V135" s="28" t="str">
        <f aca="false">IF($A135="","",IFERROR(INDEX('זה אני - קליטה'!$AN$5:$AN$204,MATCH($A135&amp;"|סוף שנה",'זה אני - קליטה'!$AF$5:$AF$204,0)),""))</f>
        <v/>
      </c>
      <c r="W135" s="32" t="str">
        <f aca="false">IF(AND(ISNUMBER(F135),ISNUMBER(T135)),T135-F135,"")</f>
        <v/>
      </c>
      <c r="X135" s="27" t="str">
        <f aca="false">IF(W135="","",IF(W135&gt;=0.25,"עלייה",IF(W135&lt;=-0.25,"ירידה","יציב")))</f>
        <v/>
      </c>
    </row>
    <row r="136" customFormat="false" ht="15" hidden="false" customHeight="false" outlineLevel="0" collapsed="false">
      <c r="A136" s="29"/>
      <c r="B136" s="28" t="str">
        <f aca="false">IF($A136="","",IFERROR(INDEX('זה אני - קליטה'!$AH$5:$AH$204,MATCH($A136&amp;"|תחילת שנה",'זה אני - קליטה'!$AF$5:$AF$204,0)),""))</f>
        <v/>
      </c>
      <c r="C136" s="28" t="str">
        <f aca="false">IF($A136="","",IFERROR(INDEX('זה אני - קליטה'!$AI$5:$AI$204,MATCH($A136&amp;"|תחילת שנה",'זה אני - קליטה'!$AF$5:$AF$204,0)),""))</f>
        <v/>
      </c>
      <c r="D136" s="28" t="str">
        <f aca="false">IF($A136="","",IFERROR(INDEX('זה אני - קליטה'!$AJ$5:$AJ$204,MATCH($A136&amp;"|תחילת שנה",'זה אני - קליטה'!$AF$5:$AF$204,0)),""))</f>
        <v/>
      </c>
      <c r="E136" s="28" t="str">
        <f aca="false">IF($A136="","",IFERROR(INDEX('זה אני - קליטה'!$AK$5:$AK$204,MATCH($A136&amp;"|תחילת שנה",'זה אני - קליטה'!$AF$5:$AF$204,0)),""))</f>
        <v/>
      </c>
      <c r="F136" s="28" t="str">
        <f aca="false">IF($A136="","",IFERROR(INDEX('זה אני - קליטה'!$AL$5:$AL$204,MATCH($A136&amp;"|תחילת שנה",'זה אני - קליטה'!$AF$5:$AF$204,0)),""))</f>
        <v/>
      </c>
      <c r="G136" s="27" t="str">
        <f aca="false">IF($A136="","",IFERROR(INDEX('זה אני - קליטה'!$AG$5:$AG$204,MATCH($A136&amp;"|תחילת שנה",'זה אני - קליטה'!$AF$5:$AF$204,0)),""))</f>
        <v/>
      </c>
      <c r="H136" s="28" t="str">
        <f aca="false">IF($A136="","",IFERROR(INDEX('זה אני - קליטה'!$AN$5:$AN$204,MATCH($A136&amp;"|תחילת שנה",'זה אני - קליטה'!$AF$5:$AF$204,0)),""))</f>
        <v/>
      </c>
      <c r="I136" s="28" t="str">
        <f aca="false">IF($A136="","",IFERROR(INDEX('זה אני - קליטה'!$AH$5:$AH$204,MATCH($A136&amp;"|אמצע שנה",'זה אני - קליטה'!$AF$5:$AF$204,0)),""))</f>
        <v/>
      </c>
      <c r="J136" s="28" t="str">
        <f aca="false">IF($A136="","",IFERROR(INDEX('זה אני - קליטה'!$AI$5:$AI$204,MATCH($A136&amp;"|אמצע שנה",'זה אני - קליטה'!$AF$5:$AF$204,0)),""))</f>
        <v/>
      </c>
      <c r="K136" s="28" t="str">
        <f aca="false">IF($A136="","",IFERROR(INDEX('זה אני - קליטה'!$AJ$5:$AJ$204,MATCH($A136&amp;"|אמצע שנה",'זה אני - קליטה'!$AF$5:$AF$204,0)),""))</f>
        <v/>
      </c>
      <c r="L136" s="28" t="str">
        <f aca="false">IF($A136="","",IFERROR(INDEX('זה אני - קליטה'!$AK$5:$AK$204,MATCH($A136&amp;"|אמצע שנה",'זה אני - קליטה'!$AF$5:$AF$204,0)),""))</f>
        <v/>
      </c>
      <c r="M136" s="28" t="str">
        <f aca="false">IF($A136="","",IFERROR(INDEX('זה אני - קליטה'!$AL$5:$AL$204,MATCH($A136&amp;"|אמצע שנה",'זה אני - קליטה'!$AF$5:$AF$204,0)),""))</f>
        <v/>
      </c>
      <c r="N136" s="27" t="str">
        <f aca="false">IF($A136="","",IFERROR(INDEX('זה אני - קליטה'!$AG$5:$AG$204,MATCH($A136&amp;"|אמצע שנה",'זה אני - קליטה'!$AF$5:$AF$204,0)),""))</f>
        <v/>
      </c>
      <c r="O136" s="28" t="str">
        <f aca="false">IF($A136="","",IFERROR(INDEX('זה אני - קליטה'!$AN$5:$AN$204,MATCH($A136&amp;"|אמצע שנה",'זה אני - קליטה'!$AF$5:$AF$204,0)),""))</f>
        <v/>
      </c>
      <c r="P136" s="28" t="str">
        <f aca="false">IF($A136="","",IFERROR(INDEX('זה אני - קליטה'!$AH$5:$AH$204,MATCH($A136&amp;"|סוף שנה",'זה אני - קליטה'!$AF$5:$AF$204,0)),""))</f>
        <v/>
      </c>
      <c r="Q136" s="28" t="str">
        <f aca="false">IF($A136="","",IFERROR(INDEX('זה אני - קליטה'!$AI$5:$AI$204,MATCH($A136&amp;"|סוף שנה",'זה אני - קליטה'!$AF$5:$AF$204,0)),""))</f>
        <v/>
      </c>
      <c r="R136" s="28" t="str">
        <f aca="false">IF($A136="","",IFERROR(INDEX('זה אני - קליטה'!$AJ$5:$AJ$204,MATCH($A136&amp;"|סוף שנה",'זה אני - קליטה'!$AF$5:$AF$204,0)),""))</f>
        <v/>
      </c>
      <c r="S136" s="28" t="str">
        <f aca="false">IF($A136="","",IFERROR(INDEX('זה אני - קליטה'!$AK$5:$AK$204,MATCH($A136&amp;"|סוף שנה",'זה אני - קליטה'!$AF$5:$AF$204,0)),""))</f>
        <v/>
      </c>
      <c r="T136" s="28" t="str">
        <f aca="false">IF($A136="","",IFERROR(INDEX('זה אני - קליטה'!$AL$5:$AL$204,MATCH($A136&amp;"|סוף שנה",'זה אני - קליטה'!$AF$5:$AF$204,0)),""))</f>
        <v/>
      </c>
      <c r="U136" s="27" t="str">
        <f aca="false">IF($A136="","",IFERROR(INDEX('זה אני - קליטה'!$AG$5:$AG$204,MATCH($A136&amp;"|סוף שנה",'זה אני - קליטה'!$AF$5:$AF$204,0)),""))</f>
        <v/>
      </c>
      <c r="V136" s="28" t="str">
        <f aca="false">IF($A136="","",IFERROR(INDEX('זה אני - קליטה'!$AN$5:$AN$204,MATCH($A136&amp;"|סוף שנה",'זה אני - קליטה'!$AF$5:$AF$204,0)),""))</f>
        <v/>
      </c>
      <c r="W136" s="32" t="str">
        <f aca="false">IF(AND(ISNUMBER(F136),ISNUMBER(T136)),T136-F136,"")</f>
        <v/>
      </c>
      <c r="X136" s="27" t="str">
        <f aca="false">IF(W136="","",IF(W136&gt;=0.25,"עלייה",IF(W136&lt;=-0.25,"ירידה","יציב")))</f>
        <v/>
      </c>
    </row>
    <row r="137" customFormat="false" ht="15" hidden="false" customHeight="false" outlineLevel="0" collapsed="false">
      <c r="A137" s="29"/>
      <c r="B137" s="28" t="str">
        <f aca="false">IF($A137="","",IFERROR(INDEX('זה אני - קליטה'!$AH$5:$AH$204,MATCH($A137&amp;"|תחילת שנה",'זה אני - קליטה'!$AF$5:$AF$204,0)),""))</f>
        <v/>
      </c>
      <c r="C137" s="28" t="str">
        <f aca="false">IF($A137="","",IFERROR(INDEX('זה אני - קליטה'!$AI$5:$AI$204,MATCH($A137&amp;"|תחילת שנה",'זה אני - קליטה'!$AF$5:$AF$204,0)),""))</f>
        <v/>
      </c>
      <c r="D137" s="28" t="str">
        <f aca="false">IF($A137="","",IFERROR(INDEX('זה אני - קליטה'!$AJ$5:$AJ$204,MATCH($A137&amp;"|תחילת שנה",'זה אני - קליטה'!$AF$5:$AF$204,0)),""))</f>
        <v/>
      </c>
      <c r="E137" s="28" t="str">
        <f aca="false">IF($A137="","",IFERROR(INDEX('זה אני - קליטה'!$AK$5:$AK$204,MATCH($A137&amp;"|תחילת שנה",'זה אני - קליטה'!$AF$5:$AF$204,0)),""))</f>
        <v/>
      </c>
      <c r="F137" s="28" t="str">
        <f aca="false">IF($A137="","",IFERROR(INDEX('זה אני - קליטה'!$AL$5:$AL$204,MATCH($A137&amp;"|תחילת שנה",'זה אני - קליטה'!$AF$5:$AF$204,0)),""))</f>
        <v/>
      </c>
      <c r="G137" s="27" t="str">
        <f aca="false">IF($A137="","",IFERROR(INDEX('זה אני - קליטה'!$AG$5:$AG$204,MATCH($A137&amp;"|תחילת שנה",'זה אני - קליטה'!$AF$5:$AF$204,0)),""))</f>
        <v/>
      </c>
      <c r="H137" s="28" t="str">
        <f aca="false">IF($A137="","",IFERROR(INDEX('זה אני - קליטה'!$AN$5:$AN$204,MATCH($A137&amp;"|תחילת שנה",'זה אני - קליטה'!$AF$5:$AF$204,0)),""))</f>
        <v/>
      </c>
      <c r="I137" s="28" t="str">
        <f aca="false">IF($A137="","",IFERROR(INDEX('זה אני - קליטה'!$AH$5:$AH$204,MATCH($A137&amp;"|אמצע שנה",'זה אני - קליטה'!$AF$5:$AF$204,0)),""))</f>
        <v/>
      </c>
      <c r="J137" s="28" t="str">
        <f aca="false">IF($A137="","",IFERROR(INDEX('זה אני - קליטה'!$AI$5:$AI$204,MATCH($A137&amp;"|אמצע שנה",'זה אני - קליטה'!$AF$5:$AF$204,0)),""))</f>
        <v/>
      </c>
      <c r="K137" s="28" t="str">
        <f aca="false">IF($A137="","",IFERROR(INDEX('זה אני - קליטה'!$AJ$5:$AJ$204,MATCH($A137&amp;"|אמצע שנה",'זה אני - קליטה'!$AF$5:$AF$204,0)),""))</f>
        <v/>
      </c>
      <c r="L137" s="28" t="str">
        <f aca="false">IF($A137="","",IFERROR(INDEX('זה אני - קליטה'!$AK$5:$AK$204,MATCH($A137&amp;"|אמצע שנה",'זה אני - קליטה'!$AF$5:$AF$204,0)),""))</f>
        <v/>
      </c>
      <c r="M137" s="28" t="str">
        <f aca="false">IF($A137="","",IFERROR(INDEX('זה אני - קליטה'!$AL$5:$AL$204,MATCH($A137&amp;"|אמצע שנה",'זה אני - קליטה'!$AF$5:$AF$204,0)),""))</f>
        <v/>
      </c>
      <c r="N137" s="27" t="str">
        <f aca="false">IF($A137="","",IFERROR(INDEX('זה אני - קליטה'!$AG$5:$AG$204,MATCH($A137&amp;"|אמצע שנה",'זה אני - קליטה'!$AF$5:$AF$204,0)),""))</f>
        <v/>
      </c>
      <c r="O137" s="28" t="str">
        <f aca="false">IF($A137="","",IFERROR(INDEX('זה אני - קליטה'!$AN$5:$AN$204,MATCH($A137&amp;"|אמצע שנה",'זה אני - קליטה'!$AF$5:$AF$204,0)),""))</f>
        <v/>
      </c>
      <c r="P137" s="28" t="str">
        <f aca="false">IF($A137="","",IFERROR(INDEX('זה אני - קליטה'!$AH$5:$AH$204,MATCH($A137&amp;"|סוף שנה",'זה אני - קליטה'!$AF$5:$AF$204,0)),""))</f>
        <v/>
      </c>
      <c r="Q137" s="28" t="str">
        <f aca="false">IF($A137="","",IFERROR(INDEX('זה אני - קליטה'!$AI$5:$AI$204,MATCH($A137&amp;"|סוף שנה",'זה אני - קליטה'!$AF$5:$AF$204,0)),""))</f>
        <v/>
      </c>
      <c r="R137" s="28" t="str">
        <f aca="false">IF($A137="","",IFERROR(INDEX('זה אני - קליטה'!$AJ$5:$AJ$204,MATCH($A137&amp;"|סוף שנה",'זה אני - קליטה'!$AF$5:$AF$204,0)),""))</f>
        <v/>
      </c>
      <c r="S137" s="28" t="str">
        <f aca="false">IF($A137="","",IFERROR(INDEX('זה אני - קליטה'!$AK$5:$AK$204,MATCH($A137&amp;"|סוף שנה",'זה אני - קליטה'!$AF$5:$AF$204,0)),""))</f>
        <v/>
      </c>
      <c r="T137" s="28" t="str">
        <f aca="false">IF($A137="","",IFERROR(INDEX('זה אני - קליטה'!$AL$5:$AL$204,MATCH($A137&amp;"|סוף שנה",'זה אני - קליטה'!$AF$5:$AF$204,0)),""))</f>
        <v/>
      </c>
      <c r="U137" s="27" t="str">
        <f aca="false">IF($A137="","",IFERROR(INDEX('זה אני - קליטה'!$AG$5:$AG$204,MATCH($A137&amp;"|סוף שנה",'זה אני - קליטה'!$AF$5:$AF$204,0)),""))</f>
        <v/>
      </c>
      <c r="V137" s="28" t="str">
        <f aca="false">IF($A137="","",IFERROR(INDEX('זה אני - קליטה'!$AN$5:$AN$204,MATCH($A137&amp;"|סוף שנה",'זה אני - קליטה'!$AF$5:$AF$204,0)),""))</f>
        <v/>
      </c>
      <c r="W137" s="32" t="str">
        <f aca="false">IF(AND(ISNUMBER(F137),ISNUMBER(T137)),T137-F137,"")</f>
        <v/>
      </c>
      <c r="X137" s="27" t="str">
        <f aca="false">IF(W137="","",IF(W137&gt;=0.25,"עלייה",IF(W137&lt;=-0.25,"ירידה","יציב")))</f>
        <v/>
      </c>
    </row>
    <row r="138" customFormat="false" ht="15" hidden="false" customHeight="false" outlineLevel="0" collapsed="false">
      <c r="A138" s="29"/>
      <c r="B138" s="28" t="str">
        <f aca="false">IF($A138="","",IFERROR(INDEX('זה אני - קליטה'!$AH$5:$AH$204,MATCH($A138&amp;"|תחילת שנה",'זה אני - קליטה'!$AF$5:$AF$204,0)),""))</f>
        <v/>
      </c>
      <c r="C138" s="28" t="str">
        <f aca="false">IF($A138="","",IFERROR(INDEX('זה אני - קליטה'!$AI$5:$AI$204,MATCH($A138&amp;"|תחילת שנה",'זה אני - קליטה'!$AF$5:$AF$204,0)),""))</f>
        <v/>
      </c>
      <c r="D138" s="28" t="str">
        <f aca="false">IF($A138="","",IFERROR(INDEX('זה אני - קליטה'!$AJ$5:$AJ$204,MATCH($A138&amp;"|תחילת שנה",'זה אני - קליטה'!$AF$5:$AF$204,0)),""))</f>
        <v/>
      </c>
      <c r="E138" s="28" t="str">
        <f aca="false">IF($A138="","",IFERROR(INDEX('זה אני - קליטה'!$AK$5:$AK$204,MATCH($A138&amp;"|תחילת שנה",'זה אני - קליטה'!$AF$5:$AF$204,0)),""))</f>
        <v/>
      </c>
      <c r="F138" s="28" t="str">
        <f aca="false">IF($A138="","",IFERROR(INDEX('זה אני - קליטה'!$AL$5:$AL$204,MATCH($A138&amp;"|תחילת שנה",'זה אני - קליטה'!$AF$5:$AF$204,0)),""))</f>
        <v/>
      </c>
      <c r="G138" s="27" t="str">
        <f aca="false">IF($A138="","",IFERROR(INDEX('זה אני - קליטה'!$AG$5:$AG$204,MATCH($A138&amp;"|תחילת שנה",'זה אני - קליטה'!$AF$5:$AF$204,0)),""))</f>
        <v/>
      </c>
      <c r="H138" s="28" t="str">
        <f aca="false">IF($A138="","",IFERROR(INDEX('זה אני - קליטה'!$AN$5:$AN$204,MATCH($A138&amp;"|תחילת שנה",'זה אני - קליטה'!$AF$5:$AF$204,0)),""))</f>
        <v/>
      </c>
      <c r="I138" s="28" t="str">
        <f aca="false">IF($A138="","",IFERROR(INDEX('זה אני - קליטה'!$AH$5:$AH$204,MATCH($A138&amp;"|אמצע שנה",'זה אני - קליטה'!$AF$5:$AF$204,0)),""))</f>
        <v/>
      </c>
      <c r="J138" s="28" t="str">
        <f aca="false">IF($A138="","",IFERROR(INDEX('זה אני - קליטה'!$AI$5:$AI$204,MATCH($A138&amp;"|אמצע שנה",'זה אני - קליטה'!$AF$5:$AF$204,0)),""))</f>
        <v/>
      </c>
      <c r="K138" s="28" t="str">
        <f aca="false">IF($A138="","",IFERROR(INDEX('זה אני - קליטה'!$AJ$5:$AJ$204,MATCH($A138&amp;"|אמצע שנה",'זה אני - קליטה'!$AF$5:$AF$204,0)),""))</f>
        <v/>
      </c>
      <c r="L138" s="28" t="str">
        <f aca="false">IF($A138="","",IFERROR(INDEX('זה אני - קליטה'!$AK$5:$AK$204,MATCH($A138&amp;"|אמצע שנה",'זה אני - קליטה'!$AF$5:$AF$204,0)),""))</f>
        <v/>
      </c>
      <c r="M138" s="28" t="str">
        <f aca="false">IF($A138="","",IFERROR(INDEX('זה אני - קליטה'!$AL$5:$AL$204,MATCH($A138&amp;"|אמצע שנה",'זה אני - קליטה'!$AF$5:$AF$204,0)),""))</f>
        <v/>
      </c>
      <c r="N138" s="27" t="str">
        <f aca="false">IF($A138="","",IFERROR(INDEX('זה אני - קליטה'!$AG$5:$AG$204,MATCH($A138&amp;"|אמצע שנה",'זה אני - קליטה'!$AF$5:$AF$204,0)),""))</f>
        <v/>
      </c>
      <c r="O138" s="28" t="str">
        <f aca="false">IF($A138="","",IFERROR(INDEX('זה אני - קליטה'!$AN$5:$AN$204,MATCH($A138&amp;"|אמצע שנה",'זה אני - קליטה'!$AF$5:$AF$204,0)),""))</f>
        <v/>
      </c>
      <c r="P138" s="28" t="str">
        <f aca="false">IF($A138="","",IFERROR(INDEX('זה אני - קליטה'!$AH$5:$AH$204,MATCH($A138&amp;"|סוף שנה",'זה אני - קליטה'!$AF$5:$AF$204,0)),""))</f>
        <v/>
      </c>
      <c r="Q138" s="28" t="str">
        <f aca="false">IF($A138="","",IFERROR(INDEX('זה אני - קליטה'!$AI$5:$AI$204,MATCH($A138&amp;"|סוף שנה",'זה אני - קליטה'!$AF$5:$AF$204,0)),""))</f>
        <v/>
      </c>
      <c r="R138" s="28" t="str">
        <f aca="false">IF($A138="","",IFERROR(INDEX('זה אני - קליטה'!$AJ$5:$AJ$204,MATCH($A138&amp;"|סוף שנה",'זה אני - קליטה'!$AF$5:$AF$204,0)),""))</f>
        <v/>
      </c>
      <c r="S138" s="28" t="str">
        <f aca="false">IF($A138="","",IFERROR(INDEX('זה אני - קליטה'!$AK$5:$AK$204,MATCH($A138&amp;"|סוף שנה",'זה אני - קליטה'!$AF$5:$AF$204,0)),""))</f>
        <v/>
      </c>
      <c r="T138" s="28" t="str">
        <f aca="false">IF($A138="","",IFERROR(INDEX('זה אני - קליטה'!$AL$5:$AL$204,MATCH($A138&amp;"|סוף שנה",'זה אני - קליטה'!$AF$5:$AF$204,0)),""))</f>
        <v/>
      </c>
      <c r="U138" s="27" t="str">
        <f aca="false">IF($A138="","",IFERROR(INDEX('זה אני - קליטה'!$AG$5:$AG$204,MATCH($A138&amp;"|סוף שנה",'זה אני - קליטה'!$AF$5:$AF$204,0)),""))</f>
        <v/>
      </c>
      <c r="V138" s="28" t="str">
        <f aca="false">IF($A138="","",IFERROR(INDEX('זה אני - קליטה'!$AN$5:$AN$204,MATCH($A138&amp;"|סוף שנה",'זה אני - קליטה'!$AF$5:$AF$204,0)),""))</f>
        <v/>
      </c>
      <c r="W138" s="32" t="str">
        <f aca="false">IF(AND(ISNUMBER(F138),ISNUMBER(T138)),T138-F138,"")</f>
        <v/>
      </c>
      <c r="X138" s="27" t="str">
        <f aca="false">IF(W138="","",IF(W138&gt;=0.25,"עלייה",IF(W138&lt;=-0.25,"ירידה","יציב")))</f>
        <v/>
      </c>
    </row>
    <row r="139" customFormat="false" ht="15" hidden="false" customHeight="false" outlineLevel="0" collapsed="false">
      <c r="A139" s="29"/>
      <c r="B139" s="28" t="str">
        <f aca="false">IF($A139="","",IFERROR(INDEX('זה אני - קליטה'!$AH$5:$AH$204,MATCH($A139&amp;"|תחילת שנה",'זה אני - קליטה'!$AF$5:$AF$204,0)),""))</f>
        <v/>
      </c>
      <c r="C139" s="28" t="str">
        <f aca="false">IF($A139="","",IFERROR(INDEX('זה אני - קליטה'!$AI$5:$AI$204,MATCH($A139&amp;"|תחילת שנה",'זה אני - קליטה'!$AF$5:$AF$204,0)),""))</f>
        <v/>
      </c>
      <c r="D139" s="28" t="str">
        <f aca="false">IF($A139="","",IFERROR(INDEX('זה אני - קליטה'!$AJ$5:$AJ$204,MATCH($A139&amp;"|תחילת שנה",'זה אני - קליטה'!$AF$5:$AF$204,0)),""))</f>
        <v/>
      </c>
      <c r="E139" s="28" t="str">
        <f aca="false">IF($A139="","",IFERROR(INDEX('זה אני - קליטה'!$AK$5:$AK$204,MATCH($A139&amp;"|תחילת שנה",'זה אני - קליטה'!$AF$5:$AF$204,0)),""))</f>
        <v/>
      </c>
      <c r="F139" s="28" t="str">
        <f aca="false">IF($A139="","",IFERROR(INDEX('זה אני - קליטה'!$AL$5:$AL$204,MATCH($A139&amp;"|תחילת שנה",'זה אני - קליטה'!$AF$5:$AF$204,0)),""))</f>
        <v/>
      </c>
      <c r="G139" s="27" t="str">
        <f aca="false">IF($A139="","",IFERROR(INDEX('זה אני - קליטה'!$AG$5:$AG$204,MATCH($A139&amp;"|תחילת שנה",'זה אני - קליטה'!$AF$5:$AF$204,0)),""))</f>
        <v/>
      </c>
      <c r="H139" s="28" t="str">
        <f aca="false">IF($A139="","",IFERROR(INDEX('זה אני - קליטה'!$AN$5:$AN$204,MATCH($A139&amp;"|תחילת שנה",'זה אני - קליטה'!$AF$5:$AF$204,0)),""))</f>
        <v/>
      </c>
      <c r="I139" s="28" t="str">
        <f aca="false">IF($A139="","",IFERROR(INDEX('זה אני - קליטה'!$AH$5:$AH$204,MATCH($A139&amp;"|אמצע שנה",'זה אני - קליטה'!$AF$5:$AF$204,0)),""))</f>
        <v/>
      </c>
      <c r="J139" s="28" t="str">
        <f aca="false">IF($A139="","",IFERROR(INDEX('זה אני - קליטה'!$AI$5:$AI$204,MATCH($A139&amp;"|אמצע שנה",'זה אני - קליטה'!$AF$5:$AF$204,0)),""))</f>
        <v/>
      </c>
      <c r="K139" s="28" t="str">
        <f aca="false">IF($A139="","",IFERROR(INDEX('זה אני - קליטה'!$AJ$5:$AJ$204,MATCH($A139&amp;"|אמצע שנה",'זה אני - קליטה'!$AF$5:$AF$204,0)),""))</f>
        <v/>
      </c>
      <c r="L139" s="28" t="str">
        <f aca="false">IF($A139="","",IFERROR(INDEX('זה אני - קליטה'!$AK$5:$AK$204,MATCH($A139&amp;"|אמצע שנה",'זה אני - קליטה'!$AF$5:$AF$204,0)),""))</f>
        <v/>
      </c>
      <c r="M139" s="28" t="str">
        <f aca="false">IF($A139="","",IFERROR(INDEX('זה אני - קליטה'!$AL$5:$AL$204,MATCH($A139&amp;"|אמצע שנה",'זה אני - קליטה'!$AF$5:$AF$204,0)),""))</f>
        <v/>
      </c>
      <c r="N139" s="27" t="str">
        <f aca="false">IF($A139="","",IFERROR(INDEX('זה אני - קליטה'!$AG$5:$AG$204,MATCH($A139&amp;"|אמצע שנה",'זה אני - קליטה'!$AF$5:$AF$204,0)),""))</f>
        <v/>
      </c>
      <c r="O139" s="28" t="str">
        <f aca="false">IF($A139="","",IFERROR(INDEX('זה אני - קליטה'!$AN$5:$AN$204,MATCH($A139&amp;"|אמצע שנה",'זה אני - קליטה'!$AF$5:$AF$204,0)),""))</f>
        <v/>
      </c>
      <c r="P139" s="28" t="str">
        <f aca="false">IF($A139="","",IFERROR(INDEX('זה אני - קליטה'!$AH$5:$AH$204,MATCH($A139&amp;"|סוף שנה",'זה אני - קליטה'!$AF$5:$AF$204,0)),""))</f>
        <v/>
      </c>
      <c r="Q139" s="28" t="str">
        <f aca="false">IF($A139="","",IFERROR(INDEX('זה אני - קליטה'!$AI$5:$AI$204,MATCH($A139&amp;"|סוף שנה",'זה אני - קליטה'!$AF$5:$AF$204,0)),""))</f>
        <v/>
      </c>
      <c r="R139" s="28" t="str">
        <f aca="false">IF($A139="","",IFERROR(INDEX('זה אני - קליטה'!$AJ$5:$AJ$204,MATCH($A139&amp;"|סוף שנה",'זה אני - קליטה'!$AF$5:$AF$204,0)),""))</f>
        <v/>
      </c>
      <c r="S139" s="28" t="str">
        <f aca="false">IF($A139="","",IFERROR(INDEX('זה אני - קליטה'!$AK$5:$AK$204,MATCH($A139&amp;"|סוף שנה",'זה אני - קליטה'!$AF$5:$AF$204,0)),""))</f>
        <v/>
      </c>
      <c r="T139" s="28" t="str">
        <f aca="false">IF($A139="","",IFERROR(INDEX('זה אני - קליטה'!$AL$5:$AL$204,MATCH($A139&amp;"|סוף שנה",'זה אני - קליטה'!$AF$5:$AF$204,0)),""))</f>
        <v/>
      </c>
      <c r="U139" s="27" t="str">
        <f aca="false">IF($A139="","",IFERROR(INDEX('זה אני - קליטה'!$AG$5:$AG$204,MATCH($A139&amp;"|סוף שנה",'זה אני - קליטה'!$AF$5:$AF$204,0)),""))</f>
        <v/>
      </c>
      <c r="V139" s="28" t="str">
        <f aca="false">IF($A139="","",IFERROR(INDEX('זה אני - קליטה'!$AN$5:$AN$204,MATCH($A139&amp;"|סוף שנה",'זה אני - קליטה'!$AF$5:$AF$204,0)),""))</f>
        <v/>
      </c>
      <c r="W139" s="32" t="str">
        <f aca="false">IF(AND(ISNUMBER(F139),ISNUMBER(T139)),T139-F139,"")</f>
        <v/>
      </c>
      <c r="X139" s="27" t="str">
        <f aca="false">IF(W139="","",IF(W139&gt;=0.25,"עלייה",IF(W139&lt;=-0.25,"ירידה","יציב")))</f>
        <v/>
      </c>
    </row>
    <row r="140" customFormat="false" ht="15" hidden="false" customHeight="false" outlineLevel="0" collapsed="false">
      <c r="A140" s="29"/>
      <c r="B140" s="28" t="str">
        <f aca="false">IF($A140="","",IFERROR(INDEX('זה אני - קליטה'!$AH$5:$AH$204,MATCH($A140&amp;"|תחילת שנה",'זה אני - קליטה'!$AF$5:$AF$204,0)),""))</f>
        <v/>
      </c>
      <c r="C140" s="28" t="str">
        <f aca="false">IF($A140="","",IFERROR(INDEX('זה אני - קליטה'!$AI$5:$AI$204,MATCH($A140&amp;"|תחילת שנה",'זה אני - קליטה'!$AF$5:$AF$204,0)),""))</f>
        <v/>
      </c>
      <c r="D140" s="28" t="str">
        <f aca="false">IF($A140="","",IFERROR(INDEX('זה אני - קליטה'!$AJ$5:$AJ$204,MATCH($A140&amp;"|תחילת שנה",'זה אני - קליטה'!$AF$5:$AF$204,0)),""))</f>
        <v/>
      </c>
      <c r="E140" s="28" t="str">
        <f aca="false">IF($A140="","",IFERROR(INDEX('זה אני - קליטה'!$AK$5:$AK$204,MATCH($A140&amp;"|תחילת שנה",'זה אני - קליטה'!$AF$5:$AF$204,0)),""))</f>
        <v/>
      </c>
      <c r="F140" s="28" t="str">
        <f aca="false">IF($A140="","",IFERROR(INDEX('זה אני - קליטה'!$AL$5:$AL$204,MATCH($A140&amp;"|תחילת שנה",'זה אני - קליטה'!$AF$5:$AF$204,0)),""))</f>
        <v/>
      </c>
      <c r="G140" s="27" t="str">
        <f aca="false">IF($A140="","",IFERROR(INDEX('זה אני - קליטה'!$AG$5:$AG$204,MATCH($A140&amp;"|תחילת שנה",'זה אני - קליטה'!$AF$5:$AF$204,0)),""))</f>
        <v/>
      </c>
      <c r="H140" s="28" t="str">
        <f aca="false">IF($A140="","",IFERROR(INDEX('זה אני - קליטה'!$AN$5:$AN$204,MATCH($A140&amp;"|תחילת שנה",'זה אני - קליטה'!$AF$5:$AF$204,0)),""))</f>
        <v/>
      </c>
      <c r="I140" s="28" t="str">
        <f aca="false">IF($A140="","",IFERROR(INDEX('זה אני - קליטה'!$AH$5:$AH$204,MATCH($A140&amp;"|אמצע שנה",'זה אני - קליטה'!$AF$5:$AF$204,0)),""))</f>
        <v/>
      </c>
      <c r="J140" s="28" t="str">
        <f aca="false">IF($A140="","",IFERROR(INDEX('זה אני - קליטה'!$AI$5:$AI$204,MATCH($A140&amp;"|אמצע שנה",'זה אני - קליטה'!$AF$5:$AF$204,0)),""))</f>
        <v/>
      </c>
      <c r="K140" s="28" t="str">
        <f aca="false">IF($A140="","",IFERROR(INDEX('זה אני - קליטה'!$AJ$5:$AJ$204,MATCH($A140&amp;"|אמצע שנה",'זה אני - קליטה'!$AF$5:$AF$204,0)),""))</f>
        <v/>
      </c>
      <c r="L140" s="28" t="str">
        <f aca="false">IF($A140="","",IFERROR(INDEX('זה אני - קליטה'!$AK$5:$AK$204,MATCH($A140&amp;"|אמצע שנה",'זה אני - קליטה'!$AF$5:$AF$204,0)),""))</f>
        <v/>
      </c>
      <c r="M140" s="28" t="str">
        <f aca="false">IF($A140="","",IFERROR(INDEX('זה אני - קליטה'!$AL$5:$AL$204,MATCH($A140&amp;"|אמצע שנה",'זה אני - קליטה'!$AF$5:$AF$204,0)),""))</f>
        <v/>
      </c>
      <c r="N140" s="27" t="str">
        <f aca="false">IF($A140="","",IFERROR(INDEX('זה אני - קליטה'!$AG$5:$AG$204,MATCH($A140&amp;"|אמצע שנה",'זה אני - קליטה'!$AF$5:$AF$204,0)),""))</f>
        <v/>
      </c>
      <c r="O140" s="28" t="str">
        <f aca="false">IF($A140="","",IFERROR(INDEX('זה אני - קליטה'!$AN$5:$AN$204,MATCH($A140&amp;"|אמצע שנה",'זה אני - קליטה'!$AF$5:$AF$204,0)),""))</f>
        <v/>
      </c>
      <c r="P140" s="28" t="str">
        <f aca="false">IF($A140="","",IFERROR(INDEX('זה אני - קליטה'!$AH$5:$AH$204,MATCH($A140&amp;"|סוף שנה",'זה אני - קליטה'!$AF$5:$AF$204,0)),""))</f>
        <v/>
      </c>
      <c r="Q140" s="28" t="str">
        <f aca="false">IF($A140="","",IFERROR(INDEX('זה אני - קליטה'!$AI$5:$AI$204,MATCH($A140&amp;"|סוף שנה",'זה אני - קליטה'!$AF$5:$AF$204,0)),""))</f>
        <v/>
      </c>
      <c r="R140" s="28" t="str">
        <f aca="false">IF($A140="","",IFERROR(INDEX('זה אני - קליטה'!$AJ$5:$AJ$204,MATCH($A140&amp;"|סוף שנה",'זה אני - קליטה'!$AF$5:$AF$204,0)),""))</f>
        <v/>
      </c>
      <c r="S140" s="28" t="str">
        <f aca="false">IF($A140="","",IFERROR(INDEX('זה אני - קליטה'!$AK$5:$AK$204,MATCH($A140&amp;"|סוף שנה",'זה אני - קליטה'!$AF$5:$AF$204,0)),""))</f>
        <v/>
      </c>
      <c r="T140" s="28" t="str">
        <f aca="false">IF($A140="","",IFERROR(INDEX('זה אני - קליטה'!$AL$5:$AL$204,MATCH($A140&amp;"|סוף שנה",'זה אני - קליטה'!$AF$5:$AF$204,0)),""))</f>
        <v/>
      </c>
      <c r="U140" s="27" t="str">
        <f aca="false">IF($A140="","",IFERROR(INDEX('זה אני - קליטה'!$AG$5:$AG$204,MATCH($A140&amp;"|סוף שנה",'זה אני - קליטה'!$AF$5:$AF$204,0)),""))</f>
        <v/>
      </c>
      <c r="V140" s="28" t="str">
        <f aca="false">IF($A140="","",IFERROR(INDEX('זה אני - קליטה'!$AN$5:$AN$204,MATCH($A140&amp;"|סוף שנה",'זה אני - קליטה'!$AF$5:$AF$204,0)),""))</f>
        <v/>
      </c>
      <c r="W140" s="32" t="str">
        <f aca="false">IF(AND(ISNUMBER(F140),ISNUMBER(T140)),T140-F140,"")</f>
        <v/>
      </c>
      <c r="X140" s="27" t="str">
        <f aca="false">IF(W140="","",IF(W140&gt;=0.25,"עלייה",IF(W140&lt;=-0.25,"ירידה","יציב")))</f>
        <v/>
      </c>
    </row>
    <row r="141" customFormat="false" ht="15" hidden="false" customHeight="false" outlineLevel="0" collapsed="false">
      <c r="A141" s="29"/>
      <c r="B141" s="28" t="str">
        <f aca="false">IF($A141="","",IFERROR(INDEX('זה אני - קליטה'!$AH$5:$AH$204,MATCH($A141&amp;"|תחילת שנה",'זה אני - קליטה'!$AF$5:$AF$204,0)),""))</f>
        <v/>
      </c>
      <c r="C141" s="28" t="str">
        <f aca="false">IF($A141="","",IFERROR(INDEX('זה אני - קליטה'!$AI$5:$AI$204,MATCH($A141&amp;"|תחילת שנה",'זה אני - קליטה'!$AF$5:$AF$204,0)),""))</f>
        <v/>
      </c>
      <c r="D141" s="28" t="str">
        <f aca="false">IF($A141="","",IFERROR(INDEX('זה אני - קליטה'!$AJ$5:$AJ$204,MATCH($A141&amp;"|תחילת שנה",'זה אני - קליטה'!$AF$5:$AF$204,0)),""))</f>
        <v/>
      </c>
      <c r="E141" s="28" t="str">
        <f aca="false">IF($A141="","",IFERROR(INDEX('זה אני - קליטה'!$AK$5:$AK$204,MATCH($A141&amp;"|תחילת שנה",'זה אני - קליטה'!$AF$5:$AF$204,0)),""))</f>
        <v/>
      </c>
      <c r="F141" s="28" t="str">
        <f aca="false">IF($A141="","",IFERROR(INDEX('זה אני - קליטה'!$AL$5:$AL$204,MATCH($A141&amp;"|תחילת שנה",'זה אני - קליטה'!$AF$5:$AF$204,0)),""))</f>
        <v/>
      </c>
      <c r="G141" s="27" t="str">
        <f aca="false">IF($A141="","",IFERROR(INDEX('זה אני - קליטה'!$AG$5:$AG$204,MATCH($A141&amp;"|תחילת שנה",'זה אני - קליטה'!$AF$5:$AF$204,0)),""))</f>
        <v/>
      </c>
      <c r="H141" s="28" t="str">
        <f aca="false">IF($A141="","",IFERROR(INDEX('זה אני - קליטה'!$AN$5:$AN$204,MATCH($A141&amp;"|תחילת שנה",'זה אני - קליטה'!$AF$5:$AF$204,0)),""))</f>
        <v/>
      </c>
      <c r="I141" s="28" t="str">
        <f aca="false">IF($A141="","",IFERROR(INDEX('זה אני - קליטה'!$AH$5:$AH$204,MATCH($A141&amp;"|אמצע שנה",'זה אני - קליטה'!$AF$5:$AF$204,0)),""))</f>
        <v/>
      </c>
      <c r="J141" s="28" t="str">
        <f aca="false">IF($A141="","",IFERROR(INDEX('זה אני - קליטה'!$AI$5:$AI$204,MATCH($A141&amp;"|אמצע שנה",'זה אני - קליטה'!$AF$5:$AF$204,0)),""))</f>
        <v/>
      </c>
      <c r="K141" s="28" t="str">
        <f aca="false">IF($A141="","",IFERROR(INDEX('זה אני - קליטה'!$AJ$5:$AJ$204,MATCH($A141&amp;"|אמצע שנה",'זה אני - קליטה'!$AF$5:$AF$204,0)),""))</f>
        <v/>
      </c>
      <c r="L141" s="28" t="str">
        <f aca="false">IF($A141="","",IFERROR(INDEX('זה אני - קליטה'!$AK$5:$AK$204,MATCH($A141&amp;"|אמצע שנה",'זה אני - קליטה'!$AF$5:$AF$204,0)),""))</f>
        <v/>
      </c>
      <c r="M141" s="28" t="str">
        <f aca="false">IF($A141="","",IFERROR(INDEX('זה אני - קליטה'!$AL$5:$AL$204,MATCH($A141&amp;"|אמצע שנה",'זה אני - קליטה'!$AF$5:$AF$204,0)),""))</f>
        <v/>
      </c>
      <c r="N141" s="27" t="str">
        <f aca="false">IF($A141="","",IFERROR(INDEX('זה אני - קליטה'!$AG$5:$AG$204,MATCH($A141&amp;"|אמצע שנה",'זה אני - קליטה'!$AF$5:$AF$204,0)),""))</f>
        <v/>
      </c>
      <c r="O141" s="28" t="str">
        <f aca="false">IF($A141="","",IFERROR(INDEX('זה אני - קליטה'!$AN$5:$AN$204,MATCH($A141&amp;"|אמצע שנה",'זה אני - קליטה'!$AF$5:$AF$204,0)),""))</f>
        <v/>
      </c>
      <c r="P141" s="28" t="str">
        <f aca="false">IF($A141="","",IFERROR(INDEX('זה אני - קליטה'!$AH$5:$AH$204,MATCH($A141&amp;"|סוף שנה",'זה אני - קליטה'!$AF$5:$AF$204,0)),""))</f>
        <v/>
      </c>
      <c r="Q141" s="28" t="str">
        <f aca="false">IF($A141="","",IFERROR(INDEX('זה אני - קליטה'!$AI$5:$AI$204,MATCH($A141&amp;"|סוף שנה",'זה אני - קליטה'!$AF$5:$AF$204,0)),""))</f>
        <v/>
      </c>
      <c r="R141" s="28" t="str">
        <f aca="false">IF($A141="","",IFERROR(INDEX('זה אני - קליטה'!$AJ$5:$AJ$204,MATCH($A141&amp;"|סוף שנה",'זה אני - קליטה'!$AF$5:$AF$204,0)),""))</f>
        <v/>
      </c>
      <c r="S141" s="28" t="str">
        <f aca="false">IF($A141="","",IFERROR(INDEX('זה אני - קליטה'!$AK$5:$AK$204,MATCH($A141&amp;"|סוף שנה",'זה אני - קליטה'!$AF$5:$AF$204,0)),""))</f>
        <v/>
      </c>
      <c r="T141" s="28" t="str">
        <f aca="false">IF($A141="","",IFERROR(INDEX('זה אני - קליטה'!$AL$5:$AL$204,MATCH($A141&amp;"|סוף שנה",'זה אני - קליטה'!$AF$5:$AF$204,0)),""))</f>
        <v/>
      </c>
      <c r="U141" s="27" t="str">
        <f aca="false">IF($A141="","",IFERROR(INDEX('זה אני - קליטה'!$AG$5:$AG$204,MATCH($A141&amp;"|סוף שנה",'זה אני - קליטה'!$AF$5:$AF$204,0)),""))</f>
        <v/>
      </c>
      <c r="V141" s="28" t="str">
        <f aca="false">IF($A141="","",IFERROR(INDEX('זה אני - קליטה'!$AN$5:$AN$204,MATCH($A141&amp;"|סוף שנה",'זה אני - קליטה'!$AF$5:$AF$204,0)),""))</f>
        <v/>
      </c>
      <c r="W141" s="32" t="str">
        <f aca="false">IF(AND(ISNUMBER(F141),ISNUMBER(T141)),T141-F141,"")</f>
        <v/>
      </c>
      <c r="X141" s="27" t="str">
        <f aca="false">IF(W141="","",IF(W141&gt;=0.25,"עלייה",IF(W141&lt;=-0.25,"ירידה","יציב")))</f>
        <v/>
      </c>
    </row>
    <row r="142" customFormat="false" ht="15" hidden="false" customHeight="false" outlineLevel="0" collapsed="false">
      <c r="A142" s="29"/>
      <c r="B142" s="28" t="str">
        <f aca="false">IF($A142="","",IFERROR(INDEX('זה אני - קליטה'!$AH$5:$AH$204,MATCH($A142&amp;"|תחילת שנה",'זה אני - קליטה'!$AF$5:$AF$204,0)),""))</f>
        <v/>
      </c>
      <c r="C142" s="28" t="str">
        <f aca="false">IF($A142="","",IFERROR(INDEX('זה אני - קליטה'!$AI$5:$AI$204,MATCH($A142&amp;"|תחילת שנה",'זה אני - קליטה'!$AF$5:$AF$204,0)),""))</f>
        <v/>
      </c>
      <c r="D142" s="28" t="str">
        <f aca="false">IF($A142="","",IFERROR(INDEX('זה אני - קליטה'!$AJ$5:$AJ$204,MATCH($A142&amp;"|תחילת שנה",'זה אני - קליטה'!$AF$5:$AF$204,0)),""))</f>
        <v/>
      </c>
      <c r="E142" s="28" t="str">
        <f aca="false">IF($A142="","",IFERROR(INDEX('זה אני - קליטה'!$AK$5:$AK$204,MATCH($A142&amp;"|תחילת שנה",'זה אני - קליטה'!$AF$5:$AF$204,0)),""))</f>
        <v/>
      </c>
      <c r="F142" s="28" t="str">
        <f aca="false">IF($A142="","",IFERROR(INDEX('זה אני - קליטה'!$AL$5:$AL$204,MATCH($A142&amp;"|תחילת שנה",'זה אני - קליטה'!$AF$5:$AF$204,0)),""))</f>
        <v/>
      </c>
      <c r="G142" s="27" t="str">
        <f aca="false">IF($A142="","",IFERROR(INDEX('זה אני - קליטה'!$AG$5:$AG$204,MATCH($A142&amp;"|תחילת שנה",'זה אני - קליטה'!$AF$5:$AF$204,0)),""))</f>
        <v/>
      </c>
      <c r="H142" s="28" t="str">
        <f aca="false">IF($A142="","",IFERROR(INDEX('זה אני - קליטה'!$AN$5:$AN$204,MATCH($A142&amp;"|תחילת שנה",'זה אני - קליטה'!$AF$5:$AF$204,0)),""))</f>
        <v/>
      </c>
      <c r="I142" s="28" t="str">
        <f aca="false">IF($A142="","",IFERROR(INDEX('זה אני - קליטה'!$AH$5:$AH$204,MATCH($A142&amp;"|אמצע שנה",'זה אני - קליטה'!$AF$5:$AF$204,0)),""))</f>
        <v/>
      </c>
      <c r="J142" s="28" t="str">
        <f aca="false">IF($A142="","",IFERROR(INDEX('זה אני - קליטה'!$AI$5:$AI$204,MATCH($A142&amp;"|אמצע שנה",'זה אני - קליטה'!$AF$5:$AF$204,0)),""))</f>
        <v/>
      </c>
      <c r="K142" s="28" t="str">
        <f aca="false">IF($A142="","",IFERROR(INDEX('זה אני - קליטה'!$AJ$5:$AJ$204,MATCH($A142&amp;"|אמצע שנה",'זה אני - קליטה'!$AF$5:$AF$204,0)),""))</f>
        <v/>
      </c>
      <c r="L142" s="28" t="str">
        <f aca="false">IF($A142="","",IFERROR(INDEX('זה אני - קליטה'!$AK$5:$AK$204,MATCH($A142&amp;"|אמצע שנה",'זה אני - קליטה'!$AF$5:$AF$204,0)),""))</f>
        <v/>
      </c>
      <c r="M142" s="28" t="str">
        <f aca="false">IF($A142="","",IFERROR(INDEX('זה אני - קליטה'!$AL$5:$AL$204,MATCH($A142&amp;"|אמצע שנה",'זה אני - קליטה'!$AF$5:$AF$204,0)),""))</f>
        <v/>
      </c>
      <c r="N142" s="27" t="str">
        <f aca="false">IF($A142="","",IFERROR(INDEX('זה אני - קליטה'!$AG$5:$AG$204,MATCH($A142&amp;"|אמצע שנה",'זה אני - קליטה'!$AF$5:$AF$204,0)),""))</f>
        <v/>
      </c>
      <c r="O142" s="28" t="str">
        <f aca="false">IF($A142="","",IFERROR(INDEX('זה אני - קליטה'!$AN$5:$AN$204,MATCH($A142&amp;"|אמצע שנה",'זה אני - קליטה'!$AF$5:$AF$204,0)),""))</f>
        <v/>
      </c>
      <c r="P142" s="28" t="str">
        <f aca="false">IF($A142="","",IFERROR(INDEX('זה אני - קליטה'!$AH$5:$AH$204,MATCH($A142&amp;"|סוף שנה",'זה אני - קליטה'!$AF$5:$AF$204,0)),""))</f>
        <v/>
      </c>
      <c r="Q142" s="28" t="str">
        <f aca="false">IF($A142="","",IFERROR(INDEX('זה אני - קליטה'!$AI$5:$AI$204,MATCH($A142&amp;"|סוף שנה",'זה אני - קליטה'!$AF$5:$AF$204,0)),""))</f>
        <v/>
      </c>
      <c r="R142" s="28" t="str">
        <f aca="false">IF($A142="","",IFERROR(INDEX('זה אני - קליטה'!$AJ$5:$AJ$204,MATCH($A142&amp;"|סוף שנה",'זה אני - קליטה'!$AF$5:$AF$204,0)),""))</f>
        <v/>
      </c>
      <c r="S142" s="28" t="str">
        <f aca="false">IF($A142="","",IFERROR(INDEX('זה אני - קליטה'!$AK$5:$AK$204,MATCH($A142&amp;"|סוף שנה",'זה אני - קליטה'!$AF$5:$AF$204,0)),""))</f>
        <v/>
      </c>
      <c r="T142" s="28" t="str">
        <f aca="false">IF($A142="","",IFERROR(INDEX('זה אני - קליטה'!$AL$5:$AL$204,MATCH($A142&amp;"|סוף שנה",'זה אני - קליטה'!$AF$5:$AF$204,0)),""))</f>
        <v/>
      </c>
      <c r="U142" s="27" t="str">
        <f aca="false">IF($A142="","",IFERROR(INDEX('זה אני - קליטה'!$AG$5:$AG$204,MATCH($A142&amp;"|סוף שנה",'זה אני - קליטה'!$AF$5:$AF$204,0)),""))</f>
        <v/>
      </c>
      <c r="V142" s="28" t="str">
        <f aca="false">IF($A142="","",IFERROR(INDEX('זה אני - קליטה'!$AN$5:$AN$204,MATCH($A142&amp;"|סוף שנה",'זה אני - קליטה'!$AF$5:$AF$204,0)),""))</f>
        <v/>
      </c>
      <c r="W142" s="32" t="str">
        <f aca="false">IF(AND(ISNUMBER(F142),ISNUMBER(T142)),T142-F142,"")</f>
        <v/>
      </c>
      <c r="X142" s="27" t="str">
        <f aca="false">IF(W142="","",IF(W142&gt;=0.25,"עלייה",IF(W142&lt;=-0.25,"ירידה","יציב")))</f>
        <v/>
      </c>
    </row>
    <row r="143" customFormat="false" ht="15" hidden="false" customHeight="false" outlineLevel="0" collapsed="false">
      <c r="A143" s="29"/>
      <c r="B143" s="28" t="str">
        <f aca="false">IF($A143="","",IFERROR(INDEX('זה אני - קליטה'!$AH$5:$AH$204,MATCH($A143&amp;"|תחילת שנה",'זה אני - קליטה'!$AF$5:$AF$204,0)),""))</f>
        <v/>
      </c>
      <c r="C143" s="28" t="str">
        <f aca="false">IF($A143="","",IFERROR(INDEX('זה אני - קליטה'!$AI$5:$AI$204,MATCH($A143&amp;"|תחילת שנה",'זה אני - קליטה'!$AF$5:$AF$204,0)),""))</f>
        <v/>
      </c>
      <c r="D143" s="28" t="str">
        <f aca="false">IF($A143="","",IFERROR(INDEX('זה אני - קליטה'!$AJ$5:$AJ$204,MATCH($A143&amp;"|תחילת שנה",'זה אני - קליטה'!$AF$5:$AF$204,0)),""))</f>
        <v/>
      </c>
      <c r="E143" s="28" t="str">
        <f aca="false">IF($A143="","",IFERROR(INDEX('זה אני - קליטה'!$AK$5:$AK$204,MATCH($A143&amp;"|תחילת שנה",'זה אני - קליטה'!$AF$5:$AF$204,0)),""))</f>
        <v/>
      </c>
      <c r="F143" s="28" t="str">
        <f aca="false">IF($A143="","",IFERROR(INDEX('זה אני - קליטה'!$AL$5:$AL$204,MATCH($A143&amp;"|תחילת שנה",'זה אני - קליטה'!$AF$5:$AF$204,0)),""))</f>
        <v/>
      </c>
      <c r="G143" s="27" t="str">
        <f aca="false">IF($A143="","",IFERROR(INDEX('זה אני - קליטה'!$AG$5:$AG$204,MATCH($A143&amp;"|תחילת שנה",'זה אני - קליטה'!$AF$5:$AF$204,0)),""))</f>
        <v/>
      </c>
      <c r="H143" s="28" t="str">
        <f aca="false">IF($A143="","",IFERROR(INDEX('זה אני - קליטה'!$AN$5:$AN$204,MATCH($A143&amp;"|תחילת שנה",'זה אני - קליטה'!$AF$5:$AF$204,0)),""))</f>
        <v/>
      </c>
      <c r="I143" s="28" t="str">
        <f aca="false">IF($A143="","",IFERROR(INDEX('זה אני - קליטה'!$AH$5:$AH$204,MATCH($A143&amp;"|אמצע שנה",'זה אני - קליטה'!$AF$5:$AF$204,0)),""))</f>
        <v/>
      </c>
      <c r="J143" s="28" t="str">
        <f aca="false">IF($A143="","",IFERROR(INDEX('זה אני - קליטה'!$AI$5:$AI$204,MATCH($A143&amp;"|אמצע שנה",'זה אני - קליטה'!$AF$5:$AF$204,0)),""))</f>
        <v/>
      </c>
      <c r="K143" s="28" t="str">
        <f aca="false">IF($A143="","",IFERROR(INDEX('זה אני - קליטה'!$AJ$5:$AJ$204,MATCH($A143&amp;"|אמצע שנה",'זה אני - קליטה'!$AF$5:$AF$204,0)),""))</f>
        <v/>
      </c>
      <c r="L143" s="28" t="str">
        <f aca="false">IF($A143="","",IFERROR(INDEX('זה אני - קליטה'!$AK$5:$AK$204,MATCH($A143&amp;"|אמצע שנה",'זה אני - קליטה'!$AF$5:$AF$204,0)),""))</f>
        <v/>
      </c>
      <c r="M143" s="28" t="str">
        <f aca="false">IF($A143="","",IFERROR(INDEX('זה אני - קליטה'!$AL$5:$AL$204,MATCH($A143&amp;"|אמצע שנה",'זה אני - קליטה'!$AF$5:$AF$204,0)),""))</f>
        <v/>
      </c>
      <c r="N143" s="27" t="str">
        <f aca="false">IF($A143="","",IFERROR(INDEX('זה אני - קליטה'!$AG$5:$AG$204,MATCH($A143&amp;"|אמצע שנה",'זה אני - קליטה'!$AF$5:$AF$204,0)),""))</f>
        <v/>
      </c>
      <c r="O143" s="28" t="str">
        <f aca="false">IF($A143="","",IFERROR(INDEX('זה אני - קליטה'!$AN$5:$AN$204,MATCH($A143&amp;"|אמצע שנה",'זה אני - קליטה'!$AF$5:$AF$204,0)),""))</f>
        <v/>
      </c>
      <c r="P143" s="28" t="str">
        <f aca="false">IF($A143="","",IFERROR(INDEX('זה אני - קליטה'!$AH$5:$AH$204,MATCH($A143&amp;"|סוף שנה",'זה אני - קליטה'!$AF$5:$AF$204,0)),""))</f>
        <v/>
      </c>
      <c r="Q143" s="28" t="str">
        <f aca="false">IF($A143="","",IFERROR(INDEX('זה אני - קליטה'!$AI$5:$AI$204,MATCH($A143&amp;"|סוף שנה",'זה אני - קליטה'!$AF$5:$AF$204,0)),""))</f>
        <v/>
      </c>
      <c r="R143" s="28" t="str">
        <f aca="false">IF($A143="","",IFERROR(INDEX('זה אני - קליטה'!$AJ$5:$AJ$204,MATCH($A143&amp;"|סוף שנה",'זה אני - קליטה'!$AF$5:$AF$204,0)),""))</f>
        <v/>
      </c>
      <c r="S143" s="28" t="str">
        <f aca="false">IF($A143="","",IFERROR(INDEX('זה אני - קליטה'!$AK$5:$AK$204,MATCH($A143&amp;"|סוף שנה",'זה אני - קליטה'!$AF$5:$AF$204,0)),""))</f>
        <v/>
      </c>
      <c r="T143" s="28" t="str">
        <f aca="false">IF($A143="","",IFERROR(INDEX('זה אני - קליטה'!$AL$5:$AL$204,MATCH($A143&amp;"|סוף שנה",'זה אני - קליטה'!$AF$5:$AF$204,0)),""))</f>
        <v/>
      </c>
      <c r="U143" s="27" t="str">
        <f aca="false">IF($A143="","",IFERROR(INDEX('זה אני - קליטה'!$AG$5:$AG$204,MATCH($A143&amp;"|סוף שנה",'זה אני - קליטה'!$AF$5:$AF$204,0)),""))</f>
        <v/>
      </c>
      <c r="V143" s="28" t="str">
        <f aca="false">IF($A143="","",IFERROR(INDEX('זה אני - קליטה'!$AN$5:$AN$204,MATCH($A143&amp;"|סוף שנה",'זה אני - קליטה'!$AF$5:$AF$204,0)),""))</f>
        <v/>
      </c>
      <c r="W143" s="32" t="str">
        <f aca="false">IF(AND(ISNUMBER(F143),ISNUMBER(T143)),T143-F143,"")</f>
        <v/>
      </c>
      <c r="X143" s="27" t="str">
        <f aca="false">IF(W143="","",IF(W143&gt;=0.25,"עלייה",IF(W143&lt;=-0.25,"ירידה","יציב")))</f>
        <v/>
      </c>
    </row>
    <row r="144" customFormat="false" ht="15" hidden="false" customHeight="false" outlineLevel="0" collapsed="false">
      <c r="A144" s="29"/>
      <c r="B144" s="28" t="str">
        <f aca="false">IF($A144="","",IFERROR(INDEX('זה אני - קליטה'!$AH$5:$AH$204,MATCH($A144&amp;"|תחילת שנה",'זה אני - קליטה'!$AF$5:$AF$204,0)),""))</f>
        <v/>
      </c>
      <c r="C144" s="28" t="str">
        <f aca="false">IF($A144="","",IFERROR(INDEX('זה אני - קליטה'!$AI$5:$AI$204,MATCH($A144&amp;"|תחילת שנה",'זה אני - קליטה'!$AF$5:$AF$204,0)),""))</f>
        <v/>
      </c>
      <c r="D144" s="28" t="str">
        <f aca="false">IF($A144="","",IFERROR(INDEX('זה אני - קליטה'!$AJ$5:$AJ$204,MATCH($A144&amp;"|תחילת שנה",'זה אני - קליטה'!$AF$5:$AF$204,0)),""))</f>
        <v/>
      </c>
      <c r="E144" s="28" t="str">
        <f aca="false">IF($A144="","",IFERROR(INDEX('זה אני - קליטה'!$AK$5:$AK$204,MATCH($A144&amp;"|תחילת שנה",'זה אני - קליטה'!$AF$5:$AF$204,0)),""))</f>
        <v/>
      </c>
      <c r="F144" s="28" t="str">
        <f aca="false">IF($A144="","",IFERROR(INDEX('זה אני - קליטה'!$AL$5:$AL$204,MATCH($A144&amp;"|תחילת שנה",'זה אני - קליטה'!$AF$5:$AF$204,0)),""))</f>
        <v/>
      </c>
      <c r="G144" s="27" t="str">
        <f aca="false">IF($A144="","",IFERROR(INDEX('זה אני - קליטה'!$AG$5:$AG$204,MATCH($A144&amp;"|תחילת שנה",'זה אני - קליטה'!$AF$5:$AF$204,0)),""))</f>
        <v/>
      </c>
      <c r="H144" s="28" t="str">
        <f aca="false">IF($A144="","",IFERROR(INDEX('זה אני - קליטה'!$AN$5:$AN$204,MATCH($A144&amp;"|תחילת שנה",'זה אני - קליטה'!$AF$5:$AF$204,0)),""))</f>
        <v/>
      </c>
      <c r="I144" s="28" t="str">
        <f aca="false">IF($A144="","",IFERROR(INDEX('זה אני - קליטה'!$AH$5:$AH$204,MATCH($A144&amp;"|אמצע שנה",'זה אני - קליטה'!$AF$5:$AF$204,0)),""))</f>
        <v/>
      </c>
      <c r="J144" s="28" t="str">
        <f aca="false">IF($A144="","",IFERROR(INDEX('זה אני - קליטה'!$AI$5:$AI$204,MATCH($A144&amp;"|אמצע שנה",'זה אני - קליטה'!$AF$5:$AF$204,0)),""))</f>
        <v/>
      </c>
      <c r="K144" s="28" t="str">
        <f aca="false">IF($A144="","",IFERROR(INDEX('זה אני - קליטה'!$AJ$5:$AJ$204,MATCH($A144&amp;"|אמצע שנה",'זה אני - קליטה'!$AF$5:$AF$204,0)),""))</f>
        <v/>
      </c>
      <c r="L144" s="28" t="str">
        <f aca="false">IF($A144="","",IFERROR(INDEX('זה אני - קליטה'!$AK$5:$AK$204,MATCH($A144&amp;"|אמצע שנה",'זה אני - קליטה'!$AF$5:$AF$204,0)),""))</f>
        <v/>
      </c>
      <c r="M144" s="28" t="str">
        <f aca="false">IF($A144="","",IFERROR(INDEX('זה אני - קליטה'!$AL$5:$AL$204,MATCH($A144&amp;"|אמצע שנה",'זה אני - קליטה'!$AF$5:$AF$204,0)),""))</f>
        <v/>
      </c>
      <c r="N144" s="27" t="str">
        <f aca="false">IF($A144="","",IFERROR(INDEX('זה אני - קליטה'!$AG$5:$AG$204,MATCH($A144&amp;"|אמצע שנה",'זה אני - קליטה'!$AF$5:$AF$204,0)),""))</f>
        <v/>
      </c>
      <c r="O144" s="28" t="str">
        <f aca="false">IF($A144="","",IFERROR(INDEX('זה אני - קליטה'!$AN$5:$AN$204,MATCH($A144&amp;"|אמצע שנה",'זה אני - קליטה'!$AF$5:$AF$204,0)),""))</f>
        <v/>
      </c>
      <c r="P144" s="28" t="str">
        <f aca="false">IF($A144="","",IFERROR(INDEX('זה אני - קליטה'!$AH$5:$AH$204,MATCH($A144&amp;"|סוף שנה",'זה אני - קליטה'!$AF$5:$AF$204,0)),""))</f>
        <v/>
      </c>
      <c r="Q144" s="28" t="str">
        <f aca="false">IF($A144="","",IFERROR(INDEX('זה אני - קליטה'!$AI$5:$AI$204,MATCH($A144&amp;"|סוף שנה",'זה אני - קליטה'!$AF$5:$AF$204,0)),""))</f>
        <v/>
      </c>
      <c r="R144" s="28" t="str">
        <f aca="false">IF($A144="","",IFERROR(INDEX('זה אני - קליטה'!$AJ$5:$AJ$204,MATCH($A144&amp;"|סוף שנה",'זה אני - קליטה'!$AF$5:$AF$204,0)),""))</f>
        <v/>
      </c>
      <c r="S144" s="28" t="str">
        <f aca="false">IF($A144="","",IFERROR(INDEX('זה אני - קליטה'!$AK$5:$AK$204,MATCH($A144&amp;"|סוף שנה",'זה אני - קליטה'!$AF$5:$AF$204,0)),""))</f>
        <v/>
      </c>
      <c r="T144" s="28" t="str">
        <f aca="false">IF($A144="","",IFERROR(INDEX('זה אני - קליטה'!$AL$5:$AL$204,MATCH($A144&amp;"|סוף שנה",'זה אני - קליטה'!$AF$5:$AF$204,0)),""))</f>
        <v/>
      </c>
      <c r="U144" s="27" t="str">
        <f aca="false">IF($A144="","",IFERROR(INDEX('זה אני - קליטה'!$AG$5:$AG$204,MATCH($A144&amp;"|סוף שנה",'זה אני - קליטה'!$AF$5:$AF$204,0)),""))</f>
        <v/>
      </c>
      <c r="V144" s="28" t="str">
        <f aca="false">IF($A144="","",IFERROR(INDEX('זה אני - קליטה'!$AN$5:$AN$204,MATCH($A144&amp;"|סוף שנה",'זה אני - קליטה'!$AF$5:$AF$204,0)),""))</f>
        <v/>
      </c>
      <c r="W144" s="32" t="str">
        <f aca="false">IF(AND(ISNUMBER(F144),ISNUMBER(T144)),T144-F144,"")</f>
        <v/>
      </c>
      <c r="X144" s="27" t="str">
        <f aca="false">IF(W144="","",IF(W144&gt;=0.25,"עלייה",IF(W144&lt;=-0.25,"ירידה","יציב")))</f>
        <v/>
      </c>
    </row>
    <row r="145" customFormat="false" ht="15" hidden="false" customHeight="false" outlineLevel="0" collapsed="false">
      <c r="A145" s="29"/>
      <c r="B145" s="28" t="str">
        <f aca="false">IF($A145="","",IFERROR(INDEX('זה אני - קליטה'!$AH$5:$AH$204,MATCH($A145&amp;"|תחילת שנה",'זה אני - קליטה'!$AF$5:$AF$204,0)),""))</f>
        <v/>
      </c>
      <c r="C145" s="28" t="str">
        <f aca="false">IF($A145="","",IFERROR(INDEX('זה אני - קליטה'!$AI$5:$AI$204,MATCH($A145&amp;"|תחילת שנה",'זה אני - קליטה'!$AF$5:$AF$204,0)),""))</f>
        <v/>
      </c>
      <c r="D145" s="28" t="str">
        <f aca="false">IF($A145="","",IFERROR(INDEX('זה אני - קליטה'!$AJ$5:$AJ$204,MATCH($A145&amp;"|תחילת שנה",'זה אני - קליטה'!$AF$5:$AF$204,0)),""))</f>
        <v/>
      </c>
      <c r="E145" s="28" t="str">
        <f aca="false">IF($A145="","",IFERROR(INDEX('זה אני - קליטה'!$AK$5:$AK$204,MATCH($A145&amp;"|תחילת שנה",'זה אני - קליטה'!$AF$5:$AF$204,0)),""))</f>
        <v/>
      </c>
      <c r="F145" s="28" t="str">
        <f aca="false">IF($A145="","",IFERROR(INDEX('זה אני - קליטה'!$AL$5:$AL$204,MATCH($A145&amp;"|תחילת שנה",'זה אני - קליטה'!$AF$5:$AF$204,0)),""))</f>
        <v/>
      </c>
      <c r="G145" s="27" t="str">
        <f aca="false">IF($A145="","",IFERROR(INDEX('זה אני - קליטה'!$AG$5:$AG$204,MATCH($A145&amp;"|תחילת שנה",'זה אני - קליטה'!$AF$5:$AF$204,0)),""))</f>
        <v/>
      </c>
      <c r="H145" s="28" t="str">
        <f aca="false">IF($A145="","",IFERROR(INDEX('זה אני - קליטה'!$AN$5:$AN$204,MATCH($A145&amp;"|תחילת שנה",'זה אני - קליטה'!$AF$5:$AF$204,0)),""))</f>
        <v/>
      </c>
      <c r="I145" s="28" t="str">
        <f aca="false">IF($A145="","",IFERROR(INDEX('זה אני - קליטה'!$AH$5:$AH$204,MATCH($A145&amp;"|אמצע שנה",'זה אני - קליטה'!$AF$5:$AF$204,0)),""))</f>
        <v/>
      </c>
      <c r="J145" s="28" t="str">
        <f aca="false">IF($A145="","",IFERROR(INDEX('זה אני - קליטה'!$AI$5:$AI$204,MATCH($A145&amp;"|אמצע שנה",'זה אני - קליטה'!$AF$5:$AF$204,0)),""))</f>
        <v/>
      </c>
      <c r="K145" s="28" t="str">
        <f aca="false">IF($A145="","",IFERROR(INDEX('זה אני - קליטה'!$AJ$5:$AJ$204,MATCH($A145&amp;"|אמצע שנה",'זה אני - קליטה'!$AF$5:$AF$204,0)),""))</f>
        <v/>
      </c>
      <c r="L145" s="28" t="str">
        <f aca="false">IF($A145="","",IFERROR(INDEX('זה אני - קליטה'!$AK$5:$AK$204,MATCH($A145&amp;"|אמצע שנה",'זה אני - קליטה'!$AF$5:$AF$204,0)),""))</f>
        <v/>
      </c>
      <c r="M145" s="28" t="str">
        <f aca="false">IF($A145="","",IFERROR(INDEX('זה אני - קליטה'!$AL$5:$AL$204,MATCH($A145&amp;"|אמצע שנה",'זה אני - קליטה'!$AF$5:$AF$204,0)),""))</f>
        <v/>
      </c>
      <c r="N145" s="27" t="str">
        <f aca="false">IF($A145="","",IFERROR(INDEX('זה אני - קליטה'!$AG$5:$AG$204,MATCH($A145&amp;"|אמצע שנה",'זה אני - קליטה'!$AF$5:$AF$204,0)),""))</f>
        <v/>
      </c>
      <c r="O145" s="28" t="str">
        <f aca="false">IF($A145="","",IFERROR(INDEX('זה אני - קליטה'!$AN$5:$AN$204,MATCH($A145&amp;"|אמצע שנה",'זה אני - קליטה'!$AF$5:$AF$204,0)),""))</f>
        <v/>
      </c>
      <c r="P145" s="28" t="str">
        <f aca="false">IF($A145="","",IFERROR(INDEX('זה אני - קליטה'!$AH$5:$AH$204,MATCH($A145&amp;"|סוף שנה",'זה אני - קליטה'!$AF$5:$AF$204,0)),""))</f>
        <v/>
      </c>
      <c r="Q145" s="28" t="str">
        <f aca="false">IF($A145="","",IFERROR(INDEX('זה אני - קליטה'!$AI$5:$AI$204,MATCH($A145&amp;"|סוף שנה",'זה אני - קליטה'!$AF$5:$AF$204,0)),""))</f>
        <v/>
      </c>
      <c r="R145" s="28" t="str">
        <f aca="false">IF($A145="","",IFERROR(INDEX('זה אני - קליטה'!$AJ$5:$AJ$204,MATCH($A145&amp;"|סוף שנה",'זה אני - קליטה'!$AF$5:$AF$204,0)),""))</f>
        <v/>
      </c>
      <c r="S145" s="28" t="str">
        <f aca="false">IF($A145="","",IFERROR(INDEX('זה אני - קליטה'!$AK$5:$AK$204,MATCH($A145&amp;"|סוף שנה",'זה אני - קליטה'!$AF$5:$AF$204,0)),""))</f>
        <v/>
      </c>
      <c r="T145" s="28" t="str">
        <f aca="false">IF($A145="","",IFERROR(INDEX('זה אני - קליטה'!$AL$5:$AL$204,MATCH($A145&amp;"|סוף שנה",'זה אני - קליטה'!$AF$5:$AF$204,0)),""))</f>
        <v/>
      </c>
      <c r="U145" s="27" t="str">
        <f aca="false">IF($A145="","",IFERROR(INDEX('זה אני - קליטה'!$AG$5:$AG$204,MATCH($A145&amp;"|סוף שנה",'זה אני - קליטה'!$AF$5:$AF$204,0)),""))</f>
        <v/>
      </c>
      <c r="V145" s="28" t="str">
        <f aca="false">IF($A145="","",IFERROR(INDEX('זה אני - קליטה'!$AN$5:$AN$204,MATCH($A145&amp;"|סוף שנה",'זה אני - קליטה'!$AF$5:$AF$204,0)),""))</f>
        <v/>
      </c>
      <c r="W145" s="32" t="str">
        <f aca="false">IF(AND(ISNUMBER(F145),ISNUMBER(T145)),T145-F145,"")</f>
        <v/>
      </c>
      <c r="X145" s="27" t="str">
        <f aca="false">IF(W145="","",IF(W145&gt;=0.25,"עלייה",IF(W145&lt;=-0.25,"ירידה","יציב")))</f>
        <v/>
      </c>
    </row>
    <row r="146" customFormat="false" ht="15" hidden="false" customHeight="false" outlineLevel="0" collapsed="false">
      <c r="A146" s="29"/>
      <c r="B146" s="28" t="str">
        <f aca="false">IF($A146="","",IFERROR(INDEX('זה אני - קליטה'!$AH$5:$AH$204,MATCH($A146&amp;"|תחילת שנה",'זה אני - קליטה'!$AF$5:$AF$204,0)),""))</f>
        <v/>
      </c>
      <c r="C146" s="28" t="str">
        <f aca="false">IF($A146="","",IFERROR(INDEX('זה אני - קליטה'!$AI$5:$AI$204,MATCH($A146&amp;"|תחילת שנה",'זה אני - קליטה'!$AF$5:$AF$204,0)),""))</f>
        <v/>
      </c>
      <c r="D146" s="28" t="str">
        <f aca="false">IF($A146="","",IFERROR(INDEX('זה אני - קליטה'!$AJ$5:$AJ$204,MATCH($A146&amp;"|תחילת שנה",'זה אני - קליטה'!$AF$5:$AF$204,0)),""))</f>
        <v/>
      </c>
      <c r="E146" s="28" t="str">
        <f aca="false">IF($A146="","",IFERROR(INDEX('זה אני - קליטה'!$AK$5:$AK$204,MATCH($A146&amp;"|תחילת שנה",'זה אני - קליטה'!$AF$5:$AF$204,0)),""))</f>
        <v/>
      </c>
      <c r="F146" s="28" t="str">
        <f aca="false">IF($A146="","",IFERROR(INDEX('זה אני - קליטה'!$AL$5:$AL$204,MATCH($A146&amp;"|תחילת שנה",'זה אני - קליטה'!$AF$5:$AF$204,0)),""))</f>
        <v/>
      </c>
      <c r="G146" s="27" t="str">
        <f aca="false">IF($A146="","",IFERROR(INDEX('זה אני - קליטה'!$AG$5:$AG$204,MATCH($A146&amp;"|תחילת שנה",'זה אני - קליטה'!$AF$5:$AF$204,0)),""))</f>
        <v/>
      </c>
      <c r="H146" s="28" t="str">
        <f aca="false">IF($A146="","",IFERROR(INDEX('זה אני - קליטה'!$AN$5:$AN$204,MATCH($A146&amp;"|תחילת שנה",'זה אני - קליטה'!$AF$5:$AF$204,0)),""))</f>
        <v/>
      </c>
      <c r="I146" s="28" t="str">
        <f aca="false">IF($A146="","",IFERROR(INDEX('זה אני - קליטה'!$AH$5:$AH$204,MATCH($A146&amp;"|אמצע שנה",'זה אני - קליטה'!$AF$5:$AF$204,0)),""))</f>
        <v/>
      </c>
      <c r="J146" s="28" t="str">
        <f aca="false">IF($A146="","",IFERROR(INDEX('זה אני - קליטה'!$AI$5:$AI$204,MATCH($A146&amp;"|אמצע שנה",'זה אני - קליטה'!$AF$5:$AF$204,0)),""))</f>
        <v/>
      </c>
      <c r="K146" s="28" t="str">
        <f aca="false">IF($A146="","",IFERROR(INDEX('זה אני - קליטה'!$AJ$5:$AJ$204,MATCH($A146&amp;"|אמצע שנה",'זה אני - קליטה'!$AF$5:$AF$204,0)),""))</f>
        <v/>
      </c>
      <c r="L146" s="28" t="str">
        <f aca="false">IF($A146="","",IFERROR(INDEX('זה אני - קליטה'!$AK$5:$AK$204,MATCH($A146&amp;"|אמצע שנה",'זה אני - קליטה'!$AF$5:$AF$204,0)),""))</f>
        <v/>
      </c>
      <c r="M146" s="28" t="str">
        <f aca="false">IF($A146="","",IFERROR(INDEX('זה אני - קליטה'!$AL$5:$AL$204,MATCH($A146&amp;"|אמצע שנה",'זה אני - קליטה'!$AF$5:$AF$204,0)),""))</f>
        <v/>
      </c>
      <c r="N146" s="27" t="str">
        <f aca="false">IF($A146="","",IFERROR(INDEX('זה אני - קליטה'!$AG$5:$AG$204,MATCH($A146&amp;"|אמצע שנה",'זה אני - קליטה'!$AF$5:$AF$204,0)),""))</f>
        <v/>
      </c>
      <c r="O146" s="28" t="str">
        <f aca="false">IF($A146="","",IFERROR(INDEX('זה אני - קליטה'!$AN$5:$AN$204,MATCH($A146&amp;"|אמצע שנה",'זה אני - קליטה'!$AF$5:$AF$204,0)),""))</f>
        <v/>
      </c>
      <c r="P146" s="28" t="str">
        <f aca="false">IF($A146="","",IFERROR(INDEX('זה אני - קליטה'!$AH$5:$AH$204,MATCH($A146&amp;"|סוף שנה",'זה אני - קליטה'!$AF$5:$AF$204,0)),""))</f>
        <v/>
      </c>
      <c r="Q146" s="28" t="str">
        <f aca="false">IF($A146="","",IFERROR(INDEX('זה אני - קליטה'!$AI$5:$AI$204,MATCH($A146&amp;"|סוף שנה",'זה אני - קליטה'!$AF$5:$AF$204,0)),""))</f>
        <v/>
      </c>
      <c r="R146" s="28" t="str">
        <f aca="false">IF($A146="","",IFERROR(INDEX('זה אני - קליטה'!$AJ$5:$AJ$204,MATCH($A146&amp;"|סוף שנה",'זה אני - קליטה'!$AF$5:$AF$204,0)),""))</f>
        <v/>
      </c>
      <c r="S146" s="28" t="str">
        <f aca="false">IF($A146="","",IFERROR(INDEX('זה אני - קליטה'!$AK$5:$AK$204,MATCH($A146&amp;"|סוף שנה",'זה אני - קליטה'!$AF$5:$AF$204,0)),""))</f>
        <v/>
      </c>
      <c r="T146" s="28" t="str">
        <f aca="false">IF($A146="","",IFERROR(INDEX('זה אני - קליטה'!$AL$5:$AL$204,MATCH($A146&amp;"|סוף שנה",'זה אני - קליטה'!$AF$5:$AF$204,0)),""))</f>
        <v/>
      </c>
      <c r="U146" s="27" t="str">
        <f aca="false">IF($A146="","",IFERROR(INDEX('זה אני - קליטה'!$AG$5:$AG$204,MATCH($A146&amp;"|סוף שנה",'זה אני - קליטה'!$AF$5:$AF$204,0)),""))</f>
        <v/>
      </c>
      <c r="V146" s="28" t="str">
        <f aca="false">IF($A146="","",IFERROR(INDEX('זה אני - קליטה'!$AN$5:$AN$204,MATCH($A146&amp;"|סוף שנה",'זה אני - קליטה'!$AF$5:$AF$204,0)),""))</f>
        <v/>
      </c>
      <c r="W146" s="32" t="str">
        <f aca="false">IF(AND(ISNUMBER(F146),ISNUMBER(T146)),T146-F146,"")</f>
        <v/>
      </c>
      <c r="X146" s="27" t="str">
        <f aca="false">IF(W146="","",IF(W146&gt;=0.25,"עלייה",IF(W146&lt;=-0.25,"ירידה","יציב")))</f>
        <v/>
      </c>
    </row>
    <row r="147" customFormat="false" ht="15" hidden="false" customHeight="false" outlineLevel="0" collapsed="false">
      <c r="A147" s="29"/>
      <c r="B147" s="28" t="str">
        <f aca="false">IF($A147="","",IFERROR(INDEX('זה אני - קליטה'!$AH$5:$AH$204,MATCH($A147&amp;"|תחילת שנה",'זה אני - קליטה'!$AF$5:$AF$204,0)),""))</f>
        <v/>
      </c>
      <c r="C147" s="28" t="str">
        <f aca="false">IF($A147="","",IFERROR(INDEX('זה אני - קליטה'!$AI$5:$AI$204,MATCH($A147&amp;"|תחילת שנה",'זה אני - קליטה'!$AF$5:$AF$204,0)),""))</f>
        <v/>
      </c>
      <c r="D147" s="28" t="str">
        <f aca="false">IF($A147="","",IFERROR(INDEX('זה אני - קליטה'!$AJ$5:$AJ$204,MATCH($A147&amp;"|תחילת שנה",'זה אני - קליטה'!$AF$5:$AF$204,0)),""))</f>
        <v/>
      </c>
      <c r="E147" s="28" t="str">
        <f aca="false">IF($A147="","",IFERROR(INDEX('זה אני - קליטה'!$AK$5:$AK$204,MATCH($A147&amp;"|תחילת שנה",'זה אני - קליטה'!$AF$5:$AF$204,0)),""))</f>
        <v/>
      </c>
      <c r="F147" s="28" t="str">
        <f aca="false">IF($A147="","",IFERROR(INDEX('זה אני - קליטה'!$AL$5:$AL$204,MATCH($A147&amp;"|תחילת שנה",'זה אני - קליטה'!$AF$5:$AF$204,0)),""))</f>
        <v/>
      </c>
      <c r="G147" s="27" t="str">
        <f aca="false">IF($A147="","",IFERROR(INDEX('זה אני - קליטה'!$AG$5:$AG$204,MATCH($A147&amp;"|תחילת שנה",'זה אני - קליטה'!$AF$5:$AF$204,0)),""))</f>
        <v/>
      </c>
      <c r="H147" s="28" t="str">
        <f aca="false">IF($A147="","",IFERROR(INDEX('זה אני - קליטה'!$AN$5:$AN$204,MATCH($A147&amp;"|תחילת שנה",'זה אני - קליטה'!$AF$5:$AF$204,0)),""))</f>
        <v/>
      </c>
      <c r="I147" s="28" t="str">
        <f aca="false">IF($A147="","",IFERROR(INDEX('זה אני - קליטה'!$AH$5:$AH$204,MATCH($A147&amp;"|אמצע שנה",'זה אני - קליטה'!$AF$5:$AF$204,0)),""))</f>
        <v/>
      </c>
      <c r="J147" s="28" t="str">
        <f aca="false">IF($A147="","",IFERROR(INDEX('זה אני - קליטה'!$AI$5:$AI$204,MATCH($A147&amp;"|אמצע שנה",'זה אני - קליטה'!$AF$5:$AF$204,0)),""))</f>
        <v/>
      </c>
      <c r="K147" s="28" t="str">
        <f aca="false">IF($A147="","",IFERROR(INDEX('זה אני - קליטה'!$AJ$5:$AJ$204,MATCH($A147&amp;"|אמצע שנה",'זה אני - קליטה'!$AF$5:$AF$204,0)),""))</f>
        <v/>
      </c>
      <c r="L147" s="28" t="str">
        <f aca="false">IF($A147="","",IFERROR(INDEX('זה אני - קליטה'!$AK$5:$AK$204,MATCH($A147&amp;"|אמצע שנה",'זה אני - קליטה'!$AF$5:$AF$204,0)),""))</f>
        <v/>
      </c>
      <c r="M147" s="28" t="str">
        <f aca="false">IF($A147="","",IFERROR(INDEX('זה אני - קליטה'!$AL$5:$AL$204,MATCH($A147&amp;"|אמצע שנה",'זה אני - קליטה'!$AF$5:$AF$204,0)),""))</f>
        <v/>
      </c>
      <c r="N147" s="27" t="str">
        <f aca="false">IF($A147="","",IFERROR(INDEX('זה אני - קליטה'!$AG$5:$AG$204,MATCH($A147&amp;"|אמצע שנה",'זה אני - קליטה'!$AF$5:$AF$204,0)),""))</f>
        <v/>
      </c>
      <c r="O147" s="28" t="str">
        <f aca="false">IF($A147="","",IFERROR(INDEX('זה אני - קליטה'!$AN$5:$AN$204,MATCH($A147&amp;"|אמצע שנה",'זה אני - קליטה'!$AF$5:$AF$204,0)),""))</f>
        <v/>
      </c>
      <c r="P147" s="28" t="str">
        <f aca="false">IF($A147="","",IFERROR(INDEX('זה אני - קליטה'!$AH$5:$AH$204,MATCH($A147&amp;"|סוף שנה",'זה אני - קליטה'!$AF$5:$AF$204,0)),""))</f>
        <v/>
      </c>
      <c r="Q147" s="28" t="str">
        <f aca="false">IF($A147="","",IFERROR(INDEX('זה אני - קליטה'!$AI$5:$AI$204,MATCH($A147&amp;"|סוף שנה",'זה אני - קליטה'!$AF$5:$AF$204,0)),""))</f>
        <v/>
      </c>
      <c r="R147" s="28" t="str">
        <f aca="false">IF($A147="","",IFERROR(INDEX('זה אני - קליטה'!$AJ$5:$AJ$204,MATCH($A147&amp;"|סוף שנה",'זה אני - קליטה'!$AF$5:$AF$204,0)),""))</f>
        <v/>
      </c>
      <c r="S147" s="28" t="str">
        <f aca="false">IF($A147="","",IFERROR(INDEX('זה אני - קליטה'!$AK$5:$AK$204,MATCH($A147&amp;"|סוף שנה",'זה אני - קליטה'!$AF$5:$AF$204,0)),""))</f>
        <v/>
      </c>
      <c r="T147" s="28" t="str">
        <f aca="false">IF($A147="","",IFERROR(INDEX('זה אני - קליטה'!$AL$5:$AL$204,MATCH($A147&amp;"|סוף שנה",'זה אני - קליטה'!$AF$5:$AF$204,0)),""))</f>
        <v/>
      </c>
      <c r="U147" s="27" t="str">
        <f aca="false">IF($A147="","",IFERROR(INDEX('זה אני - קליטה'!$AG$5:$AG$204,MATCH($A147&amp;"|סוף שנה",'זה אני - קליטה'!$AF$5:$AF$204,0)),""))</f>
        <v/>
      </c>
      <c r="V147" s="28" t="str">
        <f aca="false">IF($A147="","",IFERROR(INDEX('זה אני - קליטה'!$AN$5:$AN$204,MATCH($A147&amp;"|סוף שנה",'זה אני - קליטה'!$AF$5:$AF$204,0)),""))</f>
        <v/>
      </c>
      <c r="W147" s="32" t="str">
        <f aca="false">IF(AND(ISNUMBER(F147),ISNUMBER(T147)),T147-F147,"")</f>
        <v/>
      </c>
      <c r="X147" s="27" t="str">
        <f aca="false">IF(W147="","",IF(W147&gt;=0.25,"עלייה",IF(W147&lt;=-0.25,"ירידה","יציב")))</f>
        <v/>
      </c>
    </row>
    <row r="148" customFormat="false" ht="15" hidden="false" customHeight="false" outlineLevel="0" collapsed="false">
      <c r="A148" s="29"/>
      <c r="B148" s="28" t="str">
        <f aca="false">IF($A148="","",IFERROR(INDEX('זה אני - קליטה'!$AH$5:$AH$204,MATCH($A148&amp;"|תחילת שנה",'זה אני - קליטה'!$AF$5:$AF$204,0)),""))</f>
        <v/>
      </c>
      <c r="C148" s="28" t="str">
        <f aca="false">IF($A148="","",IFERROR(INDEX('זה אני - קליטה'!$AI$5:$AI$204,MATCH($A148&amp;"|תחילת שנה",'זה אני - קליטה'!$AF$5:$AF$204,0)),""))</f>
        <v/>
      </c>
      <c r="D148" s="28" t="str">
        <f aca="false">IF($A148="","",IFERROR(INDEX('זה אני - קליטה'!$AJ$5:$AJ$204,MATCH($A148&amp;"|תחילת שנה",'זה אני - קליטה'!$AF$5:$AF$204,0)),""))</f>
        <v/>
      </c>
      <c r="E148" s="28" t="str">
        <f aca="false">IF($A148="","",IFERROR(INDEX('זה אני - קליטה'!$AK$5:$AK$204,MATCH($A148&amp;"|תחילת שנה",'זה אני - קליטה'!$AF$5:$AF$204,0)),""))</f>
        <v/>
      </c>
      <c r="F148" s="28" t="str">
        <f aca="false">IF($A148="","",IFERROR(INDEX('זה אני - קליטה'!$AL$5:$AL$204,MATCH($A148&amp;"|תחילת שנה",'זה אני - קליטה'!$AF$5:$AF$204,0)),""))</f>
        <v/>
      </c>
      <c r="G148" s="27" t="str">
        <f aca="false">IF($A148="","",IFERROR(INDEX('זה אני - קליטה'!$AG$5:$AG$204,MATCH($A148&amp;"|תחילת שנה",'זה אני - קליטה'!$AF$5:$AF$204,0)),""))</f>
        <v/>
      </c>
      <c r="H148" s="28" t="str">
        <f aca="false">IF($A148="","",IFERROR(INDEX('זה אני - קליטה'!$AN$5:$AN$204,MATCH($A148&amp;"|תחילת שנה",'זה אני - קליטה'!$AF$5:$AF$204,0)),""))</f>
        <v/>
      </c>
      <c r="I148" s="28" t="str">
        <f aca="false">IF($A148="","",IFERROR(INDEX('זה אני - קליטה'!$AH$5:$AH$204,MATCH($A148&amp;"|אמצע שנה",'זה אני - קליטה'!$AF$5:$AF$204,0)),""))</f>
        <v/>
      </c>
      <c r="J148" s="28" t="str">
        <f aca="false">IF($A148="","",IFERROR(INDEX('זה אני - קליטה'!$AI$5:$AI$204,MATCH($A148&amp;"|אמצע שנה",'זה אני - קליטה'!$AF$5:$AF$204,0)),""))</f>
        <v/>
      </c>
      <c r="K148" s="28" t="str">
        <f aca="false">IF($A148="","",IFERROR(INDEX('זה אני - קליטה'!$AJ$5:$AJ$204,MATCH($A148&amp;"|אמצע שנה",'זה אני - קליטה'!$AF$5:$AF$204,0)),""))</f>
        <v/>
      </c>
      <c r="L148" s="28" t="str">
        <f aca="false">IF($A148="","",IFERROR(INDEX('זה אני - קליטה'!$AK$5:$AK$204,MATCH($A148&amp;"|אמצע שנה",'זה אני - קליטה'!$AF$5:$AF$204,0)),""))</f>
        <v/>
      </c>
      <c r="M148" s="28" t="str">
        <f aca="false">IF($A148="","",IFERROR(INDEX('זה אני - קליטה'!$AL$5:$AL$204,MATCH($A148&amp;"|אמצע שנה",'זה אני - קליטה'!$AF$5:$AF$204,0)),""))</f>
        <v/>
      </c>
      <c r="N148" s="27" t="str">
        <f aca="false">IF($A148="","",IFERROR(INDEX('זה אני - קליטה'!$AG$5:$AG$204,MATCH($A148&amp;"|אמצע שנה",'זה אני - קליטה'!$AF$5:$AF$204,0)),""))</f>
        <v/>
      </c>
      <c r="O148" s="28" t="str">
        <f aca="false">IF($A148="","",IFERROR(INDEX('זה אני - קליטה'!$AN$5:$AN$204,MATCH($A148&amp;"|אמצע שנה",'זה אני - קליטה'!$AF$5:$AF$204,0)),""))</f>
        <v/>
      </c>
      <c r="P148" s="28" t="str">
        <f aca="false">IF($A148="","",IFERROR(INDEX('זה אני - קליטה'!$AH$5:$AH$204,MATCH($A148&amp;"|סוף שנה",'זה אני - קליטה'!$AF$5:$AF$204,0)),""))</f>
        <v/>
      </c>
      <c r="Q148" s="28" t="str">
        <f aca="false">IF($A148="","",IFERROR(INDEX('זה אני - קליטה'!$AI$5:$AI$204,MATCH($A148&amp;"|סוף שנה",'זה אני - קליטה'!$AF$5:$AF$204,0)),""))</f>
        <v/>
      </c>
      <c r="R148" s="28" t="str">
        <f aca="false">IF($A148="","",IFERROR(INDEX('זה אני - קליטה'!$AJ$5:$AJ$204,MATCH($A148&amp;"|סוף שנה",'זה אני - קליטה'!$AF$5:$AF$204,0)),""))</f>
        <v/>
      </c>
      <c r="S148" s="28" t="str">
        <f aca="false">IF($A148="","",IFERROR(INDEX('זה אני - קליטה'!$AK$5:$AK$204,MATCH($A148&amp;"|סוף שנה",'זה אני - קליטה'!$AF$5:$AF$204,0)),""))</f>
        <v/>
      </c>
      <c r="T148" s="28" t="str">
        <f aca="false">IF($A148="","",IFERROR(INDEX('זה אני - קליטה'!$AL$5:$AL$204,MATCH($A148&amp;"|סוף שנה",'זה אני - קליטה'!$AF$5:$AF$204,0)),""))</f>
        <v/>
      </c>
      <c r="U148" s="27" t="str">
        <f aca="false">IF($A148="","",IFERROR(INDEX('זה אני - קליטה'!$AG$5:$AG$204,MATCH($A148&amp;"|סוף שנה",'זה אני - קליטה'!$AF$5:$AF$204,0)),""))</f>
        <v/>
      </c>
      <c r="V148" s="28" t="str">
        <f aca="false">IF($A148="","",IFERROR(INDEX('זה אני - קליטה'!$AN$5:$AN$204,MATCH($A148&amp;"|סוף שנה",'זה אני - קליטה'!$AF$5:$AF$204,0)),""))</f>
        <v/>
      </c>
      <c r="W148" s="32" t="str">
        <f aca="false">IF(AND(ISNUMBER(F148),ISNUMBER(T148)),T148-F148,"")</f>
        <v/>
      </c>
      <c r="X148" s="27" t="str">
        <f aca="false">IF(W148="","",IF(W148&gt;=0.25,"עלייה",IF(W148&lt;=-0.25,"ירידה","יציב")))</f>
        <v/>
      </c>
    </row>
    <row r="149" customFormat="false" ht="15" hidden="false" customHeight="false" outlineLevel="0" collapsed="false">
      <c r="A149" s="29"/>
      <c r="B149" s="28" t="str">
        <f aca="false">IF($A149="","",IFERROR(INDEX('זה אני - קליטה'!$AH$5:$AH$204,MATCH($A149&amp;"|תחילת שנה",'זה אני - קליטה'!$AF$5:$AF$204,0)),""))</f>
        <v/>
      </c>
      <c r="C149" s="28" t="str">
        <f aca="false">IF($A149="","",IFERROR(INDEX('זה אני - קליטה'!$AI$5:$AI$204,MATCH($A149&amp;"|תחילת שנה",'זה אני - קליטה'!$AF$5:$AF$204,0)),""))</f>
        <v/>
      </c>
      <c r="D149" s="28" t="str">
        <f aca="false">IF($A149="","",IFERROR(INDEX('זה אני - קליטה'!$AJ$5:$AJ$204,MATCH($A149&amp;"|תחילת שנה",'זה אני - קליטה'!$AF$5:$AF$204,0)),""))</f>
        <v/>
      </c>
      <c r="E149" s="28" t="str">
        <f aca="false">IF($A149="","",IFERROR(INDEX('זה אני - קליטה'!$AK$5:$AK$204,MATCH($A149&amp;"|תחילת שנה",'זה אני - קליטה'!$AF$5:$AF$204,0)),""))</f>
        <v/>
      </c>
      <c r="F149" s="28" t="str">
        <f aca="false">IF($A149="","",IFERROR(INDEX('זה אני - קליטה'!$AL$5:$AL$204,MATCH($A149&amp;"|תחילת שנה",'זה אני - קליטה'!$AF$5:$AF$204,0)),""))</f>
        <v/>
      </c>
      <c r="G149" s="27" t="str">
        <f aca="false">IF($A149="","",IFERROR(INDEX('זה אני - קליטה'!$AG$5:$AG$204,MATCH($A149&amp;"|תחילת שנה",'זה אני - קליטה'!$AF$5:$AF$204,0)),""))</f>
        <v/>
      </c>
      <c r="H149" s="28" t="str">
        <f aca="false">IF($A149="","",IFERROR(INDEX('זה אני - קליטה'!$AN$5:$AN$204,MATCH($A149&amp;"|תחילת שנה",'זה אני - קליטה'!$AF$5:$AF$204,0)),""))</f>
        <v/>
      </c>
      <c r="I149" s="28" t="str">
        <f aca="false">IF($A149="","",IFERROR(INDEX('זה אני - קליטה'!$AH$5:$AH$204,MATCH($A149&amp;"|אמצע שנה",'זה אני - קליטה'!$AF$5:$AF$204,0)),""))</f>
        <v/>
      </c>
      <c r="J149" s="28" t="str">
        <f aca="false">IF($A149="","",IFERROR(INDEX('זה אני - קליטה'!$AI$5:$AI$204,MATCH($A149&amp;"|אמצע שנה",'זה אני - קליטה'!$AF$5:$AF$204,0)),""))</f>
        <v/>
      </c>
      <c r="K149" s="28" t="str">
        <f aca="false">IF($A149="","",IFERROR(INDEX('זה אני - קליטה'!$AJ$5:$AJ$204,MATCH($A149&amp;"|אמצע שנה",'זה אני - קליטה'!$AF$5:$AF$204,0)),""))</f>
        <v/>
      </c>
      <c r="L149" s="28" t="str">
        <f aca="false">IF($A149="","",IFERROR(INDEX('זה אני - קליטה'!$AK$5:$AK$204,MATCH($A149&amp;"|אמצע שנה",'זה אני - קליטה'!$AF$5:$AF$204,0)),""))</f>
        <v/>
      </c>
      <c r="M149" s="28" t="str">
        <f aca="false">IF($A149="","",IFERROR(INDEX('זה אני - קליטה'!$AL$5:$AL$204,MATCH($A149&amp;"|אמצע שנה",'זה אני - קליטה'!$AF$5:$AF$204,0)),""))</f>
        <v/>
      </c>
      <c r="N149" s="27" t="str">
        <f aca="false">IF($A149="","",IFERROR(INDEX('זה אני - קליטה'!$AG$5:$AG$204,MATCH($A149&amp;"|אמצע שנה",'זה אני - קליטה'!$AF$5:$AF$204,0)),""))</f>
        <v/>
      </c>
      <c r="O149" s="28" t="str">
        <f aca="false">IF($A149="","",IFERROR(INDEX('זה אני - קליטה'!$AN$5:$AN$204,MATCH($A149&amp;"|אמצע שנה",'זה אני - קליטה'!$AF$5:$AF$204,0)),""))</f>
        <v/>
      </c>
      <c r="P149" s="28" t="str">
        <f aca="false">IF($A149="","",IFERROR(INDEX('זה אני - קליטה'!$AH$5:$AH$204,MATCH($A149&amp;"|סוף שנה",'זה אני - קליטה'!$AF$5:$AF$204,0)),""))</f>
        <v/>
      </c>
      <c r="Q149" s="28" t="str">
        <f aca="false">IF($A149="","",IFERROR(INDEX('זה אני - קליטה'!$AI$5:$AI$204,MATCH($A149&amp;"|סוף שנה",'זה אני - קליטה'!$AF$5:$AF$204,0)),""))</f>
        <v/>
      </c>
      <c r="R149" s="28" t="str">
        <f aca="false">IF($A149="","",IFERROR(INDEX('זה אני - קליטה'!$AJ$5:$AJ$204,MATCH($A149&amp;"|סוף שנה",'זה אני - קליטה'!$AF$5:$AF$204,0)),""))</f>
        <v/>
      </c>
      <c r="S149" s="28" t="str">
        <f aca="false">IF($A149="","",IFERROR(INDEX('זה אני - קליטה'!$AK$5:$AK$204,MATCH($A149&amp;"|סוף שנה",'זה אני - קליטה'!$AF$5:$AF$204,0)),""))</f>
        <v/>
      </c>
      <c r="T149" s="28" t="str">
        <f aca="false">IF($A149="","",IFERROR(INDEX('זה אני - קליטה'!$AL$5:$AL$204,MATCH($A149&amp;"|סוף שנה",'זה אני - קליטה'!$AF$5:$AF$204,0)),""))</f>
        <v/>
      </c>
      <c r="U149" s="27" t="str">
        <f aca="false">IF($A149="","",IFERROR(INDEX('זה אני - קליטה'!$AG$5:$AG$204,MATCH($A149&amp;"|סוף שנה",'זה אני - קליטה'!$AF$5:$AF$204,0)),""))</f>
        <v/>
      </c>
      <c r="V149" s="28" t="str">
        <f aca="false">IF($A149="","",IFERROR(INDEX('זה אני - קליטה'!$AN$5:$AN$204,MATCH($A149&amp;"|סוף שנה",'זה אני - קליטה'!$AF$5:$AF$204,0)),""))</f>
        <v/>
      </c>
      <c r="W149" s="32" t="str">
        <f aca="false">IF(AND(ISNUMBER(F149),ISNUMBER(T149)),T149-F149,"")</f>
        <v/>
      </c>
      <c r="X149" s="27" t="str">
        <f aca="false">IF(W149="","",IF(W149&gt;=0.25,"עלייה",IF(W149&lt;=-0.25,"ירידה","יציב")))</f>
        <v/>
      </c>
    </row>
    <row r="150" customFormat="false" ht="15" hidden="false" customHeight="false" outlineLevel="0" collapsed="false">
      <c r="A150" s="29"/>
      <c r="B150" s="28" t="str">
        <f aca="false">IF($A150="","",IFERROR(INDEX('זה אני - קליטה'!$AH$5:$AH$204,MATCH($A150&amp;"|תחילת שנה",'זה אני - קליטה'!$AF$5:$AF$204,0)),""))</f>
        <v/>
      </c>
      <c r="C150" s="28" t="str">
        <f aca="false">IF($A150="","",IFERROR(INDEX('זה אני - קליטה'!$AI$5:$AI$204,MATCH($A150&amp;"|תחילת שנה",'זה אני - קליטה'!$AF$5:$AF$204,0)),""))</f>
        <v/>
      </c>
      <c r="D150" s="28" t="str">
        <f aca="false">IF($A150="","",IFERROR(INDEX('זה אני - קליטה'!$AJ$5:$AJ$204,MATCH($A150&amp;"|תחילת שנה",'זה אני - קליטה'!$AF$5:$AF$204,0)),""))</f>
        <v/>
      </c>
      <c r="E150" s="28" t="str">
        <f aca="false">IF($A150="","",IFERROR(INDEX('זה אני - קליטה'!$AK$5:$AK$204,MATCH($A150&amp;"|תחילת שנה",'זה אני - קליטה'!$AF$5:$AF$204,0)),""))</f>
        <v/>
      </c>
      <c r="F150" s="28" t="str">
        <f aca="false">IF($A150="","",IFERROR(INDEX('זה אני - קליטה'!$AL$5:$AL$204,MATCH($A150&amp;"|תחילת שנה",'זה אני - קליטה'!$AF$5:$AF$204,0)),""))</f>
        <v/>
      </c>
      <c r="G150" s="27" t="str">
        <f aca="false">IF($A150="","",IFERROR(INDEX('זה אני - קליטה'!$AG$5:$AG$204,MATCH($A150&amp;"|תחילת שנה",'זה אני - קליטה'!$AF$5:$AF$204,0)),""))</f>
        <v/>
      </c>
      <c r="H150" s="28" t="str">
        <f aca="false">IF($A150="","",IFERROR(INDEX('זה אני - קליטה'!$AN$5:$AN$204,MATCH($A150&amp;"|תחילת שנה",'זה אני - קליטה'!$AF$5:$AF$204,0)),""))</f>
        <v/>
      </c>
      <c r="I150" s="28" t="str">
        <f aca="false">IF($A150="","",IFERROR(INDEX('זה אני - קליטה'!$AH$5:$AH$204,MATCH($A150&amp;"|אמצע שנה",'זה אני - קליטה'!$AF$5:$AF$204,0)),""))</f>
        <v/>
      </c>
      <c r="J150" s="28" t="str">
        <f aca="false">IF($A150="","",IFERROR(INDEX('זה אני - קליטה'!$AI$5:$AI$204,MATCH($A150&amp;"|אמצע שנה",'זה אני - קליטה'!$AF$5:$AF$204,0)),""))</f>
        <v/>
      </c>
      <c r="K150" s="28" t="str">
        <f aca="false">IF($A150="","",IFERROR(INDEX('זה אני - קליטה'!$AJ$5:$AJ$204,MATCH($A150&amp;"|אמצע שנה",'זה אני - קליטה'!$AF$5:$AF$204,0)),""))</f>
        <v/>
      </c>
      <c r="L150" s="28" t="str">
        <f aca="false">IF($A150="","",IFERROR(INDEX('זה אני - קליטה'!$AK$5:$AK$204,MATCH($A150&amp;"|אמצע שנה",'זה אני - קליטה'!$AF$5:$AF$204,0)),""))</f>
        <v/>
      </c>
      <c r="M150" s="28" t="str">
        <f aca="false">IF($A150="","",IFERROR(INDEX('זה אני - קליטה'!$AL$5:$AL$204,MATCH($A150&amp;"|אמצע שנה",'זה אני - קליטה'!$AF$5:$AF$204,0)),""))</f>
        <v/>
      </c>
      <c r="N150" s="27" t="str">
        <f aca="false">IF($A150="","",IFERROR(INDEX('זה אני - קליטה'!$AG$5:$AG$204,MATCH($A150&amp;"|אמצע שנה",'זה אני - קליטה'!$AF$5:$AF$204,0)),""))</f>
        <v/>
      </c>
      <c r="O150" s="28" t="str">
        <f aca="false">IF($A150="","",IFERROR(INDEX('זה אני - קליטה'!$AN$5:$AN$204,MATCH($A150&amp;"|אמצע שנה",'זה אני - קליטה'!$AF$5:$AF$204,0)),""))</f>
        <v/>
      </c>
      <c r="P150" s="28" t="str">
        <f aca="false">IF($A150="","",IFERROR(INDEX('זה אני - קליטה'!$AH$5:$AH$204,MATCH($A150&amp;"|סוף שנה",'זה אני - קליטה'!$AF$5:$AF$204,0)),""))</f>
        <v/>
      </c>
      <c r="Q150" s="28" t="str">
        <f aca="false">IF($A150="","",IFERROR(INDEX('זה אני - קליטה'!$AI$5:$AI$204,MATCH($A150&amp;"|סוף שנה",'זה אני - קליטה'!$AF$5:$AF$204,0)),""))</f>
        <v/>
      </c>
      <c r="R150" s="28" t="str">
        <f aca="false">IF($A150="","",IFERROR(INDEX('זה אני - קליטה'!$AJ$5:$AJ$204,MATCH($A150&amp;"|סוף שנה",'זה אני - קליטה'!$AF$5:$AF$204,0)),""))</f>
        <v/>
      </c>
      <c r="S150" s="28" t="str">
        <f aca="false">IF($A150="","",IFERROR(INDEX('זה אני - קליטה'!$AK$5:$AK$204,MATCH($A150&amp;"|סוף שנה",'זה אני - קליטה'!$AF$5:$AF$204,0)),""))</f>
        <v/>
      </c>
      <c r="T150" s="28" t="str">
        <f aca="false">IF($A150="","",IFERROR(INDEX('זה אני - קליטה'!$AL$5:$AL$204,MATCH($A150&amp;"|סוף שנה",'זה אני - קליטה'!$AF$5:$AF$204,0)),""))</f>
        <v/>
      </c>
      <c r="U150" s="27" t="str">
        <f aca="false">IF($A150="","",IFERROR(INDEX('זה אני - קליטה'!$AG$5:$AG$204,MATCH($A150&amp;"|סוף שנה",'זה אני - קליטה'!$AF$5:$AF$204,0)),""))</f>
        <v/>
      </c>
      <c r="V150" s="28" t="str">
        <f aca="false">IF($A150="","",IFERROR(INDEX('זה אני - קליטה'!$AN$5:$AN$204,MATCH($A150&amp;"|סוף שנה",'זה אני - קליטה'!$AF$5:$AF$204,0)),""))</f>
        <v/>
      </c>
      <c r="W150" s="32" t="str">
        <f aca="false">IF(AND(ISNUMBER(F150),ISNUMBER(T150)),T150-F150,"")</f>
        <v/>
      </c>
      <c r="X150" s="27" t="str">
        <f aca="false">IF(W150="","",IF(W150&gt;=0.25,"עלייה",IF(W150&lt;=-0.25,"ירידה","יציב")))</f>
        <v/>
      </c>
    </row>
    <row r="151" customFormat="false" ht="15" hidden="false" customHeight="false" outlineLevel="0" collapsed="false">
      <c r="A151" s="29"/>
      <c r="B151" s="28" t="str">
        <f aca="false">IF($A151="","",IFERROR(INDEX('זה אני - קליטה'!$AH$5:$AH$204,MATCH($A151&amp;"|תחילת שנה",'זה אני - קליטה'!$AF$5:$AF$204,0)),""))</f>
        <v/>
      </c>
      <c r="C151" s="28" t="str">
        <f aca="false">IF($A151="","",IFERROR(INDEX('זה אני - קליטה'!$AI$5:$AI$204,MATCH($A151&amp;"|תחילת שנה",'זה אני - קליטה'!$AF$5:$AF$204,0)),""))</f>
        <v/>
      </c>
      <c r="D151" s="28" t="str">
        <f aca="false">IF($A151="","",IFERROR(INDEX('זה אני - קליטה'!$AJ$5:$AJ$204,MATCH($A151&amp;"|תחילת שנה",'זה אני - קליטה'!$AF$5:$AF$204,0)),""))</f>
        <v/>
      </c>
      <c r="E151" s="28" t="str">
        <f aca="false">IF($A151="","",IFERROR(INDEX('זה אני - קליטה'!$AK$5:$AK$204,MATCH($A151&amp;"|תחילת שנה",'זה אני - קליטה'!$AF$5:$AF$204,0)),""))</f>
        <v/>
      </c>
      <c r="F151" s="28" t="str">
        <f aca="false">IF($A151="","",IFERROR(INDEX('זה אני - קליטה'!$AL$5:$AL$204,MATCH($A151&amp;"|תחילת שנה",'זה אני - קליטה'!$AF$5:$AF$204,0)),""))</f>
        <v/>
      </c>
      <c r="G151" s="27" t="str">
        <f aca="false">IF($A151="","",IFERROR(INDEX('זה אני - קליטה'!$AG$5:$AG$204,MATCH($A151&amp;"|תחילת שנה",'זה אני - קליטה'!$AF$5:$AF$204,0)),""))</f>
        <v/>
      </c>
      <c r="H151" s="28" t="str">
        <f aca="false">IF($A151="","",IFERROR(INDEX('זה אני - קליטה'!$AN$5:$AN$204,MATCH($A151&amp;"|תחילת שנה",'זה אני - קליטה'!$AF$5:$AF$204,0)),""))</f>
        <v/>
      </c>
      <c r="I151" s="28" t="str">
        <f aca="false">IF($A151="","",IFERROR(INDEX('זה אני - קליטה'!$AH$5:$AH$204,MATCH($A151&amp;"|אמצע שנה",'זה אני - קליטה'!$AF$5:$AF$204,0)),""))</f>
        <v/>
      </c>
      <c r="J151" s="28" t="str">
        <f aca="false">IF($A151="","",IFERROR(INDEX('זה אני - קליטה'!$AI$5:$AI$204,MATCH($A151&amp;"|אמצע שנה",'זה אני - קליטה'!$AF$5:$AF$204,0)),""))</f>
        <v/>
      </c>
      <c r="K151" s="28" t="str">
        <f aca="false">IF($A151="","",IFERROR(INDEX('זה אני - קליטה'!$AJ$5:$AJ$204,MATCH($A151&amp;"|אמצע שנה",'זה אני - קליטה'!$AF$5:$AF$204,0)),""))</f>
        <v/>
      </c>
      <c r="L151" s="28" t="str">
        <f aca="false">IF($A151="","",IFERROR(INDEX('זה אני - קליטה'!$AK$5:$AK$204,MATCH($A151&amp;"|אמצע שנה",'זה אני - קליטה'!$AF$5:$AF$204,0)),""))</f>
        <v/>
      </c>
      <c r="M151" s="28" t="str">
        <f aca="false">IF($A151="","",IFERROR(INDEX('זה אני - קליטה'!$AL$5:$AL$204,MATCH($A151&amp;"|אמצע שנה",'זה אני - קליטה'!$AF$5:$AF$204,0)),""))</f>
        <v/>
      </c>
      <c r="N151" s="27" t="str">
        <f aca="false">IF($A151="","",IFERROR(INDEX('זה אני - קליטה'!$AG$5:$AG$204,MATCH($A151&amp;"|אמצע שנה",'זה אני - קליטה'!$AF$5:$AF$204,0)),""))</f>
        <v/>
      </c>
      <c r="O151" s="28" t="str">
        <f aca="false">IF($A151="","",IFERROR(INDEX('זה אני - קליטה'!$AN$5:$AN$204,MATCH($A151&amp;"|אמצע שנה",'זה אני - קליטה'!$AF$5:$AF$204,0)),""))</f>
        <v/>
      </c>
      <c r="P151" s="28" t="str">
        <f aca="false">IF($A151="","",IFERROR(INDEX('זה אני - קליטה'!$AH$5:$AH$204,MATCH($A151&amp;"|סוף שנה",'זה אני - קליטה'!$AF$5:$AF$204,0)),""))</f>
        <v/>
      </c>
      <c r="Q151" s="28" t="str">
        <f aca="false">IF($A151="","",IFERROR(INDEX('זה אני - קליטה'!$AI$5:$AI$204,MATCH($A151&amp;"|סוף שנה",'זה אני - קליטה'!$AF$5:$AF$204,0)),""))</f>
        <v/>
      </c>
      <c r="R151" s="28" t="str">
        <f aca="false">IF($A151="","",IFERROR(INDEX('זה אני - קליטה'!$AJ$5:$AJ$204,MATCH($A151&amp;"|סוף שנה",'זה אני - קליטה'!$AF$5:$AF$204,0)),""))</f>
        <v/>
      </c>
      <c r="S151" s="28" t="str">
        <f aca="false">IF($A151="","",IFERROR(INDEX('זה אני - קליטה'!$AK$5:$AK$204,MATCH($A151&amp;"|סוף שנה",'זה אני - קליטה'!$AF$5:$AF$204,0)),""))</f>
        <v/>
      </c>
      <c r="T151" s="28" t="str">
        <f aca="false">IF($A151="","",IFERROR(INDEX('זה אני - קליטה'!$AL$5:$AL$204,MATCH($A151&amp;"|סוף שנה",'זה אני - קליטה'!$AF$5:$AF$204,0)),""))</f>
        <v/>
      </c>
      <c r="U151" s="27" t="str">
        <f aca="false">IF($A151="","",IFERROR(INDEX('זה אני - קליטה'!$AG$5:$AG$204,MATCH($A151&amp;"|סוף שנה",'זה אני - קליטה'!$AF$5:$AF$204,0)),""))</f>
        <v/>
      </c>
      <c r="V151" s="28" t="str">
        <f aca="false">IF($A151="","",IFERROR(INDEX('זה אני - קליטה'!$AN$5:$AN$204,MATCH($A151&amp;"|סוף שנה",'זה אני - קליטה'!$AF$5:$AF$204,0)),""))</f>
        <v/>
      </c>
      <c r="W151" s="32" t="str">
        <f aca="false">IF(AND(ISNUMBER(F151),ISNUMBER(T151)),T151-F151,"")</f>
        <v/>
      </c>
      <c r="X151" s="27" t="str">
        <f aca="false">IF(W151="","",IF(W151&gt;=0.25,"עלייה",IF(W151&lt;=-0.25,"ירידה","יציב")))</f>
        <v/>
      </c>
    </row>
    <row r="152" customFormat="false" ht="15" hidden="false" customHeight="false" outlineLevel="0" collapsed="false">
      <c r="A152" s="29"/>
      <c r="B152" s="28" t="str">
        <f aca="false">IF($A152="","",IFERROR(INDEX('זה אני - קליטה'!$AH$5:$AH$204,MATCH($A152&amp;"|תחילת שנה",'זה אני - קליטה'!$AF$5:$AF$204,0)),""))</f>
        <v/>
      </c>
      <c r="C152" s="28" t="str">
        <f aca="false">IF($A152="","",IFERROR(INDEX('זה אני - קליטה'!$AI$5:$AI$204,MATCH($A152&amp;"|תחילת שנה",'זה אני - קליטה'!$AF$5:$AF$204,0)),""))</f>
        <v/>
      </c>
      <c r="D152" s="28" t="str">
        <f aca="false">IF($A152="","",IFERROR(INDEX('זה אני - קליטה'!$AJ$5:$AJ$204,MATCH($A152&amp;"|תחילת שנה",'זה אני - קליטה'!$AF$5:$AF$204,0)),""))</f>
        <v/>
      </c>
      <c r="E152" s="28" t="str">
        <f aca="false">IF($A152="","",IFERROR(INDEX('זה אני - קליטה'!$AK$5:$AK$204,MATCH($A152&amp;"|תחילת שנה",'זה אני - קליטה'!$AF$5:$AF$204,0)),""))</f>
        <v/>
      </c>
      <c r="F152" s="28" t="str">
        <f aca="false">IF($A152="","",IFERROR(INDEX('זה אני - קליטה'!$AL$5:$AL$204,MATCH($A152&amp;"|תחילת שנה",'זה אני - קליטה'!$AF$5:$AF$204,0)),""))</f>
        <v/>
      </c>
      <c r="G152" s="27" t="str">
        <f aca="false">IF($A152="","",IFERROR(INDEX('זה אני - קליטה'!$AG$5:$AG$204,MATCH($A152&amp;"|תחילת שנה",'זה אני - קליטה'!$AF$5:$AF$204,0)),""))</f>
        <v/>
      </c>
      <c r="H152" s="28" t="str">
        <f aca="false">IF($A152="","",IFERROR(INDEX('זה אני - קליטה'!$AN$5:$AN$204,MATCH($A152&amp;"|תחילת שנה",'זה אני - קליטה'!$AF$5:$AF$204,0)),""))</f>
        <v/>
      </c>
      <c r="I152" s="28" t="str">
        <f aca="false">IF($A152="","",IFERROR(INDEX('זה אני - קליטה'!$AH$5:$AH$204,MATCH($A152&amp;"|אמצע שנה",'זה אני - קליטה'!$AF$5:$AF$204,0)),""))</f>
        <v/>
      </c>
      <c r="J152" s="28" t="str">
        <f aca="false">IF($A152="","",IFERROR(INDEX('זה אני - קליטה'!$AI$5:$AI$204,MATCH($A152&amp;"|אמצע שנה",'זה אני - קליטה'!$AF$5:$AF$204,0)),""))</f>
        <v/>
      </c>
      <c r="K152" s="28" t="str">
        <f aca="false">IF($A152="","",IFERROR(INDEX('זה אני - קליטה'!$AJ$5:$AJ$204,MATCH($A152&amp;"|אמצע שנה",'זה אני - קליטה'!$AF$5:$AF$204,0)),""))</f>
        <v/>
      </c>
      <c r="L152" s="28" t="str">
        <f aca="false">IF($A152="","",IFERROR(INDEX('זה אני - קליטה'!$AK$5:$AK$204,MATCH($A152&amp;"|אמצע שנה",'זה אני - קליטה'!$AF$5:$AF$204,0)),""))</f>
        <v/>
      </c>
      <c r="M152" s="28" t="str">
        <f aca="false">IF($A152="","",IFERROR(INDEX('זה אני - קליטה'!$AL$5:$AL$204,MATCH($A152&amp;"|אמצע שנה",'זה אני - קליטה'!$AF$5:$AF$204,0)),""))</f>
        <v/>
      </c>
      <c r="N152" s="27" t="str">
        <f aca="false">IF($A152="","",IFERROR(INDEX('זה אני - קליטה'!$AG$5:$AG$204,MATCH($A152&amp;"|אמצע שנה",'זה אני - קליטה'!$AF$5:$AF$204,0)),""))</f>
        <v/>
      </c>
      <c r="O152" s="28" t="str">
        <f aca="false">IF($A152="","",IFERROR(INDEX('זה אני - קליטה'!$AN$5:$AN$204,MATCH($A152&amp;"|אמצע שנה",'זה אני - קליטה'!$AF$5:$AF$204,0)),""))</f>
        <v/>
      </c>
      <c r="P152" s="28" t="str">
        <f aca="false">IF($A152="","",IFERROR(INDEX('זה אני - קליטה'!$AH$5:$AH$204,MATCH($A152&amp;"|סוף שנה",'זה אני - קליטה'!$AF$5:$AF$204,0)),""))</f>
        <v/>
      </c>
      <c r="Q152" s="28" t="str">
        <f aca="false">IF($A152="","",IFERROR(INDEX('זה אני - קליטה'!$AI$5:$AI$204,MATCH($A152&amp;"|סוף שנה",'זה אני - קליטה'!$AF$5:$AF$204,0)),""))</f>
        <v/>
      </c>
      <c r="R152" s="28" t="str">
        <f aca="false">IF($A152="","",IFERROR(INDEX('זה אני - קליטה'!$AJ$5:$AJ$204,MATCH($A152&amp;"|סוף שנה",'זה אני - קליטה'!$AF$5:$AF$204,0)),""))</f>
        <v/>
      </c>
      <c r="S152" s="28" t="str">
        <f aca="false">IF($A152="","",IFERROR(INDEX('זה אני - קליטה'!$AK$5:$AK$204,MATCH($A152&amp;"|סוף שנה",'זה אני - קליטה'!$AF$5:$AF$204,0)),""))</f>
        <v/>
      </c>
      <c r="T152" s="28" t="str">
        <f aca="false">IF($A152="","",IFERROR(INDEX('זה אני - קליטה'!$AL$5:$AL$204,MATCH($A152&amp;"|סוף שנה",'זה אני - קליטה'!$AF$5:$AF$204,0)),""))</f>
        <v/>
      </c>
      <c r="U152" s="27" t="str">
        <f aca="false">IF($A152="","",IFERROR(INDEX('זה אני - קליטה'!$AG$5:$AG$204,MATCH($A152&amp;"|סוף שנה",'זה אני - קליטה'!$AF$5:$AF$204,0)),""))</f>
        <v/>
      </c>
      <c r="V152" s="28" t="str">
        <f aca="false">IF($A152="","",IFERROR(INDEX('זה אני - קליטה'!$AN$5:$AN$204,MATCH($A152&amp;"|סוף שנה",'זה אני - קליטה'!$AF$5:$AF$204,0)),""))</f>
        <v/>
      </c>
      <c r="W152" s="32" t="str">
        <f aca="false">IF(AND(ISNUMBER(F152),ISNUMBER(T152)),T152-F152,"")</f>
        <v/>
      </c>
      <c r="X152" s="27" t="str">
        <f aca="false">IF(W152="","",IF(W152&gt;=0.25,"עלייה",IF(W152&lt;=-0.25,"ירידה","יציב")))</f>
        <v/>
      </c>
    </row>
    <row r="153" customFormat="false" ht="15" hidden="false" customHeight="false" outlineLevel="0" collapsed="false">
      <c r="A153" s="29"/>
      <c r="B153" s="28" t="str">
        <f aca="false">IF($A153="","",IFERROR(INDEX('זה אני - קליטה'!$AH$5:$AH$204,MATCH($A153&amp;"|תחילת שנה",'זה אני - קליטה'!$AF$5:$AF$204,0)),""))</f>
        <v/>
      </c>
      <c r="C153" s="28" t="str">
        <f aca="false">IF($A153="","",IFERROR(INDEX('זה אני - קליטה'!$AI$5:$AI$204,MATCH($A153&amp;"|תחילת שנה",'זה אני - קליטה'!$AF$5:$AF$204,0)),""))</f>
        <v/>
      </c>
      <c r="D153" s="28" t="str">
        <f aca="false">IF($A153="","",IFERROR(INDEX('זה אני - קליטה'!$AJ$5:$AJ$204,MATCH($A153&amp;"|תחילת שנה",'זה אני - קליטה'!$AF$5:$AF$204,0)),""))</f>
        <v/>
      </c>
      <c r="E153" s="28" t="str">
        <f aca="false">IF($A153="","",IFERROR(INDEX('זה אני - קליטה'!$AK$5:$AK$204,MATCH($A153&amp;"|תחילת שנה",'זה אני - קליטה'!$AF$5:$AF$204,0)),""))</f>
        <v/>
      </c>
      <c r="F153" s="28" t="str">
        <f aca="false">IF($A153="","",IFERROR(INDEX('זה אני - קליטה'!$AL$5:$AL$204,MATCH($A153&amp;"|תחילת שנה",'זה אני - קליטה'!$AF$5:$AF$204,0)),""))</f>
        <v/>
      </c>
      <c r="G153" s="27" t="str">
        <f aca="false">IF($A153="","",IFERROR(INDEX('זה אני - קליטה'!$AG$5:$AG$204,MATCH($A153&amp;"|תחילת שנה",'זה אני - קליטה'!$AF$5:$AF$204,0)),""))</f>
        <v/>
      </c>
      <c r="H153" s="28" t="str">
        <f aca="false">IF($A153="","",IFERROR(INDEX('זה אני - קליטה'!$AN$5:$AN$204,MATCH($A153&amp;"|תחילת שנה",'זה אני - קליטה'!$AF$5:$AF$204,0)),""))</f>
        <v/>
      </c>
      <c r="I153" s="28" t="str">
        <f aca="false">IF($A153="","",IFERROR(INDEX('זה אני - קליטה'!$AH$5:$AH$204,MATCH($A153&amp;"|אמצע שנה",'זה אני - קליטה'!$AF$5:$AF$204,0)),""))</f>
        <v/>
      </c>
      <c r="J153" s="28" t="str">
        <f aca="false">IF($A153="","",IFERROR(INDEX('זה אני - קליטה'!$AI$5:$AI$204,MATCH($A153&amp;"|אמצע שנה",'זה אני - קליטה'!$AF$5:$AF$204,0)),""))</f>
        <v/>
      </c>
      <c r="K153" s="28" t="str">
        <f aca="false">IF($A153="","",IFERROR(INDEX('זה אני - קליטה'!$AJ$5:$AJ$204,MATCH($A153&amp;"|אמצע שנה",'זה אני - קליטה'!$AF$5:$AF$204,0)),""))</f>
        <v/>
      </c>
      <c r="L153" s="28" t="str">
        <f aca="false">IF($A153="","",IFERROR(INDEX('זה אני - קליטה'!$AK$5:$AK$204,MATCH($A153&amp;"|אמצע שנה",'זה אני - קליטה'!$AF$5:$AF$204,0)),""))</f>
        <v/>
      </c>
      <c r="M153" s="28" t="str">
        <f aca="false">IF($A153="","",IFERROR(INDEX('זה אני - קליטה'!$AL$5:$AL$204,MATCH($A153&amp;"|אמצע שנה",'זה אני - קליטה'!$AF$5:$AF$204,0)),""))</f>
        <v/>
      </c>
      <c r="N153" s="27" t="str">
        <f aca="false">IF($A153="","",IFERROR(INDEX('זה אני - קליטה'!$AG$5:$AG$204,MATCH($A153&amp;"|אמצע שנה",'זה אני - קליטה'!$AF$5:$AF$204,0)),""))</f>
        <v/>
      </c>
      <c r="O153" s="28" t="str">
        <f aca="false">IF($A153="","",IFERROR(INDEX('זה אני - קליטה'!$AN$5:$AN$204,MATCH($A153&amp;"|אמצע שנה",'זה אני - קליטה'!$AF$5:$AF$204,0)),""))</f>
        <v/>
      </c>
      <c r="P153" s="28" t="str">
        <f aca="false">IF($A153="","",IFERROR(INDEX('זה אני - קליטה'!$AH$5:$AH$204,MATCH($A153&amp;"|סוף שנה",'זה אני - קליטה'!$AF$5:$AF$204,0)),""))</f>
        <v/>
      </c>
      <c r="Q153" s="28" t="str">
        <f aca="false">IF($A153="","",IFERROR(INDEX('זה אני - קליטה'!$AI$5:$AI$204,MATCH($A153&amp;"|סוף שנה",'זה אני - קליטה'!$AF$5:$AF$204,0)),""))</f>
        <v/>
      </c>
      <c r="R153" s="28" t="str">
        <f aca="false">IF($A153="","",IFERROR(INDEX('זה אני - קליטה'!$AJ$5:$AJ$204,MATCH($A153&amp;"|סוף שנה",'זה אני - קליטה'!$AF$5:$AF$204,0)),""))</f>
        <v/>
      </c>
      <c r="S153" s="28" t="str">
        <f aca="false">IF($A153="","",IFERROR(INDEX('זה אני - קליטה'!$AK$5:$AK$204,MATCH($A153&amp;"|סוף שנה",'זה אני - קליטה'!$AF$5:$AF$204,0)),""))</f>
        <v/>
      </c>
      <c r="T153" s="28" t="str">
        <f aca="false">IF($A153="","",IFERROR(INDEX('זה אני - קליטה'!$AL$5:$AL$204,MATCH($A153&amp;"|סוף שנה",'זה אני - קליטה'!$AF$5:$AF$204,0)),""))</f>
        <v/>
      </c>
      <c r="U153" s="27" t="str">
        <f aca="false">IF($A153="","",IFERROR(INDEX('זה אני - קליטה'!$AG$5:$AG$204,MATCH($A153&amp;"|סוף שנה",'זה אני - קליטה'!$AF$5:$AF$204,0)),""))</f>
        <v/>
      </c>
      <c r="V153" s="28" t="str">
        <f aca="false">IF($A153="","",IFERROR(INDEX('זה אני - קליטה'!$AN$5:$AN$204,MATCH($A153&amp;"|סוף שנה",'זה אני - קליטה'!$AF$5:$AF$204,0)),""))</f>
        <v/>
      </c>
      <c r="W153" s="32" t="str">
        <f aca="false">IF(AND(ISNUMBER(F153),ISNUMBER(T153)),T153-F153,"")</f>
        <v/>
      </c>
      <c r="X153" s="27" t="str">
        <f aca="false">IF(W153="","",IF(W153&gt;=0.25,"עלייה",IF(W153&lt;=-0.25,"ירידה","יציב")))</f>
        <v/>
      </c>
    </row>
    <row r="154" customFormat="false" ht="15" hidden="false" customHeight="false" outlineLevel="0" collapsed="false">
      <c r="A154" s="29"/>
      <c r="B154" s="28" t="str">
        <f aca="false">IF($A154="","",IFERROR(INDEX('זה אני - קליטה'!$AH$5:$AH$204,MATCH($A154&amp;"|תחילת שנה",'זה אני - קליטה'!$AF$5:$AF$204,0)),""))</f>
        <v/>
      </c>
      <c r="C154" s="28" t="str">
        <f aca="false">IF($A154="","",IFERROR(INDEX('זה אני - קליטה'!$AI$5:$AI$204,MATCH($A154&amp;"|תחילת שנה",'זה אני - קליטה'!$AF$5:$AF$204,0)),""))</f>
        <v/>
      </c>
      <c r="D154" s="28" t="str">
        <f aca="false">IF($A154="","",IFERROR(INDEX('זה אני - קליטה'!$AJ$5:$AJ$204,MATCH($A154&amp;"|תחילת שנה",'זה אני - קליטה'!$AF$5:$AF$204,0)),""))</f>
        <v/>
      </c>
      <c r="E154" s="28" t="str">
        <f aca="false">IF($A154="","",IFERROR(INDEX('זה אני - קליטה'!$AK$5:$AK$204,MATCH($A154&amp;"|תחילת שנה",'זה אני - קליטה'!$AF$5:$AF$204,0)),""))</f>
        <v/>
      </c>
      <c r="F154" s="28" t="str">
        <f aca="false">IF($A154="","",IFERROR(INDEX('זה אני - קליטה'!$AL$5:$AL$204,MATCH($A154&amp;"|תחילת שנה",'זה אני - קליטה'!$AF$5:$AF$204,0)),""))</f>
        <v/>
      </c>
      <c r="G154" s="27" t="str">
        <f aca="false">IF($A154="","",IFERROR(INDEX('זה אני - קליטה'!$AG$5:$AG$204,MATCH($A154&amp;"|תחילת שנה",'זה אני - קליטה'!$AF$5:$AF$204,0)),""))</f>
        <v/>
      </c>
      <c r="H154" s="28" t="str">
        <f aca="false">IF($A154="","",IFERROR(INDEX('זה אני - קליטה'!$AN$5:$AN$204,MATCH($A154&amp;"|תחילת שנה",'זה אני - קליטה'!$AF$5:$AF$204,0)),""))</f>
        <v/>
      </c>
      <c r="I154" s="28" t="str">
        <f aca="false">IF($A154="","",IFERROR(INDEX('זה אני - קליטה'!$AH$5:$AH$204,MATCH($A154&amp;"|אמצע שנה",'זה אני - קליטה'!$AF$5:$AF$204,0)),""))</f>
        <v/>
      </c>
      <c r="J154" s="28" t="str">
        <f aca="false">IF($A154="","",IFERROR(INDEX('זה אני - קליטה'!$AI$5:$AI$204,MATCH($A154&amp;"|אמצע שנה",'זה אני - קליטה'!$AF$5:$AF$204,0)),""))</f>
        <v/>
      </c>
      <c r="K154" s="28" t="str">
        <f aca="false">IF($A154="","",IFERROR(INDEX('זה אני - קליטה'!$AJ$5:$AJ$204,MATCH($A154&amp;"|אמצע שנה",'זה אני - קליטה'!$AF$5:$AF$204,0)),""))</f>
        <v/>
      </c>
      <c r="L154" s="28" t="str">
        <f aca="false">IF($A154="","",IFERROR(INDEX('זה אני - קליטה'!$AK$5:$AK$204,MATCH($A154&amp;"|אמצע שנה",'זה אני - קליטה'!$AF$5:$AF$204,0)),""))</f>
        <v/>
      </c>
      <c r="M154" s="28" t="str">
        <f aca="false">IF($A154="","",IFERROR(INDEX('זה אני - קליטה'!$AL$5:$AL$204,MATCH($A154&amp;"|אמצע שנה",'זה אני - קליטה'!$AF$5:$AF$204,0)),""))</f>
        <v/>
      </c>
      <c r="N154" s="27" t="str">
        <f aca="false">IF($A154="","",IFERROR(INDEX('זה אני - קליטה'!$AG$5:$AG$204,MATCH($A154&amp;"|אמצע שנה",'זה אני - קליטה'!$AF$5:$AF$204,0)),""))</f>
        <v/>
      </c>
      <c r="O154" s="28" t="str">
        <f aca="false">IF($A154="","",IFERROR(INDEX('זה אני - קליטה'!$AN$5:$AN$204,MATCH($A154&amp;"|אמצע שנה",'זה אני - קליטה'!$AF$5:$AF$204,0)),""))</f>
        <v/>
      </c>
      <c r="P154" s="28" t="str">
        <f aca="false">IF($A154="","",IFERROR(INDEX('זה אני - קליטה'!$AH$5:$AH$204,MATCH($A154&amp;"|סוף שנה",'זה אני - קליטה'!$AF$5:$AF$204,0)),""))</f>
        <v/>
      </c>
      <c r="Q154" s="28" t="str">
        <f aca="false">IF($A154="","",IFERROR(INDEX('זה אני - קליטה'!$AI$5:$AI$204,MATCH($A154&amp;"|סוף שנה",'זה אני - קליטה'!$AF$5:$AF$204,0)),""))</f>
        <v/>
      </c>
      <c r="R154" s="28" t="str">
        <f aca="false">IF($A154="","",IFERROR(INDEX('זה אני - קליטה'!$AJ$5:$AJ$204,MATCH($A154&amp;"|סוף שנה",'זה אני - קליטה'!$AF$5:$AF$204,0)),""))</f>
        <v/>
      </c>
      <c r="S154" s="28" t="str">
        <f aca="false">IF($A154="","",IFERROR(INDEX('זה אני - קליטה'!$AK$5:$AK$204,MATCH($A154&amp;"|סוף שנה",'זה אני - קליטה'!$AF$5:$AF$204,0)),""))</f>
        <v/>
      </c>
      <c r="T154" s="28" t="str">
        <f aca="false">IF($A154="","",IFERROR(INDEX('זה אני - קליטה'!$AL$5:$AL$204,MATCH($A154&amp;"|סוף שנה",'זה אני - קליטה'!$AF$5:$AF$204,0)),""))</f>
        <v/>
      </c>
      <c r="U154" s="27" t="str">
        <f aca="false">IF($A154="","",IFERROR(INDEX('זה אני - קליטה'!$AG$5:$AG$204,MATCH($A154&amp;"|סוף שנה",'זה אני - קליטה'!$AF$5:$AF$204,0)),""))</f>
        <v/>
      </c>
      <c r="V154" s="28" t="str">
        <f aca="false">IF($A154="","",IFERROR(INDEX('זה אני - קליטה'!$AN$5:$AN$204,MATCH($A154&amp;"|סוף שנה",'זה אני - קליטה'!$AF$5:$AF$204,0)),""))</f>
        <v/>
      </c>
      <c r="W154" s="32" t="str">
        <f aca="false">IF(AND(ISNUMBER(F154),ISNUMBER(T154)),T154-F154,"")</f>
        <v/>
      </c>
      <c r="X154" s="27" t="str">
        <f aca="false">IF(W154="","",IF(W154&gt;=0.25,"עלייה",IF(W154&lt;=-0.25,"ירידה","יציב")))</f>
        <v/>
      </c>
    </row>
    <row r="155" customFormat="false" ht="15" hidden="false" customHeight="false" outlineLevel="0" collapsed="false">
      <c r="A155" s="29"/>
      <c r="B155" s="28" t="str">
        <f aca="false">IF($A155="","",IFERROR(INDEX('זה אני - קליטה'!$AH$5:$AH$204,MATCH($A155&amp;"|תחילת שנה",'זה אני - קליטה'!$AF$5:$AF$204,0)),""))</f>
        <v/>
      </c>
      <c r="C155" s="28" t="str">
        <f aca="false">IF($A155="","",IFERROR(INDEX('זה אני - קליטה'!$AI$5:$AI$204,MATCH($A155&amp;"|תחילת שנה",'זה אני - קליטה'!$AF$5:$AF$204,0)),""))</f>
        <v/>
      </c>
      <c r="D155" s="28" t="str">
        <f aca="false">IF($A155="","",IFERROR(INDEX('זה אני - קליטה'!$AJ$5:$AJ$204,MATCH($A155&amp;"|תחילת שנה",'זה אני - קליטה'!$AF$5:$AF$204,0)),""))</f>
        <v/>
      </c>
      <c r="E155" s="28" t="str">
        <f aca="false">IF($A155="","",IFERROR(INDEX('זה אני - קליטה'!$AK$5:$AK$204,MATCH($A155&amp;"|תחילת שנה",'זה אני - קליטה'!$AF$5:$AF$204,0)),""))</f>
        <v/>
      </c>
      <c r="F155" s="28" t="str">
        <f aca="false">IF($A155="","",IFERROR(INDEX('זה אני - קליטה'!$AL$5:$AL$204,MATCH($A155&amp;"|תחילת שנה",'זה אני - קליטה'!$AF$5:$AF$204,0)),""))</f>
        <v/>
      </c>
      <c r="G155" s="27" t="str">
        <f aca="false">IF($A155="","",IFERROR(INDEX('זה אני - קליטה'!$AG$5:$AG$204,MATCH($A155&amp;"|תחילת שנה",'זה אני - קליטה'!$AF$5:$AF$204,0)),""))</f>
        <v/>
      </c>
      <c r="H155" s="28" t="str">
        <f aca="false">IF($A155="","",IFERROR(INDEX('זה אני - קליטה'!$AN$5:$AN$204,MATCH($A155&amp;"|תחילת שנה",'זה אני - קליטה'!$AF$5:$AF$204,0)),""))</f>
        <v/>
      </c>
      <c r="I155" s="28" t="str">
        <f aca="false">IF($A155="","",IFERROR(INDEX('זה אני - קליטה'!$AH$5:$AH$204,MATCH($A155&amp;"|אמצע שנה",'זה אני - קליטה'!$AF$5:$AF$204,0)),""))</f>
        <v/>
      </c>
      <c r="J155" s="28" t="str">
        <f aca="false">IF($A155="","",IFERROR(INDEX('זה אני - קליטה'!$AI$5:$AI$204,MATCH($A155&amp;"|אמצע שנה",'זה אני - קליטה'!$AF$5:$AF$204,0)),""))</f>
        <v/>
      </c>
      <c r="K155" s="28" t="str">
        <f aca="false">IF($A155="","",IFERROR(INDEX('זה אני - קליטה'!$AJ$5:$AJ$204,MATCH($A155&amp;"|אמצע שנה",'זה אני - קליטה'!$AF$5:$AF$204,0)),""))</f>
        <v/>
      </c>
      <c r="L155" s="28" t="str">
        <f aca="false">IF($A155="","",IFERROR(INDEX('זה אני - קליטה'!$AK$5:$AK$204,MATCH($A155&amp;"|אמצע שנה",'זה אני - קליטה'!$AF$5:$AF$204,0)),""))</f>
        <v/>
      </c>
      <c r="M155" s="28" t="str">
        <f aca="false">IF($A155="","",IFERROR(INDEX('זה אני - קליטה'!$AL$5:$AL$204,MATCH($A155&amp;"|אמצע שנה",'זה אני - קליטה'!$AF$5:$AF$204,0)),""))</f>
        <v/>
      </c>
      <c r="N155" s="27" t="str">
        <f aca="false">IF($A155="","",IFERROR(INDEX('זה אני - קליטה'!$AG$5:$AG$204,MATCH($A155&amp;"|אמצע שנה",'זה אני - קליטה'!$AF$5:$AF$204,0)),""))</f>
        <v/>
      </c>
      <c r="O155" s="28" t="str">
        <f aca="false">IF($A155="","",IFERROR(INDEX('זה אני - קליטה'!$AN$5:$AN$204,MATCH($A155&amp;"|אמצע שנה",'זה אני - קליטה'!$AF$5:$AF$204,0)),""))</f>
        <v/>
      </c>
      <c r="P155" s="28" t="str">
        <f aca="false">IF($A155="","",IFERROR(INDEX('זה אני - קליטה'!$AH$5:$AH$204,MATCH($A155&amp;"|סוף שנה",'זה אני - קליטה'!$AF$5:$AF$204,0)),""))</f>
        <v/>
      </c>
      <c r="Q155" s="28" t="str">
        <f aca="false">IF($A155="","",IFERROR(INDEX('זה אני - קליטה'!$AI$5:$AI$204,MATCH($A155&amp;"|סוף שנה",'זה אני - קליטה'!$AF$5:$AF$204,0)),""))</f>
        <v/>
      </c>
      <c r="R155" s="28" t="str">
        <f aca="false">IF($A155="","",IFERROR(INDEX('זה אני - קליטה'!$AJ$5:$AJ$204,MATCH($A155&amp;"|סוף שנה",'זה אני - קליטה'!$AF$5:$AF$204,0)),""))</f>
        <v/>
      </c>
      <c r="S155" s="28" t="str">
        <f aca="false">IF($A155="","",IFERROR(INDEX('זה אני - קליטה'!$AK$5:$AK$204,MATCH($A155&amp;"|סוף שנה",'זה אני - קליטה'!$AF$5:$AF$204,0)),""))</f>
        <v/>
      </c>
      <c r="T155" s="28" t="str">
        <f aca="false">IF($A155="","",IFERROR(INDEX('זה אני - קליטה'!$AL$5:$AL$204,MATCH($A155&amp;"|סוף שנה",'זה אני - קליטה'!$AF$5:$AF$204,0)),""))</f>
        <v/>
      </c>
      <c r="U155" s="27" t="str">
        <f aca="false">IF($A155="","",IFERROR(INDEX('זה אני - קליטה'!$AG$5:$AG$204,MATCH($A155&amp;"|סוף שנה",'זה אני - קליטה'!$AF$5:$AF$204,0)),""))</f>
        <v/>
      </c>
      <c r="V155" s="28" t="str">
        <f aca="false">IF($A155="","",IFERROR(INDEX('זה אני - קליטה'!$AN$5:$AN$204,MATCH($A155&amp;"|סוף שנה",'זה אני - קליטה'!$AF$5:$AF$204,0)),""))</f>
        <v/>
      </c>
      <c r="W155" s="32" t="str">
        <f aca="false">IF(AND(ISNUMBER(F155),ISNUMBER(T155)),T155-F155,"")</f>
        <v/>
      </c>
      <c r="X155" s="27" t="str">
        <f aca="false">IF(W155="","",IF(W155&gt;=0.25,"עלייה",IF(W155&lt;=-0.25,"ירידה","יציב")))</f>
        <v/>
      </c>
    </row>
    <row r="156" customFormat="false" ht="15" hidden="false" customHeight="false" outlineLevel="0" collapsed="false">
      <c r="A156" s="29"/>
      <c r="B156" s="28" t="str">
        <f aca="false">IF($A156="","",IFERROR(INDEX('זה אני - קליטה'!$AH$5:$AH$204,MATCH($A156&amp;"|תחילת שנה",'זה אני - קליטה'!$AF$5:$AF$204,0)),""))</f>
        <v/>
      </c>
      <c r="C156" s="28" t="str">
        <f aca="false">IF($A156="","",IFERROR(INDEX('זה אני - קליטה'!$AI$5:$AI$204,MATCH($A156&amp;"|תחילת שנה",'זה אני - קליטה'!$AF$5:$AF$204,0)),""))</f>
        <v/>
      </c>
      <c r="D156" s="28" t="str">
        <f aca="false">IF($A156="","",IFERROR(INDEX('זה אני - קליטה'!$AJ$5:$AJ$204,MATCH($A156&amp;"|תחילת שנה",'זה אני - קליטה'!$AF$5:$AF$204,0)),""))</f>
        <v/>
      </c>
      <c r="E156" s="28" t="str">
        <f aca="false">IF($A156="","",IFERROR(INDEX('זה אני - קליטה'!$AK$5:$AK$204,MATCH($A156&amp;"|תחילת שנה",'זה אני - קליטה'!$AF$5:$AF$204,0)),""))</f>
        <v/>
      </c>
      <c r="F156" s="28" t="str">
        <f aca="false">IF($A156="","",IFERROR(INDEX('זה אני - קליטה'!$AL$5:$AL$204,MATCH($A156&amp;"|תחילת שנה",'זה אני - קליטה'!$AF$5:$AF$204,0)),""))</f>
        <v/>
      </c>
      <c r="G156" s="27" t="str">
        <f aca="false">IF($A156="","",IFERROR(INDEX('זה אני - קליטה'!$AG$5:$AG$204,MATCH($A156&amp;"|תחילת שנה",'זה אני - קליטה'!$AF$5:$AF$204,0)),""))</f>
        <v/>
      </c>
      <c r="H156" s="28" t="str">
        <f aca="false">IF($A156="","",IFERROR(INDEX('זה אני - קליטה'!$AN$5:$AN$204,MATCH($A156&amp;"|תחילת שנה",'זה אני - קליטה'!$AF$5:$AF$204,0)),""))</f>
        <v/>
      </c>
      <c r="I156" s="28" t="str">
        <f aca="false">IF($A156="","",IFERROR(INDEX('זה אני - קליטה'!$AH$5:$AH$204,MATCH($A156&amp;"|אמצע שנה",'זה אני - קליטה'!$AF$5:$AF$204,0)),""))</f>
        <v/>
      </c>
      <c r="J156" s="28" t="str">
        <f aca="false">IF($A156="","",IFERROR(INDEX('זה אני - קליטה'!$AI$5:$AI$204,MATCH($A156&amp;"|אמצע שנה",'זה אני - קליטה'!$AF$5:$AF$204,0)),""))</f>
        <v/>
      </c>
      <c r="K156" s="28" t="str">
        <f aca="false">IF($A156="","",IFERROR(INDEX('זה אני - קליטה'!$AJ$5:$AJ$204,MATCH($A156&amp;"|אמצע שנה",'זה אני - קליטה'!$AF$5:$AF$204,0)),""))</f>
        <v/>
      </c>
      <c r="L156" s="28" t="str">
        <f aca="false">IF($A156="","",IFERROR(INDEX('זה אני - קליטה'!$AK$5:$AK$204,MATCH($A156&amp;"|אמצע שנה",'זה אני - קליטה'!$AF$5:$AF$204,0)),""))</f>
        <v/>
      </c>
      <c r="M156" s="28" t="str">
        <f aca="false">IF($A156="","",IFERROR(INDEX('זה אני - קליטה'!$AL$5:$AL$204,MATCH($A156&amp;"|אמצע שנה",'זה אני - קליטה'!$AF$5:$AF$204,0)),""))</f>
        <v/>
      </c>
      <c r="N156" s="27" t="str">
        <f aca="false">IF($A156="","",IFERROR(INDEX('זה אני - קליטה'!$AG$5:$AG$204,MATCH($A156&amp;"|אמצע שנה",'זה אני - קליטה'!$AF$5:$AF$204,0)),""))</f>
        <v/>
      </c>
      <c r="O156" s="28" t="str">
        <f aca="false">IF($A156="","",IFERROR(INDEX('זה אני - קליטה'!$AN$5:$AN$204,MATCH($A156&amp;"|אמצע שנה",'זה אני - קליטה'!$AF$5:$AF$204,0)),""))</f>
        <v/>
      </c>
      <c r="P156" s="28" t="str">
        <f aca="false">IF($A156="","",IFERROR(INDEX('זה אני - קליטה'!$AH$5:$AH$204,MATCH($A156&amp;"|סוף שנה",'זה אני - קליטה'!$AF$5:$AF$204,0)),""))</f>
        <v/>
      </c>
      <c r="Q156" s="28" t="str">
        <f aca="false">IF($A156="","",IFERROR(INDEX('זה אני - קליטה'!$AI$5:$AI$204,MATCH($A156&amp;"|סוף שנה",'זה אני - קליטה'!$AF$5:$AF$204,0)),""))</f>
        <v/>
      </c>
      <c r="R156" s="28" t="str">
        <f aca="false">IF($A156="","",IFERROR(INDEX('זה אני - קליטה'!$AJ$5:$AJ$204,MATCH($A156&amp;"|סוף שנה",'זה אני - קליטה'!$AF$5:$AF$204,0)),""))</f>
        <v/>
      </c>
      <c r="S156" s="28" t="str">
        <f aca="false">IF($A156="","",IFERROR(INDEX('זה אני - קליטה'!$AK$5:$AK$204,MATCH($A156&amp;"|סוף שנה",'זה אני - קליטה'!$AF$5:$AF$204,0)),""))</f>
        <v/>
      </c>
      <c r="T156" s="28" t="str">
        <f aca="false">IF($A156="","",IFERROR(INDEX('זה אני - קליטה'!$AL$5:$AL$204,MATCH($A156&amp;"|סוף שנה",'זה אני - קליטה'!$AF$5:$AF$204,0)),""))</f>
        <v/>
      </c>
      <c r="U156" s="27" t="str">
        <f aca="false">IF($A156="","",IFERROR(INDEX('זה אני - קליטה'!$AG$5:$AG$204,MATCH($A156&amp;"|סוף שנה",'זה אני - קליטה'!$AF$5:$AF$204,0)),""))</f>
        <v/>
      </c>
      <c r="V156" s="28" t="str">
        <f aca="false">IF($A156="","",IFERROR(INDEX('זה אני - קליטה'!$AN$5:$AN$204,MATCH($A156&amp;"|סוף שנה",'זה אני - קליטה'!$AF$5:$AF$204,0)),""))</f>
        <v/>
      </c>
      <c r="W156" s="32" t="str">
        <f aca="false">IF(AND(ISNUMBER(F156),ISNUMBER(T156)),T156-F156,"")</f>
        <v/>
      </c>
      <c r="X156" s="27" t="str">
        <f aca="false">IF(W156="","",IF(W156&gt;=0.25,"עלייה",IF(W156&lt;=-0.25,"ירידה","יציב")))</f>
        <v/>
      </c>
    </row>
    <row r="157" customFormat="false" ht="15" hidden="false" customHeight="false" outlineLevel="0" collapsed="false">
      <c r="A157" s="29"/>
      <c r="B157" s="28" t="str">
        <f aca="false">IF($A157="","",IFERROR(INDEX('זה אני - קליטה'!$AH$5:$AH$204,MATCH($A157&amp;"|תחילת שנה",'זה אני - קליטה'!$AF$5:$AF$204,0)),""))</f>
        <v/>
      </c>
      <c r="C157" s="28" t="str">
        <f aca="false">IF($A157="","",IFERROR(INDEX('זה אני - קליטה'!$AI$5:$AI$204,MATCH($A157&amp;"|תחילת שנה",'זה אני - קליטה'!$AF$5:$AF$204,0)),""))</f>
        <v/>
      </c>
      <c r="D157" s="28" t="str">
        <f aca="false">IF($A157="","",IFERROR(INDEX('זה אני - קליטה'!$AJ$5:$AJ$204,MATCH($A157&amp;"|תחילת שנה",'זה אני - קליטה'!$AF$5:$AF$204,0)),""))</f>
        <v/>
      </c>
      <c r="E157" s="28" t="str">
        <f aca="false">IF($A157="","",IFERROR(INDEX('זה אני - קליטה'!$AK$5:$AK$204,MATCH($A157&amp;"|תחילת שנה",'זה אני - קליטה'!$AF$5:$AF$204,0)),""))</f>
        <v/>
      </c>
      <c r="F157" s="28" t="str">
        <f aca="false">IF($A157="","",IFERROR(INDEX('זה אני - קליטה'!$AL$5:$AL$204,MATCH($A157&amp;"|תחילת שנה",'זה אני - קליטה'!$AF$5:$AF$204,0)),""))</f>
        <v/>
      </c>
      <c r="G157" s="27" t="str">
        <f aca="false">IF($A157="","",IFERROR(INDEX('זה אני - קליטה'!$AG$5:$AG$204,MATCH($A157&amp;"|תחילת שנה",'זה אני - קליטה'!$AF$5:$AF$204,0)),""))</f>
        <v/>
      </c>
      <c r="H157" s="28" t="str">
        <f aca="false">IF($A157="","",IFERROR(INDEX('זה אני - קליטה'!$AN$5:$AN$204,MATCH($A157&amp;"|תחילת שנה",'זה אני - קליטה'!$AF$5:$AF$204,0)),""))</f>
        <v/>
      </c>
      <c r="I157" s="28" t="str">
        <f aca="false">IF($A157="","",IFERROR(INDEX('זה אני - קליטה'!$AH$5:$AH$204,MATCH($A157&amp;"|אמצע שנה",'זה אני - קליטה'!$AF$5:$AF$204,0)),""))</f>
        <v/>
      </c>
      <c r="J157" s="28" t="str">
        <f aca="false">IF($A157="","",IFERROR(INDEX('זה אני - קליטה'!$AI$5:$AI$204,MATCH($A157&amp;"|אמצע שנה",'זה אני - קליטה'!$AF$5:$AF$204,0)),""))</f>
        <v/>
      </c>
      <c r="K157" s="28" t="str">
        <f aca="false">IF($A157="","",IFERROR(INDEX('זה אני - קליטה'!$AJ$5:$AJ$204,MATCH($A157&amp;"|אמצע שנה",'זה אני - קליטה'!$AF$5:$AF$204,0)),""))</f>
        <v/>
      </c>
      <c r="L157" s="28" t="str">
        <f aca="false">IF($A157="","",IFERROR(INDEX('זה אני - קליטה'!$AK$5:$AK$204,MATCH($A157&amp;"|אמצע שנה",'זה אני - קליטה'!$AF$5:$AF$204,0)),""))</f>
        <v/>
      </c>
      <c r="M157" s="28" t="str">
        <f aca="false">IF($A157="","",IFERROR(INDEX('זה אני - קליטה'!$AL$5:$AL$204,MATCH($A157&amp;"|אמצע שנה",'זה אני - קליטה'!$AF$5:$AF$204,0)),""))</f>
        <v/>
      </c>
      <c r="N157" s="27" t="str">
        <f aca="false">IF($A157="","",IFERROR(INDEX('זה אני - קליטה'!$AG$5:$AG$204,MATCH($A157&amp;"|אמצע שנה",'זה אני - קליטה'!$AF$5:$AF$204,0)),""))</f>
        <v/>
      </c>
      <c r="O157" s="28" t="str">
        <f aca="false">IF($A157="","",IFERROR(INDEX('זה אני - קליטה'!$AN$5:$AN$204,MATCH($A157&amp;"|אמצע שנה",'זה אני - קליטה'!$AF$5:$AF$204,0)),""))</f>
        <v/>
      </c>
      <c r="P157" s="28" t="str">
        <f aca="false">IF($A157="","",IFERROR(INDEX('זה אני - קליטה'!$AH$5:$AH$204,MATCH($A157&amp;"|סוף שנה",'זה אני - קליטה'!$AF$5:$AF$204,0)),""))</f>
        <v/>
      </c>
      <c r="Q157" s="28" t="str">
        <f aca="false">IF($A157="","",IFERROR(INDEX('זה אני - קליטה'!$AI$5:$AI$204,MATCH($A157&amp;"|סוף שנה",'זה אני - קליטה'!$AF$5:$AF$204,0)),""))</f>
        <v/>
      </c>
      <c r="R157" s="28" t="str">
        <f aca="false">IF($A157="","",IFERROR(INDEX('זה אני - קליטה'!$AJ$5:$AJ$204,MATCH($A157&amp;"|סוף שנה",'זה אני - קליטה'!$AF$5:$AF$204,0)),""))</f>
        <v/>
      </c>
      <c r="S157" s="28" t="str">
        <f aca="false">IF($A157="","",IFERROR(INDEX('זה אני - קליטה'!$AK$5:$AK$204,MATCH($A157&amp;"|סוף שנה",'זה אני - קליטה'!$AF$5:$AF$204,0)),""))</f>
        <v/>
      </c>
      <c r="T157" s="28" t="str">
        <f aca="false">IF($A157="","",IFERROR(INDEX('זה אני - קליטה'!$AL$5:$AL$204,MATCH($A157&amp;"|סוף שנה",'זה אני - קליטה'!$AF$5:$AF$204,0)),""))</f>
        <v/>
      </c>
      <c r="U157" s="27" t="str">
        <f aca="false">IF($A157="","",IFERROR(INDEX('זה אני - קליטה'!$AG$5:$AG$204,MATCH($A157&amp;"|סוף שנה",'זה אני - קליטה'!$AF$5:$AF$204,0)),""))</f>
        <v/>
      </c>
      <c r="V157" s="28" t="str">
        <f aca="false">IF($A157="","",IFERROR(INDEX('זה אני - קליטה'!$AN$5:$AN$204,MATCH($A157&amp;"|סוף שנה",'זה אני - קליטה'!$AF$5:$AF$204,0)),""))</f>
        <v/>
      </c>
      <c r="W157" s="32" t="str">
        <f aca="false">IF(AND(ISNUMBER(F157),ISNUMBER(T157)),T157-F157,"")</f>
        <v/>
      </c>
      <c r="X157" s="27" t="str">
        <f aca="false">IF(W157="","",IF(W157&gt;=0.25,"עלייה",IF(W157&lt;=-0.25,"ירידה","יציב")))</f>
        <v/>
      </c>
    </row>
    <row r="158" customFormat="false" ht="15" hidden="false" customHeight="false" outlineLevel="0" collapsed="false">
      <c r="A158" s="29"/>
      <c r="B158" s="28" t="str">
        <f aca="false">IF($A158="","",IFERROR(INDEX('זה אני - קליטה'!$AH$5:$AH$204,MATCH($A158&amp;"|תחילת שנה",'זה אני - קליטה'!$AF$5:$AF$204,0)),""))</f>
        <v/>
      </c>
      <c r="C158" s="28" t="str">
        <f aca="false">IF($A158="","",IFERROR(INDEX('זה אני - קליטה'!$AI$5:$AI$204,MATCH($A158&amp;"|תחילת שנה",'זה אני - קליטה'!$AF$5:$AF$204,0)),""))</f>
        <v/>
      </c>
      <c r="D158" s="28" t="str">
        <f aca="false">IF($A158="","",IFERROR(INDEX('זה אני - קליטה'!$AJ$5:$AJ$204,MATCH($A158&amp;"|תחילת שנה",'זה אני - קליטה'!$AF$5:$AF$204,0)),""))</f>
        <v/>
      </c>
      <c r="E158" s="28" t="str">
        <f aca="false">IF($A158="","",IFERROR(INDEX('זה אני - קליטה'!$AK$5:$AK$204,MATCH($A158&amp;"|תחילת שנה",'זה אני - קליטה'!$AF$5:$AF$204,0)),""))</f>
        <v/>
      </c>
      <c r="F158" s="28" t="str">
        <f aca="false">IF($A158="","",IFERROR(INDEX('זה אני - קליטה'!$AL$5:$AL$204,MATCH($A158&amp;"|תחילת שנה",'זה אני - קליטה'!$AF$5:$AF$204,0)),""))</f>
        <v/>
      </c>
      <c r="G158" s="27" t="str">
        <f aca="false">IF($A158="","",IFERROR(INDEX('זה אני - קליטה'!$AG$5:$AG$204,MATCH($A158&amp;"|תחילת שנה",'זה אני - קליטה'!$AF$5:$AF$204,0)),""))</f>
        <v/>
      </c>
      <c r="H158" s="28" t="str">
        <f aca="false">IF($A158="","",IFERROR(INDEX('זה אני - קליטה'!$AN$5:$AN$204,MATCH($A158&amp;"|תחילת שנה",'זה אני - קליטה'!$AF$5:$AF$204,0)),""))</f>
        <v/>
      </c>
      <c r="I158" s="28" t="str">
        <f aca="false">IF($A158="","",IFERROR(INDEX('זה אני - קליטה'!$AH$5:$AH$204,MATCH($A158&amp;"|אמצע שנה",'זה אני - קליטה'!$AF$5:$AF$204,0)),""))</f>
        <v/>
      </c>
      <c r="J158" s="28" t="str">
        <f aca="false">IF($A158="","",IFERROR(INDEX('זה אני - קליטה'!$AI$5:$AI$204,MATCH($A158&amp;"|אמצע שנה",'זה אני - קליטה'!$AF$5:$AF$204,0)),""))</f>
        <v/>
      </c>
      <c r="K158" s="28" t="str">
        <f aca="false">IF($A158="","",IFERROR(INDEX('זה אני - קליטה'!$AJ$5:$AJ$204,MATCH($A158&amp;"|אמצע שנה",'זה אני - קליטה'!$AF$5:$AF$204,0)),""))</f>
        <v/>
      </c>
      <c r="L158" s="28" t="str">
        <f aca="false">IF($A158="","",IFERROR(INDEX('זה אני - קליטה'!$AK$5:$AK$204,MATCH($A158&amp;"|אמצע שנה",'זה אני - קליטה'!$AF$5:$AF$204,0)),""))</f>
        <v/>
      </c>
      <c r="M158" s="28" t="str">
        <f aca="false">IF($A158="","",IFERROR(INDEX('זה אני - קליטה'!$AL$5:$AL$204,MATCH($A158&amp;"|אמצע שנה",'זה אני - קליטה'!$AF$5:$AF$204,0)),""))</f>
        <v/>
      </c>
      <c r="N158" s="27" t="str">
        <f aca="false">IF($A158="","",IFERROR(INDEX('זה אני - קליטה'!$AG$5:$AG$204,MATCH($A158&amp;"|אמצע שנה",'זה אני - קליטה'!$AF$5:$AF$204,0)),""))</f>
        <v/>
      </c>
      <c r="O158" s="28" t="str">
        <f aca="false">IF($A158="","",IFERROR(INDEX('זה אני - קליטה'!$AN$5:$AN$204,MATCH($A158&amp;"|אמצע שנה",'זה אני - קליטה'!$AF$5:$AF$204,0)),""))</f>
        <v/>
      </c>
      <c r="P158" s="28" t="str">
        <f aca="false">IF($A158="","",IFERROR(INDEX('זה אני - קליטה'!$AH$5:$AH$204,MATCH($A158&amp;"|סוף שנה",'זה אני - קליטה'!$AF$5:$AF$204,0)),""))</f>
        <v/>
      </c>
      <c r="Q158" s="28" t="str">
        <f aca="false">IF($A158="","",IFERROR(INDEX('זה אני - קליטה'!$AI$5:$AI$204,MATCH($A158&amp;"|סוף שנה",'זה אני - קליטה'!$AF$5:$AF$204,0)),""))</f>
        <v/>
      </c>
      <c r="R158" s="28" t="str">
        <f aca="false">IF($A158="","",IFERROR(INDEX('זה אני - קליטה'!$AJ$5:$AJ$204,MATCH($A158&amp;"|סוף שנה",'זה אני - קליטה'!$AF$5:$AF$204,0)),""))</f>
        <v/>
      </c>
      <c r="S158" s="28" t="str">
        <f aca="false">IF($A158="","",IFERROR(INDEX('זה אני - קליטה'!$AK$5:$AK$204,MATCH($A158&amp;"|סוף שנה",'זה אני - קליטה'!$AF$5:$AF$204,0)),""))</f>
        <v/>
      </c>
      <c r="T158" s="28" t="str">
        <f aca="false">IF($A158="","",IFERROR(INDEX('זה אני - קליטה'!$AL$5:$AL$204,MATCH($A158&amp;"|סוף שנה",'זה אני - קליטה'!$AF$5:$AF$204,0)),""))</f>
        <v/>
      </c>
      <c r="U158" s="27" t="str">
        <f aca="false">IF($A158="","",IFERROR(INDEX('זה אני - קליטה'!$AG$5:$AG$204,MATCH($A158&amp;"|סוף שנה",'זה אני - קליטה'!$AF$5:$AF$204,0)),""))</f>
        <v/>
      </c>
      <c r="V158" s="28" t="str">
        <f aca="false">IF($A158="","",IFERROR(INDEX('זה אני - קליטה'!$AN$5:$AN$204,MATCH($A158&amp;"|סוף שנה",'זה אני - קליטה'!$AF$5:$AF$204,0)),""))</f>
        <v/>
      </c>
      <c r="W158" s="32" t="str">
        <f aca="false">IF(AND(ISNUMBER(F158),ISNUMBER(T158)),T158-F158,"")</f>
        <v/>
      </c>
      <c r="X158" s="27" t="str">
        <f aca="false">IF(W158="","",IF(W158&gt;=0.25,"עלייה",IF(W158&lt;=-0.25,"ירידה","יציב")))</f>
        <v/>
      </c>
    </row>
    <row r="159" customFormat="false" ht="15" hidden="false" customHeight="false" outlineLevel="0" collapsed="false">
      <c r="A159" s="29"/>
      <c r="B159" s="28" t="str">
        <f aca="false">IF($A159="","",IFERROR(INDEX('זה אני - קליטה'!$AH$5:$AH$204,MATCH($A159&amp;"|תחילת שנה",'זה אני - קליטה'!$AF$5:$AF$204,0)),""))</f>
        <v/>
      </c>
      <c r="C159" s="28" t="str">
        <f aca="false">IF($A159="","",IFERROR(INDEX('זה אני - קליטה'!$AI$5:$AI$204,MATCH($A159&amp;"|תחילת שנה",'זה אני - קליטה'!$AF$5:$AF$204,0)),""))</f>
        <v/>
      </c>
      <c r="D159" s="28" t="str">
        <f aca="false">IF($A159="","",IFERROR(INDEX('זה אני - קליטה'!$AJ$5:$AJ$204,MATCH($A159&amp;"|תחילת שנה",'זה אני - קליטה'!$AF$5:$AF$204,0)),""))</f>
        <v/>
      </c>
      <c r="E159" s="28" t="str">
        <f aca="false">IF($A159="","",IFERROR(INDEX('זה אני - קליטה'!$AK$5:$AK$204,MATCH($A159&amp;"|תחילת שנה",'זה אני - קליטה'!$AF$5:$AF$204,0)),""))</f>
        <v/>
      </c>
      <c r="F159" s="28" t="str">
        <f aca="false">IF($A159="","",IFERROR(INDEX('זה אני - קליטה'!$AL$5:$AL$204,MATCH($A159&amp;"|תחילת שנה",'זה אני - קליטה'!$AF$5:$AF$204,0)),""))</f>
        <v/>
      </c>
      <c r="G159" s="27" t="str">
        <f aca="false">IF($A159="","",IFERROR(INDEX('זה אני - קליטה'!$AG$5:$AG$204,MATCH($A159&amp;"|תחילת שנה",'זה אני - קליטה'!$AF$5:$AF$204,0)),""))</f>
        <v/>
      </c>
      <c r="H159" s="28" t="str">
        <f aca="false">IF($A159="","",IFERROR(INDEX('זה אני - קליטה'!$AN$5:$AN$204,MATCH($A159&amp;"|תחילת שנה",'זה אני - קליטה'!$AF$5:$AF$204,0)),""))</f>
        <v/>
      </c>
      <c r="I159" s="28" t="str">
        <f aca="false">IF($A159="","",IFERROR(INDEX('זה אני - קליטה'!$AH$5:$AH$204,MATCH($A159&amp;"|אמצע שנה",'זה אני - קליטה'!$AF$5:$AF$204,0)),""))</f>
        <v/>
      </c>
      <c r="J159" s="28" t="str">
        <f aca="false">IF($A159="","",IFERROR(INDEX('זה אני - קליטה'!$AI$5:$AI$204,MATCH($A159&amp;"|אמצע שנה",'זה אני - קליטה'!$AF$5:$AF$204,0)),""))</f>
        <v/>
      </c>
      <c r="K159" s="28" t="str">
        <f aca="false">IF($A159="","",IFERROR(INDEX('זה אני - קליטה'!$AJ$5:$AJ$204,MATCH($A159&amp;"|אמצע שנה",'זה אני - קליטה'!$AF$5:$AF$204,0)),""))</f>
        <v/>
      </c>
      <c r="L159" s="28" t="str">
        <f aca="false">IF($A159="","",IFERROR(INDEX('זה אני - קליטה'!$AK$5:$AK$204,MATCH($A159&amp;"|אמצע שנה",'זה אני - קליטה'!$AF$5:$AF$204,0)),""))</f>
        <v/>
      </c>
      <c r="M159" s="28" t="str">
        <f aca="false">IF($A159="","",IFERROR(INDEX('זה אני - קליטה'!$AL$5:$AL$204,MATCH($A159&amp;"|אמצע שנה",'זה אני - קליטה'!$AF$5:$AF$204,0)),""))</f>
        <v/>
      </c>
      <c r="N159" s="27" t="str">
        <f aca="false">IF($A159="","",IFERROR(INDEX('זה אני - קליטה'!$AG$5:$AG$204,MATCH($A159&amp;"|אמצע שנה",'זה אני - קליטה'!$AF$5:$AF$204,0)),""))</f>
        <v/>
      </c>
      <c r="O159" s="28" t="str">
        <f aca="false">IF($A159="","",IFERROR(INDEX('זה אני - קליטה'!$AN$5:$AN$204,MATCH($A159&amp;"|אמצע שנה",'זה אני - קליטה'!$AF$5:$AF$204,0)),""))</f>
        <v/>
      </c>
      <c r="P159" s="28" t="str">
        <f aca="false">IF($A159="","",IFERROR(INDEX('זה אני - קליטה'!$AH$5:$AH$204,MATCH($A159&amp;"|סוף שנה",'זה אני - קליטה'!$AF$5:$AF$204,0)),""))</f>
        <v/>
      </c>
      <c r="Q159" s="28" t="str">
        <f aca="false">IF($A159="","",IFERROR(INDEX('זה אני - קליטה'!$AI$5:$AI$204,MATCH($A159&amp;"|סוף שנה",'זה אני - קליטה'!$AF$5:$AF$204,0)),""))</f>
        <v/>
      </c>
      <c r="R159" s="28" t="str">
        <f aca="false">IF($A159="","",IFERROR(INDEX('זה אני - קליטה'!$AJ$5:$AJ$204,MATCH($A159&amp;"|סוף שנה",'זה אני - קליטה'!$AF$5:$AF$204,0)),""))</f>
        <v/>
      </c>
      <c r="S159" s="28" t="str">
        <f aca="false">IF($A159="","",IFERROR(INDEX('זה אני - קליטה'!$AK$5:$AK$204,MATCH($A159&amp;"|סוף שנה",'זה אני - קליטה'!$AF$5:$AF$204,0)),""))</f>
        <v/>
      </c>
      <c r="T159" s="28" t="str">
        <f aca="false">IF($A159="","",IFERROR(INDEX('זה אני - קליטה'!$AL$5:$AL$204,MATCH($A159&amp;"|סוף שנה",'זה אני - קליטה'!$AF$5:$AF$204,0)),""))</f>
        <v/>
      </c>
      <c r="U159" s="27" t="str">
        <f aca="false">IF($A159="","",IFERROR(INDEX('זה אני - קליטה'!$AG$5:$AG$204,MATCH($A159&amp;"|סוף שנה",'זה אני - קליטה'!$AF$5:$AF$204,0)),""))</f>
        <v/>
      </c>
      <c r="V159" s="28" t="str">
        <f aca="false">IF($A159="","",IFERROR(INDEX('זה אני - קליטה'!$AN$5:$AN$204,MATCH($A159&amp;"|סוף שנה",'זה אני - קליטה'!$AF$5:$AF$204,0)),""))</f>
        <v/>
      </c>
      <c r="W159" s="32" t="str">
        <f aca="false">IF(AND(ISNUMBER(F159),ISNUMBER(T159)),T159-F159,"")</f>
        <v/>
      </c>
      <c r="X159" s="27" t="str">
        <f aca="false">IF(W159="","",IF(W159&gt;=0.25,"עלייה",IF(W159&lt;=-0.25,"ירידה","יציב")))</f>
        <v/>
      </c>
    </row>
    <row r="160" customFormat="false" ht="15" hidden="false" customHeight="false" outlineLevel="0" collapsed="false">
      <c r="A160" s="29"/>
      <c r="B160" s="28" t="str">
        <f aca="false">IF($A160="","",IFERROR(INDEX('זה אני - קליטה'!$AH$5:$AH$204,MATCH($A160&amp;"|תחילת שנה",'זה אני - קליטה'!$AF$5:$AF$204,0)),""))</f>
        <v/>
      </c>
      <c r="C160" s="28" t="str">
        <f aca="false">IF($A160="","",IFERROR(INDEX('זה אני - קליטה'!$AI$5:$AI$204,MATCH($A160&amp;"|תחילת שנה",'זה אני - קליטה'!$AF$5:$AF$204,0)),""))</f>
        <v/>
      </c>
      <c r="D160" s="28" t="str">
        <f aca="false">IF($A160="","",IFERROR(INDEX('זה אני - קליטה'!$AJ$5:$AJ$204,MATCH($A160&amp;"|תחילת שנה",'זה אני - קליטה'!$AF$5:$AF$204,0)),""))</f>
        <v/>
      </c>
      <c r="E160" s="28" t="str">
        <f aca="false">IF($A160="","",IFERROR(INDEX('זה אני - קליטה'!$AK$5:$AK$204,MATCH($A160&amp;"|תחילת שנה",'זה אני - קליטה'!$AF$5:$AF$204,0)),""))</f>
        <v/>
      </c>
      <c r="F160" s="28" t="str">
        <f aca="false">IF($A160="","",IFERROR(INDEX('זה אני - קליטה'!$AL$5:$AL$204,MATCH($A160&amp;"|תחילת שנה",'זה אני - קליטה'!$AF$5:$AF$204,0)),""))</f>
        <v/>
      </c>
      <c r="G160" s="27" t="str">
        <f aca="false">IF($A160="","",IFERROR(INDEX('זה אני - קליטה'!$AG$5:$AG$204,MATCH($A160&amp;"|תחילת שנה",'זה אני - קליטה'!$AF$5:$AF$204,0)),""))</f>
        <v/>
      </c>
      <c r="H160" s="28" t="str">
        <f aca="false">IF($A160="","",IFERROR(INDEX('זה אני - קליטה'!$AN$5:$AN$204,MATCH($A160&amp;"|תחילת שנה",'זה אני - קליטה'!$AF$5:$AF$204,0)),""))</f>
        <v/>
      </c>
      <c r="I160" s="28" t="str">
        <f aca="false">IF($A160="","",IFERROR(INDEX('זה אני - קליטה'!$AH$5:$AH$204,MATCH($A160&amp;"|אמצע שנה",'זה אני - קליטה'!$AF$5:$AF$204,0)),""))</f>
        <v/>
      </c>
      <c r="J160" s="28" t="str">
        <f aca="false">IF($A160="","",IFERROR(INDEX('זה אני - קליטה'!$AI$5:$AI$204,MATCH($A160&amp;"|אמצע שנה",'זה אני - קליטה'!$AF$5:$AF$204,0)),""))</f>
        <v/>
      </c>
      <c r="K160" s="28" t="str">
        <f aca="false">IF($A160="","",IFERROR(INDEX('זה אני - קליטה'!$AJ$5:$AJ$204,MATCH($A160&amp;"|אמצע שנה",'זה אני - קליטה'!$AF$5:$AF$204,0)),""))</f>
        <v/>
      </c>
      <c r="L160" s="28" t="str">
        <f aca="false">IF($A160="","",IFERROR(INDEX('זה אני - קליטה'!$AK$5:$AK$204,MATCH($A160&amp;"|אמצע שנה",'זה אני - קליטה'!$AF$5:$AF$204,0)),""))</f>
        <v/>
      </c>
      <c r="M160" s="28" t="str">
        <f aca="false">IF($A160="","",IFERROR(INDEX('זה אני - קליטה'!$AL$5:$AL$204,MATCH($A160&amp;"|אמצע שנה",'זה אני - קליטה'!$AF$5:$AF$204,0)),""))</f>
        <v/>
      </c>
      <c r="N160" s="27" t="str">
        <f aca="false">IF($A160="","",IFERROR(INDEX('זה אני - קליטה'!$AG$5:$AG$204,MATCH($A160&amp;"|אמצע שנה",'זה אני - קליטה'!$AF$5:$AF$204,0)),""))</f>
        <v/>
      </c>
      <c r="O160" s="28" t="str">
        <f aca="false">IF($A160="","",IFERROR(INDEX('זה אני - קליטה'!$AN$5:$AN$204,MATCH($A160&amp;"|אמצע שנה",'זה אני - קליטה'!$AF$5:$AF$204,0)),""))</f>
        <v/>
      </c>
      <c r="P160" s="28" t="str">
        <f aca="false">IF($A160="","",IFERROR(INDEX('זה אני - קליטה'!$AH$5:$AH$204,MATCH($A160&amp;"|סוף שנה",'זה אני - קליטה'!$AF$5:$AF$204,0)),""))</f>
        <v/>
      </c>
      <c r="Q160" s="28" t="str">
        <f aca="false">IF($A160="","",IFERROR(INDEX('זה אני - קליטה'!$AI$5:$AI$204,MATCH($A160&amp;"|סוף שנה",'זה אני - קליטה'!$AF$5:$AF$204,0)),""))</f>
        <v/>
      </c>
      <c r="R160" s="28" t="str">
        <f aca="false">IF($A160="","",IFERROR(INDEX('זה אני - קליטה'!$AJ$5:$AJ$204,MATCH($A160&amp;"|סוף שנה",'זה אני - קליטה'!$AF$5:$AF$204,0)),""))</f>
        <v/>
      </c>
      <c r="S160" s="28" t="str">
        <f aca="false">IF($A160="","",IFERROR(INDEX('זה אני - קליטה'!$AK$5:$AK$204,MATCH($A160&amp;"|סוף שנה",'זה אני - קליטה'!$AF$5:$AF$204,0)),""))</f>
        <v/>
      </c>
      <c r="T160" s="28" t="str">
        <f aca="false">IF($A160="","",IFERROR(INDEX('זה אני - קליטה'!$AL$5:$AL$204,MATCH($A160&amp;"|סוף שנה",'זה אני - קליטה'!$AF$5:$AF$204,0)),""))</f>
        <v/>
      </c>
      <c r="U160" s="27" t="str">
        <f aca="false">IF($A160="","",IFERROR(INDEX('זה אני - קליטה'!$AG$5:$AG$204,MATCH($A160&amp;"|סוף שנה",'זה אני - קליטה'!$AF$5:$AF$204,0)),""))</f>
        <v/>
      </c>
      <c r="V160" s="28" t="str">
        <f aca="false">IF($A160="","",IFERROR(INDEX('זה אני - קליטה'!$AN$5:$AN$204,MATCH($A160&amp;"|סוף שנה",'זה אני - קליטה'!$AF$5:$AF$204,0)),""))</f>
        <v/>
      </c>
      <c r="W160" s="32" t="str">
        <f aca="false">IF(AND(ISNUMBER(F160),ISNUMBER(T160)),T160-F160,"")</f>
        <v/>
      </c>
      <c r="X160" s="27" t="str">
        <f aca="false">IF(W160="","",IF(W160&gt;=0.25,"עלייה",IF(W160&lt;=-0.25,"ירידה","יציב")))</f>
        <v/>
      </c>
    </row>
    <row r="161" customFormat="false" ht="15" hidden="false" customHeight="false" outlineLevel="0" collapsed="false">
      <c r="A161" s="29"/>
      <c r="B161" s="28" t="str">
        <f aca="false">IF($A161="","",IFERROR(INDEX('זה אני - קליטה'!$AH$5:$AH$204,MATCH($A161&amp;"|תחילת שנה",'זה אני - קליטה'!$AF$5:$AF$204,0)),""))</f>
        <v/>
      </c>
      <c r="C161" s="28" t="str">
        <f aca="false">IF($A161="","",IFERROR(INDEX('זה אני - קליטה'!$AI$5:$AI$204,MATCH($A161&amp;"|תחילת שנה",'זה אני - קליטה'!$AF$5:$AF$204,0)),""))</f>
        <v/>
      </c>
      <c r="D161" s="28" t="str">
        <f aca="false">IF($A161="","",IFERROR(INDEX('זה אני - קליטה'!$AJ$5:$AJ$204,MATCH($A161&amp;"|תחילת שנה",'זה אני - קליטה'!$AF$5:$AF$204,0)),""))</f>
        <v/>
      </c>
      <c r="E161" s="28" t="str">
        <f aca="false">IF($A161="","",IFERROR(INDEX('זה אני - קליטה'!$AK$5:$AK$204,MATCH($A161&amp;"|תחילת שנה",'זה אני - קליטה'!$AF$5:$AF$204,0)),""))</f>
        <v/>
      </c>
      <c r="F161" s="28" t="str">
        <f aca="false">IF($A161="","",IFERROR(INDEX('זה אני - קליטה'!$AL$5:$AL$204,MATCH($A161&amp;"|תחילת שנה",'זה אני - קליטה'!$AF$5:$AF$204,0)),""))</f>
        <v/>
      </c>
      <c r="G161" s="27" t="str">
        <f aca="false">IF($A161="","",IFERROR(INDEX('זה אני - קליטה'!$AG$5:$AG$204,MATCH($A161&amp;"|תחילת שנה",'זה אני - קליטה'!$AF$5:$AF$204,0)),""))</f>
        <v/>
      </c>
      <c r="H161" s="28" t="str">
        <f aca="false">IF($A161="","",IFERROR(INDEX('זה אני - קליטה'!$AN$5:$AN$204,MATCH($A161&amp;"|תחילת שנה",'זה אני - קליטה'!$AF$5:$AF$204,0)),""))</f>
        <v/>
      </c>
      <c r="I161" s="28" t="str">
        <f aca="false">IF($A161="","",IFERROR(INDEX('זה אני - קליטה'!$AH$5:$AH$204,MATCH($A161&amp;"|אמצע שנה",'זה אני - קליטה'!$AF$5:$AF$204,0)),""))</f>
        <v/>
      </c>
      <c r="J161" s="28" t="str">
        <f aca="false">IF($A161="","",IFERROR(INDEX('זה אני - קליטה'!$AI$5:$AI$204,MATCH($A161&amp;"|אמצע שנה",'זה אני - קליטה'!$AF$5:$AF$204,0)),""))</f>
        <v/>
      </c>
      <c r="K161" s="28" t="str">
        <f aca="false">IF($A161="","",IFERROR(INDEX('זה אני - קליטה'!$AJ$5:$AJ$204,MATCH($A161&amp;"|אמצע שנה",'זה אני - קליטה'!$AF$5:$AF$204,0)),""))</f>
        <v/>
      </c>
      <c r="L161" s="28" t="str">
        <f aca="false">IF($A161="","",IFERROR(INDEX('זה אני - קליטה'!$AK$5:$AK$204,MATCH($A161&amp;"|אמצע שנה",'זה אני - קליטה'!$AF$5:$AF$204,0)),""))</f>
        <v/>
      </c>
      <c r="M161" s="28" t="str">
        <f aca="false">IF($A161="","",IFERROR(INDEX('זה אני - קליטה'!$AL$5:$AL$204,MATCH($A161&amp;"|אמצע שנה",'זה אני - קליטה'!$AF$5:$AF$204,0)),""))</f>
        <v/>
      </c>
      <c r="N161" s="27" t="str">
        <f aca="false">IF($A161="","",IFERROR(INDEX('זה אני - קליטה'!$AG$5:$AG$204,MATCH($A161&amp;"|אמצע שנה",'זה אני - קליטה'!$AF$5:$AF$204,0)),""))</f>
        <v/>
      </c>
      <c r="O161" s="28" t="str">
        <f aca="false">IF($A161="","",IFERROR(INDEX('זה אני - קליטה'!$AN$5:$AN$204,MATCH($A161&amp;"|אמצע שנה",'זה אני - קליטה'!$AF$5:$AF$204,0)),""))</f>
        <v/>
      </c>
      <c r="P161" s="28" t="str">
        <f aca="false">IF($A161="","",IFERROR(INDEX('זה אני - קליטה'!$AH$5:$AH$204,MATCH($A161&amp;"|סוף שנה",'זה אני - קליטה'!$AF$5:$AF$204,0)),""))</f>
        <v/>
      </c>
      <c r="Q161" s="28" t="str">
        <f aca="false">IF($A161="","",IFERROR(INDEX('זה אני - קליטה'!$AI$5:$AI$204,MATCH($A161&amp;"|סוף שנה",'זה אני - קליטה'!$AF$5:$AF$204,0)),""))</f>
        <v/>
      </c>
      <c r="R161" s="28" t="str">
        <f aca="false">IF($A161="","",IFERROR(INDEX('זה אני - קליטה'!$AJ$5:$AJ$204,MATCH($A161&amp;"|סוף שנה",'זה אני - קליטה'!$AF$5:$AF$204,0)),""))</f>
        <v/>
      </c>
      <c r="S161" s="28" t="str">
        <f aca="false">IF($A161="","",IFERROR(INDEX('זה אני - קליטה'!$AK$5:$AK$204,MATCH($A161&amp;"|סוף שנה",'זה אני - קליטה'!$AF$5:$AF$204,0)),""))</f>
        <v/>
      </c>
      <c r="T161" s="28" t="str">
        <f aca="false">IF($A161="","",IFERROR(INDEX('זה אני - קליטה'!$AL$5:$AL$204,MATCH($A161&amp;"|סוף שנה",'זה אני - קליטה'!$AF$5:$AF$204,0)),""))</f>
        <v/>
      </c>
      <c r="U161" s="27" t="str">
        <f aca="false">IF($A161="","",IFERROR(INDEX('זה אני - קליטה'!$AG$5:$AG$204,MATCH($A161&amp;"|סוף שנה",'זה אני - קליטה'!$AF$5:$AF$204,0)),""))</f>
        <v/>
      </c>
      <c r="V161" s="28" t="str">
        <f aca="false">IF($A161="","",IFERROR(INDEX('זה אני - קליטה'!$AN$5:$AN$204,MATCH($A161&amp;"|סוף שנה",'זה אני - קליטה'!$AF$5:$AF$204,0)),""))</f>
        <v/>
      </c>
      <c r="W161" s="32" t="str">
        <f aca="false">IF(AND(ISNUMBER(F161),ISNUMBER(T161)),T161-F161,"")</f>
        <v/>
      </c>
      <c r="X161" s="27" t="str">
        <f aca="false">IF(W161="","",IF(W161&gt;=0.25,"עלייה",IF(W161&lt;=-0.25,"ירידה","יציב")))</f>
        <v/>
      </c>
    </row>
    <row r="162" customFormat="false" ht="15" hidden="false" customHeight="false" outlineLevel="0" collapsed="false">
      <c r="A162" s="29"/>
      <c r="B162" s="28" t="str">
        <f aca="false">IF($A162="","",IFERROR(INDEX('זה אני - קליטה'!$AH$5:$AH$204,MATCH($A162&amp;"|תחילת שנה",'זה אני - קליטה'!$AF$5:$AF$204,0)),""))</f>
        <v/>
      </c>
      <c r="C162" s="28" t="str">
        <f aca="false">IF($A162="","",IFERROR(INDEX('זה אני - קליטה'!$AI$5:$AI$204,MATCH($A162&amp;"|תחילת שנה",'זה אני - קליטה'!$AF$5:$AF$204,0)),""))</f>
        <v/>
      </c>
      <c r="D162" s="28" t="str">
        <f aca="false">IF($A162="","",IFERROR(INDEX('זה אני - קליטה'!$AJ$5:$AJ$204,MATCH($A162&amp;"|תחילת שנה",'זה אני - קליטה'!$AF$5:$AF$204,0)),""))</f>
        <v/>
      </c>
      <c r="E162" s="28" t="str">
        <f aca="false">IF($A162="","",IFERROR(INDEX('זה אני - קליטה'!$AK$5:$AK$204,MATCH($A162&amp;"|תחילת שנה",'זה אני - קליטה'!$AF$5:$AF$204,0)),""))</f>
        <v/>
      </c>
      <c r="F162" s="28" t="str">
        <f aca="false">IF($A162="","",IFERROR(INDEX('זה אני - קליטה'!$AL$5:$AL$204,MATCH($A162&amp;"|תחילת שנה",'זה אני - קליטה'!$AF$5:$AF$204,0)),""))</f>
        <v/>
      </c>
      <c r="G162" s="27" t="str">
        <f aca="false">IF($A162="","",IFERROR(INDEX('זה אני - קליטה'!$AG$5:$AG$204,MATCH($A162&amp;"|תחילת שנה",'זה אני - קליטה'!$AF$5:$AF$204,0)),""))</f>
        <v/>
      </c>
      <c r="H162" s="28" t="str">
        <f aca="false">IF($A162="","",IFERROR(INDEX('זה אני - קליטה'!$AN$5:$AN$204,MATCH($A162&amp;"|תחילת שנה",'זה אני - קליטה'!$AF$5:$AF$204,0)),""))</f>
        <v/>
      </c>
      <c r="I162" s="28" t="str">
        <f aca="false">IF($A162="","",IFERROR(INDEX('זה אני - קליטה'!$AH$5:$AH$204,MATCH($A162&amp;"|אמצע שנה",'זה אני - קליטה'!$AF$5:$AF$204,0)),""))</f>
        <v/>
      </c>
      <c r="J162" s="28" t="str">
        <f aca="false">IF($A162="","",IFERROR(INDEX('זה אני - קליטה'!$AI$5:$AI$204,MATCH($A162&amp;"|אמצע שנה",'זה אני - קליטה'!$AF$5:$AF$204,0)),""))</f>
        <v/>
      </c>
      <c r="K162" s="28" t="str">
        <f aca="false">IF($A162="","",IFERROR(INDEX('זה אני - קליטה'!$AJ$5:$AJ$204,MATCH($A162&amp;"|אמצע שנה",'זה אני - קליטה'!$AF$5:$AF$204,0)),""))</f>
        <v/>
      </c>
      <c r="L162" s="28" t="str">
        <f aca="false">IF($A162="","",IFERROR(INDEX('זה אני - קליטה'!$AK$5:$AK$204,MATCH($A162&amp;"|אמצע שנה",'זה אני - קליטה'!$AF$5:$AF$204,0)),""))</f>
        <v/>
      </c>
      <c r="M162" s="28" t="str">
        <f aca="false">IF($A162="","",IFERROR(INDEX('זה אני - קליטה'!$AL$5:$AL$204,MATCH($A162&amp;"|אמצע שנה",'זה אני - קליטה'!$AF$5:$AF$204,0)),""))</f>
        <v/>
      </c>
      <c r="N162" s="27" t="str">
        <f aca="false">IF($A162="","",IFERROR(INDEX('זה אני - קליטה'!$AG$5:$AG$204,MATCH($A162&amp;"|אמצע שנה",'זה אני - קליטה'!$AF$5:$AF$204,0)),""))</f>
        <v/>
      </c>
      <c r="O162" s="28" t="str">
        <f aca="false">IF($A162="","",IFERROR(INDEX('זה אני - קליטה'!$AN$5:$AN$204,MATCH($A162&amp;"|אמצע שנה",'זה אני - קליטה'!$AF$5:$AF$204,0)),""))</f>
        <v/>
      </c>
      <c r="P162" s="28" t="str">
        <f aca="false">IF($A162="","",IFERROR(INDEX('זה אני - קליטה'!$AH$5:$AH$204,MATCH($A162&amp;"|סוף שנה",'זה אני - קליטה'!$AF$5:$AF$204,0)),""))</f>
        <v/>
      </c>
      <c r="Q162" s="28" t="str">
        <f aca="false">IF($A162="","",IFERROR(INDEX('זה אני - קליטה'!$AI$5:$AI$204,MATCH($A162&amp;"|סוף שנה",'זה אני - קליטה'!$AF$5:$AF$204,0)),""))</f>
        <v/>
      </c>
      <c r="R162" s="28" t="str">
        <f aca="false">IF($A162="","",IFERROR(INDEX('זה אני - קליטה'!$AJ$5:$AJ$204,MATCH($A162&amp;"|סוף שנה",'זה אני - קליטה'!$AF$5:$AF$204,0)),""))</f>
        <v/>
      </c>
      <c r="S162" s="28" t="str">
        <f aca="false">IF($A162="","",IFERROR(INDEX('זה אני - קליטה'!$AK$5:$AK$204,MATCH($A162&amp;"|סוף שנה",'זה אני - קליטה'!$AF$5:$AF$204,0)),""))</f>
        <v/>
      </c>
      <c r="T162" s="28" t="str">
        <f aca="false">IF($A162="","",IFERROR(INDEX('זה אני - קליטה'!$AL$5:$AL$204,MATCH($A162&amp;"|סוף שנה",'זה אני - קליטה'!$AF$5:$AF$204,0)),""))</f>
        <v/>
      </c>
      <c r="U162" s="27" t="str">
        <f aca="false">IF($A162="","",IFERROR(INDEX('זה אני - קליטה'!$AG$5:$AG$204,MATCH($A162&amp;"|סוף שנה",'זה אני - קליטה'!$AF$5:$AF$204,0)),""))</f>
        <v/>
      </c>
      <c r="V162" s="28" t="str">
        <f aca="false">IF($A162="","",IFERROR(INDEX('זה אני - קליטה'!$AN$5:$AN$204,MATCH($A162&amp;"|סוף שנה",'זה אני - קליטה'!$AF$5:$AF$204,0)),""))</f>
        <v/>
      </c>
      <c r="W162" s="32" t="str">
        <f aca="false">IF(AND(ISNUMBER(F162),ISNUMBER(T162)),T162-F162,"")</f>
        <v/>
      </c>
      <c r="X162" s="27" t="str">
        <f aca="false">IF(W162="","",IF(W162&gt;=0.25,"עלייה",IF(W162&lt;=-0.25,"ירידה","יציב")))</f>
        <v/>
      </c>
    </row>
    <row r="163" customFormat="false" ht="15" hidden="false" customHeight="false" outlineLevel="0" collapsed="false">
      <c r="A163" s="29"/>
      <c r="B163" s="28" t="str">
        <f aca="false">IF($A163="","",IFERROR(INDEX('זה אני - קליטה'!$AH$5:$AH$204,MATCH($A163&amp;"|תחילת שנה",'זה אני - קליטה'!$AF$5:$AF$204,0)),""))</f>
        <v/>
      </c>
      <c r="C163" s="28" t="str">
        <f aca="false">IF($A163="","",IFERROR(INDEX('זה אני - קליטה'!$AI$5:$AI$204,MATCH($A163&amp;"|תחילת שנה",'זה אני - קליטה'!$AF$5:$AF$204,0)),""))</f>
        <v/>
      </c>
      <c r="D163" s="28" t="str">
        <f aca="false">IF($A163="","",IFERROR(INDEX('זה אני - קליטה'!$AJ$5:$AJ$204,MATCH($A163&amp;"|תחילת שנה",'זה אני - קליטה'!$AF$5:$AF$204,0)),""))</f>
        <v/>
      </c>
      <c r="E163" s="28" t="str">
        <f aca="false">IF($A163="","",IFERROR(INDEX('זה אני - קליטה'!$AK$5:$AK$204,MATCH($A163&amp;"|תחילת שנה",'זה אני - קליטה'!$AF$5:$AF$204,0)),""))</f>
        <v/>
      </c>
      <c r="F163" s="28" t="str">
        <f aca="false">IF($A163="","",IFERROR(INDEX('זה אני - קליטה'!$AL$5:$AL$204,MATCH($A163&amp;"|תחילת שנה",'זה אני - קליטה'!$AF$5:$AF$204,0)),""))</f>
        <v/>
      </c>
      <c r="G163" s="27" t="str">
        <f aca="false">IF($A163="","",IFERROR(INDEX('זה אני - קליטה'!$AG$5:$AG$204,MATCH($A163&amp;"|תחילת שנה",'זה אני - קליטה'!$AF$5:$AF$204,0)),""))</f>
        <v/>
      </c>
      <c r="H163" s="28" t="str">
        <f aca="false">IF($A163="","",IFERROR(INDEX('זה אני - קליטה'!$AN$5:$AN$204,MATCH($A163&amp;"|תחילת שנה",'זה אני - קליטה'!$AF$5:$AF$204,0)),""))</f>
        <v/>
      </c>
      <c r="I163" s="28" t="str">
        <f aca="false">IF($A163="","",IFERROR(INDEX('זה אני - קליטה'!$AH$5:$AH$204,MATCH($A163&amp;"|אמצע שנה",'זה אני - קליטה'!$AF$5:$AF$204,0)),""))</f>
        <v/>
      </c>
      <c r="J163" s="28" t="str">
        <f aca="false">IF($A163="","",IFERROR(INDEX('זה אני - קליטה'!$AI$5:$AI$204,MATCH($A163&amp;"|אמצע שנה",'זה אני - קליטה'!$AF$5:$AF$204,0)),""))</f>
        <v/>
      </c>
      <c r="K163" s="28" t="str">
        <f aca="false">IF($A163="","",IFERROR(INDEX('זה אני - קליטה'!$AJ$5:$AJ$204,MATCH($A163&amp;"|אמצע שנה",'זה אני - קליטה'!$AF$5:$AF$204,0)),""))</f>
        <v/>
      </c>
      <c r="L163" s="28" t="str">
        <f aca="false">IF($A163="","",IFERROR(INDEX('זה אני - קליטה'!$AK$5:$AK$204,MATCH($A163&amp;"|אמצע שנה",'זה אני - קליטה'!$AF$5:$AF$204,0)),""))</f>
        <v/>
      </c>
      <c r="M163" s="28" t="str">
        <f aca="false">IF($A163="","",IFERROR(INDEX('זה אני - קליטה'!$AL$5:$AL$204,MATCH($A163&amp;"|אמצע שנה",'זה אני - קליטה'!$AF$5:$AF$204,0)),""))</f>
        <v/>
      </c>
      <c r="N163" s="27" t="str">
        <f aca="false">IF($A163="","",IFERROR(INDEX('זה אני - קליטה'!$AG$5:$AG$204,MATCH($A163&amp;"|אמצע שנה",'זה אני - קליטה'!$AF$5:$AF$204,0)),""))</f>
        <v/>
      </c>
      <c r="O163" s="28" t="str">
        <f aca="false">IF($A163="","",IFERROR(INDEX('זה אני - קליטה'!$AN$5:$AN$204,MATCH($A163&amp;"|אמצע שנה",'זה אני - קליטה'!$AF$5:$AF$204,0)),""))</f>
        <v/>
      </c>
      <c r="P163" s="28" t="str">
        <f aca="false">IF($A163="","",IFERROR(INDEX('זה אני - קליטה'!$AH$5:$AH$204,MATCH($A163&amp;"|סוף שנה",'זה אני - קליטה'!$AF$5:$AF$204,0)),""))</f>
        <v/>
      </c>
      <c r="Q163" s="28" t="str">
        <f aca="false">IF($A163="","",IFERROR(INDEX('זה אני - קליטה'!$AI$5:$AI$204,MATCH($A163&amp;"|סוף שנה",'זה אני - קליטה'!$AF$5:$AF$204,0)),""))</f>
        <v/>
      </c>
      <c r="R163" s="28" t="str">
        <f aca="false">IF($A163="","",IFERROR(INDEX('זה אני - קליטה'!$AJ$5:$AJ$204,MATCH($A163&amp;"|סוף שנה",'זה אני - קליטה'!$AF$5:$AF$204,0)),""))</f>
        <v/>
      </c>
      <c r="S163" s="28" t="str">
        <f aca="false">IF($A163="","",IFERROR(INDEX('זה אני - קליטה'!$AK$5:$AK$204,MATCH($A163&amp;"|סוף שנה",'זה אני - קליטה'!$AF$5:$AF$204,0)),""))</f>
        <v/>
      </c>
      <c r="T163" s="28" t="str">
        <f aca="false">IF($A163="","",IFERROR(INDEX('זה אני - קליטה'!$AL$5:$AL$204,MATCH($A163&amp;"|סוף שנה",'זה אני - קליטה'!$AF$5:$AF$204,0)),""))</f>
        <v/>
      </c>
      <c r="U163" s="27" t="str">
        <f aca="false">IF($A163="","",IFERROR(INDEX('זה אני - קליטה'!$AG$5:$AG$204,MATCH($A163&amp;"|סוף שנה",'זה אני - קליטה'!$AF$5:$AF$204,0)),""))</f>
        <v/>
      </c>
      <c r="V163" s="28" t="str">
        <f aca="false">IF($A163="","",IFERROR(INDEX('זה אני - קליטה'!$AN$5:$AN$204,MATCH($A163&amp;"|סוף שנה",'זה אני - קליטה'!$AF$5:$AF$204,0)),""))</f>
        <v/>
      </c>
      <c r="W163" s="32" t="str">
        <f aca="false">IF(AND(ISNUMBER(F163),ISNUMBER(T163)),T163-F163,"")</f>
        <v/>
      </c>
      <c r="X163" s="27" t="str">
        <f aca="false">IF(W163="","",IF(W163&gt;=0.25,"עלייה",IF(W163&lt;=-0.25,"ירידה","יציב")))</f>
        <v/>
      </c>
    </row>
    <row r="164" customFormat="false" ht="15" hidden="false" customHeight="false" outlineLevel="0" collapsed="false">
      <c r="A164" s="29"/>
      <c r="B164" s="28" t="str">
        <f aca="false">IF($A164="","",IFERROR(INDEX('זה אני - קליטה'!$AH$5:$AH$204,MATCH($A164&amp;"|תחילת שנה",'זה אני - קליטה'!$AF$5:$AF$204,0)),""))</f>
        <v/>
      </c>
      <c r="C164" s="28" t="str">
        <f aca="false">IF($A164="","",IFERROR(INDEX('זה אני - קליטה'!$AI$5:$AI$204,MATCH($A164&amp;"|תחילת שנה",'זה אני - קליטה'!$AF$5:$AF$204,0)),""))</f>
        <v/>
      </c>
      <c r="D164" s="28" t="str">
        <f aca="false">IF($A164="","",IFERROR(INDEX('זה אני - קליטה'!$AJ$5:$AJ$204,MATCH($A164&amp;"|תחילת שנה",'זה אני - קליטה'!$AF$5:$AF$204,0)),""))</f>
        <v/>
      </c>
      <c r="E164" s="28" t="str">
        <f aca="false">IF($A164="","",IFERROR(INDEX('זה אני - קליטה'!$AK$5:$AK$204,MATCH($A164&amp;"|תחילת שנה",'זה אני - קליטה'!$AF$5:$AF$204,0)),""))</f>
        <v/>
      </c>
      <c r="F164" s="28" t="str">
        <f aca="false">IF($A164="","",IFERROR(INDEX('זה אני - קליטה'!$AL$5:$AL$204,MATCH($A164&amp;"|תחילת שנה",'זה אני - קליטה'!$AF$5:$AF$204,0)),""))</f>
        <v/>
      </c>
      <c r="G164" s="27" t="str">
        <f aca="false">IF($A164="","",IFERROR(INDEX('זה אני - קליטה'!$AG$5:$AG$204,MATCH($A164&amp;"|תחילת שנה",'זה אני - קליטה'!$AF$5:$AF$204,0)),""))</f>
        <v/>
      </c>
      <c r="H164" s="28" t="str">
        <f aca="false">IF($A164="","",IFERROR(INDEX('זה אני - קליטה'!$AN$5:$AN$204,MATCH($A164&amp;"|תחילת שנה",'זה אני - קליטה'!$AF$5:$AF$204,0)),""))</f>
        <v/>
      </c>
      <c r="I164" s="28" t="str">
        <f aca="false">IF($A164="","",IFERROR(INDEX('זה אני - קליטה'!$AH$5:$AH$204,MATCH($A164&amp;"|אמצע שנה",'זה אני - קליטה'!$AF$5:$AF$204,0)),""))</f>
        <v/>
      </c>
      <c r="J164" s="28" t="str">
        <f aca="false">IF($A164="","",IFERROR(INDEX('זה אני - קליטה'!$AI$5:$AI$204,MATCH($A164&amp;"|אמצע שנה",'זה אני - קליטה'!$AF$5:$AF$204,0)),""))</f>
        <v/>
      </c>
      <c r="K164" s="28" t="str">
        <f aca="false">IF($A164="","",IFERROR(INDEX('זה אני - קליטה'!$AJ$5:$AJ$204,MATCH($A164&amp;"|אמצע שנה",'זה אני - קליטה'!$AF$5:$AF$204,0)),""))</f>
        <v/>
      </c>
      <c r="L164" s="28" t="str">
        <f aca="false">IF($A164="","",IFERROR(INDEX('זה אני - קליטה'!$AK$5:$AK$204,MATCH($A164&amp;"|אמצע שנה",'זה אני - קליטה'!$AF$5:$AF$204,0)),""))</f>
        <v/>
      </c>
      <c r="M164" s="28" t="str">
        <f aca="false">IF($A164="","",IFERROR(INDEX('זה אני - קליטה'!$AL$5:$AL$204,MATCH($A164&amp;"|אמצע שנה",'זה אני - קליטה'!$AF$5:$AF$204,0)),""))</f>
        <v/>
      </c>
      <c r="N164" s="27" t="str">
        <f aca="false">IF($A164="","",IFERROR(INDEX('זה אני - קליטה'!$AG$5:$AG$204,MATCH($A164&amp;"|אמצע שנה",'זה אני - קליטה'!$AF$5:$AF$204,0)),""))</f>
        <v/>
      </c>
      <c r="O164" s="28" t="str">
        <f aca="false">IF($A164="","",IFERROR(INDEX('זה אני - קליטה'!$AN$5:$AN$204,MATCH($A164&amp;"|אמצע שנה",'זה אני - קליטה'!$AF$5:$AF$204,0)),""))</f>
        <v/>
      </c>
      <c r="P164" s="28" t="str">
        <f aca="false">IF($A164="","",IFERROR(INDEX('זה אני - קליטה'!$AH$5:$AH$204,MATCH($A164&amp;"|סוף שנה",'זה אני - קליטה'!$AF$5:$AF$204,0)),""))</f>
        <v/>
      </c>
      <c r="Q164" s="28" t="str">
        <f aca="false">IF($A164="","",IFERROR(INDEX('זה אני - קליטה'!$AI$5:$AI$204,MATCH($A164&amp;"|סוף שנה",'זה אני - קליטה'!$AF$5:$AF$204,0)),""))</f>
        <v/>
      </c>
      <c r="R164" s="28" t="str">
        <f aca="false">IF($A164="","",IFERROR(INDEX('זה אני - קליטה'!$AJ$5:$AJ$204,MATCH($A164&amp;"|סוף שנה",'זה אני - קליטה'!$AF$5:$AF$204,0)),""))</f>
        <v/>
      </c>
      <c r="S164" s="28" t="str">
        <f aca="false">IF($A164="","",IFERROR(INDEX('זה אני - קליטה'!$AK$5:$AK$204,MATCH($A164&amp;"|סוף שנה",'זה אני - קליטה'!$AF$5:$AF$204,0)),""))</f>
        <v/>
      </c>
      <c r="T164" s="28" t="str">
        <f aca="false">IF($A164="","",IFERROR(INDEX('זה אני - קליטה'!$AL$5:$AL$204,MATCH($A164&amp;"|סוף שנה",'זה אני - קליטה'!$AF$5:$AF$204,0)),""))</f>
        <v/>
      </c>
      <c r="U164" s="27" t="str">
        <f aca="false">IF($A164="","",IFERROR(INDEX('זה אני - קליטה'!$AG$5:$AG$204,MATCH($A164&amp;"|סוף שנה",'זה אני - קליטה'!$AF$5:$AF$204,0)),""))</f>
        <v/>
      </c>
      <c r="V164" s="28" t="str">
        <f aca="false">IF($A164="","",IFERROR(INDEX('זה אני - קליטה'!$AN$5:$AN$204,MATCH($A164&amp;"|סוף שנה",'זה אני - קליטה'!$AF$5:$AF$204,0)),""))</f>
        <v/>
      </c>
      <c r="W164" s="32" t="str">
        <f aca="false">IF(AND(ISNUMBER(F164),ISNUMBER(T164)),T164-F164,"")</f>
        <v/>
      </c>
      <c r="X164" s="27" t="str">
        <f aca="false">IF(W164="","",IF(W164&gt;=0.25,"עלייה",IF(W164&lt;=-0.25,"ירידה","יציב")))</f>
        <v/>
      </c>
    </row>
    <row r="165" customFormat="false" ht="15" hidden="false" customHeight="false" outlineLevel="0" collapsed="false">
      <c r="A165" s="29"/>
      <c r="B165" s="28" t="str">
        <f aca="false">IF($A165="","",IFERROR(INDEX('זה אני - קליטה'!$AH$5:$AH$204,MATCH($A165&amp;"|תחילת שנה",'זה אני - קליטה'!$AF$5:$AF$204,0)),""))</f>
        <v/>
      </c>
      <c r="C165" s="28" t="str">
        <f aca="false">IF($A165="","",IFERROR(INDEX('זה אני - קליטה'!$AI$5:$AI$204,MATCH($A165&amp;"|תחילת שנה",'זה אני - קליטה'!$AF$5:$AF$204,0)),""))</f>
        <v/>
      </c>
      <c r="D165" s="28" t="str">
        <f aca="false">IF($A165="","",IFERROR(INDEX('זה אני - קליטה'!$AJ$5:$AJ$204,MATCH($A165&amp;"|תחילת שנה",'זה אני - קליטה'!$AF$5:$AF$204,0)),""))</f>
        <v/>
      </c>
      <c r="E165" s="28" t="str">
        <f aca="false">IF($A165="","",IFERROR(INDEX('זה אני - קליטה'!$AK$5:$AK$204,MATCH($A165&amp;"|תחילת שנה",'זה אני - קליטה'!$AF$5:$AF$204,0)),""))</f>
        <v/>
      </c>
      <c r="F165" s="28" t="str">
        <f aca="false">IF($A165="","",IFERROR(INDEX('זה אני - קליטה'!$AL$5:$AL$204,MATCH($A165&amp;"|תחילת שנה",'זה אני - קליטה'!$AF$5:$AF$204,0)),""))</f>
        <v/>
      </c>
      <c r="G165" s="27" t="str">
        <f aca="false">IF($A165="","",IFERROR(INDEX('זה אני - קליטה'!$AG$5:$AG$204,MATCH($A165&amp;"|תחילת שנה",'זה אני - קליטה'!$AF$5:$AF$204,0)),""))</f>
        <v/>
      </c>
      <c r="H165" s="28" t="str">
        <f aca="false">IF($A165="","",IFERROR(INDEX('זה אני - קליטה'!$AN$5:$AN$204,MATCH($A165&amp;"|תחילת שנה",'זה אני - קליטה'!$AF$5:$AF$204,0)),""))</f>
        <v/>
      </c>
      <c r="I165" s="28" t="str">
        <f aca="false">IF($A165="","",IFERROR(INDEX('זה אני - קליטה'!$AH$5:$AH$204,MATCH($A165&amp;"|אמצע שנה",'זה אני - קליטה'!$AF$5:$AF$204,0)),""))</f>
        <v/>
      </c>
      <c r="J165" s="28" t="str">
        <f aca="false">IF($A165="","",IFERROR(INDEX('זה אני - קליטה'!$AI$5:$AI$204,MATCH($A165&amp;"|אמצע שנה",'זה אני - קליטה'!$AF$5:$AF$204,0)),""))</f>
        <v/>
      </c>
      <c r="K165" s="28" t="str">
        <f aca="false">IF($A165="","",IFERROR(INDEX('זה אני - קליטה'!$AJ$5:$AJ$204,MATCH($A165&amp;"|אמצע שנה",'זה אני - קליטה'!$AF$5:$AF$204,0)),""))</f>
        <v/>
      </c>
      <c r="L165" s="28" t="str">
        <f aca="false">IF($A165="","",IFERROR(INDEX('זה אני - קליטה'!$AK$5:$AK$204,MATCH($A165&amp;"|אמצע שנה",'זה אני - קליטה'!$AF$5:$AF$204,0)),""))</f>
        <v/>
      </c>
      <c r="M165" s="28" t="str">
        <f aca="false">IF($A165="","",IFERROR(INDEX('זה אני - קליטה'!$AL$5:$AL$204,MATCH($A165&amp;"|אמצע שנה",'זה אני - קליטה'!$AF$5:$AF$204,0)),""))</f>
        <v/>
      </c>
      <c r="N165" s="27" t="str">
        <f aca="false">IF($A165="","",IFERROR(INDEX('זה אני - קליטה'!$AG$5:$AG$204,MATCH($A165&amp;"|אמצע שנה",'זה אני - קליטה'!$AF$5:$AF$204,0)),""))</f>
        <v/>
      </c>
      <c r="O165" s="28" t="str">
        <f aca="false">IF($A165="","",IFERROR(INDEX('זה אני - קליטה'!$AN$5:$AN$204,MATCH($A165&amp;"|אמצע שנה",'זה אני - קליטה'!$AF$5:$AF$204,0)),""))</f>
        <v/>
      </c>
      <c r="P165" s="28" t="str">
        <f aca="false">IF($A165="","",IFERROR(INDEX('זה אני - קליטה'!$AH$5:$AH$204,MATCH($A165&amp;"|סוף שנה",'זה אני - קליטה'!$AF$5:$AF$204,0)),""))</f>
        <v/>
      </c>
      <c r="Q165" s="28" t="str">
        <f aca="false">IF($A165="","",IFERROR(INDEX('זה אני - קליטה'!$AI$5:$AI$204,MATCH($A165&amp;"|סוף שנה",'זה אני - קליטה'!$AF$5:$AF$204,0)),""))</f>
        <v/>
      </c>
      <c r="R165" s="28" t="str">
        <f aca="false">IF($A165="","",IFERROR(INDEX('זה אני - קליטה'!$AJ$5:$AJ$204,MATCH($A165&amp;"|סוף שנה",'זה אני - קליטה'!$AF$5:$AF$204,0)),""))</f>
        <v/>
      </c>
      <c r="S165" s="28" t="str">
        <f aca="false">IF($A165="","",IFERROR(INDEX('זה אני - קליטה'!$AK$5:$AK$204,MATCH($A165&amp;"|סוף שנה",'זה אני - קליטה'!$AF$5:$AF$204,0)),""))</f>
        <v/>
      </c>
      <c r="T165" s="28" t="str">
        <f aca="false">IF($A165="","",IFERROR(INDEX('זה אני - קליטה'!$AL$5:$AL$204,MATCH($A165&amp;"|סוף שנה",'זה אני - קליטה'!$AF$5:$AF$204,0)),""))</f>
        <v/>
      </c>
      <c r="U165" s="27" t="str">
        <f aca="false">IF($A165="","",IFERROR(INDEX('זה אני - קליטה'!$AG$5:$AG$204,MATCH($A165&amp;"|סוף שנה",'זה אני - קליטה'!$AF$5:$AF$204,0)),""))</f>
        <v/>
      </c>
      <c r="V165" s="28" t="str">
        <f aca="false">IF($A165="","",IFERROR(INDEX('זה אני - קליטה'!$AN$5:$AN$204,MATCH($A165&amp;"|סוף שנה",'זה אני - קליטה'!$AF$5:$AF$204,0)),""))</f>
        <v/>
      </c>
      <c r="W165" s="32" t="str">
        <f aca="false">IF(AND(ISNUMBER(F165),ISNUMBER(T165)),T165-F165,"")</f>
        <v/>
      </c>
      <c r="X165" s="27" t="str">
        <f aca="false">IF(W165="","",IF(W165&gt;=0.25,"עלייה",IF(W165&lt;=-0.25,"ירידה","יציב")))</f>
        <v/>
      </c>
    </row>
    <row r="166" customFormat="false" ht="15" hidden="false" customHeight="false" outlineLevel="0" collapsed="false">
      <c r="A166" s="29"/>
      <c r="B166" s="28" t="str">
        <f aca="false">IF($A166="","",IFERROR(INDEX('זה אני - קליטה'!$AH$5:$AH$204,MATCH($A166&amp;"|תחילת שנה",'זה אני - קליטה'!$AF$5:$AF$204,0)),""))</f>
        <v/>
      </c>
      <c r="C166" s="28" t="str">
        <f aca="false">IF($A166="","",IFERROR(INDEX('זה אני - קליטה'!$AI$5:$AI$204,MATCH($A166&amp;"|תחילת שנה",'זה אני - קליטה'!$AF$5:$AF$204,0)),""))</f>
        <v/>
      </c>
      <c r="D166" s="28" t="str">
        <f aca="false">IF($A166="","",IFERROR(INDEX('זה אני - קליטה'!$AJ$5:$AJ$204,MATCH($A166&amp;"|תחילת שנה",'זה אני - קליטה'!$AF$5:$AF$204,0)),""))</f>
        <v/>
      </c>
      <c r="E166" s="28" t="str">
        <f aca="false">IF($A166="","",IFERROR(INDEX('זה אני - קליטה'!$AK$5:$AK$204,MATCH($A166&amp;"|תחילת שנה",'זה אני - קליטה'!$AF$5:$AF$204,0)),""))</f>
        <v/>
      </c>
      <c r="F166" s="28" t="str">
        <f aca="false">IF($A166="","",IFERROR(INDEX('זה אני - קליטה'!$AL$5:$AL$204,MATCH($A166&amp;"|תחילת שנה",'זה אני - קליטה'!$AF$5:$AF$204,0)),""))</f>
        <v/>
      </c>
      <c r="G166" s="27" t="str">
        <f aca="false">IF($A166="","",IFERROR(INDEX('זה אני - קליטה'!$AG$5:$AG$204,MATCH($A166&amp;"|תחילת שנה",'זה אני - קליטה'!$AF$5:$AF$204,0)),""))</f>
        <v/>
      </c>
      <c r="H166" s="28" t="str">
        <f aca="false">IF($A166="","",IFERROR(INDEX('זה אני - קליטה'!$AN$5:$AN$204,MATCH($A166&amp;"|תחילת שנה",'זה אני - קליטה'!$AF$5:$AF$204,0)),""))</f>
        <v/>
      </c>
      <c r="I166" s="28" t="str">
        <f aca="false">IF($A166="","",IFERROR(INDEX('זה אני - קליטה'!$AH$5:$AH$204,MATCH($A166&amp;"|אמצע שנה",'זה אני - קליטה'!$AF$5:$AF$204,0)),""))</f>
        <v/>
      </c>
      <c r="J166" s="28" t="str">
        <f aca="false">IF($A166="","",IFERROR(INDEX('זה אני - קליטה'!$AI$5:$AI$204,MATCH($A166&amp;"|אמצע שנה",'זה אני - קליטה'!$AF$5:$AF$204,0)),""))</f>
        <v/>
      </c>
      <c r="K166" s="28" t="str">
        <f aca="false">IF($A166="","",IFERROR(INDEX('זה אני - קליטה'!$AJ$5:$AJ$204,MATCH($A166&amp;"|אמצע שנה",'זה אני - קליטה'!$AF$5:$AF$204,0)),""))</f>
        <v/>
      </c>
      <c r="L166" s="28" t="str">
        <f aca="false">IF($A166="","",IFERROR(INDEX('זה אני - קליטה'!$AK$5:$AK$204,MATCH($A166&amp;"|אמצע שנה",'זה אני - קליטה'!$AF$5:$AF$204,0)),""))</f>
        <v/>
      </c>
      <c r="M166" s="28" t="str">
        <f aca="false">IF($A166="","",IFERROR(INDEX('זה אני - קליטה'!$AL$5:$AL$204,MATCH($A166&amp;"|אמצע שנה",'זה אני - קליטה'!$AF$5:$AF$204,0)),""))</f>
        <v/>
      </c>
      <c r="N166" s="27" t="str">
        <f aca="false">IF($A166="","",IFERROR(INDEX('זה אני - קליטה'!$AG$5:$AG$204,MATCH($A166&amp;"|אמצע שנה",'זה אני - קליטה'!$AF$5:$AF$204,0)),""))</f>
        <v/>
      </c>
      <c r="O166" s="28" t="str">
        <f aca="false">IF($A166="","",IFERROR(INDEX('זה אני - קליטה'!$AN$5:$AN$204,MATCH($A166&amp;"|אמצע שנה",'זה אני - קליטה'!$AF$5:$AF$204,0)),""))</f>
        <v/>
      </c>
      <c r="P166" s="28" t="str">
        <f aca="false">IF($A166="","",IFERROR(INDEX('זה אני - קליטה'!$AH$5:$AH$204,MATCH($A166&amp;"|סוף שנה",'זה אני - קליטה'!$AF$5:$AF$204,0)),""))</f>
        <v/>
      </c>
      <c r="Q166" s="28" t="str">
        <f aca="false">IF($A166="","",IFERROR(INDEX('זה אני - קליטה'!$AI$5:$AI$204,MATCH($A166&amp;"|סוף שנה",'זה אני - קליטה'!$AF$5:$AF$204,0)),""))</f>
        <v/>
      </c>
      <c r="R166" s="28" t="str">
        <f aca="false">IF($A166="","",IFERROR(INDEX('זה אני - קליטה'!$AJ$5:$AJ$204,MATCH($A166&amp;"|סוף שנה",'זה אני - קליטה'!$AF$5:$AF$204,0)),""))</f>
        <v/>
      </c>
      <c r="S166" s="28" t="str">
        <f aca="false">IF($A166="","",IFERROR(INDEX('זה אני - קליטה'!$AK$5:$AK$204,MATCH($A166&amp;"|סוף שנה",'זה אני - קליטה'!$AF$5:$AF$204,0)),""))</f>
        <v/>
      </c>
      <c r="T166" s="28" t="str">
        <f aca="false">IF($A166="","",IFERROR(INDEX('זה אני - קליטה'!$AL$5:$AL$204,MATCH($A166&amp;"|סוף שנה",'זה אני - קליטה'!$AF$5:$AF$204,0)),""))</f>
        <v/>
      </c>
      <c r="U166" s="27" t="str">
        <f aca="false">IF($A166="","",IFERROR(INDEX('זה אני - קליטה'!$AG$5:$AG$204,MATCH($A166&amp;"|סוף שנה",'זה אני - קליטה'!$AF$5:$AF$204,0)),""))</f>
        <v/>
      </c>
      <c r="V166" s="28" t="str">
        <f aca="false">IF($A166="","",IFERROR(INDEX('זה אני - קליטה'!$AN$5:$AN$204,MATCH($A166&amp;"|סוף שנה",'זה אני - קליטה'!$AF$5:$AF$204,0)),""))</f>
        <v/>
      </c>
      <c r="W166" s="32" t="str">
        <f aca="false">IF(AND(ISNUMBER(F166),ISNUMBER(T166)),T166-F166,"")</f>
        <v/>
      </c>
      <c r="X166" s="27" t="str">
        <f aca="false">IF(W166="","",IF(W166&gt;=0.25,"עלייה",IF(W166&lt;=-0.25,"ירידה","יציב")))</f>
        <v/>
      </c>
    </row>
    <row r="167" customFormat="false" ht="15" hidden="false" customHeight="false" outlineLevel="0" collapsed="false">
      <c r="A167" s="29"/>
      <c r="B167" s="28" t="str">
        <f aca="false">IF($A167="","",IFERROR(INDEX('זה אני - קליטה'!$AH$5:$AH$204,MATCH($A167&amp;"|תחילת שנה",'זה אני - קליטה'!$AF$5:$AF$204,0)),""))</f>
        <v/>
      </c>
      <c r="C167" s="28" t="str">
        <f aca="false">IF($A167="","",IFERROR(INDEX('זה אני - קליטה'!$AI$5:$AI$204,MATCH($A167&amp;"|תחילת שנה",'זה אני - קליטה'!$AF$5:$AF$204,0)),""))</f>
        <v/>
      </c>
      <c r="D167" s="28" t="str">
        <f aca="false">IF($A167="","",IFERROR(INDEX('זה אני - קליטה'!$AJ$5:$AJ$204,MATCH($A167&amp;"|תחילת שנה",'זה אני - קליטה'!$AF$5:$AF$204,0)),""))</f>
        <v/>
      </c>
      <c r="E167" s="28" t="str">
        <f aca="false">IF($A167="","",IFERROR(INDEX('זה אני - קליטה'!$AK$5:$AK$204,MATCH($A167&amp;"|תחילת שנה",'זה אני - קליטה'!$AF$5:$AF$204,0)),""))</f>
        <v/>
      </c>
      <c r="F167" s="28" t="str">
        <f aca="false">IF($A167="","",IFERROR(INDEX('זה אני - קליטה'!$AL$5:$AL$204,MATCH($A167&amp;"|תחילת שנה",'זה אני - קליטה'!$AF$5:$AF$204,0)),""))</f>
        <v/>
      </c>
      <c r="G167" s="27" t="str">
        <f aca="false">IF($A167="","",IFERROR(INDEX('זה אני - קליטה'!$AG$5:$AG$204,MATCH($A167&amp;"|תחילת שנה",'זה אני - קליטה'!$AF$5:$AF$204,0)),""))</f>
        <v/>
      </c>
      <c r="H167" s="28" t="str">
        <f aca="false">IF($A167="","",IFERROR(INDEX('זה אני - קליטה'!$AN$5:$AN$204,MATCH($A167&amp;"|תחילת שנה",'זה אני - קליטה'!$AF$5:$AF$204,0)),""))</f>
        <v/>
      </c>
      <c r="I167" s="28" t="str">
        <f aca="false">IF($A167="","",IFERROR(INDEX('זה אני - קליטה'!$AH$5:$AH$204,MATCH($A167&amp;"|אמצע שנה",'זה אני - קליטה'!$AF$5:$AF$204,0)),""))</f>
        <v/>
      </c>
      <c r="J167" s="28" t="str">
        <f aca="false">IF($A167="","",IFERROR(INDEX('זה אני - קליטה'!$AI$5:$AI$204,MATCH($A167&amp;"|אמצע שנה",'זה אני - קליטה'!$AF$5:$AF$204,0)),""))</f>
        <v/>
      </c>
      <c r="K167" s="28" t="str">
        <f aca="false">IF($A167="","",IFERROR(INDEX('זה אני - קליטה'!$AJ$5:$AJ$204,MATCH($A167&amp;"|אמצע שנה",'זה אני - קליטה'!$AF$5:$AF$204,0)),""))</f>
        <v/>
      </c>
      <c r="L167" s="28" t="str">
        <f aca="false">IF($A167="","",IFERROR(INDEX('זה אני - קליטה'!$AK$5:$AK$204,MATCH($A167&amp;"|אמצע שנה",'זה אני - קליטה'!$AF$5:$AF$204,0)),""))</f>
        <v/>
      </c>
      <c r="M167" s="28" t="str">
        <f aca="false">IF($A167="","",IFERROR(INDEX('זה אני - קליטה'!$AL$5:$AL$204,MATCH($A167&amp;"|אמצע שנה",'זה אני - קליטה'!$AF$5:$AF$204,0)),""))</f>
        <v/>
      </c>
      <c r="N167" s="27" t="str">
        <f aca="false">IF($A167="","",IFERROR(INDEX('זה אני - קליטה'!$AG$5:$AG$204,MATCH($A167&amp;"|אמצע שנה",'זה אני - קליטה'!$AF$5:$AF$204,0)),""))</f>
        <v/>
      </c>
      <c r="O167" s="28" t="str">
        <f aca="false">IF($A167="","",IFERROR(INDEX('זה אני - קליטה'!$AN$5:$AN$204,MATCH($A167&amp;"|אמצע שנה",'זה אני - קליטה'!$AF$5:$AF$204,0)),""))</f>
        <v/>
      </c>
      <c r="P167" s="28" t="str">
        <f aca="false">IF($A167="","",IFERROR(INDEX('זה אני - קליטה'!$AH$5:$AH$204,MATCH($A167&amp;"|סוף שנה",'זה אני - קליטה'!$AF$5:$AF$204,0)),""))</f>
        <v/>
      </c>
      <c r="Q167" s="28" t="str">
        <f aca="false">IF($A167="","",IFERROR(INDEX('זה אני - קליטה'!$AI$5:$AI$204,MATCH($A167&amp;"|סוף שנה",'זה אני - קליטה'!$AF$5:$AF$204,0)),""))</f>
        <v/>
      </c>
      <c r="R167" s="28" t="str">
        <f aca="false">IF($A167="","",IFERROR(INDEX('זה אני - קליטה'!$AJ$5:$AJ$204,MATCH($A167&amp;"|סוף שנה",'זה אני - קליטה'!$AF$5:$AF$204,0)),""))</f>
        <v/>
      </c>
      <c r="S167" s="28" t="str">
        <f aca="false">IF($A167="","",IFERROR(INDEX('זה אני - קליטה'!$AK$5:$AK$204,MATCH($A167&amp;"|סוף שנה",'זה אני - קליטה'!$AF$5:$AF$204,0)),""))</f>
        <v/>
      </c>
      <c r="T167" s="28" t="str">
        <f aca="false">IF($A167="","",IFERROR(INDEX('זה אני - קליטה'!$AL$5:$AL$204,MATCH($A167&amp;"|סוף שנה",'זה אני - קליטה'!$AF$5:$AF$204,0)),""))</f>
        <v/>
      </c>
      <c r="U167" s="27" t="str">
        <f aca="false">IF($A167="","",IFERROR(INDEX('זה אני - קליטה'!$AG$5:$AG$204,MATCH($A167&amp;"|סוף שנה",'זה אני - קליטה'!$AF$5:$AF$204,0)),""))</f>
        <v/>
      </c>
      <c r="V167" s="28" t="str">
        <f aca="false">IF($A167="","",IFERROR(INDEX('זה אני - קליטה'!$AN$5:$AN$204,MATCH($A167&amp;"|סוף שנה",'זה אני - קליטה'!$AF$5:$AF$204,0)),""))</f>
        <v/>
      </c>
      <c r="W167" s="32" t="str">
        <f aca="false">IF(AND(ISNUMBER(F167),ISNUMBER(T167)),T167-F167,"")</f>
        <v/>
      </c>
      <c r="X167" s="27" t="str">
        <f aca="false">IF(W167="","",IF(W167&gt;=0.25,"עלייה",IF(W167&lt;=-0.25,"ירידה","יציב")))</f>
        <v/>
      </c>
    </row>
    <row r="168" customFormat="false" ht="15" hidden="false" customHeight="false" outlineLevel="0" collapsed="false">
      <c r="A168" s="29"/>
      <c r="B168" s="28" t="str">
        <f aca="false">IF($A168="","",IFERROR(INDEX('זה אני - קליטה'!$AH$5:$AH$204,MATCH($A168&amp;"|תחילת שנה",'זה אני - קליטה'!$AF$5:$AF$204,0)),""))</f>
        <v/>
      </c>
      <c r="C168" s="28" t="str">
        <f aca="false">IF($A168="","",IFERROR(INDEX('זה אני - קליטה'!$AI$5:$AI$204,MATCH($A168&amp;"|תחילת שנה",'זה אני - קליטה'!$AF$5:$AF$204,0)),""))</f>
        <v/>
      </c>
      <c r="D168" s="28" t="str">
        <f aca="false">IF($A168="","",IFERROR(INDEX('זה אני - קליטה'!$AJ$5:$AJ$204,MATCH($A168&amp;"|תחילת שנה",'זה אני - קליטה'!$AF$5:$AF$204,0)),""))</f>
        <v/>
      </c>
      <c r="E168" s="28" t="str">
        <f aca="false">IF($A168="","",IFERROR(INDEX('זה אני - קליטה'!$AK$5:$AK$204,MATCH($A168&amp;"|תחילת שנה",'זה אני - קליטה'!$AF$5:$AF$204,0)),""))</f>
        <v/>
      </c>
      <c r="F168" s="28" t="str">
        <f aca="false">IF($A168="","",IFERROR(INDEX('זה אני - קליטה'!$AL$5:$AL$204,MATCH($A168&amp;"|תחילת שנה",'זה אני - קליטה'!$AF$5:$AF$204,0)),""))</f>
        <v/>
      </c>
      <c r="G168" s="27" t="str">
        <f aca="false">IF($A168="","",IFERROR(INDEX('זה אני - קליטה'!$AG$5:$AG$204,MATCH($A168&amp;"|תחילת שנה",'זה אני - קליטה'!$AF$5:$AF$204,0)),""))</f>
        <v/>
      </c>
      <c r="H168" s="28" t="str">
        <f aca="false">IF($A168="","",IFERROR(INDEX('זה אני - קליטה'!$AN$5:$AN$204,MATCH($A168&amp;"|תחילת שנה",'זה אני - קליטה'!$AF$5:$AF$204,0)),""))</f>
        <v/>
      </c>
      <c r="I168" s="28" t="str">
        <f aca="false">IF($A168="","",IFERROR(INDEX('זה אני - קליטה'!$AH$5:$AH$204,MATCH($A168&amp;"|אמצע שנה",'זה אני - קליטה'!$AF$5:$AF$204,0)),""))</f>
        <v/>
      </c>
      <c r="J168" s="28" t="str">
        <f aca="false">IF($A168="","",IFERROR(INDEX('זה אני - קליטה'!$AI$5:$AI$204,MATCH($A168&amp;"|אמצע שנה",'זה אני - קליטה'!$AF$5:$AF$204,0)),""))</f>
        <v/>
      </c>
      <c r="K168" s="28" t="str">
        <f aca="false">IF($A168="","",IFERROR(INDEX('זה אני - קליטה'!$AJ$5:$AJ$204,MATCH($A168&amp;"|אמצע שנה",'זה אני - קליטה'!$AF$5:$AF$204,0)),""))</f>
        <v/>
      </c>
      <c r="L168" s="28" t="str">
        <f aca="false">IF($A168="","",IFERROR(INDEX('זה אני - קליטה'!$AK$5:$AK$204,MATCH($A168&amp;"|אמצע שנה",'זה אני - קליטה'!$AF$5:$AF$204,0)),""))</f>
        <v/>
      </c>
      <c r="M168" s="28" t="str">
        <f aca="false">IF($A168="","",IFERROR(INDEX('זה אני - קליטה'!$AL$5:$AL$204,MATCH($A168&amp;"|אמצע שנה",'זה אני - קליטה'!$AF$5:$AF$204,0)),""))</f>
        <v/>
      </c>
      <c r="N168" s="27" t="str">
        <f aca="false">IF($A168="","",IFERROR(INDEX('זה אני - קליטה'!$AG$5:$AG$204,MATCH($A168&amp;"|אמצע שנה",'זה אני - קליטה'!$AF$5:$AF$204,0)),""))</f>
        <v/>
      </c>
      <c r="O168" s="28" t="str">
        <f aca="false">IF($A168="","",IFERROR(INDEX('זה אני - קליטה'!$AN$5:$AN$204,MATCH($A168&amp;"|אמצע שנה",'זה אני - קליטה'!$AF$5:$AF$204,0)),""))</f>
        <v/>
      </c>
      <c r="P168" s="28" t="str">
        <f aca="false">IF($A168="","",IFERROR(INDEX('זה אני - קליטה'!$AH$5:$AH$204,MATCH($A168&amp;"|סוף שנה",'זה אני - קליטה'!$AF$5:$AF$204,0)),""))</f>
        <v/>
      </c>
      <c r="Q168" s="28" t="str">
        <f aca="false">IF($A168="","",IFERROR(INDEX('זה אני - קליטה'!$AI$5:$AI$204,MATCH($A168&amp;"|סוף שנה",'זה אני - קליטה'!$AF$5:$AF$204,0)),""))</f>
        <v/>
      </c>
      <c r="R168" s="28" t="str">
        <f aca="false">IF($A168="","",IFERROR(INDEX('זה אני - קליטה'!$AJ$5:$AJ$204,MATCH($A168&amp;"|סוף שנה",'זה אני - קליטה'!$AF$5:$AF$204,0)),""))</f>
        <v/>
      </c>
      <c r="S168" s="28" t="str">
        <f aca="false">IF($A168="","",IFERROR(INDEX('זה אני - קליטה'!$AK$5:$AK$204,MATCH($A168&amp;"|סוף שנה",'זה אני - קליטה'!$AF$5:$AF$204,0)),""))</f>
        <v/>
      </c>
      <c r="T168" s="28" t="str">
        <f aca="false">IF($A168="","",IFERROR(INDEX('זה אני - קליטה'!$AL$5:$AL$204,MATCH($A168&amp;"|סוף שנה",'זה אני - קליטה'!$AF$5:$AF$204,0)),""))</f>
        <v/>
      </c>
      <c r="U168" s="27" t="str">
        <f aca="false">IF($A168="","",IFERROR(INDEX('זה אני - קליטה'!$AG$5:$AG$204,MATCH($A168&amp;"|סוף שנה",'זה אני - קליטה'!$AF$5:$AF$204,0)),""))</f>
        <v/>
      </c>
      <c r="V168" s="28" t="str">
        <f aca="false">IF($A168="","",IFERROR(INDEX('זה אני - קליטה'!$AN$5:$AN$204,MATCH($A168&amp;"|סוף שנה",'זה אני - קליטה'!$AF$5:$AF$204,0)),""))</f>
        <v/>
      </c>
      <c r="W168" s="32" t="str">
        <f aca="false">IF(AND(ISNUMBER(F168),ISNUMBER(T168)),T168-F168,"")</f>
        <v/>
      </c>
      <c r="X168" s="27" t="str">
        <f aca="false">IF(W168="","",IF(W168&gt;=0.25,"עלייה",IF(W168&lt;=-0.25,"ירידה","יציב")))</f>
        <v/>
      </c>
    </row>
    <row r="169" customFormat="false" ht="15" hidden="false" customHeight="false" outlineLevel="0" collapsed="false">
      <c r="A169" s="29"/>
      <c r="B169" s="28" t="str">
        <f aca="false">IF($A169="","",IFERROR(INDEX('זה אני - קליטה'!$AH$5:$AH$204,MATCH($A169&amp;"|תחילת שנה",'זה אני - קליטה'!$AF$5:$AF$204,0)),""))</f>
        <v/>
      </c>
      <c r="C169" s="28" t="str">
        <f aca="false">IF($A169="","",IFERROR(INDEX('זה אני - קליטה'!$AI$5:$AI$204,MATCH($A169&amp;"|תחילת שנה",'זה אני - קליטה'!$AF$5:$AF$204,0)),""))</f>
        <v/>
      </c>
      <c r="D169" s="28" t="str">
        <f aca="false">IF($A169="","",IFERROR(INDEX('זה אני - קליטה'!$AJ$5:$AJ$204,MATCH($A169&amp;"|תחילת שנה",'זה אני - קליטה'!$AF$5:$AF$204,0)),""))</f>
        <v/>
      </c>
      <c r="E169" s="28" t="str">
        <f aca="false">IF($A169="","",IFERROR(INDEX('זה אני - קליטה'!$AK$5:$AK$204,MATCH($A169&amp;"|תחילת שנה",'זה אני - קליטה'!$AF$5:$AF$204,0)),""))</f>
        <v/>
      </c>
      <c r="F169" s="28" t="str">
        <f aca="false">IF($A169="","",IFERROR(INDEX('זה אני - קליטה'!$AL$5:$AL$204,MATCH($A169&amp;"|תחילת שנה",'זה אני - קליטה'!$AF$5:$AF$204,0)),""))</f>
        <v/>
      </c>
      <c r="G169" s="27" t="str">
        <f aca="false">IF($A169="","",IFERROR(INDEX('זה אני - קליטה'!$AG$5:$AG$204,MATCH($A169&amp;"|תחילת שנה",'זה אני - קליטה'!$AF$5:$AF$204,0)),""))</f>
        <v/>
      </c>
      <c r="H169" s="28" t="str">
        <f aca="false">IF($A169="","",IFERROR(INDEX('זה אני - קליטה'!$AN$5:$AN$204,MATCH($A169&amp;"|תחילת שנה",'זה אני - קליטה'!$AF$5:$AF$204,0)),""))</f>
        <v/>
      </c>
      <c r="I169" s="28" t="str">
        <f aca="false">IF($A169="","",IFERROR(INDEX('זה אני - קליטה'!$AH$5:$AH$204,MATCH($A169&amp;"|אמצע שנה",'זה אני - קליטה'!$AF$5:$AF$204,0)),""))</f>
        <v/>
      </c>
      <c r="J169" s="28" t="str">
        <f aca="false">IF($A169="","",IFERROR(INDEX('זה אני - קליטה'!$AI$5:$AI$204,MATCH($A169&amp;"|אמצע שנה",'זה אני - קליטה'!$AF$5:$AF$204,0)),""))</f>
        <v/>
      </c>
      <c r="K169" s="28" t="str">
        <f aca="false">IF($A169="","",IFERROR(INDEX('זה אני - קליטה'!$AJ$5:$AJ$204,MATCH($A169&amp;"|אמצע שנה",'זה אני - קליטה'!$AF$5:$AF$204,0)),""))</f>
        <v/>
      </c>
      <c r="L169" s="28" t="str">
        <f aca="false">IF($A169="","",IFERROR(INDEX('זה אני - קליטה'!$AK$5:$AK$204,MATCH($A169&amp;"|אמצע שנה",'זה אני - קליטה'!$AF$5:$AF$204,0)),""))</f>
        <v/>
      </c>
      <c r="M169" s="28" t="str">
        <f aca="false">IF($A169="","",IFERROR(INDEX('זה אני - קליטה'!$AL$5:$AL$204,MATCH($A169&amp;"|אמצע שנה",'זה אני - קליטה'!$AF$5:$AF$204,0)),""))</f>
        <v/>
      </c>
      <c r="N169" s="27" t="str">
        <f aca="false">IF($A169="","",IFERROR(INDEX('זה אני - קליטה'!$AG$5:$AG$204,MATCH($A169&amp;"|אמצע שנה",'זה אני - קליטה'!$AF$5:$AF$204,0)),""))</f>
        <v/>
      </c>
      <c r="O169" s="28" t="str">
        <f aca="false">IF($A169="","",IFERROR(INDEX('זה אני - קליטה'!$AN$5:$AN$204,MATCH($A169&amp;"|אמצע שנה",'זה אני - קליטה'!$AF$5:$AF$204,0)),""))</f>
        <v/>
      </c>
      <c r="P169" s="28" t="str">
        <f aca="false">IF($A169="","",IFERROR(INDEX('זה אני - קליטה'!$AH$5:$AH$204,MATCH($A169&amp;"|סוף שנה",'זה אני - קליטה'!$AF$5:$AF$204,0)),""))</f>
        <v/>
      </c>
      <c r="Q169" s="28" t="str">
        <f aca="false">IF($A169="","",IFERROR(INDEX('זה אני - קליטה'!$AI$5:$AI$204,MATCH($A169&amp;"|סוף שנה",'זה אני - קליטה'!$AF$5:$AF$204,0)),""))</f>
        <v/>
      </c>
      <c r="R169" s="28" t="str">
        <f aca="false">IF($A169="","",IFERROR(INDEX('זה אני - קליטה'!$AJ$5:$AJ$204,MATCH($A169&amp;"|סוף שנה",'זה אני - קליטה'!$AF$5:$AF$204,0)),""))</f>
        <v/>
      </c>
      <c r="S169" s="28" t="str">
        <f aca="false">IF($A169="","",IFERROR(INDEX('זה אני - קליטה'!$AK$5:$AK$204,MATCH($A169&amp;"|סוף שנה",'זה אני - קליטה'!$AF$5:$AF$204,0)),""))</f>
        <v/>
      </c>
      <c r="T169" s="28" t="str">
        <f aca="false">IF($A169="","",IFERROR(INDEX('זה אני - קליטה'!$AL$5:$AL$204,MATCH($A169&amp;"|סוף שנה",'זה אני - קליטה'!$AF$5:$AF$204,0)),""))</f>
        <v/>
      </c>
      <c r="U169" s="27" t="str">
        <f aca="false">IF($A169="","",IFERROR(INDEX('זה אני - קליטה'!$AG$5:$AG$204,MATCH($A169&amp;"|סוף שנה",'זה אני - קליטה'!$AF$5:$AF$204,0)),""))</f>
        <v/>
      </c>
      <c r="V169" s="28" t="str">
        <f aca="false">IF($A169="","",IFERROR(INDEX('זה אני - קליטה'!$AN$5:$AN$204,MATCH($A169&amp;"|סוף שנה",'זה אני - קליטה'!$AF$5:$AF$204,0)),""))</f>
        <v/>
      </c>
      <c r="W169" s="32" t="str">
        <f aca="false">IF(AND(ISNUMBER(F169),ISNUMBER(T169)),T169-F169,"")</f>
        <v/>
      </c>
      <c r="X169" s="27" t="str">
        <f aca="false">IF(W169="","",IF(W169&gt;=0.25,"עלייה",IF(W169&lt;=-0.25,"ירידה","יציב")))</f>
        <v/>
      </c>
    </row>
    <row r="170" customFormat="false" ht="15" hidden="false" customHeight="false" outlineLevel="0" collapsed="false">
      <c r="A170" s="29"/>
      <c r="B170" s="28" t="str">
        <f aca="false">IF($A170="","",IFERROR(INDEX('זה אני - קליטה'!$AH$5:$AH$204,MATCH($A170&amp;"|תחילת שנה",'זה אני - קליטה'!$AF$5:$AF$204,0)),""))</f>
        <v/>
      </c>
      <c r="C170" s="28" t="str">
        <f aca="false">IF($A170="","",IFERROR(INDEX('זה אני - קליטה'!$AI$5:$AI$204,MATCH($A170&amp;"|תחילת שנה",'זה אני - קליטה'!$AF$5:$AF$204,0)),""))</f>
        <v/>
      </c>
      <c r="D170" s="28" t="str">
        <f aca="false">IF($A170="","",IFERROR(INDEX('זה אני - קליטה'!$AJ$5:$AJ$204,MATCH($A170&amp;"|תחילת שנה",'זה אני - קליטה'!$AF$5:$AF$204,0)),""))</f>
        <v/>
      </c>
      <c r="E170" s="28" t="str">
        <f aca="false">IF($A170="","",IFERROR(INDEX('זה אני - קליטה'!$AK$5:$AK$204,MATCH($A170&amp;"|תחילת שנה",'זה אני - קליטה'!$AF$5:$AF$204,0)),""))</f>
        <v/>
      </c>
      <c r="F170" s="28" t="str">
        <f aca="false">IF($A170="","",IFERROR(INDEX('זה אני - קליטה'!$AL$5:$AL$204,MATCH($A170&amp;"|תחילת שנה",'זה אני - קליטה'!$AF$5:$AF$204,0)),""))</f>
        <v/>
      </c>
      <c r="G170" s="27" t="str">
        <f aca="false">IF($A170="","",IFERROR(INDEX('זה אני - קליטה'!$AG$5:$AG$204,MATCH($A170&amp;"|תחילת שנה",'זה אני - קליטה'!$AF$5:$AF$204,0)),""))</f>
        <v/>
      </c>
      <c r="H170" s="28" t="str">
        <f aca="false">IF($A170="","",IFERROR(INDEX('זה אני - קליטה'!$AN$5:$AN$204,MATCH($A170&amp;"|תחילת שנה",'זה אני - קליטה'!$AF$5:$AF$204,0)),""))</f>
        <v/>
      </c>
      <c r="I170" s="28" t="str">
        <f aca="false">IF($A170="","",IFERROR(INDEX('זה אני - קליטה'!$AH$5:$AH$204,MATCH($A170&amp;"|אמצע שנה",'זה אני - קליטה'!$AF$5:$AF$204,0)),""))</f>
        <v/>
      </c>
      <c r="J170" s="28" t="str">
        <f aca="false">IF($A170="","",IFERROR(INDEX('זה אני - קליטה'!$AI$5:$AI$204,MATCH($A170&amp;"|אמצע שנה",'זה אני - קליטה'!$AF$5:$AF$204,0)),""))</f>
        <v/>
      </c>
      <c r="K170" s="28" t="str">
        <f aca="false">IF($A170="","",IFERROR(INDEX('זה אני - קליטה'!$AJ$5:$AJ$204,MATCH($A170&amp;"|אמצע שנה",'זה אני - קליטה'!$AF$5:$AF$204,0)),""))</f>
        <v/>
      </c>
      <c r="L170" s="28" t="str">
        <f aca="false">IF($A170="","",IFERROR(INDEX('זה אני - קליטה'!$AK$5:$AK$204,MATCH($A170&amp;"|אמצע שנה",'זה אני - קליטה'!$AF$5:$AF$204,0)),""))</f>
        <v/>
      </c>
      <c r="M170" s="28" t="str">
        <f aca="false">IF($A170="","",IFERROR(INDEX('זה אני - קליטה'!$AL$5:$AL$204,MATCH($A170&amp;"|אמצע שנה",'זה אני - קליטה'!$AF$5:$AF$204,0)),""))</f>
        <v/>
      </c>
      <c r="N170" s="27" t="str">
        <f aca="false">IF($A170="","",IFERROR(INDEX('זה אני - קליטה'!$AG$5:$AG$204,MATCH($A170&amp;"|אמצע שנה",'זה אני - קליטה'!$AF$5:$AF$204,0)),""))</f>
        <v/>
      </c>
      <c r="O170" s="28" t="str">
        <f aca="false">IF($A170="","",IFERROR(INDEX('זה אני - קליטה'!$AN$5:$AN$204,MATCH($A170&amp;"|אמצע שנה",'זה אני - קליטה'!$AF$5:$AF$204,0)),""))</f>
        <v/>
      </c>
      <c r="P170" s="28" t="str">
        <f aca="false">IF($A170="","",IFERROR(INDEX('זה אני - קליטה'!$AH$5:$AH$204,MATCH($A170&amp;"|סוף שנה",'זה אני - קליטה'!$AF$5:$AF$204,0)),""))</f>
        <v/>
      </c>
      <c r="Q170" s="28" t="str">
        <f aca="false">IF($A170="","",IFERROR(INDEX('זה אני - קליטה'!$AI$5:$AI$204,MATCH($A170&amp;"|סוף שנה",'זה אני - קליטה'!$AF$5:$AF$204,0)),""))</f>
        <v/>
      </c>
      <c r="R170" s="28" t="str">
        <f aca="false">IF($A170="","",IFERROR(INDEX('זה אני - קליטה'!$AJ$5:$AJ$204,MATCH($A170&amp;"|סוף שנה",'זה אני - קליטה'!$AF$5:$AF$204,0)),""))</f>
        <v/>
      </c>
      <c r="S170" s="28" t="str">
        <f aca="false">IF($A170="","",IFERROR(INDEX('זה אני - קליטה'!$AK$5:$AK$204,MATCH($A170&amp;"|סוף שנה",'זה אני - קליטה'!$AF$5:$AF$204,0)),""))</f>
        <v/>
      </c>
      <c r="T170" s="28" t="str">
        <f aca="false">IF($A170="","",IFERROR(INDEX('זה אני - קליטה'!$AL$5:$AL$204,MATCH($A170&amp;"|סוף שנה",'זה אני - קליטה'!$AF$5:$AF$204,0)),""))</f>
        <v/>
      </c>
      <c r="U170" s="27" t="str">
        <f aca="false">IF($A170="","",IFERROR(INDEX('זה אני - קליטה'!$AG$5:$AG$204,MATCH($A170&amp;"|סוף שנה",'זה אני - קליטה'!$AF$5:$AF$204,0)),""))</f>
        <v/>
      </c>
      <c r="V170" s="28" t="str">
        <f aca="false">IF($A170="","",IFERROR(INDEX('זה אני - קליטה'!$AN$5:$AN$204,MATCH($A170&amp;"|סוף שנה",'זה אני - קליטה'!$AF$5:$AF$204,0)),""))</f>
        <v/>
      </c>
      <c r="W170" s="32" t="str">
        <f aca="false">IF(AND(ISNUMBER(F170),ISNUMBER(T170)),T170-F170,"")</f>
        <v/>
      </c>
      <c r="X170" s="27" t="str">
        <f aca="false">IF(W170="","",IF(W170&gt;=0.25,"עלייה",IF(W170&lt;=-0.25,"ירידה","יציב")))</f>
        <v/>
      </c>
    </row>
    <row r="171" customFormat="false" ht="15" hidden="false" customHeight="false" outlineLevel="0" collapsed="false">
      <c r="A171" s="29"/>
      <c r="B171" s="28" t="str">
        <f aca="false">IF($A171="","",IFERROR(INDEX('זה אני - קליטה'!$AH$5:$AH$204,MATCH($A171&amp;"|תחילת שנה",'זה אני - קליטה'!$AF$5:$AF$204,0)),""))</f>
        <v/>
      </c>
      <c r="C171" s="28" t="str">
        <f aca="false">IF($A171="","",IFERROR(INDEX('זה אני - קליטה'!$AI$5:$AI$204,MATCH($A171&amp;"|תחילת שנה",'זה אני - קליטה'!$AF$5:$AF$204,0)),""))</f>
        <v/>
      </c>
      <c r="D171" s="28" t="str">
        <f aca="false">IF($A171="","",IFERROR(INDEX('זה אני - קליטה'!$AJ$5:$AJ$204,MATCH($A171&amp;"|תחילת שנה",'זה אני - קליטה'!$AF$5:$AF$204,0)),""))</f>
        <v/>
      </c>
      <c r="E171" s="28" t="str">
        <f aca="false">IF($A171="","",IFERROR(INDEX('זה אני - קליטה'!$AK$5:$AK$204,MATCH($A171&amp;"|תחילת שנה",'זה אני - קליטה'!$AF$5:$AF$204,0)),""))</f>
        <v/>
      </c>
      <c r="F171" s="28" t="str">
        <f aca="false">IF($A171="","",IFERROR(INDEX('זה אני - קליטה'!$AL$5:$AL$204,MATCH($A171&amp;"|תחילת שנה",'זה אני - קליטה'!$AF$5:$AF$204,0)),""))</f>
        <v/>
      </c>
      <c r="G171" s="27" t="str">
        <f aca="false">IF($A171="","",IFERROR(INDEX('זה אני - קליטה'!$AG$5:$AG$204,MATCH($A171&amp;"|תחילת שנה",'זה אני - קליטה'!$AF$5:$AF$204,0)),""))</f>
        <v/>
      </c>
      <c r="H171" s="28" t="str">
        <f aca="false">IF($A171="","",IFERROR(INDEX('זה אני - קליטה'!$AN$5:$AN$204,MATCH($A171&amp;"|תחילת שנה",'זה אני - קליטה'!$AF$5:$AF$204,0)),""))</f>
        <v/>
      </c>
      <c r="I171" s="28" t="str">
        <f aca="false">IF($A171="","",IFERROR(INDEX('זה אני - קליטה'!$AH$5:$AH$204,MATCH($A171&amp;"|אמצע שנה",'זה אני - קליטה'!$AF$5:$AF$204,0)),""))</f>
        <v/>
      </c>
      <c r="J171" s="28" t="str">
        <f aca="false">IF($A171="","",IFERROR(INDEX('זה אני - קליטה'!$AI$5:$AI$204,MATCH($A171&amp;"|אמצע שנה",'זה אני - קליטה'!$AF$5:$AF$204,0)),""))</f>
        <v/>
      </c>
      <c r="K171" s="28" t="str">
        <f aca="false">IF($A171="","",IFERROR(INDEX('זה אני - קליטה'!$AJ$5:$AJ$204,MATCH($A171&amp;"|אמצע שנה",'זה אני - קליטה'!$AF$5:$AF$204,0)),""))</f>
        <v/>
      </c>
      <c r="L171" s="28" t="str">
        <f aca="false">IF($A171="","",IFERROR(INDEX('זה אני - קליטה'!$AK$5:$AK$204,MATCH($A171&amp;"|אמצע שנה",'זה אני - קליטה'!$AF$5:$AF$204,0)),""))</f>
        <v/>
      </c>
      <c r="M171" s="28" t="str">
        <f aca="false">IF($A171="","",IFERROR(INDEX('זה אני - קליטה'!$AL$5:$AL$204,MATCH($A171&amp;"|אמצע שנה",'זה אני - קליטה'!$AF$5:$AF$204,0)),""))</f>
        <v/>
      </c>
      <c r="N171" s="27" t="str">
        <f aca="false">IF($A171="","",IFERROR(INDEX('זה אני - קליטה'!$AG$5:$AG$204,MATCH($A171&amp;"|אמצע שנה",'זה אני - קליטה'!$AF$5:$AF$204,0)),""))</f>
        <v/>
      </c>
      <c r="O171" s="28" t="str">
        <f aca="false">IF($A171="","",IFERROR(INDEX('זה אני - קליטה'!$AN$5:$AN$204,MATCH($A171&amp;"|אמצע שנה",'זה אני - קליטה'!$AF$5:$AF$204,0)),""))</f>
        <v/>
      </c>
      <c r="P171" s="28" t="str">
        <f aca="false">IF($A171="","",IFERROR(INDEX('זה אני - קליטה'!$AH$5:$AH$204,MATCH($A171&amp;"|סוף שנה",'זה אני - קליטה'!$AF$5:$AF$204,0)),""))</f>
        <v/>
      </c>
      <c r="Q171" s="28" t="str">
        <f aca="false">IF($A171="","",IFERROR(INDEX('זה אני - קליטה'!$AI$5:$AI$204,MATCH($A171&amp;"|סוף שנה",'זה אני - קליטה'!$AF$5:$AF$204,0)),""))</f>
        <v/>
      </c>
      <c r="R171" s="28" t="str">
        <f aca="false">IF($A171="","",IFERROR(INDEX('זה אני - קליטה'!$AJ$5:$AJ$204,MATCH($A171&amp;"|סוף שנה",'זה אני - קליטה'!$AF$5:$AF$204,0)),""))</f>
        <v/>
      </c>
      <c r="S171" s="28" t="str">
        <f aca="false">IF($A171="","",IFERROR(INDEX('זה אני - קליטה'!$AK$5:$AK$204,MATCH($A171&amp;"|סוף שנה",'זה אני - קליטה'!$AF$5:$AF$204,0)),""))</f>
        <v/>
      </c>
      <c r="T171" s="28" t="str">
        <f aca="false">IF($A171="","",IFERROR(INDEX('זה אני - קליטה'!$AL$5:$AL$204,MATCH($A171&amp;"|סוף שנה",'זה אני - קליטה'!$AF$5:$AF$204,0)),""))</f>
        <v/>
      </c>
      <c r="U171" s="27" t="str">
        <f aca="false">IF($A171="","",IFERROR(INDEX('זה אני - קליטה'!$AG$5:$AG$204,MATCH($A171&amp;"|סוף שנה",'זה אני - קליטה'!$AF$5:$AF$204,0)),""))</f>
        <v/>
      </c>
      <c r="V171" s="28" t="str">
        <f aca="false">IF($A171="","",IFERROR(INDEX('זה אני - קליטה'!$AN$5:$AN$204,MATCH($A171&amp;"|סוף שנה",'זה אני - קליטה'!$AF$5:$AF$204,0)),""))</f>
        <v/>
      </c>
      <c r="W171" s="32" t="str">
        <f aca="false">IF(AND(ISNUMBER(F171),ISNUMBER(T171)),T171-F171,"")</f>
        <v/>
      </c>
      <c r="X171" s="27" t="str">
        <f aca="false">IF(W171="","",IF(W171&gt;=0.25,"עלייה",IF(W171&lt;=-0.25,"ירידה","יציב")))</f>
        <v/>
      </c>
    </row>
    <row r="172" customFormat="false" ht="15" hidden="false" customHeight="false" outlineLevel="0" collapsed="false">
      <c r="A172" s="29"/>
      <c r="B172" s="28" t="str">
        <f aca="false">IF($A172="","",IFERROR(INDEX('זה אני - קליטה'!$AH$5:$AH$204,MATCH($A172&amp;"|תחילת שנה",'זה אני - קליטה'!$AF$5:$AF$204,0)),""))</f>
        <v/>
      </c>
      <c r="C172" s="28" t="str">
        <f aca="false">IF($A172="","",IFERROR(INDEX('זה אני - קליטה'!$AI$5:$AI$204,MATCH($A172&amp;"|תחילת שנה",'זה אני - קליטה'!$AF$5:$AF$204,0)),""))</f>
        <v/>
      </c>
      <c r="D172" s="28" t="str">
        <f aca="false">IF($A172="","",IFERROR(INDEX('זה אני - קליטה'!$AJ$5:$AJ$204,MATCH($A172&amp;"|תחילת שנה",'זה אני - קליטה'!$AF$5:$AF$204,0)),""))</f>
        <v/>
      </c>
      <c r="E172" s="28" t="str">
        <f aca="false">IF($A172="","",IFERROR(INDEX('זה אני - קליטה'!$AK$5:$AK$204,MATCH($A172&amp;"|תחילת שנה",'זה אני - קליטה'!$AF$5:$AF$204,0)),""))</f>
        <v/>
      </c>
      <c r="F172" s="28" t="str">
        <f aca="false">IF($A172="","",IFERROR(INDEX('זה אני - קליטה'!$AL$5:$AL$204,MATCH($A172&amp;"|תחילת שנה",'זה אני - קליטה'!$AF$5:$AF$204,0)),""))</f>
        <v/>
      </c>
      <c r="G172" s="27" t="str">
        <f aca="false">IF($A172="","",IFERROR(INDEX('זה אני - קליטה'!$AG$5:$AG$204,MATCH($A172&amp;"|תחילת שנה",'זה אני - קליטה'!$AF$5:$AF$204,0)),""))</f>
        <v/>
      </c>
      <c r="H172" s="28" t="str">
        <f aca="false">IF($A172="","",IFERROR(INDEX('זה אני - קליטה'!$AN$5:$AN$204,MATCH($A172&amp;"|תחילת שנה",'זה אני - קליטה'!$AF$5:$AF$204,0)),""))</f>
        <v/>
      </c>
      <c r="I172" s="28" t="str">
        <f aca="false">IF($A172="","",IFERROR(INDEX('זה אני - קליטה'!$AH$5:$AH$204,MATCH($A172&amp;"|אמצע שנה",'זה אני - קליטה'!$AF$5:$AF$204,0)),""))</f>
        <v/>
      </c>
      <c r="J172" s="28" t="str">
        <f aca="false">IF($A172="","",IFERROR(INDEX('זה אני - קליטה'!$AI$5:$AI$204,MATCH($A172&amp;"|אמצע שנה",'זה אני - קליטה'!$AF$5:$AF$204,0)),""))</f>
        <v/>
      </c>
      <c r="K172" s="28" t="str">
        <f aca="false">IF($A172="","",IFERROR(INDEX('זה אני - קליטה'!$AJ$5:$AJ$204,MATCH($A172&amp;"|אמצע שנה",'זה אני - קליטה'!$AF$5:$AF$204,0)),""))</f>
        <v/>
      </c>
      <c r="L172" s="28" t="str">
        <f aca="false">IF($A172="","",IFERROR(INDEX('זה אני - קליטה'!$AK$5:$AK$204,MATCH($A172&amp;"|אמצע שנה",'זה אני - קליטה'!$AF$5:$AF$204,0)),""))</f>
        <v/>
      </c>
      <c r="M172" s="28" t="str">
        <f aca="false">IF($A172="","",IFERROR(INDEX('זה אני - קליטה'!$AL$5:$AL$204,MATCH($A172&amp;"|אמצע שנה",'זה אני - קליטה'!$AF$5:$AF$204,0)),""))</f>
        <v/>
      </c>
      <c r="N172" s="27" t="str">
        <f aca="false">IF($A172="","",IFERROR(INDEX('זה אני - קליטה'!$AG$5:$AG$204,MATCH($A172&amp;"|אמצע שנה",'זה אני - קליטה'!$AF$5:$AF$204,0)),""))</f>
        <v/>
      </c>
      <c r="O172" s="28" t="str">
        <f aca="false">IF($A172="","",IFERROR(INDEX('זה אני - קליטה'!$AN$5:$AN$204,MATCH($A172&amp;"|אמצע שנה",'זה אני - קליטה'!$AF$5:$AF$204,0)),""))</f>
        <v/>
      </c>
      <c r="P172" s="28" t="str">
        <f aca="false">IF($A172="","",IFERROR(INDEX('זה אני - קליטה'!$AH$5:$AH$204,MATCH($A172&amp;"|סוף שנה",'זה אני - קליטה'!$AF$5:$AF$204,0)),""))</f>
        <v/>
      </c>
      <c r="Q172" s="28" t="str">
        <f aca="false">IF($A172="","",IFERROR(INDEX('זה אני - קליטה'!$AI$5:$AI$204,MATCH($A172&amp;"|סוף שנה",'זה אני - קליטה'!$AF$5:$AF$204,0)),""))</f>
        <v/>
      </c>
      <c r="R172" s="28" t="str">
        <f aca="false">IF($A172="","",IFERROR(INDEX('זה אני - קליטה'!$AJ$5:$AJ$204,MATCH($A172&amp;"|סוף שנה",'זה אני - קליטה'!$AF$5:$AF$204,0)),""))</f>
        <v/>
      </c>
      <c r="S172" s="28" t="str">
        <f aca="false">IF($A172="","",IFERROR(INDEX('זה אני - קליטה'!$AK$5:$AK$204,MATCH($A172&amp;"|סוף שנה",'זה אני - קליטה'!$AF$5:$AF$204,0)),""))</f>
        <v/>
      </c>
      <c r="T172" s="28" t="str">
        <f aca="false">IF($A172="","",IFERROR(INDEX('זה אני - קליטה'!$AL$5:$AL$204,MATCH($A172&amp;"|סוף שנה",'זה אני - קליטה'!$AF$5:$AF$204,0)),""))</f>
        <v/>
      </c>
      <c r="U172" s="27" t="str">
        <f aca="false">IF($A172="","",IFERROR(INDEX('זה אני - קליטה'!$AG$5:$AG$204,MATCH($A172&amp;"|סוף שנה",'זה אני - קליטה'!$AF$5:$AF$204,0)),""))</f>
        <v/>
      </c>
      <c r="V172" s="28" t="str">
        <f aca="false">IF($A172="","",IFERROR(INDEX('זה אני - קליטה'!$AN$5:$AN$204,MATCH($A172&amp;"|סוף שנה",'זה אני - קליטה'!$AF$5:$AF$204,0)),""))</f>
        <v/>
      </c>
      <c r="W172" s="32" t="str">
        <f aca="false">IF(AND(ISNUMBER(F172),ISNUMBER(T172)),T172-F172,"")</f>
        <v/>
      </c>
      <c r="X172" s="27" t="str">
        <f aca="false">IF(W172="","",IF(W172&gt;=0.25,"עלייה",IF(W172&lt;=-0.25,"ירידה","יציב")))</f>
        <v/>
      </c>
    </row>
    <row r="173" customFormat="false" ht="15" hidden="false" customHeight="false" outlineLevel="0" collapsed="false">
      <c r="A173" s="29"/>
      <c r="B173" s="28" t="str">
        <f aca="false">IF($A173="","",IFERROR(INDEX('זה אני - קליטה'!$AH$5:$AH$204,MATCH($A173&amp;"|תחילת שנה",'זה אני - קליטה'!$AF$5:$AF$204,0)),""))</f>
        <v/>
      </c>
      <c r="C173" s="28" t="str">
        <f aca="false">IF($A173="","",IFERROR(INDEX('זה אני - קליטה'!$AI$5:$AI$204,MATCH($A173&amp;"|תחילת שנה",'זה אני - קליטה'!$AF$5:$AF$204,0)),""))</f>
        <v/>
      </c>
      <c r="D173" s="28" t="str">
        <f aca="false">IF($A173="","",IFERROR(INDEX('זה אני - קליטה'!$AJ$5:$AJ$204,MATCH($A173&amp;"|תחילת שנה",'זה אני - קליטה'!$AF$5:$AF$204,0)),""))</f>
        <v/>
      </c>
      <c r="E173" s="28" t="str">
        <f aca="false">IF($A173="","",IFERROR(INDEX('זה אני - קליטה'!$AK$5:$AK$204,MATCH($A173&amp;"|תחילת שנה",'זה אני - קליטה'!$AF$5:$AF$204,0)),""))</f>
        <v/>
      </c>
      <c r="F173" s="28" t="str">
        <f aca="false">IF($A173="","",IFERROR(INDEX('זה אני - קליטה'!$AL$5:$AL$204,MATCH($A173&amp;"|תחילת שנה",'זה אני - קליטה'!$AF$5:$AF$204,0)),""))</f>
        <v/>
      </c>
      <c r="G173" s="27" t="str">
        <f aca="false">IF($A173="","",IFERROR(INDEX('זה אני - קליטה'!$AG$5:$AG$204,MATCH($A173&amp;"|תחילת שנה",'זה אני - קליטה'!$AF$5:$AF$204,0)),""))</f>
        <v/>
      </c>
      <c r="H173" s="28" t="str">
        <f aca="false">IF($A173="","",IFERROR(INDEX('זה אני - קליטה'!$AN$5:$AN$204,MATCH($A173&amp;"|תחילת שנה",'זה אני - קליטה'!$AF$5:$AF$204,0)),""))</f>
        <v/>
      </c>
      <c r="I173" s="28" t="str">
        <f aca="false">IF($A173="","",IFERROR(INDEX('זה אני - קליטה'!$AH$5:$AH$204,MATCH($A173&amp;"|אמצע שנה",'זה אני - קליטה'!$AF$5:$AF$204,0)),""))</f>
        <v/>
      </c>
      <c r="J173" s="28" t="str">
        <f aca="false">IF($A173="","",IFERROR(INDEX('זה אני - קליטה'!$AI$5:$AI$204,MATCH($A173&amp;"|אמצע שנה",'זה אני - קליטה'!$AF$5:$AF$204,0)),""))</f>
        <v/>
      </c>
      <c r="K173" s="28" t="str">
        <f aca="false">IF($A173="","",IFERROR(INDEX('זה אני - קליטה'!$AJ$5:$AJ$204,MATCH($A173&amp;"|אמצע שנה",'זה אני - קליטה'!$AF$5:$AF$204,0)),""))</f>
        <v/>
      </c>
      <c r="L173" s="28" t="str">
        <f aca="false">IF($A173="","",IFERROR(INDEX('זה אני - קליטה'!$AK$5:$AK$204,MATCH($A173&amp;"|אמצע שנה",'זה אני - קליטה'!$AF$5:$AF$204,0)),""))</f>
        <v/>
      </c>
      <c r="M173" s="28" t="str">
        <f aca="false">IF($A173="","",IFERROR(INDEX('זה אני - קליטה'!$AL$5:$AL$204,MATCH($A173&amp;"|אמצע שנה",'זה אני - קליטה'!$AF$5:$AF$204,0)),""))</f>
        <v/>
      </c>
      <c r="N173" s="27" t="str">
        <f aca="false">IF($A173="","",IFERROR(INDEX('זה אני - קליטה'!$AG$5:$AG$204,MATCH($A173&amp;"|אמצע שנה",'זה אני - קליטה'!$AF$5:$AF$204,0)),""))</f>
        <v/>
      </c>
      <c r="O173" s="28" t="str">
        <f aca="false">IF($A173="","",IFERROR(INDEX('זה אני - קליטה'!$AN$5:$AN$204,MATCH($A173&amp;"|אמצע שנה",'זה אני - קליטה'!$AF$5:$AF$204,0)),""))</f>
        <v/>
      </c>
      <c r="P173" s="28" t="str">
        <f aca="false">IF($A173="","",IFERROR(INDEX('זה אני - קליטה'!$AH$5:$AH$204,MATCH($A173&amp;"|סוף שנה",'זה אני - קליטה'!$AF$5:$AF$204,0)),""))</f>
        <v/>
      </c>
      <c r="Q173" s="28" t="str">
        <f aca="false">IF($A173="","",IFERROR(INDEX('זה אני - קליטה'!$AI$5:$AI$204,MATCH($A173&amp;"|סוף שנה",'זה אני - קליטה'!$AF$5:$AF$204,0)),""))</f>
        <v/>
      </c>
      <c r="R173" s="28" t="str">
        <f aca="false">IF($A173="","",IFERROR(INDEX('זה אני - קליטה'!$AJ$5:$AJ$204,MATCH($A173&amp;"|סוף שנה",'זה אני - קליטה'!$AF$5:$AF$204,0)),""))</f>
        <v/>
      </c>
      <c r="S173" s="28" t="str">
        <f aca="false">IF($A173="","",IFERROR(INDEX('זה אני - קליטה'!$AK$5:$AK$204,MATCH($A173&amp;"|סוף שנה",'זה אני - קליטה'!$AF$5:$AF$204,0)),""))</f>
        <v/>
      </c>
      <c r="T173" s="28" t="str">
        <f aca="false">IF($A173="","",IFERROR(INDEX('זה אני - קליטה'!$AL$5:$AL$204,MATCH($A173&amp;"|סוף שנה",'זה אני - קליטה'!$AF$5:$AF$204,0)),""))</f>
        <v/>
      </c>
      <c r="U173" s="27" t="str">
        <f aca="false">IF($A173="","",IFERROR(INDEX('זה אני - קליטה'!$AG$5:$AG$204,MATCH($A173&amp;"|סוף שנה",'זה אני - קליטה'!$AF$5:$AF$204,0)),""))</f>
        <v/>
      </c>
      <c r="V173" s="28" t="str">
        <f aca="false">IF($A173="","",IFERROR(INDEX('זה אני - קליטה'!$AN$5:$AN$204,MATCH($A173&amp;"|סוף שנה",'זה אני - קליטה'!$AF$5:$AF$204,0)),""))</f>
        <v/>
      </c>
      <c r="W173" s="32" t="str">
        <f aca="false">IF(AND(ISNUMBER(F173),ISNUMBER(T173)),T173-F173,"")</f>
        <v/>
      </c>
      <c r="X173" s="27" t="str">
        <f aca="false">IF(W173="","",IF(W173&gt;=0.25,"עלייה",IF(W173&lt;=-0.25,"ירידה","יציב")))</f>
        <v/>
      </c>
    </row>
    <row r="174" customFormat="false" ht="15" hidden="false" customHeight="false" outlineLevel="0" collapsed="false">
      <c r="A174" s="29"/>
      <c r="B174" s="28" t="str">
        <f aca="false">IF($A174="","",IFERROR(INDEX('זה אני - קליטה'!$AH$5:$AH$204,MATCH($A174&amp;"|תחילת שנה",'זה אני - קליטה'!$AF$5:$AF$204,0)),""))</f>
        <v/>
      </c>
      <c r="C174" s="28" t="str">
        <f aca="false">IF($A174="","",IFERROR(INDEX('זה אני - קליטה'!$AI$5:$AI$204,MATCH($A174&amp;"|תחילת שנה",'זה אני - קליטה'!$AF$5:$AF$204,0)),""))</f>
        <v/>
      </c>
      <c r="D174" s="28" t="str">
        <f aca="false">IF($A174="","",IFERROR(INDEX('זה אני - קליטה'!$AJ$5:$AJ$204,MATCH($A174&amp;"|תחילת שנה",'זה אני - קליטה'!$AF$5:$AF$204,0)),""))</f>
        <v/>
      </c>
      <c r="E174" s="28" t="str">
        <f aca="false">IF($A174="","",IFERROR(INDEX('זה אני - קליטה'!$AK$5:$AK$204,MATCH($A174&amp;"|תחילת שנה",'זה אני - קליטה'!$AF$5:$AF$204,0)),""))</f>
        <v/>
      </c>
      <c r="F174" s="28" t="str">
        <f aca="false">IF($A174="","",IFERROR(INDEX('זה אני - קליטה'!$AL$5:$AL$204,MATCH($A174&amp;"|תחילת שנה",'זה אני - קליטה'!$AF$5:$AF$204,0)),""))</f>
        <v/>
      </c>
      <c r="G174" s="27" t="str">
        <f aca="false">IF($A174="","",IFERROR(INDEX('זה אני - קליטה'!$AG$5:$AG$204,MATCH($A174&amp;"|תחילת שנה",'זה אני - קליטה'!$AF$5:$AF$204,0)),""))</f>
        <v/>
      </c>
      <c r="H174" s="28" t="str">
        <f aca="false">IF($A174="","",IFERROR(INDEX('זה אני - קליטה'!$AN$5:$AN$204,MATCH($A174&amp;"|תחילת שנה",'זה אני - קליטה'!$AF$5:$AF$204,0)),""))</f>
        <v/>
      </c>
      <c r="I174" s="28" t="str">
        <f aca="false">IF($A174="","",IFERROR(INDEX('זה אני - קליטה'!$AH$5:$AH$204,MATCH($A174&amp;"|אמצע שנה",'זה אני - קליטה'!$AF$5:$AF$204,0)),""))</f>
        <v/>
      </c>
      <c r="J174" s="28" t="str">
        <f aca="false">IF($A174="","",IFERROR(INDEX('זה אני - קליטה'!$AI$5:$AI$204,MATCH($A174&amp;"|אמצע שנה",'זה אני - קליטה'!$AF$5:$AF$204,0)),""))</f>
        <v/>
      </c>
      <c r="K174" s="28" t="str">
        <f aca="false">IF($A174="","",IFERROR(INDEX('זה אני - קליטה'!$AJ$5:$AJ$204,MATCH($A174&amp;"|אמצע שנה",'זה אני - קליטה'!$AF$5:$AF$204,0)),""))</f>
        <v/>
      </c>
      <c r="L174" s="28" t="str">
        <f aca="false">IF($A174="","",IFERROR(INDEX('זה אני - קליטה'!$AK$5:$AK$204,MATCH($A174&amp;"|אמצע שנה",'זה אני - קליטה'!$AF$5:$AF$204,0)),""))</f>
        <v/>
      </c>
      <c r="M174" s="28" t="str">
        <f aca="false">IF($A174="","",IFERROR(INDEX('זה אני - קליטה'!$AL$5:$AL$204,MATCH($A174&amp;"|אמצע שנה",'זה אני - קליטה'!$AF$5:$AF$204,0)),""))</f>
        <v/>
      </c>
      <c r="N174" s="27" t="str">
        <f aca="false">IF($A174="","",IFERROR(INDEX('זה אני - קליטה'!$AG$5:$AG$204,MATCH($A174&amp;"|אמצע שנה",'זה אני - קליטה'!$AF$5:$AF$204,0)),""))</f>
        <v/>
      </c>
      <c r="O174" s="28" t="str">
        <f aca="false">IF($A174="","",IFERROR(INDEX('זה אני - קליטה'!$AN$5:$AN$204,MATCH($A174&amp;"|אמצע שנה",'זה אני - קליטה'!$AF$5:$AF$204,0)),""))</f>
        <v/>
      </c>
      <c r="P174" s="28" t="str">
        <f aca="false">IF($A174="","",IFERROR(INDEX('זה אני - קליטה'!$AH$5:$AH$204,MATCH($A174&amp;"|סוף שנה",'זה אני - קליטה'!$AF$5:$AF$204,0)),""))</f>
        <v/>
      </c>
      <c r="Q174" s="28" t="str">
        <f aca="false">IF($A174="","",IFERROR(INDEX('זה אני - קליטה'!$AI$5:$AI$204,MATCH($A174&amp;"|סוף שנה",'זה אני - קליטה'!$AF$5:$AF$204,0)),""))</f>
        <v/>
      </c>
      <c r="R174" s="28" t="str">
        <f aca="false">IF($A174="","",IFERROR(INDEX('זה אני - קליטה'!$AJ$5:$AJ$204,MATCH($A174&amp;"|סוף שנה",'זה אני - קליטה'!$AF$5:$AF$204,0)),""))</f>
        <v/>
      </c>
      <c r="S174" s="28" t="str">
        <f aca="false">IF($A174="","",IFERROR(INDEX('זה אני - קליטה'!$AK$5:$AK$204,MATCH($A174&amp;"|סוף שנה",'זה אני - קליטה'!$AF$5:$AF$204,0)),""))</f>
        <v/>
      </c>
      <c r="T174" s="28" t="str">
        <f aca="false">IF($A174="","",IFERROR(INDEX('זה אני - קליטה'!$AL$5:$AL$204,MATCH($A174&amp;"|סוף שנה",'זה אני - קליטה'!$AF$5:$AF$204,0)),""))</f>
        <v/>
      </c>
      <c r="U174" s="27" t="str">
        <f aca="false">IF($A174="","",IFERROR(INDEX('זה אני - קליטה'!$AG$5:$AG$204,MATCH($A174&amp;"|סוף שנה",'זה אני - קליטה'!$AF$5:$AF$204,0)),""))</f>
        <v/>
      </c>
      <c r="V174" s="28" t="str">
        <f aca="false">IF($A174="","",IFERROR(INDEX('זה אני - קליטה'!$AN$5:$AN$204,MATCH($A174&amp;"|סוף שנה",'זה אני - קליטה'!$AF$5:$AF$204,0)),""))</f>
        <v/>
      </c>
      <c r="W174" s="32" t="str">
        <f aca="false">IF(AND(ISNUMBER(F174),ISNUMBER(T174)),T174-F174,"")</f>
        <v/>
      </c>
      <c r="X174" s="27" t="str">
        <f aca="false">IF(W174="","",IF(W174&gt;=0.25,"עלייה",IF(W174&lt;=-0.25,"ירידה","יציב")))</f>
        <v/>
      </c>
    </row>
    <row r="175" customFormat="false" ht="15" hidden="false" customHeight="false" outlineLevel="0" collapsed="false">
      <c r="A175" s="29"/>
      <c r="B175" s="28" t="str">
        <f aca="false">IF($A175="","",IFERROR(INDEX('זה אני - קליטה'!$AH$5:$AH$204,MATCH($A175&amp;"|תחילת שנה",'זה אני - קליטה'!$AF$5:$AF$204,0)),""))</f>
        <v/>
      </c>
      <c r="C175" s="28" t="str">
        <f aca="false">IF($A175="","",IFERROR(INDEX('זה אני - קליטה'!$AI$5:$AI$204,MATCH($A175&amp;"|תחילת שנה",'זה אני - קליטה'!$AF$5:$AF$204,0)),""))</f>
        <v/>
      </c>
      <c r="D175" s="28" t="str">
        <f aca="false">IF($A175="","",IFERROR(INDEX('זה אני - קליטה'!$AJ$5:$AJ$204,MATCH($A175&amp;"|תחילת שנה",'זה אני - קליטה'!$AF$5:$AF$204,0)),""))</f>
        <v/>
      </c>
      <c r="E175" s="28" t="str">
        <f aca="false">IF($A175="","",IFERROR(INDEX('זה אני - קליטה'!$AK$5:$AK$204,MATCH($A175&amp;"|תחילת שנה",'זה אני - קליטה'!$AF$5:$AF$204,0)),""))</f>
        <v/>
      </c>
      <c r="F175" s="28" t="str">
        <f aca="false">IF($A175="","",IFERROR(INDEX('זה אני - קליטה'!$AL$5:$AL$204,MATCH($A175&amp;"|תחילת שנה",'זה אני - קליטה'!$AF$5:$AF$204,0)),""))</f>
        <v/>
      </c>
      <c r="G175" s="27" t="str">
        <f aca="false">IF($A175="","",IFERROR(INDEX('זה אני - קליטה'!$AG$5:$AG$204,MATCH($A175&amp;"|תחילת שנה",'זה אני - קליטה'!$AF$5:$AF$204,0)),""))</f>
        <v/>
      </c>
      <c r="H175" s="28" t="str">
        <f aca="false">IF($A175="","",IFERROR(INDEX('זה אני - קליטה'!$AN$5:$AN$204,MATCH($A175&amp;"|תחילת שנה",'זה אני - קליטה'!$AF$5:$AF$204,0)),""))</f>
        <v/>
      </c>
      <c r="I175" s="28" t="str">
        <f aca="false">IF($A175="","",IFERROR(INDEX('זה אני - קליטה'!$AH$5:$AH$204,MATCH($A175&amp;"|אמצע שנה",'זה אני - קליטה'!$AF$5:$AF$204,0)),""))</f>
        <v/>
      </c>
      <c r="J175" s="28" t="str">
        <f aca="false">IF($A175="","",IFERROR(INDEX('זה אני - קליטה'!$AI$5:$AI$204,MATCH($A175&amp;"|אמצע שנה",'זה אני - קליטה'!$AF$5:$AF$204,0)),""))</f>
        <v/>
      </c>
      <c r="K175" s="28" t="str">
        <f aca="false">IF($A175="","",IFERROR(INDEX('זה אני - קליטה'!$AJ$5:$AJ$204,MATCH($A175&amp;"|אמצע שנה",'זה אני - קליטה'!$AF$5:$AF$204,0)),""))</f>
        <v/>
      </c>
      <c r="L175" s="28" t="str">
        <f aca="false">IF($A175="","",IFERROR(INDEX('זה אני - קליטה'!$AK$5:$AK$204,MATCH($A175&amp;"|אמצע שנה",'זה אני - קליטה'!$AF$5:$AF$204,0)),""))</f>
        <v/>
      </c>
      <c r="M175" s="28" t="str">
        <f aca="false">IF($A175="","",IFERROR(INDEX('זה אני - קליטה'!$AL$5:$AL$204,MATCH($A175&amp;"|אמצע שנה",'זה אני - קליטה'!$AF$5:$AF$204,0)),""))</f>
        <v/>
      </c>
      <c r="N175" s="27" t="str">
        <f aca="false">IF($A175="","",IFERROR(INDEX('זה אני - קליטה'!$AG$5:$AG$204,MATCH($A175&amp;"|אמצע שנה",'זה אני - קליטה'!$AF$5:$AF$204,0)),""))</f>
        <v/>
      </c>
      <c r="O175" s="28" t="str">
        <f aca="false">IF($A175="","",IFERROR(INDEX('זה אני - קליטה'!$AN$5:$AN$204,MATCH($A175&amp;"|אמצע שנה",'זה אני - קליטה'!$AF$5:$AF$204,0)),""))</f>
        <v/>
      </c>
      <c r="P175" s="28" t="str">
        <f aca="false">IF($A175="","",IFERROR(INDEX('זה אני - קליטה'!$AH$5:$AH$204,MATCH($A175&amp;"|סוף שנה",'זה אני - קליטה'!$AF$5:$AF$204,0)),""))</f>
        <v/>
      </c>
      <c r="Q175" s="28" t="str">
        <f aca="false">IF($A175="","",IFERROR(INDEX('זה אני - קליטה'!$AI$5:$AI$204,MATCH($A175&amp;"|סוף שנה",'זה אני - קליטה'!$AF$5:$AF$204,0)),""))</f>
        <v/>
      </c>
      <c r="R175" s="28" t="str">
        <f aca="false">IF($A175="","",IFERROR(INDEX('זה אני - קליטה'!$AJ$5:$AJ$204,MATCH($A175&amp;"|סוף שנה",'זה אני - קליטה'!$AF$5:$AF$204,0)),""))</f>
        <v/>
      </c>
      <c r="S175" s="28" t="str">
        <f aca="false">IF($A175="","",IFERROR(INDEX('זה אני - קליטה'!$AK$5:$AK$204,MATCH($A175&amp;"|סוף שנה",'זה אני - קליטה'!$AF$5:$AF$204,0)),""))</f>
        <v/>
      </c>
      <c r="T175" s="28" t="str">
        <f aca="false">IF($A175="","",IFERROR(INDEX('זה אני - קליטה'!$AL$5:$AL$204,MATCH($A175&amp;"|סוף שנה",'זה אני - קליטה'!$AF$5:$AF$204,0)),""))</f>
        <v/>
      </c>
      <c r="U175" s="27" t="str">
        <f aca="false">IF($A175="","",IFERROR(INDEX('זה אני - קליטה'!$AG$5:$AG$204,MATCH($A175&amp;"|סוף שנה",'זה אני - קליטה'!$AF$5:$AF$204,0)),""))</f>
        <v/>
      </c>
      <c r="V175" s="28" t="str">
        <f aca="false">IF($A175="","",IFERROR(INDEX('זה אני - קליטה'!$AN$5:$AN$204,MATCH($A175&amp;"|סוף שנה",'זה אני - קליטה'!$AF$5:$AF$204,0)),""))</f>
        <v/>
      </c>
      <c r="W175" s="32" t="str">
        <f aca="false">IF(AND(ISNUMBER(F175),ISNUMBER(T175)),T175-F175,"")</f>
        <v/>
      </c>
      <c r="X175" s="27" t="str">
        <f aca="false">IF(W175="","",IF(W175&gt;=0.25,"עלייה",IF(W175&lt;=-0.25,"ירידה","יציב")))</f>
        <v/>
      </c>
    </row>
    <row r="176" customFormat="false" ht="15" hidden="false" customHeight="false" outlineLevel="0" collapsed="false">
      <c r="A176" s="29"/>
      <c r="B176" s="28" t="str">
        <f aca="false">IF($A176="","",IFERROR(INDEX('זה אני - קליטה'!$AH$5:$AH$204,MATCH($A176&amp;"|תחילת שנה",'זה אני - קליטה'!$AF$5:$AF$204,0)),""))</f>
        <v/>
      </c>
      <c r="C176" s="28" t="str">
        <f aca="false">IF($A176="","",IFERROR(INDEX('זה אני - קליטה'!$AI$5:$AI$204,MATCH($A176&amp;"|תחילת שנה",'זה אני - קליטה'!$AF$5:$AF$204,0)),""))</f>
        <v/>
      </c>
      <c r="D176" s="28" t="str">
        <f aca="false">IF($A176="","",IFERROR(INDEX('זה אני - קליטה'!$AJ$5:$AJ$204,MATCH($A176&amp;"|תחילת שנה",'זה אני - קליטה'!$AF$5:$AF$204,0)),""))</f>
        <v/>
      </c>
      <c r="E176" s="28" t="str">
        <f aca="false">IF($A176="","",IFERROR(INDEX('זה אני - קליטה'!$AK$5:$AK$204,MATCH($A176&amp;"|תחילת שנה",'זה אני - קליטה'!$AF$5:$AF$204,0)),""))</f>
        <v/>
      </c>
      <c r="F176" s="28" t="str">
        <f aca="false">IF($A176="","",IFERROR(INDEX('זה אני - קליטה'!$AL$5:$AL$204,MATCH($A176&amp;"|תחילת שנה",'זה אני - קליטה'!$AF$5:$AF$204,0)),""))</f>
        <v/>
      </c>
      <c r="G176" s="27" t="str">
        <f aca="false">IF($A176="","",IFERROR(INDEX('זה אני - קליטה'!$AG$5:$AG$204,MATCH($A176&amp;"|תחילת שנה",'זה אני - קליטה'!$AF$5:$AF$204,0)),""))</f>
        <v/>
      </c>
      <c r="H176" s="28" t="str">
        <f aca="false">IF($A176="","",IFERROR(INDEX('זה אני - קליטה'!$AN$5:$AN$204,MATCH($A176&amp;"|תחילת שנה",'זה אני - קליטה'!$AF$5:$AF$204,0)),""))</f>
        <v/>
      </c>
      <c r="I176" s="28" t="str">
        <f aca="false">IF($A176="","",IFERROR(INDEX('זה אני - קליטה'!$AH$5:$AH$204,MATCH($A176&amp;"|אמצע שנה",'זה אני - קליטה'!$AF$5:$AF$204,0)),""))</f>
        <v/>
      </c>
      <c r="J176" s="28" t="str">
        <f aca="false">IF($A176="","",IFERROR(INDEX('זה אני - קליטה'!$AI$5:$AI$204,MATCH($A176&amp;"|אמצע שנה",'זה אני - קליטה'!$AF$5:$AF$204,0)),""))</f>
        <v/>
      </c>
      <c r="K176" s="28" t="str">
        <f aca="false">IF($A176="","",IFERROR(INDEX('זה אני - קליטה'!$AJ$5:$AJ$204,MATCH($A176&amp;"|אמצע שנה",'זה אני - קליטה'!$AF$5:$AF$204,0)),""))</f>
        <v/>
      </c>
      <c r="L176" s="28" t="str">
        <f aca="false">IF($A176="","",IFERROR(INDEX('זה אני - קליטה'!$AK$5:$AK$204,MATCH($A176&amp;"|אמצע שנה",'זה אני - קליטה'!$AF$5:$AF$204,0)),""))</f>
        <v/>
      </c>
      <c r="M176" s="28" t="str">
        <f aca="false">IF($A176="","",IFERROR(INDEX('זה אני - קליטה'!$AL$5:$AL$204,MATCH($A176&amp;"|אמצע שנה",'זה אני - קליטה'!$AF$5:$AF$204,0)),""))</f>
        <v/>
      </c>
      <c r="N176" s="27" t="str">
        <f aca="false">IF($A176="","",IFERROR(INDEX('זה אני - קליטה'!$AG$5:$AG$204,MATCH($A176&amp;"|אמצע שנה",'זה אני - קליטה'!$AF$5:$AF$204,0)),""))</f>
        <v/>
      </c>
      <c r="O176" s="28" t="str">
        <f aca="false">IF($A176="","",IFERROR(INDEX('זה אני - קליטה'!$AN$5:$AN$204,MATCH($A176&amp;"|אמצע שנה",'זה אני - קליטה'!$AF$5:$AF$204,0)),""))</f>
        <v/>
      </c>
      <c r="P176" s="28" t="str">
        <f aca="false">IF($A176="","",IFERROR(INDEX('זה אני - קליטה'!$AH$5:$AH$204,MATCH($A176&amp;"|סוף שנה",'זה אני - קליטה'!$AF$5:$AF$204,0)),""))</f>
        <v/>
      </c>
      <c r="Q176" s="28" t="str">
        <f aca="false">IF($A176="","",IFERROR(INDEX('זה אני - קליטה'!$AI$5:$AI$204,MATCH($A176&amp;"|סוף שנה",'זה אני - קליטה'!$AF$5:$AF$204,0)),""))</f>
        <v/>
      </c>
      <c r="R176" s="28" t="str">
        <f aca="false">IF($A176="","",IFERROR(INDEX('זה אני - קליטה'!$AJ$5:$AJ$204,MATCH($A176&amp;"|סוף שנה",'זה אני - קליטה'!$AF$5:$AF$204,0)),""))</f>
        <v/>
      </c>
      <c r="S176" s="28" t="str">
        <f aca="false">IF($A176="","",IFERROR(INDEX('זה אני - קליטה'!$AK$5:$AK$204,MATCH($A176&amp;"|סוף שנה",'זה אני - קליטה'!$AF$5:$AF$204,0)),""))</f>
        <v/>
      </c>
      <c r="T176" s="28" t="str">
        <f aca="false">IF($A176="","",IFERROR(INDEX('זה אני - קליטה'!$AL$5:$AL$204,MATCH($A176&amp;"|סוף שנה",'זה אני - קליטה'!$AF$5:$AF$204,0)),""))</f>
        <v/>
      </c>
      <c r="U176" s="27" t="str">
        <f aca="false">IF($A176="","",IFERROR(INDEX('זה אני - קליטה'!$AG$5:$AG$204,MATCH($A176&amp;"|סוף שנה",'זה אני - קליטה'!$AF$5:$AF$204,0)),""))</f>
        <v/>
      </c>
      <c r="V176" s="28" t="str">
        <f aca="false">IF($A176="","",IFERROR(INDEX('זה אני - קליטה'!$AN$5:$AN$204,MATCH($A176&amp;"|סוף שנה",'זה אני - קליטה'!$AF$5:$AF$204,0)),""))</f>
        <v/>
      </c>
      <c r="W176" s="32" t="str">
        <f aca="false">IF(AND(ISNUMBER(F176),ISNUMBER(T176)),T176-F176,"")</f>
        <v/>
      </c>
      <c r="X176" s="27" t="str">
        <f aca="false">IF(W176="","",IF(W176&gt;=0.25,"עלייה",IF(W176&lt;=-0.25,"ירידה","יציב")))</f>
        <v/>
      </c>
    </row>
    <row r="177" customFormat="false" ht="15" hidden="false" customHeight="false" outlineLevel="0" collapsed="false">
      <c r="A177" s="29"/>
      <c r="B177" s="28" t="str">
        <f aca="false">IF($A177="","",IFERROR(INDEX('זה אני - קליטה'!$AH$5:$AH$204,MATCH($A177&amp;"|תחילת שנה",'זה אני - קליטה'!$AF$5:$AF$204,0)),""))</f>
        <v/>
      </c>
      <c r="C177" s="28" t="str">
        <f aca="false">IF($A177="","",IFERROR(INDEX('זה אני - קליטה'!$AI$5:$AI$204,MATCH($A177&amp;"|תחילת שנה",'זה אני - קליטה'!$AF$5:$AF$204,0)),""))</f>
        <v/>
      </c>
      <c r="D177" s="28" t="str">
        <f aca="false">IF($A177="","",IFERROR(INDEX('זה אני - קליטה'!$AJ$5:$AJ$204,MATCH($A177&amp;"|תחילת שנה",'זה אני - קליטה'!$AF$5:$AF$204,0)),""))</f>
        <v/>
      </c>
      <c r="E177" s="28" t="str">
        <f aca="false">IF($A177="","",IFERROR(INDEX('זה אני - קליטה'!$AK$5:$AK$204,MATCH($A177&amp;"|תחילת שנה",'זה אני - קליטה'!$AF$5:$AF$204,0)),""))</f>
        <v/>
      </c>
      <c r="F177" s="28" t="str">
        <f aca="false">IF($A177="","",IFERROR(INDEX('זה אני - קליטה'!$AL$5:$AL$204,MATCH($A177&amp;"|תחילת שנה",'זה אני - קליטה'!$AF$5:$AF$204,0)),""))</f>
        <v/>
      </c>
      <c r="G177" s="27" t="str">
        <f aca="false">IF($A177="","",IFERROR(INDEX('זה אני - קליטה'!$AG$5:$AG$204,MATCH($A177&amp;"|תחילת שנה",'זה אני - קליטה'!$AF$5:$AF$204,0)),""))</f>
        <v/>
      </c>
      <c r="H177" s="28" t="str">
        <f aca="false">IF($A177="","",IFERROR(INDEX('זה אני - קליטה'!$AN$5:$AN$204,MATCH($A177&amp;"|תחילת שנה",'זה אני - קליטה'!$AF$5:$AF$204,0)),""))</f>
        <v/>
      </c>
      <c r="I177" s="28" t="str">
        <f aca="false">IF($A177="","",IFERROR(INDEX('זה אני - קליטה'!$AH$5:$AH$204,MATCH($A177&amp;"|אמצע שנה",'זה אני - קליטה'!$AF$5:$AF$204,0)),""))</f>
        <v/>
      </c>
      <c r="J177" s="28" t="str">
        <f aca="false">IF($A177="","",IFERROR(INDEX('זה אני - קליטה'!$AI$5:$AI$204,MATCH($A177&amp;"|אמצע שנה",'זה אני - קליטה'!$AF$5:$AF$204,0)),""))</f>
        <v/>
      </c>
      <c r="K177" s="28" t="str">
        <f aca="false">IF($A177="","",IFERROR(INDEX('זה אני - קליטה'!$AJ$5:$AJ$204,MATCH($A177&amp;"|אמצע שנה",'זה אני - קליטה'!$AF$5:$AF$204,0)),""))</f>
        <v/>
      </c>
      <c r="L177" s="28" t="str">
        <f aca="false">IF($A177="","",IFERROR(INDEX('זה אני - קליטה'!$AK$5:$AK$204,MATCH($A177&amp;"|אמצע שנה",'זה אני - קליטה'!$AF$5:$AF$204,0)),""))</f>
        <v/>
      </c>
      <c r="M177" s="28" t="str">
        <f aca="false">IF($A177="","",IFERROR(INDEX('זה אני - קליטה'!$AL$5:$AL$204,MATCH($A177&amp;"|אמצע שנה",'זה אני - קליטה'!$AF$5:$AF$204,0)),""))</f>
        <v/>
      </c>
      <c r="N177" s="27" t="str">
        <f aca="false">IF($A177="","",IFERROR(INDEX('זה אני - קליטה'!$AG$5:$AG$204,MATCH($A177&amp;"|אמצע שנה",'זה אני - קליטה'!$AF$5:$AF$204,0)),""))</f>
        <v/>
      </c>
      <c r="O177" s="28" t="str">
        <f aca="false">IF($A177="","",IFERROR(INDEX('זה אני - קליטה'!$AN$5:$AN$204,MATCH($A177&amp;"|אמצע שנה",'זה אני - קליטה'!$AF$5:$AF$204,0)),""))</f>
        <v/>
      </c>
      <c r="P177" s="28" t="str">
        <f aca="false">IF($A177="","",IFERROR(INDEX('זה אני - קליטה'!$AH$5:$AH$204,MATCH($A177&amp;"|סוף שנה",'זה אני - קליטה'!$AF$5:$AF$204,0)),""))</f>
        <v/>
      </c>
      <c r="Q177" s="28" t="str">
        <f aca="false">IF($A177="","",IFERROR(INDEX('זה אני - קליטה'!$AI$5:$AI$204,MATCH($A177&amp;"|סוף שנה",'זה אני - קליטה'!$AF$5:$AF$204,0)),""))</f>
        <v/>
      </c>
      <c r="R177" s="28" t="str">
        <f aca="false">IF($A177="","",IFERROR(INDEX('זה אני - קליטה'!$AJ$5:$AJ$204,MATCH($A177&amp;"|סוף שנה",'זה אני - קליטה'!$AF$5:$AF$204,0)),""))</f>
        <v/>
      </c>
      <c r="S177" s="28" t="str">
        <f aca="false">IF($A177="","",IFERROR(INDEX('זה אני - קליטה'!$AK$5:$AK$204,MATCH($A177&amp;"|סוף שנה",'זה אני - קליטה'!$AF$5:$AF$204,0)),""))</f>
        <v/>
      </c>
      <c r="T177" s="28" t="str">
        <f aca="false">IF($A177="","",IFERROR(INDEX('זה אני - קליטה'!$AL$5:$AL$204,MATCH($A177&amp;"|סוף שנה",'זה אני - קליטה'!$AF$5:$AF$204,0)),""))</f>
        <v/>
      </c>
      <c r="U177" s="27" t="str">
        <f aca="false">IF($A177="","",IFERROR(INDEX('זה אני - קליטה'!$AG$5:$AG$204,MATCH($A177&amp;"|סוף שנה",'זה אני - קליטה'!$AF$5:$AF$204,0)),""))</f>
        <v/>
      </c>
      <c r="V177" s="28" t="str">
        <f aca="false">IF($A177="","",IFERROR(INDEX('זה אני - קליטה'!$AN$5:$AN$204,MATCH($A177&amp;"|סוף שנה",'זה אני - קליטה'!$AF$5:$AF$204,0)),""))</f>
        <v/>
      </c>
      <c r="W177" s="32" t="str">
        <f aca="false">IF(AND(ISNUMBER(F177),ISNUMBER(T177)),T177-F177,"")</f>
        <v/>
      </c>
      <c r="X177" s="27" t="str">
        <f aca="false">IF(W177="","",IF(W177&gt;=0.25,"עלייה",IF(W177&lt;=-0.25,"ירידה","יציב")))</f>
        <v/>
      </c>
    </row>
    <row r="178" customFormat="false" ht="15" hidden="false" customHeight="false" outlineLevel="0" collapsed="false">
      <c r="A178" s="29"/>
      <c r="B178" s="28" t="str">
        <f aca="false">IF($A178="","",IFERROR(INDEX('זה אני - קליטה'!$AH$5:$AH$204,MATCH($A178&amp;"|תחילת שנה",'זה אני - קליטה'!$AF$5:$AF$204,0)),""))</f>
        <v/>
      </c>
      <c r="C178" s="28" t="str">
        <f aca="false">IF($A178="","",IFERROR(INDEX('זה אני - קליטה'!$AI$5:$AI$204,MATCH($A178&amp;"|תחילת שנה",'זה אני - קליטה'!$AF$5:$AF$204,0)),""))</f>
        <v/>
      </c>
      <c r="D178" s="28" t="str">
        <f aca="false">IF($A178="","",IFERROR(INDEX('זה אני - קליטה'!$AJ$5:$AJ$204,MATCH($A178&amp;"|תחילת שנה",'זה אני - קליטה'!$AF$5:$AF$204,0)),""))</f>
        <v/>
      </c>
      <c r="E178" s="28" t="str">
        <f aca="false">IF($A178="","",IFERROR(INDEX('זה אני - קליטה'!$AK$5:$AK$204,MATCH($A178&amp;"|תחילת שנה",'זה אני - קליטה'!$AF$5:$AF$204,0)),""))</f>
        <v/>
      </c>
      <c r="F178" s="28" t="str">
        <f aca="false">IF($A178="","",IFERROR(INDEX('זה אני - קליטה'!$AL$5:$AL$204,MATCH($A178&amp;"|תחילת שנה",'זה אני - קליטה'!$AF$5:$AF$204,0)),""))</f>
        <v/>
      </c>
      <c r="G178" s="27" t="str">
        <f aca="false">IF($A178="","",IFERROR(INDEX('זה אני - קליטה'!$AG$5:$AG$204,MATCH($A178&amp;"|תחילת שנה",'זה אני - קליטה'!$AF$5:$AF$204,0)),""))</f>
        <v/>
      </c>
      <c r="H178" s="28" t="str">
        <f aca="false">IF($A178="","",IFERROR(INDEX('זה אני - קליטה'!$AN$5:$AN$204,MATCH($A178&amp;"|תחילת שנה",'זה אני - קליטה'!$AF$5:$AF$204,0)),""))</f>
        <v/>
      </c>
      <c r="I178" s="28" t="str">
        <f aca="false">IF($A178="","",IFERROR(INDEX('זה אני - קליטה'!$AH$5:$AH$204,MATCH($A178&amp;"|אמצע שנה",'זה אני - קליטה'!$AF$5:$AF$204,0)),""))</f>
        <v/>
      </c>
      <c r="J178" s="28" t="str">
        <f aca="false">IF($A178="","",IFERROR(INDEX('זה אני - קליטה'!$AI$5:$AI$204,MATCH($A178&amp;"|אמצע שנה",'זה אני - קליטה'!$AF$5:$AF$204,0)),""))</f>
        <v/>
      </c>
      <c r="K178" s="28" t="str">
        <f aca="false">IF($A178="","",IFERROR(INDEX('זה אני - קליטה'!$AJ$5:$AJ$204,MATCH($A178&amp;"|אמצע שנה",'זה אני - קליטה'!$AF$5:$AF$204,0)),""))</f>
        <v/>
      </c>
      <c r="L178" s="28" t="str">
        <f aca="false">IF($A178="","",IFERROR(INDEX('זה אני - קליטה'!$AK$5:$AK$204,MATCH($A178&amp;"|אמצע שנה",'זה אני - קליטה'!$AF$5:$AF$204,0)),""))</f>
        <v/>
      </c>
      <c r="M178" s="28" t="str">
        <f aca="false">IF($A178="","",IFERROR(INDEX('זה אני - קליטה'!$AL$5:$AL$204,MATCH($A178&amp;"|אמצע שנה",'זה אני - קליטה'!$AF$5:$AF$204,0)),""))</f>
        <v/>
      </c>
      <c r="N178" s="27" t="str">
        <f aca="false">IF($A178="","",IFERROR(INDEX('זה אני - קליטה'!$AG$5:$AG$204,MATCH($A178&amp;"|אמצע שנה",'זה אני - קליטה'!$AF$5:$AF$204,0)),""))</f>
        <v/>
      </c>
      <c r="O178" s="28" t="str">
        <f aca="false">IF($A178="","",IFERROR(INDEX('זה אני - קליטה'!$AN$5:$AN$204,MATCH($A178&amp;"|אמצע שנה",'זה אני - קליטה'!$AF$5:$AF$204,0)),""))</f>
        <v/>
      </c>
      <c r="P178" s="28" t="str">
        <f aca="false">IF($A178="","",IFERROR(INDEX('זה אני - קליטה'!$AH$5:$AH$204,MATCH($A178&amp;"|סוף שנה",'זה אני - קליטה'!$AF$5:$AF$204,0)),""))</f>
        <v/>
      </c>
      <c r="Q178" s="28" t="str">
        <f aca="false">IF($A178="","",IFERROR(INDEX('זה אני - קליטה'!$AI$5:$AI$204,MATCH($A178&amp;"|סוף שנה",'זה אני - קליטה'!$AF$5:$AF$204,0)),""))</f>
        <v/>
      </c>
      <c r="R178" s="28" t="str">
        <f aca="false">IF($A178="","",IFERROR(INDEX('זה אני - קליטה'!$AJ$5:$AJ$204,MATCH($A178&amp;"|סוף שנה",'זה אני - קליטה'!$AF$5:$AF$204,0)),""))</f>
        <v/>
      </c>
      <c r="S178" s="28" t="str">
        <f aca="false">IF($A178="","",IFERROR(INDEX('זה אני - קליטה'!$AK$5:$AK$204,MATCH($A178&amp;"|סוף שנה",'זה אני - קליטה'!$AF$5:$AF$204,0)),""))</f>
        <v/>
      </c>
      <c r="T178" s="28" t="str">
        <f aca="false">IF($A178="","",IFERROR(INDEX('זה אני - קליטה'!$AL$5:$AL$204,MATCH($A178&amp;"|סוף שנה",'זה אני - קליטה'!$AF$5:$AF$204,0)),""))</f>
        <v/>
      </c>
      <c r="U178" s="27" t="str">
        <f aca="false">IF($A178="","",IFERROR(INDEX('זה אני - קליטה'!$AG$5:$AG$204,MATCH($A178&amp;"|סוף שנה",'זה אני - קליטה'!$AF$5:$AF$204,0)),""))</f>
        <v/>
      </c>
      <c r="V178" s="28" t="str">
        <f aca="false">IF($A178="","",IFERROR(INDEX('זה אני - קליטה'!$AN$5:$AN$204,MATCH($A178&amp;"|סוף שנה",'זה אני - קליטה'!$AF$5:$AF$204,0)),""))</f>
        <v/>
      </c>
      <c r="W178" s="32" t="str">
        <f aca="false">IF(AND(ISNUMBER(F178),ISNUMBER(T178)),T178-F178,"")</f>
        <v/>
      </c>
      <c r="X178" s="27" t="str">
        <f aca="false">IF(W178="","",IF(W178&gt;=0.25,"עלייה",IF(W178&lt;=-0.25,"ירידה","יציב")))</f>
        <v/>
      </c>
    </row>
    <row r="179" customFormat="false" ht="15" hidden="false" customHeight="false" outlineLevel="0" collapsed="false">
      <c r="A179" s="29"/>
      <c r="B179" s="28" t="str">
        <f aca="false">IF($A179="","",IFERROR(INDEX('זה אני - קליטה'!$AH$5:$AH$204,MATCH($A179&amp;"|תחילת שנה",'זה אני - קליטה'!$AF$5:$AF$204,0)),""))</f>
        <v/>
      </c>
      <c r="C179" s="28" t="str">
        <f aca="false">IF($A179="","",IFERROR(INDEX('זה אני - קליטה'!$AI$5:$AI$204,MATCH($A179&amp;"|תחילת שנה",'זה אני - קליטה'!$AF$5:$AF$204,0)),""))</f>
        <v/>
      </c>
      <c r="D179" s="28" t="str">
        <f aca="false">IF($A179="","",IFERROR(INDEX('זה אני - קליטה'!$AJ$5:$AJ$204,MATCH($A179&amp;"|תחילת שנה",'זה אני - קליטה'!$AF$5:$AF$204,0)),""))</f>
        <v/>
      </c>
      <c r="E179" s="28" t="str">
        <f aca="false">IF($A179="","",IFERROR(INDEX('זה אני - קליטה'!$AK$5:$AK$204,MATCH($A179&amp;"|תחילת שנה",'זה אני - קליטה'!$AF$5:$AF$204,0)),""))</f>
        <v/>
      </c>
      <c r="F179" s="28" t="str">
        <f aca="false">IF($A179="","",IFERROR(INDEX('זה אני - קליטה'!$AL$5:$AL$204,MATCH($A179&amp;"|תחילת שנה",'זה אני - קליטה'!$AF$5:$AF$204,0)),""))</f>
        <v/>
      </c>
      <c r="G179" s="27" t="str">
        <f aca="false">IF($A179="","",IFERROR(INDEX('זה אני - קליטה'!$AG$5:$AG$204,MATCH($A179&amp;"|תחילת שנה",'זה אני - קליטה'!$AF$5:$AF$204,0)),""))</f>
        <v/>
      </c>
      <c r="H179" s="28" t="str">
        <f aca="false">IF($A179="","",IFERROR(INDEX('זה אני - קליטה'!$AN$5:$AN$204,MATCH($A179&amp;"|תחילת שנה",'זה אני - קליטה'!$AF$5:$AF$204,0)),""))</f>
        <v/>
      </c>
      <c r="I179" s="28" t="str">
        <f aca="false">IF($A179="","",IFERROR(INDEX('זה אני - קליטה'!$AH$5:$AH$204,MATCH($A179&amp;"|אמצע שנה",'זה אני - קליטה'!$AF$5:$AF$204,0)),""))</f>
        <v/>
      </c>
      <c r="J179" s="28" t="str">
        <f aca="false">IF($A179="","",IFERROR(INDEX('זה אני - קליטה'!$AI$5:$AI$204,MATCH($A179&amp;"|אמצע שנה",'זה אני - קליטה'!$AF$5:$AF$204,0)),""))</f>
        <v/>
      </c>
      <c r="K179" s="28" t="str">
        <f aca="false">IF($A179="","",IFERROR(INDEX('זה אני - קליטה'!$AJ$5:$AJ$204,MATCH($A179&amp;"|אמצע שנה",'זה אני - קליטה'!$AF$5:$AF$204,0)),""))</f>
        <v/>
      </c>
      <c r="L179" s="28" t="str">
        <f aca="false">IF($A179="","",IFERROR(INDEX('זה אני - קליטה'!$AK$5:$AK$204,MATCH($A179&amp;"|אמצע שנה",'זה אני - קליטה'!$AF$5:$AF$204,0)),""))</f>
        <v/>
      </c>
      <c r="M179" s="28" t="str">
        <f aca="false">IF($A179="","",IFERROR(INDEX('זה אני - קליטה'!$AL$5:$AL$204,MATCH($A179&amp;"|אמצע שנה",'זה אני - קליטה'!$AF$5:$AF$204,0)),""))</f>
        <v/>
      </c>
      <c r="N179" s="27" t="str">
        <f aca="false">IF($A179="","",IFERROR(INDEX('זה אני - קליטה'!$AG$5:$AG$204,MATCH($A179&amp;"|אמצע שנה",'זה אני - קליטה'!$AF$5:$AF$204,0)),""))</f>
        <v/>
      </c>
      <c r="O179" s="28" t="str">
        <f aca="false">IF($A179="","",IFERROR(INDEX('זה אני - קליטה'!$AN$5:$AN$204,MATCH($A179&amp;"|אמצע שנה",'זה אני - קליטה'!$AF$5:$AF$204,0)),""))</f>
        <v/>
      </c>
      <c r="P179" s="28" t="str">
        <f aca="false">IF($A179="","",IFERROR(INDEX('זה אני - קליטה'!$AH$5:$AH$204,MATCH($A179&amp;"|סוף שנה",'זה אני - קליטה'!$AF$5:$AF$204,0)),""))</f>
        <v/>
      </c>
      <c r="Q179" s="28" t="str">
        <f aca="false">IF($A179="","",IFERROR(INDEX('זה אני - קליטה'!$AI$5:$AI$204,MATCH($A179&amp;"|סוף שנה",'זה אני - קליטה'!$AF$5:$AF$204,0)),""))</f>
        <v/>
      </c>
      <c r="R179" s="28" t="str">
        <f aca="false">IF($A179="","",IFERROR(INDEX('זה אני - קליטה'!$AJ$5:$AJ$204,MATCH($A179&amp;"|סוף שנה",'זה אני - קליטה'!$AF$5:$AF$204,0)),""))</f>
        <v/>
      </c>
      <c r="S179" s="28" t="str">
        <f aca="false">IF($A179="","",IFERROR(INDEX('זה אני - קליטה'!$AK$5:$AK$204,MATCH($A179&amp;"|סוף שנה",'זה אני - קליטה'!$AF$5:$AF$204,0)),""))</f>
        <v/>
      </c>
      <c r="T179" s="28" t="str">
        <f aca="false">IF($A179="","",IFERROR(INDEX('זה אני - קליטה'!$AL$5:$AL$204,MATCH($A179&amp;"|סוף שנה",'זה אני - קליטה'!$AF$5:$AF$204,0)),""))</f>
        <v/>
      </c>
      <c r="U179" s="27" t="str">
        <f aca="false">IF($A179="","",IFERROR(INDEX('זה אני - קליטה'!$AG$5:$AG$204,MATCH($A179&amp;"|סוף שנה",'זה אני - קליטה'!$AF$5:$AF$204,0)),""))</f>
        <v/>
      </c>
      <c r="V179" s="28" t="str">
        <f aca="false">IF($A179="","",IFERROR(INDEX('זה אני - קליטה'!$AN$5:$AN$204,MATCH($A179&amp;"|סוף שנה",'זה אני - קליטה'!$AF$5:$AF$204,0)),""))</f>
        <v/>
      </c>
      <c r="W179" s="32" t="str">
        <f aca="false">IF(AND(ISNUMBER(F179),ISNUMBER(T179)),T179-F179,"")</f>
        <v/>
      </c>
      <c r="X179" s="27" t="str">
        <f aca="false">IF(W179="","",IF(W179&gt;=0.25,"עלייה",IF(W179&lt;=-0.25,"ירידה","יציב")))</f>
        <v/>
      </c>
    </row>
    <row r="180" customFormat="false" ht="15" hidden="false" customHeight="false" outlineLevel="0" collapsed="false">
      <c r="A180" s="29"/>
      <c r="B180" s="28" t="str">
        <f aca="false">IF($A180="","",IFERROR(INDEX('זה אני - קליטה'!$AH$5:$AH$204,MATCH($A180&amp;"|תחילת שנה",'זה אני - קליטה'!$AF$5:$AF$204,0)),""))</f>
        <v/>
      </c>
      <c r="C180" s="28" t="str">
        <f aca="false">IF($A180="","",IFERROR(INDEX('זה אני - קליטה'!$AI$5:$AI$204,MATCH($A180&amp;"|תחילת שנה",'זה אני - קליטה'!$AF$5:$AF$204,0)),""))</f>
        <v/>
      </c>
      <c r="D180" s="28" t="str">
        <f aca="false">IF($A180="","",IFERROR(INDEX('זה אני - קליטה'!$AJ$5:$AJ$204,MATCH($A180&amp;"|תחילת שנה",'זה אני - קליטה'!$AF$5:$AF$204,0)),""))</f>
        <v/>
      </c>
      <c r="E180" s="28" t="str">
        <f aca="false">IF($A180="","",IFERROR(INDEX('זה אני - קליטה'!$AK$5:$AK$204,MATCH($A180&amp;"|תחילת שנה",'זה אני - קליטה'!$AF$5:$AF$204,0)),""))</f>
        <v/>
      </c>
      <c r="F180" s="28" t="str">
        <f aca="false">IF($A180="","",IFERROR(INDEX('זה אני - קליטה'!$AL$5:$AL$204,MATCH($A180&amp;"|תחילת שנה",'זה אני - קליטה'!$AF$5:$AF$204,0)),""))</f>
        <v/>
      </c>
      <c r="G180" s="27" t="str">
        <f aca="false">IF($A180="","",IFERROR(INDEX('זה אני - קליטה'!$AG$5:$AG$204,MATCH($A180&amp;"|תחילת שנה",'זה אני - קליטה'!$AF$5:$AF$204,0)),""))</f>
        <v/>
      </c>
      <c r="H180" s="28" t="str">
        <f aca="false">IF($A180="","",IFERROR(INDEX('זה אני - קליטה'!$AN$5:$AN$204,MATCH($A180&amp;"|תחילת שנה",'זה אני - קליטה'!$AF$5:$AF$204,0)),""))</f>
        <v/>
      </c>
      <c r="I180" s="28" t="str">
        <f aca="false">IF($A180="","",IFERROR(INDEX('זה אני - קליטה'!$AH$5:$AH$204,MATCH($A180&amp;"|אמצע שנה",'זה אני - קליטה'!$AF$5:$AF$204,0)),""))</f>
        <v/>
      </c>
      <c r="J180" s="28" t="str">
        <f aca="false">IF($A180="","",IFERROR(INDEX('זה אני - קליטה'!$AI$5:$AI$204,MATCH($A180&amp;"|אמצע שנה",'זה אני - קליטה'!$AF$5:$AF$204,0)),""))</f>
        <v/>
      </c>
      <c r="K180" s="28" t="str">
        <f aca="false">IF($A180="","",IFERROR(INDEX('זה אני - קליטה'!$AJ$5:$AJ$204,MATCH($A180&amp;"|אמצע שנה",'זה אני - קליטה'!$AF$5:$AF$204,0)),""))</f>
        <v/>
      </c>
      <c r="L180" s="28" t="str">
        <f aca="false">IF($A180="","",IFERROR(INDEX('זה אני - קליטה'!$AK$5:$AK$204,MATCH($A180&amp;"|אמצע שנה",'זה אני - קליטה'!$AF$5:$AF$204,0)),""))</f>
        <v/>
      </c>
      <c r="M180" s="28" t="str">
        <f aca="false">IF($A180="","",IFERROR(INDEX('זה אני - קליטה'!$AL$5:$AL$204,MATCH($A180&amp;"|אמצע שנה",'זה אני - קליטה'!$AF$5:$AF$204,0)),""))</f>
        <v/>
      </c>
      <c r="N180" s="27" t="str">
        <f aca="false">IF($A180="","",IFERROR(INDEX('זה אני - קליטה'!$AG$5:$AG$204,MATCH($A180&amp;"|אמצע שנה",'זה אני - קליטה'!$AF$5:$AF$204,0)),""))</f>
        <v/>
      </c>
      <c r="O180" s="28" t="str">
        <f aca="false">IF($A180="","",IFERROR(INDEX('זה אני - קליטה'!$AN$5:$AN$204,MATCH($A180&amp;"|אמצע שנה",'זה אני - קליטה'!$AF$5:$AF$204,0)),""))</f>
        <v/>
      </c>
      <c r="P180" s="28" t="str">
        <f aca="false">IF($A180="","",IFERROR(INDEX('זה אני - קליטה'!$AH$5:$AH$204,MATCH($A180&amp;"|סוף שנה",'זה אני - קליטה'!$AF$5:$AF$204,0)),""))</f>
        <v/>
      </c>
      <c r="Q180" s="28" t="str">
        <f aca="false">IF($A180="","",IFERROR(INDEX('זה אני - קליטה'!$AI$5:$AI$204,MATCH($A180&amp;"|סוף שנה",'זה אני - קליטה'!$AF$5:$AF$204,0)),""))</f>
        <v/>
      </c>
      <c r="R180" s="28" t="str">
        <f aca="false">IF($A180="","",IFERROR(INDEX('זה אני - קליטה'!$AJ$5:$AJ$204,MATCH($A180&amp;"|סוף שנה",'זה אני - קליטה'!$AF$5:$AF$204,0)),""))</f>
        <v/>
      </c>
      <c r="S180" s="28" t="str">
        <f aca="false">IF($A180="","",IFERROR(INDEX('זה אני - קליטה'!$AK$5:$AK$204,MATCH($A180&amp;"|סוף שנה",'זה אני - קליטה'!$AF$5:$AF$204,0)),""))</f>
        <v/>
      </c>
      <c r="T180" s="28" t="str">
        <f aca="false">IF($A180="","",IFERROR(INDEX('זה אני - קליטה'!$AL$5:$AL$204,MATCH($A180&amp;"|סוף שנה",'זה אני - קליטה'!$AF$5:$AF$204,0)),""))</f>
        <v/>
      </c>
      <c r="U180" s="27" t="str">
        <f aca="false">IF($A180="","",IFERROR(INDEX('זה אני - קליטה'!$AG$5:$AG$204,MATCH($A180&amp;"|סוף שנה",'זה אני - קליטה'!$AF$5:$AF$204,0)),""))</f>
        <v/>
      </c>
      <c r="V180" s="28" t="str">
        <f aca="false">IF($A180="","",IFERROR(INDEX('זה אני - קליטה'!$AN$5:$AN$204,MATCH($A180&amp;"|סוף שנה",'זה אני - קליטה'!$AF$5:$AF$204,0)),""))</f>
        <v/>
      </c>
      <c r="W180" s="32" t="str">
        <f aca="false">IF(AND(ISNUMBER(F180),ISNUMBER(T180)),T180-F180,"")</f>
        <v/>
      </c>
      <c r="X180" s="27" t="str">
        <f aca="false">IF(W180="","",IF(W180&gt;=0.25,"עלייה",IF(W180&lt;=-0.25,"ירידה","יציב")))</f>
        <v/>
      </c>
    </row>
    <row r="181" customFormat="false" ht="15" hidden="false" customHeight="false" outlineLevel="0" collapsed="false">
      <c r="A181" s="29"/>
      <c r="B181" s="28" t="str">
        <f aca="false">IF($A181="","",IFERROR(INDEX('זה אני - קליטה'!$AH$5:$AH$204,MATCH($A181&amp;"|תחילת שנה",'זה אני - קליטה'!$AF$5:$AF$204,0)),""))</f>
        <v/>
      </c>
      <c r="C181" s="28" t="str">
        <f aca="false">IF($A181="","",IFERROR(INDEX('זה אני - קליטה'!$AI$5:$AI$204,MATCH($A181&amp;"|תחילת שנה",'זה אני - קליטה'!$AF$5:$AF$204,0)),""))</f>
        <v/>
      </c>
      <c r="D181" s="28" t="str">
        <f aca="false">IF($A181="","",IFERROR(INDEX('זה אני - קליטה'!$AJ$5:$AJ$204,MATCH($A181&amp;"|תחילת שנה",'זה אני - קליטה'!$AF$5:$AF$204,0)),""))</f>
        <v/>
      </c>
      <c r="E181" s="28" t="str">
        <f aca="false">IF($A181="","",IFERROR(INDEX('זה אני - קליטה'!$AK$5:$AK$204,MATCH($A181&amp;"|תחילת שנה",'זה אני - קליטה'!$AF$5:$AF$204,0)),""))</f>
        <v/>
      </c>
      <c r="F181" s="28" t="str">
        <f aca="false">IF($A181="","",IFERROR(INDEX('זה אני - קליטה'!$AL$5:$AL$204,MATCH($A181&amp;"|תחילת שנה",'זה אני - קליטה'!$AF$5:$AF$204,0)),""))</f>
        <v/>
      </c>
      <c r="G181" s="27" t="str">
        <f aca="false">IF($A181="","",IFERROR(INDEX('זה אני - קליטה'!$AG$5:$AG$204,MATCH($A181&amp;"|תחילת שנה",'זה אני - קליטה'!$AF$5:$AF$204,0)),""))</f>
        <v/>
      </c>
      <c r="H181" s="28" t="str">
        <f aca="false">IF($A181="","",IFERROR(INDEX('זה אני - קליטה'!$AN$5:$AN$204,MATCH($A181&amp;"|תחילת שנה",'זה אני - קליטה'!$AF$5:$AF$204,0)),""))</f>
        <v/>
      </c>
      <c r="I181" s="28" t="str">
        <f aca="false">IF($A181="","",IFERROR(INDEX('זה אני - קליטה'!$AH$5:$AH$204,MATCH($A181&amp;"|אמצע שנה",'זה אני - קליטה'!$AF$5:$AF$204,0)),""))</f>
        <v/>
      </c>
      <c r="J181" s="28" t="str">
        <f aca="false">IF($A181="","",IFERROR(INDEX('זה אני - קליטה'!$AI$5:$AI$204,MATCH($A181&amp;"|אמצע שנה",'זה אני - קליטה'!$AF$5:$AF$204,0)),""))</f>
        <v/>
      </c>
      <c r="K181" s="28" t="str">
        <f aca="false">IF($A181="","",IFERROR(INDEX('זה אני - קליטה'!$AJ$5:$AJ$204,MATCH($A181&amp;"|אמצע שנה",'זה אני - קליטה'!$AF$5:$AF$204,0)),""))</f>
        <v/>
      </c>
      <c r="L181" s="28" t="str">
        <f aca="false">IF($A181="","",IFERROR(INDEX('זה אני - קליטה'!$AK$5:$AK$204,MATCH($A181&amp;"|אמצע שנה",'זה אני - קליטה'!$AF$5:$AF$204,0)),""))</f>
        <v/>
      </c>
      <c r="M181" s="28" t="str">
        <f aca="false">IF($A181="","",IFERROR(INDEX('זה אני - קליטה'!$AL$5:$AL$204,MATCH($A181&amp;"|אמצע שנה",'זה אני - קליטה'!$AF$5:$AF$204,0)),""))</f>
        <v/>
      </c>
      <c r="N181" s="27" t="str">
        <f aca="false">IF($A181="","",IFERROR(INDEX('זה אני - קליטה'!$AG$5:$AG$204,MATCH($A181&amp;"|אמצע שנה",'זה אני - קליטה'!$AF$5:$AF$204,0)),""))</f>
        <v/>
      </c>
      <c r="O181" s="28" t="str">
        <f aca="false">IF($A181="","",IFERROR(INDEX('זה אני - קליטה'!$AN$5:$AN$204,MATCH($A181&amp;"|אמצע שנה",'זה אני - קליטה'!$AF$5:$AF$204,0)),""))</f>
        <v/>
      </c>
      <c r="P181" s="28" t="str">
        <f aca="false">IF($A181="","",IFERROR(INDEX('זה אני - קליטה'!$AH$5:$AH$204,MATCH($A181&amp;"|סוף שנה",'זה אני - קליטה'!$AF$5:$AF$204,0)),""))</f>
        <v/>
      </c>
      <c r="Q181" s="28" t="str">
        <f aca="false">IF($A181="","",IFERROR(INDEX('זה אני - קליטה'!$AI$5:$AI$204,MATCH($A181&amp;"|סוף שנה",'זה אני - קליטה'!$AF$5:$AF$204,0)),""))</f>
        <v/>
      </c>
      <c r="R181" s="28" t="str">
        <f aca="false">IF($A181="","",IFERROR(INDEX('זה אני - קליטה'!$AJ$5:$AJ$204,MATCH($A181&amp;"|סוף שנה",'זה אני - קליטה'!$AF$5:$AF$204,0)),""))</f>
        <v/>
      </c>
      <c r="S181" s="28" t="str">
        <f aca="false">IF($A181="","",IFERROR(INDEX('זה אני - קליטה'!$AK$5:$AK$204,MATCH($A181&amp;"|סוף שנה",'זה אני - קליטה'!$AF$5:$AF$204,0)),""))</f>
        <v/>
      </c>
      <c r="T181" s="28" t="str">
        <f aca="false">IF($A181="","",IFERROR(INDEX('זה אני - קליטה'!$AL$5:$AL$204,MATCH($A181&amp;"|סוף שנה",'זה אני - קליטה'!$AF$5:$AF$204,0)),""))</f>
        <v/>
      </c>
      <c r="U181" s="27" t="str">
        <f aca="false">IF($A181="","",IFERROR(INDEX('זה אני - קליטה'!$AG$5:$AG$204,MATCH($A181&amp;"|סוף שנה",'זה אני - קליטה'!$AF$5:$AF$204,0)),""))</f>
        <v/>
      </c>
      <c r="V181" s="28" t="str">
        <f aca="false">IF($A181="","",IFERROR(INDEX('זה אני - קליטה'!$AN$5:$AN$204,MATCH($A181&amp;"|סוף שנה",'זה אני - קליטה'!$AF$5:$AF$204,0)),""))</f>
        <v/>
      </c>
      <c r="W181" s="32" t="str">
        <f aca="false">IF(AND(ISNUMBER(F181),ISNUMBER(T181)),T181-F181,"")</f>
        <v/>
      </c>
      <c r="X181" s="27" t="str">
        <f aca="false">IF(W181="","",IF(W181&gt;=0.25,"עלייה",IF(W181&lt;=-0.25,"ירידה","יציב")))</f>
        <v/>
      </c>
    </row>
    <row r="182" customFormat="false" ht="15" hidden="false" customHeight="false" outlineLevel="0" collapsed="false">
      <c r="A182" s="29"/>
      <c r="B182" s="28" t="str">
        <f aca="false">IF($A182="","",IFERROR(INDEX('זה אני - קליטה'!$AH$5:$AH$204,MATCH($A182&amp;"|תחילת שנה",'זה אני - קליטה'!$AF$5:$AF$204,0)),""))</f>
        <v/>
      </c>
      <c r="C182" s="28" t="str">
        <f aca="false">IF($A182="","",IFERROR(INDEX('זה אני - קליטה'!$AI$5:$AI$204,MATCH($A182&amp;"|תחילת שנה",'זה אני - קליטה'!$AF$5:$AF$204,0)),""))</f>
        <v/>
      </c>
      <c r="D182" s="28" t="str">
        <f aca="false">IF($A182="","",IFERROR(INDEX('זה אני - קליטה'!$AJ$5:$AJ$204,MATCH($A182&amp;"|תחילת שנה",'זה אני - קליטה'!$AF$5:$AF$204,0)),""))</f>
        <v/>
      </c>
      <c r="E182" s="28" t="str">
        <f aca="false">IF($A182="","",IFERROR(INDEX('זה אני - קליטה'!$AK$5:$AK$204,MATCH($A182&amp;"|תחילת שנה",'זה אני - קליטה'!$AF$5:$AF$204,0)),""))</f>
        <v/>
      </c>
      <c r="F182" s="28" t="str">
        <f aca="false">IF($A182="","",IFERROR(INDEX('זה אני - קליטה'!$AL$5:$AL$204,MATCH($A182&amp;"|תחילת שנה",'זה אני - קליטה'!$AF$5:$AF$204,0)),""))</f>
        <v/>
      </c>
      <c r="G182" s="27" t="str">
        <f aca="false">IF($A182="","",IFERROR(INDEX('זה אני - קליטה'!$AG$5:$AG$204,MATCH($A182&amp;"|תחילת שנה",'זה אני - קליטה'!$AF$5:$AF$204,0)),""))</f>
        <v/>
      </c>
      <c r="H182" s="28" t="str">
        <f aca="false">IF($A182="","",IFERROR(INDEX('זה אני - קליטה'!$AN$5:$AN$204,MATCH($A182&amp;"|תחילת שנה",'זה אני - קליטה'!$AF$5:$AF$204,0)),""))</f>
        <v/>
      </c>
      <c r="I182" s="28" t="str">
        <f aca="false">IF($A182="","",IFERROR(INDEX('זה אני - קליטה'!$AH$5:$AH$204,MATCH($A182&amp;"|אמצע שנה",'זה אני - קליטה'!$AF$5:$AF$204,0)),""))</f>
        <v/>
      </c>
      <c r="J182" s="28" t="str">
        <f aca="false">IF($A182="","",IFERROR(INDEX('זה אני - קליטה'!$AI$5:$AI$204,MATCH($A182&amp;"|אמצע שנה",'זה אני - קליטה'!$AF$5:$AF$204,0)),""))</f>
        <v/>
      </c>
      <c r="K182" s="28" t="str">
        <f aca="false">IF($A182="","",IFERROR(INDEX('זה אני - קליטה'!$AJ$5:$AJ$204,MATCH($A182&amp;"|אמצע שנה",'זה אני - קליטה'!$AF$5:$AF$204,0)),""))</f>
        <v/>
      </c>
      <c r="L182" s="28" t="str">
        <f aca="false">IF($A182="","",IFERROR(INDEX('זה אני - קליטה'!$AK$5:$AK$204,MATCH($A182&amp;"|אמצע שנה",'זה אני - קליטה'!$AF$5:$AF$204,0)),""))</f>
        <v/>
      </c>
      <c r="M182" s="28" t="str">
        <f aca="false">IF($A182="","",IFERROR(INDEX('זה אני - קליטה'!$AL$5:$AL$204,MATCH($A182&amp;"|אמצע שנה",'זה אני - קליטה'!$AF$5:$AF$204,0)),""))</f>
        <v/>
      </c>
      <c r="N182" s="27" t="str">
        <f aca="false">IF($A182="","",IFERROR(INDEX('זה אני - קליטה'!$AG$5:$AG$204,MATCH($A182&amp;"|אמצע שנה",'זה אני - קליטה'!$AF$5:$AF$204,0)),""))</f>
        <v/>
      </c>
      <c r="O182" s="28" t="str">
        <f aca="false">IF($A182="","",IFERROR(INDEX('זה אני - קליטה'!$AN$5:$AN$204,MATCH($A182&amp;"|אמצע שנה",'זה אני - קליטה'!$AF$5:$AF$204,0)),""))</f>
        <v/>
      </c>
      <c r="P182" s="28" t="str">
        <f aca="false">IF($A182="","",IFERROR(INDEX('זה אני - קליטה'!$AH$5:$AH$204,MATCH($A182&amp;"|סוף שנה",'זה אני - קליטה'!$AF$5:$AF$204,0)),""))</f>
        <v/>
      </c>
      <c r="Q182" s="28" t="str">
        <f aca="false">IF($A182="","",IFERROR(INDEX('זה אני - קליטה'!$AI$5:$AI$204,MATCH($A182&amp;"|סוף שנה",'זה אני - קליטה'!$AF$5:$AF$204,0)),""))</f>
        <v/>
      </c>
      <c r="R182" s="28" t="str">
        <f aca="false">IF($A182="","",IFERROR(INDEX('זה אני - קליטה'!$AJ$5:$AJ$204,MATCH($A182&amp;"|סוף שנה",'זה אני - קליטה'!$AF$5:$AF$204,0)),""))</f>
        <v/>
      </c>
      <c r="S182" s="28" t="str">
        <f aca="false">IF($A182="","",IFERROR(INDEX('זה אני - קליטה'!$AK$5:$AK$204,MATCH($A182&amp;"|סוף שנה",'זה אני - קליטה'!$AF$5:$AF$204,0)),""))</f>
        <v/>
      </c>
      <c r="T182" s="28" t="str">
        <f aca="false">IF($A182="","",IFERROR(INDEX('זה אני - קליטה'!$AL$5:$AL$204,MATCH($A182&amp;"|סוף שנה",'זה אני - קליטה'!$AF$5:$AF$204,0)),""))</f>
        <v/>
      </c>
      <c r="U182" s="27" t="str">
        <f aca="false">IF($A182="","",IFERROR(INDEX('זה אני - קליטה'!$AG$5:$AG$204,MATCH($A182&amp;"|סוף שנה",'זה אני - קליטה'!$AF$5:$AF$204,0)),""))</f>
        <v/>
      </c>
      <c r="V182" s="28" t="str">
        <f aca="false">IF($A182="","",IFERROR(INDEX('זה אני - קליטה'!$AN$5:$AN$204,MATCH($A182&amp;"|סוף שנה",'זה אני - קליטה'!$AF$5:$AF$204,0)),""))</f>
        <v/>
      </c>
      <c r="W182" s="32" t="str">
        <f aca="false">IF(AND(ISNUMBER(F182),ISNUMBER(T182)),T182-F182,"")</f>
        <v/>
      </c>
      <c r="X182" s="27" t="str">
        <f aca="false">IF(W182="","",IF(W182&gt;=0.25,"עלייה",IF(W182&lt;=-0.25,"ירידה","יציב")))</f>
        <v/>
      </c>
    </row>
    <row r="183" customFormat="false" ht="15" hidden="false" customHeight="false" outlineLevel="0" collapsed="false">
      <c r="A183" s="29"/>
      <c r="B183" s="28" t="str">
        <f aca="false">IF($A183="","",IFERROR(INDEX('זה אני - קליטה'!$AH$5:$AH$204,MATCH($A183&amp;"|תחילת שנה",'זה אני - קליטה'!$AF$5:$AF$204,0)),""))</f>
        <v/>
      </c>
      <c r="C183" s="28" t="str">
        <f aca="false">IF($A183="","",IFERROR(INDEX('זה אני - קליטה'!$AI$5:$AI$204,MATCH($A183&amp;"|תחילת שנה",'זה אני - קליטה'!$AF$5:$AF$204,0)),""))</f>
        <v/>
      </c>
      <c r="D183" s="28" t="str">
        <f aca="false">IF($A183="","",IFERROR(INDEX('זה אני - קליטה'!$AJ$5:$AJ$204,MATCH($A183&amp;"|תחילת שנה",'זה אני - קליטה'!$AF$5:$AF$204,0)),""))</f>
        <v/>
      </c>
      <c r="E183" s="28" t="str">
        <f aca="false">IF($A183="","",IFERROR(INDEX('זה אני - קליטה'!$AK$5:$AK$204,MATCH($A183&amp;"|תחילת שנה",'זה אני - קליטה'!$AF$5:$AF$204,0)),""))</f>
        <v/>
      </c>
      <c r="F183" s="28" t="str">
        <f aca="false">IF($A183="","",IFERROR(INDEX('זה אני - קליטה'!$AL$5:$AL$204,MATCH($A183&amp;"|תחילת שנה",'זה אני - קליטה'!$AF$5:$AF$204,0)),""))</f>
        <v/>
      </c>
      <c r="G183" s="27" t="str">
        <f aca="false">IF($A183="","",IFERROR(INDEX('זה אני - קליטה'!$AG$5:$AG$204,MATCH($A183&amp;"|תחילת שנה",'זה אני - קליטה'!$AF$5:$AF$204,0)),""))</f>
        <v/>
      </c>
      <c r="H183" s="28" t="str">
        <f aca="false">IF($A183="","",IFERROR(INDEX('זה אני - קליטה'!$AN$5:$AN$204,MATCH($A183&amp;"|תחילת שנה",'זה אני - קליטה'!$AF$5:$AF$204,0)),""))</f>
        <v/>
      </c>
      <c r="I183" s="28" t="str">
        <f aca="false">IF($A183="","",IFERROR(INDEX('זה אני - קליטה'!$AH$5:$AH$204,MATCH($A183&amp;"|אמצע שנה",'זה אני - קליטה'!$AF$5:$AF$204,0)),""))</f>
        <v/>
      </c>
      <c r="J183" s="28" t="str">
        <f aca="false">IF($A183="","",IFERROR(INDEX('זה אני - קליטה'!$AI$5:$AI$204,MATCH($A183&amp;"|אמצע שנה",'זה אני - קליטה'!$AF$5:$AF$204,0)),""))</f>
        <v/>
      </c>
      <c r="K183" s="28" t="str">
        <f aca="false">IF($A183="","",IFERROR(INDEX('זה אני - קליטה'!$AJ$5:$AJ$204,MATCH($A183&amp;"|אמצע שנה",'זה אני - קליטה'!$AF$5:$AF$204,0)),""))</f>
        <v/>
      </c>
      <c r="L183" s="28" t="str">
        <f aca="false">IF($A183="","",IFERROR(INDEX('זה אני - קליטה'!$AK$5:$AK$204,MATCH($A183&amp;"|אמצע שנה",'זה אני - קליטה'!$AF$5:$AF$204,0)),""))</f>
        <v/>
      </c>
      <c r="M183" s="28" t="str">
        <f aca="false">IF($A183="","",IFERROR(INDEX('זה אני - קליטה'!$AL$5:$AL$204,MATCH($A183&amp;"|אמצע שנה",'זה אני - קליטה'!$AF$5:$AF$204,0)),""))</f>
        <v/>
      </c>
      <c r="N183" s="27" t="str">
        <f aca="false">IF($A183="","",IFERROR(INDEX('זה אני - קליטה'!$AG$5:$AG$204,MATCH($A183&amp;"|אמצע שנה",'זה אני - קליטה'!$AF$5:$AF$204,0)),""))</f>
        <v/>
      </c>
      <c r="O183" s="28" t="str">
        <f aca="false">IF($A183="","",IFERROR(INDEX('זה אני - קליטה'!$AN$5:$AN$204,MATCH($A183&amp;"|אמצע שנה",'זה אני - קליטה'!$AF$5:$AF$204,0)),""))</f>
        <v/>
      </c>
      <c r="P183" s="28" t="str">
        <f aca="false">IF($A183="","",IFERROR(INDEX('זה אני - קליטה'!$AH$5:$AH$204,MATCH($A183&amp;"|סוף שנה",'זה אני - קליטה'!$AF$5:$AF$204,0)),""))</f>
        <v/>
      </c>
      <c r="Q183" s="28" t="str">
        <f aca="false">IF($A183="","",IFERROR(INDEX('זה אני - קליטה'!$AI$5:$AI$204,MATCH($A183&amp;"|סוף שנה",'זה אני - קליטה'!$AF$5:$AF$204,0)),""))</f>
        <v/>
      </c>
      <c r="R183" s="28" t="str">
        <f aca="false">IF($A183="","",IFERROR(INDEX('זה אני - קליטה'!$AJ$5:$AJ$204,MATCH($A183&amp;"|סוף שנה",'זה אני - קליטה'!$AF$5:$AF$204,0)),""))</f>
        <v/>
      </c>
      <c r="S183" s="28" t="str">
        <f aca="false">IF($A183="","",IFERROR(INDEX('זה אני - קליטה'!$AK$5:$AK$204,MATCH($A183&amp;"|סוף שנה",'זה אני - קליטה'!$AF$5:$AF$204,0)),""))</f>
        <v/>
      </c>
      <c r="T183" s="28" t="str">
        <f aca="false">IF($A183="","",IFERROR(INDEX('זה אני - קליטה'!$AL$5:$AL$204,MATCH($A183&amp;"|סוף שנה",'זה אני - קליטה'!$AF$5:$AF$204,0)),""))</f>
        <v/>
      </c>
      <c r="U183" s="27" t="str">
        <f aca="false">IF($A183="","",IFERROR(INDEX('זה אני - קליטה'!$AG$5:$AG$204,MATCH($A183&amp;"|סוף שנה",'זה אני - קליטה'!$AF$5:$AF$204,0)),""))</f>
        <v/>
      </c>
      <c r="V183" s="28" t="str">
        <f aca="false">IF($A183="","",IFERROR(INDEX('זה אני - קליטה'!$AN$5:$AN$204,MATCH($A183&amp;"|סוף שנה",'זה אני - קליטה'!$AF$5:$AF$204,0)),""))</f>
        <v/>
      </c>
      <c r="W183" s="32" t="str">
        <f aca="false">IF(AND(ISNUMBER(F183),ISNUMBER(T183)),T183-F183,"")</f>
        <v/>
      </c>
      <c r="X183" s="27" t="str">
        <f aca="false">IF(W183="","",IF(W183&gt;=0.25,"עלייה",IF(W183&lt;=-0.25,"ירידה","יציב")))</f>
        <v/>
      </c>
    </row>
    <row r="184" customFormat="false" ht="15" hidden="false" customHeight="false" outlineLevel="0" collapsed="false">
      <c r="A184" s="29"/>
      <c r="B184" s="28" t="str">
        <f aca="false">IF($A184="","",IFERROR(INDEX('זה אני - קליטה'!$AH$5:$AH$204,MATCH($A184&amp;"|תחילת שנה",'זה אני - קליטה'!$AF$5:$AF$204,0)),""))</f>
        <v/>
      </c>
      <c r="C184" s="28" t="str">
        <f aca="false">IF($A184="","",IFERROR(INDEX('זה אני - קליטה'!$AI$5:$AI$204,MATCH($A184&amp;"|תחילת שנה",'זה אני - קליטה'!$AF$5:$AF$204,0)),""))</f>
        <v/>
      </c>
      <c r="D184" s="28" t="str">
        <f aca="false">IF($A184="","",IFERROR(INDEX('זה אני - קליטה'!$AJ$5:$AJ$204,MATCH($A184&amp;"|תחילת שנה",'זה אני - קליטה'!$AF$5:$AF$204,0)),""))</f>
        <v/>
      </c>
      <c r="E184" s="28" t="str">
        <f aca="false">IF($A184="","",IFERROR(INDEX('זה אני - קליטה'!$AK$5:$AK$204,MATCH($A184&amp;"|תחילת שנה",'זה אני - קליטה'!$AF$5:$AF$204,0)),""))</f>
        <v/>
      </c>
      <c r="F184" s="28" t="str">
        <f aca="false">IF($A184="","",IFERROR(INDEX('זה אני - קליטה'!$AL$5:$AL$204,MATCH($A184&amp;"|תחילת שנה",'זה אני - קליטה'!$AF$5:$AF$204,0)),""))</f>
        <v/>
      </c>
      <c r="G184" s="27" t="str">
        <f aca="false">IF($A184="","",IFERROR(INDEX('זה אני - קליטה'!$AG$5:$AG$204,MATCH($A184&amp;"|תחילת שנה",'זה אני - קליטה'!$AF$5:$AF$204,0)),""))</f>
        <v/>
      </c>
      <c r="H184" s="28" t="str">
        <f aca="false">IF($A184="","",IFERROR(INDEX('זה אני - קליטה'!$AN$5:$AN$204,MATCH($A184&amp;"|תחילת שנה",'זה אני - קליטה'!$AF$5:$AF$204,0)),""))</f>
        <v/>
      </c>
      <c r="I184" s="28" t="str">
        <f aca="false">IF($A184="","",IFERROR(INDEX('זה אני - קליטה'!$AH$5:$AH$204,MATCH($A184&amp;"|אמצע שנה",'זה אני - קליטה'!$AF$5:$AF$204,0)),""))</f>
        <v/>
      </c>
      <c r="J184" s="28" t="str">
        <f aca="false">IF($A184="","",IFERROR(INDEX('זה אני - קליטה'!$AI$5:$AI$204,MATCH($A184&amp;"|אמצע שנה",'זה אני - קליטה'!$AF$5:$AF$204,0)),""))</f>
        <v/>
      </c>
      <c r="K184" s="28" t="str">
        <f aca="false">IF($A184="","",IFERROR(INDEX('זה אני - קליטה'!$AJ$5:$AJ$204,MATCH($A184&amp;"|אמצע שנה",'זה אני - קליטה'!$AF$5:$AF$204,0)),""))</f>
        <v/>
      </c>
      <c r="L184" s="28" t="str">
        <f aca="false">IF($A184="","",IFERROR(INDEX('זה אני - קליטה'!$AK$5:$AK$204,MATCH($A184&amp;"|אמצע שנה",'זה אני - קליטה'!$AF$5:$AF$204,0)),""))</f>
        <v/>
      </c>
      <c r="M184" s="28" t="str">
        <f aca="false">IF($A184="","",IFERROR(INDEX('זה אני - קליטה'!$AL$5:$AL$204,MATCH($A184&amp;"|אמצע שנה",'זה אני - קליטה'!$AF$5:$AF$204,0)),""))</f>
        <v/>
      </c>
      <c r="N184" s="27" t="str">
        <f aca="false">IF($A184="","",IFERROR(INDEX('זה אני - קליטה'!$AG$5:$AG$204,MATCH($A184&amp;"|אמצע שנה",'זה אני - קליטה'!$AF$5:$AF$204,0)),""))</f>
        <v/>
      </c>
      <c r="O184" s="28" t="str">
        <f aca="false">IF($A184="","",IFERROR(INDEX('זה אני - קליטה'!$AN$5:$AN$204,MATCH($A184&amp;"|אמצע שנה",'זה אני - קליטה'!$AF$5:$AF$204,0)),""))</f>
        <v/>
      </c>
      <c r="P184" s="28" t="str">
        <f aca="false">IF($A184="","",IFERROR(INDEX('זה אני - קליטה'!$AH$5:$AH$204,MATCH($A184&amp;"|סוף שנה",'זה אני - קליטה'!$AF$5:$AF$204,0)),""))</f>
        <v/>
      </c>
      <c r="Q184" s="28" t="str">
        <f aca="false">IF($A184="","",IFERROR(INDEX('זה אני - קליטה'!$AI$5:$AI$204,MATCH($A184&amp;"|סוף שנה",'זה אני - קליטה'!$AF$5:$AF$204,0)),""))</f>
        <v/>
      </c>
      <c r="R184" s="28" t="str">
        <f aca="false">IF($A184="","",IFERROR(INDEX('זה אני - קליטה'!$AJ$5:$AJ$204,MATCH($A184&amp;"|סוף שנה",'זה אני - קליטה'!$AF$5:$AF$204,0)),""))</f>
        <v/>
      </c>
      <c r="S184" s="28" t="str">
        <f aca="false">IF($A184="","",IFERROR(INDEX('זה אני - קליטה'!$AK$5:$AK$204,MATCH($A184&amp;"|סוף שנה",'זה אני - קליטה'!$AF$5:$AF$204,0)),""))</f>
        <v/>
      </c>
      <c r="T184" s="28" t="str">
        <f aca="false">IF($A184="","",IFERROR(INDEX('זה אני - קליטה'!$AL$5:$AL$204,MATCH($A184&amp;"|סוף שנה",'זה אני - קליטה'!$AF$5:$AF$204,0)),""))</f>
        <v/>
      </c>
      <c r="U184" s="27" t="str">
        <f aca="false">IF($A184="","",IFERROR(INDEX('זה אני - קליטה'!$AG$5:$AG$204,MATCH($A184&amp;"|סוף שנה",'זה אני - קליטה'!$AF$5:$AF$204,0)),""))</f>
        <v/>
      </c>
      <c r="V184" s="28" t="str">
        <f aca="false">IF($A184="","",IFERROR(INDEX('זה אני - קליטה'!$AN$5:$AN$204,MATCH($A184&amp;"|סוף שנה",'זה אני - קליטה'!$AF$5:$AF$204,0)),""))</f>
        <v/>
      </c>
      <c r="W184" s="32" t="str">
        <f aca="false">IF(AND(ISNUMBER(F184),ISNUMBER(T184)),T184-F184,"")</f>
        <v/>
      </c>
      <c r="X184" s="27" t="str">
        <f aca="false">IF(W184="","",IF(W184&gt;=0.25,"עלייה",IF(W184&lt;=-0.25,"ירידה","יציב")))</f>
        <v/>
      </c>
    </row>
    <row r="185" customFormat="false" ht="15" hidden="false" customHeight="false" outlineLevel="0" collapsed="false">
      <c r="A185" s="29"/>
      <c r="B185" s="28" t="str">
        <f aca="false">IF($A185="","",IFERROR(INDEX('זה אני - קליטה'!$AH$5:$AH$204,MATCH($A185&amp;"|תחילת שנה",'זה אני - קליטה'!$AF$5:$AF$204,0)),""))</f>
        <v/>
      </c>
      <c r="C185" s="28" t="str">
        <f aca="false">IF($A185="","",IFERROR(INDEX('זה אני - קליטה'!$AI$5:$AI$204,MATCH($A185&amp;"|תחילת שנה",'זה אני - קליטה'!$AF$5:$AF$204,0)),""))</f>
        <v/>
      </c>
      <c r="D185" s="28" t="str">
        <f aca="false">IF($A185="","",IFERROR(INDEX('זה אני - קליטה'!$AJ$5:$AJ$204,MATCH($A185&amp;"|תחילת שנה",'זה אני - קליטה'!$AF$5:$AF$204,0)),""))</f>
        <v/>
      </c>
      <c r="E185" s="28" t="str">
        <f aca="false">IF($A185="","",IFERROR(INDEX('זה אני - קליטה'!$AK$5:$AK$204,MATCH($A185&amp;"|תחילת שנה",'זה אני - קליטה'!$AF$5:$AF$204,0)),""))</f>
        <v/>
      </c>
      <c r="F185" s="28" t="str">
        <f aca="false">IF($A185="","",IFERROR(INDEX('זה אני - קליטה'!$AL$5:$AL$204,MATCH($A185&amp;"|תחילת שנה",'זה אני - קליטה'!$AF$5:$AF$204,0)),""))</f>
        <v/>
      </c>
      <c r="G185" s="27" t="str">
        <f aca="false">IF($A185="","",IFERROR(INDEX('זה אני - קליטה'!$AG$5:$AG$204,MATCH($A185&amp;"|תחילת שנה",'זה אני - קליטה'!$AF$5:$AF$204,0)),""))</f>
        <v/>
      </c>
      <c r="H185" s="28" t="str">
        <f aca="false">IF($A185="","",IFERROR(INDEX('זה אני - קליטה'!$AN$5:$AN$204,MATCH($A185&amp;"|תחילת שנה",'זה אני - קליטה'!$AF$5:$AF$204,0)),""))</f>
        <v/>
      </c>
      <c r="I185" s="28" t="str">
        <f aca="false">IF($A185="","",IFERROR(INDEX('זה אני - קליטה'!$AH$5:$AH$204,MATCH($A185&amp;"|אמצע שנה",'זה אני - קליטה'!$AF$5:$AF$204,0)),""))</f>
        <v/>
      </c>
      <c r="J185" s="28" t="str">
        <f aca="false">IF($A185="","",IFERROR(INDEX('זה אני - קליטה'!$AI$5:$AI$204,MATCH($A185&amp;"|אמצע שנה",'זה אני - קליטה'!$AF$5:$AF$204,0)),""))</f>
        <v/>
      </c>
      <c r="K185" s="28" t="str">
        <f aca="false">IF($A185="","",IFERROR(INDEX('זה אני - קליטה'!$AJ$5:$AJ$204,MATCH($A185&amp;"|אמצע שנה",'זה אני - קליטה'!$AF$5:$AF$204,0)),""))</f>
        <v/>
      </c>
      <c r="L185" s="28" t="str">
        <f aca="false">IF($A185="","",IFERROR(INDEX('זה אני - קליטה'!$AK$5:$AK$204,MATCH($A185&amp;"|אמצע שנה",'זה אני - קליטה'!$AF$5:$AF$204,0)),""))</f>
        <v/>
      </c>
      <c r="M185" s="28" t="str">
        <f aca="false">IF($A185="","",IFERROR(INDEX('זה אני - קליטה'!$AL$5:$AL$204,MATCH($A185&amp;"|אמצע שנה",'זה אני - קליטה'!$AF$5:$AF$204,0)),""))</f>
        <v/>
      </c>
      <c r="N185" s="27" t="str">
        <f aca="false">IF($A185="","",IFERROR(INDEX('זה אני - קליטה'!$AG$5:$AG$204,MATCH($A185&amp;"|אמצע שנה",'זה אני - קליטה'!$AF$5:$AF$204,0)),""))</f>
        <v/>
      </c>
      <c r="O185" s="28" t="str">
        <f aca="false">IF($A185="","",IFERROR(INDEX('זה אני - קליטה'!$AN$5:$AN$204,MATCH($A185&amp;"|אמצע שנה",'זה אני - קליטה'!$AF$5:$AF$204,0)),""))</f>
        <v/>
      </c>
      <c r="P185" s="28" t="str">
        <f aca="false">IF($A185="","",IFERROR(INDEX('זה אני - קליטה'!$AH$5:$AH$204,MATCH($A185&amp;"|סוף שנה",'זה אני - קליטה'!$AF$5:$AF$204,0)),""))</f>
        <v/>
      </c>
      <c r="Q185" s="28" t="str">
        <f aca="false">IF($A185="","",IFERROR(INDEX('זה אני - קליטה'!$AI$5:$AI$204,MATCH($A185&amp;"|סוף שנה",'זה אני - קליטה'!$AF$5:$AF$204,0)),""))</f>
        <v/>
      </c>
      <c r="R185" s="28" t="str">
        <f aca="false">IF($A185="","",IFERROR(INDEX('זה אני - קליטה'!$AJ$5:$AJ$204,MATCH($A185&amp;"|סוף שנה",'זה אני - קליטה'!$AF$5:$AF$204,0)),""))</f>
        <v/>
      </c>
      <c r="S185" s="28" t="str">
        <f aca="false">IF($A185="","",IFERROR(INDEX('זה אני - קליטה'!$AK$5:$AK$204,MATCH($A185&amp;"|סוף שנה",'זה אני - קליטה'!$AF$5:$AF$204,0)),""))</f>
        <v/>
      </c>
      <c r="T185" s="28" t="str">
        <f aca="false">IF($A185="","",IFERROR(INDEX('זה אני - קליטה'!$AL$5:$AL$204,MATCH($A185&amp;"|סוף שנה",'זה אני - קליטה'!$AF$5:$AF$204,0)),""))</f>
        <v/>
      </c>
      <c r="U185" s="27" t="str">
        <f aca="false">IF($A185="","",IFERROR(INDEX('זה אני - קליטה'!$AG$5:$AG$204,MATCH($A185&amp;"|סוף שנה",'זה אני - קליטה'!$AF$5:$AF$204,0)),""))</f>
        <v/>
      </c>
      <c r="V185" s="28" t="str">
        <f aca="false">IF($A185="","",IFERROR(INDEX('זה אני - קליטה'!$AN$5:$AN$204,MATCH($A185&amp;"|סוף שנה",'זה אני - קליטה'!$AF$5:$AF$204,0)),""))</f>
        <v/>
      </c>
      <c r="W185" s="32" t="str">
        <f aca="false">IF(AND(ISNUMBER(F185),ISNUMBER(T185)),T185-F185,"")</f>
        <v/>
      </c>
      <c r="X185" s="27" t="str">
        <f aca="false">IF(W185="","",IF(W185&gt;=0.25,"עלייה",IF(W185&lt;=-0.25,"ירידה","יציב")))</f>
        <v/>
      </c>
    </row>
    <row r="186" customFormat="false" ht="15" hidden="false" customHeight="false" outlineLevel="0" collapsed="false">
      <c r="A186" s="29"/>
      <c r="B186" s="28" t="str">
        <f aca="false">IF($A186="","",IFERROR(INDEX('זה אני - קליטה'!$AH$5:$AH$204,MATCH($A186&amp;"|תחילת שנה",'זה אני - קליטה'!$AF$5:$AF$204,0)),""))</f>
        <v/>
      </c>
      <c r="C186" s="28" t="str">
        <f aca="false">IF($A186="","",IFERROR(INDEX('זה אני - קליטה'!$AI$5:$AI$204,MATCH($A186&amp;"|תחילת שנה",'זה אני - קליטה'!$AF$5:$AF$204,0)),""))</f>
        <v/>
      </c>
      <c r="D186" s="28" t="str">
        <f aca="false">IF($A186="","",IFERROR(INDEX('זה אני - קליטה'!$AJ$5:$AJ$204,MATCH($A186&amp;"|תחילת שנה",'זה אני - קליטה'!$AF$5:$AF$204,0)),""))</f>
        <v/>
      </c>
      <c r="E186" s="28" t="str">
        <f aca="false">IF($A186="","",IFERROR(INDEX('זה אני - קליטה'!$AK$5:$AK$204,MATCH($A186&amp;"|תחילת שנה",'זה אני - קליטה'!$AF$5:$AF$204,0)),""))</f>
        <v/>
      </c>
      <c r="F186" s="28" t="str">
        <f aca="false">IF($A186="","",IFERROR(INDEX('זה אני - קליטה'!$AL$5:$AL$204,MATCH($A186&amp;"|תחילת שנה",'זה אני - קליטה'!$AF$5:$AF$204,0)),""))</f>
        <v/>
      </c>
      <c r="G186" s="27" t="str">
        <f aca="false">IF($A186="","",IFERROR(INDEX('זה אני - קליטה'!$AG$5:$AG$204,MATCH($A186&amp;"|תחילת שנה",'זה אני - קליטה'!$AF$5:$AF$204,0)),""))</f>
        <v/>
      </c>
      <c r="H186" s="28" t="str">
        <f aca="false">IF($A186="","",IFERROR(INDEX('זה אני - קליטה'!$AN$5:$AN$204,MATCH($A186&amp;"|תחילת שנה",'זה אני - קליטה'!$AF$5:$AF$204,0)),""))</f>
        <v/>
      </c>
      <c r="I186" s="28" t="str">
        <f aca="false">IF($A186="","",IFERROR(INDEX('זה אני - קליטה'!$AH$5:$AH$204,MATCH($A186&amp;"|אמצע שנה",'זה אני - קליטה'!$AF$5:$AF$204,0)),""))</f>
        <v/>
      </c>
      <c r="J186" s="28" t="str">
        <f aca="false">IF($A186="","",IFERROR(INDEX('זה אני - קליטה'!$AI$5:$AI$204,MATCH($A186&amp;"|אמצע שנה",'זה אני - קליטה'!$AF$5:$AF$204,0)),""))</f>
        <v/>
      </c>
      <c r="K186" s="28" t="str">
        <f aca="false">IF($A186="","",IFERROR(INDEX('זה אני - קליטה'!$AJ$5:$AJ$204,MATCH($A186&amp;"|אמצע שנה",'זה אני - קליטה'!$AF$5:$AF$204,0)),""))</f>
        <v/>
      </c>
      <c r="L186" s="28" t="str">
        <f aca="false">IF($A186="","",IFERROR(INDEX('זה אני - קליטה'!$AK$5:$AK$204,MATCH($A186&amp;"|אמצע שנה",'זה אני - קליטה'!$AF$5:$AF$204,0)),""))</f>
        <v/>
      </c>
      <c r="M186" s="28" t="str">
        <f aca="false">IF($A186="","",IFERROR(INDEX('זה אני - קליטה'!$AL$5:$AL$204,MATCH($A186&amp;"|אמצע שנה",'זה אני - קליטה'!$AF$5:$AF$204,0)),""))</f>
        <v/>
      </c>
      <c r="N186" s="27" t="str">
        <f aca="false">IF($A186="","",IFERROR(INDEX('זה אני - קליטה'!$AG$5:$AG$204,MATCH($A186&amp;"|אמצע שנה",'זה אני - קליטה'!$AF$5:$AF$204,0)),""))</f>
        <v/>
      </c>
      <c r="O186" s="28" t="str">
        <f aca="false">IF($A186="","",IFERROR(INDEX('זה אני - קליטה'!$AN$5:$AN$204,MATCH($A186&amp;"|אמצע שנה",'זה אני - קליטה'!$AF$5:$AF$204,0)),""))</f>
        <v/>
      </c>
      <c r="P186" s="28" t="str">
        <f aca="false">IF($A186="","",IFERROR(INDEX('זה אני - קליטה'!$AH$5:$AH$204,MATCH($A186&amp;"|סוף שנה",'זה אני - קליטה'!$AF$5:$AF$204,0)),""))</f>
        <v/>
      </c>
      <c r="Q186" s="28" t="str">
        <f aca="false">IF($A186="","",IFERROR(INDEX('זה אני - קליטה'!$AI$5:$AI$204,MATCH($A186&amp;"|סוף שנה",'זה אני - קליטה'!$AF$5:$AF$204,0)),""))</f>
        <v/>
      </c>
      <c r="R186" s="28" t="str">
        <f aca="false">IF($A186="","",IFERROR(INDEX('זה אני - קליטה'!$AJ$5:$AJ$204,MATCH($A186&amp;"|סוף שנה",'זה אני - קליטה'!$AF$5:$AF$204,0)),""))</f>
        <v/>
      </c>
      <c r="S186" s="28" t="str">
        <f aca="false">IF($A186="","",IFERROR(INDEX('זה אני - קליטה'!$AK$5:$AK$204,MATCH($A186&amp;"|סוף שנה",'זה אני - קליטה'!$AF$5:$AF$204,0)),""))</f>
        <v/>
      </c>
      <c r="T186" s="28" t="str">
        <f aca="false">IF($A186="","",IFERROR(INDEX('זה אני - קליטה'!$AL$5:$AL$204,MATCH($A186&amp;"|סוף שנה",'זה אני - קליטה'!$AF$5:$AF$204,0)),""))</f>
        <v/>
      </c>
      <c r="U186" s="27" t="str">
        <f aca="false">IF($A186="","",IFERROR(INDEX('זה אני - קליטה'!$AG$5:$AG$204,MATCH($A186&amp;"|סוף שנה",'זה אני - קליטה'!$AF$5:$AF$204,0)),""))</f>
        <v/>
      </c>
      <c r="V186" s="28" t="str">
        <f aca="false">IF($A186="","",IFERROR(INDEX('זה אני - קליטה'!$AN$5:$AN$204,MATCH($A186&amp;"|סוף שנה",'זה אני - קליטה'!$AF$5:$AF$204,0)),""))</f>
        <v/>
      </c>
      <c r="W186" s="32" t="str">
        <f aca="false">IF(AND(ISNUMBER(F186),ISNUMBER(T186)),T186-F186,"")</f>
        <v/>
      </c>
      <c r="X186" s="27" t="str">
        <f aca="false">IF(W186="","",IF(W186&gt;=0.25,"עלייה",IF(W186&lt;=-0.25,"ירידה","יציב")))</f>
        <v/>
      </c>
    </row>
    <row r="187" customFormat="false" ht="15" hidden="false" customHeight="false" outlineLevel="0" collapsed="false">
      <c r="A187" s="29"/>
      <c r="B187" s="28" t="str">
        <f aca="false">IF($A187="","",IFERROR(INDEX('זה אני - קליטה'!$AH$5:$AH$204,MATCH($A187&amp;"|תחילת שנה",'זה אני - קליטה'!$AF$5:$AF$204,0)),""))</f>
        <v/>
      </c>
      <c r="C187" s="28" t="str">
        <f aca="false">IF($A187="","",IFERROR(INDEX('זה אני - קליטה'!$AI$5:$AI$204,MATCH($A187&amp;"|תחילת שנה",'זה אני - קליטה'!$AF$5:$AF$204,0)),""))</f>
        <v/>
      </c>
      <c r="D187" s="28" t="str">
        <f aca="false">IF($A187="","",IFERROR(INDEX('זה אני - קליטה'!$AJ$5:$AJ$204,MATCH($A187&amp;"|תחילת שנה",'זה אני - קליטה'!$AF$5:$AF$204,0)),""))</f>
        <v/>
      </c>
      <c r="E187" s="28" t="str">
        <f aca="false">IF($A187="","",IFERROR(INDEX('זה אני - קליטה'!$AK$5:$AK$204,MATCH($A187&amp;"|תחילת שנה",'זה אני - קליטה'!$AF$5:$AF$204,0)),""))</f>
        <v/>
      </c>
      <c r="F187" s="28" t="str">
        <f aca="false">IF($A187="","",IFERROR(INDEX('זה אני - קליטה'!$AL$5:$AL$204,MATCH($A187&amp;"|תחילת שנה",'זה אני - קליטה'!$AF$5:$AF$204,0)),""))</f>
        <v/>
      </c>
      <c r="G187" s="27" t="str">
        <f aca="false">IF($A187="","",IFERROR(INDEX('זה אני - קליטה'!$AG$5:$AG$204,MATCH($A187&amp;"|תחילת שנה",'זה אני - קליטה'!$AF$5:$AF$204,0)),""))</f>
        <v/>
      </c>
      <c r="H187" s="28" t="str">
        <f aca="false">IF($A187="","",IFERROR(INDEX('זה אני - קליטה'!$AN$5:$AN$204,MATCH($A187&amp;"|תחילת שנה",'זה אני - קליטה'!$AF$5:$AF$204,0)),""))</f>
        <v/>
      </c>
      <c r="I187" s="28" t="str">
        <f aca="false">IF($A187="","",IFERROR(INDEX('זה אני - קליטה'!$AH$5:$AH$204,MATCH($A187&amp;"|אמצע שנה",'זה אני - קליטה'!$AF$5:$AF$204,0)),""))</f>
        <v/>
      </c>
      <c r="J187" s="28" t="str">
        <f aca="false">IF($A187="","",IFERROR(INDEX('זה אני - קליטה'!$AI$5:$AI$204,MATCH($A187&amp;"|אמצע שנה",'זה אני - קליטה'!$AF$5:$AF$204,0)),""))</f>
        <v/>
      </c>
      <c r="K187" s="28" t="str">
        <f aca="false">IF($A187="","",IFERROR(INDEX('זה אני - קליטה'!$AJ$5:$AJ$204,MATCH($A187&amp;"|אמצע שנה",'זה אני - קליטה'!$AF$5:$AF$204,0)),""))</f>
        <v/>
      </c>
      <c r="L187" s="28" t="str">
        <f aca="false">IF($A187="","",IFERROR(INDEX('זה אני - קליטה'!$AK$5:$AK$204,MATCH($A187&amp;"|אמצע שנה",'זה אני - קליטה'!$AF$5:$AF$204,0)),""))</f>
        <v/>
      </c>
      <c r="M187" s="28" t="str">
        <f aca="false">IF($A187="","",IFERROR(INDEX('זה אני - קליטה'!$AL$5:$AL$204,MATCH($A187&amp;"|אמצע שנה",'זה אני - קליטה'!$AF$5:$AF$204,0)),""))</f>
        <v/>
      </c>
      <c r="N187" s="27" t="str">
        <f aca="false">IF($A187="","",IFERROR(INDEX('זה אני - קליטה'!$AG$5:$AG$204,MATCH($A187&amp;"|אמצע שנה",'זה אני - קליטה'!$AF$5:$AF$204,0)),""))</f>
        <v/>
      </c>
      <c r="O187" s="28" t="str">
        <f aca="false">IF($A187="","",IFERROR(INDEX('זה אני - קליטה'!$AN$5:$AN$204,MATCH($A187&amp;"|אמצע שנה",'זה אני - קליטה'!$AF$5:$AF$204,0)),""))</f>
        <v/>
      </c>
      <c r="P187" s="28" t="str">
        <f aca="false">IF($A187="","",IFERROR(INDEX('זה אני - קליטה'!$AH$5:$AH$204,MATCH($A187&amp;"|סוף שנה",'זה אני - קליטה'!$AF$5:$AF$204,0)),""))</f>
        <v/>
      </c>
      <c r="Q187" s="28" t="str">
        <f aca="false">IF($A187="","",IFERROR(INDEX('זה אני - קליטה'!$AI$5:$AI$204,MATCH($A187&amp;"|סוף שנה",'זה אני - קליטה'!$AF$5:$AF$204,0)),""))</f>
        <v/>
      </c>
      <c r="R187" s="28" t="str">
        <f aca="false">IF($A187="","",IFERROR(INDEX('זה אני - קליטה'!$AJ$5:$AJ$204,MATCH($A187&amp;"|סוף שנה",'זה אני - קליטה'!$AF$5:$AF$204,0)),""))</f>
        <v/>
      </c>
      <c r="S187" s="28" t="str">
        <f aca="false">IF($A187="","",IFERROR(INDEX('זה אני - קליטה'!$AK$5:$AK$204,MATCH($A187&amp;"|סוף שנה",'זה אני - קליטה'!$AF$5:$AF$204,0)),""))</f>
        <v/>
      </c>
      <c r="T187" s="28" t="str">
        <f aca="false">IF($A187="","",IFERROR(INDEX('זה אני - קליטה'!$AL$5:$AL$204,MATCH($A187&amp;"|סוף שנה",'זה אני - קליטה'!$AF$5:$AF$204,0)),""))</f>
        <v/>
      </c>
      <c r="U187" s="27" t="str">
        <f aca="false">IF($A187="","",IFERROR(INDEX('זה אני - קליטה'!$AG$5:$AG$204,MATCH($A187&amp;"|סוף שנה",'זה אני - קליטה'!$AF$5:$AF$204,0)),""))</f>
        <v/>
      </c>
      <c r="V187" s="28" t="str">
        <f aca="false">IF($A187="","",IFERROR(INDEX('זה אני - קליטה'!$AN$5:$AN$204,MATCH($A187&amp;"|סוף שנה",'זה אני - קליטה'!$AF$5:$AF$204,0)),""))</f>
        <v/>
      </c>
      <c r="W187" s="32" t="str">
        <f aca="false">IF(AND(ISNUMBER(F187),ISNUMBER(T187)),T187-F187,"")</f>
        <v/>
      </c>
      <c r="X187" s="27" t="str">
        <f aca="false">IF(W187="","",IF(W187&gt;=0.25,"עלייה",IF(W187&lt;=-0.25,"ירידה","יציב")))</f>
        <v/>
      </c>
    </row>
    <row r="188" customFormat="false" ht="15" hidden="false" customHeight="false" outlineLevel="0" collapsed="false">
      <c r="A188" s="29"/>
      <c r="B188" s="28" t="str">
        <f aca="false">IF($A188="","",IFERROR(INDEX('זה אני - קליטה'!$AH$5:$AH$204,MATCH($A188&amp;"|תחילת שנה",'זה אני - קליטה'!$AF$5:$AF$204,0)),""))</f>
        <v/>
      </c>
      <c r="C188" s="28" t="str">
        <f aca="false">IF($A188="","",IFERROR(INDEX('זה אני - קליטה'!$AI$5:$AI$204,MATCH($A188&amp;"|תחילת שנה",'זה אני - קליטה'!$AF$5:$AF$204,0)),""))</f>
        <v/>
      </c>
      <c r="D188" s="28" t="str">
        <f aca="false">IF($A188="","",IFERROR(INDEX('זה אני - קליטה'!$AJ$5:$AJ$204,MATCH($A188&amp;"|תחילת שנה",'זה אני - קליטה'!$AF$5:$AF$204,0)),""))</f>
        <v/>
      </c>
      <c r="E188" s="28" t="str">
        <f aca="false">IF($A188="","",IFERROR(INDEX('זה אני - קליטה'!$AK$5:$AK$204,MATCH($A188&amp;"|תחילת שנה",'זה אני - קליטה'!$AF$5:$AF$204,0)),""))</f>
        <v/>
      </c>
      <c r="F188" s="28" t="str">
        <f aca="false">IF($A188="","",IFERROR(INDEX('זה אני - קליטה'!$AL$5:$AL$204,MATCH($A188&amp;"|תחילת שנה",'זה אני - קליטה'!$AF$5:$AF$204,0)),""))</f>
        <v/>
      </c>
      <c r="G188" s="27" t="str">
        <f aca="false">IF($A188="","",IFERROR(INDEX('זה אני - קליטה'!$AG$5:$AG$204,MATCH($A188&amp;"|תחילת שנה",'זה אני - קליטה'!$AF$5:$AF$204,0)),""))</f>
        <v/>
      </c>
      <c r="H188" s="28" t="str">
        <f aca="false">IF($A188="","",IFERROR(INDEX('זה אני - קליטה'!$AN$5:$AN$204,MATCH($A188&amp;"|תחילת שנה",'זה אני - קליטה'!$AF$5:$AF$204,0)),""))</f>
        <v/>
      </c>
      <c r="I188" s="28" t="str">
        <f aca="false">IF($A188="","",IFERROR(INDEX('זה אני - קליטה'!$AH$5:$AH$204,MATCH($A188&amp;"|אמצע שנה",'זה אני - קליטה'!$AF$5:$AF$204,0)),""))</f>
        <v/>
      </c>
      <c r="J188" s="28" t="str">
        <f aca="false">IF($A188="","",IFERROR(INDEX('זה אני - קליטה'!$AI$5:$AI$204,MATCH($A188&amp;"|אמצע שנה",'זה אני - קליטה'!$AF$5:$AF$204,0)),""))</f>
        <v/>
      </c>
      <c r="K188" s="28" t="str">
        <f aca="false">IF($A188="","",IFERROR(INDEX('זה אני - קליטה'!$AJ$5:$AJ$204,MATCH($A188&amp;"|אמצע שנה",'זה אני - קליטה'!$AF$5:$AF$204,0)),""))</f>
        <v/>
      </c>
      <c r="L188" s="28" t="str">
        <f aca="false">IF($A188="","",IFERROR(INDEX('זה אני - קליטה'!$AK$5:$AK$204,MATCH($A188&amp;"|אמצע שנה",'זה אני - קליטה'!$AF$5:$AF$204,0)),""))</f>
        <v/>
      </c>
      <c r="M188" s="28" t="str">
        <f aca="false">IF($A188="","",IFERROR(INDEX('זה אני - קליטה'!$AL$5:$AL$204,MATCH($A188&amp;"|אמצע שנה",'זה אני - קליטה'!$AF$5:$AF$204,0)),""))</f>
        <v/>
      </c>
      <c r="N188" s="27" t="str">
        <f aca="false">IF($A188="","",IFERROR(INDEX('זה אני - קליטה'!$AG$5:$AG$204,MATCH($A188&amp;"|אמצע שנה",'זה אני - קליטה'!$AF$5:$AF$204,0)),""))</f>
        <v/>
      </c>
      <c r="O188" s="28" t="str">
        <f aca="false">IF($A188="","",IFERROR(INDEX('זה אני - קליטה'!$AN$5:$AN$204,MATCH($A188&amp;"|אמצע שנה",'זה אני - קליטה'!$AF$5:$AF$204,0)),""))</f>
        <v/>
      </c>
      <c r="P188" s="28" t="str">
        <f aca="false">IF($A188="","",IFERROR(INDEX('זה אני - קליטה'!$AH$5:$AH$204,MATCH($A188&amp;"|סוף שנה",'זה אני - קליטה'!$AF$5:$AF$204,0)),""))</f>
        <v/>
      </c>
      <c r="Q188" s="28" t="str">
        <f aca="false">IF($A188="","",IFERROR(INDEX('זה אני - קליטה'!$AI$5:$AI$204,MATCH($A188&amp;"|סוף שנה",'זה אני - קליטה'!$AF$5:$AF$204,0)),""))</f>
        <v/>
      </c>
      <c r="R188" s="28" t="str">
        <f aca="false">IF($A188="","",IFERROR(INDEX('זה אני - קליטה'!$AJ$5:$AJ$204,MATCH($A188&amp;"|סוף שנה",'זה אני - קליטה'!$AF$5:$AF$204,0)),""))</f>
        <v/>
      </c>
      <c r="S188" s="28" t="str">
        <f aca="false">IF($A188="","",IFERROR(INDEX('זה אני - קליטה'!$AK$5:$AK$204,MATCH($A188&amp;"|סוף שנה",'זה אני - קליטה'!$AF$5:$AF$204,0)),""))</f>
        <v/>
      </c>
      <c r="T188" s="28" t="str">
        <f aca="false">IF($A188="","",IFERROR(INDEX('זה אני - קליטה'!$AL$5:$AL$204,MATCH($A188&amp;"|סוף שנה",'זה אני - קליטה'!$AF$5:$AF$204,0)),""))</f>
        <v/>
      </c>
      <c r="U188" s="27" t="str">
        <f aca="false">IF($A188="","",IFERROR(INDEX('זה אני - קליטה'!$AG$5:$AG$204,MATCH($A188&amp;"|סוף שנה",'זה אני - קליטה'!$AF$5:$AF$204,0)),""))</f>
        <v/>
      </c>
      <c r="V188" s="28" t="str">
        <f aca="false">IF($A188="","",IFERROR(INDEX('זה אני - קליטה'!$AN$5:$AN$204,MATCH($A188&amp;"|סוף שנה",'זה אני - קליטה'!$AF$5:$AF$204,0)),""))</f>
        <v/>
      </c>
      <c r="W188" s="32" t="str">
        <f aca="false">IF(AND(ISNUMBER(F188),ISNUMBER(T188)),T188-F188,"")</f>
        <v/>
      </c>
      <c r="X188" s="27" t="str">
        <f aca="false">IF(W188="","",IF(W188&gt;=0.25,"עלייה",IF(W188&lt;=-0.25,"ירידה","יציב")))</f>
        <v/>
      </c>
    </row>
    <row r="189" customFormat="false" ht="15" hidden="false" customHeight="false" outlineLevel="0" collapsed="false">
      <c r="A189" s="29"/>
      <c r="B189" s="28" t="str">
        <f aca="false">IF($A189="","",IFERROR(INDEX('זה אני - קליטה'!$AH$5:$AH$204,MATCH($A189&amp;"|תחילת שנה",'זה אני - קליטה'!$AF$5:$AF$204,0)),""))</f>
        <v/>
      </c>
      <c r="C189" s="28" t="str">
        <f aca="false">IF($A189="","",IFERROR(INDEX('זה אני - קליטה'!$AI$5:$AI$204,MATCH($A189&amp;"|תחילת שנה",'זה אני - קליטה'!$AF$5:$AF$204,0)),""))</f>
        <v/>
      </c>
      <c r="D189" s="28" t="str">
        <f aca="false">IF($A189="","",IFERROR(INDEX('זה אני - קליטה'!$AJ$5:$AJ$204,MATCH($A189&amp;"|תחילת שנה",'זה אני - קליטה'!$AF$5:$AF$204,0)),""))</f>
        <v/>
      </c>
      <c r="E189" s="28" t="str">
        <f aca="false">IF($A189="","",IFERROR(INDEX('זה אני - קליטה'!$AK$5:$AK$204,MATCH($A189&amp;"|תחילת שנה",'זה אני - קליטה'!$AF$5:$AF$204,0)),""))</f>
        <v/>
      </c>
      <c r="F189" s="28" t="str">
        <f aca="false">IF($A189="","",IFERROR(INDEX('זה אני - קליטה'!$AL$5:$AL$204,MATCH($A189&amp;"|תחילת שנה",'זה אני - קליטה'!$AF$5:$AF$204,0)),""))</f>
        <v/>
      </c>
      <c r="G189" s="27" t="str">
        <f aca="false">IF($A189="","",IFERROR(INDEX('זה אני - קליטה'!$AG$5:$AG$204,MATCH($A189&amp;"|תחילת שנה",'זה אני - קליטה'!$AF$5:$AF$204,0)),""))</f>
        <v/>
      </c>
      <c r="H189" s="28" t="str">
        <f aca="false">IF($A189="","",IFERROR(INDEX('זה אני - קליטה'!$AN$5:$AN$204,MATCH($A189&amp;"|תחילת שנה",'זה אני - קליטה'!$AF$5:$AF$204,0)),""))</f>
        <v/>
      </c>
      <c r="I189" s="28" t="str">
        <f aca="false">IF($A189="","",IFERROR(INDEX('זה אני - קליטה'!$AH$5:$AH$204,MATCH($A189&amp;"|אמצע שנה",'זה אני - קליטה'!$AF$5:$AF$204,0)),""))</f>
        <v/>
      </c>
      <c r="J189" s="28" t="str">
        <f aca="false">IF($A189="","",IFERROR(INDEX('זה אני - קליטה'!$AI$5:$AI$204,MATCH($A189&amp;"|אמצע שנה",'זה אני - קליטה'!$AF$5:$AF$204,0)),""))</f>
        <v/>
      </c>
      <c r="K189" s="28" t="str">
        <f aca="false">IF($A189="","",IFERROR(INDEX('זה אני - קליטה'!$AJ$5:$AJ$204,MATCH($A189&amp;"|אמצע שנה",'זה אני - קליטה'!$AF$5:$AF$204,0)),""))</f>
        <v/>
      </c>
      <c r="L189" s="28" t="str">
        <f aca="false">IF($A189="","",IFERROR(INDEX('זה אני - קליטה'!$AK$5:$AK$204,MATCH($A189&amp;"|אמצע שנה",'זה אני - קליטה'!$AF$5:$AF$204,0)),""))</f>
        <v/>
      </c>
      <c r="M189" s="28" t="str">
        <f aca="false">IF($A189="","",IFERROR(INDEX('זה אני - קליטה'!$AL$5:$AL$204,MATCH($A189&amp;"|אמצע שנה",'זה אני - קליטה'!$AF$5:$AF$204,0)),""))</f>
        <v/>
      </c>
      <c r="N189" s="27" t="str">
        <f aca="false">IF($A189="","",IFERROR(INDEX('זה אני - קליטה'!$AG$5:$AG$204,MATCH($A189&amp;"|אמצע שנה",'זה אני - קליטה'!$AF$5:$AF$204,0)),""))</f>
        <v/>
      </c>
      <c r="O189" s="28" t="str">
        <f aca="false">IF($A189="","",IFERROR(INDEX('זה אני - קליטה'!$AN$5:$AN$204,MATCH($A189&amp;"|אמצע שנה",'זה אני - קליטה'!$AF$5:$AF$204,0)),""))</f>
        <v/>
      </c>
      <c r="P189" s="28" t="str">
        <f aca="false">IF($A189="","",IFERROR(INDEX('זה אני - קליטה'!$AH$5:$AH$204,MATCH($A189&amp;"|סוף שנה",'זה אני - קליטה'!$AF$5:$AF$204,0)),""))</f>
        <v/>
      </c>
      <c r="Q189" s="28" t="str">
        <f aca="false">IF($A189="","",IFERROR(INDEX('זה אני - קליטה'!$AI$5:$AI$204,MATCH($A189&amp;"|סוף שנה",'זה אני - קליטה'!$AF$5:$AF$204,0)),""))</f>
        <v/>
      </c>
      <c r="R189" s="28" t="str">
        <f aca="false">IF($A189="","",IFERROR(INDEX('זה אני - קליטה'!$AJ$5:$AJ$204,MATCH($A189&amp;"|סוף שנה",'זה אני - קליטה'!$AF$5:$AF$204,0)),""))</f>
        <v/>
      </c>
      <c r="S189" s="28" t="str">
        <f aca="false">IF($A189="","",IFERROR(INDEX('זה אני - קליטה'!$AK$5:$AK$204,MATCH($A189&amp;"|סוף שנה",'זה אני - קליטה'!$AF$5:$AF$204,0)),""))</f>
        <v/>
      </c>
      <c r="T189" s="28" t="str">
        <f aca="false">IF($A189="","",IFERROR(INDEX('זה אני - קליטה'!$AL$5:$AL$204,MATCH($A189&amp;"|סוף שנה",'זה אני - קליטה'!$AF$5:$AF$204,0)),""))</f>
        <v/>
      </c>
      <c r="U189" s="27" t="str">
        <f aca="false">IF($A189="","",IFERROR(INDEX('זה אני - קליטה'!$AG$5:$AG$204,MATCH($A189&amp;"|סוף שנה",'זה אני - קליטה'!$AF$5:$AF$204,0)),""))</f>
        <v/>
      </c>
      <c r="V189" s="28" t="str">
        <f aca="false">IF($A189="","",IFERROR(INDEX('זה אני - קליטה'!$AN$5:$AN$204,MATCH($A189&amp;"|סוף שנה",'זה אני - קליטה'!$AF$5:$AF$204,0)),""))</f>
        <v/>
      </c>
      <c r="W189" s="32" t="str">
        <f aca="false">IF(AND(ISNUMBER(F189),ISNUMBER(T189)),T189-F189,"")</f>
        <v/>
      </c>
      <c r="X189" s="27" t="str">
        <f aca="false">IF(W189="","",IF(W189&gt;=0.25,"עלייה",IF(W189&lt;=-0.25,"ירידה","יציב")))</f>
        <v/>
      </c>
    </row>
    <row r="190" customFormat="false" ht="15" hidden="false" customHeight="false" outlineLevel="0" collapsed="false">
      <c r="A190" s="29"/>
      <c r="B190" s="28" t="str">
        <f aca="false">IF($A190="","",IFERROR(INDEX('זה אני - קליטה'!$AH$5:$AH$204,MATCH($A190&amp;"|תחילת שנה",'זה אני - קליטה'!$AF$5:$AF$204,0)),""))</f>
        <v/>
      </c>
      <c r="C190" s="28" t="str">
        <f aca="false">IF($A190="","",IFERROR(INDEX('זה אני - קליטה'!$AI$5:$AI$204,MATCH($A190&amp;"|תחילת שנה",'זה אני - קליטה'!$AF$5:$AF$204,0)),""))</f>
        <v/>
      </c>
      <c r="D190" s="28" t="str">
        <f aca="false">IF($A190="","",IFERROR(INDEX('זה אני - קליטה'!$AJ$5:$AJ$204,MATCH($A190&amp;"|תחילת שנה",'זה אני - קליטה'!$AF$5:$AF$204,0)),""))</f>
        <v/>
      </c>
      <c r="E190" s="28" t="str">
        <f aca="false">IF($A190="","",IFERROR(INDEX('זה אני - קליטה'!$AK$5:$AK$204,MATCH($A190&amp;"|תחילת שנה",'זה אני - קליטה'!$AF$5:$AF$204,0)),""))</f>
        <v/>
      </c>
      <c r="F190" s="28" t="str">
        <f aca="false">IF($A190="","",IFERROR(INDEX('זה אני - קליטה'!$AL$5:$AL$204,MATCH($A190&amp;"|תחילת שנה",'זה אני - קליטה'!$AF$5:$AF$204,0)),""))</f>
        <v/>
      </c>
      <c r="G190" s="27" t="str">
        <f aca="false">IF($A190="","",IFERROR(INDEX('זה אני - קליטה'!$AG$5:$AG$204,MATCH($A190&amp;"|תחילת שנה",'זה אני - קליטה'!$AF$5:$AF$204,0)),""))</f>
        <v/>
      </c>
      <c r="H190" s="28" t="str">
        <f aca="false">IF($A190="","",IFERROR(INDEX('זה אני - קליטה'!$AN$5:$AN$204,MATCH($A190&amp;"|תחילת שנה",'זה אני - קליטה'!$AF$5:$AF$204,0)),""))</f>
        <v/>
      </c>
      <c r="I190" s="28" t="str">
        <f aca="false">IF($A190="","",IFERROR(INDEX('זה אני - קליטה'!$AH$5:$AH$204,MATCH($A190&amp;"|אמצע שנה",'זה אני - קליטה'!$AF$5:$AF$204,0)),""))</f>
        <v/>
      </c>
      <c r="J190" s="28" t="str">
        <f aca="false">IF($A190="","",IFERROR(INDEX('זה אני - קליטה'!$AI$5:$AI$204,MATCH($A190&amp;"|אמצע שנה",'זה אני - קליטה'!$AF$5:$AF$204,0)),""))</f>
        <v/>
      </c>
      <c r="K190" s="28" t="str">
        <f aca="false">IF($A190="","",IFERROR(INDEX('זה אני - קליטה'!$AJ$5:$AJ$204,MATCH($A190&amp;"|אמצע שנה",'זה אני - קליטה'!$AF$5:$AF$204,0)),""))</f>
        <v/>
      </c>
      <c r="L190" s="28" t="str">
        <f aca="false">IF($A190="","",IFERROR(INDEX('זה אני - קליטה'!$AK$5:$AK$204,MATCH($A190&amp;"|אמצע שנה",'זה אני - קליטה'!$AF$5:$AF$204,0)),""))</f>
        <v/>
      </c>
      <c r="M190" s="28" t="str">
        <f aca="false">IF($A190="","",IFERROR(INDEX('זה אני - קליטה'!$AL$5:$AL$204,MATCH($A190&amp;"|אמצע שנה",'זה אני - קליטה'!$AF$5:$AF$204,0)),""))</f>
        <v/>
      </c>
      <c r="N190" s="27" t="str">
        <f aca="false">IF($A190="","",IFERROR(INDEX('זה אני - קליטה'!$AG$5:$AG$204,MATCH($A190&amp;"|אמצע שנה",'זה אני - קליטה'!$AF$5:$AF$204,0)),""))</f>
        <v/>
      </c>
      <c r="O190" s="28" t="str">
        <f aca="false">IF($A190="","",IFERROR(INDEX('זה אני - קליטה'!$AN$5:$AN$204,MATCH($A190&amp;"|אמצע שנה",'זה אני - קליטה'!$AF$5:$AF$204,0)),""))</f>
        <v/>
      </c>
      <c r="P190" s="28" t="str">
        <f aca="false">IF($A190="","",IFERROR(INDEX('זה אני - קליטה'!$AH$5:$AH$204,MATCH($A190&amp;"|סוף שנה",'זה אני - קליטה'!$AF$5:$AF$204,0)),""))</f>
        <v/>
      </c>
      <c r="Q190" s="28" t="str">
        <f aca="false">IF($A190="","",IFERROR(INDEX('זה אני - קליטה'!$AI$5:$AI$204,MATCH($A190&amp;"|סוף שנה",'זה אני - קליטה'!$AF$5:$AF$204,0)),""))</f>
        <v/>
      </c>
      <c r="R190" s="28" t="str">
        <f aca="false">IF($A190="","",IFERROR(INDEX('זה אני - קליטה'!$AJ$5:$AJ$204,MATCH($A190&amp;"|סוף שנה",'זה אני - קליטה'!$AF$5:$AF$204,0)),""))</f>
        <v/>
      </c>
      <c r="S190" s="28" t="str">
        <f aca="false">IF($A190="","",IFERROR(INDEX('זה אני - קליטה'!$AK$5:$AK$204,MATCH($A190&amp;"|סוף שנה",'זה אני - קליטה'!$AF$5:$AF$204,0)),""))</f>
        <v/>
      </c>
      <c r="T190" s="28" t="str">
        <f aca="false">IF($A190="","",IFERROR(INDEX('זה אני - קליטה'!$AL$5:$AL$204,MATCH($A190&amp;"|סוף שנה",'זה אני - קליטה'!$AF$5:$AF$204,0)),""))</f>
        <v/>
      </c>
      <c r="U190" s="27" t="str">
        <f aca="false">IF($A190="","",IFERROR(INDEX('זה אני - קליטה'!$AG$5:$AG$204,MATCH($A190&amp;"|סוף שנה",'זה אני - קליטה'!$AF$5:$AF$204,0)),""))</f>
        <v/>
      </c>
      <c r="V190" s="28" t="str">
        <f aca="false">IF($A190="","",IFERROR(INDEX('זה אני - קליטה'!$AN$5:$AN$204,MATCH($A190&amp;"|סוף שנה",'זה אני - קליטה'!$AF$5:$AF$204,0)),""))</f>
        <v/>
      </c>
      <c r="W190" s="32" t="str">
        <f aca="false">IF(AND(ISNUMBER(F190),ISNUMBER(T190)),T190-F190,"")</f>
        <v/>
      </c>
      <c r="X190" s="27" t="str">
        <f aca="false">IF(W190="","",IF(W190&gt;=0.25,"עלייה",IF(W190&lt;=-0.25,"ירידה","יציב")))</f>
        <v/>
      </c>
    </row>
    <row r="191" customFormat="false" ht="15" hidden="false" customHeight="false" outlineLevel="0" collapsed="false">
      <c r="A191" s="29"/>
      <c r="B191" s="28" t="str">
        <f aca="false">IF($A191="","",IFERROR(INDEX('זה אני - קליטה'!$AH$5:$AH$204,MATCH($A191&amp;"|תחילת שנה",'זה אני - קליטה'!$AF$5:$AF$204,0)),""))</f>
        <v/>
      </c>
      <c r="C191" s="28" t="str">
        <f aca="false">IF($A191="","",IFERROR(INDEX('זה אני - קליטה'!$AI$5:$AI$204,MATCH($A191&amp;"|תחילת שנה",'זה אני - קליטה'!$AF$5:$AF$204,0)),""))</f>
        <v/>
      </c>
      <c r="D191" s="28" t="str">
        <f aca="false">IF($A191="","",IFERROR(INDEX('זה אני - קליטה'!$AJ$5:$AJ$204,MATCH($A191&amp;"|תחילת שנה",'זה אני - קליטה'!$AF$5:$AF$204,0)),""))</f>
        <v/>
      </c>
      <c r="E191" s="28" t="str">
        <f aca="false">IF($A191="","",IFERROR(INDEX('זה אני - קליטה'!$AK$5:$AK$204,MATCH($A191&amp;"|תחילת שנה",'זה אני - קליטה'!$AF$5:$AF$204,0)),""))</f>
        <v/>
      </c>
      <c r="F191" s="28" t="str">
        <f aca="false">IF($A191="","",IFERROR(INDEX('זה אני - קליטה'!$AL$5:$AL$204,MATCH($A191&amp;"|תחילת שנה",'זה אני - קליטה'!$AF$5:$AF$204,0)),""))</f>
        <v/>
      </c>
      <c r="G191" s="27" t="str">
        <f aca="false">IF($A191="","",IFERROR(INDEX('זה אני - קליטה'!$AG$5:$AG$204,MATCH($A191&amp;"|תחילת שנה",'זה אני - קליטה'!$AF$5:$AF$204,0)),""))</f>
        <v/>
      </c>
      <c r="H191" s="28" t="str">
        <f aca="false">IF($A191="","",IFERROR(INDEX('זה אני - קליטה'!$AN$5:$AN$204,MATCH($A191&amp;"|תחילת שנה",'זה אני - קליטה'!$AF$5:$AF$204,0)),""))</f>
        <v/>
      </c>
      <c r="I191" s="28" t="str">
        <f aca="false">IF($A191="","",IFERROR(INDEX('זה אני - קליטה'!$AH$5:$AH$204,MATCH($A191&amp;"|אמצע שנה",'זה אני - קליטה'!$AF$5:$AF$204,0)),""))</f>
        <v/>
      </c>
      <c r="J191" s="28" t="str">
        <f aca="false">IF($A191="","",IFERROR(INDEX('זה אני - קליטה'!$AI$5:$AI$204,MATCH($A191&amp;"|אמצע שנה",'זה אני - קליטה'!$AF$5:$AF$204,0)),""))</f>
        <v/>
      </c>
      <c r="K191" s="28" t="str">
        <f aca="false">IF($A191="","",IFERROR(INDEX('זה אני - קליטה'!$AJ$5:$AJ$204,MATCH($A191&amp;"|אמצע שנה",'זה אני - קליטה'!$AF$5:$AF$204,0)),""))</f>
        <v/>
      </c>
      <c r="L191" s="28" t="str">
        <f aca="false">IF($A191="","",IFERROR(INDEX('זה אני - קליטה'!$AK$5:$AK$204,MATCH($A191&amp;"|אמצע שנה",'זה אני - קליטה'!$AF$5:$AF$204,0)),""))</f>
        <v/>
      </c>
      <c r="M191" s="28" t="str">
        <f aca="false">IF($A191="","",IFERROR(INDEX('זה אני - קליטה'!$AL$5:$AL$204,MATCH($A191&amp;"|אמצע שנה",'זה אני - קליטה'!$AF$5:$AF$204,0)),""))</f>
        <v/>
      </c>
      <c r="N191" s="27" t="str">
        <f aca="false">IF($A191="","",IFERROR(INDEX('זה אני - קליטה'!$AG$5:$AG$204,MATCH($A191&amp;"|אמצע שנה",'זה אני - קליטה'!$AF$5:$AF$204,0)),""))</f>
        <v/>
      </c>
      <c r="O191" s="28" t="str">
        <f aca="false">IF($A191="","",IFERROR(INDEX('זה אני - קליטה'!$AN$5:$AN$204,MATCH($A191&amp;"|אמצע שנה",'זה אני - קליטה'!$AF$5:$AF$204,0)),""))</f>
        <v/>
      </c>
      <c r="P191" s="28" t="str">
        <f aca="false">IF($A191="","",IFERROR(INDEX('זה אני - קליטה'!$AH$5:$AH$204,MATCH($A191&amp;"|סוף שנה",'זה אני - קליטה'!$AF$5:$AF$204,0)),""))</f>
        <v/>
      </c>
      <c r="Q191" s="28" t="str">
        <f aca="false">IF($A191="","",IFERROR(INDEX('זה אני - קליטה'!$AI$5:$AI$204,MATCH($A191&amp;"|סוף שנה",'זה אני - קליטה'!$AF$5:$AF$204,0)),""))</f>
        <v/>
      </c>
      <c r="R191" s="28" t="str">
        <f aca="false">IF($A191="","",IFERROR(INDEX('זה אני - קליטה'!$AJ$5:$AJ$204,MATCH($A191&amp;"|סוף שנה",'זה אני - קליטה'!$AF$5:$AF$204,0)),""))</f>
        <v/>
      </c>
      <c r="S191" s="28" t="str">
        <f aca="false">IF($A191="","",IFERROR(INDEX('זה אני - קליטה'!$AK$5:$AK$204,MATCH($A191&amp;"|סוף שנה",'זה אני - קליטה'!$AF$5:$AF$204,0)),""))</f>
        <v/>
      </c>
      <c r="T191" s="28" t="str">
        <f aca="false">IF($A191="","",IFERROR(INDEX('זה אני - קליטה'!$AL$5:$AL$204,MATCH($A191&amp;"|סוף שנה",'זה אני - קליטה'!$AF$5:$AF$204,0)),""))</f>
        <v/>
      </c>
      <c r="U191" s="27" t="str">
        <f aca="false">IF($A191="","",IFERROR(INDEX('זה אני - קליטה'!$AG$5:$AG$204,MATCH($A191&amp;"|סוף שנה",'זה אני - קליטה'!$AF$5:$AF$204,0)),""))</f>
        <v/>
      </c>
      <c r="V191" s="28" t="str">
        <f aca="false">IF($A191="","",IFERROR(INDEX('זה אני - קליטה'!$AN$5:$AN$204,MATCH($A191&amp;"|סוף שנה",'זה אני - קליטה'!$AF$5:$AF$204,0)),""))</f>
        <v/>
      </c>
      <c r="W191" s="32" t="str">
        <f aca="false">IF(AND(ISNUMBER(F191),ISNUMBER(T191)),T191-F191,"")</f>
        <v/>
      </c>
      <c r="X191" s="27" t="str">
        <f aca="false">IF(W191="","",IF(W191&gt;=0.25,"עלייה",IF(W191&lt;=-0.25,"ירידה","יציב")))</f>
        <v/>
      </c>
    </row>
    <row r="192" customFormat="false" ht="15" hidden="false" customHeight="false" outlineLevel="0" collapsed="false">
      <c r="A192" s="29"/>
      <c r="B192" s="28" t="str">
        <f aca="false">IF($A192="","",IFERROR(INDEX('זה אני - קליטה'!$AH$5:$AH$204,MATCH($A192&amp;"|תחילת שנה",'זה אני - קליטה'!$AF$5:$AF$204,0)),""))</f>
        <v/>
      </c>
      <c r="C192" s="28" t="str">
        <f aca="false">IF($A192="","",IFERROR(INDEX('זה אני - קליטה'!$AI$5:$AI$204,MATCH($A192&amp;"|תחילת שנה",'זה אני - קליטה'!$AF$5:$AF$204,0)),""))</f>
        <v/>
      </c>
      <c r="D192" s="28" t="str">
        <f aca="false">IF($A192="","",IFERROR(INDEX('זה אני - קליטה'!$AJ$5:$AJ$204,MATCH($A192&amp;"|תחילת שנה",'זה אני - קליטה'!$AF$5:$AF$204,0)),""))</f>
        <v/>
      </c>
      <c r="E192" s="28" t="str">
        <f aca="false">IF($A192="","",IFERROR(INDEX('זה אני - קליטה'!$AK$5:$AK$204,MATCH($A192&amp;"|תחילת שנה",'זה אני - קליטה'!$AF$5:$AF$204,0)),""))</f>
        <v/>
      </c>
      <c r="F192" s="28" t="str">
        <f aca="false">IF($A192="","",IFERROR(INDEX('זה אני - קליטה'!$AL$5:$AL$204,MATCH($A192&amp;"|תחילת שנה",'זה אני - קליטה'!$AF$5:$AF$204,0)),""))</f>
        <v/>
      </c>
      <c r="G192" s="27" t="str">
        <f aca="false">IF($A192="","",IFERROR(INDEX('זה אני - קליטה'!$AG$5:$AG$204,MATCH($A192&amp;"|תחילת שנה",'זה אני - קליטה'!$AF$5:$AF$204,0)),""))</f>
        <v/>
      </c>
      <c r="H192" s="28" t="str">
        <f aca="false">IF($A192="","",IFERROR(INDEX('זה אני - קליטה'!$AN$5:$AN$204,MATCH($A192&amp;"|תחילת שנה",'זה אני - קליטה'!$AF$5:$AF$204,0)),""))</f>
        <v/>
      </c>
      <c r="I192" s="28" t="str">
        <f aca="false">IF($A192="","",IFERROR(INDEX('זה אני - קליטה'!$AH$5:$AH$204,MATCH($A192&amp;"|אמצע שנה",'זה אני - קליטה'!$AF$5:$AF$204,0)),""))</f>
        <v/>
      </c>
      <c r="J192" s="28" t="str">
        <f aca="false">IF($A192="","",IFERROR(INDEX('זה אני - קליטה'!$AI$5:$AI$204,MATCH($A192&amp;"|אמצע שנה",'זה אני - קליטה'!$AF$5:$AF$204,0)),""))</f>
        <v/>
      </c>
      <c r="K192" s="28" t="str">
        <f aca="false">IF($A192="","",IFERROR(INDEX('זה אני - קליטה'!$AJ$5:$AJ$204,MATCH($A192&amp;"|אמצע שנה",'זה אני - קליטה'!$AF$5:$AF$204,0)),""))</f>
        <v/>
      </c>
      <c r="L192" s="28" t="str">
        <f aca="false">IF($A192="","",IFERROR(INDEX('זה אני - קליטה'!$AK$5:$AK$204,MATCH($A192&amp;"|אמצע שנה",'זה אני - קליטה'!$AF$5:$AF$204,0)),""))</f>
        <v/>
      </c>
      <c r="M192" s="28" t="str">
        <f aca="false">IF($A192="","",IFERROR(INDEX('זה אני - קליטה'!$AL$5:$AL$204,MATCH($A192&amp;"|אמצע שנה",'זה אני - קליטה'!$AF$5:$AF$204,0)),""))</f>
        <v/>
      </c>
      <c r="N192" s="27" t="str">
        <f aca="false">IF($A192="","",IFERROR(INDEX('זה אני - קליטה'!$AG$5:$AG$204,MATCH($A192&amp;"|אמצע שנה",'זה אני - קליטה'!$AF$5:$AF$204,0)),""))</f>
        <v/>
      </c>
      <c r="O192" s="28" t="str">
        <f aca="false">IF($A192="","",IFERROR(INDEX('זה אני - קליטה'!$AN$5:$AN$204,MATCH($A192&amp;"|אמצע שנה",'זה אני - קליטה'!$AF$5:$AF$204,0)),""))</f>
        <v/>
      </c>
      <c r="P192" s="28" t="str">
        <f aca="false">IF($A192="","",IFERROR(INDEX('זה אני - קליטה'!$AH$5:$AH$204,MATCH($A192&amp;"|סוף שנה",'זה אני - קליטה'!$AF$5:$AF$204,0)),""))</f>
        <v/>
      </c>
      <c r="Q192" s="28" t="str">
        <f aca="false">IF($A192="","",IFERROR(INDEX('זה אני - קליטה'!$AI$5:$AI$204,MATCH($A192&amp;"|סוף שנה",'זה אני - קליטה'!$AF$5:$AF$204,0)),""))</f>
        <v/>
      </c>
      <c r="R192" s="28" t="str">
        <f aca="false">IF($A192="","",IFERROR(INDEX('זה אני - קליטה'!$AJ$5:$AJ$204,MATCH($A192&amp;"|סוף שנה",'זה אני - קליטה'!$AF$5:$AF$204,0)),""))</f>
        <v/>
      </c>
      <c r="S192" s="28" t="str">
        <f aca="false">IF($A192="","",IFERROR(INDEX('זה אני - קליטה'!$AK$5:$AK$204,MATCH($A192&amp;"|סוף שנה",'זה אני - קליטה'!$AF$5:$AF$204,0)),""))</f>
        <v/>
      </c>
      <c r="T192" s="28" t="str">
        <f aca="false">IF($A192="","",IFERROR(INDEX('זה אני - קליטה'!$AL$5:$AL$204,MATCH($A192&amp;"|סוף שנה",'זה אני - קליטה'!$AF$5:$AF$204,0)),""))</f>
        <v/>
      </c>
      <c r="U192" s="27" t="str">
        <f aca="false">IF($A192="","",IFERROR(INDEX('זה אני - קליטה'!$AG$5:$AG$204,MATCH($A192&amp;"|סוף שנה",'זה אני - קליטה'!$AF$5:$AF$204,0)),""))</f>
        <v/>
      </c>
      <c r="V192" s="28" t="str">
        <f aca="false">IF($A192="","",IFERROR(INDEX('זה אני - קליטה'!$AN$5:$AN$204,MATCH($A192&amp;"|סוף שנה",'זה אני - קליטה'!$AF$5:$AF$204,0)),""))</f>
        <v/>
      </c>
      <c r="W192" s="32" t="str">
        <f aca="false">IF(AND(ISNUMBER(F192),ISNUMBER(T192)),T192-F192,"")</f>
        <v/>
      </c>
      <c r="X192" s="27" t="str">
        <f aca="false">IF(W192="","",IF(W192&gt;=0.25,"עלייה",IF(W192&lt;=-0.25,"ירידה","יציב")))</f>
        <v/>
      </c>
    </row>
    <row r="193" customFormat="false" ht="15" hidden="false" customHeight="false" outlineLevel="0" collapsed="false">
      <c r="A193" s="29"/>
      <c r="B193" s="28" t="str">
        <f aca="false">IF($A193="","",IFERROR(INDEX('זה אני - קליטה'!$AH$5:$AH$204,MATCH($A193&amp;"|תחילת שנה",'זה אני - קליטה'!$AF$5:$AF$204,0)),""))</f>
        <v/>
      </c>
      <c r="C193" s="28" t="str">
        <f aca="false">IF($A193="","",IFERROR(INDEX('זה אני - קליטה'!$AI$5:$AI$204,MATCH($A193&amp;"|תחילת שנה",'זה אני - קליטה'!$AF$5:$AF$204,0)),""))</f>
        <v/>
      </c>
      <c r="D193" s="28" t="str">
        <f aca="false">IF($A193="","",IFERROR(INDEX('זה אני - קליטה'!$AJ$5:$AJ$204,MATCH($A193&amp;"|תחילת שנה",'זה אני - קליטה'!$AF$5:$AF$204,0)),""))</f>
        <v/>
      </c>
      <c r="E193" s="28" t="str">
        <f aca="false">IF($A193="","",IFERROR(INDEX('זה אני - קליטה'!$AK$5:$AK$204,MATCH($A193&amp;"|תחילת שנה",'זה אני - קליטה'!$AF$5:$AF$204,0)),""))</f>
        <v/>
      </c>
      <c r="F193" s="28" t="str">
        <f aca="false">IF($A193="","",IFERROR(INDEX('זה אני - קליטה'!$AL$5:$AL$204,MATCH($A193&amp;"|תחילת שנה",'זה אני - קליטה'!$AF$5:$AF$204,0)),""))</f>
        <v/>
      </c>
      <c r="G193" s="27" t="str">
        <f aca="false">IF($A193="","",IFERROR(INDEX('זה אני - קליטה'!$AG$5:$AG$204,MATCH($A193&amp;"|תחילת שנה",'זה אני - קליטה'!$AF$5:$AF$204,0)),""))</f>
        <v/>
      </c>
      <c r="H193" s="28" t="str">
        <f aca="false">IF($A193="","",IFERROR(INDEX('זה אני - קליטה'!$AN$5:$AN$204,MATCH($A193&amp;"|תחילת שנה",'זה אני - קליטה'!$AF$5:$AF$204,0)),""))</f>
        <v/>
      </c>
      <c r="I193" s="28" t="str">
        <f aca="false">IF($A193="","",IFERROR(INDEX('זה אני - קליטה'!$AH$5:$AH$204,MATCH($A193&amp;"|אמצע שנה",'זה אני - קליטה'!$AF$5:$AF$204,0)),""))</f>
        <v/>
      </c>
      <c r="J193" s="28" t="str">
        <f aca="false">IF($A193="","",IFERROR(INDEX('זה אני - קליטה'!$AI$5:$AI$204,MATCH($A193&amp;"|אמצע שנה",'זה אני - קליטה'!$AF$5:$AF$204,0)),""))</f>
        <v/>
      </c>
      <c r="K193" s="28" t="str">
        <f aca="false">IF($A193="","",IFERROR(INDEX('זה אני - קליטה'!$AJ$5:$AJ$204,MATCH($A193&amp;"|אמצע שנה",'זה אני - קליטה'!$AF$5:$AF$204,0)),""))</f>
        <v/>
      </c>
      <c r="L193" s="28" t="str">
        <f aca="false">IF($A193="","",IFERROR(INDEX('זה אני - קליטה'!$AK$5:$AK$204,MATCH($A193&amp;"|אמצע שנה",'זה אני - קליטה'!$AF$5:$AF$204,0)),""))</f>
        <v/>
      </c>
      <c r="M193" s="28" t="str">
        <f aca="false">IF($A193="","",IFERROR(INDEX('זה אני - קליטה'!$AL$5:$AL$204,MATCH($A193&amp;"|אמצע שנה",'זה אני - קליטה'!$AF$5:$AF$204,0)),""))</f>
        <v/>
      </c>
      <c r="N193" s="27" t="str">
        <f aca="false">IF($A193="","",IFERROR(INDEX('זה אני - קליטה'!$AG$5:$AG$204,MATCH($A193&amp;"|אמצע שנה",'זה אני - קליטה'!$AF$5:$AF$204,0)),""))</f>
        <v/>
      </c>
      <c r="O193" s="28" t="str">
        <f aca="false">IF($A193="","",IFERROR(INDEX('זה אני - קליטה'!$AN$5:$AN$204,MATCH($A193&amp;"|אמצע שנה",'זה אני - קליטה'!$AF$5:$AF$204,0)),""))</f>
        <v/>
      </c>
      <c r="P193" s="28" t="str">
        <f aca="false">IF($A193="","",IFERROR(INDEX('זה אני - קליטה'!$AH$5:$AH$204,MATCH($A193&amp;"|סוף שנה",'זה אני - קליטה'!$AF$5:$AF$204,0)),""))</f>
        <v/>
      </c>
      <c r="Q193" s="28" t="str">
        <f aca="false">IF($A193="","",IFERROR(INDEX('זה אני - קליטה'!$AI$5:$AI$204,MATCH($A193&amp;"|סוף שנה",'זה אני - קליטה'!$AF$5:$AF$204,0)),""))</f>
        <v/>
      </c>
      <c r="R193" s="28" t="str">
        <f aca="false">IF($A193="","",IFERROR(INDEX('זה אני - קליטה'!$AJ$5:$AJ$204,MATCH($A193&amp;"|סוף שנה",'זה אני - קליטה'!$AF$5:$AF$204,0)),""))</f>
        <v/>
      </c>
      <c r="S193" s="28" t="str">
        <f aca="false">IF($A193="","",IFERROR(INDEX('זה אני - קליטה'!$AK$5:$AK$204,MATCH($A193&amp;"|סוף שנה",'זה אני - קליטה'!$AF$5:$AF$204,0)),""))</f>
        <v/>
      </c>
      <c r="T193" s="28" t="str">
        <f aca="false">IF($A193="","",IFERROR(INDEX('זה אני - קליטה'!$AL$5:$AL$204,MATCH($A193&amp;"|סוף שנה",'זה אני - קליטה'!$AF$5:$AF$204,0)),""))</f>
        <v/>
      </c>
      <c r="U193" s="27" t="str">
        <f aca="false">IF($A193="","",IFERROR(INDEX('זה אני - קליטה'!$AG$5:$AG$204,MATCH($A193&amp;"|סוף שנה",'זה אני - קליטה'!$AF$5:$AF$204,0)),""))</f>
        <v/>
      </c>
      <c r="V193" s="28" t="str">
        <f aca="false">IF($A193="","",IFERROR(INDEX('זה אני - קליטה'!$AN$5:$AN$204,MATCH($A193&amp;"|סוף שנה",'זה אני - קליטה'!$AF$5:$AF$204,0)),""))</f>
        <v/>
      </c>
      <c r="W193" s="32" t="str">
        <f aca="false">IF(AND(ISNUMBER(F193),ISNUMBER(T193)),T193-F193,"")</f>
        <v/>
      </c>
      <c r="X193" s="27" t="str">
        <f aca="false">IF(W193="","",IF(W193&gt;=0.25,"עלייה",IF(W193&lt;=-0.25,"ירידה","יציב")))</f>
        <v/>
      </c>
    </row>
    <row r="194" customFormat="false" ht="15" hidden="false" customHeight="false" outlineLevel="0" collapsed="false">
      <c r="A194" s="29"/>
      <c r="B194" s="28" t="str">
        <f aca="false">IF($A194="","",IFERROR(INDEX('זה אני - קליטה'!$AH$5:$AH$204,MATCH($A194&amp;"|תחילת שנה",'זה אני - קליטה'!$AF$5:$AF$204,0)),""))</f>
        <v/>
      </c>
      <c r="C194" s="28" t="str">
        <f aca="false">IF($A194="","",IFERROR(INDEX('זה אני - קליטה'!$AI$5:$AI$204,MATCH($A194&amp;"|תחילת שנה",'זה אני - קליטה'!$AF$5:$AF$204,0)),""))</f>
        <v/>
      </c>
      <c r="D194" s="28" t="str">
        <f aca="false">IF($A194="","",IFERROR(INDEX('זה אני - קליטה'!$AJ$5:$AJ$204,MATCH($A194&amp;"|תחילת שנה",'זה אני - קליטה'!$AF$5:$AF$204,0)),""))</f>
        <v/>
      </c>
      <c r="E194" s="28" t="str">
        <f aca="false">IF($A194="","",IFERROR(INDEX('זה אני - קליטה'!$AK$5:$AK$204,MATCH($A194&amp;"|תחילת שנה",'זה אני - קליטה'!$AF$5:$AF$204,0)),""))</f>
        <v/>
      </c>
      <c r="F194" s="28" t="str">
        <f aca="false">IF($A194="","",IFERROR(INDEX('זה אני - קליטה'!$AL$5:$AL$204,MATCH($A194&amp;"|תחילת שנה",'זה אני - קליטה'!$AF$5:$AF$204,0)),""))</f>
        <v/>
      </c>
      <c r="G194" s="27" t="str">
        <f aca="false">IF($A194="","",IFERROR(INDEX('זה אני - קליטה'!$AG$5:$AG$204,MATCH($A194&amp;"|תחילת שנה",'זה אני - קליטה'!$AF$5:$AF$204,0)),""))</f>
        <v/>
      </c>
      <c r="H194" s="28" t="str">
        <f aca="false">IF($A194="","",IFERROR(INDEX('זה אני - קליטה'!$AN$5:$AN$204,MATCH($A194&amp;"|תחילת שנה",'זה אני - קליטה'!$AF$5:$AF$204,0)),""))</f>
        <v/>
      </c>
      <c r="I194" s="28" t="str">
        <f aca="false">IF($A194="","",IFERROR(INDEX('זה אני - קליטה'!$AH$5:$AH$204,MATCH($A194&amp;"|אמצע שנה",'זה אני - קליטה'!$AF$5:$AF$204,0)),""))</f>
        <v/>
      </c>
      <c r="J194" s="28" t="str">
        <f aca="false">IF($A194="","",IFERROR(INDEX('זה אני - קליטה'!$AI$5:$AI$204,MATCH($A194&amp;"|אמצע שנה",'זה אני - קליטה'!$AF$5:$AF$204,0)),""))</f>
        <v/>
      </c>
      <c r="K194" s="28" t="str">
        <f aca="false">IF($A194="","",IFERROR(INDEX('זה אני - קליטה'!$AJ$5:$AJ$204,MATCH($A194&amp;"|אמצע שנה",'זה אני - קליטה'!$AF$5:$AF$204,0)),""))</f>
        <v/>
      </c>
      <c r="L194" s="28" t="str">
        <f aca="false">IF($A194="","",IFERROR(INDEX('זה אני - קליטה'!$AK$5:$AK$204,MATCH($A194&amp;"|אמצע שנה",'זה אני - קליטה'!$AF$5:$AF$204,0)),""))</f>
        <v/>
      </c>
      <c r="M194" s="28" t="str">
        <f aca="false">IF($A194="","",IFERROR(INDEX('זה אני - קליטה'!$AL$5:$AL$204,MATCH($A194&amp;"|אמצע שנה",'זה אני - קליטה'!$AF$5:$AF$204,0)),""))</f>
        <v/>
      </c>
      <c r="N194" s="27" t="str">
        <f aca="false">IF($A194="","",IFERROR(INDEX('זה אני - קליטה'!$AG$5:$AG$204,MATCH($A194&amp;"|אמצע שנה",'זה אני - קליטה'!$AF$5:$AF$204,0)),""))</f>
        <v/>
      </c>
      <c r="O194" s="28" t="str">
        <f aca="false">IF($A194="","",IFERROR(INDEX('זה אני - קליטה'!$AN$5:$AN$204,MATCH($A194&amp;"|אמצע שנה",'זה אני - קליטה'!$AF$5:$AF$204,0)),""))</f>
        <v/>
      </c>
      <c r="P194" s="28" t="str">
        <f aca="false">IF($A194="","",IFERROR(INDEX('זה אני - קליטה'!$AH$5:$AH$204,MATCH($A194&amp;"|סוף שנה",'זה אני - קליטה'!$AF$5:$AF$204,0)),""))</f>
        <v/>
      </c>
      <c r="Q194" s="28" t="str">
        <f aca="false">IF($A194="","",IFERROR(INDEX('זה אני - קליטה'!$AI$5:$AI$204,MATCH($A194&amp;"|סוף שנה",'זה אני - קליטה'!$AF$5:$AF$204,0)),""))</f>
        <v/>
      </c>
      <c r="R194" s="28" t="str">
        <f aca="false">IF($A194="","",IFERROR(INDEX('זה אני - קליטה'!$AJ$5:$AJ$204,MATCH($A194&amp;"|סוף שנה",'זה אני - קליטה'!$AF$5:$AF$204,0)),""))</f>
        <v/>
      </c>
      <c r="S194" s="28" t="str">
        <f aca="false">IF($A194="","",IFERROR(INDEX('זה אני - קליטה'!$AK$5:$AK$204,MATCH($A194&amp;"|סוף שנה",'זה אני - קליטה'!$AF$5:$AF$204,0)),""))</f>
        <v/>
      </c>
      <c r="T194" s="28" t="str">
        <f aca="false">IF($A194="","",IFERROR(INDEX('זה אני - קליטה'!$AL$5:$AL$204,MATCH($A194&amp;"|סוף שנה",'זה אני - קליטה'!$AF$5:$AF$204,0)),""))</f>
        <v/>
      </c>
      <c r="U194" s="27" t="str">
        <f aca="false">IF($A194="","",IFERROR(INDEX('זה אני - קליטה'!$AG$5:$AG$204,MATCH($A194&amp;"|סוף שנה",'זה אני - קליטה'!$AF$5:$AF$204,0)),""))</f>
        <v/>
      </c>
      <c r="V194" s="28" t="str">
        <f aca="false">IF($A194="","",IFERROR(INDEX('זה אני - קליטה'!$AN$5:$AN$204,MATCH($A194&amp;"|סוף שנה",'זה אני - קליטה'!$AF$5:$AF$204,0)),""))</f>
        <v/>
      </c>
      <c r="W194" s="32" t="str">
        <f aca="false">IF(AND(ISNUMBER(F194),ISNUMBER(T194)),T194-F194,"")</f>
        <v/>
      </c>
      <c r="X194" s="27" t="str">
        <f aca="false">IF(W194="","",IF(W194&gt;=0.25,"עלייה",IF(W194&lt;=-0.25,"ירידה","יציב")))</f>
        <v/>
      </c>
    </row>
    <row r="195" customFormat="false" ht="15" hidden="false" customHeight="false" outlineLevel="0" collapsed="false">
      <c r="A195" s="29"/>
      <c r="B195" s="28" t="str">
        <f aca="false">IF($A195="","",IFERROR(INDEX('זה אני - קליטה'!$AH$5:$AH$204,MATCH($A195&amp;"|תחילת שנה",'זה אני - קליטה'!$AF$5:$AF$204,0)),""))</f>
        <v/>
      </c>
      <c r="C195" s="28" t="str">
        <f aca="false">IF($A195="","",IFERROR(INDEX('זה אני - קליטה'!$AI$5:$AI$204,MATCH($A195&amp;"|תחילת שנה",'זה אני - קליטה'!$AF$5:$AF$204,0)),""))</f>
        <v/>
      </c>
      <c r="D195" s="28" t="str">
        <f aca="false">IF($A195="","",IFERROR(INDEX('זה אני - קליטה'!$AJ$5:$AJ$204,MATCH($A195&amp;"|תחילת שנה",'זה אני - קליטה'!$AF$5:$AF$204,0)),""))</f>
        <v/>
      </c>
      <c r="E195" s="28" t="str">
        <f aca="false">IF($A195="","",IFERROR(INDEX('זה אני - קליטה'!$AK$5:$AK$204,MATCH($A195&amp;"|תחילת שנה",'זה אני - קליטה'!$AF$5:$AF$204,0)),""))</f>
        <v/>
      </c>
      <c r="F195" s="28" t="str">
        <f aca="false">IF($A195="","",IFERROR(INDEX('זה אני - קליטה'!$AL$5:$AL$204,MATCH($A195&amp;"|תחילת שנה",'זה אני - קליטה'!$AF$5:$AF$204,0)),""))</f>
        <v/>
      </c>
      <c r="G195" s="27" t="str">
        <f aca="false">IF($A195="","",IFERROR(INDEX('זה אני - קליטה'!$AG$5:$AG$204,MATCH($A195&amp;"|תחילת שנה",'זה אני - קליטה'!$AF$5:$AF$204,0)),""))</f>
        <v/>
      </c>
      <c r="H195" s="28" t="str">
        <f aca="false">IF($A195="","",IFERROR(INDEX('זה אני - קליטה'!$AN$5:$AN$204,MATCH($A195&amp;"|תחילת שנה",'זה אני - קליטה'!$AF$5:$AF$204,0)),""))</f>
        <v/>
      </c>
      <c r="I195" s="28" t="str">
        <f aca="false">IF($A195="","",IFERROR(INDEX('זה אני - קליטה'!$AH$5:$AH$204,MATCH($A195&amp;"|אמצע שנה",'זה אני - קליטה'!$AF$5:$AF$204,0)),""))</f>
        <v/>
      </c>
      <c r="J195" s="28" t="str">
        <f aca="false">IF($A195="","",IFERROR(INDEX('זה אני - קליטה'!$AI$5:$AI$204,MATCH($A195&amp;"|אמצע שנה",'זה אני - קליטה'!$AF$5:$AF$204,0)),""))</f>
        <v/>
      </c>
      <c r="K195" s="28" t="str">
        <f aca="false">IF($A195="","",IFERROR(INDEX('זה אני - קליטה'!$AJ$5:$AJ$204,MATCH($A195&amp;"|אמצע שנה",'זה אני - קליטה'!$AF$5:$AF$204,0)),""))</f>
        <v/>
      </c>
      <c r="L195" s="28" t="str">
        <f aca="false">IF($A195="","",IFERROR(INDEX('זה אני - קליטה'!$AK$5:$AK$204,MATCH($A195&amp;"|אמצע שנה",'זה אני - קליטה'!$AF$5:$AF$204,0)),""))</f>
        <v/>
      </c>
      <c r="M195" s="28" t="str">
        <f aca="false">IF($A195="","",IFERROR(INDEX('זה אני - קליטה'!$AL$5:$AL$204,MATCH($A195&amp;"|אמצע שנה",'זה אני - קליטה'!$AF$5:$AF$204,0)),""))</f>
        <v/>
      </c>
      <c r="N195" s="27" t="str">
        <f aca="false">IF($A195="","",IFERROR(INDEX('זה אני - קליטה'!$AG$5:$AG$204,MATCH($A195&amp;"|אמצע שנה",'זה אני - קליטה'!$AF$5:$AF$204,0)),""))</f>
        <v/>
      </c>
      <c r="O195" s="28" t="str">
        <f aca="false">IF($A195="","",IFERROR(INDEX('זה אני - קליטה'!$AN$5:$AN$204,MATCH($A195&amp;"|אמצע שנה",'זה אני - קליטה'!$AF$5:$AF$204,0)),""))</f>
        <v/>
      </c>
      <c r="P195" s="28" t="str">
        <f aca="false">IF($A195="","",IFERROR(INDEX('זה אני - קליטה'!$AH$5:$AH$204,MATCH($A195&amp;"|סוף שנה",'זה אני - קליטה'!$AF$5:$AF$204,0)),""))</f>
        <v/>
      </c>
      <c r="Q195" s="28" t="str">
        <f aca="false">IF($A195="","",IFERROR(INDEX('זה אני - קליטה'!$AI$5:$AI$204,MATCH($A195&amp;"|סוף שנה",'זה אני - קליטה'!$AF$5:$AF$204,0)),""))</f>
        <v/>
      </c>
      <c r="R195" s="28" t="str">
        <f aca="false">IF($A195="","",IFERROR(INDEX('זה אני - קליטה'!$AJ$5:$AJ$204,MATCH($A195&amp;"|סוף שנה",'זה אני - קליטה'!$AF$5:$AF$204,0)),""))</f>
        <v/>
      </c>
      <c r="S195" s="28" t="str">
        <f aca="false">IF($A195="","",IFERROR(INDEX('זה אני - קליטה'!$AK$5:$AK$204,MATCH($A195&amp;"|סוף שנה",'זה אני - קליטה'!$AF$5:$AF$204,0)),""))</f>
        <v/>
      </c>
      <c r="T195" s="28" t="str">
        <f aca="false">IF($A195="","",IFERROR(INDEX('זה אני - קליטה'!$AL$5:$AL$204,MATCH($A195&amp;"|סוף שנה",'זה אני - קליטה'!$AF$5:$AF$204,0)),""))</f>
        <v/>
      </c>
      <c r="U195" s="27" t="str">
        <f aca="false">IF($A195="","",IFERROR(INDEX('זה אני - קליטה'!$AG$5:$AG$204,MATCH($A195&amp;"|סוף שנה",'זה אני - קליטה'!$AF$5:$AF$204,0)),""))</f>
        <v/>
      </c>
      <c r="V195" s="28" t="str">
        <f aca="false">IF($A195="","",IFERROR(INDEX('זה אני - קליטה'!$AN$5:$AN$204,MATCH($A195&amp;"|סוף שנה",'זה אני - קליטה'!$AF$5:$AF$204,0)),""))</f>
        <v/>
      </c>
      <c r="W195" s="32" t="str">
        <f aca="false">IF(AND(ISNUMBER(F195),ISNUMBER(T195)),T195-F195,"")</f>
        <v/>
      </c>
      <c r="X195" s="27" t="str">
        <f aca="false">IF(W195="","",IF(W195&gt;=0.25,"עלייה",IF(W195&lt;=-0.25,"ירידה","יציב")))</f>
        <v/>
      </c>
    </row>
    <row r="196" customFormat="false" ht="15" hidden="false" customHeight="false" outlineLevel="0" collapsed="false">
      <c r="A196" s="29"/>
      <c r="B196" s="28" t="str">
        <f aca="false">IF($A196="","",IFERROR(INDEX('זה אני - קליטה'!$AH$5:$AH$204,MATCH($A196&amp;"|תחילת שנה",'זה אני - קליטה'!$AF$5:$AF$204,0)),""))</f>
        <v/>
      </c>
      <c r="C196" s="28" t="str">
        <f aca="false">IF($A196="","",IFERROR(INDEX('זה אני - קליטה'!$AI$5:$AI$204,MATCH($A196&amp;"|תחילת שנה",'זה אני - קליטה'!$AF$5:$AF$204,0)),""))</f>
        <v/>
      </c>
      <c r="D196" s="28" t="str">
        <f aca="false">IF($A196="","",IFERROR(INDEX('זה אני - קליטה'!$AJ$5:$AJ$204,MATCH($A196&amp;"|תחילת שנה",'זה אני - קליטה'!$AF$5:$AF$204,0)),""))</f>
        <v/>
      </c>
      <c r="E196" s="28" t="str">
        <f aca="false">IF($A196="","",IFERROR(INDEX('זה אני - קליטה'!$AK$5:$AK$204,MATCH($A196&amp;"|תחילת שנה",'זה אני - קליטה'!$AF$5:$AF$204,0)),""))</f>
        <v/>
      </c>
      <c r="F196" s="28" t="str">
        <f aca="false">IF($A196="","",IFERROR(INDEX('זה אני - קליטה'!$AL$5:$AL$204,MATCH($A196&amp;"|תחילת שנה",'זה אני - קליטה'!$AF$5:$AF$204,0)),""))</f>
        <v/>
      </c>
      <c r="G196" s="27" t="str">
        <f aca="false">IF($A196="","",IFERROR(INDEX('זה אני - קליטה'!$AG$5:$AG$204,MATCH($A196&amp;"|תחילת שנה",'זה אני - קליטה'!$AF$5:$AF$204,0)),""))</f>
        <v/>
      </c>
      <c r="H196" s="28" t="str">
        <f aca="false">IF($A196="","",IFERROR(INDEX('זה אני - קליטה'!$AN$5:$AN$204,MATCH($A196&amp;"|תחילת שנה",'זה אני - קליטה'!$AF$5:$AF$204,0)),""))</f>
        <v/>
      </c>
      <c r="I196" s="28" t="str">
        <f aca="false">IF($A196="","",IFERROR(INDEX('זה אני - קליטה'!$AH$5:$AH$204,MATCH($A196&amp;"|אמצע שנה",'זה אני - קליטה'!$AF$5:$AF$204,0)),""))</f>
        <v/>
      </c>
      <c r="J196" s="28" t="str">
        <f aca="false">IF($A196="","",IFERROR(INDEX('זה אני - קליטה'!$AI$5:$AI$204,MATCH($A196&amp;"|אמצע שנה",'זה אני - קליטה'!$AF$5:$AF$204,0)),""))</f>
        <v/>
      </c>
      <c r="K196" s="28" t="str">
        <f aca="false">IF($A196="","",IFERROR(INDEX('זה אני - קליטה'!$AJ$5:$AJ$204,MATCH($A196&amp;"|אמצע שנה",'זה אני - קליטה'!$AF$5:$AF$204,0)),""))</f>
        <v/>
      </c>
      <c r="L196" s="28" t="str">
        <f aca="false">IF($A196="","",IFERROR(INDEX('זה אני - קליטה'!$AK$5:$AK$204,MATCH($A196&amp;"|אמצע שנה",'זה אני - קליטה'!$AF$5:$AF$204,0)),""))</f>
        <v/>
      </c>
      <c r="M196" s="28" t="str">
        <f aca="false">IF($A196="","",IFERROR(INDEX('זה אני - קליטה'!$AL$5:$AL$204,MATCH($A196&amp;"|אמצע שנה",'זה אני - קליטה'!$AF$5:$AF$204,0)),""))</f>
        <v/>
      </c>
      <c r="N196" s="27" t="str">
        <f aca="false">IF($A196="","",IFERROR(INDEX('זה אני - קליטה'!$AG$5:$AG$204,MATCH($A196&amp;"|אמצע שנה",'זה אני - קליטה'!$AF$5:$AF$204,0)),""))</f>
        <v/>
      </c>
      <c r="O196" s="28" t="str">
        <f aca="false">IF($A196="","",IFERROR(INDEX('זה אני - קליטה'!$AN$5:$AN$204,MATCH($A196&amp;"|אמצע שנה",'זה אני - קליטה'!$AF$5:$AF$204,0)),""))</f>
        <v/>
      </c>
      <c r="P196" s="28" t="str">
        <f aca="false">IF($A196="","",IFERROR(INDEX('זה אני - קליטה'!$AH$5:$AH$204,MATCH($A196&amp;"|סוף שנה",'זה אני - קליטה'!$AF$5:$AF$204,0)),""))</f>
        <v/>
      </c>
      <c r="Q196" s="28" t="str">
        <f aca="false">IF($A196="","",IFERROR(INDEX('זה אני - קליטה'!$AI$5:$AI$204,MATCH($A196&amp;"|סוף שנה",'זה אני - קליטה'!$AF$5:$AF$204,0)),""))</f>
        <v/>
      </c>
      <c r="R196" s="28" t="str">
        <f aca="false">IF($A196="","",IFERROR(INDEX('זה אני - קליטה'!$AJ$5:$AJ$204,MATCH($A196&amp;"|סוף שנה",'זה אני - קליטה'!$AF$5:$AF$204,0)),""))</f>
        <v/>
      </c>
      <c r="S196" s="28" t="str">
        <f aca="false">IF($A196="","",IFERROR(INDEX('זה אני - קליטה'!$AK$5:$AK$204,MATCH($A196&amp;"|סוף שנה",'זה אני - קליטה'!$AF$5:$AF$204,0)),""))</f>
        <v/>
      </c>
      <c r="T196" s="28" t="str">
        <f aca="false">IF($A196="","",IFERROR(INDEX('זה אני - קליטה'!$AL$5:$AL$204,MATCH($A196&amp;"|סוף שנה",'זה אני - קליטה'!$AF$5:$AF$204,0)),""))</f>
        <v/>
      </c>
      <c r="U196" s="27" t="str">
        <f aca="false">IF($A196="","",IFERROR(INDEX('זה אני - קליטה'!$AG$5:$AG$204,MATCH($A196&amp;"|סוף שנה",'זה אני - קליטה'!$AF$5:$AF$204,0)),""))</f>
        <v/>
      </c>
      <c r="V196" s="28" t="str">
        <f aca="false">IF($A196="","",IFERROR(INDEX('זה אני - קליטה'!$AN$5:$AN$204,MATCH($A196&amp;"|סוף שנה",'זה אני - קליטה'!$AF$5:$AF$204,0)),""))</f>
        <v/>
      </c>
      <c r="W196" s="32" t="str">
        <f aca="false">IF(AND(ISNUMBER(F196),ISNUMBER(T196)),T196-F196,"")</f>
        <v/>
      </c>
      <c r="X196" s="27" t="str">
        <f aca="false">IF(W196="","",IF(W196&gt;=0.25,"עלייה",IF(W196&lt;=-0.25,"ירידה","יציב")))</f>
        <v/>
      </c>
    </row>
    <row r="197" customFormat="false" ht="15" hidden="false" customHeight="false" outlineLevel="0" collapsed="false">
      <c r="A197" s="29"/>
      <c r="B197" s="28" t="str">
        <f aca="false">IF($A197="","",IFERROR(INDEX('זה אני - קליטה'!$AH$5:$AH$204,MATCH($A197&amp;"|תחילת שנה",'זה אני - קליטה'!$AF$5:$AF$204,0)),""))</f>
        <v/>
      </c>
      <c r="C197" s="28" t="str">
        <f aca="false">IF($A197="","",IFERROR(INDEX('זה אני - קליטה'!$AI$5:$AI$204,MATCH($A197&amp;"|תחילת שנה",'זה אני - קליטה'!$AF$5:$AF$204,0)),""))</f>
        <v/>
      </c>
      <c r="D197" s="28" t="str">
        <f aca="false">IF($A197="","",IFERROR(INDEX('זה אני - קליטה'!$AJ$5:$AJ$204,MATCH($A197&amp;"|תחילת שנה",'זה אני - קליטה'!$AF$5:$AF$204,0)),""))</f>
        <v/>
      </c>
      <c r="E197" s="28" t="str">
        <f aca="false">IF($A197="","",IFERROR(INDEX('זה אני - קליטה'!$AK$5:$AK$204,MATCH($A197&amp;"|תחילת שנה",'זה אני - קליטה'!$AF$5:$AF$204,0)),""))</f>
        <v/>
      </c>
      <c r="F197" s="28" t="str">
        <f aca="false">IF($A197="","",IFERROR(INDEX('זה אני - קליטה'!$AL$5:$AL$204,MATCH($A197&amp;"|תחילת שנה",'זה אני - קליטה'!$AF$5:$AF$204,0)),""))</f>
        <v/>
      </c>
      <c r="G197" s="27" t="str">
        <f aca="false">IF($A197="","",IFERROR(INDEX('זה אני - קליטה'!$AG$5:$AG$204,MATCH($A197&amp;"|תחילת שנה",'זה אני - קליטה'!$AF$5:$AF$204,0)),""))</f>
        <v/>
      </c>
      <c r="H197" s="28" t="str">
        <f aca="false">IF($A197="","",IFERROR(INDEX('זה אני - קליטה'!$AN$5:$AN$204,MATCH($A197&amp;"|תחילת שנה",'זה אני - קליטה'!$AF$5:$AF$204,0)),""))</f>
        <v/>
      </c>
      <c r="I197" s="28" t="str">
        <f aca="false">IF($A197="","",IFERROR(INDEX('זה אני - קליטה'!$AH$5:$AH$204,MATCH($A197&amp;"|אמצע שנה",'זה אני - קליטה'!$AF$5:$AF$204,0)),""))</f>
        <v/>
      </c>
      <c r="J197" s="28" t="str">
        <f aca="false">IF($A197="","",IFERROR(INDEX('זה אני - קליטה'!$AI$5:$AI$204,MATCH($A197&amp;"|אמצע שנה",'זה אני - קליטה'!$AF$5:$AF$204,0)),""))</f>
        <v/>
      </c>
      <c r="K197" s="28" t="str">
        <f aca="false">IF($A197="","",IFERROR(INDEX('זה אני - קליטה'!$AJ$5:$AJ$204,MATCH($A197&amp;"|אמצע שנה",'זה אני - קליטה'!$AF$5:$AF$204,0)),""))</f>
        <v/>
      </c>
      <c r="L197" s="28" t="str">
        <f aca="false">IF($A197="","",IFERROR(INDEX('זה אני - קליטה'!$AK$5:$AK$204,MATCH($A197&amp;"|אמצע שנה",'זה אני - קליטה'!$AF$5:$AF$204,0)),""))</f>
        <v/>
      </c>
      <c r="M197" s="28" t="str">
        <f aca="false">IF($A197="","",IFERROR(INDEX('זה אני - קליטה'!$AL$5:$AL$204,MATCH($A197&amp;"|אמצע שנה",'זה אני - קליטה'!$AF$5:$AF$204,0)),""))</f>
        <v/>
      </c>
      <c r="N197" s="27" t="str">
        <f aca="false">IF($A197="","",IFERROR(INDEX('זה אני - קליטה'!$AG$5:$AG$204,MATCH($A197&amp;"|אמצע שנה",'זה אני - קליטה'!$AF$5:$AF$204,0)),""))</f>
        <v/>
      </c>
      <c r="O197" s="28" t="str">
        <f aca="false">IF($A197="","",IFERROR(INDEX('זה אני - קליטה'!$AN$5:$AN$204,MATCH($A197&amp;"|אמצע שנה",'זה אני - קליטה'!$AF$5:$AF$204,0)),""))</f>
        <v/>
      </c>
      <c r="P197" s="28" t="str">
        <f aca="false">IF($A197="","",IFERROR(INDEX('זה אני - קליטה'!$AH$5:$AH$204,MATCH($A197&amp;"|סוף שנה",'זה אני - קליטה'!$AF$5:$AF$204,0)),""))</f>
        <v/>
      </c>
      <c r="Q197" s="28" t="str">
        <f aca="false">IF($A197="","",IFERROR(INDEX('זה אני - קליטה'!$AI$5:$AI$204,MATCH($A197&amp;"|סוף שנה",'זה אני - קליטה'!$AF$5:$AF$204,0)),""))</f>
        <v/>
      </c>
      <c r="R197" s="28" t="str">
        <f aca="false">IF($A197="","",IFERROR(INDEX('זה אני - קליטה'!$AJ$5:$AJ$204,MATCH($A197&amp;"|סוף שנה",'זה אני - קליטה'!$AF$5:$AF$204,0)),""))</f>
        <v/>
      </c>
      <c r="S197" s="28" t="str">
        <f aca="false">IF($A197="","",IFERROR(INDEX('זה אני - קליטה'!$AK$5:$AK$204,MATCH($A197&amp;"|סוף שנה",'זה אני - קליטה'!$AF$5:$AF$204,0)),""))</f>
        <v/>
      </c>
      <c r="T197" s="28" t="str">
        <f aca="false">IF($A197="","",IFERROR(INDEX('זה אני - קליטה'!$AL$5:$AL$204,MATCH($A197&amp;"|סוף שנה",'זה אני - קליטה'!$AF$5:$AF$204,0)),""))</f>
        <v/>
      </c>
      <c r="U197" s="27" t="str">
        <f aca="false">IF($A197="","",IFERROR(INDEX('זה אני - קליטה'!$AG$5:$AG$204,MATCH($A197&amp;"|סוף שנה",'זה אני - קליטה'!$AF$5:$AF$204,0)),""))</f>
        <v/>
      </c>
      <c r="V197" s="28" t="str">
        <f aca="false">IF($A197="","",IFERROR(INDEX('זה אני - קליטה'!$AN$5:$AN$204,MATCH($A197&amp;"|סוף שנה",'זה אני - קליטה'!$AF$5:$AF$204,0)),""))</f>
        <v/>
      </c>
      <c r="W197" s="32" t="str">
        <f aca="false">IF(AND(ISNUMBER(F197),ISNUMBER(T197)),T197-F197,"")</f>
        <v/>
      </c>
      <c r="X197" s="27" t="str">
        <f aca="false">IF(W197="","",IF(W197&gt;=0.25,"עלייה",IF(W197&lt;=-0.25,"ירידה","יציב")))</f>
        <v/>
      </c>
    </row>
    <row r="198" customFormat="false" ht="15" hidden="false" customHeight="false" outlineLevel="0" collapsed="false">
      <c r="A198" s="29"/>
      <c r="B198" s="28" t="str">
        <f aca="false">IF($A198="","",IFERROR(INDEX('זה אני - קליטה'!$AH$5:$AH$204,MATCH($A198&amp;"|תחילת שנה",'זה אני - קליטה'!$AF$5:$AF$204,0)),""))</f>
        <v/>
      </c>
      <c r="C198" s="28" t="str">
        <f aca="false">IF($A198="","",IFERROR(INDEX('זה אני - קליטה'!$AI$5:$AI$204,MATCH($A198&amp;"|תחילת שנה",'זה אני - קליטה'!$AF$5:$AF$204,0)),""))</f>
        <v/>
      </c>
      <c r="D198" s="28" t="str">
        <f aca="false">IF($A198="","",IFERROR(INDEX('זה אני - קליטה'!$AJ$5:$AJ$204,MATCH($A198&amp;"|תחילת שנה",'זה אני - קליטה'!$AF$5:$AF$204,0)),""))</f>
        <v/>
      </c>
      <c r="E198" s="28" t="str">
        <f aca="false">IF($A198="","",IFERROR(INDEX('זה אני - קליטה'!$AK$5:$AK$204,MATCH($A198&amp;"|תחילת שנה",'זה אני - קליטה'!$AF$5:$AF$204,0)),""))</f>
        <v/>
      </c>
      <c r="F198" s="28" t="str">
        <f aca="false">IF($A198="","",IFERROR(INDEX('זה אני - קליטה'!$AL$5:$AL$204,MATCH($A198&amp;"|תחילת שנה",'זה אני - קליטה'!$AF$5:$AF$204,0)),""))</f>
        <v/>
      </c>
      <c r="G198" s="27" t="str">
        <f aca="false">IF($A198="","",IFERROR(INDEX('זה אני - קליטה'!$AG$5:$AG$204,MATCH($A198&amp;"|תחילת שנה",'זה אני - קליטה'!$AF$5:$AF$204,0)),""))</f>
        <v/>
      </c>
      <c r="H198" s="28" t="str">
        <f aca="false">IF($A198="","",IFERROR(INDEX('זה אני - קליטה'!$AN$5:$AN$204,MATCH($A198&amp;"|תחילת שנה",'זה אני - קליטה'!$AF$5:$AF$204,0)),""))</f>
        <v/>
      </c>
      <c r="I198" s="28" t="str">
        <f aca="false">IF($A198="","",IFERROR(INDEX('זה אני - קליטה'!$AH$5:$AH$204,MATCH($A198&amp;"|אמצע שנה",'זה אני - קליטה'!$AF$5:$AF$204,0)),""))</f>
        <v/>
      </c>
      <c r="J198" s="28" t="str">
        <f aca="false">IF($A198="","",IFERROR(INDEX('זה אני - קליטה'!$AI$5:$AI$204,MATCH($A198&amp;"|אמצע שנה",'זה אני - קליטה'!$AF$5:$AF$204,0)),""))</f>
        <v/>
      </c>
      <c r="K198" s="28" t="str">
        <f aca="false">IF($A198="","",IFERROR(INDEX('זה אני - קליטה'!$AJ$5:$AJ$204,MATCH($A198&amp;"|אמצע שנה",'זה אני - קליטה'!$AF$5:$AF$204,0)),""))</f>
        <v/>
      </c>
      <c r="L198" s="28" t="str">
        <f aca="false">IF($A198="","",IFERROR(INDEX('זה אני - קליטה'!$AK$5:$AK$204,MATCH($A198&amp;"|אמצע שנה",'זה אני - קליטה'!$AF$5:$AF$204,0)),""))</f>
        <v/>
      </c>
      <c r="M198" s="28" t="str">
        <f aca="false">IF($A198="","",IFERROR(INDEX('זה אני - קליטה'!$AL$5:$AL$204,MATCH($A198&amp;"|אמצע שנה",'זה אני - קליטה'!$AF$5:$AF$204,0)),""))</f>
        <v/>
      </c>
      <c r="N198" s="27" t="str">
        <f aca="false">IF($A198="","",IFERROR(INDEX('זה אני - קליטה'!$AG$5:$AG$204,MATCH($A198&amp;"|אמצע שנה",'זה אני - קליטה'!$AF$5:$AF$204,0)),""))</f>
        <v/>
      </c>
      <c r="O198" s="28" t="str">
        <f aca="false">IF($A198="","",IFERROR(INDEX('זה אני - קליטה'!$AN$5:$AN$204,MATCH($A198&amp;"|אמצע שנה",'זה אני - קליטה'!$AF$5:$AF$204,0)),""))</f>
        <v/>
      </c>
      <c r="P198" s="28" t="str">
        <f aca="false">IF($A198="","",IFERROR(INDEX('זה אני - קליטה'!$AH$5:$AH$204,MATCH($A198&amp;"|סוף שנה",'זה אני - קליטה'!$AF$5:$AF$204,0)),""))</f>
        <v/>
      </c>
      <c r="Q198" s="28" t="str">
        <f aca="false">IF($A198="","",IFERROR(INDEX('זה אני - קליטה'!$AI$5:$AI$204,MATCH($A198&amp;"|סוף שנה",'זה אני - קליטה'!$AF$5:$AF$204,0)),""))</f>
        <v/>
      </c>
      <c r="R198" s="28" t="str">
        <f aca="false">IF($A198="","",IFERROR(INDEX('זה אני - קליטה'!$AJ$5:$AJ$204,MATCH($A198&amp;"|סוף שנה",'זה אני - קליטה'!$AF$5:$AF$204,0)),""))</f>
        <v/>
      </c>
      <c r="S198" s="28" t="str">
        <f aca="false">IF($A198="","",IFERROR(INDEX('זה אני - קליטה'!$AK$5:$AK$204,MATCH($A198&amp;"|סוף שנה",'זה אני - קליטה'!$AF$5:$AF$204,0)),""))</f>
        <v/>
      </c>
      <c r="T198" s="28" t="str">
        <f aca="false">IF($A198="","",IFERROR(INDEX('זה אני - קליטה'!$AL$5:$AL$204,MATCH($A198&amp;"|סוף שנה",'זה אני - קליטה'!$AF$5:$AF$204,0)),""))</f>
        <v/>
      </c>
      <c r="U198" s="27" t="str">
        <f aca="false">IF($A198="","",IFERROR(INDEX('זה אני - קליטה'!$AG$5:$AG$204,MATCH($A198&amp;"|סוף שנה",'זה אני - קליטה'!$AF$5:$AF$204,0)),""))</f>
        <v/>
      </c>
      <c r="V198" s="28" t="str">
        <f aca="false">IF($A198="","",IFERROR(INDEX('זה אני - קליטה'!$AN$5:$AN$204,MATCH($A198&amp;"|סוף שנה",'זה אני - קליטה'!$AF$5:$AF$204,0)),""))</f>
        <v/>
      </c>
      <c r="W198" s="32" t="str">
        <f aca="false">IF(AND(ISNUMBER(F198),ISNUMBER(T198)),T198-F198,"")</f>
        <v/>
      </c>
      <c r="X198" s="27" t="str">
        <f aca="false">IF(W198="","",IF(W198&gt;=0.25,"עלייה",IF(W198&lt;=-0.25,"ירידה","יציב")))</f>
        <v/>
      </c>
    </row>
    <row r="199" customFormat="false" ht="15" hidden="false" customHeight="false" outlineLevel="0" collapsed="false">
      <c r="A199" s="29"/>
      <c r="B199" s="28" t="str">
        <f aca="false">IF($A199="","",IFERROR(INDEX('זה אני - קליטה'!$AH$5:$AH$204,MATCH($A199&amp;"|תחילת שנה",'זה אני - קליטה'!$AF$5:$AF$204,0)),""))</f>
        <v/>
      </c>
      <c r="C199" s="28" t="str">
        <f aca="false">IF($A199="","",IFERROR(INDEX('זה אני - קליטה'!$AI$5:$AI$204,MATCH($A199&amp;"|תחילת שנה",'זה אני - קליטה'!$AF$5:$AF$204,0)),""))</f>
        <v/>
      </c>
      <c r="D199" s="28" t="str">
        <f aca="false">IF($A199="","",IFERROR(INDEX('זה אני - קליטה'!$AJ$5:$AJ$204,MATCH($A199&amp;"|תחילת שנה",'זה אני - קליטה'!$AF$5:$AF$204,0)),""))</f>
        <v/>
      </c>
      <c r="E199" s="28" t="str">
        <f aca="false">IF($A199="","",IFERROR(INDEX('זה אני - קליטה'!$AK$5:$AK$204,MATCH($A199&amp;"|תחילת שנה",'זה אני - קליטה'!$AF$5:$AF$204,0)),""))</f>
        <v/>
      </c>
      <c r="F199" s="28" t="str">
        <f aca="false">IF($A199="","",IFERROR(INDEX('זה אני - קליטה'!$AL$5:$AL$204,MATCH($A199&amp;"|תחילת שנה",'זה אני - קליטה'!$AF$5:$AF$204,0)),""))</f>
        <v/>
      </c>
      <c r="G199" s="27" t="str">
        <f aca="false">IF($A199="","",IFERROR(INDEX('זה אני - קליטה'!$AG$5:$AG$204,MATCH($A199&amp;"|תחילת שנה",'זה אני - קליטה'!$AF$5:$AF$204,0)),""))</f>
        <v/>
      </c>
      <c r="H199" s="28" t="str">
        <f aca="false">IF($A199="","",IFERROR(INDEX('זה אני - קליטה'!$AN$5:$AN$204,MATCH($A199&amp;"|תחילת שנה",'זה אני - קליטה'!$AF$5:$AF$204,0)),""))</f>
        <v/>
      </c>
      <c r="I199" s="28" t="str">
        <f aca="false">IF($A199="","",IFERROR(INDEX('זה אני - קליטה'!$AH$5:$AH$204,MATCH($A199&amp;"|אמצע שנה",'זה אני - קליטה'!$AF$5:$AF$204,0)),""))</f>
        <v/>
      </c>
      <c r="J199" s="28" t="str">
        <f aca="false">IF($A199="","",IFERROR(INDEX('זה אני - קליטה'!$AI$5:$AI$204,MATCH($A199&amp;"|אמצע שנה",'זה אני - קליטה'!$AF$5:$AF$204,0)),""))</f>
        <v/>
      </c>
      <c r="K199" s="28" t="str">
        <f aca="false">IF($A199="","",IFERROR(INDEX('זה אני - קליטה'!$AJ$5:$AJ$204,MATCH($A199&amp;"|אמצע שנה",'זה אני - קליטה'!$AF$5:$AF$204,0)),""))</f>
        <v/>
      </c>
      <c r="L199" s="28" t="str">
        <f aca="false">IF($A199="","",IFERROR(INDEX('זה אני - קליטה'!$AK$5:$AK$204,MATCH($A199&amp;"|אמצע שנה",'זה אני - קליטה'!$AF$5:$AF$204,0)),""))</f>
        <v/>
      </c>
      <c r="M199" s="28" t="str">
        <f aca="false">IF($A199="","",IFERROR(INDEX('זה אני - קליטה'!$AL$5:$AL$204,MATCH($A199&amp;"|אמצע שנה",'זה אני - קליטה'!$AF$5:$AF$204,0)),""))</f>
        <v/>
      </c>
      <c r="N199" s="27" t="str">
        <f aca="false">IF($A199="","",IFERROR(INDEX('זה אני - קליטה'!$AG$5:$AG$204,MATCH($A199&amp;"|אמצע שנה",'זה אני - קליטה'!$AF$5:$AF$204,0)),""))</f>
        <v/>
      </c>
      <c r="O199" s="28" t="str">
        <f aca="false">IF($A199="","",IFERROR(INDEX('זה אני - קליטה'!$AN$5:$AN$204,MATCH($A199&amp;"|אמצע שנה",'זה אני - קליטה'!$AF$5:$AF$204,0)),""))</f>
        <v/>
      </c>
      <c r="P199" s="28" t="str">
        <f aca="false">IF($A199="","",IFERROR(INDEX('זה אני - קליטה'!$AH$5:$AH$204,MATCH($A199&amp;"|סוף שנה",'זה אני - קליטה'!$AF$5:$AF$204,0)),""))</f>
        <v/>
      </c>
      <c r="Q199" s="28" t="str">
        <f aca="false">IF($A199="","",IFERROR(INDEX('זה אני - קליטה'!$AI$5:$AI$204,MATCH($A199&amp;"|סוף שנה",'זה אני - קליטה'!$AF$5:$AF$204,0)),""))</f>
        <v/>
      </c>
      <c r="R199" s="28" t="str">
        <f aca="false">IF($A199="","",IFERROR(INDEX('זה אני - קליטה'!$AJ$5:$AJ$204,MATCH($A199&amp;"|סוף שנה",'זה אני - קליטה'!$AF$5:$AF$204,0)),""))</f>
        <v/>
      </c>
      <c r="S199" s="28" t="str">
        <f aca="false">IF($A199="","",IFERROR(INDEX('זה אני - קליטה'!$AK$5:$AK$204,MATCH($A199&amp;"|סוף שנה",'זה אני - קליטה'!$AF$5:$AF$204,0)),""))</f>
        <v/>
      </c>
      <c r="T199" s="28" t="str">
        <f aca="false">IF($A199="","",IFERROR(INDEX('זה אני - קליטה'!$AL$5:$AL$204,MATCH($A199&amp;"|סוף שנה",'זה אני - קליטה'!$AF$5:$AF$204,0)),""))</f>
        <v/>
      </c>
      <c r="U199" s="27" t="str">
        <f aca="false">IF($A199="","",IFERROR(INDEX('זה אני - קליטה'!$AG$5:$AG$204,MATCH($A199&amp;"|סוף שנה",'זה אני - קליטה'!$AF$5:$AF$204,0)),""))</f>
        <v/>
      </c>
      <c r="V199" s="28" t="str">
        <f aca="false">IF($A199="","",IFERROR(INDEX('זה אני - קליטה'!$AN$5:$AN$204,MATCH($A199&amp;"|סוף שנה",'זה אני - קליטה'!$AF$5:$AF$204,0)),""))</f>
        <v/>
      </c>
      <c r="W199" s="32" t="str">
        <f aca="false">IF(AND(ISNUMBER(F199),ISNUMBER(T199)),T199-F199,"")</f>
        <v/>
      </c>
      <c r="X199" s="27" t="str">
        <f aca="false">IF(W199="","",IF(W199&gt;=0.25,"עלייה",IF(W199&lt;=-0.25,"ירידה","יציב")))</f>
        <v/>
      </c>
    </row>
    <row r="200" customFormat="false" ht="15" hidden="false" customHeight="false" outlineLevel="0" collapsed="false">
      <c r="A200" s="29"/>
      <c r="B200" s="28" t="str">
        <f aca="false">IF($A200="","",IFERROR(INDEX('זה אני - קליטה'!$AH$5:$AH$204,MATCH($A200&amp;"|תחילת שנה",'זה אני - קליטה'!$AF$5:$AF$204,0)),""))</f>
        <v/>
      </c>
      <c r="C200" s="28" t="str">
        <f aca="false">IF($A200="","",IFERROR(INDEX('זה אני - קליטה'!$AI$5:$AI$204,MATCH($A200&amp;"|תחילת שנה",'זה אני - קליטה'!$AF$5:$AF$204,0)),""))</f>
        <v/>
      </c>
      <c r="D200" s="28" t="str">
        <f aca="false">IF($A200="","",IFERROR(INDEX('זה אני - קליטה'!$AJ$5:$AJ$204,MATCH($A200&amp;"|תחילת שנה",'זה אני - קליטה'!$AF$5:$AF$204,0)),""))</f>
        <v/>
      </c>
      <c r="E200" s="28" t="str">
        <f aca="false">IF($A200="","",IFERROR(INDEX('זה אני - קליטה'!$AK$5:$AK$204,MATCH($A200&amp;"|תחילת שנה",'זה אני - קליטה'!$AF$5:$AF$204,0)),""))</f>
        <v/>
      </c>
      <c r="F200" s="28" t="str">
        <f aca="false">IF($A200="","",IFERROR(INDEX('זה אני - קליטה'!$AL$5:$AL$204,MATCH($A200&amp;"|תחילת שנה",'זה אני - קליטה'!$AF$5:$AF$204,0)),""))</f>
        <v/>
      </c>
      <c r="G200" s="27" t="str">
        <f aca="false">IF($A200="","",IFERROR(INDEX('זה אני - קליטה'!$AG$5:$AG$204,MATCH($A200&amp;"|תחילת שנה",'זה אני - קליטה'!$AF$5:$AF$204,0)),""))</f>
        <v/>
      </c>
      <c r="H200" s="28" t="str">
        <f aca="false">IF($A200="","",IFERROR(INDEX('זה אני - קליטה'!$AN$5:$AN$204,MATCH($A200&amp;"|תחילת שנה",'זה אני - קליטה'!$AF$5:$AF$204,0)),""))</f>
        <v/>
      </c>
      <c r="I200" s="28" t="str">
        <f aca="false">IF($A200="","",IFERROR(INDEX('זה אני - קליטה'!$AH$5:$AH$204,MATCH($A200&amp;"|אמצע שנה",'זה אני - קליטה'!$AF$5:$AF$204,0)),""))</f>
        <v/>
      </c>
      <c r="J200" s="28" t="str">
        <f aca="false">IF($A200="","",IFERROR(INDEX('זה אני - קליטה'!$AI$5:$AI$204,MATCH($A200&amp;"|אמצע שנה",'זה אני - קליטה'!$AF$5:$AF$204,0)),""))</f>
        <v/>
      </c>
      <c r="K200" s="28" t="str">
        <f aca="false">IF($A200="","",IFERROR(INDEX('זה אני - קליטה'!$AJ$5:$AJ$204,MATCH($A200&amp;"|אמצע שנה",'זה אני - קליטה'!$AF$5:$AF$204,0)),""))</f>
        <v/>
      </c>
      <c r="L200" s="28" t="str">
        <f aca="false">IF($A200="","",IFERROR(INDEX('זה אני - קליטה'!$AK$5:$AK$204,MATCH($A200&amp;"|אמצע שנה",'זה אני - קליטה'!$AF$5:$AF$204,0)),""))</f>
        <v/>
      </c>
      <c r="M200" s="28" t="str">
        <f aca="false">IF($A200="","",IFERROR(INDEX('זה אני - קליטה'!$AL$5:$AL$204,MATCH($A200&amp;"|אמצע שנה",'זה אני - קליטה'!$AF$5:$AF$204,0)),""))</f>
        <v/>
      </c>
      <c r="N200" s="27" t="str">
        <f aca="false">IF($A200="","",IFERROR(INDEX('זה אני - קליטה'!$AG$5:$AG$204,MATCH($A200&amp;"|אמצע שנה",'זה אני - קליטה'!$AF$5:$AF$204,0)),""))</f>
        <v/>
      </c>
      <c r="O200" s="28" t="str">
        <f aca="false">IF($A200="","",IFERROR(INDEX('זה אני - קליטה'!$AN$5:$AN$204,MATCH($A200&amp;"|אמצע שנה",'זה אני - קליטה'!$AF$5:$AF$204,0)),""))</f>
        <v/>
      </c>
      <c r="P200" s="28" t="str">
        <f aca="false">IF($A200="","",IFERROR(INDEX('זה אני - קליטה'!$AH$5:$AH$204,MATCH($A200&amp;"|סוף שנה",'זה אני - קליטה'!$AF$5:$AF$204,0)),""))</f>
        <v/>
      </c>
      <c r="Q200" s="28" t="str">
        <f aca="false">IF($A200="","",IFERROR(INDEX('זה אני - קליטה'!$AI$5:$AI$204,MATCH($A200&amp;"|סוף שנה",'זה אני - קליטה'!$AF$5:$AF$204,0)),""))</f>
        <v/>
      </c>
      <c r="R200" s="28" t="str">
        <f aca="false">IF($A200="","",IFERROR(INDEX('זה אני - קליטה'!$AJ$5:$AJ$204,MATCH($A200&amp;"|סוף שנה",'זה אני - קליטה'!$AF$5:$AF$204,0)),""))</f>
        <v/>
      </c>
      <c r="S200" s="28" t="str">
        <f aca="false">IF($A200="","",IFERROR(INDEX('זה אני - קליטה'!$AK$5:$AK$204,MATCH($A200&amp;"|סוף שנה",'זה אני - קליטה'!$AF$5:$AF$204,0)),""))</f>
        <v/>
      </c>
      <c r="T200" s="28" t="str">
        <f aca="false">IF($A200="","",IFERROR(INDEX('זה אני - קליטה'!$AL$5:$AL$204,MATCH($A200&amp;"|סוף שנה",'זה אני - קליטה'!$AF$5:$AF$204,0)),""))</f>
        <v/>
      </c>
      <c r="U200" s="27" t="str">
        <f aca="false">IF($A200="","",IFERROR(INDEX('זה אני - קליטה'!$AG$5:$AG$204,MATCH($A200&amp;"|סוף שנה",'זה אני - קליטה'!$AF$5:$AF$204,0)),""))</f>
        <v/>
      </c>
      <c r="V200" s="28" t="str">
        <f aca="false">IF($A200="","",IFERROR(INDEX('זה אני - קליטה'!$AN$5:$AN$204,MATCH($A200&amp;"|סוף שנה",'זה אני - קליטה'!$AF$5:$AF$204,0)),""))</f>
        <v/>
      </c>
      <c r="W200" s="32" t="str">
        <f aca="false">IF(AND(ISNUMBER(F200),ISNUMBER(T200)),T200-F200,"")</f>
        <v/>
      </c>
      <c r="X200" s="27" t="str">
        <f aca="false">IF(W200="","",IF(W200&gt;=0.25,"עלייה",IF(W200&lt;=-0.25,"ירידה","יציב")))</f>
        <v/>
      </c>
    </row>
    <row r="201" customFormat="false" ht="15" hidden="false" customHeight="false" outlineLevel="0" collapsed="false">
      <c r="A201" s="29"/>
      <c r="B201" s="28" t="str">
        <f aca="false">IF($A201="","",IFERROR(INDEX('זה אני - קליטה'!$AH$5:$AH$204,MATCH($A201&amp;"|תחילת שנה",'זה אני - קליטה'!$AF$5:$AF$204,0)),""))</f>
        <v/>
      </c>
      <c r="C201" s="28" t="str">
        <f aca="false">IF($A201="","",IFERROR(INDEX('זה אני - קליטה'!$AI$5:$AI$204,MATCH($A201&amp;"|תחילת שנה",'זה אני - קליטה'!$AF$5:$AF$204,0)),""))</f>
        <v/>
      </c>
      <c r="D201" s="28" t="str">
        <f aca="false">IF($A201="","",IFERROR(INDEX('זה אני - קליטה'!$AJ$5:$AJ$204,MATCH($A201&amp;"|תחילת שנה",'זה אני - קליטה'!$AF$5:$AF$204,0)),""))</f>
        <v/>
      </c>
      <c r="E201" s="28" t="str">
        <f aca="false">IF($A201="","",IFERROR(INDEX('זה אני - קליטה'!$AK$5:$AK$204,MATCH($A201&amp;"|תחילת שנה",'זה אני - קליטה'!$AF$5:$AF$204,0)),""))</f>
        <v/>
      </c>
      <c r="F201" s="28" t="str">
        <f aca="false">IF($A201="","",IFERROR(INDEX('זה אני - קליטה'!$AL$5:$AL$204,MATCH($A201&amp;"|תחילת שנה",'זה אני - קליטה'!$AF$5:$AF$204,0)),""))</f>
        <v/>
      </c>
      <c r="G201" s="27" t="str">
        <f aca="false">IF($A201="","",IFERROR(INDEX('זה אני - קליטה'!$AG$5:$AG$204,MATCH($A201&amp;"|תחילת שנה",'זה אני - קליטה'!$AF$5:$AF$204,0)),""))</f>
        <v/>
      </c>
      <c r="H201" s="28" t="str">
        <f aca="false">IF($A201="","",IFERROR(INDEX('זה אני - קליטה'!$AN$5:$AN$204,MATCH($A201&amp;"|תחילת שנה",'זה אני - קליטה'!$AF$5:$AF$204,0)),""))</f>
        <v/>
      </c>
      <c r="I201" s="28" t="str">
        <f aca="false">IF($A201="","",IFERROR(INDEX('זה אני - קליטה'!$AH$5:$AH$204,MATCH($A201&amp;"|אמצע שנה",'זה אני - קליטה'!$AF$5:$AF$204,0)),""))</f>
        <v/>
      </c>
      <c r="J201" s="28" t="str">
        <f aca="false">IF($A201="","",IFERROR(INDEX('זה אני - קליטה'!$AI$5:$AI$204,MATCH($A201&amp;"|אמצע שנה",'זה אני - קליטה'!$AF$5:$AF$204,0)),""))</f>
        <v/>
      </c>
      <c r="K201" s="28" t="str">
        <f aca="false">IF($A201="","",IFERROR(INDEX('זה אני - קליטה'!$AJ$5:$AJ$204,MATCH($A201&amp;"|אמצע שנה",'זה אני - קליטה'!$AF$5:$AF$204,0)),""))</f>
        <v/>
      </c>
      <c r="L201" s="28" t="str">
        <f aca="false">IF($A201="","",IFERROR(INDEX('זה אני - קליטה'!$AK$5:$AK$204,MATCH($A201&amp;"|אמצע שנה",'זה אני - קליטה'!$AF$5:$AF$204,0)),""))</f>
        <v/>
      </c>
      <c r="M201" s="28" t="str">
        <f aca="false">IF($A201="","",IFERROR(INDEX('זה אני - קליטה'!$AL$5:$AL$204,MATCH($A201&amp;"|אמצע שנה",'זה אני - קליטה'!$AF$5:$AF$204,0)),""))</f>
        <v/>
      </c>
      <c r="N201" s="27" t="str">
        <f aca="false">IF($A201="","",IFERROR(INDEX('זה אני - קליטה'!$AG$5:$AG$204,MATCH($A201&amp;"|אמצע שנה",'זה אני - קליטה'!$AF$5:$AF$204,0)),""))</f>
        <v/>
      </c>
      <c r="O201" s="28" t="str">
        <f aca="false">IF($A201="","",IFERROR(INDEX('זה אני - קליטה'!$AN$5:$AN$204,MATCH($A201&amp;"|אמצע שנה",'זה אני - קליטה'!$AF$5:$AF$204,0)),""))</f>
        <v/>
      </c>
      <c r="P201" s="28" t="str">
        <f aca="false">IF($A201="","",IFERROR(INDEX('זה אני - קליטה'!$AH$5:$AH$204,MATCH($A201&amp;"|סוף שנה",'זה אני - קליטה'!$AF$5:$AF$204,0)),""))</f>
        <v/>
      </c>
      <c r="Q201" s="28" t="str">
        <f aca="false">IF($A201="","",IFERROR(INDEX('זה אני - קליטה'!$AI$5:$AI$204,MATCH($A201&amp;"|סוף שנה",'זה אני - קליטה'!$AF$5:$AF$204,0)),""))</f>
        <v/>
      </c>
      <c r="R201" s="28" t="str">
        <f aca="false">IF($A201="","",IFERROR(INDEX('זה אני - קליטה'!$AJ$5:$AJ$204,MATCH($A201&amp;"|סוף שנה",'זה אני - קליטה'!$AF$5:$AF$204,0)),""))</f>
        <v/>
      </c>
      <c r="S201" s="28" t="str">
        <f aca="false">IF($A201="","",IFERROR(INDEX('זה אני - קליטה'!$AK$5:$AK$204,MATCH($A201&amp;"|סוף שנה",'זה אני - קליטה'!$AF$5:$AF$204,0)),""))</f>
        <v/>
      </c>
      <c r="T201" s="28" t="str">
        <f aca="false">IF($A201="","",IFERROR(INDEX('זה אני - קליטה'!$AL$5:$AL$204,MATCH($A201&amp;"|סוף שנה",'זה אני - קליטה'!$AF$5:$AF$204,0)),""))</f>
        <v/>
      </c>
      <c r="U201" s="27" t="str">
        <f aca="false">IF($A201="","",IFERROR(INDEX('זה אני - קליטה'!$AG$5:$AG$204,MATCH($A201&amp;"|סוף שנה",'זה אני - קליטה'!$AF$5:$AF$204,0)),""))</f>
        <v/>
      </c>
      <c r="V201" s="28" t="str">
        <f aca="false">IF($A201="","",IFERROR(INDEX('זה אני - קליטה'!$AN$5:$AN$204,MATCH($A201&amp;"|סוף שנה",'זה אני - קליטה'!$AF$5:$AF$204,0)),""))</f>
        <v/>
      </c>
      <c r="W201" s="32" t="str">
        <f aca="false">IF(AND(ISNUMBER(F201),ISNUMBER(T201)),T201-F201,"")</f>
        <v/>
      </c>
      <c r="X201" s="27" t="str">
        <f aca="false">IF(W201="","",IF(W201&gt;=0.25,"עלייה",IF(W201&lt;=-0.25,"ירידה","יציב")))</f>
        <v/>
      </c>
    </row>
    <row r="202" customFormat="false" ht="15" hidden="false" customHeight="false" outlineLevel="0" collapsed="false">
      <c r="A202" s="29"/>
      <c r="B202" s="28" t="str">
        <f aca="false">IF($A202="","",IFERROR(INDEX('זה אני - קליטה'!$AH$5:$AH$204,MATCH($A202&amp;"|תחילת שנה",'זה אני - קליטה'!$AF$5:$AF$204,0)),""))</f>
        <v/>
      </c>
      <c r="C202" s="28" t="str">
        <f aca="false">IF($A202="","",IFERROR(INDEX('זה אני - קליטה'!$AI$5:$AI$204,MATCH($A202&amp;"|תחילת שנה",'זה אני - קליטה'!$AF$5:$AF$204,0)),""))</f>
        <v/>
      </c>
      <c r="D202" s="28" t="str">
        <f aca="false">IF($A202="","",IFERROR(INDEX('זה אני - קליטה'!$AJ$5:$AJ$204,MATCH($A202&amp;"|תחילת שנה",'זה אני - קליטה'!$AF$5:$AF$204,0)),""))</f>
        <v/>
      </c>
      <c r="E202" s="28" t="str">
        <f aca="false">IF($A202="","",IFERROR(INDEX('זה אני - קליטה'!$AK$5:$AK$204,MATCH($A202&amp;"|תחילת שנה",'זה אני - קליטה'!$AF$5:$AF$204,0)),""))</f>
        <v/>
      </c>
      <c r="F202" s="28" t="str">
        <f aca="false">IF($A202="","",IFERROR(INDEX('זה אני - קליטה'!$AL$5:$AL$204,MATCH($A202&amp;"|תחילת שנה",'זה אני - קליטה'!$AF$5:$AF$204,0)),""))</f>
        <v/>
      </c>
      <c r="G202" s="27" t="str">
        <f aca="false">IF($A202="","",IFERROR(INDEX('זה אני - קליטה'!$AG$5:$AG$204,MATCH($A202&amp;"|תחילת שנה",'זה אני - קליטה'!$AF$5:$AF$204,0)),""))</f>
        <v/>
      </c>
      <c r="H202" s="28" t="str">
        <f aca="false">IF($A202="","",IFERROR(INDEX('זה אני - קליטה'!$AN$5:$AN$204,MATCH($A202&amp;"|תחילת שנה",'זה אני - קליטה'!$AF$5:$AF$204,0)),""))</f>
        <v/>
      </c>
      <c r="I202" s="28" t="str">
        <f aca="false">IF($A202="","",IFERROR(INDEX('זה אני - קליטה'!$AH$5:$AH$204,MATCH($A202&amp;"|אמצע שנה",'זה אני - קליטה'!$AF$5:$AF$204,0)),""))</f>
        <v/>
      </c>
      <c r="J202" s="28" t="str">
        <f aca="false">IF($A202="","",IFERROR(INDEX('זה אני - קליטה'!$AI$5:$AI$204,MATCH($A202&amp;"|אמצע שנה",'זה אני - קליטה'!$AF$5:$AF$204,0)),""))</f>
        <v/>
      </c>
      <c r="K202" s="28" t="str">
        <f aca="false">IF($A202="","",IFERROR(INDEX('זה אני - קליטה'!$AJ$5:$AJ$204,MATCH($A202&amp;"|אמצע שנה",'זה אני - קליטה'!$AF$5:$AF$204,0)),""))</f>
        <v/>
      </c>
      <c r="L202" s="28" t="str">
        <f aca="false">IF($A202="","",IFERROR(INDEX('זה אני - קליטה'!$AK$5:$AK$204,MATCH($A202&amp;"|אמצע שנה",'זה אני - קליטה'!$AF$5:$AF$204,0)),""))</f>
        <v/>
      </c>
      <c r="M202" s="28" t="str">
        <f aca="false">IF($A202="","",IFERROR(INDEX('זה אני - קליטה'!$AL$5:$AL$204,MATCH($A202&amp;"|אמצע שנה",'זה אני - קליטה'!$AF$5:$AF$204,0)),""))</f>
        <v/>
      </c>
      <c r="N202" s="27" t="str">
        <f aca="false">IF($A202="","",IFERROR(INDEX('זה אני - קליטה'!$AG$5:$AG$204,MATCH($A202&amp;"|אמצע שנה",'זה אני - קליטה'!$AF$5:$AF$204,0)),""))</f>
        <v/>
      </c>
      <c r="O202" s="28" t="str">
        <f aca="false">IF($A202="","",IFERROR(INDEX('זה אני - קליטה'!$AN$5:$AN$204,MATCH($A202&amp;"|אמצע שנה",'זה אני - קליטה'!$AF$5:$AF$204,0)),""))</f>
        <v/>
      </c>
      <c r="P202" s="28" t="str">
        <f aca="false">IF($A202="","",IFERROR(INDEX('זה אני - קליטה'!$AH$5:$AH$204,MATCH($A202&amp;"|סוף שנה",'זה אני - קליטה'!$AF$5:$AF$204,0)),""))</f>
        <v/>
      </c>
      <c r="Q202" s="28" t="str">
        <f aca="false">IF($A202="","",IFERROR(INDEX('זה אני - קליטה'!$AI$5:$AI$204,MATCH($A202&amp;"|סוף שנה",'זה אני - קליטה'!$AF$5:$AF$204,0)),""))</f>
        <v/>
      </c>
      <c r="R202" s="28" t="str">
        <f aca="false">IF($A202="","",IFERROR(INDEX('זה אני - קליטה'!$AJ$5:$AJ$204,MATCH($A202&amp;"|סוף שנה",'זה אני - קליטה'!$AF$5:$AF$204,0)),""))</f>
        <v/>
      </c>
      <c r="S202" s="28" t="str">
        <f aca="false">IF($A202="","",IFERROR(INDEX('זה אני - קליטה'!$AK$5:$AK$204,MATCH($A202&amp;"|סוף שנה",'זה אני - קליטה'!$AF$5:$AF$204,0)),""))</f>
        <v/>
      </c>
      <c r="T202" s="28" t="str">
        <f aca="false">IF($A202="","",IFERROR(INDEX('זה אני - קליטה'!$AL$5:$AL$204,MATCH($A202&amp;"|סוף שנה",'זה אני - קליטה'!$AF$5:$AF$204,0)),""))</f>
        <v/>
      </c>
      <c r="U202" s="27" t="str">
        <f aca="false">IF($A202="","",IFERROR(INDEX('זה אני - קליטה'!$AG$5:$AG$204,MATCH($A202&amp;"|סוף שנה",'זה אני - קליטה'!$AF$5:$AF$204,0)),""))</f>
        <v/>
      </c>
      <c r="V202" s="28" t="str">
        <f aca="false">IF($A202="","",IFERROR(INDEX('זה אני - קליטה'!$AN$5:$AN$204,MATCH($A202&amp;"|סוף שנה",'זה אני - קליטה'!$AF$5:$AF$204,0)),""))</f>
        <v/>
      </c>
      <c r="W202" s="32" t="str">
        <f aca="false">IF(AND(ISNUMBER(F202),ISNUMBER(T202)),T202-F202,"")</f>
        <v/>
      </c>
      <c r="X202" s="27" t="str">
        <f aca="false">IF(W202="","",IF(W202&gt;=0.25,"עלייה",IF(W202&lt;=-0.25,"ירידה","יציב")))</f>
        <v/>
      </c>
    </row>
    <row r="203" customFormat="false" ht="15" hidden="false" customHeight="false" outlineLevel="0" collapsed="false">
      <c r="A203" s="29"/>
      <c r="B203" s="28" t="str">
        <f aca="false">IF($A203="","",IFERROR(INDEX('זה אני - קליטה'!$AH$5:$AH$204,MATCH($A203&amp;"|תחילת שנה",'זה אני - קליטה'!$AF$5:$AF$204,0)),""))</f>
        <v/>
      </c>
      <c r="C203" s="28" t="str">
        <f aca="false">IF($A203="","",IFERROR(INDEX('זה אני - קליטה'!$AI$5:$AI$204,MATCH($A203&amp;"|תחילת שנה",'זה אני - קליטה'!$AF$5:$AF$204,0)),""))</f>
        <v/>
      </c>
      <c r="D203" s="28" t="str">
        <f aca="false">IF($A203="","",IFERROR(INDEX('זה אני - קליטה'!$AJ$5:$AJ$204,MATCH($A203&amp;"|תחילת שנה",'זה אני - קליטה'!$AF$5:$AF$204,0)),""))</f>
        <v/>
      </c>
      <c r="E203" s="28" t="str">
        <f aca="false">IF($A203="","",IFERROR(INDEX('זה אני - קליטה'!$AK$5:$AK$204,MATCH($A203&amp;"|תחילת שנה",'זה אני - קליטה'!$AF$5:$AF$204,0)),""))</f>
        <v/>
      </c>
      <c r="F203" s="28" t="str">
        <f aca="false">IF($A203="","",IFERROR(INDEX('זה אני - קליטה'!$AL$5:$AL$204,MATCH($A203&amp;"|תחילת שנה",'זה אני - קליטה'!$AF$5:$AF$204,0)),""))</f>
        <v/>
      </c>
      <c r="G203" s="27" t="str">
        <f aca="false">IF($A203="","",IFERROR(INDEX('זה אני - קליטה'!$AG$5:$AG$204,MATCH($A203&amp;"|תחילת שנה",'זה אני - קליטה'!$AF$5:$AF$204,0)),""))</f>
        <v/>
      </c>
      <c r="H203" s="28" t="str">
        <f aca="false">IF($A203="","",IFERROR(INDEX('זה אני - קליטה'!$AN$5:$AN$204,MATCH($A203&amp;"|תחילת שנה",'זה אני - קליטה'!$AF$5:$AF$204,0)),""))</f>
        <v/>
      </c>
      <c r="I203" s="28" t="str">
        <f aca="false">IF($A203="","",IFERROR(INDEX('זה אני - קליטה'!$AH$5:$AH$204,MATCH($A203&amp;"|אמצע שנה",'זה אני - קליטה'!$AF$5:$AF$204,0)),""))</f>
        <v/>
      </c>
      <c r="J203" s="28" t="str">
        <f aca="false">IF($A203="","",IFERROR(INDEX('זה אני - קליטה'!$AI$5:$AI$204,MATCH($A203&amp;"|אמצע שנה",'זה אני - קליטה'!$AF$5:$AF$204,0)),""))</f>
        <v/>
      </c>
      <c r="K203" s="28" t="str">
        <f aca="false">IF($A203="","",IFERROR(INDEX('זה אני - קליטה'!$AJ$5:$AJ$204,MATCH($A203&amp;"|אמצע שנה",'זה אני - קליטה'!$AF$5:$AF$204,0)),""))</f>
        <v/>
      </c>
      <c r="L203" s="28" t="str">
        <f aca="false">IF($A203="","",IFERROR(INDEX('זה אני - קליטה'!$AK$5:$AK$204,MATCH($A203&amp;"|אמצע שנה",'זה אני - קליטה'!$AF$5:$AF$204,0)),""))</f>
        <v/>
      </c>
      <c r="M203" s="28" t="str">
        <f aca="false">IF($A203="","",IFERROR(INDEX('זה אני - קליטה'!$AL$5:$AL$204,MATCH($A203&amp;"|אמצע שנה",'זה אני - קליטה'!$AF$5:$AF$204,0)),""))</f>
        <v/>
      </c>
      <c r="N203" s="27" t="str">
        <f aca="false">IF($A203="","",IFERROR(INDEX('זה אני - קליטה'!$AG$5:$AG$204,MATCH($A203&amp;"|אמצע שנה",'זה אני - קליטה'!$AF$5:$AF$204,0)),""))</f>
        <v/>
      </c>
      <c r="O203" s="28" t="str">
        <f aca="false">IF($A203="","",IFERROR(INDEX('זה אני - קליטה'!$AN$5:$AN$204,MATCH($A203&amp;"|אמצע שנה",'זה אני - קליטה'!$AF$5:$AF$204,0)),""))</f>
        <v/>
      </c>
      <c r="P203" s="28" t="str">
        <f aca="false">IF($A203="","",IFERROR(INDEX('זה אני - קליטה'!$AH$5:$AH$204,MATCH($A203&amp;"|סוף שנה",'זה אני - קליטה'!$AF$5:$AF$204,0)),""))</f>
        <v/>
      </c>
      <c r="Q203" s="28" t="str">
        <f aca="false">IF($A203="","",IFERROR(INDEX('זה אני - קליטה'!$AI$5:$AI$204,MATCH($A203&amp;"|סוף שנה",'זה אני - קליטה'!$AF$5:$AF$204,0)),""))</f>
        <v/>
      </c>
      <c r="R203" s="28" t="str">
        <f aca="false">IF($A203="","",IFERROR(INDEX('זה אני - קליטה'!$AJ$5:$AJ$204,MATCH($A203&amp;"|סוף שנה",'זה אני - קליטה'!$AF$5:$AF$204,0)),""))</f>
        <v/>
      </c>
      <c r="S203" s="28" t="str">
        <f aca="false">IF($A203="","",IFERROR(INDEX('זה אני - קליטה'!$AK$5:$AK$204,MATCH($A203&amp;"|סוף שנה",'זה אני - קליטה'!$AF$5:$AF$204,0)),""))</f>
        <v/>
      </c>
      <c r="T203" s="28" t="str">
        <f aca="false">IF($A203="","",IFERROR(INDEX('זה אני - קליטה'!$AL$5:$AL$204,MATCH($A203&amp;"|סוף שנה",'זה אני - קליטה'!$AF$5:$AF$204,0)),""))</f>
        <v/>
      </c>
      <c r="U203" s="27" t="str">
        <f aca="false">IF($A203="","",IFERROR(INDEX('זה אני - קליטה'!$AG$5:$AG$204,MATCH($A203&amp;"|סוף שנה",'זה אני - קליטה'!$AF$5:$AF$204,0)),""))</f>
        <v/>
      </c>
      <c r="V203" s="28" t="str">
        <f aca="false">IF($A203="","",IFERROR(INDEX('זה אני - קליטה'!$AN$5:$AN$204,MATCH($A203&amp;"|סוף שנה",'זה אני - קליטה'!$AF$5:$AF$204,0)),""))</f>
        <v/>
      </c>
      <c r="W203" s="32" t="str">
        <f aca="false">IF(AND(ISNUMBER(F203),ISNUMBER(T203)),T203-F203,"")</f>
        <v/>
      </c>
      <c r="X203" s="27" t="str">
        <f aca="false">IF(W203="","",IF(W203&gt;=0.25,"עלייה",IF(W203&lt;=-0.25,"ירידה","יציב")))</f>
        <v/>
      </c>
    </row>
    <row r="204" customFormat="false" ht="15" hidden="false" customHeight="false" outlineLevel="0" collapsed="false">
      <c r="A204" s="29"/>
      <c r="B204" s="28" t="str">
        <f aca="false">IF($A204="","",IFERROR(INDEX('זה אני - קליטה'!$AH$5:$AH$204,MATCH($A204&amp;"|תחילת שנה",'זה אני - קליטה'!$AF$5:$AF$204,0)),""))</f>
        <v/>
      </c>
      <c r="C204" s="28" t="str">
        <f aca="false">IF($A204="","",IFERROR(INDEX('זה אני - קליטה'!$AI$5:$AI$204,MATCH($A204&amp;"|תחילת שנה",'זה אני - קליטה'!$AF$5:$AF$204,0)),""))</f>
        <v/>
      </c>
      <c r="D204" s="28" t="str">
        <f aca="false">IF($A204="","",IFERROR(INDEX('זה אני - קליטה'!$AJ$5:$AJ$204,MATCH($A204&amp;"|תחילת שנה",'זה אני - קליטה'!$AF$5:$AF$204,0)),""))</f>
        <v/>
      </c>
      <c r="E204" s="28" t="str">
        <f aca="false">IF($A204="","",IFERROR(INDEX('זה אני - קליטה'!$AK$5:$AK$204,MATCH($A204&amp;"|תחילת שנה",'זה אני - קליטה'!$AF$5:$AF$204,0)),""))</f>
        <v/>
      </c>
      <c r="F204" s="28" t="str">
        <f aca="false">IF($A204="","",IFERROR(INDEX('זה אני - קליטה'!$AL$5:$AL$204,MATCH($A204&amp;"|תחילת שנה",'זה אני - קליטה'!$AF$5:$AF$204,0)),""))</f>
        <v/>
      </c>
      <c r="G204" s="27" t="str">
        <f aca="false">IF($A204="","",IFERROR(INDEX('זה אני - קליטה'!$AG$5:$AG$204,MATCH($A204&amp;"|תחילת שנה",'זה אני - קליטה'!$AF$5:$AF$204,0)),""))</f>
        <v/>
      </c>
      <c r="H204" s="28" t="str">
        <f aca="false">IF($A204="","",IFERROR(INDEX('זה אני - קליטה'!$AN$5:$AN$204,MATCH($A204&amp;"|תחילת שנה",'זה אני - קליטה'!$AF$5:$AF$204,0)),""))</f>
        <v/>
      </c>
      <c r="I204" s="28" t="str">
        <f aca="false">IF($A204="","",IFERROR(INDEX('זה אני - קליטה'!$AH$5:$AH$204,MATCH($A204&amp;"|אמצע שנה",'זה אני - קליטה'!$AF$5:$AF$204,0)),""))</f>
        <v/>
      </c>
      <c r="J204" s="28" t="str">
        <f aca="false">IF($A204="","",IFERROR(INDEX('זה אני - קליטה'!$AI$5:$AI$204,MATCH($A204&amp;"|אמצע שנה",'זה אני - קליטה'!$AF$5:$AF$204,0)),""))</f>
        <v/>
      </c>
      <c r="K204" s="28" t="str">
        <f aca="false">IF($A204="","",IFERROR(INDEX('זה אני - קליטה'!$AJ$5:$AJ$204,MATCH($A204&amp;"|אמצע שנה",'זה אני - קליטה'!$AF$5:$AF$204,0)),""))</f>
        <v/>
      </c>
      <c r="L204" s="28" t="str">
        <f aca="false">IF($A204="","",IFERROR(INDEX('זה אני - קליטה'!$AK$5:$AK$204,MATCH($A204&amp;"|אמצע שנה",'זה אני - קליטה'!$AF$5:$AF$204,0)),""))</f>
        <v/>
      </c>
      <c r="M204" s="28" t="str">
        <f aca="false">IF($A204="","",IFERROR(INDEX('זה אני - קליטה'!$AL$5:$AL$204,MATCH($A204&amp;"|אמצע שנה",'זה אני - קליטה'!$AF$5:$AF$204,0)),""))</f>
        <v/>
      </c>
      <c r="N204" s="27" t="str">
        <f aca="false">IF($A204="","",IFERROR(INDEX('זה אני - קליטה'!$AG$5:$AG$204,MATCH($A204&amp;"|אמצע שנה",'זה אני - קליטה'!$AF$5:$AF$204,0)),""))</f>
        <v/>
      </c>
      <c r="O204" s="28" t="str">
        <f aca="false">IF($A204="","",IFERROR(INDEX('זה אני - קליטה'!$AN$5:$AN$204,MATCH($A204&amp;"|אמצע שנה",'זה אני - קליטה'!$AF$5:$AF$204,0)),""))</f>
        <v/>
      </c>
      <c r="P204" s="28" t="str">
        <f aca="false">IF($A204="","",IFERROR(INDEX('זה אני - קליטה'!$AH$5:$AH$204,MATCH($A204&amp;"|סוף שנה",'זה אני - קליטה'!$AF$5:$AF$204,0)),""))</f>
        <v/>
      </c>
      <c r="Q204" s="28" t="str">
        <f aca="false">IF($A204="","",IFERROR(INDEX('זה אני - קליטה'!$AI$5:$AI$204,MATCH($A204&amp;"|סוף שנה",'זה אני - קליטה'!$AF$5:$AF$204,0)),""))</f>
        <v/>
      </c>
      <c r="R204" s="28" t="str">
        <f aca="false">IF($A204="","",IFERROR(INDEX('זה אני - קליטה'!$AJ$5:$AJ$204,MATCH($A204&amp;"|סוף שנה",'זה אני - קליטה'!$AF$5:$AF$204,0)),""))</f>
        <v/>
      </c>
      <c r="S204" s="28" t="str">
        <f aca="false">IF($A204="","",IFERROR(INDEX('זה אני - קליטה'!$AK$5:$AK$204,MATCH($A204&amp;"|סוף שנה",'זה אני - קליטה'!$AF$5:$AF$204,0)),""))</f>
        <v/>
      </c>
      <c r="T204" s="28" t="str">
        <f aca="false">IF($A204="","",IFERROR(INDEX('זה אני - קליטה'!$AL$5:$AL$204,MATCH($A204&amp;"|סוף שנה",'זה אני - קליטה'!$AF$5:$AF$204,0)),""))</f>
        <v/>
      </c>
      <c r="U204" s="27" t="str">
        <f aca="false">IF($A204="","",IFERROR(INDEX('זה אני - קליטה'!$AG$5:$AG$204,MATCH($A204&amp;"|סוף שנה",'זה אני - קליטה'!$AF$5:$AF$204,0)),""))</f>
        <v/>
      </c>
      <c r="V204" s="28" t="str">
        <f aca="false">IF($A204="","",IFERROR(INDEX('זה אני - קליטה'!$AN$5:$AN$204,MATCH($A204&amp;"|סוף שנה",'זה אני - קליטה'!$AF$5:$AF$204,0)),""))</f>
        <v/>
      </c>
      <c r="W204" s="32" t="str">
        <f aca="false">IF(AND(ISNUMBER(F204),ISNUMBER(T204)),T204-F204,"")</f>
        <v/>
      </c>
      <c r="X204" s="27" t="str">
        <f aca="false">IF(W204="","",IF(W204&gt;=0.25,"עלייה",IF(W204&lt;=-0.25,"ירידה","יציב")))</f>
        <v/>
      </c>
    </row>
  </sheetData>
  <mergeCells count="4">
    <mergeCell ref="B3:H3"/>
    <mergeCell ref="I3:O3"/>
    <mergeCell ref="P3:V3"/>
    <mergeCell ref="W3:X3"/>
  </mergeCells>
  <conditionalFormatting sqref="X5:X204">
    <cfRule type="cellIs" priority="2" operator="equal" aboveAverage="0" equalAverage="0" bottom="0" percent="0" rank="0" text="" dxfId="0">
      <formula>"עלייה"</formula>
    </cfRule>
    <cfRule type="cellIs" priority="3" operator="equal" aboveAverage="0" equalAverage="0" bottom="0" percent="0" rank="0" text="" dxfId="1">
      <formula>"ירידה"</formula>
    </cfRule>
  </conditionalFormatting>
  <conditionalFormatting sqref="B5:F204">
    <cfRule type="colorScale" priority="4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I5:M204">
    <cfRule type="colorScale" priority="5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P5:T204">
    <cfRule type="colorScale" priority="6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448F"/>
    <pageSetUpPr fitToPage="false"/>
  </sheetPr>
  <dimension ref="A1:AS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1" min="8" style="0" width="11"/>
    <col collapsed="false" customWidth="true" hidden="false" outlineLevel="0" max="29" min="12" style="0" width="12"/>
    <col collapsed="false" customWidth="true" hidden="false" outlineLevel="0" max="30" min="30" style="0" width="26"/>
    <col collapsed="false" customWidth="true" hidden="false" outlineLevel="0" max="31" min="31" style="0" width="18"/>
    <col collapsed="false" customWidth="true" hidden="false" outlineLevel="0" max="45" min="32" style="0" width="12"/>
  </cols>
  <sheetData>
    <row r="1" customFormat="false" ht="19.7" hidden="false" customHeight="false" outlineLevel="0" collapsed="false">
      <c r="A1" s="10" t="s">
        <v>114</v>
      </c>
    </row>
    <row r="2" customFormat="false" ht="15" hidden="false" customHeight="false" outlineLevel="0" collapsed="false">
      <c r="A2" s="11" t="s">
        <v>115</v>
      </c>
    </row>
    <row r="3" customFormat="false" ht="15" hidden="false" customHeight="false" outlineLevel="0" collapsed="false">
      <c r="A3" s="12" t="s">
        <v>42</v>
      </c>
      <c r="B3" s="12"/>
      <c r="C3" s="12"/>
      <c r="D3" s="12"/>
      <c r="E3" s="12"/>
      <c r="F3" s="12"/>
      <c r="G3" s="12"/>
      <c r="H3" s="33" t="s">
        <v>116</v>
      </c>
      <c r="I3" s="33"/>
      <c r="J3" s="33"/>
      <c r="K3" s="33"/>
      <c r="L3" s="30" t="s">
        <v>117</v>
      </c>
      <c r="M3" s="30"/>
      <c r="N3" s="30"/>
      <c r="O3" s="30"/>
      <c r="P3" s="30"/>
      <c r="Q3" s="30"/>
      <c r="R3" s="30"/>
      <c r="S3" s="30"/>
      <c r="T3" s="30"/>
      <c r="U3" s="14" t="s">
        <v>118</v>
      </c>
      <c r="V3" s="14"/>
      <c r="W3" s="14"/>
      <c r="X3" s="14"/>
      <c r="Y3" s="14"/>
      <c r="Z3" s="14"/>
      <c r="AA3" s="14"/>
      <c r="AB3" s="14"/>
      <c r="AC3" s="14"/>
      <c r="AE3" s="17" t="s">
        <v>46</v>
      </c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</row>
    <row r="4" customFormat="false" ht="57.75" hidden="false" customHeight="true" outlineLevel="0" collapsed="false">
      <c r="A4" s="18" t="s">
        <v>47</v>
      </c>
      <c r="B4" s="18" t="s">
        <v>48</v>
      </c>
      <c r="C4" s="18" t="s">
        <v>49</v>
      </c>
      <c r="D4" s="18" t="s">
        <v>50</v>
      </c>
      <c r="E4" s="18" t="s">
        <v>51</v>
      </c>
      <c r="F4" s="18" t="s">
        <v>52</v>
      </c>
      <c r="G4" s="18" t="s">
        <v>53</v>
      </c>
      <c r="H4" s="34" t="s">
        <v>119</v>
      </c>
      <c r="I4" s="34" t="s">
        <v>120</v>
      </c>
      <c r="J4" s="34" t="s">
        <v>121</v>
      </c>
      <c r="K4" s="34" t="s">
        <v>122</v>
      </c>
      <c r="L4" s="20" t="s">
        <v>123</v>
      </c>
      <c r="M4" s="20" t="s">
        <v>124</v>
      </c>
      <c r="N4" s="21" t="s">
        <v>125</v>
      </c>
      <c r="O4" s="21" t="s">
        <v>126</v>
      </c>
      <c r="P4" s="22" t="s">
        <v>127</v>
      </c>
      <c r="Q4" s="23" t="s">
        <v>128</v>
      </c>
      <c r="R4" s="23" t="s">
        <v>129</v>
      </c>
      <c r="S4" s="35" t="s">
        <v>130</v>
      </c>
      <c r="T4" s="35" t="s">
        <v>131</v>
      </c>
      <c r="U4" s="20" t="s">
        <v>132</v>
      </c>
      <c r="V4" s="20" t="s">
        <v>133</v>
      </c>
      <c r="W4" s="21" t="s">
        <v>134</v>
      </c>
      <c r="X4" s="21" t="s">
        <v>135</v>
      </c>
      <c r="Y4" s="22" t="s">
        <v>136</v>
      </c>
      <c r="Z4" s="22" t="s">
        <v>137</v>
      </c>
      <c r="AA4" s="23" t="s">
        <v>138</v>
      </c>
      <c r="AB4" s="23" t="s">
        <v>139</v>
      </c>
      <c r="AC4" s="35" t="s">
        <v>140</v>
      </c>
      <c r="AD4" s="18" t="s">
        <v>77</v>
      </c>
      <c r="AE4" s="25" t="s">
        <v>78</v>
      </c>
      <c r="AF4" s="25" t="s">
        <v>141</v>
      </c>
      <c r="AG4" s="25" t="s">
        <v>142</v>
      </c>
      <c r="AH4" s="25" t="s">
        <v>143</v>
      </c>
      <c r="AI4" s="25" t="s">
        <v>144</v>
      </c>
      <c r="AJ4" s="25" t="s">
        <v>145</v>
      </c>
      <c r="AK4" s="25" t="s">
        <v>146</v>
      </c>
      <c r="AL4" s="25" t="s">
        <v>147</v>
      </c>
      <c r="AM4" s="25" t="s">
        <v>148</v>
      </c>
      <c r="AN4" s="25" t="s">
        <v>149</v>
      </c>
      <c r="AO4" s="25" t="s">
        <v>150</v>
      </c>
      <c r="AP4" s="25" t="s">
        <v>151</v>
      </c>
      <c r="AQ4" s="25" t="s">
        <v>152</v>
      </c>
      <c r="AR4" s="25" t="s">
        <v>153</v>
      </c>
      <c r="AS4" s="25" t="s">
        <v>154</v>
      </c>
    </row>
    <row r="5" customFormat="false" ht="15" hidden="false" customHeight="false" outlineLevel="0" collapsed="false">
      <c r="A5" s="26" t="s">
        <v>86</v>
      </c>
      <c r="B5" s="26" t="s">
        <v>87</v>
      </c>
      <c r="C5" s="26" t="s">
        <v>88</v>
      </c>
      <c r="D5" s="26" t="s">
        <v>89</v>
      </c>
      <c r="E5" s="26" t="s">
        <v>90</v>
      </c>
      <c r="F5" s="26" t="s">
        <v>155</v>
      </c>
      <c r="G5" s="26" t="s">
        <v>156</v>
      </c>
      <c r="H5" s="26" t="s">
        <v>94</v>
      </c>
      <c r="I5" s="26" t="s">
        <v>94</v>
      </c>
      <c r="J5" s="26" t="s">
        <v>95</v>
      </c>
      <c r="K5" s="26" t="s">
        <v>95</v>
      </c>
      <c r="L5" s="26" t="s">
        <v>94</v>
      </c>
      <c r="M5" s="26" t="s">
        <v>94</v>
      </c>
      <c r="N5" s="26" t="s">
        <v>94</v>
      </c>
      <c r="O5" s="26" t="s">
        <v>95</v>
      </c>
      <c r="P5" s="26" t="s">
        <v>94</v>
      </c>
      <c r="Q5" s="26" t="s">
        <v>95</v>
      </c>
      <c r="R5" s="26" t="s">
        <v>98</v>
      </c>
      <c r="S5" s="26" t="s">
        <v>94</v>
      </c>
      <c r="T5" s="26" t="s">
        <v>94</v>
      </c>
      <c r="U5" s="26" t="n">
        <v>2</v>
      </c>
      <c r="V5" s="26" t="n">
        <v>1</v>
      </c>
      <c r="W5" s="26" t="n">
        <v>3</v>
      </c>
      <c r="X5" s="26" t="n">
        <v>2</v>
      </c>
      <c r="Y5" s="26" t="n">
        <v>2</v>
      </c>
      <c r="Z5" s="26" t="n">
        <v>3</v>
      </c>
      <c r="AA5" s="26" t="n">
        <v>1</v>
      </c>
      <c r="AB5" s="26" t="n">
        <v>2</v>
      </c>
      <c r="AC5" s="26" t="n">
        <v>3</v>
      </c>
      <c r="AD5" s="26" t="s">
        <v>102</v>
      </c>
      <c r="AE5" s="27" t="str">
        <f aca="false">IF($A5="","",$A5&amp;"|"&amp;$C5)</f>
        <v>תלמיד לדוגמה|תחילת שנה</v>
      </c>
      <c r="AF5" s="28" t="n">
        <f aca="false">IF($A5="","",IFERROR(COUNTIF(L5:M5,"כן")/(COUNTIF(L5:M5,"כן")+COUNTIF(L5:M5,"לא")),""))</f>
        <v>1</v>
      </c>
      <c r="AG5" s="28" t="n">
        <f aca="false">IF($A5="","",IFERROR(COUNTIF(N5:O5,"כן")/(COUNTIF(N5:O5,"כן")+COUNTIF(N5:O5,"לא")),""))</f>
        <v>0.5</v>
      </c>
      <c r="AH5" s="28" t="n">
        <f aca="false">IF($A5="","",IFERROR(COUNTIF(P5,"כן")/(COUNTIF(P5,"כן")+COUNTIF(P5,"לא")),""))</f>
        <v>1</v>
      </c>
      <c r="AI5" s="28" t="n">
        <f aca="false">IF($A5="","",IFERROR(COUNTIF(Q5:R5,"כן")/(COUNTIF(Q5:R5,"כן")+COUNTIF(Q5:R5,"לא")),""))</f>
        <v>0</v>
      </c>
      <c r="AJ5" s="28" t="n">
        <f aca="false">IF($A5="","",IFERROR(COUNTIF(S5:T5,"כן")/(COUNTIF(S5:T5,"כן")+COUNTIF(S5:T5,"לא")),""))</f>
        <v>1</v>
      </c>
      <c r="AK5" s="28" t="n">
        <f aca="false">IF($A5="","",IFERROR(COUNTIF(L5:T5,"כן")/(COUNTIF(L5:T5,"כן")+COUNTIF(L5:T5,"לא")),""))</f>
        <v>0.75</v>
      </c>
      <c r="AL5" s="36" t="n">
        <f aca="false">IF($A5="","",IFERROR(AVERAGE(U5:V5),""))</f>
        <v>1.5</v>
      </c>
      <c r="AM5" s="36" t="n">
        <f aca="false">IF($A5="","",IFERROR(AVERAGE(W5:X5),""))</f>
        <v>2.5</v>
      </c>
      <c r="AN5" s="36" t="n">
        <f aca="false">IF($A5="","",IFERROR(AVERAGE(Y5:Z5),""))</f>
        <v>2.5</v>
      </c>
      <c r="AO5" s="36" t="n">
        <f aca="false">IF($A5="","",IFERROR(AVERAGE(AA5:AB5),""))</f>
        <v>1.5</v>
      </c>
      <c r="AP5" s="36" t="n">
        <f aca="false">IF($A5="","",IFERROR(AVERAGE(AC5),""))</f>
        <v>3</v>
      </c>
      <c r="AQ5" s="36" t="n">
        <f aca="false">IF($A5="","",IFERROR(AVERAGE(U5:AC5),""))</f>
        <v>2.11111111111111</v>
      </c>
      <c r="AR5" s="27" t="str">
        <f aca="false">IF($A5="","",IF(AND(H5="",J5=""),"לא נבדק",IF(AND(OR(H5="",H5=I5),OR(J5="",J5=K5)),"תואם","לא תואם")))</f>
        <v>תואם</v>
      </c>
      <c r="AS5" s="27" t="str">
        <f aca="false">IF($A5="","",IF(AND(AR5&lt;&gt;"לא תואם",G5&lt;&gt;"לא ברור"),"אמין","לפרש בזהירות"))</f>
        <v>אמין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7" t="str">
        <f aca="false">IF($A6="","",$A6&amp;"|"&amp;$C6)</f>
        <v/>
      </c>
      <c r="AF6" s="28" t="str">
        <f aca="false">IF($A6="","",IFERROR(COUNTIF(L6:M6,"כן")/(COUNTIF(L6:M6,"כן")+COUNTIF(L6:M6,"לא")),""))</f>
        <v/>
      </c>
      <c r="AG6" s="28" t="str">
        <f aca="false">IF($A6="","",IFERROR(COUNTIF(N6:O6,"כן")/(COUNTIF(N6:O6,"כן")+COUNTIF(N6:O6,"לא")),""))</f>
        <v/>
      </c>
      <c r="AH6" s="28" t="str">
        <f aca="false">IF($A6="","",IFERROR(COUNTIF(P6,"כן")/(COUNTIF(P6,"כן")+COUNTIF(P6,"לא")),""))</f>
        <v/>
      </c>
      <c r="AI6" s="28" t="str">
        <f aca="false">IF($A6="","",IFERROR(COUNTIF(Q6:R6,"כן")/(COUNTIF(Q6:R6,"כן")+COUNTIF(Q6:R6,"לא")),""))</f>
        <v/>
      </c>
      <c r="AJ6" s="28" t="str">
        <f aca="false">IF($A6="","",IFERROR(COUNTIF(S6:T6,"כן")/(COUNTIF(S6:T6,"כן")+COUNTIF(S6:T6,"לא")),""))</f>
        <v/>
      </c>
      <c r="AK6" s="28" t="str">
        <f aca="false">IF($A6="","",IFERROR(COUNTIF(L6:T6,"כן")/(COUNTIF(L6:T6,"כן")+COUNTIF(L6:T6,"לא")),""))</f>
        <v/>
      </c>
      <c r="AL6" s="36" t="str">
        <f aca="false">IF($A6="","",IFERROR(AVERAGE(U6:V6),""))</f>
        <v/>
      </c>
      <c r="AM6" s="36" t="str">
        <f aca="false">IF($A6="","",IFERROR(AVERAGE(W6:X6),""))</f>
        <v/>
      </c>
      <c r="AN6" s="36" t="str">
        <f aca="false">IF($A6="","",IFERROR(AVERAGE(Y6:Z6),""))</f>
        <v/>
      </c>
      <c r="AO6" s="36" t="str">
        <f aca="false">IF($A6="","",IFERROR(AVERAGE(AA6:AB6),""))</f>
        <v/>
      </c>
      <c r="AP6" s="36" t="str">
        <f aca="false">IF($A6="","",IFERROR(AVERAGE(AC6),""))</f>
        <v/>
      </c>
      <c r="AQ6" s="36" t="str">
        <f aca="false">IF($A6="","",IFERROR(AVERAGE(U6:AC6),""))</f>
        <v/>
      </c>
      <c r="AR6" s="27" t="str">
        <f aca="false">IF($A6="","",IF(AND(H6="",J6=""),"לא נבדק",IF(AND(OR(H6="",H6=I6),OR(J6="",J6=K6)),"תואם","לא תואם")))</f>
        <v/>
      </c>
      <c r="AS6" s="27" t="str">
        <f aca="false">IF($A6="","",IF(AND(AR6&lt;&gt;"לא תואם",G6&lt;&gt;"לא ברור"),"אמין","לפרש בזהירות"))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7" t="str">
        <f aca="false">IF($A7="","",$A7&amp;"|"&amp;$C7)</f>
        <v/>
      </c>
      <c r="AF7" s="28" t="str">
        <f aca="false">IF($A7="","",IFERROR(COUNTIF(L7:M7,"כן")/(COUNTIF(L7:M7,"כן")+COUNTIF(L7:M7,"לא")),""))</f>
        <v/>
      </c>
      <c r="AG7" s="28" t="str">
        <f aca="false">IF($A7="","",IFERROR(COUNTIF(N7:O7,"כן")/(COUNTIF(N7:O7,"כן")+COUNTIF(N7:O7,"לא")),""))</f>
        <v/>
      </c>
      <c r="AH7" s="28" t="str">
        <f aca="false">IF($A7="","",IFERROR(COUNTIF(P7,"כן")/(COUNTIF(P7,"כן")+COUNTIF(P7,"לא")),""))</f>
        <v/>
      </c>
      <c r="AI7" s="28" t="str">
        <f aca="false">IF($A7="","",IFERROR(COUNTIF(Q7:R7,"כן")/(COUNTIF(Q7:R7,"כן")+COUNTIF(Q7:R7,"לא")),""))</f>
        <v/>
      </c>
      <c r="AJ7" s="28" t="str">
        <f aca="false">IF($A7="","",IFERROR(COUNTIF(S7:T7,"כן")/(COUNTIF(S7:T7,"כן")+COUNTIF(S7:T7,"לא")),""))</f>
        <v/>
      </c>
      <c r="AK7" s="28" t="str">
        <f aca="false">IF($A7="","",IFERROR(COUNTIF(L7:T7,"כן")/(COUNTIF(L7:T7,"כן")+COUNTIF(L7:T7,"לא")),""))</f>
        <v/>
      </c>
      <c r="AL7" s="36" t="str">
        <f aca="false">IF($A7="","",IFERROR(AVERAGE(U7:V7),""))</f>
        <v/>
      </c>
      <c r="AM7" s="36" t="str">
        <f aca="false">IF($A7="","",IFERROR(AVERAGE(W7:X7),""))</f>
        <v/>
      </c>
      <c r="AN7" s="36" t="str">
        <f aca="false">IF($A7="","",IFERROR(AVERAGE(Y7:Z7),""))</f>
        <v/>
      </c>
      <c r="AO7" s="36" t="str">
        <f aca="false">IF($A7="","",IFERROR(AVERAGE(AA7:AB7),""))</f>
        <v/>
      </c>
      <c r="AP7" s="36" t="str">
        <f aca="false">IF($A7="","",IFERROR(AVERAGE(AC7),""))</f>
        <v/>
      </c>
      <c r="AQ7" s="36" t="str">
        <f aca="false">IF($A7="","",IFERROR(AVERAGE(U7:AC7),""))</f>
        <v/>
      </c>
      <c r="AR7" s="27" t="str">
        <f aca="false">IF($A7="","",IF(AND(H7="",J7=""),"לא נבדק",IF(AND(OR(H7="",H7=I7),OR(J7="",J7=K7)),"תואם","לא תואם")))</f>
        <v/>
      </c>
      <c r="AS7" s="27" t="str">
        <f aca="false">IF($A7="","",IF(AND(AR7&lt;&gt;"לא תואם",G7&lt;&gt;"לא ברור"),"אמין","לפרש בזהירות"))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7" t="str">
        <f aca="false">IF($A8="","",$A8&amp;"|"&amp;$C8)</f>
        <v/>
      </c>
      <c r="AF8" s="28" t="str">
        <f aca="false">IF($A8="","",IFERROR(COUNTIF(L8:M8,"כן")/(COUNTIF(L8:M8,"כן")+COUNTIF(L8:M8,"לא")),""))</f>
        <v/>
      </c>
      <c r="AG8" s="28" t="str">
        <f aca="false">IF($A8="","",IFERROR(COUNTIF(N8:O8,"כן")/(COUNTIF(N8:O8,"כן")+COUNTIF(N8:O8,"לא")),""))</f>
        <v/>
      </c>
      <c r="AH8" s="28" t="str">
        <f aca="false">IF($A8="","",IFERROR(COUNTIF(P8,"כן")/(COUNTIF(P8,"כן")+COUNTIF(P8,"לא")),""))</f>
        <v/>
      </c>
      <c r="AI8" s="28" t="str">
        <f aca="false">IF($A8="","",IFERROR(COUNTIF(Q8:R8,"כן")/(COUNTIF(Q8:R8,"כן")+COUNTIF(Q8:R8,"לא")),""))</f>
        <v/>
      </c>
      <c r="AJ8" s="28" t="str">
        <f aca="false">IF($A8="","",IFERROR(COUNTIF(S8:T8,"כן")/(COUNTIF(S8:T8,"כן")+COUNTIF(S8:T8,"לא")),""))</f>
        <v/>
      </c>
      <c r="AK8" s="28" t="str">
        <f aca="false">IF($A8="","",IFERROR(COUNTIF(L8:T8,"כן")/(COUNTIF(L8:T8,"כן")+COUNTIF(L8:T8,"לא")),""))</f>
        <v/>
      </c>
      <c r="AL8" s="36" t="str">
        <f aca="false">IF($A8="","",IFERROR(AVERAGE(U8:V8),""))</f>
        <v/>
      </c>
      <c r="AM8" s="36" t="str">
        <f aca="false">IF($A8="","",IFERROR(AVERAGE(W8:X8),""))</f>
        <v/>
      </c>
      <c r="AN8" s="36" t="str">
        <f aca="false">IF($A8="","",IFERROR(AVERAGE(Y8:Z8),""))</f>
        <v/>
      </c>
      <c r="AO8" s="36" t="str">
        <f aca="false">IF($A8="","",IFERROR(AVERAGE(AA8:AB8),""))</f>
        <v/>
      </c>
      <c r="AP8" s="36" t="str">
        <f aca="false">IF($A8="","",IFERROR(AVERAGE(AC8),""))</f>
        <v/>
      </c>
      <c r="AQ8" s="36" t="str">
        <f aca="false">IF($A8="","",IFERROR(AVERAGE(U8:AC8),""))</f>
        <v/>
      </c>
      <c r="AR8" s="27" t="str">
        <f aca="false">IF($A8="","",IF(AND(H8="",J8=""),"לא נבדק",IF(AND(OR(H8="",H8=I8),OR(J8="",J8=K8)),"תואם","לא תואם")))</f>
        <v/>
      </c>
      <c r="AS8" s="27" t="str">
        <f aca="false">IF($A8="","",IF(AND(AR8&lt;&gt;"לא תואם",G8&lt;&gt;"לא ברור"),"אמין","לפרש בזהירות"))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7" t="str">
        <f aca="false">IF($A9="","",$A9&amp;"|"&amp;$C9)</f>
        <v/>
      </c>
      <c r="AF9" s="28" t="str">
        <f aca="false">IF($A9="","",IFERROR(COUNTIF(L9:M9,"כן")/(COUNTIF(L9:M9,"כן")+COUNTIF(L9:M9,"לא")),""))</f>
        <v/>
      </c>
      <c r="AG9" s="28" t="str">
        <f aca="false">IF($A9="","",IFERROR(COUNTIF(N9:O9,"כן")/(COUNTIF(N9:O9,"כן")+COUNTIF(N9:O9,"לא")),""))</f>
        <v/>
      </c>
      <c r="AH9" s="28" t="str">
        <f aca="false">IF($A9="","",IFERROR(COUNTIF(P9,"כן")/(COUNTIF(P9,"כן")+COUNTIF(P9,"לא")),""))</f>
        <v/>
      </c>
      <c r="AI9" s="28" t="str">
        <f aca="false">IF($A9="","",IFERROR(COUNTIF(Q9:R9,"כן")/(COUNTIF(Q9:R9,"כן")+COUNTIF(Q9:R9,"לא")),""))</f>
        <v/>
      </c>
      <c r="AJ9" s="28" t="str">
        <f aca="false">IF($A9="","",IFERROR(COUNTIF(S9:T9,"כן")/(COUNTIF(S9:T9,"כן")+COUNTIF(S9:T9,"לא")),""))</f>
        <v/>
      </c>
      <c r="AK9" s="28" t="str">
        <f aca="false">IF($A9="","",IFERROR(COUNTIF(L9:T9,"כן")/(COUNTIF(L9:T9,"כן")+COUNTIF(L9:T9,"לא")),""))</f>
        <v/>
      </c>
      <c r="AL9" s="36" t="str">
        <f aca="false">IF($A9="","",IFERROR(AVERAGE(U9:V9),""))</f>
        <v/>
      </c>
      <c r="AM9" s="36" t="str">
        <f aca="false">IF($A9="","",IFERROR(AVERAGE(W9:X9),""))</f>
        <v/>
      </c>
      <c r="AN9" s="36" t="str">
        <f aca="false">IF($A9="","",IFERROR(AVERAGE(Y9:Z9),""))</f>
        <v/>
      </c>
      <c r="AO9" s="36" t="str">
        <f aca="false">IF($A9="","",IFERROR(AVERAGE(AA9:AB9),""))</f>
        <v/>
      </c>
      <c r="AP9" s="36" t="str">
        <f aca="false">IF($A9="","",IFERROR(AVERAGE(AC9),""))</f>
        <v/>
      </c>
      <c r="AQ9" s="36" t="str">
        <f aca="false">IF($A9="","",IFERROR(AVERAGE(U9:AC9),""))</f>
        <v/>
      </c>
      <c r="AR9" s="27" t="str">
        <f aca="false">IF($A9="","",IF(AND(H9="",J9=""),"לא נבדק",IF(AND(OR(H9="",H9=I9),OR(J9="",J9=K9)),"תואם","לא תואם")))</f>
        <v/>
      </c>
      <c r="AS9" s="27" t="str">
        <f aca="false">IF($A9="","",IF(AND(AR9&lt;&gt;"לא תואם",G9&lt;&gt;"לא ברור"),"אמין","לפרש בזהירות"))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7" t="str">
        <f aca="false">IF($A10="","",$A10&amp;"|"&amp;$C10)</f>
        <v/>
      </c>
      <c r="AF10" s="28" t="str">
        <f aca="false">IF($A10="","",IFERROR(COUNTIF(L10:M10,"כן")/(COUNTIF(L10:M10,"כן")+COUNTIF(L10:M10,"לא")),""))</f>
        <v/>
      </c>
      <c r="AG10" s="28" t="str">
        <f aca="false">IF($A10="","",IFERROR(COUNTIF(N10:O10,"כן")/(COUNTIF(N10:O10,"כן")+COUNTIF(N10:O10,"לא")),""))</f>
        <v/>
      </c>
      <c r="AH10" s="28" t="str">
        <f aca="false">IF($A10="","",IFERROR(COUNTIF(P10,"כן")/(COUNTIF(P10,"כן")+COUNTIF(P10,"לא")),""))</f>
        <v/>
      </c>
      <c r="AI10" s="28" t="str">
        <f aca="false">IF($A10="","",IFERROR(COUNTIF(Q10:R10,"כן")/(COUNTIF(Q10:R10,"כן")+COUNTIF(Q10:R10,"לא")),""))</f>
        <v/>
      </c>
      <c r="AJ10" s="28" t="str">
        <f aca="false">IF($A10="","",IFERROR(COUNTIF(S10:T10,"כן")/(COUNTIF(S10:T10,"כן")+COUNTIF(S10:T10,"לא")),""))</f>
        <v/>
      </c>
      <c r="AK10" s="28" t="str">
        <f aca="false">IF($A10="","",IFERROR(COUNTIF(L10:T10,"כן")/(COUNTIF(L10:T10,"כן")+COUNTIF(L10:T10,"לא")),""))</f>
        <v/>
      </c>
      <c r="AL10" s="36" t="str">
        <f aca="false">IF($A10="","",IFERROR(AVERAGE(U10:V10),""))</f>
        <v/>
      </c>
      <c r="AM10" s="36" t="str">
        <f aca="false">IF($A10="","",IFERROR(AVERAGE(W10:X10),""))</f>
        <v/>
      </c>
      <c r="AN10" s="36" t="str">
        <f aca="false">IF($A10="","",IFERROR(AVERAGE(Y10:Z10),""))</f>
        <v/>
      </c>
      <c r="AO10" s="36" t="str">
        <f aca="false">IF($A10="","",IFERROR(AVERAGE(AA10:AB10),""))</f>
        <v/>
      </c>
      <c r="AP10" s="36" t="str">
        <f aca="false">IF($A10="","",IFERROR(AVERAGE(AC10),""))</f>
        <v/>
      </c>
      <c r="AQ10" s="36" t="str">
        <f aca="false">IF($A10="","",IFERROR(AVERAGE(U10:AC10),""))</f>
        <v/>
      </c>
      <c r="AR10" s="27" t="str">
        <f aca="false">IF($A10="","",IF(AND(H10="",J10=""),"לא נבדק",IF(AND(OR(H10="",H10=I10),OR(J10="",J10=K10)),"תואם","לא תואם")))</f>
        <v/>
      </c>
      <c r="AS10" s="27" t="str">
        <f aca="false">IF($A10="","",IF(AND(AR10&lt;&gt;"לא תואם",G10&lt;&gt;"לא ברור"),"אמין","לפרש בזהירות"))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7" t="str">
        <f aca="false">IF($A11="","",$A11&amp;"|"&amp;$C11)</f>
        <v/>
      </c>
      <c r="AF11" s="28" t="str">
        <f aca="false">IF($A11="","",IFERROR(COUNTIF(L11:M11,"כן")/(COUNTIF(L11:M11,"כן")+COUNTIF(L11:M11,"לא")),""))</f>
        <v/>
      </c>
      <c r="AG11" s="28" t="str">
        <f aca="false">IF($A11="","",IFERROR(COUNTIF(N11:O11,"כן")/(COUNTIF(N11:O11,"כן")+COUNTIF(N11:O11,"לא")),""))</f>
        <v/>
      </c>
      <c r="AH11" s="28" t="str">
        <f aca="false">IF($A11="","",IFERROR(COUNTIF(P11,"כן")/(COUNTIF(P11,"כן")+COUNTIF(P11,"לא")),""))</f>
        <v/>
      </c>
      <c r="AI11" s="28" t="str">
        <f aca="false">IF($A11="","",IFERROR(COUNTIF(Q11:R11,"כן")/(COUNTIF(Q11:R11,"כן")+COUNTIF(Q11:R11,"לא")),""))</f>
        <v/>
      </c>
      <c r="AJ11" s="28" t="str">
        <f aca="false">IF($A11="","",IFERROR(COUNTIF(S11:T11,"כן")/(COUNTIF(S11:T11,"כן")+COUNTIF(S11:T11,"לא")),""))</f>
        <v/>
      </c>
      <c r="AK11" s="28" t="str">
        <f aca="false">IF($A11="","",IFERROR(COUNTIF(L11:T11,"כן")/(COUNTIF(L11:T11,"כן")+COUNTIF(L11:T11,"לא")),""))</f>
        <v/>
      </c>
      <c r="AL11" s="36" t="str">
        <f aca="false">IF($A11="","",IFERROR(AVERAGE(U11:V11),""))</f>
        <v/>
      </c>
      <c r="AM11" s="36" t="str">
        <f aca="false">IF($A11="","",IFERROR(AVERAGE(W11:X11),""))</f>
        <v/>
      </c>
      <c r="AN11" s="36" t="str">
        <f aca="false">IF($A11="","",IFERROR(AVERAGE(Y11:Z11),""))</f>
        <v/>
      </c>
      <c r="AO11" s="36" t="str">
        <f aca="false">IF($A11="","",IFERROR(AVERAGE(AA11:AB11),""))</f>
        <v/>
      </c>
      <c r="AP11" s="36" t="str">
        <f aca="false">IF($A11="","",IFERROR(AVERAGE(AC11),""))</f>
        <v/>
      </c>
      <c r="AQ11" s="36" t="str">
        <f aca="false">IF($A11="","",IFERROR(AVERAGE(U11:AC11),""))</f>
        <v/>
      </c>
      <c r="AR11" s="27" t="str">
        <f aca="false">IF($A11="","",IF(AND(H11="",J11=""),"לא נבדק",IF(AND(OR(H11="",H11=I11),OR(J11="",J11=K11)),"תואם","לא תואם")))</f>
        <v/>
      </c>
      <c r="AS11" s="27" t="str">
        <f aca="false">IF($A11="","",IF(AND(AR11&lt;&gt;"לא תואם",G11&lt;&gt;"לא ברור"),"אמין","לפרש בזהירות"))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7" t="str">
        <f aca="false">IF($A12="","",$A12&amp;"|"&amp;$C12)</f>
        <v/>
      </c>
      <c r="AF12" s="28" t="str">
        <f aca="false">IF($A12="","",IFERROR(COUNTIF(L12:M12,"כן")/(COUNTIF(L12:M12,"כן")+COUNTIF(L12:M12,"לא")),""))</f>
        <v/>
      </c>
      <c r="AG12" s="28" t="str">
        <f aca="false">IF($A12="","",IFERROR(COUNTIF(N12:O12,"כן")/(COUNTIF(N12:O12,"כן")+COUNTIF(N12:O12,"לא")),""))</f>
        <v/>
      </c>
      <c r="AH12" s="28" t="str">
        <f aca="false">IF($A12="","",IFERROR(COUNTIF(P12,"כן")/(COUNTIF(P12,"כן")+COUNTIF(P12,"לא")),""))</f>
        <v/>
      </c>
      <c r="AI12" s="28" t="str">
        <f aca="false">IF($A12="","",IFERROR(COUNTIF(Q12:R12,"כן")/(COUNTIF(Q12:R12,"כן")+COUNTIF(Q12:R12,"לא")),""))</f>
        <v/>
      </c>
      <c r="AJ12" s="28" t="str">
        <f aca="false">IF($A12="","",IFERROR(COUNTIF(S12:T12,"כן")/(COUNTIF(S12:T12,"כן")+COUNTIF(S12:T12,"לא")),""))</f>
        <v/>
      </c>
      <c r="AK12" s="28" t="str">
        <f aca="false">IF($A12="","",IFERROR(COUNTIF(L12:T12,"כן")/(COUNTIF(L12:T12,"כן")+COUNTIF(L12:T12,"לא")),""))</f>
        <v/>
      </c>
      <c r="AL12" s="36" t="str">
        <f aca="false">IF($A12="","",IFERROR(AVERAGE(U12:V12),""))</f>
        <v/>
      </c>
      <c r="AM12" s="36" t="str">
        <f aca="false">IF($A12="","",IFERROR(AVERAGE(W12:X12),""))</f>
        <v/>
      </c>
      <c r="AN12" s="36" t="str">
        <f aca="false">IF($A12="","",IFERROR(AVERAGE(Y12:Z12),""))</f>
        <v/>
      </c>
      <c r="AO12" s="36" t="str">
        <f aca="false">IF($A12="","",IFERROR(AVERAGE(AA12:AB12),""))</f>
        <v/>
      </c>
      <c r="AP12" s="36" t="str">
        <f aca="false">IF($A12="","",IFERROR(AVERAGE(AC12),""))</f>
        <v/>
      </c>
      <c r="AQ12" s="36" t="str">
        <f aca="false">IF($A12="","",IFERROR(AVERAGE(U12:AC12),""))</f>
        <v/>
      </c>
      <c r="AR12" s="27" t="str">
        <f aca="false">IF($A12="","",IF(AND(H12="",J12=""),"לא נבדק",IF(AND(OR(H12="",H12=I12),OR(J12="",J12=K12)),"תואם","לא תואם")))</f>
        <v/>
      </c>
      <c r="AS12" s="27" t="str">
        <f aca="false">IF($A12="","",IF(AND(AR12&lt;&gt;"לא תואם",G12&lt;&gt;"לא ברור"),"אמין","לפרש בזהירות"))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7" t="str">
        <f aca="false">IF($A13="","",$A13&amp;"|"&amp;$C13)</f>
        <v/>
      </c>
      <c r="AF13" s="28" t="str">
        <f aca="false">IF($A13="","",IFERROR(COUNTIF(L13:M13,"כן")/(COUNTIF(L13:M13,"כן")+COUNTIF(L13:M13,"לא")),""))</f>
        <v/>
      </c>
      <c r="AG13" s="28" t="str">
        <f aca="false">IF($A13="","",IFERROR(COUNTIF(N13:O13,"כן")/(COUNTIF(N13:O13,"כן")+COUNTIF(N13:O13,"לא")),""))</f>
        <v/>
      </c>
      <c r="AH13" s="28" t="str">
        <f aca="false">IF($A13="","",IFERROR(COUNTIF(P13,"כן")/(COUNTIF(P13,"כן")+COUNTIF(P13,"לא")),""))</f>
        <v/>
      </c>
      <c r="AI13" s="28" t="str">
        <f aca="false">IF($A13="","",IFERROR(COUNTIF(Q13:R13,"כן")/(COUNTIF(Q13:R13,"כן")+COUNTIF(Q13:R13,"לא")),""))</f>
        <v/>
      </c>
      <c r="AJ13" s="28" t="str">
        <f aca="false">IF($A13="","",IFERROR(COUNTIF(S13:T13,"כן")/(COUNTIF(S13:T13,"כן")+COUNTIF(S13:T13,"לא")),""))</f>
        <v/>
      </c>
      <c r="AK13" s="28" t="str">
        <f aca="false">IF($A13="","",IFERROR(COUNTIF(L13:T13,"כן")/(COUNTIF(L13:T13,"כן")+COUNTIF(L13:T13,"לא")),""))</f>
        <v/>
      </c>
      <c r="AL13" s="36" t="str">
        <f aca="false">IF($A13="","",IFERROR(AVERAGE(U13:V13),""))</f>
        <v/>
      </c>
      <c r="AM13" s="36" t="str">
        <f aca="false">IF($A13="","",IFERROR(AVERAGE(W13:X13),""))</f>
        <v/>
      </c>
      <c r="AN13" s="36" t="str">
        <f aca="false">IF($A13="","",IFERROR(AVERAGE(Y13:Z13),""))</f>
        <v/>
      </c>
      <c r="AO13" s="36" t="str">
        <f aca="false">IF($A13="","",IFERROR(AVERAGE(AA13:AB13),""))</f>
        <v/>
      </c>
      <c r="AP13" s="36" t="str">
        <f aca="false">IF($A13="","",IFERROR(AVERAGE(AC13),""))</f>
        <v/>
      </c>
      <c r="AQ13" s="36" t="str">
        <f aca="false">IF($A13="","",IFERROR(AVERAGE(U13:AC13),""))</f>
        <v/>
      </c>
      <c r="AR13" s="27" t="str">
        <f aca="false">IF($A13="","",IF(AND(H13="",J13=""),"לא נבדק",IF(AND(OR(H13="",H13=I13),OR(J13="",J13=K13)),"תואם","לא תואם")))</f>
        <v/>
      </c>
      <c r="AS13" s="27" t="str">
        <f aca="false">IF($A13="","",IF(AND(AR13&lt;&gt;"לא תואם",G13&lt;&gt;"לא ברור"),"אמין","לפרש בזהירות"))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7" t="str">
        <f aca="false">IF($A14="","",$A14&amp;"|"&amp;$C14)</f>
        <v/>
      </c>
      <c r="AF14" s="28" t="str">
        <f aca="false">IF($A14="","",IFERROR(COUNTIF(L14:M14,"כן")/(COUNTIF(L14:M14,"כן")+COUNTIF(L14:M14,"לא")),""))</f>
        <v/>
      </c>
      <c r="AG14" s="28" t="str">
        <f aca="false">IF($A14="","",IFERROR(COUNTIF(N14:O14,"כן")/(COUNTIF(N14:O14,"כן")+COUNTIF(N14:O14,"לא")),""))</f>
        <v/>
      </c>
      <c r="AH14" s="28" t="str">
        <f aca="false">IF($A14="","",IFERROR(COUNTIF(P14,"כן")/(COUNTIF(P14,"כן")+COUNTIF(P14,"לא")),""))</f>
        <v/>
      </c>
      <c r="AI14" s="28" t="str">
        <f aca="false">IF($A14="","",IFERROR(COUNTIF(Q14:R14,"כן")/(COUNTIF(Q14:R14,"כן")+COUNTIF(Q14:R14,"לא")),""))</f>
        <v/>
      </c>
      <c r="AJ14" s="28" t="str">
        <f aca="false">IF($A14="","",IFERROR(COUNTIF(S14:T14,"כן")/(COUNTIF(S14:T14,"כן")+COUNTIF(S14:T14,"לא")),""))</f>
        <v/>
      </c>
      <c r="AK14" s="28" t="str">
        <f aca="false">IF($A14="","",IFERROR(COUNTIF(L14:T14,"כן")/(COUNTIF(L14:T14,"כן")+COUNTIF(L14:T14,"לא")),""))</f>
        <v/>
      </c>
      <c r="AL14" s="36" t="str">
        <f aca="false">IF($A14="","",IFERROR(AVERAGE(U14:V14),""))</f>
        <v/>
      </c>
      <c r="AM14" s="36" t="str">
        <f aca="false">IF($A14="","",IFERROR(AVERAGE(W14:X14),""))</f>
        <v/>
      </c>
      <c r="AN14" s="36" t="str">
        <f aca="false">IF($A14="","",IFERROR(AVERAGE(Y14:Z14),""))</f>
        <v/>
      </c>
      <c r="AO14" s="36" t="str">
        <f aca="false">IF($A14="","",IFERROR(AVERAGE(AA14:AB14),""))</f>
        <v/>
      </c>
      <c r="AP14" s="36" t="str">
        <f aca="false">IF($A14="","",IFERROR(AVERAGE(AC14),""))</f>
        <v/>
      </c>
      <c r="AQ14" s="36" t="str">
        <f aca="false">IF($A14="","",IFERROR(AVERAGE(U14:AC14),""))</f>
        <v/>
      </c>
      <c r="AR14" s="27" t="str">
        <f aca="false">IF($A14="","",IF(AND(H14="",J14=""),"לא נבדק",IF(AND(OR(H14="",H14=I14),OR(J14="",J14=K14)),"תואם","לא תואם")))</f>
        <v/>
      </c>
      <c r="AS14" s="27" t="str">
        <f aca="false">IF($A14="","",IF(AND(AR14&lt;&gt;"לא תואם",G14&lt;&gt;"לא ברור"),"אמין","לפרש בזהירות"))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7" t="str">
        <f aca="false">IF($A15="","",$A15&amp;"|"&amp;$C15)</f>
        <v/>
      </c>
      <c r="AF15" s="28" t="str">
        <f aca="false">IF($A15="","",IFERROR(COUNTIF(L15:M15,"כן")/(COUNTIF(L15:M15,"כן")+COUNTIF(L15:M15,"לא")),""))</f>
        <v/>
      </c>
      <c r="AG15" s="28" t="str">
        <f aca="false">IF($A15="","",IFERROR(COUNTIF(N15:O15,"כן")/(COUNTIF(N15:O15,"כן")+COUNTIF(N15:O15,"לא")),""))</f>
        <v/>
      </c>
      <c r="AH15" s="28" t="str">
        <f aca="false">IF($A15="","",IFERROR(COUNTIF(P15,"כן")/(COUNTIF(P15,"כן")+COUNTIF(P15,"לא")),""))</f>
        <v/>
      </c>
      <c r="AI15" s="28" t="str">
        <f aca="false">IF($A15="","",IFERROR(COUNTIF(Q15:R15,"כן")/(COUNTIF(Q15:R15,"כן")+COUNTIF(Q15:R15,"לא")),""))</f>
        <v/>
      </c>
      <c r="AJ15" s="28" t="str">
        <f aca="false">IF($A15="","",IFERROR(COUNTIF(S15:T15,"כן")/(COUNTIF(S15:T15,"כן")+COUNTIF(S15:T15,"לא")),""))</f>
        <v/>
      </c>
      <c r="AK15" s="28" t="str">
        <f aca="false">IF($A15="","",IFERROR(COUNTIF(L15:T15,"כן")/(COUNTIF(L15:T15,"כן")+COUNTIF(L15:T15,"לא")),""))</f>
        <v/>
      </c>
      <c r="AL15" s="36" t="str">
        <f aca="false">IF($A15="","",IFERROR(AVERAGE(U15:V15),""))</f>
        <v/>
      </c>
      <c r="AM15" s="36" t="str">
        <f aca="false">IF($A15="","",IFERROR(AVERAGE(W15:X15),""))</f>
        <v/>
      </c>
      <c r="AN15" s="36" t="str">
        <f aca="false">IF($A15="","",IFERROR(AVERAGE(Y15:Z15),""))</f>
        <v/>
      </c>
      <c r="AO15" s="36" t="str">
        <f aca="false">IF($A15="","",IFERROR(AVERAGE(AA15:AB15),""))</f>
        <v/>
      </c>
      <c r="AP15" s="36" t="str">
        <f aca="false">IF($A15="","",IFERROR(AVERAGE(AC15),""))</f>
        <v/>
      </c>
      <c r="AQ15" s="36" t="str">
        <f aca="false">IF($A15="","",IFERROR(AVERAGE(U15:AC15),""))</f>
        <v/>
      </c>
      <c r="AR15" s="27" t="str">
        <f aca="false">IF($A15="","",IF(AND(H15="",J15=""),"לא נבדק",IF(AND(OR(H15="",H15=I15),OR(J15="",J15=K15)),"תואם","לא תואם")))</f>
        <v/>
      </c>
      <c r="AS15" s="27" t="str">
        <f aca="false">IF($A15="","",IF(AND(AR15&lt;&gt;"לא תואם",G15&lt;&gt;"לא ברור"),"אמין","לפרש בזהירות"))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7" t="str">
        <f aca="false">IF($A16="","",$A16&amp;"|"&amp;$C16)</f>
        <v/>
      </c>
      <c r="AF16" s="28" t="str">
        <f aca="false">IF($A16="","",IFERROR(COUNTIF(L16:M16,"כן")/(COUNTIF(L16:M16,"כן")+COUNTIF(L16:M16,"לא")),""))</f>
        <v/>
      </c>
      <c r="AG16" s="28" t="str">
        <f aca="false">IF($A16="","",IFERROR(COUNTIF(N16:O16,"כן")/(COUNTIF(N16:O16,"כן")+COUNTIF(N16:O16,"לא")),""))</f>
        <v/>
      </c>
      <c r="AH16" s="28" t="str">
        <f aca="false">IF($A16="","",IFERROR(COUNTIF(P16,"כן")/(COUNTIF(P16,"כן")+COUNTIF(P16,"לא")),""))</f>
        <v/>
      </c>
      <c r="AI16" s="28" t="str">
        <f aca="false">IF($A16="","",IFERROR(COUNTIF(Q16:R16,"כן")/(COUNTIF(Q16:R16,"כן")+COUNTIF(Q16:R16,"לא")),""))</f>
        <v/>
      </c>
      <c r="AJ16" s="28" t="str">
        <f aca="false">IF($A16="","",IFERROR(COUNTIF(S16:T16,"כן")/(COUNTIF(S16:T16,"כן")+COUNTIF(S16:T16,"לא")),""))</f>
        <v/>
      </c>
      <c r="AK16" s="28" t="str">
        <f aca="false">IF($A16="","",IFERROR(COUNTIF(L16:T16,"כן")/(COUNTIF(L16:T16,"כן")+COUNTIF(L16:T16,"לא")),""))</f>
        <v/>
      </c>
      <c r="AL16" s="36" t="str">
        <f aca="false">IF($A16="","",IFERROR(AVERAGE(U16:V16),""))</f>
        <v/>
      </c>
      <c r="AM16" s="36" t="str">
        <f aca="false">IF($A16="","",IFERROR(AVERAGE(W16:X16),""))</f>
        <v/>
      </c>
      <c r="AN16" s="36" t="str">
        <f aca="false">IF($A16="","",IFERROR(AVERAGE(Y16:Z16),""))</f>
        <v/>
      </c>
      <c r="AO16" s="36" t="str">
        <f aca="false">IF($A16="","",IFERROR(AVERAGE(AA16:AB16),""))</f>
        <v/>
      </c>
      <c r="AP16" s="36" t="str">
        <f aca="false">IF($A16="","",IFERROR(AVERAGE(AC16),""))</f>
        <v/>
      </c>
      <c r="AQ16" s="36" t="str">
        <f aca="false">IF($A16="","",IFERROR(AVERAGE(U16:AC16),""))</f>
        <v/>
      </c>
      <c r="AR16" s="27" t="str">
        <f aca="false">IF($A16="","",IF(AND(H16="",J16=""),"לא נבדק",IF(AND(OR(H16="",H16=I16),OR(J16="",J16=K16)),"תואם","לא תואם")))</f>
        <v/>
      </c>
      <c r="AS16" s="27" t="str">
        <f aca="false">IF($A16="","",IF(AND(AR16&lt;&gt;"לא תואם",G16&lt;&gt;"לא ברור"),"אמין","לפרש בזהירות"))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7" t="str">
        <f aca="false">IF($A17="","",$A17&amp;"|"&amp;$C17)</f>
        <v/>
      </c>
      <c r="AF17" s="28" t="str">
        <f aca="false">IF($A17="","",IFERROR(COUNTIF(L17:M17,"כן")/(COUNTIF(L17:M17,"כן")+COUNTIF(L17:M17,"לא")),""))</f>
        <v/>
      </c>
      <c r="AG17" s="28" t="str">
        <f aca="false">IF($A17="","",IFERROR(COUNTIF(N17:O17,"כן")/(COUNTIF(N17:O17,"כן")+COUNTIF(N17:O17,"לא")),""))</f>
        <v/>
      </c>
      <c r="AH17" s="28" t="str">
        <f aca="false">IF($A17="","",IFERROR(COUNTIF(P17,"כן")/(COUNTIF(P17,"כן")+COUNTIF(P17,"לא")),""))</f>
        <v/>
      </c>
      <c r="AI17" s="28" t="str">
        <f aca="false">IF($A17="","",IFERROR(COUNTIF(Q17:R17,"כן")/(COUNTIF(Q17:R17,"כן")+COUNTIF(Q17:R17,"לא")),""))</f>
        <v/>
      </c>
      <c r="AJ17" s="28" t="str">
        <f aca="false">IF($A17="","",IFERROR(COUNTIF(S17:T17,"כן")/(COUNTIF(S17:T17,"כן")+COUNTIF(S17:T17,"לא")),""))</f>
        <v/>
      </c>
      <c r="AK17" s="28" t="str">
        <f aca="false">IF($A17="","",IFERROR(COUNTIF(L17:T17,"כן")/(COUNTIF(L17:T17,"כן")+COUNTIF(L17:T17,"לא")),""))</f>
        <v/>
      </c>
      <c r="AL17" s="36" t="str">
        <f aca="false">IF($A17="","",IFERROR(AVERAGE(U17:V17),""))</f>
        <v/>
      </c>
      <c r="AM17" s="36" t="str">
        <f aca="false">IF($A17="","",IFERROR(AVERAGE(W17:X17),""))</f>
        <v/>
      </c>
      <c r="AN17" s="36" t="str">
        <f aca="false">IF($A17="","",IFERROR(AVERAGE(Y17:Z17),""))</f>
        <v/>
      </c>
      <c r="AO17" s="36" t="str">
        <f aca="false">IF($A17="","",IFERROR(AVERAGE(AA17:AB17),""))</f>
        <v/>
      </c>
      <c r="AP17" s="36" t="str">
        <f aca="false">IF($A17="","",IFERROR(AVERAGE(AC17),""))</f>
        <v/>
      </c>
      <c r="AQ17" s="36" t="str">
        <f aca="false">IF($A17="","",IFERROR(AVERAGE(U17:AC17),""))</f>
        <v/>
      </c>
      <c r="AR17" s="27" t="str">
        <f aca="false">IF($A17="","",IF(AND(H17="",J17=""),"לא נבדק",IF(AND(OR(H17="",H17=I17),OR(J17="",J17=K17)),"תואם","לא תואם")))</f>
        <v/>
      </c>
      <c r="AS17" s="27" t="str">
        <f aca="false">IF($A17="","",IF(AND(AR17&lt;&gt;"לא תואם",G17&lt;&gt;"לא ברור"),"אמין","לפרש בזהירות"))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7" t="str">
        <f aca="false">IF($A18="","",$A18&amp;"|"&amp;$C18)</f>
        <v/>
      </c>
      <c r="AF18" s="28" t="str">
        <f aca="false">IF($A18="","",IFERROR(COUNTIF(L18:M18,"כן")/(COUNTIF(L18:M18,"כן")+COUNTIF(L18:M18,"לא")),""))</f>
        <v/>
      </c>
      <c r="AG18" s="28" t="str">
        <f aca="false">IF($A18="","",IFERROR(COUNTIF(N18:O18,"כן")/(COUNTIF(N18:O18,"כן")+COUNTIF(N18:O18,"לא")),""))</f>
        <v/>
      </c>
      <c r="AH18" s="28" t="str">
        <f aca="false">IF($A18="","",IFERROR(COUNTIF(P18,"כן")/(COUNTIF(P18,"כן")+COUNTIF(P18,"לא")),""))</f>
        <v/>
      </c>
      <c r="AI18" s="28" t="str">
        <f aca="false">IF($A18="","",IFERROR(COUNTIF(Q18:R18,"כן")/(COUNTIF(Q18:R18,"כן")+COUNTIF(Q18:R18,"לא")),""))</f>
        <v/>
      </c>
      <c r="AJ18" s="28" t="str">
        <f aca="false">IF($A18="","",IFERROR(COUNTIF(S18:T18,"כן")/(COUNTIF(S18:T18,"כן")+COUNTIF(S18:T18,"לא")),""))</f>
        <v/>
      </c>
      <c r="AK18" s="28" t="str">
        <f aca="false">IF($A18="","",IFERROR(COUNTIF(L18:T18,"כן")/(COUNTIF(L18:T18,"כן")+COUNTIF(L18:T18,"לא")),""))</f>
        <v/>
      </c>
      <c r="AL18" s="36" t="str">
        <f aca="false">IF($A18="","",IFERROR(AVERAGE(U18:V18),""))</f>
        <v/>
      </c>
      <c r="AM18" s="36" t="str">
        <f aca="false">IF($A18="","",IFERROR(AVERAGE(W18:X18),""))</f>
        <v/>
      </c>
      <c r="AN18" s="36" t="str">
        <f aca="false">IF($A18="","",IFERROR(AVERAGE(Y18:Z18),""))</f>
        <v/>
      </c>
      <c r="AO18" s="36" t="str">
        <f aca="false">IF($A18="","",IFERROR(AVERAGE(AA18:AB18),""))</f>
        <v/>
      </c>
      <c r="AP18" s="36" t="str">
        <f aca="false">IF($A18="","",IFERROR(AVERAGE(AC18),""))</f>
        <v/>
      </c>
      <c r="AQ18" s="36" t="str">
        <f aca="false">IF($A18="","",IFERROR(AVERAGE(U18:AC18),""))</f>
        <v/>
      </c>
      <c r="AR18" s="27" t="str">
        <f aca="false">IF($A18="","",IF(AND(H18="",J18=""),"לא נבדק",IF(AND(OR(H18="",H18=I18),OR(J18="",J18=K18)),"תואם","לא תואם")))</f>
        <v/>
      </c>
      <c r="AS18" s="27" t="str">
        <f aca="false">IF($A18="","",IF(AND(AR18&lt;&gt;"לא תואם",G18&lt;&gt;"לא ברור"),"אמין","לפרש בזהירות"))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7" t="str">
        <f aca="false">IF($A19="","",$A19&amp;"|"&amp;$C19)</f>
        <v/>
      </c>
      <c r="AF19" s="28" t="str">
        <f aca="false">IF($A19="","",IFERROR(COUNTIF(L19:M19,"כן")/(COUNTIF(L19:M19,"כן")+COUNTIF(L19:M19,"לא")),""))</f>
        <v/>
      </c>
      <c r="AG19" s="28" t="str">
        <f aca="false">IF($A19="","",IFERROR(COUNTIF(N19:O19,"כן")/(COUNTIF(N19:O19,"כן")+COUNTIF(N19:O19,"לא")),""))</f>
        <v/>
      </c>
      <c r="AH19" s="28" t="str">
        <f aca="false">IF($A19="","",IFERROR(COUNTIF(P19,"כן")/(COUNTIF(P19,"כן")+COUNTIF(P19,"לא")),""))</f>
        <v/>
      </c>
      <c r="AI19" s="28" t="str">
        <f aca="false">IF($A19="","",IFERROR(COUNTIF(Q19:R19,"כן")/(COUNTIF(Q19:R19,"כן")+COUNTIF(Q19:R19,"לא")),""))</f>
        <v/>
      </c>
      <c r="AJ19" s="28" t="str">
        <f aca="false">IF($A19="","",IFERROR(COUNTIF(S19:T19,"כן")/(COUNTIF(S19:T19,"כן")+COUNTIF(S19:T19,"לא")),""))</f>
        <v/>
      </c>
      <c r="AK19" s="28" t="str">
        <f aca="false">IF($A19="","",IFERROR(COUNTIF(L19:T19,"כן")/(COUNTIF(L19:T19,"כן")+COUNTIF(L19:T19,"לא")),""))</f>
        <v/>
      </c>
      <c r="AL19" s="36" t="str">
        <f aca="false">IF($A19="","",IFERROR(AVERAGE(U19:V19),""))</f>
        <v/>
      </c>
      <c r="AM19" s="36" t="str">
        <f aca="false">IF($A19="","",IFERROR(AVERAGE(W19:X19),""))</f>
        <v/>
      </c>
      <c r="AN19" s="36" t="str">
        <f aca="false">IF($A19="","",IFERROR(AVERAGE(Y19:Z19),""))</f>
        <v/>
      </c>
      <c r="AO19" s="36" t="str">
        <f aca="false">IF($A19="","",IFERROR(AVERAGE(AA19:AB19),""))</f>
        <v/>
      </c>
      <c r="AP19" s="36" t="str">
        <f aca="false">IF($A19="","",IFERROR(AVERAGE(AC19),""))</f>
        <v/>
      </c>
      <c r="AQ19" s="36" t="str">
        <f aca="false">IF($A19="","",IFERROR(AVERAGE(U19:AC19),""))</f>
        <v/>
      </c>
      <c r="AR19" s="27" t="str">
        <f aca="false">IF($A19="","",IF(AND(H19="",J19=""),"לא נבדק",IF(AND(OR(H19="",H19=I19),OR(J19="",J19=K19)),"תואם","לא תואם")))</f>
        <v/>
      </c>
      <c r="AS19" s="27" t="str">
        <f aca="false">IF($A19="","",IF(AND(AR19&lt;&gt;"לא תואם",G19&lt;&gt;"לא ברור"),"אמין","לפרש בזהירות"))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7" t="str">
        <f aca="false">IF($A20="","",$A20&amp;"|"&amp;$C20)</f>
        <v/>
      </c>
      <c r="AF20" s="28" t="str">
        <f aca="false">IF($A20="","",IFERROR(COUNTIF(L20:M20,"כן")/(COUNTIF(L20:M20,"כן")+COUNTIF(L20:M20,"לא")),""))</f>
        <v/>
      </c>
      <c r="AG20" s="28" t="str">
        <f aca="false">IF($A20="","",IFERROR(COUNTIF(N20:O20,"כן")/(COUNTIF(N20:O20,"כן")+COUNTIF(N20:O20,"לא")),""))</f>
        <v/>
      </c>
      <c r="AH20" s="28" t="str">
        <f aca="false">IF($A20="","",IFERROR(COUNTIF(P20,"כן")/(COUNTIF(P20,"כן")+COUNTIF(P20,"לא")),""))</f>
        <v/>
      </c>
      <c r="AI20" s="28" t="str">
        <f aca="false">IF($A20="","",IFERROR(COUNTIF(Q20:R20,"כן")/(COUNTIF(Q20:R20,"כן")+COUNTIF(Q20:R20,"לא")),""))</f>
        <v/>
      </c>
      <c r="AJ20" s="28" t="str">
        <f aca="false">IF($A20="","",IFERROR(COUNTIF(S20:T20,"כן")/(COUNTIF(S20:T20,"כן")+COUNTIF(S20:T20,"לא")),""))</f>
        <v/>
      </c>
      <c r="AK20" s="28" t="str">
        <f aca="false">IF($A20="","",IFERROR(COUNTIF(L20:T20,"כן")/(COUNTIF(L20:T20,"כן")+COUNTIF(L20:T20,"לא")),""))</f>
        <v/>
      </c>
      <c r="AL20" s="36" t="str">
        <f aca="false">IF($A20="","",IFERROR(AVERAGE(U20:V20),""))</f>
        <v/>
      </c>
      <c r="AM20" s="36" t="str">
        <f aca="false">IF($A20="","",IFERROR(AVERAGE(W20:X20),""))</f>
        <v/>
      </c>
      <c r="AN20" s="36" t="str">
        <f aca="false">IF($A20="","",IFERROR(AVERAGE(Y20:Z20),""))</f>
        <v/>
      </c>
      <c r="AO20" s="36" t="str">
        <f aca="false">IF($A20="","",IFERROR(AVERAGE(AA20:AB20),""))</f>
        <v/>
      </c>
      <c r="AP20" s="36" t="str">
        <f aca="false">IF($A20="","",IFERROR(AVERAGE(AC20),""))</f>
        <v/>
      </c>
      <c r="AQ20" s="36" t="str">
        <f aca="false">IF($A20="","",IFERROR(AVERAGE(U20:AC20),""))</f>
        <v/>
      </c>
      <c r="AR20" s="27" t="str">
        <f aca="false">IF($A20="","",IF(AND(H20="",J20=""),"לא נבדק",IF(AND(OR(H20="",H20=I20),OR(J20="",J20=K20)),"תואם","לא תואם")))</f>
        <v/>
      </c>
      <c r="AS20" s="27" t="str">
        <f aca="false">IF($A20="","",IF(AND(AR20&lt;&gt;"לא תואם",G20&lt;&gt;"לא ברור"),"אמין","לפרש בזהירות"))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7" t="str">
        <f aca="false">IF($A21="","",$A21&amp;"|"&amp;$C21)</f>
        <v/>
      </c>
      <c r="AF21" s="28" t="str">
        <f aca="false">IF($A21="","",IFERROR(COUNTIF(L21:M21,"כן")/(COUNTIF(L21:M21,"כן")+COUNTIF(L21:M21,"לא")),""))</f>
        <v/>
      </c>
      <c r="AG21" s="28" t="str">
        <f aca="false">IF($A21="","",IFERROR(COUNTIF(N21:O21,"כן")/(COUNTIF(N21:O21,"כן")+COUNTIF(N21:O21,"לא")),""))</f>
        <v/>
      </c>
      <c r="AH21" s="28" t="str">
        <f aca="false">IF($A21="","",IFERROR(COUNTIF(P21,"כן")/(COUNTIF(P21,"כן")+COUNTIF(P21,"לא")),""))</f>
        <v/>
      </c>
      <c r="AI21" s="28" t="str">
        <f aca="false">IF($A21="","",IFERROR(COUNTIF(Q21:R21,"כן")/(COUNTIF(Q21:R21,"כן")+COUNTIF(Q21:R21,"לא")),""))</f>
        <v/>
      </c>
      <c r="AJ21" s="28" t="str">
        <f aca="false">IF($A21="","",IFERROR(COUNTIF(S21:T21,"כן")/(COUNTIF(S21:T21,"כן")+COUNTIF(S21:T21,"לא")),""))</f>
        <v/>
      </c>
      <c r="AK21" s="28" t="str">
        <f aca="false">IF($A21="","",IFERROR(COUNTIF(L21:T21,"כן")/(COUNTIF(L21:T21,"כן")+COUNTIF(L21:T21,"לא")),""))</f>
        <v/>
      </c>
      <c r="AL21" s="36" t="str">
        <f aca="false">IF($A21="","",IFERROR(AVERAGE(U21:V21),""))</f>
        <v/>
      </c>
      <c r="AM21" s="36" t="str">
        <f aca="false">IF($A21="","",IFERROR(AVERAGE(W21:X21),""))</f>
        <v/>
      </c>
      <c r="AN21" s="36" t="str">
        <f aca="false">IF($A21="","",IFERROR(AVERAGE(Y21:Z21),""))</f>
        <v/>
      </c>
      <c r="AO21" s="36" t="str">
        <f aca="false">IF($A21="","",IFERROR(AVERAGE(AA21:AB21),""))</f>
        <v/>
      </c>
      <c r="AP21" s="36" t="str">
        <f aca="false">IF($A21="","",IFERROR(AVERAGE(AC21),""))</f>
        <v/>
      </c>
      <c r="AQ21" s="36" t="str">
        <f aca="false">IF($A21="","",IFERROR(AVERAGE(U21:AC21),""))</f>
        <v/>
      </c>
      <c r="AR21" s="27" t="str">
        <f aca="false">IF($A21="","",IF(AND(H21="",J21=""),"לא נבדק",IF(AND(OR(H21="",H21=I21),OR(J21="",J21=K21)),"תואם","לא תואם")))</f>
        <v/>
      </c>
      <c r="AS21" s="27" t="str">
        <f aca="false">IF($A21="","",IF(AND(AR21&lt;&gt;"לא תואם",G21&lt;&gt;"לא ברור"),"אמין","לפרש בזהירות"))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7" t="str">
        <f aca="false">IF($A22="","",$A22&amp;"|"&amp;$C22)</f>
        <v/>
      </c>
      <c r="AF22" s="28" t="str">
        <f aca="false">IF($A22="","",IFERROR(COUNTIF(L22:M22,"כן")/(COUNTIF(L22:M22,"כן")+COUNTIF(L22:M22,"לא")),""))</f>
        <v/>
      </c>
      <c r="AG22" s="28" t="str">
        <f aca="false">IF($A22="","",IFERROR(COUNTIF(N22:O22,"כן")/(COUNTIF(N22:O22,"כן")+COUNTIF(N22:O22,"לא")),""))</f>
        <v/>
      </c>
      <c r="AH22" s="28" t="str">
        <f aca="false">IF($A22="","",IFERROR(COUNTIF(P22,"כן")/(COUNTIF(P22,"כן")+COUNTIF(P22,"לא")),""))</f>
        <v/>
      </c>
      <c r="AI22" s="28" t="str">
        <f aca="false">IF($A22="","",IFERROR(COUNTIF(Q22:R22,"כן")/(COUNTIF(Q22:R22,"כן")+COUNTIF(Q22:R22,"לא")),""))</f>
        <v/>
      </c>
      <c r="AJ22" s="28" t="str">
        <f aca="false">IF($A22="","",IFERROR(COUNTIF(S22:T22,"כן")/(COUNTIF(S22:T22,"כן")+COUNTIF(S22:T22,"לא")),""))</f>
        <v/>
      </c>
      <c r="AK22" s="28" t="str">
        <f aca="false">IF($A22="","",IFERROR(COUNTIF(L22:T22,"כן")/(COUNTIF(L22:T22,"כן")+COUNTIF(L22:T22,"לא")),""))</f>
        <v/>
      </c>
      <c r="AL22" s="36" t="str">
        <f aca="false">IF($A22="","",IFERROR(AVERAGE(U22:V22),""))</f>
        <v/>
      </c>
      <c r="AM22" s="36" t="str">
        <f aca="false">IF($A22="","",IFERROR(AVERAGE(W22:X22),""))</f>
        <v/>
      </c>
      <c r="AN22" s="36" t="str">
        <f aca="false">IF($A22="","",IFERROR(AVERAGE(Y22:Z22),""))</f>
        <v/>
      </c>
      <c r="AO22" s="36" t="str">
        <f aca="false">IF($A22="","",IFERROR(AVERAGE(AA22:AB22),""))</f>
        <v/>
      </c>
      <c r="AP22" s="36" t="str">
        <f aca="false">IF($A22="","",IFERROR(AVERAGE(AC22),""))</f>
        <v/>
      </c>
      <c r="AQ22" s="36" t="str">
        <f aca="false">IF($A22="","",IFERROR(AVERAGE(U22:AC22),""))</f>
        <v/>
      </c>
      <c r="AR22" s="27" t="str">
        <f aca="false">IF($A22="","",IF(AND(H22="",J22=""),"לא נבדק",IF(AND(OR(H22="",H22=I22),OR(J22="",J22=K22)),"תואם","לא תואם")))</f>
        <v/>
      </c>
      <c r="AS22" s="27" t="str">
        <f aca="false">IF($A22="","",IF(AND(AR22&lt;&gt;"לא תואם",G22&lt;&gt;"לא ברור"),"אמין","לפרש בזהירות"))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7" t="str">
        <f aca="false">IF($A23="","",$A23&amp;"|"&amp;$C23)</f>
        <v/>
      </c>
      <c r="AF23" s="28" t="str">
        <f aca="false">IF($A23="","",IFERROR(COUNTIF(L23:M23,"כן")/(COUNTIF(L23:M23,"כן")+COUNTIF(L23:M23,"לא")),""))</f>
        <v/>
      </c>
      <c r="AG23" s="28" t="str">
        <f aca="false">IF($A23="","",IFERROR(COUNTIF(N23:O23,"כן")/(COUNTIF(N23:O23,"כן")+COUNTIF(N23:O23,"לא")),""))</f>
        <v/>
      </c>
      <c r="AH23" s="28" t="str">
        <f aca="false">IF($A23="","",IFERROR(COUNTIF(P23,"כן")/(COUNTIF(P23,"כן")+COUNTIF(P23,"לא")),""))</f>
        <v/>
      </c>
      <c r="AI23" s="28" t="str">
        <f aca="false">IF($A23="","",IFERROR(COUNTIF(Q23:R23,"כן")/(COUNTIF(Q23:R23,"כן")+COUNTIF(Q23:R23,"לא")),""))</f>
        <v/>
      </c>
      <c r="AJ23" s="28" t="str">
        <f aca="false">IF($A23="","",IFERROR(COUNTIF(S23:T23,"כן")/(COUNTIF(S23:T23,"כן")+COUNTIF(S23:T23,"לא")),""))</f>
        <v/>
      </c>
      <c r="AK23" s="28" t="str">
        <f aca="false">IF($A23="","",IFERROR(COUNTIF(L23:T23,"כן")/(COUNTIF(L23:T23,"כן")+COUNTIF(L23:T23,"לא")),""))</f>
        <v/>
      </c>
      <c r="AL23" s="36" t="str">
        <f aca="false">IF($A23="","",IFERROR(AVERAGE(U23:V23),""))</f>
        <v/>
      </c>
      <c r="AM23" s="36" t="str">
        <f aca="false">IF($A23="","",IFERROR(AVERAGE(W23:X23),""))</f>
        <v/>
      </c>
      <c r="AN23" s="36" t="str">
        <f aca="false">IF($A23="","",IFERROR(AVERAGE(Y23:Z23),""))</f>
        <v/>
      </c>
      <c r="AO23" s="36" t="str">
        <f aca="false">IF($A23="","",IFERROR(AVERAGE(AA23:AB23),""))</f>
        <v/>
      </c>
      <c r="AP23" s="36" t="str">
        <f aca="false">IF($A23="","",IFERROR(AVERAGE(AC23),""))</f>
        <v/>
      </c>
      <c r="AQ23" s="36" t="str">
        <f aca="false">IF($A23="","",IFERROR(AVERAGE(U23:AC23),""))</f>
        <v/>
      </c>
      <c r="AR23" s="27" t="str">
        <f aca="false">IF($A23="","",IF(AND(H23="",J23=""),"לא נבדק",IF(AND(OR(H23="",H23=I23),OR(J23="",J23=K23)),"תואם","לא תואם")))</f>
        <v/>
      </c>
      <c r="AS23" s="27" t="str">
        <f aca="false">IF($A23="","",IF(AND(AR23&lt;&gt;"לא תואם",G23&lt;&gt;"לא ברור"),"אמין","לפרש בזהירות"))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7" t="str">
        <f aca="false">IF($A24="","",$A24&amp;"|"&amp;$C24)</f>
        <v/>
      </c>
      <c r="AF24" s="28" t="str">
        <f aca="false">IF($A24="","",IFERROR(COUNTIF(L24:M24,"כן")/(COUNTIF(L24:M24,"כן")+COUNTIF(L24:M24,"לא")),""))</f>
        <v/>
      </c>
      <c r="AG24" s="28" t="str">
        <f aca="false">IF($A24="","",IFERROR(COUNTIF(N24:O24,"כן")/(COUNTIF(N24:O24,"כן")+COUNTIF(N24:O24,"לא")),""))</f>
        <v/>
      </c>
      <c r="AH24" s="28" t="str">
        <f aca="false">IF($A24="","",IFERROR(COUNTIF(P24,"כן")/(COUNTIF(P24,"כן")+COUNTIF(P24,"לא")),""))</f>
        <v/>
      </c>
      <c r="AI24" s="28" t="str">
        <f aca="false">IF($A24="","",IFERROR(COUNTIF(Q24:R24,"כן")/(COUNTIF(Q24:R24,"כן")+COUNTIF(Q24:R24,"לא")),""))</f>
        <v/>
      </c>
      <c r="AJ24" s="28" t="str">
        <f aca="false">IF($A24="","",IFERROR(COUNTIF(S24:T24,"כן")/(COUNTIF(S24:T24,"כן")+COUNTIF(S24:T24,"לא")),""))</f>
        <v/>
      </c>
      <c r="AK24" s="28" t="str">
        <f aca="false">IF($A24="","",IFERROR(COUNTIF(L24:T24,"כן")/(COUNTIF(L24:T24,"כן")+COUNTIF(L24:T24,"לא")),""))</f>
        <v/>
      </c>
      <c r="AL24" s="36" t="str">
        <f aca="false">IF($A24="","",IFERROR(AVERAGE(U24:V24),""))</f>
        <v/>
      </c>
      <c r="AM24" s="36" t="str">
        <f aca="false">IF($A24="","",IFERROR(AVERAGE(W24:X24),""))</f>
        <v/>
      </c>
      <c r="AN24" s="36" t="str">
        <f aca="false">IF($A24="","",IFERROR(AVERAGE(Y24:Z24),""))</f>
        <v/>
      </c>
      <c r="AO24" s="36" t="str">
        <f aca="false">IF($A24="","",IFERROR(AVERAGE(AA24:AB24),""))</f>
        <v/>
      </c>
      <c r="AP24" s="36" t="str">
        <f aca="false">IF($A24="","",IFERROR(AVERAGE(AC24),""))</f>
        <v/>
      </c>
      <c r="AQ24" s="36" t="str">
        <f aca="false">IF($A24="","",IFERROR(AVERAGE(U24:AC24),""))</f>
        <v/>
      </c>
      <c r="AR24" s="27" t="str">
        <f aca="false">IF($A24="","",IF(AND(H24="",J24=""),"לא נבדק",IF(AND(OR(H24="",H24=I24),OR(J24="",J24=K24)),"תואם","לא תואם")))</f>
        <v/>
      </c>
      <c r="AS24" s="27" t="str">
        <f aca="false">IF($A24="","",IF(AND(AR24&lt;&gt;"לא תואם",G24&lt;&gt;"לא ברור"),"אמין","לפרש בזהירות"))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7" t="str">
        <f aca="false">IF($A25="","",$A25&amp;"|"&amp;$C25)</f>
        <v/>
      </c>
      <c r="AF25" s="28" t="str">
        <f aca="false">IF($A25="","",IFERROR(COUNTIF(L25:M25,"כן")/(COUNTIF(L25:M25,"כן")+COUNTIF(L25:M25,"לא")),""))</f>
        <v/>
      </c>
      <c r="AG25" s="28" t="str">
        <f aca="false">IF($A25="","",IFERROR(COUNTIF(N25:O25,"כן")/(COUNTIF(N25:O25,"כן")+COUNTIF(N25:O25,"לא")),""))</f>
        <v/>
      </c>
      <c r="AH25" s="28" t="str">
        <f aca="false">IF($A25="","",IFERROR(COUNTIF(P25,"כן")/(COUNTIF(P25,"כן")+COUNTIF(P25,"לא")),""))</f>
        <v/>
      </c>
      <c r="AI25" s="28" t="str">
        <f aca="false">IF($A25="","",IFERROR(COUNTIF(Q25:R25,"כן")/(COUNTIF(Q25:R25,"כן")+COUNTIF(Q25:R25,"לא")),""))</f>
        <v/>
      </c>
      <c r="AJ25" s="28" t="str">
        <f aca="false">IF($A25="","",IFERROR(COUNTIF(S25:T25,"כן")/(COUNTIF(S25:T25,"כן")+COUNTIF(S25:T25,"לא")),""))</f>
        <v/>
      </c>
      <c r="AK25" s="28" t="str">
        <f aca="false">IF($A25="","",IFERROR(COUNTIF(L25:T25,"כן")/(COUNTIF(L25:T25,"כן")+COUNTIF(L25:T25,"לא")),""))</f>
        <v/>
      </c>
      <c r="AL25" s="36" t="str">
        <f aca="false">IF($A25="","",IFERROR(AVERAGE(U25:V25),""))</f>
        <v/>
      </c>
      <c r="AM25" s="36" t="str">
        <f aca="false">IF($A25="","",IFERROR(AVERAGE(W25:X25),""))</f>
        <v/>
      </c>
      <c r="AN25" s="36" t="str">
        <f aca="false">IF($A25="","",IFERROR(AVERAGE(Y25:Z25),""))</f>
        <v/>
      </c>
      <c r="AO25" s="36" t="str">
        <f aca="false">IF($A25="","",IFERROR(AVERAGE(AA25:AB25),""))</f>
        <v/>
      </c>
      <c r="AP25" s="36" t="str">
        <f aca="false">IF($A25="","",IFERROR(AVERAGE(AC25),""))</f>
        <v/>
      </c>
      <c r="AQ25" s="36" t="str">
        <f aca="false">IF($A25="","",IFERROR(AVERAGE(U25:AC25),""))</f>
        <v/>
      </c>
      <c r="AR25" s="27" t="str">
        <f aca="false">IF($A25="","",IF(AND(H25="",J25=""),"לא נבדק",IF(AND(OR(H25="",H25=I25),OR(J25="",J25=K25)),"תואם","לא תואם")))</f>
        <v/>
      </c>
      <c r="AS25" s="27" t="str">
        <f aca="false">IF($A25="","",IF(AND(AR25&lt;&gt;"לא תואם",G25&lt;&gt;"לא ברור"),"אמין","לפרש בזהירות"))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7" t="str">
        <f aca="false">IF($A26="","",$A26&amp;"|"&amp;$C26)</f>
        <v/>
      </c>
      <c r="AF26" s="28" t="str">
        <f aca="false">IF($A26="","",IFERROR(COUNTIF(L26:M26,"כן")/(COUNTIF(L26:M26,"כן")+COUNTIF(L26:M26,"לא")),""))</f>
        <v/>
      </c>
      <c r="AG26" s="28" t="str">
        <f aca="false">IF($A26="","",IFERROR(COUNTIF(N26:O26,"כן")/(COUNTIF(N26:O26,"כן")+COUNTIF(N26:O26,"לא")),""))</f>
        <v/>
      </c>
      <c r="AH26" s="28" t="str">
        <f aca="false">IF($A26="","",IFERROR(COUNTIF(P26,"כן")/(COUNTIF(P26,"כן")+COUNTIF(P26,"לא")),""))</f>
        <v/>
      </c>
      <c r="AI26" s="28" t="str">
        <f aca="false">IF($A26="","",IFERROR(COUNTIF(Q26:R26,"כן")/(COUNTIF(Q26:R26,"כן")+COUNTIF(Q26:R26,"לא")),""))</f>
        <v/>
      </c>
      <c r="AJ26" s="28" t="str">
        <f aca="false">IF($A26="","",IFERROR(COUNTIF(S26:T26,"כן")/(COUNTIF(S26:T26,"כן")+COUNTIF(S26:T26,"לא")),""))</f>
        <v/>
      </c>
      <c r="AK26" s="28" t="str">
        <f aca="false">IF($A26="","",IFERROR(COUNTIF(L26:T26,"כן")/(COUNTIF(L26:T26,"כן")+COUNTIF(L26:T26,"לא")),""))</f>
        <v/>
      </c>
      <c r="AL26" s="36" t="str">
        <f aca="false">IF($A26="","",IFERROR(AVERAGE(U26:V26),""))</f>
        <v/>
      </c>
      <c r="AM26" s="36" t="str">
        <f aca="false">IF($A26="","",IFERROR(AVERAGE(W26:X26),""))</f>
        <v/>
      </c>
      <c r="AN26" s="36" t="str">
        <f aca="false">IF($A26="","",IFERROR(AVERAGE(Y26:Z26),""))</f>
        <v/>
      </c>
      <c r="AO26" s="36" t="str">
        <f aca="false">IF($A26="","",IFERROR(AVERAGE(AA26:AB26),""))</f>
        <v/>
      </c>
      <c r="AP26" s="36" t="str">
        <f aca="false">IF($A26="","",IFERROR(AVERAGE(AC26),""))</f>
        <v/>
      </c>
      <c r="AQ26" s="36" t="str">
        <f aca="false">IF($A26="","",IFERROR(AVERAGE(U26:AC26),""))</f>
        <v/>
      </c>
      <c r="AR26" s="27" t="str">
        <f aca="false">IF($A26="","",IF(AND(H26="",J26=""),"לא נבדק",IF(AND(OR(H26="",H26=I26),OR(J26="",J26=K26)),"תואם","לא תואם")))</f>
        <v/>
      </c>
      <c r="AS26" s="27" t="str">
        <f aca="false">IF($A26="","",IF(AND(AR26&lt;&gt;"לא תואם",G26&lt;&gt;"לא ברור"),"אמין","לפרש בזהירות"))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7" t="str">
        <f aca="false">IF($A27="","",$A27&amp;"|"&amp;$C27)</f>
        <v/>
      </c>
      <c r="AF27" s="28" t="str">
        <f aca="false">IF($A27="","",IFERROR(COUNTIF(L27:M27,"כן")/(COUNTIF(L27:M27,"כן")+COUNTIF(L27:M27,"לא")),""))</f>
        <v/>
      </c>
      <c r="AG27" s="28" t="str">
        <f aca="false">IF($A27="","",IFERROR(COUNTIF(N27:O27,"כן")/(COUNTIF(N27:O27,"כן")+COUNTIF(N27:O27,"לא")),""))</f>
        <v/>
      </c>
      <c r="AH27" s="28" t="str">
        <f aca="false">IF($A27="","",IFERROR(COUNTIF(P27,"כן")/(COUNTIF(P27,"כן")+COUNTIF(P27,"לא")),""))</f>
        <v/>
      </c>
      <c r="AI27" s="28" t="str">
        <f aca="false">IF($A27="","",IFERROR(COUNTIF(Q27:R27,"כן")/(COUNTIF(Q27:R27,"כן")+COUNTIF(Q27:R27,"לא")),""))</f>
        <v/>
      </c>
      <c r="AJ27" s="28" t="str">
        <f aca="false">IF($A27="","",IFERROR(COUNTIF(S27:T27,"כן")/(COUNTIF(S27:T27,"כן")+COUNTIF(S27:T27,"לא")),""))</f>
        <v/>
      </c>
      <c r="AK27" s="28" t="str">
        <f aca="false">IF($A27="","",IFERROR(COUNTIF(L27:T27,"כן")/(COUNTIF(L27:T27,"כן")+COUNTIF(L27:T27,"לא")),""))</f>
        <v/>
      </c>
      <c r="AL27" s="36" t="str">
        <f aca="false">IF($A27="","",IFERROR(AVERAGE(U27:V27),""))</f>
        <v/>
      </c>
      <c r="AM27" s="36" t="str">
        <f aca="false">IF($A27="","",IFERROR(AVERAGE(W27:X27),""))</f>
        <v/>
      </c>
      <c r="AN27" s="36" t="str">
        <f aca="false">IF($A27="","",IFERROR(AVERAGE(Y27:Z27),""))</f>
        <v/>
      </c>
      <c r="AO27" s="36" t="str">
        <f aca="false">IF($A27="","",IFERROR(AVERAGE(AA27:AB27),""))</f>
        <v/>
      </c>
      <c r="AP27" s="36" t="str">
        <f aca="false">IF($A27="","",IFERROR(AVERAGE(AC27),""))</f>
        <v/>
      </c>
      <c r="AQ27" s="36" t="str">
        <f aca="false">IF($A27="","",IFERROR(AVERAGE(U27:AC27),""))</f>
        <v/>
      </c>
      <c r="AR27" s="27" t="str">
        <f aca="false">IF($A27="","",IF(AND(H27="",J27=""),"לא נבדק",IF(AND(OR(H27="",H27=I27),OR(J27="",J27=K27)),"תואם","לא תואם")))</f>
        <v/>
      </c>
      <c r="AS27" s="27" t="str">
        <f aca="false">IF($A27="","",IF(AND(AR27&lt;&gt;"לא תואם",G27&lt;&gt;"לא ברור"),"אמין","לפרש בזהירות"))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7" t="str">
        <f aca="false">IF($A28="","",$A28&amp;"|"&amp;$C28)</f>
        <v/>
      </c>
      <c r="AF28" s="28" t="str">
        <f aca="false">IF($A28="","",IFERROR(COUNTIF(L28:M28,"כן")/(COUNTIF(L28:M28,"כן")+COUNTIF(L28:M28,"לא")),""))</f>
        <v/>
      </c>
      <c r="AG28" s="28" t="str">
        <f aca="false">IF($A28="","",IFERROR(COUNTIF(N28:O28,"כן")/(COUNTIF(N28:O28,"כן")+COUNTIF(N28:O28,"לא")),""))</f>
        <v/>
      </c>
      <c r="AH28" s="28" t="str">
        <f aca="false">IF($A28="","",IFERROR(COUNTIF(P28,"כן")/(COUNTIF(P28,"כן")+COUNTIF(P28,"לא")),""))</f>
        <v/>
      </c>
      <c r="AI28" s="28" t="str">
        <f aca="false">IF($A28="","",IFERROR(COUNTIF(Q28:R28,"כן")/(COUNTIF(Q28:R28,"כן")+COUNTIF(Q28:R28,"לא")),""))</f>
        <v/>
      </c>
      <c r="AJ28" s="28" t="str">
        <f aca="false">IF($A28="","",IFERROR(COUNTIF(S28:T28,"כן")/(COUNTIF(S28:T28,"כן")+COUNTIF(S28:T28,"לא")),""))</f>
        <v/>
      </c>
      <c r="AK28" s="28" t="str">
        <f aca="false">IF($A28="","",IFERROR(COUNTIF(L28:T28,"כן")/(COUNTIF(L28:T28,"כן")+COUNTIF(L28:T28,"לא")),""))</f>
        <v/>
      </c>
      <c r="AL28" s="36" t="str">
        <f aca="false">IF($A28="","",IFERROR(AVERAGE(U28:V28),""))</f>
        <v/>
      </c>
      <c r="AM28" s="36" t="str">
        <f aca="false">IF($A28="","",IFERROR(AVERAGE(W28:X28),""))</f>
        <v/>
      </c>
      <c r="AN28" s="36" t="str">
        <f aca="false">IF($A28="","",IFERROR(AVERAGE(Y28:Z28),""))</f>
        <v/>
      </c>
      <c r="AO28" s="36" t="str">
        <f aca="false">IF($A28="","",IFERROR(AVERAGE(AA28:AB28),""))</f>
        <v/>
      </c>
      <c r="AP28" s="36" t="str">
        <f aca="false">IF($A28="","",IFERROR(AVERAGE(AC28),""))</f>
        <v/>
      </c>
      <c r="AQ28" s="36" t="str">
        <f aca="false">IF($A28="","",IFERROR(AVERAGE(U28:AC28),""))</f>
        <v/>
      </c>
      <c r="AR28" s="27" t="str">
        <f aca="false">IF($A28="","",IF(AND(H28="",J28=""),"לא נבדק",IF(AND(OR(H28="",H28=I28),OR(J28="",J28=K28)),"תואם","לא תואם")))</f>
        <v/>
      </c>
      <c r="AS28" s="27" t="str">
        <f aca="false">IF($A28="","",IF(AND(AR28&lt;&gt;"לא תואם",G28&lt;&gt;"לא ברור"),"אמין","לפרש בזהירות"))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7" t="str">
        <f aca="false">IF($A29="","",$A29&amp;"|"&amp;$C29)</f>
        <v/>
      </c>
      <c r="AF29" s="28" t="str">
        <f aca="false">IF($A29="","",IFERROR(COUNTIF(L29:M29,"כן")/(COUNTIF(L29:M29,"כן")+COUNTIF(L29:M29,"לא")),""))</f>
        <v/>
      </c>
      <c r="AG29" s="28" t="str">
        <f aca="false">IF($A29="","",IFERROR(COUNTIF(N29:O29,"כן")/(COUNTIF(N29:O29,"כן")+COUNTIF(N29:O29,"לא")),""))</f>
        <v/>
      </c>
      <c r="AH29" s="28" t="str">
        <f aca="false">IF($A29="","",IFERROR(COUNTIF(P29,"כן")/(COUNTIF(P29,"כן")+COUNTIF(P29,"לא")),""))</f>
        <v/>
      </c>
      <c r="AI29" s="28" t="str">
        <f aca="false">IF($A29="","",IFERROR(COUNTIF(Q29:R29,"כן")/(COUNTIF(Q29:R29,"כן")+COUNTIF(Q29:R29,"לא")),""))</f>
        <v/>
      </c>
      <c r="AJ29" s="28" t="str">
        <f aca="false">IF($A29="","",IFERROR(COUNTIF(S29:T29,"כן")/(COUNTIF(S29:T29,"כן")+COUNTIF(S29:T29,"לא")),""))</f>
        <v/>
      </c>
      <c r="AK29" s="28" t="str">
        <f aca="false">IF($A29="","",IFERROR(COUNTIF(L29:T29,"כן")/(COUNTIF(L29:T29,"כן")+COUNTIF(L29:T29,"לא")),""))</f>
        <v/>
      </c>
      <c r="AL29" s="36" t="str">
        <f aca="false">IF($A29="","",IFERROR(AVERAGE(U29:V29),""))</f>
        <v/>
      </c>
      <c r="AM29" s="36" t="str">
        <f aca="false">IF($A29="","",IFERROR(AVERAGE(W29:X29),""))</f>
        <v/>
      </c>
      <c r="AN29" s="36" t="str">
        <f aca="false">IF($A29="","",IFERROR(AVERAGE(Y29:Z29),""))</f>
        <v/>
      </c>
      <c r="AO29" s="36" t="str">
        <f aca="false">IF($A29="","",IFERROR(AVERAGE(AA29:AB29),""))</f>
        <v/>
      </c>
      <c r="AP29" s="36" t="str">
        <f aca="false">IF($A29="","",IFERROR(AVERAGE(AC29),""))</f>
        <v/>
      </c>
      <c r="AQ29" s="36" t="str">
        <f aca="false">IF($A29="","",IFERROR(AVERAGE(U29:AC29),""))</f>
        <v/>
      </c>
      <c r="AR29" s="27" t="str">
        <f aca="false">IF($A29="","",IF(AND(H29="",J29=""),"לא נבדק",IF(AND(OR(H29="",H29=I29),OR(J29="",J29=K29)),"תואם","לא תואם")))</f>
        <v/>
      </c>
      <c r="AS29" s="27" t="str">
        <f aca="false">IF($A29="","",IF(AND(AR29&lt;&gt;"לא תואם",G29&lt;&gt;"לא ברור"),"אמין","לפרש בזהירות"))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7" t="str">
        <f aca="false">IF($A30="","",$A30&amp;"|"&amp;$C30)</f>
        <v/>
      </c>
      <c r="AF30" s="28" t="str">
        <f aca="false">IF($A30="","",IFERROR(COUNTIF(L30:M30,"כן")/(COUNTIF(L30:M30,"כן")+COUNTIF(L30:M30,"לא")),""))</f>
        <v/>
      </c>
      <c r="AG30" s="28" t="str">
        <f aca="false">IF($A30="","",IFERROR(COUNTIF(N30:O30,"כן")/(COUNTIF(N30:O30,"כן")+COUNTIF(N30:O30,"לא")),""))</f>
        <v/>
      </c>
      <c r="AH30" s="28" t="str">
        <f aca="false">IF($A30="","",IFERROR(COUNTIF(P30,"כן")/(COUNTIF(P30,"כן")+COUNTIF(P30,"לא")),""))</f>
        <v/>
      </c>
      <c r="AI30" s="28" t="str">
        <f aca="false">IF($A30="","",IFERROR(COUNTIF(Q30:R30,"כן")/(COUNTIF(Q30:R30,"כן")+COUNTIF(Q30:R30,"לא")),""))</f>
        <v/>
      </c>
      <c r="AJ30" s="28" t="str">
        <f aca="false">IF($A30="","",IFERROR(COUNTIF(S30:T30,"כן")/(COUNTIF(S30:T30,"כן")+COUNTIF(S30:T30,"לא")),""))</f>
        <v/>
      </c>
      <c r="AK30" s="28" t="str">
        <f aca="false">IF($A30="","",IFERROR(COUNTIF(L30:T30,"כן")/(COUNTIF(L30:T30,"כן")+COUNTIF(L30:T30,"לא")),""))</f>
        <v/>
      </c>
      <c r="AL30" s="36" t="str">
        <f aca="false">IF($A30="","",IFERROR(AVERAGE(U30:V30),""))</f>
        <v/>
      </c>
      <c r="AM30" s="36" t="str">
        <f aca="false">IF($A30="","",IFERROR(AVERAGE(W30:X30),""))</f>
        <v/>
      </c>
      <c r="AN30" s="36" t="str">
        <f aca="false">IF($A30="","",IFERROR(AVERAGE(Y30:Z30),""))</f>
        <v/>
      </c>
      <c r="AO30" s="36" t="str">
        <f aca="false">IF($A30="","",IFERROR(AVERAGE(AA30:AB30),""))</f>
        <v/>
      </c>
      <c r="AP30" s="36" t="str">
        <f aca="false">IF($A30="","",IFERROR(AVERAGE(AC30),""))</f>
        <v/>
      </c>
      <c r="AQ30" s="36" t="str">
        <f aca="false">IF($A30="","",IFERROR(AVERAGE(U30:AC30),""))</f>
        <v/>
      </c>
      <c r="AR30" s="27" t="str">
        <f aca="false">IF($A30="","",IF(AND(H30="",J30=""),"לא נבדק",IF(AND(OR(H30="",H30=I30),OR(J30="",J30=K30)),"תואם","לא תואם")))</f>
        <v/>
      </c>
      <c r="AS30" s="27" t="str">
        <f aca="false">IF($A30="","",IF(AND(AR30&lt;&gt;"לא תואם",G30&lt;&gt;"לא ברור"),"אמין","לפרש בזהירות"))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7" t="str">
        <f aca="false">IF($A31="","",$A31&amp;"|"&amp;$C31)</f>
        <v/>
      </c>
      <c r="AF31" s="28" t="str">
        <f aca="false">IF($A31="","",IFERROR(COUNTIF(L31:M31,"כן")/(COUNTIF(L31:M31,"כן")+COUNTIF(L31:M31,"לא")),""))</f>
        <v/>
      </c>
      <c r="AG31" s="28" t="str">
        <f aca="false">IF($A31="","",IFERROR(COUNTIF(N31:O31,"כן")/(COUNTIF(N31:O31,"כן")+COUNTIF(N31:O31,"לא")),""))</f>
        <v/>
      </c>
      <c r="AH31" s="28" t="str">
        <f aca="false">IF($A31="","",IFERROR(COUNTIF(P31,"כן")/(COUNTIF(P31,"כן")+COUNTIF(P31,"לא")),""))</f>
        <v/>
      </c>
      <c r="AI31" s="28" t="str">
        <f aca="false">IF($A31="","",IFERROR(COUNTIF(Q31:R31,"כן")/(COUNTIF(Q31:R31,"כן")+COUNTIF(Q31:R31,"לא")),""))</f>
        <v/>
      </c>
      <c r="AJ31" s="28" t="str">
        <f aca="false">IF($A31="","",IFERROR(COUNTIF(S31:T31,"כן")/(COUNTIF(S31:T31,"כן")+COUNTIF(S31:T31,"לא")),""))</f>
        <v/>
      </c>
      <c r="AK31" s="28" t="str">
        <f aca="false">IF($A31="","",IFERROR(COUNTIF(L31:T31,"כן")/(COUNTIF(L31:T31,"כן")+COUNTIF(L31:T31,"לא")),""))</f>
        <v/>
      </c>
      <c r="AL31" s="36" t="str">
        <f aca="false">IF($A31="","",IFERROR(AVERAGE(U31:V31),""))</f>
        <v/>
      </c>
      <c r="AM31" s="36" t="str">
        <f aca="false">IF($A31="","",IFERROR(AVERAGE(W31:X31),""))</f>
        <v/>
      </c>
      <c r="AN31" s="36" t="str">
        <f aca="false">IF($A31="","",IFERROR(AVERAGE(Y31:Z31),""))</f>
        <v/>
      </c>
      <c r="AO31" s="36" t="str">
        <f aca="false">IF($A31="","",IFERROR(AVERAGE(AA31:AB31),""))</f>
        <v/>
      </c>
      <c r="AP31" s="36" t="str">
        <f aca="false">IF($A31="","",IFERROR(AVERAGE(AC31),""))</f>
        <v/>
      </c>
      <c r="AQ31" s="36" t="str">
        <f aca="false">IF($A31="","",IFERROR(AVERAGE(U31:AC31),""))</f>
        <v/>
      </c>
      <c r="AR31" s="27" t="str">
        <f aca="false">IF($A31="","",IF(AND(H31="",J31=""),"לא נבדק",IF(AND(OR(H31="",H31=I31),OR(J31="",J31=K31)),"תואם","לא תואם")))</f>
        <v/>
      </c>
      <c r="AS31" s="27" t="str">
        <f aca="false">IF($A31="","",IF(AND(AR31&lt;&gt;"לא תואם",G31&lt;&gt;"לא ברור"),"אמין","לפרש בזהירות"))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7" t="str">
        <f aca="false">IF($A32="","",$A32&amp;"|"&amp;$C32)</f>
        <v/>
      </c>
      <c r="AF32" s="28" t="str">
        <f aca="false">IF($A32="","",IFERROR(COUNTIF(L32:M32,"כן")/(COUNTIF(L32:M32,"כן")+COUNTIF(L32:M32,"לא")),""))</f>
        <v/>
      </c>
      <c r="AG32" s="28" t="str">
        <f aca="false">IF($A32="","",IFERROR(COUNTIF(N32:O32,"כן")/(COUNTIF(N32:O32,"כן")+COUNTIF(N32:O32,"לא")),""))</f>
        <v/>
      </c>
      <c r="AH32" s="28" t="str">
        <f aca="false">IF($A32="","",IFERROR(COUNTIF(P32,"כן")/(COUNTIF(P32,"כן")+COUNTIF(P32,"לא")),""))</f>
        <v/>
      </c>
      <c r="AI32" s="28" t="str">
        <f aca="false">IF($A32="","",IFERROR(COUNTIF(Q32:R32,"כן")/(COUNTIF(Q32:R32,"כן")+COUNTIF(Q32:R32,"לא")),""))</f>
        <v/>
      </c>
      <c r="AJ32" s="28" t="str">
        <f aca="false">IF($A32="","",IFERROR(COUNTIF(S32:T32,"כן")/(COUNTIF(S32:T32,"כן")+COUNTIF(S32:T32,"לא")),""))</f>
        <v/>
      </c>
      <c r="AK32" s="28" t="str">
        <f aca="false">IF($A32="","",IFERROR(COUNTIF(L32:T32,"כן")/(COUNTIF(L32:T32,"כן")+COUNTIF(L32:T32,"לא")),""))</f>
        <v/>
      </c>
      <c r="AL32" s="36" t="str">
        <f aca="false">IF($A32="","",IFERROR(AVERAGE(U32:V32),""))</f>
        <v/>
      </c>
      <c r="AM32" s="36" t="str">
        <f aca="false">IF($A32="","",IFERROR(AVERAGE(W32:X32),""))</f>
        <v/>
      </c>
      <c r="AN32" s="36" t="str">
        <f aca="false">IF($A32="","",IFERROR(AVERAGE(Y32:Z32),""))</f>
        <v/>
      </c>
      <c r="AO32" s="36" t="str">
        <f aca="false">IF($A32="","",IFERROR(AVERAGE(AA32:AB32),""))</f>
        <v/>
      </c>
      <c r="AP32" s="36" t="str">
        <f aca="false">IF($A32="","",IFERROR(AVERAGE(AC32),""))</f>
        <v/>
      </c>
      <c r="AQ32" s="36" t="str">
        <f aca="false">IF($A32="","",IFERROR(AVERAGE(U32:AC32),""))</f>
        <v/>
      </c>
      <c r="AR32" s="27" t="str">
        <f aca="false">IF($A32="","",IF(AND(H32="",J32=""),"לא נבדק",IF(AND(OR(H32="",H32=I32),OR(J32="",J32=K32)),"תואם","לא תואם")))</f>
        <v/>
      </c>
      <c r="AS32" s="27" t="str">
        <f aca="false">IF($A32="","",IF(AND(AR32&lt;&gt;"לא תואם",G32&lt;&gt;"לא ברור"),"אמין","לפרש בזהירות"))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7" t="str">
        <f aca="false">IF($A33="","",$A33&amp;"|"&amp;$C33)</f>
        <v/>
      </c>
      <c r="AF33" s="28" t="str">
        <f aca="false">IF($A33="","",IFERROR(COUNTIF(L33:M33,"כן")/(COUNTIF(L33:M33,"כן")+COUNTIF(L33:M33,"לא")),""))</f>
        <v/>
      </c>
      <c r="AG33" s="28" t="str">
        <f aca="false">IF($A33="","",IFERROR(COUNTIF(N33:O33,"כן")/(COUNTIF(N33:O33,"כן")+COUNTIF(N33:O33,"לא")),""))</f>
        <v/>
      </c>
      <c r="AH33" s="28" t="str">
        <f aca="false">IF($A33="","",IFERROR(COUNTIF(P33,"כן")/(COUNTIF(P33,"כן")+COUNTIF(P33,"לא")),""))</f>
        <v/>
      </c>
      <c r="AI33" s="28" t="str">
        <f aca="false">IF($A33="","",IFERROR(COUNTIF(Q33:R33,"כן")/(COUNTIF(Q33:R33,"כן")+COUNTIF(Q33:R33,"לא")),""))</f>
        <v/>
      </c>
      <c r="AJ33" s="28" t="str">
        <f aca="false">IF($A33="","",IFERROR(COUNTIF(S33:T33,"כן")/(COUNTIF(S33:T33,"כן")+COUNTIF(S33:T33,"לא")),""))</f>
        <v/>
      </c>
      <c r="AK33" s="28" t="str">
        <f aca="false">IF($A33="","",IFERROR(COUNTIF(L33:T33,"כן")/(COUNTIF(L33:T33,"כן")+COUNTIF(L33:T33,"לא")),""))</f>
        <v/>
      </c>
      <c r="AL33" s="36" t="str">
        <f aca="false">IF($A33="","",IFERROR(AVERAGE(U33:V33),""))</f>
        <v/>
      </c>
      <c r="AM33" s="36" t="str">
        <f aca="false">IF($A33="","",IFERROR(AVERAGE(W33:X33),""))</f>
        <v/>
      </c>
      <c r="AN33" s="36" t="str">
        <f aca="false">IF($A33="","",IFERROR(AVERAGE(Y33:Z33),""))</f>
        <v/>
      </c>
      <c r="AO33" s="36" t="str">
        <f aca="false">IF($A33="","",IFERROR(AVERAGE(AA33:AB33),""))</f>
        <v/>
      </c>
      <c r="AP33" s="36" t="str">
        <f aca="false">IF($A33="","",IFERROR(AVERAGE(AC33),""))</f>
        <v/>
      </c>
      <c r="AQ33" s="36" t="str">
        <f aca="false">IF($A33="","",IFERROR(AVERAGE(U33:AC33),""))</f>
        <v/>
      </c>
      <c r="AR33" s="27" t="str">
        <f aca="false">IF($A33="","",IF(AND(H33="",J33=""),"לא נבדק",IF(AND(OR(H33="",H33=I33),OR(J33="",J33=K33)),"תואם","לא תואם")))</f>
        <v/>
      </c>
      <c r="AS33" s="27" t="str">
        <f aca="false">IF($A33="","",IF(AND(AR33&lt;&gt;"לא תואם",G33&lt;&gt;"לא ברור"),"אמין","לפרש בזהירות"))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7" t="str">
        <f aca="false">IF($A34="","",$A34&amp;"|"&amp;$C34)</f>
        <v/>
      </c>
      <c r="AF34" s="28" t="str">
        <f aca="false">IF($A34="","",IFERROR(COUNTIF(L34:M34,"כן")/(COUNTIF(L34:M34,"כן")+COUNTIF(L34:M34,"לא")),""))</f>
        <v/>
      </c>
      <c r="AG34" s="28" t="str">
        <f aca="false">IF($A34="","",IFERROR(COUNTIF(N34:O34,"כן")/(COUNTIF(N34:O34,"כן")+COUNTIF(N34:O34,"לא")),""))</f>
        <v/>
      </c>
      <c r="AH34" s="28" t="str">
        <f aca="false">IF($A34="","",IFERROR(COUNTIF(P34,"כן")/(COUNTIF(P34,"כן")+COUNTIF(P34,"לא")),""))</f>
        <v/>
      </c>
      <c r="AI34" s="28" t="str">
        <f aca="false">IF($A34="","",IFERROR(COUNTIF(Q34:R34,"כן")/(COUNTIF(Q34:R34,"כן")+COUNTIF(Q34:R34,"לא")),""))</f>
        <v/>
      </c>
      <c r="AJ34" s="28" t="str">
        <f aca="false">IF($A34="","",IFERROR(COUNTIF(S34:T34,"כן")/(COUNTIF(S34:T34,"כן")+COUNTIF(S34:T34,"לא")),""))</f>
        <v/>
      </c>
      <c r="AK34" s="28" t="str">
        <f aca="false">IF($A34="","",IFERROR(COUNTIF(L34:T34,"כן")/(COUNTIF(L34:T34,"כן")+COUNTIF(L34:T34,"לא")),""))</f>
        <v/>
      </c>
      <c r="AL34" s="36" t="str">
        <f aca="false">IF($A34="","",IFERROR(AVERAGE(U34:V34),""))</f>
        <v/>
      </c>
      <c r="AM34" s="36" t="str">
        <f aca="false">IF($A34="","",IFERROR(AVERAGE(W34:X34),""))</f>
        <v/>
      </c>
      <c r="AN34" s="36" t="str">
        <f aca="false">IF($A34="","",IFERROR(AVERAGE(Y34:Z34),""))</f>
        <v/>
      </c>
      <c r="AO34" s="36" t="str">
        <f aca="false">IF($A34="","",IFERROR(AVERAGE(AA34:AB34),""))</f>
        <v/>
      </c>
      <c r="AP34" s="36" t="str">
        <f aca="false">IF($A34="","",IFERROR(AVERAGE(AC34),""))</f>
        <v/>
      </c>
      <c r="AQ34" s="36" t="str">
        <f aca="false">IF($A34="","",IFERROR(AVERAGE(U34:AC34),""))</f>
        <v/>
      </c>
      <c r="AR34" s="27" t="str">
        <f aca="false">IF($A34="","",IF(AND(H34="",J34=""),"לא נבדק",IF(AND(OR(H34="",H34=I34),OR(J34="",J34=K34)),"תואם","לא תואם")))</f>
        <v/>
      </c>
      <c r="AS34" s="27" t="str">
        <f aca="false">IF($A34="","",IF(AND(AR34&lt;&gt;"לא תואם",G34&lt;&gt;"לא ברור"),"אמין","לפרש בזהירות"))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7" t="str">
        <f aca="false">IF($A35="","",$A35&amp;"|"&amp;$C35)</f>
        <v/>
      </c>
      <c r="AF35" s="28" t="str">
        <f aca="false">IF($A35="","",IFERROR(COUNTIF(L35:M35,"כן")/(COUNTIF(L35:M35,"כן")+COUNTIF(L35:M35,"לא")),""))</f>
        <v/>
      </c>
      <c r="AG35" s="28" t="str">
        <f aca="false">IF($A35="","",IFERROR(COUNTIF(N35:O35,"כן")/(COUNTIF(N35:O35,"כן")+COUNTIF(N35:O35,"לא")),""))</f>
        <v/>
      </c>
      <c r="AH35" s="28" t="str">
        <f aca="false">IF($A35="","",IFERROR(COUNTIF(P35,"כן")/(COUNTIF(P35,"כן")+COUNTIF(P35,"לא")),""))</f>
        <v/>
      </c>
      <c r="AI35" s="28" t="str">
        <f aca="false">IF($A35="","",IFERROR(COUNTIF(Q35:R35,"כן")/(COUNTIF(Q35:R35,"כן")+COUNTIF(Q35:R35,"לא")),""))</f>
        <v/>
      </c>
      <c r="AJ35" s="28" t="str">
        <f aca="false">IF($A35="","",IFERROR(COUNTIF(S35:T35,"כן")/(COUNTIF(S35:T35,"כן")+COUNTIF(S35:T35,"לא")),""))</f>
        <v/>
      </c>
      <c r="AK35" s="28" t="str">
        <f aca="false">IF($A35="","",IFERROR(COUNTIF(L35:T35,"כן")/(COUNTIF(L35:T35,"כן")+COUNTIF(L35:T35,"לא")),""))</f>
        <v/>
      </c>
      <c r="AL35" s="36" t="str">
        <f aca="false">IF($A35="","",IFERROR(AVERAGE(U35:V35),""))</f>
        <v/>
      </c>
      <c r="AM35" s="36" t="str">
        <f aca="false">IF($A35="","",IFERROR(AVERAGE(W35:X35),""))</f>
        <v/>
      </c>
      <c r="AN35" s="36" t="str">
        <f aca="false">IF($A35="","",IFERROR(AVERAGE(Y35:Z35),""))</f>
        <v/>
      </c>
      <c r="AO35" s="36" t="str">
        <f aca="false">IF($A35="","",IFERROR(AVERAGE(AA35:AB35),""))</f>
        <v/>
      </c>
      <c r="AP35" s="36" t="str">
        <f aca="false">IF($A35="","",IFERROR(AVERAGE(AC35),""))</f>
        <v/>
      </c>
      <c r="AQ35" s="36" t="str">
        <f aca="false">IF($A35="","",IFERROR(AVERAGE(U35:AC35),""))</f>
        <v/>
      </c>
      <c r="AR35" s="27" t="str">
        <f aca="false">IF($A35="","",IF(AND(H35="",J35=""),"לא נבדק",IF(AND(OR(H35="",H35=I35),OR(J35="",J35=K35)),"תואם","לא תואם")))</f>
        <v/>
      </c>
      <c r="AS35" s="27" t="str">
        <f aca="false">IF($A35="","",IF(AND(AR35&lt;&gt;"לא תואם",G35&lt;&gt;"לא ברור"),"אמין","לפרש בזהירות"))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7" t="str">
        <f aca="false">IF($A36="","",$A36&amp;"|"&amp;$C36)</f>
        <v/>
      </c>
      <c r="AF36" s="28" t="str">
        <f aca="false">IF($A36="","",IFERROR(COUNTIF(L36:M36,"כן")/(COUNTIF(L36:M36,"כן")+COUNTIF(L36:M36,"לא")),""))</f>
        <v/>
      </c>
      <c r="AG36" s="28" t="str">
        <f aca="false">IF($A36="","",IFERROR(COUNTIF(N36:O36,"כן")/(COUNTIF(N36:O36,"כן")+COUNTIF(N36:O36,"לא")),""))</f>
        <v/>
      </c>
      <c r="AH36" s="28" t="str">
        <f aca="false">IF($A36="","",IFERROR(COUNTIF(P36,"כן")/(COUNTIF(P36,"כן")+COUNTIF(P36,"לא")),""))</f>
        <v/>
      </c>
      <c r="AI36" s="28" t="str">
        <f aca="false">IF($A36="","",IFERROR(COUNTIF(Q36:R36,"כן")/(COUNTIF(Q36:R36,"כן")+COUNTIF(Q36:R36,"לא")),""))</f>
        <v/>
      </c>
      <c r="AJ36" s="28" t="str">
        <f aca="false">IF($A36="","",IFERROR(COUNTIF(S36:T36,"כן")/(COUNTIF(S36:T36,"כן")+COUNTIF(S36:T36,"לא")),""))</f>
        <v/>
      </c>
      <c r="AK36" s="28" t="str">
        <f aca="false">IF($A36="","",IFERROR(COUNTIF(L36:T36,"כן")/(COUNTIF(L36:T36,"כן")+COUNTIF(L36:T36,"לא")),""))</f>
        <v/>
      </c>
      <c r="AL36" s="36" t="str">
        <f aca="false">IF($A36="","",IFERROR(AVERAGE(U36:V36),""))</f>
        <v/>
      </c>
      <c r="AM36" s="36" t="str">
        <f aca="false">IF($A36="","",IFERROR(AVERAGE(W36:X36),""))</f>
        <v/>
      </c>
      <c r="AN36" s="36" t="str">
        <f aca="false">IF($A36="","",IFERROR(AVERAGE(Y36:Z36),""))</f>
        <v/>
      </c>
      <c r="AO36" s="36" t="str">
        <f aca="false">IF($A36="","",IFERROR(AVERAGE(AA36:AB36),""))</f>
        <v/>
      </c>
      <c r="AP36" s="36" t="str">
        <f aca="false">IF($A36="","",IFERROR(AVERAGE(AC36),""))</f>
        <v/>
      </c>
      <c r="AQ36" s="36" t="str">
        <f aca="false">IF($A36="","",IFERROR(AVERAGE(U36:AC36),""))</f>
        <v/>
      </c>
      <c r="AR36" s="27" t="str">
        <f aca="false">IF($A36="","",IF(AND(H36="",J36=""),"לא נבדק",IF(AND(OR(H36="",H36=I36),OR(J36="",J36=K36)),"תואם","לא תואם")))</f>
        <v/>
      </c>
      <c r="AS36" s="27" t="str">
        <f aca="false">IF($A36="","",IF(AND(AR36&lt;&gt;"לא תואם",G36&lt;&gt;"לא ברור"),"אמין","לפרש בזהירות"))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7" t="str">
        <f aca="false">IF($A37="","",$A37&amp;"|"&amp;$C37)</f>
        <v/>
      </c>
      <c r="AF37" s="28" t="str">
        <f aca="false">IF($A37="","",IFERROR(COUNTIF(L37:M37,"כן")/(COUNTIF(L37:M37,"כן")+COUNTIF(L37:M37,"לא")),""))</f>
        <v/>
      </c>
      <c r="AG37" s="28" t="str">
        <f aca="false">IF($A37="","",IFERROR(COUNTIF(N37:O37,"כן")/(COUNTIF(N37:O37,"כן")+COUNTIF(N37:O37,"לא")),""))</f>
        <v/>
      </c>
      <c r="AH37" s="28" t="str">
        <f aca="false">IF($A37="","",IFERROR(COUNTIF(P37,"כן")/(COUNTIF(P37,"כן")+COUNTIF(P37,"לא")),""))</f>
        <v/>
      </c>
      <c r="AI37" s="28" t="str">
        <f aca="false">IF($A37="","",IFERROR(COUNTIF(Q37:R37,"כן")/(COUNTIF(Q37:R37,"כן")+COUNTIF(Q37:R37,"לא")),""))</f>
        <v/>
      </c>
      <c r="AJ37" s="28" t="str">
        <f aca="false">IF($A37="","",IFERROR(COUNTIF(S37:T37,"כן")/(COUNTIF(S37:T37,"כן")+COUNTIF(S37:T37,"לא")),""))</f>
        <v/>
      </c>
      <c r="AK37" s="28" t="str">
        <f aca="false">IF($A37="","",IFERROR(COUNTIF(L37:T37,"כן")/(COUNTIF(L37:T37,"כן")+COUNTIF(L37:T37,"לא")),""))</f>
        <v/>
      </c>
      <c r="AL37" s="36" t="str">
        <f aca="false">IF($A37="","",IFERROR(AVERAGE(U37:V37),""))</f>
        <v/>
      </c>
      <c r="AM37" s="36" t="str">
        <f aca="false">IF($A37="","",IFERROR(AVERAGE(W37:X37),""))</f>
        <v/>
      </c>
      <c r="AN37" s="36" t="str">
        <f aca="false">IF($A37="","",IFERROR(AVERAGE(Y37:Z37),""))</f>
        <v/>
      </c>
      <c r="AO37" s="36" t="str">
        <f aca="false">IF($A37="","",IFERROR(AVERAGE(AA37:AB37),""))</f>
        <v/>
      </c>
      <c r="AP37" s="36" t="str">
        <f aca="false">IF($A37="","",IFERROR(AVERAGE(AC37),""))</f>
        <v/>
      </c>
      <c r="AQ37" s="36" t="str">
        <f aca="false">IF($A37="","",IFERROR(AVERAGE(U37:AC37),""))</f>
        <v/>
      </c>
      <c r="AR37" s="27" t="str">
        <f aca="false">IF($A37="","",IF(AND(H37="",J37=""),"לא נבדק",IF(AND(OR(H37="",H37=I37),OR(J37="",J37=K37)),"תואם","לא תואם")))</f>
        <v/>
      </c>
      <c r="AS37" s="27" t="str">
        <f aca="false">IF($A37="","",IF(AND(AR37&lt;&gt;"לא תואם",G37&lt;&gt;"לא ברור"),"אמין","לפרש בזהירות"))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7" t="str">
        <f aca="false">IF($A38="","",$A38&amp;"|"&amp;$C38)</f>
        <v/>
      </c>
      <c r="AF38" s="28" t="str">
        <f aca="false">IF($A38="","",IFERROR(COUNTIF(L38:M38,"כן")/(COUNTIF(L38:M38,"כן")+COUNTIF(L38:M38,"לא")),""))</f>
        <v/>
      </c>
      <c r="AG38" s="28" t="str">
        <f aca="false">IF($A38="","",IFERROR(COUNTIF(N38:O38,"כן")/(COUNTIF(N38:O38,"כן")+COUNTIF(N38:O38,"לא")),""))</f>
        <v/>
      </c>
      <c r="AH38" s="28" t="str">
        <f aca="false">IF($A38="","",IFERROR(COUNTIF(P38,"כן")/(COUNTIF(P38,"כן")+COUNTIF(P38,"לא")),""))</f>
        <v/>
      </c>
      <c r="AI38" s="28" t="str">
        <f aca="false">IF($A38="","",IFERROR(COUNTIF(Q38:R38,"כן")/(COUNTIF(Q38:R38,"כן")+COUNTIF(Q38:R38,"לא")),""))</f>
        <v/>
      </c>
      <c r="AJ38" s="28" t="str">
        <f aca="false">IF($A38="","",IFERROR(COUNTIF(S38:T38,"כן")/(COUNTIF(S38:T38,"כן")+COUNTIF(S38:T38,"לא")),""))</f>
        <v/>
      </c>
      <c r="AK38" s="28" t="str">
        <f aca="false">IF($A38="","",IFERROR(COUNTIF(L38:T38,"כן")/(COUNTIF(L38:T38,"כן")+COUNTIF(L38:T38,"לא")),""))</f>
        <v/>
      </c>
      <c r="AL38" s="36" t="str">
        <f aca="false">IF($A38="","",IFERROR(AVERAGE(U38:V38),""))</f>
        <v/>
      </c>
      <c r="AM38" s="36" t="str">
        <f aca="false">IF($A38="","",IFERROR(AVERAGE(W38:X38),""))</f>
        <v/>
      </c>
      <c r="AN38" s="36" t="str">
        <f aca="false">IF($A38="","",IFERROR(AVERAGE(Y38:Z38),""))</f>
        <v/>
      </c>
      <c r="AO38" s="36" t="str">
        <f aca="false">IF($A38="","",IFERROR(AVERAGE(AA38:AB38),""))</f>
        <v/>
      </c>
      <c r="AP38" s="36" t="str">
        <f aca="false">IF($A38="","",IFERROR(AVERAGE(AC38),""))</f>
        <v/>
      </c>
      <c r="AQ38" s="36" t="str">
        <f aca="false">IF($A38="","",IFERROR(AVERAGE(U38:AC38),""))</f>
        <v/>
      </c>
      <c r="AR38" s="27" t="str">
        <f aca="false">IF($A38="","",IF(AND(H38="",J38=""),"לא נבדק",IF(AND(OR(H38="",H38=I38),OR(J38="",J38=K38)),"תואם","לא תואם")))</f>
        <v/>
      </c>
      <c r="AS38" s="27" t="str">
        <f aca="false">IF($A38="","",IF(AND(AR38&lt;&gt;"לא תואם",G38&lt;&gt;"לא ברור"),"אמין","לפרש בזהירות"))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7" t="str">
        <f aca="false">IF($A39="","",$A39&amp;"|"&amp;$C39)</f>
        <v/>
      </c>
      <c r="AF39" s="28" t="str">
        <f aca="false">IF($A39="","",IFERROR(COUNTIF(L39:M39,"כן")/(COUNTIF(L39:M39,"כן")+COUNTIF(L39:M39,"לא")),""))</f>
        <v/>
      </c>
      <c r="AG39" s="28" t="str">
        <f aca="false">IF($A39="","",IFERROR(COUNTIF(N39:O39,"כן")/(COUNTIF(N39:O39,"כן")+COUNTIF(N39:O39,"לא")),""))</f>
        <v/>
      </c>
      <c r="AH39" s="28" t="str">
        <f aca="false">IF($A39="","",IFERROR(COUNTIF(P39,"כן")/(COUNTIF(P39,"כן")+COUNTIF(P39,"לא")),""))</f>
        <v/>
      </c>
      <c r="AI39" s="28" t="str">
        <f aca="false">IF($A39="","",IFERROR(COUNTIF(Q39:R39,"כן")/(COUNTIF(Q39:R39,"כן")+COUNTIF(Q39:R39,"לא")),""))</f>
        <v/>
      </c>
      <c r="AJ39" s="28" t="str">
        <f aca="false">IF($A39="","",IFERROR(COUNTIF(S39:T39,"כן")/(COUNTIF(S39:T39,"כן")+COUNTIF(S39:T39,"לא")),""))</f>
        <v/>
      </c>
      <c r="AK39" s="28" t="str">
        <f aca="false">IF($A39="","",IFERROR(COUNTIF(L39:T39,"כן")/(COUNTIF(L39:T39,"כן")+COUNTIF(L39:T39,"לא")),""))</f>
        <v/>
      </c>
      <c r="AL39" s="36" t="str">
        <f aca="false">IF($A39="","",IFERROR(AVERAGE(U39:V39),""))</f>
        <v/>
      </c>
      <c r="AM39" s="36" t="str">
        <f aca="false">IF($A39="","",IFERROR(AVERAGE(W39:X39),""))</f>
        <v/>
      </c>
      <c r="AN39" s="36" t="str">
        <f aca="false">IF($A39="","",IFERROR(AVERAGE(Y39:Z39),""))</f>
        <v/>
      </c>
      <c r="AO39" s="36" t="str">
        <f aca="false">IF($A39="","",IFERROR(AVERAGE(AA39:AB39),""))</f>
        <v/>
      </c>
      <c r="AP39" s="36" t="str">
        <f aca="false">IF($A39="","",IFERROR(AVERAGE(AC39),""))</f>
        <v/>
      </c>
      <c r="AQ39" s="36" t="str">
        <f aca="false">IF($A39="","",IFERROR(AVERAGE(U39:AC39),""))</f>
        <v/>
      </c>
      <c r="AR39" s="27" t="str">
        <f aca="false">IF($A39="","",IF(AND(H39="",J39=""),"לא נבדק",IF(AND(OR(H39="",H39=I39),OR(J39="",J39=K39)),"תואם","לא תואם")))</f>
        <v/>
      </c>
      <c r="AS39" s="27" t="str">
        <f aca="false">IF($A39="","",IF(AND(AR39&lt;&gt;"לא תואם",G39&lt;&gt;"לא ברור"),"אמין","לפרש בזהירות"))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7" t="str">
        <f aca="false">IF($A40="","",$A40&amp;"|"&amp;$C40)</f>
        <v/>
      </c>
      <c r="AF40" s="28" t="str">
        <f aca="false">IF($A40="","",IFERROR(COUNTIF(L40:M40,"כן")/(COUNTIF(L40:M40,"כן")+COUNTIF(L40:M40,"לא")),""))</f>
        <v/>
      </c>
      <c r="AG40" s="28" t="str">
        <f aca="false">IF($A40="","",IFERROR(COUNTIF(N40:O40,"כן")/(COUNTIF(N40:O40,"כן")+COUNTIF(N40:O40,"לא")),""))</f>
        <v/>
      </c>
      <c r="AH40" s="28" t="str">
        <f aca="false">IF($A40="","",IFERROR(COUNTIF(P40,"כן")/(COUNTIF(P40,"כן")+COUNTIF(P40,"לא")),""))</f>
        <v/>
      </c>
      <c r="AI40" s="28" t="str">
        <f aca="false">IF($A40="","",IFERROR(COUNTIF(Q40:R40,"כן")/(COUNTIF(Q40:R40,"כן")+COUNTIF(Q40:R40,"לא")),""))</f>
        <v/>
      </c>
      <c r="AJ40" s="28" t="str">
        <f aca="false">IF($A40="","",IFERROR(COUNTIF(S40:T40,"כן")/(COUNTIF(S40:T40,"כן")+COUNTIF(S40:T40,"לא")),""))</f>
        <v/>
      </c>
      <c r="AK40" s="28" t="str">
        <f aca="false">IF($A40="","",IFERROR(COUNTIF(L40:T40,"כן")/(COUNTIF(L40:T40,"כן")+COUNTIF(L40:T40,"לא")),""))</f>
        <v/>
      </c>
      <c r="AL40" s="36" t="str">
        <f aca="false">IF($A40="","",IFERROR(AVERAGE(U40:V40),""))</f>
        <v/>
      </c>
      <c r="AM40" s="36" t="str">
        <f aca="false">IF($A40="","",IFERROR(AVERAGE(W40:X40),""))</f>
        <v/>
      </c>
      <c r="AN40" s="36" t="str">
        <f aca="false">IF($A40="","",IFERROR(AVERAGE(Y40:Z40),""))</f>
        <v/>
      </c>
      <c r="AO40" s="36" t="str">
        <f aca="false">IF($A40="","",IFERROR(AVERAGE(AA40:AB40),""))</f>
        <v/>
      </c>
      <c r="AP40" s="36" t="str">
        <f aca="false">IF($A40="","",IFERROR(AVERAGE(AC40),""))</f>
        <v/>
      </c>
      <c r="AQ40" s="36" t="str">
        <f aca="false">IF($A40="","",IFERROR(AVERAGE(U40:AC40),""))</f>
        <v/>
      </c>
      <c r="AR40" s="27" t="str">
        <f aca="false">IF($A40="","",IF(AND(H40="",J40=""),"לא נבדק",IF(AND(OR(H40="",H40=I40),OR(J40="",J40=K40)),"תואם","לא תואם")))</f>
        <v/>
      </c>
      <c r="AS40" s="27" t="str">
        <f aca="false">IF($A40="","",IF(AND(AR40&lt;&gt;"לא תואם",G40&lt;&gt;"לא ברור"),"אמין","לפרש בזהירות"))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7" t="str">
        <f aca="false">IF($A41="","",$A41&amp;"|"&amp;$C41)</f>
        <v/>
      </c>
      <c r="AF41" s="28" t="str">
        <f aca="false">IF($A41="","",IFERROR(COUNTIF(L41:M41,"כן")/(COUNTIF(L41:M41,"כן")+COUNTIF(L41:M41,"לא")),""))</f>
        <v/>
      </c>
      <c r="AG41" s="28" t="str">
        <f aca="false">IF($A41="","",IFERROR(COUNTIF(N41:O41,"כן")/(COUNTIF(N41:O41,"כן")+COUNTIF(N41:O41,"לא")),""))</f>
        <v/>
      </c>
      <c r="AH41" s="28" t="str">
        <f aca="false">IF($A41="","",IFERROR(COUNTIF(P41,"כן")/(COUNTIF(P41,"כן")+COUNTIF(P41,"לא")),""))</f>
        <v/>
      </c>
      <c r="AI41" s="28" t="str">
        <f aca="false">IF($A41="","",IFERROR(COUNTIF(Q41:R41,"כן")/(COUNTIF(Q41:R41,"כן")+COUNTIF(Q41:R41,"לא")),""))</f>
        <v/>
      </c>
      <c r="AJ41" s="28" t="str">
        <f aca="false">IF($A41="","",IFERROR(COUNTIF(S41:T41,"כן")/(COUNTIF(S41:T41,"כן")+COUNTIF(S41:T41,"לא")),""))</f>
        <v/>
      </c>
      <c r="AK41" s="28" t="str">
        <f aca="false">IF($A41="","",IFERROR(COUNTIF(L41:T41,"כן")/(COUNTIF(L41:T41,"כן")+COUNTIF(L41:T41,"לא")),""))</f>
        <v/>
      </c>
      <c r="AL41" s="36" t="str">
        <f aca="false">IF($A41="","",IFERROR(AVERAGE(U41:V41),""))</f>
        <v/>
      </c>
      <c r="AM41" s="36" t="str">
        <f aca="false">IF($A41="","",IFERROR(AVERAGE(W41:X41),""))</f>
        <v/>
      </c>
      <c r="AN41" s="36" t="str">
        <f aca="false">IF($A41="","",IFERROR(AVERAGE(Y41:Z41),""))</f>
        <v/>
      </c>
      <c r="AO41" s="36" t="str">
        <f aca="false">IF($A41="","",IFERROR(AVERAGE(AA41:AB41),""))</f>
        <v/>
      </c>
      <c r="AP41" s="36" t="str">
        <f aca="false">IF($A41="","",IFERROR(AVERAGE(AC41),""))</f>
        <v/>
      </c>
      <c r="AQ41" s="36" t="str">
        <f aca="false">IF($A41="","",IFERROR(AVERAGE(U41:AC41),""))</f>
        <v/>
      </c>
      <c r="AR41" s="27" t="str">
        <f aca="false">IF($A41="","",IF(AND(H41="",J41=""),"לא נבדק",IF(AND(OR(H41="",H41=I41),OR(J41="",J41=K41)),"תואם","לא תואם")))</f>
        <v/>
      </c>
      <c r="AS41" s="27" t="str">
        <f aca="false">IF($A41="","",IF(AND(AR41&lt;&gt;"לא תואם",G41&lt;&gt;"לא ברור"),"אמין","לפרש בזהירות"))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7" t="str">
        <f aca="false">IF($A42="","",$A42&amp;"|"&amp;$C42)</f>
        <v/>
      </c>
      <c r="AF42" s="28" t="str">
        <f aca="false">IF($A42="","",IFERROR(COUNTIF(L42:M42,"כן")/(COUNTIF(L42:M42,"כן")+COUNTIF(L42:M42,"לא")),""))</f>
        <v/>
      </c>
      <c r="AG42" s="28" t="str">
        <f aca="false">IF($A42="","",IFERROR(COUNTIF(N42:O42,"כן")/(COUNTIF(N42:O42,"כן")+COUNTIF(N42:O42,"לא")),""))</f>
        <v/>
      </c>
      <c r="AH42" s="28" t="str">
        <f aca="false">IF($A42="","",IFERROR(COUNTIF(P42,"כן")/(COUNTIF(P42,"כן")+COUNTIF(P42,"לא")),""))</f>
        <v/>
      </c>
      <c r="AI42" s="28" t="str">
        <f aca="false">IF($A42="","",IFERROR(COUNTIF(Q42:R42,"כן")/(COUNTIF(Q42:R42,"כן")+COUNTIF(Q42:R42,"לא")),""))</f>
        <v/>
      </c>
      <c r="AJ42" s="28" t="str">
        <f aca="false">IF($A42="","",IFERROR(COUNTIF(S42:T42,"כן")/(COUNTIF(S42:T42,"כן")+COUNTIF(S42:T42,"לא")),""))</f>
        <v/>
      </c>
      <c r="AK42" s="28" t="str">
        <f aca="false">IF($A42="","",IFERROR(COUNTIF(L42:T42,"כן")/(COUNTIF(L42:T42,"כן")+COUNTIF(L42:T42,"לא")),""))</f>
        <v/>
      </c>
      <c r="AL42" s="36" t="str">
        <f aca="false">IF($A42="","",IFERROR(AVERAGE(U42:V42),""))</f>
        <v/>
      </c>
      <c r="AM42" s="36" t="str">
        <f aca="false">IF($A42="","",IFERROR(AVERAGE(W42:X42),""))</f>
        <v/>
      </c>
      <c r="AN42" s="36" t="str">
        <f aca="false">IF($A42="","",IFERROR(AVERAGE(Y42:Z42),""))</f>
        <v/>
      </c>
      <c r="AO42" s="36" t="str">
        <f aca="false">IF($A42="","",IFERROR(AVERAGE(AA42:AB42),""))</f>
        <v/>
      </c>
      <c r="AP42" s="36" t="str">
        <f aca="false">IF($A42="","",IFERROR(AVERAGE(AC42),""))</f>
        <v/>
      </c>
      <c r="AQ42" s="36" t="str">
        <f aca="false">IF($A42="","",IFERROR(AVERAGE(U42:AC42),""))</f>
        <v/>
      </c>
      <c r="AR42" s="27" t="str">
        <f aca="false">IF($A42="","",IF(AND(H42="",J42=""),"לא נבדק",IF(AND(OR(H42="",H42=I42),OR(J42="",J42=K42)),"תואם","לא תואם")))</f>
        <v/>
      </c>
      <c r="AS42" s="27" t="str">
        <f aca="false">IF($A42="","",IF(AND(AR42&lt;&gt;"לא תואם",G42&lt;&gt;"לא ברור"),"אמין","לפרש בזהירות"))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7" t="str">
        <f aca="false">IF($A43="","",$A43&amp;"|"&amp;$C43)</f>
        <v/>
      </c>
      <c r="AF43" s="28" t="str">
        <f aca="false">IF($A43="","",IFERROR(COUNTIF(L43:M43,"כן")/(COUNTIF(L43:M43,"כן")+COUNTIF(L43:M43,"לא")),""))</f>
        <v/>
      </c>
      <c r="AG43" s="28" t="str">
        <f aca="false">IF($A43="","",IFERROR(COUNTIF(N43:O43,"כן")/(COUNTIF(N43:O43,"כן")+COUNTIF(N43:O43,"לא")),""))</f>
        <v/>
      </c>
      <c r="AH43" s="28" t="str">
        <f aca="false">IF($A43="","",IFERROR(COUNTIF(P43,"כן")/(COUNTIF(P43,"כן")+COUNTIF(P43,"לא")),""))</f>
        <v/>
      </c>
      <c r="AI43" s="28" t="str">
        <f aca="false">IF($A43="","",IFERROR(COUNTIF(Q43:R43,"כן")/(COUNTIF(Q43:R43,"כן")+COUNTIF(Q43:R43,"לא")),""))</f>
        <v/>
      </c>
      <c r="AJ43" s="28" t="str">
        <f aca="false">IF($A43="","",IFERROR(COUNTIF(S43:T43,"כן")/(COUNTIF(S43:T43,"כן")+COUNTIF(S43:T43,"לא")),""))</f>
        <v/>
      </c>
      <c r="AK43" s="28" t="str">
        <f aca="false">IF($A43="","",IFERROR(COUNTIF(L43:T43,"כן")/(COUNTIF(L43:T43,"כן")+COUNTIF(L43:T43,"לא")),""))</f>
        <v/>
      </c>
      <c r="AL43" s="36" t="str">
        <f aca="false">IF($A43="","",IFERROR(AVERAGE(U43:V43),""))</f>
        <v/>
      </c>
      <c r="AM43" s="36" t="str">
        <f aca="false">IF($A43="","",IFERROR(AVERAGE(W43:X43),""))</f>
        <v/>
      </c>
      <c r="AN43" s="36" t="str">
        <f aca="false">IF($A43="","",IFERROR(AVERAGE(Y43:Z43),""))</f>
        <v/>
      </c>
      <c r="AO43" s="36" t="str">
        <f aca="false">IF($A43="","",IFERROR(AVERAGE(AA43:AB43),""))</f>
        <v/>
      </c>
      <c r="AP43" s="36" t="str">
        <f aca="false">IF($A43="","",IFERROR(AVERAGE(AC43),""))</f>
        <v/>
      </c>
      <c r="AQ43" s="36" t="str">
        <f aca="false">IF($A43="","",IFERROR(AVERAGE(U43:AC43),""))</f>
        <v/>
      </c>
      <c r="AR43" s="27" t="str">
        <f aca="false">IF($A43="","",IF(AND(H43="",J43=""),"לא נבדק",IF(AND(OR(H43="",H43=I43),OR(J43="",J43=K43)),"תואם","לא תואם")))</f>
        <v/>
      </c>
      <c r="AS43" s="27" t="str">
        <f aca="false">IF($A43="","",IF(AND(AR43&lt;&gt;"לא תואם",G43&lt;&gt;"לא ברור"),"אמין","לפרש בזהירות"))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7" t="str">
        <f aca="false">IF($A44="","",$A44&amp;"|"&amp;$C44)</f>
        <v/>
      </c>
      <c r="AF44" s="28" t="str">
        <f aca="false">IF($A44="","",IFERROR(COUNTIF(L44:M44,"כן")/(COUNTIF(L44:M44,"כן")+COUNTIF(L44:M44,"לא")),""))</f>
        <v/>
      </c>
      <c r="AG44" s="28" t="str">
        <f aca="false">IF($A44="","",IFERROR(COUNTIF(N44:O44,"כן")/(COUNTIF(N44:O44,"כן")+COUNTIF(N44:O44,"לא")),""))</f>
        <v/>
      </c>
      <c r="AH44" s="28" t="str">
        <f aca="false">IF($A44="","",IFERROR(COUNTIF(P44,"כן")/(COUNTIF(P44,"כן")+COUNTIF(P44,"לא")),""))</f>
        <v/>
      </c>
      <c r="AI44" s="28" t="str">
        <f aca="false">IF($A44="","",IFERROR(COUNTIF(Q44:R44,"כן")/(COUNTIF(Q44:R44,"כן")+COUNTIF(Q44:R44,"לא")),""))</f>
        <v/>
      </c>
      <c r="AJ44" s="28" t="str">
        <f aca="false">IF($A44="","",IFERROR(COUNTIF(S44:T44,"כן")/(COUNTIF(S44:T44,"כן")+COUNTIF(S44:T44,"לא")),""))</f>
        <v/>
      </c>
      <c r="AK44" s="28" t="str">
        <f aca="false">IF($A44="","",IFERROR(COUNTIF(L44:T44,"כן")/(COUNTIF(L44:T44,"כן")+COUNTIF(L44:T44,"לא")),""))</f>
        <v/>
      </c>
      <c r="AL44" s="36" t="str">
        <f aca="false">IF($A44="","",IFERROR(AVERAGE(U44:V44),""))</f>
        <v/>
      </c>
      <c r="AM44" s="36" t="str">
        <f aca="false">IF($A44="","",IFERROR(AVERAGE(W44:X44),""))</f>
        <v/>
      </c>
      <c r="AN44" s="36" t="str">
        <f aca="false">IF($A44="","",IFERROR(AVERAGE(Y44:Z44),""))</f>
        <v/>
      </c>
      <c r="AO44" s="36" t="str">
        <f aca="false">IF($A44="","",IFERROR(AVERAGE(AA44:AB44),""))</f>
        <v/>
      </c>
      <c r="AP44" s="36" t="str">
        <f aca="false">IF($A44="","",IFERROR(AVERAGE(AC44),""))</f>
        <v/>
      </c>
      <c r="AQ44" s="36" t="str">
        <f aca="false">IF($A44="","",IFERROR(AVERAGE(U44:AC44),""))</f>
        <v/>
      </c>
      <c r="AR44" s="27" t="str">
        <f aca="false">IF($A44="","",IF(AND(H44="",J44=""),"לא נבדק",IF(AND(OR(H44="",H44=I44),OR(J44="",J44=K44)),"תואם","לא תואם")))</f>
        <v/>
      </c>
      <c r="AS44" s="27" t="str">
        <f aca="false">IF($A44="","",IF(AND(AR44&lt;&gt;"לא תואם",G44&lt;&gt;"לא ברור"),"אמין","לפרש בזהירות"))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7" t="str">
        <f aca="false">IF($A45="","",$A45&amp;"|"&amp;$C45)</f>
        <v/>
      </c>
      <c r="AF45" s="28" t="str">
        <f aca="false">IF($A45="","",IFERROR(COUNTIF(L45:M45,"כן")/(COUNTIF(L45:M45,"כן")+COUNTIF(L45:M45,"לא")),""))</f>
        <v/>
      </c>
      <c r="AG45" s="28" t="str">
        <f aca="false">IF($A45="","",IFERROR(COUNTIF(N45:O45,"כן")/(COUNTIF(N45:O45,"כן")+COUNTIF(N45:O45,"לא")),""))</f>
        <v/>
      </c>
      <c r="AH45" s="28" t="str">
        <f aca="false">IF($A45="","",IFERROR(COUNTIF(P45,"כן")/(COUNTIF(P45,"כן")+COUNTIF(P45,"לא")),""))</f>
        <v/>
      </c>
      <c r="AI45" s="28" t="str">
        <f aca="false">IF($A45="","",IFERROR(COUNTIF(Q45:R45,"כן")/(COUNTIF(Q45:R45,"כן")+COUNTIF(Q45:R45,"לא")),""))</f>
        <v/>
      </c>
      <c r="AJ45" s="28" t="str">
        <f aca="false">IF($A45="","",IFERROR(COUNTIF(S45:T45,"כן")/(COUNTIF(S45:T45,"כן")+COUNTIF(S45:T45,"לא")),""))</f>
        <v/>
      </c>
      <c r="AK45" s="28" t="str">
        <f aca="false">IF($A45="","",IFERROR(COUNTIF(L45:T45,"כן")/(COUNTIF(L45:T45,"כן")+COUNTIF(L45:T45,"לא")),""))</f>
        <v/>
      </c>
      <c r="AL45" s="36" t="str">
        <f aca="false">IF($A45="","",IFERROR(AVERAGE(U45:V45),""))</f>
        <v/>
      </c>
      <c r="AM45" s="36" t="str">
        <f aca="false">IF($A45="","",IFERROR(AVERAGE(W45:X45),""))</f>
        <v/>
      </c>
      <c r="AN45" s="36" t="str">
        <f aca="false">IF($A45="","",IFERROR(AVERAGE(Y45:Z45),""))</f>
        <v/>
      </c>
      <c r="AO45" s="36" t="str">
        <f aca="false">IF($A45="","",IFERROR(AVERAGE(AA45:AB45),""))</f>
        <v/>
      </c>
      <c r="AP45" s="36" t="str">
        <f aca="false">IF($A45="","",IFERROR(AVERAGE(AC45),""))</f>
        <v/>
      </c>
      <c r="AQ45" s="36" t="str">
        <f aca="false">IF($A45="","",IFERROR(AVERAGE(U45:AC45),""))</f>
        <v/>
      </c>
      <c r="AR45" s="27" t="str">
        <f aca="false">IF($A45="","",IF(AND(H45="",J45=""),"לא נבדק",IF(AND(OR(H45="",H45=I45),OR(J45="",J45=K45)),"תואם","לא תואם")))</f>
        <v/>
      </c>
      <c r="AS45" s="27" t="str">
        <f aca="false">IF($A45="","",IF(AND(AR45&lt;&gt;"לא תואם",G45&lt;&gt;"לא ברור"),"אמין","לפרש בזהירות"))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7" t="str">
        <f aca="false">IF($A46="","",$A46&amp;"|"&amp;$C46)</f>
        <v/>
      </c>
      <c r="AF46" s="28" t="str">
        <f aca="false">IF($A46="","",IFERROR(COUNTIF(L46:M46,"כן")/(COUNTIF(L46:M46,"כן")+COUNTIF(L46:M46,"לא")),""))</f>
        <v/>
      </c>
      <c r="AG46" s="28" t="str">
        <f aca="false">IF($A46="","",IFERROR(COUNTIF(N46:O46,"כן")/(COUNTIF(N46:O46,"כן")+COUNTIF(N46:O46,"לא")),""))</f>
        <v/>
      </c>
      <c r="AH46" s="28" t="str">
        <f aca="false">IF($A46="","",IFERROR(COUNTIF(P46,"כן")/(COUNTIF(P46,"כן")+COUNTIF(P46,"לא")),""))</f>
        <v/>
      </c>
      <c r="AI46" s="28" t="str">
        <f aca="false">IF($A46="","",IFERROR(COUNTIF(Q46:R46,"כן")/(COUNTIF(Q46:R46,"כן")+COUNTIF(Q46:R46,"לא")),""))</f>
        <v/>
      </c>
      <c r="AJ46" s="28" t="str">
        <f aca="false">IF($A46="","",IFERROR(COUNTIF(S46:T46,"כן")/(COUNTIF(S46:T46,"כן")+COUNTIF(S46:T46,"לא")),""))</f>
        <v/>
      </c>
      <c r="AK46" s="28" t="str">
        <f aca="false">IF($A46="","",IFERROR(COUNTIF(L46:T46,"כן")/(COUNTIF(L46:T46,"כן")+COUNTIF(L46:T46,"לא")),""))</f>
        <v/>
      </c>
      <c r="AL46" s="36" t="str">
        <f aca="false">IF($A46="","",IFERROR(AVERAGE(U46:V46),""))</f>
        <v/>
      </c>
      <c r="AM46" s="36" t="str">
        <f aca="false">IF($A46="","",IFERROR(AVERAGE(W46:X46),""))</f>
        <v/>
      </c>
      <c r="AN46" s="36" t="str">
        <f aca="false">IF($A46="","",IFERROR(AVERAGE(Y46:Z46),""))</f>
        <v/>
      </c>
      <c r="AO46" s="36" t="str">
        <f aca="false">IF($A46="","",IFERROR(AVERAGE(AA46:AB46),""))</f>
        <v/>
      </c>
      <c r="AP46" s="36" t="str">
        <f aca="false">IF($A46="","",IFERROR(AVERAGE(AC46),""))</f>
        <v/>
      </c>
      <c r="AQ46" s="36" t="str">
        <f aca="false">IF($A46="","",IFERROR(AVERAGE(U46:AC46),""))</f>
        <v/>
      </c>
      <c r="AR46" s="27" t="str">
        <f aca="false">IF($A46="","",IF(AND(H46="",J46=""),"לא נבדק",IF(AND(OR(H46="",H46=I46),OR(J46="",J46=K46)),"תואם","לא תואם")))</f>
        <v/>
      </c>
      <c r="AS46" s="27" t="str">
        <f aca="false">IF($A46="","",IF(AND(AR46&lt;&gt;"לא תואם",G46&lt;&gt;"לא ברור"),"אמין","לפרש בזהירות"))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7" t="str">
        <f aca="false">IF($A47="","",$A47&amp;"|"&amp;$C47)</f>
        <v/>
      </c>
      <c r="AF47" s="28" t="str">
        <f aca="false">IF($A47="","",IFERROR(COUNTIF(L47:M47,"כן")/(COUNTIF(L47:M47,"כן")+COUNTIF(L47:M47,"לא")),""))</f>
        <v/>
      </c>
      <c r="AG47" s="28" t="str">
        <f aca="false">IF($A47="","",IFERROR(COUNTIF(N47:O47,"כן")/(COUNTIF(N47:O47,"כן")+COUNTIF(N47:O47,"לא")),""))</f>
        <v/>
      </c>
      <c r="AH47" s="28" t="str">
        <f aca="false">IF($A47="","",IFERROR(COUNTIF(P47,"כן")/(COUNTIF(P47,"כן")+COUNTIF(P47,"לא")),""))</f>
        <v/>
      </c>
      <c r="AI47" s="28" t="str">
        <f aca="false">IF($A47="","",IFERROR(COUNTIF(Q47:R47,"כן")/(COUNTIF(Q47:R47,"כן")+COUNTIF(Q47:R47,"לא")),""))</f>
        <v/>
      </c>
      <c r="AJ47" s="28" t="str">
        <f aca="false">IF($A47="","",IFERROR(COUNTIF(S47:T47,"כן")/(COUNTIF(S47:T47,"כן")+COUNTIF(S47:T47,"לא")),""))</f>
        <v/>
      </c>
      <c r="AK47" s="28" t="str">
        <f aca="false">IF($A47="","",IFERROR(COUNTIF(L47:T47,"כן")/(COUNTIF(L47:T47,"כן")+COUNTIF(L47:T47,"לא")),""))</f>
        <v/>
      </c>
      <c r="AL47" s="36" t="str">
        <f aca="false">IF($A47="","",IFERROR(AVERAGE(U47:V47),""))</f>
        <v/>
      </c>
      <c r="AM47" s="36" t="str">
        <f aca="false">IF($A47="","",IFERROR(AVERAGE(W47:X47),""))</f>
        <v/>
      </c>
      <c r="AN47" s="36" t="str">
        <f aca="false">IF($A47="","",IFERROR(AVERAGE(Y47:Z47),""))</f>
        <v/>
      </c>
      <c r="AO47" s="36" t="str">
        <f aca="false">IF($A47="","",IFERROR(AVERAGE(AA47:AB47),""))</f>
        <v/>
      </c>
      <c r="AP47" s="36" t="str">
        <f aca="false">IF($A47="","",IFERROR(AVERAGE(AC47),""))</f>
        <v/>
      </c>
      <c r="AQ47" s="36" t="str">
        <f aca="false">IF($A47="","",IFERROR(AVERAGE(U47:AC47),""))</f>
        <v/>
      </c>
      <c r="AR47" s="27" t="str">
        <f aca="false">IF($A47="","",IF(AND(H47="",J47=""),"לא נבדק",IF(AND(OR(H47="",H47=I47),OR(J47="",J47=K47)),"תואם","לא תואם")))</f>
        <v/>
      </c>
      <c r="AS47" s="27" t="str">
        <f aca="false">IF($A47="","",IF(AND(AR47&lt;&gt;"לא תואם",G47&lt;&gt;"לא ברור"),"אמין","לפרש בזהירות"))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7" t="str">
        <f aca="false">IF($A48="","",$A48&amp;"|"&amp;$C48)</f>
        <v/>
      </c>
      <c r="AF48" s="28" t="str">
        <f aca="false">IF($A48="","",IFERROR(COUNTIF(L48:M48,"כן")/(COUNTIF(L48:M48,"כן")+COUNTIF(L48:M48,"לא")),""))</f>
        <v/>
      </c>
      <c r="AG48" s="28" t="str">
        <f aca="false">IF($A48="","",IFERROR(COUNTIF(N48:O48,"כן")/(COUNTIF(N48:O48,"כן")+COUNTIF(N48:O48,"לא")),""))</f>
        <v/>
      </c>
      <c r="AH48" s="28" t="str">
        <f aca="false">IF($A48="","",IFERROR(COUNTIF(P48,"כן")/(COUNTIF(P48,"כן")+COUNTIF(P48,"לא")),""))</f>
        <v/>
      </c>
      <c r="AI48" s="28" t="str">
        <f aca="false">IF($A48="","",IFERROR(COUNTIF(Q48:R48,"כן")/(COUNTIF(Q48:R48,"כן")+COUNTIF(Q48:R48,"לא")),""))</f>
        <v/>
      </c>
      <c r="AJ48" s="28" t="str">
        <f aca="false">IF($A48="","",IFERROR(COUNTIF(S48:T48,"כן")/(COUNTIF(S48:T48,"כן")+COUNTIF(S48:T48,"לא")),""))</f>
        <v/>
      </c>
      <c r="AK48" s="28" t="str">
        <f aca="false">IF($A48="","",IFERROR(COUNTIF(L48:T48,"כן")/(COUNTIF(L48:T48,"כן")+COUNTIF(L48:T48,"לא")),""))</f>
        <v/>
      </c>
      <c r="AL48" s="36" t="str">
        <f aca="false">IF($A48="","",IFERROR(AVERAGE(U48:V48),""))</f>
        <v/>
      </c>
      <c r="AM48" s="36" t="str">
        <f aca="false">IF($A48="","",IFERROR(AVERAGE(W48:X48),""))</f>
        <v/>
      </c>
      <c r="AN48" s="36" t="str">
        <f aca="false">IF($A48="","",IFERROR(AVERAGE(Y48:Z48),""))</f>
        <v/>
      </c>
      <c r="AO48" s="36" t="str">
        <f aca="false">IF($A48="","",IFERROR(AVERAGE(AA48:AB48),""))</f>
        <v/>
      </c>
      <c r="AP48" s="36" t="str">
        <f aca="false">IF($A48="","",IFERROR(AVERAGE(AC48),""))</f>
        <v/>
      </c>
      <c r="AQ48" s="36" t="str">
        <f aca="false">IF($A48="","",IFERROR(AVERAGE(U48:AC48),""))</f>
        <v/>
      </c>
      <c r="AR48" s="27" t="str">
        <f aca="false">IF($A48="","",IF(AND(H48="",J48=""),"לא נבדק",IF(AND(OR(H48="",H48=I48),OR(J48="",J48=K48)),"תואם","לא תואם")))</f>
        <v/>
      </c>
      <c r="AS48" s="27" t="str">
        <f aca="false">IF($A48="","",IF(AND(AR48&lt;&gt;"לא תואם",G48&lt;&gt;"לא ברור"),"אמין","לפרש בזהירות"))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7" t="str">
        <f aca="false">IF($A49="","",$A49&amp;"|"&amp;$C49)</f>
        <v/>
      </c>
      <c r="AF49" s="28" t="str">
        <f aca="false">IF($A49="","",IFERROR(COUNTIF(L49:M49,"כן")/(COUNTIF(L49:M49,"כן")+COUNTIF(L49:M49,"לא")),""))</f>
        <v/>
      </c>
      <c r="AG49" s="28" t="str">
        <f aca="false">IF($A49="","",IFERROR(COUNTIF(N49:O49,"כן")/(COUNTIF(N49:O49,"כן")+COUNTIF(N49:O49,"לא")),""))</f>
        <v/>
      </c>
      <c r="AH49" s="28" t="str">
        <f aca="false">IF($A49="","",IFERROR(COUNTIF(P49,"כן")/(COUNTIF(P49,"כן")+COUNTIF(P49,"לא")),""))</f>
        <v/>
      </c>
      <c r="AI49" s="28" t="str">
        <f aca="false">IF($A49="","",IFERROR(COUNTIF(Q49:R49,"כן")/(COUNTIF(Q49:R49,"כן")+COUNTIF(Q49:R49,"לא")),""))</f>
        <v/>
      </c>
      <c r="AJ49" s="28" t="str">
        <f aca="false">IF($A49="","",IFERROR(COUNTIF(S49:T49,"כן")/(COUNTIF(S49:T49,"כן")+COUNTIF(S49:T49,"לא")),""))</f>
        <v/>
      </c>
      <c r="AK49" s="28" t="str">
        <f aca="false">IF($A49="","",IFERROR(COUNTIF(L49:T49,"כן")/(COUNTIF(L49:T49,"כן")+COUNTIF(L49:T49,"לא")),""))</f>
        <v/>
      </c>
      <c r="AL49" s="36" t="str">
        <f aca="false">IF($A49="","",IFERROR(AVERAGE(U49:V49),""))</f>
        <v/>
      </c>
      <c r="AM49" s="36" t="str">
        <f aca="false">IF($A49="","",IFERROR(AVERAGE(W49:X49),""))</f>
        <v/>
      </c>
      <c r="AN49" s="36" t="str">
        <f aca="false">IF($A49="","",IFERROR(AVERAGE(Y49:Z49),""))</f>
        <v/>
      </c>
      <c r="AO49" s="36" t="str">
        <f aca="false">IF($A49="","",IFERROR(AVERAGE(AA49:AB49),""))</f>
        <v/>
      </c>
      <c r="AP49" s="36" t="str">
        <f aca="false">IF($A49="","",IFERROR(AVERAGE(AC49),""))</f>
        <v/>
      </c>
      <c r="AQ49" s="36" t="str">
        <f aca="false">IF($A49="","",IFERROR(AVERAGE(U49:AC49),""))</f>
        <v/>
      </c>
      <c r="AR49" s="27" t="str">
        <f aca="false">IF($A49="","",IF(AND(H49="",J49=""),"לא נבדק",IF(AND(OR(H49="",H49=I49),OR(J49="",J49=K49)),"תואם","לא תואם")))</f>
        <v/>
      </c>
      <c r="AS49" s="27" t="str">
        <f aca="false">IF($A49="","",IF(AND(AR49&lt;&gt;"לא תואם",G49&lt;&gt;"לא ברור"),"אמין","לפרש בזהירות"))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7" t="str">
        <f aca="false">IF($A50="","",$A50&amp;"|"&amp;$C50)</f>
        <v/>
      </c>
      <c r="AF50" s="28" t="str">
        <f aca="false">IF($A50="","",IFERROR(COUNTIF(L50:M50,"כן")/(COUNTIF(L50:M50,"כן")+COUNTIF(L50:M50,"לא")),""))</f>
        <v/>
      </c>
      <c r="AG50" s="28" t="str">
        <f aca="false">IF($A50="","",IFERROR(COUNTIF(N50:O50,"כן")/(COUNTIF(N50:O50,"כן")+COUNTIF(N50:O50,"לא")),""))</f>
        <v/>
      </c>
      <c r="AH50" s="28" t="str">
        <f aca="false">IF($A50="","",IFERROR(COUNTIF(P50,"כן")/(COUNTIF(P50,"כן")+COUNTIF(P50,"לא")),""))</f>
        <v/>
      </c>
      <c r="AI50" s="28" t="str">
        <f aca="false">IF($A50="","",IFERROR(COUNTIF(Q50:R50,"כן")/(COUNTIF(Q50:R50,"כן")+COUNTIF(Q50:R50,"לא")),""))</f>
        <v/>
      </c>
      <c r="AJ50" s="28" t="str">
        <f aca="false">IF($A50="","",IFERROR(COUNTIF(S50:T50,"כן")/(COUNTIF(S50:T50,"כן")+COUNTIF(S50:T50,"לא")),""))</f>
        <v/>
      </c>
      <c r="AK50" s="28" t="str">
        <f aca="false">IF($A50="","",IFERROR(COUNTIF(L50:T50,"כן")/(COUNTIF(L50:T50,"כן")+COUNTIF(L50:T50,"לא")),""))</f>
        <v/>
      </c>
      <c r="AL50" s="36" t="str">
        <f aca="false">IF($A50="","",IFERROR(AVERAGE(U50:V50),""))</f>
        <v/>
      </c>
      <c r="AM50" s="36" t="str">
        <f aca="false">IF($A50="","",IFERROR(AVERAGE(W50:X50),""))</f>
        <v/>
      </c>
      <c r="AN50" s="36" t="str">
        <f aca="false">IF($A50="","",IFERROR(AVERAGE(Y50:Z50),""))</f>
        <v/>
      </c>
      <c r="AO50" s="36" t="str">
        <f aca="false">IF($A50="","",IFERROR(AVERAGE(AA50:AB50),""))</f>
        <v/>
      </c>
      <c r="AP50" s="36" t="str">
        <f aca="false">IF($A50="","",IFERROR(AVERAGE(AC50),""))</f>
        <v/>
      </c>
      <c r="AQ50" s="36" t="str">
        <f aca="false">IF($A50="","",IFERROR(AVERAGE(U50:AC50),""))</f>
        <v/>
      </c>
      <c r="AR50" s="27" t="str">
        <f aca="false">IF($A50="","",IF(AND(H50="",J50=""),"לא נבדק",IF(AND(OR(H50="",H50=I50),OR(J50="",J50=K50)),"תואם","לא תואם")))</f>
        <v/>
      </c>
      <c r="AS50" s="27" t="str">
        <f aca="false">IF($A50="","",IF(AND(AR50&lt;&gt;"לא תואם",G50&lt;&gt;"לא ברור"),"אמין","לפרש בזהירות"))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7" t="str">
        <f aca="false">IF($A51="","",$A51&amp;"|"&amp;$C51)</f>
        <v/>
      </c>
      <c r="AF51" s="28" t="str">
        <f aca="false">IF($A51="","",IFERROR(COUNTIF(L51:M51,"כן")/(COUNTIF(L51:M51,"כן")+COUNTIF(L51:M51,"לא")),""))</f>
        <v/>
      </c>
      <c r="AG51" s="28" t="str">
        <f aca="false">IF($A51="","",IFERROR(COUNTIF(N51:O51,"כן")/(COUNTIF(N51:O51,"כן")+COUNTIF(N51:O51,"לא")),""))</f>
        <v/>
      </c>
      <c r="AH51" s="28" t="str">
        <f aca="false">IF($A51="","",IFERROR(COUNTIF(P51,"כן")/(COUNTIF(P51,"כן")+COUNTIF(P51,"לא")),""))</f>
        <v/>
      </c>
      <c r="AI51" s="28" t="str">
        <f aca="false">IF($A51="","",IFERROR(COUNTIF(Q51:R51,"כן")/(COUNTIF(Q51:R51,"כן")+COUNTIF(Q51:R51,"לא")),""))</f>
        <v/>
      </c>
      <c r="AJ51" s="28" t="str">
        <f aca="false">IF($A51="","",IFERROR(COUNTIF(S51:T51,"כן")/(COUNTIF(S51:T51,"כן")+COUNTIF(S51:T51,"לא")),""))</f>
        <v/>
      </c>
      <c r="AK51" s="28" t="str">
        <f aca="false">IF($A51="","",IFERROR(COUNTIF(L51:T51,"כן")/(COUNTIF(L51:T51,"כן")+COUNTIF(L51:T51,"לא")),""))</f>
        <v/>
      </c>
      <c r="AL51" s="36" t="str">
        <f aca="false">IF($A51="","",IFERROR(AVERAGE(U51:V51),""))</f>
        <v/>
      </c>
      <c r="AM51" s="36" t="str">
        <f aca="false">IF($A51="","",IFERROR(AVERAGE(W51:X51),""))</f>
        <v/>
      </c>
      <c r="AN51" s="36" t="str">
        <f aca="false">IF($A51="","",IFERROR(AVERAGE(Y51:Z51),""))</f>
        <v/>
      </c>
      <c r="AO51" s="36" t="str">
        <f aca="false">IF($A51="","",IFERROR(AVERAGE(AA51:AB51),""))</f>
        <v/>
      </c>
      <c r="AP51" s="36" t="str">
        <f aca="false">IF($A51="","",IFERROR(AVERAGE(AC51),""))</f>
        <v/>
      </c>
      <c r="AQ51" s="36" t="str">
        <f aca="false">IF($A51="","",IFERROR(AVERAGE(U51:AC51),""))</f>
        <v/>
      </c>
      <c r="AR51" s="27" t="str">
        <f aca="false">IF($A51="","",IF(AND(H51="",J51=""),"לא נבדק",IF(AND(OR(H51="",H51=I51),OR(J51="",J51=K51)),"תואם","לא תואם")))</f>
        <v/>
      </c>
      <c r="AS51" s="27" t="str">
        <f aca="false">IF($A51="","",IF(AND(AR51&lt;&gt;"לא תואם",G51&lt;&gt;"לא ברור"),"אמין","לפרש בזהירות"))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7" t="str">
        <f aca="false">IF($A52="","",$A52&amp;"|"&amp;$C52)</f>
        <v/>
      </c>
      <c r="AF52" s="28" t="str">
        <f aca="false">IF($A52="","",IFERROR(COUNTIF(L52:M52,"כן")/(COUNTIF(L52:M52,"כן")+COUNTIF(L52:M52,"לא")),""))</f>
        <v/>
      </c>
      <c r="AG52" s="28" t="str">
        <f aca="false">IF($A52="","",IFERROR(COUNTIF(N52:O52,"כן")/(COUNTIF(N52:O52,"כן")+COUNTIF(N52:O52,"לא")),""))</f>
        <v/>
      </c>
      <c r="AH52" s="28" t="str">
        <f aca="false">IF($A52="","",IFERROR(COUNTIF(P52,"כן")/(COUNTIF(P52,"כן")+COUNTIF(P52,"לא")),""))</f>
        <v/>
      </c>
      <c r="AI52" s="28" t="str">
        <f aca="false">IF($A52="","",IFERROR(COUNTIF(Q52:R52,"כן")/(COUNTIF(Q52:R52,"כן")+COUNTIF(Q52:R52,"לא")),""))</f>
        <v/>
      </c>
      <c r="AJ52" s="28" t="str">
        <f aca="false">IF($A52="","",IFERROR(COUNTIF(S52:T52,"כן")/(COUNTIF(S52:T52,"כן")+COUNTIF(S52:T52,"לא")),""))</f>
        <v/>
      </c>
      <c r="AK52" s="28" t="str">
        <f aca="false">IF($A52="","",IFERROR(COUNTIF(L52:T52,"כן")/(COUNTIF(L52:T52,"כן")+COUNTIF(L52:T52,"לא")),""))</f>
        <v/>
      </c>
      <c r="AL52" s="36" t="str">
        <f aca="false">IF($A52="","",IFERROR(AVERAGE(U52:V52),""))</f>
        <v/>
      </c>
      <c r="AM52" s="36" t="str">
        <f aca="false">IF($A52="","",IFERROR(AVERAGE(W52:X52),""))</f>
        <v/>
      </c>
      <c r="AN52" s="36" t="str">
        <f aca="false">IF($A52="","",IFERROR(AVERAGE(Y52:Z52),""))</f>
        <v/>
      </c>
      <c r="AO52" s="36" t="str">
        <f aca="false">IF($A52="","",IFERROR(AVERAGE(AA52:AB52),""))</f>
        <v/>
      </c>
      <c r="AP52" s="36" t="str">
        <f aca="false">IF($A52="","",IFERROR(AVERAGE(AC52),""))</f>
        <v/>
      </c>
      <c r="AQ52" s="36" t="str">
        <f aca="false">IF($A52="","",IFERROR(AVERAGE(U52:AC52),""))</f>
        <v/>
      </c>
      <c r="AR52" s="27" t="str">
        <f aca="false">IF($A52="","",IF(AND(H52="",J52=""),"לא נבדק",IF(AND(OR(H52="",H52=I52),OR(J52="",J52=K52)),"תואם","לא תואם")))</f>
        <v/>
      </c>
      <c r="AS52" s="27" t="str">
        <f aca="false">IF($A52="","",IF(AND(AR52&lt;&gt;"לא תואם",G52&lt;&gt;"לא ברור"),"אמין","לפרש בזהירות"))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7" t="str">
        <f aca="false">IF($A53="","",$A53&amp;"|"&amp;$C53)</f>
        <v/>
      </c>
      <c r="AF53" s="28" t="str">
        <f aca="false">IF($A53="","",IFERROR(COUNTIF(L53:M53,"כן")/(COUNTIF(L53:M53,"כן")+COUNTIF(L53:M53,"לא")),""))</f>
        <v/>
      </c>
      <c r="AG53" s="28" t="str">
        <f aca="false">IF($A53="","",IFERROR(COUNTIF(N53:O53,"כן")/(COUNTIF(N53:O53,"כן")+COUNTIF(N53:O53,"לא")),""))</f>
        <v/>
      </c>
      <c r="AH53" s="28" t="str">
        <f aca="false">IF($A53="","",IFERROR(COUNTIF(P53,"כן")/(COUNTIF(P53,"כן")+COUNTIF(P53,"לא")),""))</f>
        <v/>
      </c>
      <c r="AI53" s="28" t="str">
        <f aca="false">IF($A53="","",IFERROR(COUNTIF(Q53:R53,"כן")/(COUNTIF(Q53:R53,"כן")+COUNTIF(Q53:R53,"לא")),""))</f>
        <v/>
      </c>
      <c r="AJ53" s="28" t="str">
        <f aca="false">IF($A53="","",IFERROR(COUNTIF(S53:T53,"כן")/(COUNTIF(S53:T53,"כן")+COUNTIF(S53:T53,"לא")),""))</f>
        <v/>
      </c>
      <c r="AK53" s="28" t="str">
        <f aca="false">IF($A53="","",IFERROR(COUNTIF(L53:T53,"כן")/(COUNTIF(L53:T53,"כן")+COUNTIF(L53:T53,"לא")),""))</f>
        <v/>
      </c>
      <c r="AL53" s="36" t="str">
        <f aca="false">IF($A53="","",IFERROR(AVERAGE(U53:V53),""))</f>
        <v/>
      </c>
      <c r="AM53" s="36" t="str">
        <f aca="false">IF($A53="","",IFERROR(AVERAGE(W53:X53),""))</f>
        <v/>
      </c>
      <c r="AN53" s="36" t="str">
        <f aca="false">IF($A53="","",IFERROR(AVERAGE(Y53:Z53),""))</f>
        <v/>
      </c>
      <c r="AO53" s="36" t="str">
        <f aca="false">IF($A53="","",IFERROR(AVERAGE(AA53:AB53),""))</f>
        <v/>
      </c>
      <c r="AP53" s="36" t="str">
        <f aca="false">IF($A53="","",IFERROR(AVERAGE(AC53),""))</f>
        <v/>
      </c>
      <c r="AQ53" s="36" t="str">
        <f aca="false">IF($A53="","",IFERROR(AVERAGE(U53:AC53),""))</f>
        <v/>
      </c>
      <c r="AR53" s="27" t="str">
        <f aca="false">IF($A53="","",IF(AND(H53="",J53=""),"לא נבדק",IF(AND(OR(H53="",H53=I53),OR(J53="",J53=K53)),"תואם","לא תואם")))</f>
        <v/>
      </c>
      <c r="AS53" s="27" t="str">
        <f aca="false">IF($A53="","",IF(AND(AR53&lt;&gt;"לא תואם",G53&lt;&gt;"לא ברור"),"אמין","לפרש בזהירות"))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7" t="str">
        <f aca="false">IF($A54="","",$A54&amp;"|"&amp;$C54)</f>
        <v/>
      </c>
      <c r="AF54" s="28" t="str">
        <f aca="false">IF($A54="","",IFERROR(COUNTIF(L54:M54,"כן")/(COUNTIF(L54:M54,"כן")+COUNTIF(L54:M54,"לא")),""))</f>
        <v/>
      </c>
      <c r="AG54" s="28" t="str">
        <f aca="false">IF($A54="","",IFERROR(COUNTIF(N54:O54,"כן")/(COUNTIF(N54:O54,"כן")+COUNTIF(N54:O54,"לא")),""))</f>
        <v/>
      </c>
      <c r="AH54" s="28" t="str">
        <f aca="false">IF($A54="","",IFERROR(COUNTIF(P54,"כן")/(COUNTIF(P54,"כן")+COUNTIF(P54,"לא")),""))</f>
        <v/>
      </c>
      <c r="AI54" s="28" t="str">
        <f aca="false">IF($A54="","",IFERROR(COUNTIF(Q54:R54,"כן")/(COUNTIF(Q54:R54,"כן")+COUNTIF(Q54:R54,"לא")),""))</f>
        <v/>
      </c>
      <c r="AJ54" s="28" t="str">
        <f aca="false">IF($A54="","",IFERROR(COUNTIF(S54:T54,"כן")/(COUNTIF(S54:T54,"כן")+COUNTIF(S54:T54,"לא")),""))</f>
        <v/>
      </c>
      <c r="AK54" s="28" t="str">
        <f aca="false">IF($A54="","",IFERROR(COUNTIF(L54:T54,"כן")/(COUNTIF(L54:T54,"כן")+COUNTIF(L54:T54,"לא")),""))</f>
        <v/>
      </c>
      <c r="AL54" s="36" t="str">
        <f aca="false">IF($A54="","",IFERROR(AVERAGE(U54:V54),""))</f>
        <v/>
      </c>
      <c r="AM54" s="36" t="str">
        <f aca="false">IF($A54="","",IFERROR(AVERAGE(W54:X54),""))</f>
        <v/>
      </c>
      <c r="AN54" s="36" t="str">
        <f aca="false">IF($A54="","",IFERROR(AVERAGE(Y54:Z54),""))</f>
        <v/>
      </c>
      <c r="AO54" s="36" t="str">
        <f aca="false">IF($A54="","",IFERROR(AVERAGE(AA54:AB54),""))</f>
        <v/>
      </c>
      <c r="AP54" s="36" t="str">
        <f aca="false">IF($A54="","",IFERROR(AVERAGE(AC54),""))</f>
        <v/>
      </c>
      <c r="AQ54" s="36" t="str">
        <f aca="false">IF($A54="","",IFERROR(AVERAGE(U54:AC54),""))</f>
        <v/>
      </c>
      <c r="AR54" s="27" t="str">
        <f aca="false">IF($A54="","",IF(AND(H54="",J54=""),"לא נבדק",IF(AND(OR(H54="",H54=I54),OR(J54="",J54=K54)),"תואם","לא תואם")))</f>
        <v/>
      </c>
      <c r="AS54" s="27" t="str">
        <f aca="false">IF($A54="","",IF(AND(AR54&lt;&gt;"לא תואם",G54&lt;&gt;"לא ברור"),"אמין","לפרש בזהירות"))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7" t="str">
        <f aca="false">IF($A55="","",$A55&amp;"|"&amp;$C55)</f>
        <v/>
      </c>
      <c r="AF55" s="28" t="str">
        <f aca="false">IF($A55="","",IFERROR(COUNTIF(L55:M55,"כן")/(COUNTIF(L55:M55,"כן")+COUNTIF(L55:M55,"לא")),""))</f>
        <v/>
      </c>
      <c r="AG55" s="28" t="str">
        <f aca="false">IF($A55="","",IFERROR(COUNTIF(N55:O55,"כן")/(COUNTIF(N55:O55,"כן")+COUNTIF(N55:O55,"לא")),""))</f>
        <v/>
      </c>
      <c r="AH55" s="28" t="str">
        <f aca="false">IF($A55="","",IFERROR(COUNTIF(P55,"כן")/(COUNTIF(P55,"כן")+COUNTIF(P55,"לא")),""))</f>
        <v/>
      </c>
      <c r="AI55" s="28" t="str">
        <f aca="false">IF($A55="","",IFERROR(COUNTIF(Q55:R55,"כן")/(COUNTIF(Q55:R55,"כן")+COUNTIF(Q55:R55,"לא")),""))</f>
        <v/>
      </c>
      <c r="AJ55" s="28" t="str">
        <f aca="false">IF($A55="","",IFERROR(COUNTIF(S55:T55,"כן")/(COUNTIF(S55:T55,"כן")+COUNTIF(S55:T55,"לא")),""))</f>
        <v/>
      </c>
      <c r="AK55" s="28" t="str">
        <f aca="false">IF($A55="","",IFERROR(COUNTIF(L55:T55,"כן")/(COUNTIF(L55:T55,"כן")+COUNTIF(L55:T55,"לא")),""))</f>
        <v/>
      </c>
      <c r="AL55" s="36" t="str">
        <f aca="false">IF($A55="","",IFERROR(AVERAGE(U55:V55),""))</f>
        <v/>
      </c>
      <c r="AM55" s="36" t="str">
        <f aca="false">IF($A55="","",IFERROR(AVERAGE(W55:X55),""))</f>
        <v/>
      </c>
      <c r="AN55" s="36" t="str">
        <f aca="false">IF($A55="","",IFERROR(AVERAGE(Y55:Z55),""))</f>
        <v/>
      </c>
      <c r="AO55" s="36" t="str">
        <f aca="false">IF($A55="","",IFERROR(AVERAGE(AA55:AB55),""))</f>
        <v/>
      </c>
      <c r="AP55" s="36" t="str">
        <f aca="false">IF($A55="","",IFERROR(AVERAGE(AC55),""))</f>
        <v/>
      </c>
      <c r="AQ55" s="36" t="str">
        <f aca="false">IF($A55="","",IFERROR(AVERAGE(U55:AC55),""))</f>
        <v/>
      </c>
      <c r="AR55" s="27" t="str">
        <f aca="false">IF($A55="","",IF(AND(H55="",J55=""),"לא נבדק",IF(AND(OR(H55="",H55=I55),OR(J55="",J55=K55)),"תואם","לא תואם")))</f>
        <v/>
      </c>
      <c r="AS55" s="27" t="str">
        <f aca="false">IF($A55="","",IF(AND(AR55&lt;&gt;"לא תואם",G55&lt;&gt;"לא ברור"),"אמין","לפרש בזהירות"))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7" t="str">
        <f aca="false">IF($A56="","",$A56&amp;"|"&amp;$C56)</f>
        <v/>
      </c>
      <c r="AF56" s="28" t="str">
        <f aca="false">IF($A56="","",IFERROR(COUNTIF(L56:M56,"כן")/(COUNTIF(L56:M56,"כן")+COUNTIF(L56:M56,"לא")),""))</f>
        <v/>
      </c>
      <c r="AG56" s="28" t="str">
        <f aca="false">IF($A56="","",IFERROR(COUNTIF(N56:O56,"כן")/(COUNTIF(N56:O56,"כן")+COUNTIF(N56:O56,"לא")),""))</f>
        <v/>
      </c>
      <c r="AH56" s="28" t="str">
        <f aca="false">IF($A56="","",IFERROR(COUNTIF(P56,"כן")/(COUNTIF(P56,"כן")+COUNTIF(P56,"לא")),""))</f>
        <v/>
      </c>
      <c r="AI56" s="28" t="str">
        <f aca="false">IF($A56="","",IFERROR(COUNTIF(Q56:R56,"כן")/(COUNTIF(Q56:R56,"כן")+COUNTIF(Q56:R56,"לא")),""))</f>
        <v/>
      </c>
      <c r="AJ56" s="28" t="str">
        <f aca="false">IF($A56="","",IFERROR(COUNTIF(S56:T56,"כן")/(COUNTIF(S56:T56,"כן")+COUNTIF(S56:T56,"לא")),""))</f>
        <v/>
      </c>
      <c r="AK56" s="28" t="str">
        <f aca="false">IF($A56="","",IFERROR(COUNTIF(L56:T56,"כן")/(COUNTIF(L56:T56,"כן")+COUNTIF(L56:T56,"לא")),""))</f>
        <v/>
      </c>
      <c r="AL56" s="36" t="str">
        <f aca="false">IF($A56="","",IFERROR(AVERAGE(U56:V56),""))</f>
        <v/>
      </c>
      <c r="AM56" s="36" t="str">
        <f aca="false">IF($A56="","",IFERROR(AVERAGE(W56:X56),""))</f>
        <v/>
      </c>
      <c r="AN56" s="36" t="str">
        <f aca="false">IF($A56="","",IFERROR(AVERAGE(Y56:Z56),""))</f>
        <v/>
      </c>
      <c r="AO56" s="36" t="str">
        <f aca="false">IF($A56="","",IFERROR(AVERAGE(AA56:AB56),""))</f>
        <v/>
      </c>
      <c r="AP56" s="36" t="str">
        <f aca="false">IF($A56="","",IFERROR(AVERAGE(AC56),""))</f>
        <v/>
      </c>
      <c r="AQ56" s="36" t="str">
        <f aca="false">IF($A56="","",IFERROR(AVERAGE(U56:AC56),""))</f>
        <v/>
      </c>
      <c r="AR56" s="27" t="str">
        <f aca="false">IF($A56="","",IF(AND(H56="",J56=""),"לא נבדק",IF(AND(OR(H56="",H56=I56),OR(J56="",J56=K56)),"תואם","לא תואם")))</f>
        <v/>
      </c>
      <c r="AS56" s="27" t="str">
        <f aca="false">IF($A56="","",IF(AND(AR56&lt;&gt;"לא תואם",G56&lt;&gt;"לא ברור"),"אמין","לפרש בזהירות"))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7" t="str">
        <f aca="false">IF($A57="","",$A57&amp;"|"&amp;$C57)</f>
        <v/>
      </c>
      <c r="AF57" s="28" t="str">
        <f aca="false">IF($A57="","",IFERROR(COUNTIF(L57:M57,"כן")/(COUNTIF(L57:M57,"כן")+COUNTIF(L57:M57,"לא")),""))</f>
        <v/>
      </c>
      <c r="AG57" s="28" t="str">
        <f aca="false">IF($A57="","",IFERROR(COUNTIF(N57:O57,"כן")/(COUNTIF(N57:O57,"כן")+COUNTIF(N57:O57,"לא")),""))</f>
        <v/>
      </c>
      <c r="AH57" s="28" t="str">
        <f aca="false">IF($A57="","",IFERROR(COUNTIF(P57,"כן")/(COUNTIF(P57,"כן")+COUNTIF(P57,"לא")),""))</f>
        <v/>
      </c>
      <c r="AI57" s="28" t="str">
        <f aca="false">IF($A57="","",IFERROR(COUNTIF(Q57:R57,"כן")/(COUNTIF(Q57:R57,"כן")+COUNTIF(Q57:R57,"לא")),""))</f>
        <v/>
      </c>
      <c r="AJ57" s="28" t="str">
        <f aca="false">IF($A57="","",IFERROR(COUNTIF(S57:T57,"כן")/(COUNTIF(S57:T57,"כן")+COUNTIF(S57:T57,"לא")),""))</f>
        <v/>
      </c>
      <c r="AK57" s="28" t="str">
        <f aca="false">IF($A57="","",IFERROR(COUNTIF(L57:T57,"כן")/(COUNTIF(L57:T57,"כן")+COUNTIF(L57:T57,"לא")),""))</f>
        <v/>
      </c>
      <c r="AL57" s="36" t="str">
        <f aca="false">IF($A57="","",IFERROR(AVERAGE(U57:V57),""))</f>
        <v/>
      </c>
      <c r="AM57" s="36" t="str">
        <f aca="false">IF($A57="","",IFERROR(AVERAGE(W57:X57),""))</f>
        <v/>
      </c>
      <c r="AN57" s="36" t="str">
        <f aca="false">IF($A57="","",IFERROR(AVERAGE(Y57:Z57),""))</f>
        <v/>
      </c>
      <c r="AO57" s="36" t="str">
        <f aca="false">IF($A57="","",IFERROR(AVERAGE(AA57:AB57),""))</f>
        <v/>
      </c>
      <c r="AP57" s="36" t="str">
        <f aca="false">IF($A57="","",IFERROR(AVERAGE(AC57),""))</f>
        <v/>
      </c>
      <c r="AQ57" s="36" t="str">
        <f aca="false">IF($A57="","",IFERROR(AVERAGE(U57:AC57),""))</f>
        <v/>
      </c>
      <c r="AR57" s="27" t="str">
        <f aca="false">IF($A57="","",IF(AND(H57="",J57=""),"לא נבדק",IF(AND(OR(H57="",H57=I57),OR(J57="",J57=K57)),"תואם","לא תואם")))</f>
        <v/>
      </c>
      <c r="AS57" s="27" t="str">
        <f aca="false">IF($A57="","",IF(AND(AR57&lt;&gt;"לא תואם",G57&lt;&gt;"לא ברור"),"אמין","לפרש בזהירות"))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7" t="str">
        <f aca="false">IF($A58="","",$A58&amp;"|"&amp;$C58)</f>
        <v/>
      </c>
      <c r="AF58" s="28" t="str">
        <f aca="false">IF($A58="","",IFERROR(COUNTIF(L58:M58,"כן")/(COUNTIF(L58:M58,"כן")+COUNTIF(L58:M58,"לא")),""))</f>
        <v/>
      </c>
      <c r="AG58" s="28" t="str">
        <f aca="false">IF($A58="","",IFERROR(COUNTIF(N58:O58,"כן")/(COUNTIF(N58:O58,"כן")+COUNTIF(N58:O58,"לא")),""))</f>
        <v/>
      </c>
      <c r="AH58" s="28" t="str">
        <f aca="false">IF($A58="","",IFERROR(COUNTIF(P58,"כן")/(COUNTIF(P58,"כן")+COUNTIF(P58,"לא")),""))</f>
        <v/>
      </c>
      <c r="AI58" s="28" t="str">
        <f aca="false">IF($A58="","",IFERROR(COUNTIF(Q58:R58,"כן")/(COUNTIF(Q58:R58,"כן")+COUNTIF(Q58:R58,"לא")),""))</f>
        <v/>
      </c>
      <c r="AJ58" s="28" t="str">
        <f aca="false">IF($A58="","",IFERROR(COUNTIF(S58:T58,"כן")/(COUNTIF(S58:T58,"כן")+COUNTIF(S58:T58,"לא")),""))</f>
        <v/>
      </c>
      <c r="AK58" s="28" t="str">
        <f aca="false">IF($A58="","",IFERROR(COUNTIF(L58:T58,"כן")/(COUNTIF(L58:T58,"כן")+COUNTIF(L58:T58,"לא")),""))</f>
        <v/>
      </c>
      <c r="AL58" s="36" t="str">
        <f aca="false">IF($A58="","",IFERROR(AVERAGE(U58:V58),""))</f>
        <v/>
      </c>
      <c r="AM58" s="36" t="str">
        <f aca="false">IF($A58="","",IFERROR(AVERAGE(W58:X58),""))</f>
        <v/>
      </c>
      <c r="AN58" s="36" t="str">
        <f aca="false">IF($A58="","",IFERROR(AVERAGE(Y58:Z58),""))</f>
        <v/>
      </c>
      <c r="AO58" s="36" t="str">
        <f aca="false">IF($A58="","",IFERROR(AVERAGE(AA58:AB58),""))</f>
        <v/>
      </c>
      <c r="AP58" s="36" t="str">
        <f aca="false">IF($A58="","",IFERROR(AVERAGE(AC58),""))</f>
        <v/>
      </c>
      <c r="AQ58" s="36" t="str">
        <f aca="false">IF($A58="","",IFERROR(AVERAGE(U58:AC58),""))</f>
        <v/>
      </c>
      <c r="AR58" s="27" t="str">
        <f aca="false">IF($A58="","",IF(AND(H58="",J58=""),"לא נבדק",IF(AND(OR(H58="",H58=I58),OR(J58="",J58=K58)),"תואם","לא תואם")))</f>
        <v/>
      </c>
      <c r="AS58" s="27" t="str">
        <f aca="false">IF($A58="","",IF(AND(AR58&lt;&gt;"לא תואם",G58&lt;&gt;"לא ברור"),"אמין","לפרש בזהירות"))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7" t="str">
        <f aca="false">IF($A59="","",$A59&amp;"|"&amp;$C59)</f>
        <v/>
      </c>
      <c r="AF59" s="28" t="str">
        <f aca="false">IF($A59="","",IFERROR(COUNTIF(L59:M59,"כן")/(COUNTIF(L59:M59,"כן")+COUNTIF(L59:M59,"לא")),""))</f>
        <v/>
      </c>
      <c r="AG59" s="28" t="str">
        <f aca="false">IF($A59="","",IFERROR(COUNTIF(N59:O59,"כן")/(COUNTIF(N59:O59,"כן")+COUNTIF(N59:O59,"לא")),""))</f>
        <v/>
      </c>
      <c r="AH59" s="28" t="str">
        <f aca="false">IF($A59="","",IFERROR(COUNTIF(P59,"כן")/(COUNTIF(P59,"כן")+COUNTIF(P59,"לא")),""))</f>
        <v/>
      </c>
      <c r="AI59" s="28" t="str">
        <f aca="false">IF($A59="","",IFERROR(COUNTIF(Q59:R59,"כן")/(COUNTIF(Q59:R59,"כן")+COUNTIF(Q59:R59,"לא")),""))</f>
        <v/>
      </c>
      <c r="AJ59" s="28" t="str">
        <f aca="false">IF($A59="","",IFERROR(COUNTIF(S59:T59,"כן")/(COUNTIF(S59:T59,"כן")+COUNTIF(S59:T59,"לא")),""))</f>
        <v/>
      </c>
      <c r="AK59" s="28" t="str">
        <f aca="false">IF($A59="","",IFERROR(COUNTIF(L59:T59,"כן")/(COUNTIF(L59:T59,"כן")+COUNTIF(L59:T59,"לא")),""))</f>
        <v/>
      </c>
      <c r="AL59" s="36" t="str">
        <f aca="false">IF($A59="","",IFERROR(AVERAGE(U59:V59),""))</f>
        <v/>
      </c>
      <c r="AM59" s="36" t="str">
        <f aca="false">IF($A59="","",IFERROR(AVERAGE(W59:X59),""))</f>
        <v/>
      </c>
      <c r="AN59" s="36" t="str">
        <f aca="false">IF($A59="","",IFERROR(AVERAGE(Y59:Z59),""))</f>
        <v/>
      </c>
      <c r="AO59" s="36" t="str">
        <f aca="false">IF($A59="","",IFERROR(AVERAGE(AA59:AB59),""))</f>
        <v/>
      </c>
      <c r="AP59" s="36" t="str">
        <f aca="false">IF($A59="","",IFERROR(AVERAGE(AC59),""))</f>
        <v/>
      </c>
      <c r="AQ59" s="36" t="str">
        <f aca="false">IF($A59="","",IFERROR(AVERAGE(U59:AC59),""))</f>
        <v/>
      </c>
      <c r="AR59" s="27" t="str">
        <f aca="false">IF($A59="","",IF(AND(H59="",J59=""),"לא נבדק",IF(AND(OR(H59="",H59=I59),OR(J59="",J59=K59)),"תואם","לא תואם")))</f>
        <v/>
      </c>
      <c r="AS59" s="27" t="str">
        <f aca="false">IF($A59="","",IF(AND(AR59&lt;&gt;"לא תואם",G59&lt;&gt;"לא ברור"),"אמין","לפרש בזהירות"))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7" t="str">
        <f aca="false">IF($A60="","",$A60&amp;"|"&amp;$C60)</f>
        <v/>
      </c>
      <c r="AF60" s="28" t="str">
        <f aca="false">IF($A60="","",IFERROR(COUNTIF(L60:M60,"כן")/(COUNTIF(L60:M60,"כן")+COUNTIF(L60:M60,"לא")),""))</f>
        <v/>
      </c>
      <c r="AG60" s="28" t="str">
        <f aca="false">IF($A60="","",IFERROR(COUNTIF(N60:O60,"כן")/(COUNTIF(N60:O60,"כן")+COUNTIF(N60:O60,"לא")),""))</f>
        <v/>
      </c>
      <c r="AH60" s="28" t="str">
        <f aca="false">IF($A60="","",IFERROR(COUNTIF(P60,"כן")/(COUNTIF(P60,"כן")+COUNTIF(P60,"לא")),""))</f>
        <v/>
      </c>
      <c r="AI60" s="28" t="str">
        <f aca="false">IF($A60="","",IFERROR(COUNTIF(Q60:R60,"כן")/(COUNTIF(Q60:R60,"כן")+COUNTIF(Q60:R60,"לא")),""))</f>
        <v/>
      </c>
      <c r="AJ60" s="28" t="str">
        <f aca="false">IF($A60="","",IFERROR(COUNTIF(S60:T60,"כן")/(COUNTIF(S60:T60,"כן")+COUNTIF(S60:T60,"לא")),""))</f>
        <v/>
      </c>
      <c r="AK60" s="28" t="str">
        <f aca="false">IF($A60="","",IFERROR(COUNTIF(L60:T60,"כן")/(COUNTIF(L60:T60,"כן")+COUNTIF(L60:T60,"לא")),""))</f>
        <v/>
      </c>
      <c r="AL60" s="36" t="str">
        <f aca="false">IF($A60="","",IFERROR(AVERAGE(U60:V60),""))</f>
        <v/>
      </c>
      <c r="AM60" s="36" t="str">
        <f aca="false">IF($A60="","",IFERROR(AVERAGE(W60:X60),""))</f>
        <v/>
      </c>
      <c r="AN60" s="36" t="str">
        <f aca="false">IF($A60="","",IFERROR(AVERAGE(Y60:Z60),""))</f>
        <v/>
      </c>
      <c r="AO60" s="36" t="str">
        <f aca="false">IF($A60="","",IFERROR(AVERAGE(AA60:AB60),""))</f>
        <v/>
      </c>
      <c r="AP60" s="36" t="str">
        <f aca="false">IF($A60="","",IFERROR(AVERAGE(AC60),""))</f>
        <v/>
      </c>
      <c r="AQ60" s="36" t="str">
        <f aca="false">IF($A60="","",IFERROR(AVERAGE(U60:AC60),""))</f>
        <v/>
      </c>
      <c r="AR60" s="27" t="str">
        <f aca="false">IF($A60="","",IF(AND(H60="",J60=""),"לא נבדק",IF(AND(OR(H60="",H60=I60),OR(J60="",J60=K60)),"תואם","לא תואם")))</f>
        <v/>
      </c>
      <c r="AS60" s="27" t="str">
        <f aca="false">IF($A60="","",IF(AND(AR60&lt;&gt;"לא תואם",G60&lt;&gt;"לא ברור"),"אמין","לפרש בזהירות"))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7" t="str">
        <f aca="false">IF($A61="","",$A61&amp;"|"&amp;$C61)</f>
        <v/>
      </c>
      <c r="AF61" s="28" t="str">
        <f aca="false">IF($A61="","",IFERROR(COUNTIF(L61:M61,"כן")/(COUNTIF(L61:M61,"כן")+COUNTIF(L61:M61,"לא")),""))</f>
        <v/>
      </c>
      <c r="AG61" s="28" t="str">
        <f aca="false">IF($A61="","",IFERROR(COUNTIF(N61:O61,"כן")/(COUNTIF(N61:O61,"כן")+COUNTIF(N61:O61,"לא")),""))</f>
        <v/>
      </c>
      <c r="AH61" s="28" t="str">
        <f aca="false">IF($A61="","",IFERROR(COUNTIF(P61,"כן")/(COUNTIF(P61,"כן")+COUNTIF(P61,"לא")),""))</f>
        <v/>
      </c>
      <c r="AI61" s="28" t="str">
        <f aca="false">IF($A61="","",IFERROR(COUNTIF(Q61:R61,"כן")/(COUNTIF(Q61:R61,"כן")+COUNTIF(Q61:R61,"לא")),""))</f>
        <v/>
      </c>
      <c r="AJ61" s="28" t="str">
        <f aca="false">IF($A61="","",IFERROR(COUNTIF(S61:T61,"כן")/(COUNTIF(S61:T61,"כן")+COUNTIF(S61:T61,"לא")),""))</f>
        <v/>
      </c>
      <c r="AK61" s="28" t="str">
        <f aca="false">IF($A61="","",IFERROR(COUNTIF(L61:T61,"כן")/(COUNTIF(L61:T61,"כן")+COUNTIF(L61:T61,"לא")),""))</f>
        <v/>
      </c>
      <c r="AL61" s="36" t="str">
        <f aca="false">IF($A61="","",IFERROR(AVERAGE(U61:V61),""))</f>
        <v/>
      </c>
      <c r="AM61" s="36" t="str">
        <f aca="false">IF($A61="","",IFERROR(AVERAGE(W61:X61),""))</f>
        <v/>
      </c>
      <c r="AN61" s="36" t="str">
        <f aca="false">IF($A61="","",IFERROR(AVERAGE(Y61:Z61),""))</f>
        <v/>
      </c>
      <c r="AO61" s="36" t="str">
        <f aca="false">IF($A61="","",IFERROR(AVERAGE(AA61:AB61),""))</f>
        <v/>
      </c>
      <c r="AP61" s="36" t="str">
        <f aca="false">IF($A61="","",IFERROR(AVERAGE(AC61),""))</f>
        <v/>
      </c>
      <c r="AQ61" s="36" t="str">
        <f aca="false">IF($A61="","",IFERROR(AVERAGE(U61:AC61),""))</f>
        <v/>
      </c>
      <c r="AR61" s="27" t="str">
        <f aca="false">IF($A61="","",IF(AND(H61="",J61=""),"לא נבדק",IF(AND(OR(H61="",H61=I61),OR(J61="",J61=K61)),"תואם","לא תואם")))</f>
        <v/>
      </c>
      <c r="AS61" s="27" t="str">
        <f aca="false">IF($A61="","",IF(AND(AR61&lt;&gt;"לא תואם",G61&lt;&gt;"לא ברור"),"אמין","לפרש בזהירות"))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7" t="str">
        <f aca="false">IF($A62="","",$A62&amp;"|"&amp;$C62)</f>
        <v/>
      </c>
      <c r="AF62" s="28" t="str">
        <f aca="false">IF($A62="","",IFERROR(COUNTIF(L62:M62,"כן")/(COUNTIF(L62:M62,"כן")+COUNTIF(L62:M62,"לא")),""))</f>
        <v/>
      </c>
      <c r="AG62" s="28" t="str">
        <f aca="false">IF($A62="","",IFERROR(COUNTIF(N62:O62,"כן")/(COUNTIF(N62:O62,"כן")+COUNTIF(N62:O62,"לא")),""))</f>
        <v/>
      </c>
      <c r="AH62" s="28" t="str">
        <f aca="false">IF($A62="","",IFERROR(COUNTIF(P62,"כן")/(COUNTIF(P62,"כן")+COUNTIF(P62,"לא")),""))</f>
        <v/>
      </c>
      <c r="AI62" s="28" t="str">
        <f aca="false">IF($A62="","",IFERROR(COUNTIF(Q62:R62,"כן")/(COUNTIF(Q62:R62,"כן")+COUNTIF(Q62:R62,"לא")),""))</f>
        <v/>
      </c>
      <c r="AJ62" s="28" t="str">
        <f aca="false">IF($A62="","",IFERROR(COUNTIF(S62:T62,"כן")/(COUNTIF(S62:T62,"כן")+COUNTIF(S62:T62,"לא")),""))</f>
        <v/>
      </c>
      <c r="AK62" s="28" t="str">
        <f aca="false">IF($A62="","",IFERROR(COUNTIF(L62:T62,"כן")/(COUNTIF(L62:T62,"כן")+COUNTIF(L62:T62,"לא")),""))</f>
        <v/>
      </c>
      <c r="AL62" s="36" t="str">
        <f aca="false">IF($A62="","",IFERROR(AVERAGE(U62:V62),""))</f>
        <v/>
      </c>
      <c r="AM62" s="36" t="str">
        <f aca="false">IF($A62="","",IFERROR(AVERAGE(W62:X62),""))</f>
        <v/>
      </c>
      <c r="AN62" s="36" t="str">
        <f aca="false">IF($A62="","",IFERROR(AVERAGE(Y62:Z62),""))</f>
        <v/>
      </c>
      <c r="AO62" s="36" t="str">
        <f aca="false">IF($A62="","",IFERROR(AVERAGE(AA62:AB62),""))</f>
        <v/>
      </c>
      <c r="AP62" s="36" t="str">
        <f aca="false">IF($A62="","",IFERROR(AVERAGE(AC62),""))</f>
        <v/>
      </c>
      <c r="AQ62" s="36" t="str">
        <f aca="false">IF($A62="","",IFERROR(AVERAGE(U62:AC62),""))</f>
        <v/>
      </c>
      <c r="AR62" s="27" t="str">
        <f aca="false">IF($A62="","",IF(AND(H62="",J62=""),"לא נבדק",IF(AND(OR(H62="",H62=I62),OR(J62="",J62=K62)),"תואם","לא תואם")))</f>
        <v/>
      </c>
      <c r="AS62" s="27" t="str">
        <f aca="false">IF($A62="","",IF(AND(AR62&lt;&gt;"לא תואם",G62&lt;&gt;"לא ברור"),"אמין","לפרש בזהירות"))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7" t="str">
        <f aca="false">IF($A63="","",$A63&amp;"|"&amp;$C63)</f>
        <v/>
      </c>
      <c r="AF63" s="28" t="str">
        <f aca="false">IF($A63="","",IFERROR(COUNTIF(L63:M63,"כן")/(COUNTIF(L63:M63,"כן")+COUNTIF(L63:M63,"לא")),""))</f>
        <v/>
      </c>
      <c r="AG63" s="28" t="str">
        <f aca="false">IF($A63="","",IFERROR(COUNTIF(N63:O63,"כן")/(COUNTIF(N63:O63,"כן")+COUNTIF(N63:O63,"לא")),""))</f>
        <v/>
      </c>
      <c r="AH63" s="28" t="str">
        <f aca="false">IF($A63="","",IFERROR(COUNTIF(P63,"כן")/(COUNTIF(P63,"כן")+COUNTIF(P63,"לא")),""))</f>
        <v/>
      </c>
      <c r="AI63" s="28" t="str">
        <f aca="false">IF($A63="","",IFERROR(COUNTIF(Q63:R63,"כן")/(COUNTIF(Q63:R63,"כן")+COUNTIF(Q63:R63,"לא")),""))</f>
        <v/>
      </c>
      <c r="AJ63" s="28" t="str">
        <f aca="false">IF($A63="","",IFERROR(COUNTIF(S63:T63,"כן")/(COUNTIF(S63:T63,"כן")+COUNTIF(S63:T63,"לא")),""))</f>
        <v/>
      </c>
      <c r="AK63" s="28" t="str">
        <f aca="false">IF($A63="","",IFERROR(COUNTIF(L63:T63,"כן")/(COUNTIF(L63:T63,"כן")+COUNTIF(L63:T63,"לא")),""))</f>
        <v/>
      </c>
      <c r="AL63" s="36" t="str">
        <f aca="false">IF($A63="","",IFERROR(AVERAGE(U63:V63),""))</f>
        <v/>
      </c>
      <c r="AM63" s="36" t="str">
        <f aca="false">IF($A63="","",IFERROR(AVERAGE(W63:X63),""))</f>
        <v/>
      </c>
      <c r="AN63" s="36" t="str">
        <f aca="false">IF($A63="","",IFERROR(AVERAGE(Y63:Z63),""))</f>
        <v/>
      </c>
      <c r="AO63" s="36" t="str">
        <f aca="false">IF($A63="","",IFERROR(AVERAGE(AA63:AB63),""))</f>
        <v/>
      </c>
      <c r="AP63" s="36" t="str">
        <f aca="false">IF($A63="","",IFERROR(AVERAGE(AC63),""))</f>
        <v/>
      </c>
      <c r="AQ63" s="36" t="str">
        <f aca="false">IF($A63="","",IFERROR(AVERAGE(U63:AC63),""))</f>
        <v/>
      </c>
      <c r="AR63" s="27" t="str">
        <f aca="false">IF($A63="","",IF(AND(H63="",J63=""),"לא נבדק",IF(AND(OR(H63="",H63=I63),OR(J63="",J63=K63)),"תואם","לא תואם")))</f>
        <v/>
      </c>
      <c r="AS63" s="27" t="str">
        <f aca="false">IF($A63="","",IF(AND(AR63&lt;&gt;"לא תואם",G63&lt;&gt;"לא ברור"),"אמין","לפרש בזהירות"))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7" t="str">
        <f aca="false">IF($A64="","",$A64&amp;"|"&amp;$C64)</f>
        <v/>
      </c>
      <c r="AF64" s="28" t="str">
        <f aca="false">IF($A64="","",IFERROR(COUNTIF(L64:M64,"כן")/(COUNTIF(L64:M64,"כן")+COUNTIF(L64:M64,"לא")),""))</f>
        <v/>
      </c>
      <c r="AG64" s="28" t="str">
        <f aca="false">IF($A64="","",IFERROR(COUNTIF(N64:O64,"כן")/(COUNTIF(N64:O64,"כן")+COUNTIF(N64:O64,"לא")),""))</f>
        <v/>
      </c>
      <c r="AH64" s="28" t="str">
        <f aca="false">IF($A64="","",IFERROR(COUNTIF(P64,"כן")/(COUNTIF(P64,"כן")+COUNTIF(P64,"לא")),""))</f>
        <v/>
      </c>
      <c r="AI64" s="28" t="str">
        <f aca="false">IF($A64="","",IFERROR(COUNTIF(Q64:R64,"כן")/(COUNTIF(Q64:R64,"כן")+COUNTIF(Q64:R64,"לא")),""))</f>
        <v/>
      </c>
      <c r="AJ64" s="28" t="str">
        <f aca="false">IF($A64="","",IFERROR(COUNTIF(S64:T64,"כן")/(COUNTIF(S64:T64,"כן")+COUNTIF(S64:T64,"לא")),""))</f>
        <v/>
      </c>
      <c r="AK64" s="28" t="str">
        <f aca="false">IF($A64="","",IFERROR(COUNTIF(L64:T64,"כן")/(COUNTIF(L64:T64,"כן")+COUNTIF(L64:T64,"לא")),""))</f>
        <v/>
      </c>
      <c r="AL64" s="36" t="str">
        <f aca="false">IF($A64="","",IFERROR(AVERAGE(U64:V64),""))</f>
        <v/>
      </c>
      <c r="AM64" s="36" t="str">
        <f aca="false">IF($A64="","",IFERROR(AVERAGE(W64:X64),""))</f>
        <v/>
      </c>
      <c r="AN64" s="36" t="str">
        <f aca="false">IF($A64="","",IFERROR(AVERAGE(Y64:Z64),""))</f>
        <v/>
      </c>
      <c r="AO64" s="36" t="str">
        <f aca="false">IF($A64="","",IFERROR(AVERAGE(AA64:AB64),""))</f>
        <v/>
      </c>
      <c r="AP64" s="36" t="str">
        <f aca="false">IF($A64="","",IFERROR(AVERAGE(AC64),""))</f>
        <v/>
      </c>
      <c r="AQ64" s="36" t="str">
        <f aca="false">IF($A64="","",IFERROR(AVERAGE(U64:AC64),""))</f>
        <v/>
      </c>
      <c r="AR64" s="27" t="str">
        <f aca="false">IF($A64="","",IF(AND(H64="",J64=""),"לא נבדק",IF(AND(OR(H64="",H64=I64),OR(J64="",J64=K64)),"תואם","לא תואם")))</f>
        <v/>
      </c>
      <c r="AS64" s="27" t="str">
        <f aca="false">IF($A64="","",IF(AND(AR64&lt;&gt;"לא תואם",G64&lt;&gt;"לא ברור"),"אמין","לפרש בזהירות"))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7" t="str">
        <f aca="false">IF($A65="","",$A65&amp;"|"&amp;$C65)</f>
        <v/>
      </c>
      <c r="AF65" s="28" t="str">
        <f aca="false">IF($A65="","",IFERROR(COUNTIF(L65:M65,"כן")/(COUNTIF(L65:M65,"כן")+COUNTIF(L65:M65,"לא")),""))</f>
        <v/>
      </c>
      <c r="AG65" s="28" t="str">
        <f aca="false">IF($A65="","",IFERROR(COUNTIF(N65:O65,"כן")/(COUNTIF(N65:O65,"כן")+COUNTIF(N65:O65,"לא")),""))</f>
        <v/>
      </c>
      <c r="AH65" s="28" t="str">
        <f aca="false">IF($A65="","",IFERROR(COUNTIF(P65,"כן")/(COUNTIF(P65,"כן")+COUNTIF(P65,"לא")),""))</f>
        <v/>
      </c>
      <c r="AI65" s="28" t="str">
        <f aca="false">IF($A65="","",IFERROR(COUNTIF(Q65:R65,"כן")/(COUNTIF(Q65:R65,"כן")+COUNTIF(Q65:R65,"לא")),""))</f>
        <v/>
      </c>
      <c r="AJ65" s="28" t="str">
        <f aca="false">IF($A65="","",IFERROR(COUNTIF(S65:T65,"כן")/(COUNTIF(S65:T65,"כן")+COUNTIF(S65:T65,"לא")),""))</f>
        <v/>
      </c>
      <c r="AK65" s="28" t="str">
        <f aca="false">IF($A65="","",IFERROR(COUNTIF(L65:T65,"כן")/(COUNTIF(L65:T65,"כן")+COUNTIF(L65:T65,"לא")),""))</f>
        <v/>
      </c>
      <c r="AL65" s="36" t="str">
        <f aca="false">IF($A65="","",IFERROR(AVERAGE(U65:V65),""))</f>
        <v/>
      </c>
      <c r="AM65" s="36" t="str">
        <f aca="false">IF($A65="","",IFERROR(AVERAGE(W65:X65),""))</f>
        <v/>
      </c>
      <c r="AN65" s="36" t="str">
        <f aca="false">IF($A65="","",IFERROR(AVERAGE(Y65:Z65),""))</f>
        <v/>
      </c>
      <c r="AO65" s="36" t="str">
        <f aca="false">IF($A65="","",IFERROR(AVERAGE(AA65:AB65),""))</f>
        <v/>
      </c>
      <c r="AP65" s="36" t="str">
        <f aca="false">IF($A65="","",IFERROR(AVERAGE(AC65),""))</f>
        <v/>
      </c>
      <c r="AQ65" s="36" t="str">
        <f aca="false">IF($A65="","",IFERROR(AVERAGE(U65:AC65),""))</f>
        <v/>
      </c>
      <c r="AR65" s="27" t="str">
        <f aca="false">IF($A65="","",IF(AND(H65="",J65=""),"לא נבדק",IF(AND(OR(H65="",H65=I65),OR(J65="",J65=K65)),"תואם","לא תואם")))</f>
        <v/>
      </c>
      <c r="AS65" s="27" t="str">
        <f aca="false">IF($A65="","",IF(AND(AR65&lt;&gt;"לא תואם",G65&lt;&gt;"לא ברור"),"אמין","לפרש בזהירות"))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7" t="str">
        <f aca="false">IF($A66="","",$A66&amp;"|"&amp;$C66)</f>
        <v/>
      </c>
      <c r="AF66" s="28" t="str">
        <f aca="false">IF($A66="","",IFERROR(COUNTIF(L66:M66,"כן")/(COUNTIF(L66:M66,"כן")+COUNTIF(L66:M66,"לא")),""))</f>
        <v/>
      </c>
      <c r="AG66" s="28" t="str">
        <f aca="false">IF($A66="","",IFERROR(COUNTIF(N66:O66,"כן")/(COUNTIF(N66:O66,"כן")+COUNTIF(N66:O66,"לא")),""))</f>
        <v/>
      </c>
      <c r="AH66" s="28" t="str">
        <f aca="false">IF($A66="","",IFERROR(COUNTIF(P66,"כן")/(COUNTIF(P66,"כן")+COUNTIF(P66,"לא")),""))</f>
        <v/>
      </c>
      <c r="AI66" s="28" t="str">
        <f aca="false">IF($A66="","",IFERROR(COUNTIF(Q66:R66,"כן")/(COUNTIF(Q66:R66,"כן")+COUNTIF(Q66:R66,"לא")),""))</f>
        <v/>
      </c>
      <c r="AJ66" s="28" t="str">
        <f aca="false">IF($A66="","",IFERROR(COUNTIF(S66:T66,"כן")/(COUNTIF(S66:T66,"כן")+COUNTIF(S66:T66,"לא")),""))</f>
        <v/>
      </c>
      <c r="AK66" s="28" t="str">
        <f aca="false">IF($A66="","",IFERROR(COUNTIF(L66:T66,"כן")/(COUNTIF(L66:T66,"כן")+COUNTIF(L66:T66,"לא")),""))</f>
        <v/>
      </c>
      <c r="AL66" s="36" t="str">
        <f aca="false">IF($A66="","",IFERROR(AVERAGE(U66:V66),""))</f>
        <v/>
      </c>
      <c r="AM66" s="36" t="str">
        <f aca="false">IF($A66="","",IFERROR(AVERAGE(W66:X66),""))</f>
        <v/>
      </c>
      <c r="AN66" s="36" t="str">
        <f aca="false">IF($A66="","",IFERROR(AVERAGE(Y66:Z66),""))</f>
        <v/>
      </c>
      <c r="AO66" s="36" t="str">
        <f aca="false">IF($A66="","",IFERROR(AVERAGE(AA66:AB66),""))</f>
        <v/>
      </c>
      <c r="AP66" s="36" t="str">
        <f aca="false">IF($A66="","",IFERROR(AVERAGE(AC66),""))</f>
        <v/>
      </c>
      <c r="AQ66" s="36" t="str">
        <f aca="false">IF($A66="","",IFERROR(AVERAGE(U66:AC66),""))</f>
        <v/>
      </c>
      <c r="AR66" s="27" t="str">
        <f aca="false">IF($A66="","",IF(AND(H66="",J66=""),"לא נבדק",IF(AND(OR(H66="",H66=I66),OR(J66="",J66=K66)),"תואם","לא תואם")))</f>
        <v/>
      </c>
      <c r="AS66" s="27" t="str">
        <f aca="false">IF($A66="","",IF(AND(AR66&lt;&gt;"לא תואם",G66&lt;&gt;"לא ברור"),"אמין","לפרש בזהירות"))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7" t="str">
        <f aca="false">IF($A67="","",$A67&amp;"|"&amp;$C67)</f>
        <v/>
      </c>
      <c r="AF67" s="28" t="str">
        <f aca="false">IF($A67="","",IFERROR(COUNTIF(L67:M67,"כן")/(COUNTIF(L67:M67,"כן")+COUNTIF(L67:M67,"לא")),""))</f>
        <v/>
      </c>
      <c r="AG67" s="28" t="str">
        <f aca="false">IF($A67="","",IFERROR(COUNTIF(N67:O67,"כן")/(COUNTIF(N67:O67,"כן")+COUNTIF(N67:O67,"לא")),""))</f>
        <v/>
      </c>
      <c r="AH67" s="28" t="str">
        <f aca="false">IF($A67="","",IFERROR(COUNTIF(P67,"כן")/(COUNTIF(P67,"כן")+COUNTIF(P67,"לא")),""))</f>
        <v/>
      </c>
      <c r="AI67" s="28" t="str">
        <f aca="false">IF($A67="","",IFERROR(COUNTIF(Q67:R67,"כן")/(COUNTIF(Q67:R67,"כן")+COUNTIF(Q67:R67,"לא")),""))</f>
        <v/>
      </c>
      <c r="AJ67" s="28" t="str">
        <f aca="false">IF($A67="","",IFERROR(COUNTIF(S67:T67,"כן")/(COUNTIF(S67:T67,"כן")+COUNTIF(S67:T67,"לא")),""))</f>
        <v/>
      </c>
      <c r="AK67" s="28" t="str">
        <f aca="false">IF($A67="","",IFERROR(COUNTIF(L67:T67,"כן")/(COUNTIF(L67:T67,"כן")+COUNTIF(L67:T67,"לא")),""))</f>
        <v/>
      </c>
      <c r="AL67" s="36" t="str">
        <f aca="false">IF($A67="","",IFERROR(AVERAGE(U67:V67),""))</f>
        <v/>
      </c>
      <c r="AM67" s="36" t="str">
        <f aca="false">IF($A67="","",IFERROR(AVERAGE(W67:X67),""))</f>
        <v/>
      </c>
      <c r="AN67" s="36" t="str">
        <f aca="false">IF($A67="","",IFERROR(AVERAGE(Y67:Z67),""))</f>
        <v/>
      </c>
      <c r="AO67" s="36" t="str">
        <f aca="false">IF($A67="","",IFERROR(AVERAGE(AA67:AB67),""))</f>
        <v/>
      </c>
      <c r="AP67" s="36" t="str">
        <f aca="false">IF($A67="","",IFERROR(AVERAGE(AC67),""))</f>
        <v/>
      </c>
      <c r="AQ67" s="36" t="str">
        <f aca="false">IF($A67="","",IFERROR(AVERAGE(U67:AC67),""))</f>
        <v/>
      </c>
      <c r="AR67" s="27" t="str">
        <f aca="false">IF($A67="","",IF(AND(H67="",J67=""),"לא נבדק",IF(AND(OR(H67="",H67=I67),OR(J67="",J67=K67)),"תואם","לא תואם")))</f>
        <v/>
      </c>
      <c r="AS67" s="27" t="str">
        <f aca="false">IF($A67="","",IF(AND(AR67&lt;&gt;"לא תואם",G67&lt;&gt;"לא ברור"),"אמין","לפרש בזהירות"))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7" t="str">
        <f aca="false">IF($A68="","",$A68&amp;"|"&amp;$C68)</f>
        <v/>
      </c>
      <c r="AF68" s="28" t="str">
        <f aca="false">IF($A68="","",IFERROR(COUNTIF(L68:M68,"כן")/(COUNTIF(L68:M68,"כן")+COUNTIF(L68:M68,"לא")),""))</f>
        <v/>
      </c>
      <c r="AG68" s="28" t="str">
        <f aca="false">IF($A68="","",IFERROR(COUNTIF(N68:O68,"כן")/(COUNTIF(N68:O68,"כן")+COUNTIF(N68:O68,"לא")),""))</f>
        <v/>
      </c>
      <c r="AH68" s="28" t="str">
        <f aca="false">IF($A68="","",IFERROR(COUNTIF(P68,"כן")/(COUNTIF(P68,"כן")+COUNTIF(P68,"לא")),""))</f>
        <v/>
      </c>
      <c r="AI68" s="28" t="str">
        <f aca="false">IF($A68="","",IFERROR(COUNTIF(Q68:R68,"כן")/(COUNTIF(Q68:R68,"כן")+COUNTIF(Q68:R68,"לא")),""))</f>
        <v/>
      </c>
      <c r="AJ68" s="28" t="str">
        <f aca="false">IF($A68="","",IFERROR(COUNTIF(S68:T68,"כן")/(COUNTIF(S68:T68,"כן")+COUNTIF(S68:T68,"לא")),""))</f>
        <v/>
      </c>
      <c r="AK68" s="28" t="str">
        <f aca="false">IF($A68="","",IFERROR(COUNTIF(L68:T68,"כן")/(COUNTIF(L68:T68,"כן")+COUNTIF(L68:T68,"לא")),""))</f>
        <v/>
      </c>
      <c r="AL68" s="36" t="str">
        <f aca="false">IF($A68="","",IFERROR(AVERAGE(U68:V68),""))</f>
        <v/>
      </c>
      <c r="AM68" s="36" t="str">
        <f aca="false">IF($A68="","",IFERROR(AVERAGE(W68:X68),""))</f>
        <v/>
      </c>
      <c r="AN68" s="36" t="str">
        <f aca="false">IF($A68="","",IFERROR(AVERAGE(Y68:Z68),""))</f>
        <v/>
      </c>
      <c r="AO68" s="36" t="str">
        <f aca="false">IF($A68="","",IFERROR(AVERAGE(AA68:AB68),""))</f>
        <v/>
      </c>
      <c r="AP68" s="36" t="str">
        <f aca="false">IF($A68="","",IFERROR(AVERAGE(AC68),""))</f>
        <v/>
      </c>
      <c r="AQ68" s="36" t="str">
        <f aca="false">IF($A68="","",IFERROR(AVERAGE(U68:AC68),""))</f>
        <v/>
      </c>
      <c r="AR68" s="27" t="str">
        <f aca="false">IF($A68="","",IF(AND(H68="",J68=""),"לא נבדק",IF(AND(OR(H68="",H68=I68),OR(J68="",J68=K68)),"תואם","לא תואם")))</f>
        <v/>
      </c>
      <c r="AS68" s="27" t="str">
        <f aca="false">IF($A68="","",IF(AND(AR68&lt;&gt;"לא תואם",G68&lt;&gt;"לא ברור"),"אמין","לפרש בזהירות"))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7" t="str">
        <f aca="false">IF($A69="","",$A69&amp;"|"&amp;$C69)</f>
        <v/>
      </c>
      <c r="AF69" s="28" t="str">
        <f aca="false">IF($A69="","",IFERROR(COUNTIF(L69:M69,"כן")/(COUNTIF(L69:M69,"כן")+COUNTIF(L69:M69,"לא")),""))</f>
        <v/>
      </c>
      <c r="AG69" s="28" t="str">
        <f aca="false">IF($A69="","",IFERROR(COUNTIF(N69:O69,"כן")/(COUNTIF(N69:O69,"כן")+COUNTIF(N69:O69,"לא")),""))</f>
        <v/>
      </c>
      <c r="AH69" s="28" t="str">
        <f aca="false">IF($A69="","",IFERROR(COUNTIF(P69,"כן")/(COUNTIF(P69,"כן")+COUNTIF(P69,"לא")),""))</f>
        <v/>
      </c>
      <c r="AI69" s="28" t="str">
        <f aca="false">IF($A69="","",IFERROR(COUNTIF(Q69:R69,"כן")/(COUNTIF(Q69:R69,"כן")+COUNTIF(Q69:R69,"לא")),""))</f>
        <v/>
      </c>
      <c r="AJ69" s="28" t="str">
        <f aca="false">IF($A69="","",IFERROR(COUNTIF(S69:T69,"כן")/(COUNTIF(S69:T69,"כן")+COUNTIF(S69:T69,"לא")),""))</f>
        <v/>
      </c>
      <c r="AK69" s="28" t="str">
        <f aca="false">IF($A69="","",IFERROR(COUNTIF(L69:T69,"כן")/(COUNTIF(L69:T69,"כן")+COUNTIF(L69:T69,"לא")),""))</f>
        <v/>
      </c>
      <c r="AL69" s="36" t="str">
        <f aca="false">IF($A69="","",IFERROR(AVERAGE(U69:V69),""))</f>
        <v/>
      </c>
      <c r="AM69" s="36" t="str">
        <f aca="false">IF($A69="","",IFERROR(AVERAGE(W69:X69),""))</f>
        <v/>
      </c>
      <c r="AN69" s="36" t="str">
        <f aca="false">IF($A69="","",IFERROR(AVERAGE(Y69:Z69),""))</f>
        <v/>
      </c>
      <c r="AO69" s="36" t="str">
        <f aca="false">IF($A69="","",IFERROR(AVERAGE(AA69:AB69),""))</f>
        <v/>
      </c>
      <c r="AP69" s="36" t="str">
        <f aca="false">IF($A69="","",IFERROR(AVERAGE(AC69),""))</f>
        <v/>
      </c>
      <c r="AQ69" s="36" t="str">
        <f aca="false">IF($A69="","",IFERROR(AVERAGE(U69:AC69),""))</f>
        <v/>
      </c>
      <c r="AR69" s="27" t="str">
        <f aca="false">IF($A69="","",IF(AND(H69="",J69=""),"לא נבדק",IF(AND(OR(H69="",H69=I69),OR(J69="",J69=K69)),"תואם","לא תואם")))</f>
        <v/>
      </c>
      <c r="AS69" s="27" t="str">
        <f aca="false">IF($A69="","",IF(AND(AR69&lt;&gt;"לא תואם",G69&lt;&gt;"לא ברור"),"אמין","לפרש בזהירות"))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7" t="str">
        <f aca="false">IF($A70="","",$A70&amp;"|"&amp;$C70)</f>
        <v/>
      </c>
      <c r="AF70" s="28" t="str">
        <f aca="false">IF($A70="","",IFERROR(COUNTIF(L70:M70,"כן")/(COUNTIF(L70:M70,"כן")+COUNTIF(L70:M70,"לא")),""))</f>
        <v/>
      </c>
      <c r="AG70" s="28" t="str">
        <f aca="false">IF($A70="","",IFERROR(COUNTIF(N70:O70,"כן")/(COUNTIF(N70:O70,"כן")+COUNTIF(N70:O70,"לא")),""))</f>
        <v/>
      </c>
      <c r="AH70" s="28" t="str">
        <f aca="false">IF($A70="","",IFERROR(COUNTIF(P70,"כן")/(COUNTIF(P70,"כן")+COUNTIF(P70,"לא")),""))</f>
        <v/>
      </c>
      <c r="AI70" s="28" t="str">
        <f aca="false">IF($A70="","",IFERROR(COUNTIF(Q70:R70,"כן")/(COUNTIF(Q70:R70,"כן")+COUNTIF(Q70:R70,"לא")),""))</f>
        <v/>
      </c>
      <c r="AJ70" s="28" t="str">
        <f aca="false">IF($A70="","",IFERROR(COUNTIF(S70:T70,"כן")/(COUNTIF(S70:T70,"כן")+COUNTIF(S70:T70,"לא")),""))</f>
        <v/>
      </c>
      <c r="AK70" s="28" t="str">
        <f aca="false">IF($A70="","",IFERROR(COUNTIF(L70:T70,"כן")/(COUNTIF(L70:T70,"כן")+COUNTIF(L70:T70,"לא")),""))</f>
        <v/>
      </c>
      <c r="AL70" s="36" t="str">
        <f aca="false">IF($A70="","",IFERROR(AVERAGE(U70:V70),""))</f>
        <v/>
      </c>
      <c r="AM70" s="36" t="str">
        <f aca="false">IF($A70="","",IFERROR(AVERAGE(W70:X70),""))</f>
        <v/>
      </c>
      <c r="AN70" s="36" t="str">
        <f aca="false">IF($A70="","",IFERROR(AVERAGE(Y70:Z70),""))</f>
        <v/>
      </c>
      <c r="AO70" s="36" t="str">
        <f aca="false">IF($A70="","",IFERROR(AVERAGE(AA70:AB70),""))</f>
        <v/>
      </c>
      <c r="AP70" s="36" t="str">
        <f aca="false">IF($A70="","",IFERROR(AVERAGE(AC70),""))</f>
        <v/>
      </c>
      <c r="AQ70" s="36" t="str">
        <f aca="false">IF($A70="","",IFERROR(AVERAGE(U70:AC70),""))</f>
        <v/>
      </c>
      <c r="AR70" s="27" t="str">
        <f aca="false">IF($A70="","",IF(AND(H70="",J70=""),"לא נבדק",IF(AND(OR(H70="",H70=I70),OR(J70="",J70=K70)),"תואם","לא תואם")))</f>
        <v/>
      </c>
      <c r="AS70" s="27" t="str">
        <f aca="false">IF($A70="","",IF(AND(AR70&lt;&gt;"לא תואם",G70&lt;&gt;"לא ברור"),"אמין","לפרש בזהירות"))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7" t="str">
        <f aca="false">IF($A71="","",$A71&amp;"|"&amp;$C71)</f>
        <v/>
      </c>
      <c r="AF71" s="28" t="str">
        <f aca="false">IF($A71="","",IFERROR(COUNTIF(L71:M71,"כן")/(COUNTIF(L71:M71,"כן")+COUNTIF(L71:M71,"לא")),""))</f>
        <v/>
      </c>
      <c r="AG71" s="28" t="str">
        <f aca="false">IF($A71="","",IFERROR(COUNTIF(N71:O71,"כן")/(COUNTIF(N71:O71,"כן")+COUNTIF(N71:O71,"לא")),""))</f>
        <v/>
      </c>
      <c r="AH71" s="28" t="str">
        <f aca="false">IF($A71="","",IFERROR(COUNTIF(P71,"כן")/(COUNTIF(P71,"כן")+COUNTIF(P71,"לא")),""))</f>
        <v/>
      </c>
      <c r="AI71" s="28" t="str">
        <f aca="false">IF($A71="","",IFERROR(COUNTIF(Q71:R71,"כן")/(COUNTIF(Q71:R71,"כן")+COUNTIF(Q71:R71,"לא")),""))</f>
        <v/>
      </c>
      <c r="AJ71" s="28" t="str">
        <f aca="false">IF($A71="","",IFERROR(COUNTIF(S71:T71,"כן")/(COUNTIF(S71:T71,"כן")+COUNTIF(S71:T71,"לא")),""))</f>
        <v/>
      </c>
      <c r="AK71" s="28" t="str">
        <f aca="false">IF($A71="","",IFERROR(COUNTIF(L71:T71,"כן")/(COUNTIF(L71:T71,"כן")+COUNTIF(L71:T71,"לא")),""))</f>
        <v/>
      </c>
      <c r="AL71" s="36" t="str">
        <f aca="false">IF($A71="","",IFERROR(AVERAGE(U71:V71),""))</f>
        <v/>
      </c>
      <c r="AM71" s="36" t="str">
        <f aca="false">IF($A71="","",IFERROR(AVERAGE(W71:X71),""))</f>
        <v/>
      </c>
      <c r="AN71" s="36" t="str">
        <f aca="false">IF($A71="","",IFERROR(AVERAGE(Y71:Z71),""))</f>
        <v/>
      </c>
      <c r="AO71" s="36" t="str">
        <f aca="false">IF($A71="","",IFERROR(AVERAGE(AA71:AB71),""))</f>
        <v/>
      </c>
      <c r="AP71" s="36" t="str">
        <f aca="false">IF($A71="","",IFERROR(AVERAGE(AC71),""))</f>
        <v/>
      </c>
      <c r="AQ71" s="36" t="str">
        <f aca="false">IF($A71="","",IFERROR(AVERAGE(U71:AC71),""))</f>
        <v/>
      </c>
      <c r="AR71" s="27" t="str">
        <f aca="false">IF($A71="","",IF(AND(H71="",J71=""),"לא נבדק",IF(AND(OR(H71="",H71=I71),OR(J71="",J71=K71)),"תואם","לא תואם")))</f>
        <v/>
      </c>
      <c r="AS71" s="27" t="str">
        <f aca="false">IF($A71="","",IF(AND(AR71&lt;&gt;"לא תואם",G71&lt;&gt;"לא ברור"),"אמין","לפרש בזהירות"))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7" t="str">
        <f aca="false">IF($A72="","",$A72&amp;"|"&amp;$C72)</f>
        <v/>
      </c>
      <c r="AF72" s="28" t="str">
        <f aca="false">IF($A72="","",IFERROR(COUNTIF(L72:M72,"כן")/(COUNTIF(L72:M72,"כן")+COUNTIF(L72:M72,"לא")),""))</f>
        <v/>
      </c>
      <c r="AG72" s="28" t="str">
        <f aca="false">IF($A72="","",IFERROR(COUNTIF(N72:O72,"כן")/(COUNTIF(N72:O72,"כן")+COUNTIF(N72:O72,"לא")),""))</f>
        <v/>
      </c>
      <c r="AH72" s="28" t="str">
        <f aca="false">IF($A72="","",IFERROR(COUNTIF(P72,"כן")/(COUNTIF(P72,"כן")+COUNTIF(P72,"לא")),""))</f>
        <v/>
      </c>
      <c r="AI72" s="28" t="str">
        <f aca="false">IF($A72="","",IFERROR(COUNTIF(Q72:R72,"כן")/(COUNTIF(Q72:R72,"כן")+COUNTIF(Q72:R72,"לא")),""))</f>
        <v/>
      </c>
      <c r="AJ72" s="28" t="str">
        <f aca="false">IF($A72="","",IFERROR(COUNTIF(S72:T72,"כן")/(COUNTIF(S72:T72,"כן")+COUNTIF(S72:T72,"לא")),""))</f>
        <v/>
      </c>
      <c r="AK72" s="28" t="str">
        <f aca="false">IF($A72="","",IFERROR(COUNTIF(L72:T72,"כן")/(COUNTIF(L72:T72,"כן")+COUNTIF(L72:T72,"לא")),""))</f>
        <v/>
      </c>
      <c r="AL72" s="36" t="str">
        <f aca="false">IF($A72="","",IFERROR(AVERAGE(U72:V72),""))</f>
        <v/>
      </c>
      <c r="AM72" s="36" t="str">
        <f aca="false">IF($A72="","",IFERROR(AVERAGE(W72:X72),""))</f>
        <v/>
      </c>
      <c r="AN72" s="36" t="str">
        <f aca="false">IF($A72="","",IFERROR(AVERAGE(Y72:Z72),""))</f>
        <v/>
      </c>
      <c r="AO72" s="36" t="str">
        <f aca="false">IF($A72="","",IFERROR(AVERAGE(AA72:AB72),""))</f>
        <v/>
      </c>
      <c r="AP72" s="36" t="str">
        <f aca="false">IF($A72="","",IFERROR(AVERAGE(AC72),""))</f>
        <v/>
      </c>
      <c r="AQ72" s="36" t="str">
        <f aca="false">IF($A72="","",IFERROR(AVERAGE(U72:AC72),""))</f>
        <v/>
      </c>
      <c r="AR72" s="27" t="str">
        <f aca="false">IF($A72="","",IF(AND(H72="",J72=""),"לא נבדק",IF(AND(OR(H72="",H72=I72),OR(J72="",J72=K72)),"תואם","לא תואם")))</f>
        <v/>
      </c>
      <c r="AS72" s="27" t="str">
        <f aca="false">IF($A72="","",IF(AND(AR72&lt;&gt;"לא תואם",G72&lt;&gt;"לא ברור"),"אמין","לפרש בזהירות"))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7" t="str">
        <f aca="false">IF($A73="","",$A73&amp;"|"&amp;$C73)</f>
        <v/>
      </c>
      <c r="AF73" s="28" t="str">
        <f aca="false">IF($A73="","",IFERROR(COUNTIF(L73:M73,"כן")/(COUNTIF(L73:M73,"כן")+COUNTIF(L73:M73,"לא")),""))</f>
        <v/>
      </c>
      <c r="AG73" s="28" t="str">
        <f aca="false">IF($A73="","",IFERROR(COUNTIF(N73:O73,"כן")/(COUNTIF(N73:O73,"כן")+COUNTIF(N73:O73,"לא")),""))</f>
        <v/>
      </c>
      <c r="AH73" s="28" t="str">
        <f aca="false">IF($A73="","",IFERROR(COUNTIF(P73,"כן")/(COUNTIF(P73,"כן")+COUNTIF(P73,"לא")),""))</f>
        <v/>
      </c>
      <c r="AI73" s="28" t="str">
        <f aca="false">IF($A73="","",IFERROR(COUNTIF(Q73:R73,"כן")/(COUNTIF(Q73:R73,"כן")+COUNTIF(Q73:R73,"לא")),""))</f>
        <v/>
      </c>
      <c r="AJ73" s="28" t="str">
        <f aca="false">IF($A73="","",IFERROR(COUNTIF(S73:T73,"כן")/(COUNTIF(S73:T73,"כן")+COUNTIF(S73:T73,"לא")),""))</f>
        <v/>
      </c>
      <c r="AK73" s="28" t="str">
        <f aca="false">IF($A73="","",IFERROR(COUNTIF(L73:T73,"כן")/(COUNTIF(L73:T73,"כן")+COUNTIF(L73:T73,"לא")),""))</f>
        <v/>
      </c>
      <c r="AL73" s="36" t="str">
        <f aca="false">IF($A73="","",IFERROR(AVERAGE(U73:V73),""))</f>
        <v/>
      </c>
      <c r="AM73" s="36" t="str">
        <f aca="false">IF($A73="","",IFERROR(AVERAGE(W73:X73),""))</f>
        <v/>
      </c>
      <c r="AN73" s="36" t="str">
        <f aca="false">IF($A73="","",IFERROR(AVERAGE(Y73:Z73),""))</f>
        <v/>
      </c>
      <c r="AO73" s="36" t="str">
        <f aca="false">IF($A73="","",IFERROR(AVERAGE(AA73:AB73),""))</f>
        <v/>
      </c>
      <c r="AP73" s="36" t="str">
        <f aca="false">IF($A73="","",IFERROR(AVERAGE(AC73),""))</f>
        <v/>
      </c>
      <c r="AQ73" s="36" t="str">
        <f aca="false">IF($A73="","",IFERROR(AVERAGE(U73:AC73),""))</f>
        <v/>
      </c>
      <c r="AR73" s="27" t="str">
        <f aca="false">IF($A73="","",IF(AND(H73="",J73=""),"לא נבדק",IF(AND(OR(H73="",H73=I73),OR(J73="",J73=K73)),"תואם","לא תואם")))</f>
        <v/>
      </c>
      <c r="AS73" s="27" t="str">
        <f aca="false">IF($A73="","",IF(AND(AR73&lt;&gt;"לא תואם",G73&lt;&gt;"לא ברור"),"אמין","לפרש בזהירות"))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7" t="str">
        <f aca="false">IF($A74="","",$A74&amp;"|"&amp;$C74)</f>
        <v/>
      </c>
      <c r="AF74" s="28" t="str">
        <f aca="false">IF($A74="","",IFERROR(COUNTIF(L74:M74,"כן")/(COUNTIF(L74:M74,"כן")+COUNTIF(L74:M74,"לא")),""))</f>
        <v/>
      </c>
      <c r="AG74" s="28" t="str">
        <f aca="false">IF($A74="","",IFERROR(COUNTIF(N74:O74,"כן")/(COUNTIF(N74:O74,"כן")+COUNTIF(N74:O74,"לא")),""))</f>
        <v/>
      </c>
      <c r="AH74" s="28" t="str">
        <f aca="false">IF($A74="","",IFERROR(COUNTIF(P74,"כן")/(COUNTIF(P74,"כן")+COUNTIF(P74,"לא")),""))</f>
        <v/>
      </c>
      <c r="AI74" s="28" t="str">
        <f aca="false">IF($A74="","",IFERROR(COUNTIF(Q74:R74,"כן")/(COUNTIF(Q74:R74,"כן")+COUNTIF(Q74:R74,"לא")),""))</f>
        <v/>
      </c>
      <c r="AJ74" s="28" t="str">
        <f aca="false">IF($A74="","",IFERROR(COUNTIF(S74:T74,"כן")/(COUNTIF(S74:T74,"כן")+COUNTIF(S74:T74,"לא")),""))</f>
        <v/>
      </c>
      <c r="AK74" s="28" t="str">
        <f aca="false">IF($A74="","",IFERROR(COUNTIF(L74:T74,"כן")/(COUNTIF(L74:T74,"כן")+COUNTIF(L74:T74,"לא")),""))</f>
        <v/>
      </c>
      <c r="AL74" s="36" t="str">
        <f aca="false">IF($A74="","",IFERROR(AVERAGE(U74:V74),""))</f>
        <v/>
      </c>
      <c r="AM74" s="36" t="str">
        <f aca="false">IF($A74="","",IFERROR(AVERAGE(W74:X74),""))</f>
        <v/>
      </c>
      <c r="AN74" s="36" t="str">
        <f aca="false">IF($A74="","",IFERROR(AVERAGE(Y74:Z74),""))</f>
        <v/>
      </c>
      <c r="AO74" s="36" t="str">
        <f aca="false">IF($A74="","",IFERROR(AVERAGE(AA74:AB74),""))</f>
        <v/>
      </c>
      <c r="AP74" s="36" t="str">
        <f aca="false">IF($A74="","",IFERROR(AVERAGE(AC74),""))</f>
        <v/>
      </c>
      <c r="AQ74" s="36" t="str">
        <f aca="false">IF($A74="","",IFERROR(AVERAGE(U74:AC74),""))</f>
        <v/>
      </c>
      <c r="AR74" s="27" t="str">
        <f aca="false">IF($A74="","",IF(AND(H74="",J74=""),"לא נבדק",IF(AND(OR(H74="",H74=I74),OR(J74="",J74=K74)),"תואם","לא תואם")))</f>
        <v/>
      </c>
      <c r="AS74" s="27" t="str">
        <f aca="false">IF($A74="","",IF(AND(AR74&lt;&gt;"לא תואם",G74&lt;&gt;"לא ברור"),"אמין","לפרש בזהירות"))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7" t="str">
        <f aca="false">IF($A75="","",$A75&amp;"|"&amp;$C75)</f>
        <v/>
      </c>
      <c r="AF75" s="28" t="str">
        <f aca="false">IF($A75="","",IFERROR(COUNTIF(L75:M75,"כן")/(COUNTIF(L75:M75,"כן")+COUNTIF(L75:M75,"לא")),""))</f>
        <v/>
      </c>
      <c r="AG75" s="28" t="str">
        <f aca="false">IF($A75="","",IFERROR(COUNTIF(N75:O75,"כן")/(COUNTIF(N75:O75,"כן")+COUNTIF(N75:O75,"לא")),""))</f>
        <v/>
      </c>
      <c r="AH75" s="28" t="str">
        <f aca="false">IF($A75="","",IFERROR(COUNTIF(P75,"כן")/(COUNTIF(P75,"כן")+COUNTIF(P75,"לא")),""))</f>
        <v/>
      </c>
      <c r="AI75" s="28" t="str">
        <f aca="false">IF($A75="","",IFERROR(COUNTIF(Q75:R75,"כן")/(COUNTIF(Q75:R75,"כן")+COUNTIF(Q75:R75,"לא")),""))</f>
        <v/>
      </c>
      <c r="AJ75" s="28" t="str">
        <f aca="false">IF($A75="","",IFERROR(COUNTIF(S75:T75,"כן")/(COUNTIF(S75:T75,"כן")+COUNTIF(S75:T75,"לא")),""))</f>
        <v/>
      </c>
      <c r="AK75" s="28" t="str">
        <f aca="false">IF($A75="","",IFERROR(COUNTIF(L75:T75,"כן")/(COUNTIF(L75:T75,"כן")+COUNTIF(L75:T75,"לא")),""))</f>
        <v/>
      </c>
      <c r="AL75" s="36" t="str">
        <f aca="false">IF($A75="","",IFERROR(AVERAGE(U75:V75),""))</f>
        <v/>
      </c>
      <c r="AM75" s="36" t="str">
        <f aca="false">IF($A75="","",IFERROR(AVERAGE(W75:X75),""))</f>
        <v/>
      </c>
      <c r="AN75" s="36" t="str">
        <f aca="false">IF($A75="","",IFERROR(AVERAGE(Y75:Z75),""))</f>
        <v/>
      </c>
      <c r="AO75" s="36" t="str">
        <f aca="false">IF($A75="","",IFERROR(AVERAGE(AA75:AB75),""))</f>
        <v/>
      </c>
      <c r="AP75" s="36" t="str">
        <f aca="false">IF($A75="","",IFERROR(AVERAGE(AC75),""))</f>
        <v/>
      </c>
      <c r="AQ75" s="36" t="str">
        <f aca="false">IF($A75="","",IFERROR(AVERAGE(U75:AC75),""))</f>
        <v/>
      </c>
      <c r="AR75" s="27" t="str">
        <f aca="false">IF($A75="","",IF(AND(H75="",J75=""),"לא נבדק",IF(AND(OR(H75="",H75=I75),OR(J75="",J75=K75)),"תואם","לא תואם")))</f>
        <v/>
      </c>
      <c r="AS75" s="27" t="str">
        <f aca="false">IF($A75="","",IF(AND(AR75&lt;&gt;"לא תואם",G75&lt;&gt;"לא ברור"),"אמין","לפרש בזהירות"))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7" t="str">
        <f aca="false">IF($A76="","",$A76&amp;"|"&amp;$C76)</f>
        <v/>
      </c>
      <c r="AF76" s="28" t="str">
        <f aca="false">IF($A76="","",IFERROR(COUNTIF(L76:M76,"כן")/(COUNTIF(L76:M76,"כן")+COUNTIF(L76:M76,"לא")),""))</f>
        <v/>
      </c>
      <c r="AG76" s="28" t="str">
        <f aca="false">IF($A76="","",IFERROR(COUNTIF(N76:O76,"כן")/(COUNTIF(N76:O76,"כן")+COUNTIF(N76:O76,"לא")),""))</f>
        <v/>
      </c>
      <c r="AH76" s="28" t="str">
        <f aca="false">IF($A76="","",IFERROR(COUNTIF(P76,"כן")/(COUNTIF(P76,"כן")+COUNTIF(P76,"לא")),""))</f>
        <v/>
      </c>
      <c r="AI76" s="28" t="str">
        <f aca="false">IF($A76="","",IFERROR(COUNTIF(Q76:R76,"כן")/(COUNTIF(Q76:R76,"כן")+COUNTIF(Q76:R76,"לא")),""))</f>
        <v/>
      </c>
      <c r="AJ76" s="28" t="str">
        <f aca="false">IF($A76="","",IFERROR(COUNTIF(S76:T76,"כן")/(COUNTIF(S76:T76,"כן")+COUNTIF(S76:T76,"לא")),""))</f>
        <v/>
      </c>
      <c r="AK76" s="28" t="str">
        <f aca="false">IF($A76="","",IFERROR(COUNTIF(L76:T76,"כן")/(COUNTIF(L76:T76,"כן")+COUNTIF(L76:T76,"לא")),""))</f>
        <v/>
      </c>
      <c r="AL76" s="36" t="str">
        <f aca="false">IF($A76="","",IFERROR(AVERAGE(U76:V76),""))</f>
        <v/>
      </c>
      <c r="AM76" s="36" t="str">
        <f aca="false">IF($A76="","",IFERROR(AVERAGE(W76:X76),""))</f>
        <v/>
      </c>
      <c r="AN76" s="36" t="str">
        <f aca="false">IF($A76="","",IFERROR(AVERAGE(Y76:Z76),""))</f>
        <v/>
      </c>
      <c r="AO76" s="36" t="str">
        <f aca="false">IF($A76="","",IFERROR(AVERAGE(AA76:AB76),""))</f>
        <v/>
      </c>
      <c r="AP76" s="36" t="str">
        <f aca="false">IF($A76="","",IFERROR(AVERAGE(AC76),""))</f>
        <v/>
      </c>
      <c r="AQ76" s="36" t="str">
        <f aca="false">IF($A76="","",IFERROR(AVERAGE(U76:AC76),""))</f>
        <v/>
      </c>
      <c r="AR76" s="27" t="str">
        <f aca="false">IF($A76="","",IF(AND(H76="",J76=""),"לא נבדק",IF(AND(OR(H76="",H76=I76),OR(J76="",J76=K76)),"תואם","לא תואם")))</f>
        <v/>
      </c>
      <c r="AS76" s="27" t="str">
        <f aca="false">IF($A76="","",IF(AND(AR76&lt;&gt;"לא תואם",G76&lt;&gt;"לא ברור"),"אמין","לפרש בזהירות"))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7" t="str">
        <f aca="false">IF($A77="","",$A77&amp;"|"&amp;$C77)</f>
        <v/>
      </c>
      <c r="AF77" s="28" t="str">
        <f aca="false">IF($A77="","",IFERROR(COUNTIF(L77:M77,"כן")/(COUNTIF(L77:M77,"כן")+COUNTIF(L77:M77,"לא")),""))</f>
        <v/>
      </c>
      <c r="AG77" s="28" t="str">
        <f aca="false">IF($A77="","",IFERROR(COUNTIF(N77:O77,"כן")/(COUNTIF(N77:O77,"כן")+COUNTIF(N77:O77,"לא")),""))</f>
        <v/>
      </c>
      <c r="AH77" s="28" t="str">
        <f aca="false">IF($A77="","",IFERROR(COUNTIF(P77,"כן")/(COUNTIF(P77,"כן")+COUNTIF(P77,"לא")),""))</f>
        <v/>
      </c>
      <c r="AI77" s="28" t="str">
        <f aca="false">IF($A77="","",IFERROR(COUNTIF(Q77:R77,"כן")/(COUNTIF(Q77:R77,"כן")+COUNTIF(Q77:R77,"לא")),""))</f>
        <v/>
      </c>
      <c r="AJ77" s="28" t="str">
        <f aca="false">IF($A77="","",IFERROR(COUNTIF(S77:T77,"כן")/(COUNTIF(S77:T77,"כן")+COUNTIF(S77:T77,"לא")),""))</f>
        <v/>
      </c>
      <c r="AK77" s="28" t="str">
        <f aca="false">IF($A77="","",IFERROR(COUNTIF(L77:T77,"כן")/(COUNTIF(L77:T77,"כן")+COUNTIF(L77:T77,"לא")),""))</f>
        <v/>
      </c>
      <c r="AL77" s="36" t="str">
        <f aca="false">IF($A77="","",IFERROR(AVERAGE(U77:V77),""))</f>
        <v/>
      </c>
      <c r="AM77" s="36" t="str">
        <f aca="false">IF($A77="","",IFERROR(AVERAGE(W77:X77),""))</f>
        <v/>
      </c>
      <c r="AN77" s="36" t="str">
        <f aca="false">IF($A77="","",IFERROR(AVERAGE(Y77:Z77),""))</f>
        <v/>
      </c>
      <c r="AO77" s="36" t="str">
        <f aca="false">IF($A77="","",IFERROR(AVERAGE(AA77:AB77),""))</f>
        <v/>
      </c>
      <c r="AP77" s="36" t="str">
        <f aca="false">IF($A77="","",IFERROR(AVERAGE(AC77),""))</f>
        <v/>
      </c>
      <c r="AQ77" s="36" t="str">
        <f aca="false">IF($A77="","",IFERROR(AVERAGE(U77:AC77),""))</f>
        <v/>
      </c>
      <c r="AR77" s="27" t="str">
        <f aca="false">IF($A77="","",IF(AND(H77="",J77=""),"לא נבדק",IF(AND(OR(H77="",H77=I77),OR(J77="",J77=K77)),"תואם","לא תואם")))</f>
        <v/>
      </c>
      <c r="AS77" s="27" t="str">
        <f aca="false">IF($A77="","",IF(AND(AR77&lt;&gt;"לא תואם",G77&lt;&gt;"לא ברור"),"אמין","לפרש בזהירות"))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7" t="str">
        <f aca="false">IF($A78="","",$A78&amp;"|"&amp;$C78)</f>
        <v/>
      </c>
      <c r="AF78" s="28" t="str">
        <f aca="false">IF($A78="","",IFERROR(COUNTIF(L78:M78,"כן")/(COUNTIF(L78:M78,"כן")+COUNTIF(L78:M78,"לא")),""))</f>
        <v/>
      </c>
      <c r="AG78" s="28" t="str">
        <f aca="false">IF($A78="","",IFERROR(COUNTIF(N78:O78,"כן")/(COUNTIF(N78:O78,"כן")+COUNTIF(N78:O78,"לא")),""))</f>
        <v/>
      </c>
      <c r="AH78" s="28" t="str">
        <f aca="false">IF($A78="","",IFERROR(COUNTIF(P78,"כן")/(COUNTIF(P78,"כן")+COUNTIF(P78,"לא")),""))</f>
        <v/>
      </c>
      <c r="AI78" s="28" t="str">
        <f aca="false">IF($A78="","",IFERROR(COUNTIF(Q78:R78,"כן")/(COUNTIF(Q78:R78,"כן")+COUNTIF(Q78:R78,"לא")),""))</f>
        <v/>
      </c>
      <c r="AJ78" s="28" t="str">
        <f aca="false">IF($A78="","",IFERROR(COUNTIF(S78:T78,"כן")/(COUNTIF(S78:T78,"כן")+COUNTIF(S78:T78,"לא")),""))</f>
        <v/>
      </c>
      <c r="AK78" s="28" t="str">
        <f aca="false">IF($A78="","",IFERROR(COUNTIF(L78:T78,"כן")/(COUNTIF(L78:T78,"כן")+COUNTIF(L78:T78,"לא")),""))</f>
        <v/>
      </c>
      <c r="AL78" s="36" t="str">
        <f aca="false">IF($A78="","",IFERROR(AVERAGE(U78:V78),""))</f>
        <v/>
      </c>
      <c r="AM78" s="36" t="str">
        <f aca="false">IF($A78="","",IFERROR(AVERAGE(W78:X78),""))</f>
        <v/>
      </c>
      <c r="AN78" s="36" t="str">
        <f aca="false">IF($A78="","",IFERROR(AVERAGE(Y78:Z78),""))</f>
        <v/>
      </c>
      <c r="AO78" s="36" t="str">
        <f aca="false">IF($A78="","",IFERROR(AVERAGE(AA78:AB78),""))</f>
        <v/>
      </c>
      <c r="AP78" s="36" t="str">
        <f aca="false">IF($A78="","",IFERROR(AVERAGE(AC78),""))</f>
        <v/>
      </c>
      <c r="AQ78" s="36" t="str">
        <f aca="false">IF($A78="","",IFERROR(AVERAGE(U78:AC78),""))</f>
        <v/>
      </c>
      <c r="AR78" s="27" t="str">
        <f aca="false">IF($A78="","",IF(AND(H78="",J78=""),"לא נבדק",IF(AND(OR(H78="",H78=I78),OR(J78="",J78=K78)),"תואם","לא תואם")))</f>
        <v/>
      </c>
      <c r="AS78" s="27" t="str">
        <f aca="false">IF($A78="","",IF(AND(AR78&lt;&gt;"לא תואם",G78&lt;&gt;"לא ברור"),"אמין","לפרש בזהירות"))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7" t="str">
        <f aca="false">IF($A79="","",$A79&amp;"|"&amp;$C79)</f>
        <v/>
      </c>
      <c r="AF79" s="28" t="str">
        <f aca="false">IF($A79="","",IFERROR(COUNTIF(L79:M79,"כן")/(COUNTIF(L79:M79,"כן")+COUNTIF(L79:M79,"לא")),""))</f>
        <v/>
      </c>
      <c r="AG79" s="28" t="str">
        <f aca="false">IF($A79="","",IFERROR(COUNTIF(N79:O79,"כן")/(COUNTIF(N79:O79,"כן")+COUNTIF(N79:O79,"לא")),""))</f>
        <v/>
      </c>
      <c r="AH79" s="28" t="str">
        <f aca="false">IF($A79="","",IFERROR(COUNTIF(P79,"כן")/(COUNTIF(P79,"כן")+COUNTIF(P79,"לא")),""))</f>
        <v/>
      </c>
      <c r="AI79" s="28" t="str">
        <f aca="false">IF($A79="","",IFERROR(COUNTIF(Q79:R79,"כן")/(COUNTIF(Q79:R79,"כן")+COUNTIF(Q79:R79,"לא")),""))</f>
        <v/>
      </c>
      <c r="AJ79" s="28" t="str">
        <f aca="false">IF($A79="","",IFERROR(COUNTIF(S79:T79,"כן")/(COUNTIF(S79:T79,"כן")+COUNTIF(S79:T79,"לא")),""))</f>
        <v/>
      </c>
      <c r="AK79" s="28" t="str">
        <f aca="false">IF($A79="","",IFERROR(COUNTIF(L79:T79,"כן")/(COUNTIF(L79:T79,"כן")+COUNTIF(L79:T79,"לא")),""))</f>
        <v/>
      </c>
      <c r="AL79" s="36" t="str">
        <f aca="false">IF($A79="","",IFERROR(AVERAGE(U79:V79),""))</f>
        <v/>
      </c>
      <c r="AM79" s="36" t="str">
        <f aca="false">IF($A79="","",IFERROR(AVERAGE(W79:X79),""))</f>
        <v/>
      </c>
      <c r="AN79" s="36" t="str">
        <f aca="false">IF($A79="","",IFERROR(AVERAGE(Y79:Z79),""))</f>
        <v/>
      </c>
      <c r="AO79" s="36" t="str">
        <f aca="false">IF($A79="","",IFERROR(AVERAGE(AA79:AB79),""))</f>
        <v/>
      </c>
      <c r="AP79" s="36" t="str">
        <f aca="false">IF($A79="","",IFERROR(AVERAGE(AC79),""))</f>
        <v/>
      </c>
      <c r="AQ79" s="36" t="str">
        <f aca="false">IF($A79="","",IFERROR(AVERAGE(U79:AC79),""))</f>
        <v/>
      </c>
      <c r="AR79" s="27" t="str">
        <f aca="false">IF($A79="","",IF(AND(H79="",J79=""),"לא נבדק",IF(AND(OR(H79="",H79=I79),OR(J79="",J79=K79)),"תואם","לא תואם")))</f>
        <v/>
      </c>
      <c r="AS79" s="27" t="str">
        <f aca="false">IF($A79="","",IF(AND(AR79&lt;&gt;"לא תואם",G79&lt;&gt;"לא ברור"),"אמין","לפרש בזהירות"))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7" t="str">
        <f aca="false">IF($A80="","",$A80&amp;"|"&amp;$C80)</f>
        <v/>
      </c>
      <c r="AF80" s="28" t="str">
        <f aca="false">IF($A80="","",IFERROR(COUNTIF(L80:M80,"כן")/(COUNTIF(L80:M80,"כן")+COUNTIF(L80:M80,"לא")),""))</f>
        <v/>
      </c>
      <c r="AG80" s="28" t="str">
        <f aca="false">IF($A80="","",IFERROR(COUNTIF(N80:O80,"כן")/(COUNTIF(N80:O80,"כן")+COUNTIF(N80:O80,"לא")),""))</f>
        <v/>
      </c>
      <c r="AH80" s="28" t="str">
        <f aca="false">IF($A80="","",IFERROR(COUNTIF(P80,"כן")/(COUNTIF(P80,"כן")+COUNTIF(P80,"לא")),""))</f>
        <v/>
      </c>
      <c r="AI80" s="28" t="str">
        <f aca="false">IF($A80="","",IFERROR(COUNTIF(Q80:R80,"כן")/(COUNTIF(Q80:R80,"כן")+COUNTIF(Q80:R80,"לא")),""))</f>
        <v/>
      </c>
      <c r="AJ80" s="28" t="str">
        <f aca="false">IF($A80="","",IFERROR(COUNTIF(S80:T80,"כן")/(COUNTIF(S80:T80,"כן")+COUNTIF(S80:T80,"לא")),""))</f>
        <v/>
      </c>
      <c r="AK80" s="28" t="str">
        <f aca="false">IF($A80="","",IFERROR(COUNTIF(L80:T80,"כן")/(COUNTIF(L80:T80,"כן")+COUNTIF(L80:T80,"לא")),""))</f>
        <v/>
      </c>
      <c r="AL80" s="36" t="str">
        <f aca="false">IF($A80="","",IFERROR(AVERAGE(U80:V80),""))</f>
        <v/>
      </c>
      <c r="AM80" s="36" t="str">
        <f aca="false">IF($A80="","",IFERROR(AVERAGE(W80:X80),""))</f>
        <v/>
      </c>
      <c r="AN80" s="36" t="str">
        <f aca="false">IF($A80="","",IFERROR(AVERAGE(Y80:Z80),""))</f>
        <v/>
      </c>
      <c r="AO80" s="36" t="str">
        <f aca="false">IF($A80="","",IFERROR(AVERAGE(AA80:AB80),""))</f>
        <v/>
      </c>
      <c r="AP80" s="36" t="str">
        <f aca="false">IF($A80="","",IFERROR(AVERAGE(AC80),""))</f>
        <v/>
      </c>
      <c r="AQ80" s="36" t="str">
        <f aca="false">IF($A80="","",IFERROR(AVERAGE(U80:AC80),""))</f>
        <v/>
      </c>
      <c r="AR80" s="27" t="str">
        <f aca="false">IF($A80="","",IF(AND(H80="",J80=""),"לא נבדק",IF(AND(OR(H80="",H80=I80),OR(J80="",J80=K80)),"תואם","לא תואם")))</f>
        <v/>
      </c>
      <c r="AS80" s="27" t="str">
        <f aca="false">IF($A80="","",IF(AND(AR80&lt;&gt;"לא תואם",G80&lt;&gt;"לא ברור"),"אמין","לפרש בזהירות"))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7" t="str">
        <f aca="false">IF($A81="","",$A81&amp;"|"&amp;$C81)</f>
        <v/>
      </c>
      <c r="AF81" s="28" t="str">
        <f aca="false">IF($A81="","",IFERROR(COUNTIF(L81:M81,"כן")/(COUNTIF(L81:M81,"כן")+COUNTIF(L81:M81,"לא")),""))</f>
        <v/>
      </c>
      <c r="AG81" s="28" t="str">
        <f aca="false">IF($A81="","",IFERROR(COUNTIF(N81:O81,"כן")/(COUNTIF(N81:O81,"כן")+COUNTIF(N81:O81,"לא")),""))</f>
        <v/>
      </c>
      <c r="AH81" s="28" t="str">
        <f aca="false">IF($A81="","",IFERROR(COUNTIF(P81,"כן")/(COUNTIF(P81,"כן")+COUNTIF(P81,"לא")),""))</f>
        <v/>
      </c>
      <c r="AI81" s="28" t="str">
        <f aca="false">IF($A81="","",IFERROR(COUNTIF(Q81:R81,"כן")/(COUNTIF(Q81:R81,"כן")+COUNTIF(Q81:R81,"לא")),""))</f>
        <v/>
      </c>
      <c r="AJ81" s="28" t="str">
        <f aca="false">IF($A81="","",IFERROR(COUNTIF(S81:T81,"כן")/(COUNTIF(S81:T81,"כן")+COUNTIF(S81:T81,"לא")),""))</f>
        <v/>
      </c>
      <c r="AK81" s="28" t="str">
        <f aca="false">IF($A81="","",IFERROR(COUNTIF(L81:T81,"כן")/(COUNTIF(L81:T81,"כן")+COUNTIF(L81:T81,"לא")),""))</f>
        <v/>
      </c>
      <c r="AL81" s="36" t="str">
        <f aca="false">IF($A81="","",IFERROR(AVERAGE(U81:V81),""))</f>
        <v/>
      </c>
      <c r="AM81" s="36" t="str">
        <f aca="false">IF($A81="","",IFERROR(AVERAGE(W81:X81),""))</f>
        <v/>
      </c>
      <c r="AN81" s="36" t="str">
        <f aca="false">IF($A81="","",IFERROR(AVERAGE(Y81:Z81),""))</f>
        <v/>
      </c>
      <c r="AO81" s="36" t="str">
        <f aca="false">IF($A81="","",IFERROR(AVERAGE(AA81:AB81),""))</f>
        <v/>
      </c>
      <c r="AP81" s="36" t="str">
        <f aca="false">IF($A81="","",IFERROR(AVERAGE(AC81),""))</f>
        <v/>
      </c>
      <c r="AQ81" s="36" t="str">
        <f aca="false">IF($A81="","",IFERROR(AVERAGE(U81:AC81),""))</f>
        <v/>
      </c>
      <c r="AR81" s="27" t="str">
        <f aca="false">IF($A81="","",IF(AND(H81="",J81=""),"לא נבדק",IF(AND(OR(H81="",H81=I81),OR(J81="",J81=K81)),"תואם","לא תואם")))</f>
        <v/>
      </c>
      <c r="AS81" s="27" t="str">
        <f aca="false">IF($A81="","",IF(AND(AR81&lt;&gt;"לא תואם",G81&lt;&gt;"לא ברור"),"אמין","לפרש בזהירות"))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7" t="str">
        <f aca="false">IF($A82="","",$A82&amp;"|"&amp;$C82)</f>
        <v/>
      </c>
      <c r="AF82" s="28" t="str">
        <f aca="false">IF($A82="","",IFERROR(COUNTIF(L82:M82,"כן")/(COUNTIF(L82:M82,"כן")+COUNTIF(L82:M82,"לא")),""))</f>
        <v/>
      </c>
      <c r="AG82" s="28" t="str">
        <f aca="false">IF($A82="","",IFERROR(COUNTIF(N82:O82,"כן")/(COUNTIF(N82:O82,"כן")+COUNTIF(N82:O82,"לא")),""))</f>
        <v/>
      </c>
      <c r="AH82" s="28" t="str">
        <f aca="false">IF($A82="","",IFERROR(COUNTIF(P82,"כן")/(COUNTIF(P82,"כן")+COUNTIF(P82,"לא")),""))</f>
        <v/>
      </c>
      <c r="AI82" s="28" t="str">
        <f aca="false">IF($A82="","",IFERROR(COUNTIF(Q82:R82,"כן")/(COUNTIF(Q82:R82,"כן")+COUNTIF(Q82:R82,"לא")),""))</f>
        <v/>
      </c>
      <c r="AJ82" s="28" t="str">
        <f aca="false">IF($A82="","",IFERROR(COUNTIF(S82:T82,"כן")/(COUNTIF(S82:T82,"כן")+COUNTIF(S82:T82,"לא")),""))</f>
        <v/>
      </c>
      <c r="AK82" s="28" t="str">
        <f aca="false">IF($A82="","",IFERROR(COUNTIF(L82:T82,"כן")/(COUNTIF(L82:T82,"כן")+COUNTIF(L82:T82,"לא")),""))</f>
        <v/>
      </c>
      <c r="AL82" s="36" t="str">
        <f aca="false">IF($A82="","",IFERROR(AVERAGE(U82:V82),""))</f>
        <v/>
      </c>
      <c r="AM82" s="36" t="str">
        <f aca="false">IF($A82="","",IFERROR(AVERAGE(W82:X82),""))</f>
        <v/>
      </c>
      <c r="AN82" s="36" t="str">
        <f aca="false">IF($A82="","",IFERROR(AVERAGE(Y82:Z82),""))</f>
        <v/>
      </c>
      <c r="AO82" s="36" t="str">
        <f aca="false">IF($A82="","",IFERROR(AVERAGE(AA82:AB82),""))</f>
        <v/>
      </c>
      <c r="AP82" s="36" t="str">
        <f aca="false">IF($A82="","",IFERROR(AVERAGE(AC82),""))</f>
        <v/>
      </c>
      <c r="AQ82" s="36" t="str">
        <f aca="false">IF($A82="","",IFERROR(AVERAGE(U82:AC82),""))</f>
        <v/>
      </c>
      <c r="AR82" s="27" t="str">
        <f aca="false">IF($A82="","",IF(AND(H82="",J82=""),"לא נבדק",IF(AND(OR(H82="",H82=I82),OR(J82="",J82=K82)),"תואם","לא תואם")))</f>
        <v/>
      </c>
      <c r="AS82" s="27" t="str">
        <f aca="false">IF($A82="","",IF(AND(AR82&lt;&gt;"לא תואם",G82&lt;&gt;"לא ברור"),"אמין","לפרש בזהירות"))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7" t="str">
        <f aca="false">IF($A83="","",$A83&amp;"|"&amp;$C83)</f>
        <v/>
      </c>
      <c r="AF83" s="28" t="str">
        <f aca="false">IF($A83="","",IFERROR(COUNTIF(L83:M83,"כן")/(COUNTIF(L83:M83,"כן")+COUNTIF(L83:M83,"לא")),""))</f>
        <v/>
      </c>
      <c r="AG83" s="28" t="str">
        <f aca="false">IF($A83="","",IFERROR(COUNTIF(N83:O83,"כן")/(COUNTIF(N83:O83,"כן")+COUNTIF(N83:O83,"לא")),""))</f>
        <v/>
      </c>
      <c r="AH83" s="28" t="str">
        <f aca="false">IF($A83="","",IFERROR(COUNTIF(P83,"כן")/(COUNTIF(P83,"כן")+COUNTIF(P83,"לא")),""))</f>
        <v/>
      </c>
      <c r="AI83" s="28" t="str">
        <f aca="false">IF($A83="","",IFERROR(COUNTIF(Q83:R83,"כן")/(COUNTIF(Q83:R83,"כן")+COUNTIF(Q83:R83,"לא")),""))</f>
        <v/>
      </c>
      <c r="AJ83" s="28" t="str">
        <f aca="false">IF($A83="","",IFERROR(COUNTIF(S83:T83,"כן")/(COUNTIF(S83:T83,"כן")+COUNTIF(S83:T83,"לא")),""))</f>
        <v/>
      </c>
      <c r="AK83" s="28" t="str">
        <f aca="false">IF($A83="","",IFERROR(COUNTIF(L83:T83,"כן")/(COUNTIF(L83:T83,"כן")+COUNTIF(L83:T83,"לא")),""))</f>
        <v/>
      </c>
      <c r="AL83" s="36" t="str">
        <f aca="false">IF($A83="","",IFERROR(AVERAGE(U83:V83),""))</f>
        <v/>
      </c>
      <c r="AM83" s="36" t="str">
        <f aca="false">IF($A83="","",IFERROR(AVERAGE(W83:X83),""))</f>
        <v/>
      </c>
      <c r="AN83" s="36" t="str">
        <f aca="false">IF($A83="","",IFERROR(AVERAGE(Y83:Z83),""))</f>
        <v/>
      </c>
      <c r="AO83" s="36" t="str">
        <f aca="false">IF($A83="","",IFERROR(AVERAGE(AA83:AB83),""))</f>
        <v/>
      </c>
      <c r="AP83" s="36" t="str">
        <f aca="false">IF($A83="","",IFERROR(AVERAGE(AC83),""))</f>
        <v/>
      </c>
      <c r="AQ83" s="36" t="str">
        <f aca="false">IF($A83="","",IFERROR(AVERAGE(U83:AC83),""))</f>
        <v/>
      </c>
      <c r="AR83" s="27" t="str">
        <f aca="false">IF($A83="","",IF(AND(H83="",J83=""),"לא נבדק",IF(AND(OR(H83="",H83=I83),OR(J83="",J83=K83)),"תואם","לא תואם")))</f>
        <v/>
      </c>
      <c r="AS83" s="27" t="str">
        <f aca="false">IF($A83="","",IF(AND(AR83&lt;&gt;"לא תואם",G83&lt;&gt;"לא ברור"),"אמין","לפרש בזהירות"))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7" t="str">
        <f aca="false">IF($A84="","",$A84&amp;"|"&amp;$C84)</f>
        <v/>
      </c>
      <c r="AF84" s="28" t="str">
        <f aca="false">IF($A84="","",IFERROR(COUNTIF(L84:M84,"כן")/(COUNTIF(L84:M84,"כן")+COUNTIF(L84:M84,"לא")),""))</f>
        <v/>
      </c>
      <c r="AG84" s="28" t="str">
        <f aca="false">IF($A84="","",IFERROR(COUNTIF(N84:O84,"כן")/(COUNTIF(N84:O84,"כן")+COUNTIF(N84:O84,"לא")),""))</f>
        <v/>
      </c>
      <c r="AH84" s="28" t="str">
        <f aca="false">IF($A84="","",IFERROR(COUNTIF(P84,"כן")/(COUNTIF(P84,"כן")+COUNTIF(P84,"לא")),""))</f>
        <v/>
      </c>
      <c r="AI84" s="28" t="str">
        <f aca="false">IF($A84="","",IFERROR(COUNTIF(Q84:R84,"כן")/(COUNTIF(Q84:R84,"כן")+COUNTIF(Q84:R84,"לא")),""))</f>
        <v/>
      </c>
      <c r="AJ84" s="28" t="str">
        <f aca="false">IF($A84="","",IFERROR(COUNTIF(S84:T84,"כן")/(COUNTIF(S84:T84,"כן")+COUNTIF(S84:T84,"לא")),""))</f>
        <v/>
      </c>
      <c r="AK84" s="28" t="str">
        <f aca="false">IF($A84="","",IFERROR(COUNTIF(L84:T84,"כן")/(COUNTIF(L84:T84,"כן")+COUNTIF(L84:T84,"לא")),""))</f>
        <v/>
      </c>
      <c r="AL84" s="36" t="str">
        <f aca="false">IF($A84="","",IFERROR(AVERAGE(U84:V84),""))</f>
        <v/>
      </c>
      <c r="AM84" s="36" t="str">
        <f aca="false">IF($A84="","",IFERROR(AVERAGE(W84:X84),""))</f>
        <v/>
      </c>
      <c r="AN84" s="36" t="str">
        <f aca="false">IF($A84="","",IFERROR(AVERAGE(Y84:Z84),""))</f>
        <v/>
      </c>
      <c r="AO84" s="36" t="str">
        <f aca="false">IF($A84="","",IFERROR(AVERAGE(AA84:AB84),""))</f>
        <v/>
      </c>
      <c r="AP84" s="36" t="str">
        <f aca="false">IF($A84="","",IFERROR(AVERAGE(AC84),""))</f>
        <v/>
      </c>
      <c r="AQ84" s="36" t="str">
        <f aca="false">IF($A84="","",IFERROR(AVERAGE(U84:AC84),""))</f>
        <v/>
      </c>
      <c r="AR84" s="27" t="str">
        <f aca="false">IF($A84="","",IF(AND(H84="",J84=""),"לא נבדק",IF(AND(OR(H84="",H84=I84),OR(J84="",J84=K84)),"תואם","לא תואם")))</f>
        <v/>
      </c>
      <c r="AS84" s="27" t="str">
        <f aca="false">IF($A84="","",IF(AND(AR84&lt;&gt;"לא תואם",G84&lt;&gt;"לא ברור"),"אמין","לפרש בזהירות"))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7" t="str">
        <f aca="false">IF($A85="","",$A85&amp;"|"&amp;$C85)</f>
        <v/>
      </c>
      <c r="AF85" s="28" t="str">
        <f aca="false">IF($A85="","",IFERROR(COUNTIF(L85:M85,"כן")/(COUNTIF(L85:M85,"כן")+COUNTIF(L85:M85,"לא")),""))</f>
        <v/>
      </c>
      <c r="AG85" s="28" t="str">
        <f aca="false">IF($A85="","",IFERROR(COUNTIF(N85:O85,"כן")/(COUNTIF(N85:O85,"כן")+COUNTIF(N85:O85,"לא")),""))</f>
        <v/>
      </c>
      <c r="AH85" s="28" t="str">
        <f aca="false">IF($A85="","",IFERROR(COUNTIF(P85,"כן")/(COUNTIF(P85,"כן")+COUNTIF(P85,"לא")),""))</f>
        <v/>
      </c>
      <c r="AI85" s="28" t="str">
        <f aca="false">IF($A85="","",IFERROR(COUNTIF(Q85:R85,"כן")/(COUNTIF(Q85:R85,"כן")+COUNTIF(Q85:R85,"לא")),""))</f>
        <v/>
      </c>
      <c r="AJ85" s="28" t="str">
        <f aca="false">IF($A85="","",IFERROR(COUNTIF(S85:T85,"כן")/(COUNTIF(S85:T85,"כן")+COUNTIF(S85:T85,"לא")),""))</f>
        <v/>
      </c>
      <c r="AK85" s="28" t="str">
        <f aca="false">IF($A85="","",IFERROR(COUNTIF(L85:T85,"כן")/(COUNTIF(L85:T85,"כן")+COUNTIF(L85:T85,"לא")),""))</f>
        <v/>
      </c>
      <c r="AL85" s="36" t="str">
        <f aca="false">IF($A85="","",IFERROR(AVERAGE(U85:V85),""))</f>
        <v/>
      </c>
      <c r="AM85" s="36" t="str">
        <f aca="false">IF($A85="","",IFERROR(AVERAGE(W85:X85),""))</f>
        <v/>
      </c>
      <c r="AN85" s="36" t="str">
        <f aca="false">IF($A85="","",IFERROR(AVERAGE(Y85:Z85),""))</f>
        <v/>
      </c>
      <c r="AO85" s="36" t="str">
        <f aca="false">IF($A85="","",IFERROR(AVERAGE(AA85:AB85),""))</f>
        <v/>
      </c>
      <c r="AP85" s="36" t="str">
        <f aca="false">IF($A85="","",IFERROR(AVERAGE(AC85),""))</f>
        <v/>
      </c>
      <c r="AQ85" s="36" t="str">
        <f aca="false">IF($A85="","",IFERROR(AVERAGE(U85:AC85),""))</f>
        <v/>
      </c>
      <c r="AR85" s="27" t="str">
        <f aca="false">IF($A85="","",IF(AND(H85="",J85=""),"לא נבדק",IF(AND(OR(H85="",H85=I85),OR(J85="",J85=K85)),"תואם","לא תואם")))</f>
        <v/>
      </c>
      <c r="AS85" s="27" t="str">
        <f aca="false">IF($A85="","",IF(AND(AR85&lt;&gt;"לא תואם",G85&lt;&gt;"לא ברור"),"אמין","לפרש בזהירות"))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7" t="str">
        <f aca="false">IF($A86="","",$A86&amp;"|"&amp;$C86)</f>
        <v/>
      </c>
      <c r="AF86" s="28" t="str">
        <f aca="false">IF($A86="","",IFERROR(COUNTIF(L86:M86,"כן")/(COUNTIF(L86:M86,"כן")+COUNTIF(L86:M86,"לא")),""))</f>
        <v/>
      </c>
      <c r="AG86" s="28" t="str">
        <f aca="false">IF($A86="","",IFERROR(COUNTIF(N86:O86,"כן")/(COUNTIF(N86:O86,"כן")+COUNTIF(N86:O86,"לא")),""))</f>
        <v/>
      </c>
      <c r="AH86" s="28" t="str">
        <f aca="false">IF($A86="","",IFERROR(COUNTIF(P86,"כן")/(COUNTIF(P86,"כן")+COUNTIF(P86,"לא")),""))</f>
        <v/>
      </c>
      <c r="AI86" s="28" t="str">
        <f aca="false">IF($A86="","",IFERROR(COUNTIF(Q86:R86,"כן")/(COUNTIF(Q86:R86,"כן")+COUNTIF(Q86:R86,"לא")),""))</f>
        <v/>
      </c>
      <c r="AJ86" s="28" t="str">
        <f aca="false">IF($A86="","",IFERROR(COUNTIF(S86:T86,"כן")/(COUNTIF(S86:T86,"כן")+COUNTIF(S86:T86,"לא")),""))</f>
        <v/>
      </c>
      <c r="AK86" s="28" t="str">
        <f aca="false">IF($A86="","",IFERROR(COUNTIF(L86:T86,"כן")/(COUNTIF(L86:T86,"כן")+COUNTIF(L86:T86,"לא")),""))</f>
        <v/>
      </c>
      <c r="AL86" s="36" t="str">
        <f aca="false">IF($A86="","",IFERROR(AVERAGE(U86:V86),""))</f>
        <v/>
      </c>
      <c r="AM86" s="36" t="str">
        <f aca="false">IF($A86="","",IFERROR(AVERAGE(W86:X86),""))</f>
        <v/>
      </c>
      <c r="AN86" s="36" t="str">
        <f aca="false">IF($A86="","",IFERROR(AVERAGE(Y86:Z86),""))</f>
        <v/>
      </c>
      <c r="AO86" s="36" t="str">
        <f aca="false">IF($A86="","",IFERROR(AVERAGE(AA86:AB86),""))</f>
        <v/>
      </c>
      <c r="AP86" s="36" t="str">
        <f aca="false">IF($A86="","",IFERROR(AVERAGE(AC86),""))</f>
        <v/>
      </c>
      <c r="AQ86" s="36" t="str">
        <f aca="false">IF($A86="","",IFERROR(AVERAGE(U86:AC86),""))</f>
        <v/>
      </c>
      <c r="AR86" s="27" t="str">
        <f aca="false">IF($A86="","",IF(AND(H86="",J86=""),"לא נבדק",IF(AND(OR(H86="",H86=I86),OR(J86="",J86=K86)),"תואם","לא תואם")))</f>
        <v/>
      </c>
      <c r="AS86" s="27" t="str">
        <f aca="false">IF($A86="","",IF(AND(AR86&lt;&gt;"לא תואם",G86&lt;&gt;"לא ברור"),"אמין","לפרש בזהירות"))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7" t="str">
        <f aca="false">IF($A87="","",$A87&amp;"|"&amp;$C87)</f>
        <v/>
      </c>
      <c r="AF87" s="28" t="str">
        <f aca="false">IF($A87="","",IFERROR(COUNTIF(L87:M87,"כן")/(COUNTIF(L87:M87,"כן")+COUNTIF(L87:M87,"לא")),""))</f>
        <v/>
      </c>
      <c r="AG87" s="28" t="str">
        <f aca="false">IF($A87="","",IFERROR(COUNTIF(N87:O87,"כן")/(COUNTIF(N87:O87,"כן")+COUNTIF(N87:O87,"לא")),""))</f>
        <v/>
      </c>
      <c r="AH87" s="28" t="str">
        <f aca="false">IF($A87="","",IFERROR(COUNTIF(P87,"כן")/(COUNTIF(P87,"כן")+COUNTIF(P87,"לא")),""))</f>
        <v/>
      </c>
      <c r="AI87" s="28" t="str">
        <f aca="false">IF($A87="","",IFERROR(COUNTIF(Q87:R87,"כן")/(COUNTIF(Q87:R87,"כן")+COUNTIF(Q87:R87,"לא")),""))</f>
        <v/>
      </c>
      <c r="AJ87" s="28" t="str">
        <f aca="false">IF($A87="","",IFERROR(COUNTIF(S87:T87,"כן")/(COUNTIF(S87:T87,"כן")+COUNTIF(S87:T87,"לא")),""))</f>
        <v/>
      </c>
      <c r="AK87" s="28" t="str">
        <f aca="false">IF($A87="","",IFERROR(COUNTIF(L87:T87,"כן")/(COUNTIF(L87:T87,"כן")+COUNTIF(L87:T87,"לא")),""))</f>
        <v/>
      </c>
      <c r="AL87" s="36" t="str">
        <f aca="false">IF($A87="","",IFERROR(AVERAGE(U87:V87),""))</f>
        <v/>
      </c>
      <c r="AM87" s="36" t="str">
        <f aca="false">IF($A87="","",IFERROR(AVERAGE(W87:X87),""))</f>
        <v/>
      </c>
      <c r="AN87" s="36" t="str">
        <f aca="false">IF($A87="","",IFERROR(AVERAGE(Y87:Z87),""))</f>
        <v/>
      </c>
      <c r="AO87" s="36" t="str">
        <f aca="false">IF($A87="","",IFERROR(AVERAGE(AA87:AB87),""))</f>
        <v/>
      </c>
      <c r="AP87" s="36" t="str">
        <f aca="false">IF($A87="","",IFERROR(AVERAGE(AC87),""))</f>
        <v/>
      </c>
      <c r="AQ87" s="36" t="str">
        <f aca="false">IF($A87="","",IFERROR(AVERAGE(U87:AC87),""))</f>
        <v/>
      </c>
      <c r="AR87" s="27" t="str">
        <f aca="false">IF($A87="","",IF(AND(H87="",J87=""),"לא נבדק",IF(AND(OR(H87="",H87=I87),OR(J87="",J87=K87)),"תואם","לא תואם")))</f>
        <v/>
      </c>
      <c r="AS87" s="27" t="str">
        <f aca="false">IF($A87="","",IF(AND(AR87&lt;&gt;"לא תואם",G87&lt;&gt;"לא ברור"),"אמין","לפרש בזהירות"))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7" t="str">
        <f aca="false">IF($A88="","",$A88&amp;"|"&amp;$C88)</f>
        <v/>
      </c>
      <c r="AF88" s="28" t="str">
        <f aca="false">IF($A88="","",IFERROR(COUNTIF(L88:M88,"כן")/(COUNTIF(L88:M88,"כן")+COUNTIF(L88:M88,"לא")),""))</f>
        <v/>
      </c>
      <c r="AG88" s="28" t="str">
        <f aca="false">IF($A88="","",IFERROR(COUNTIF(N88:O88,"כן")/(COUNTIF(N88:O88,"כן")+COUNTIF(N88:O88,"לא")),""))</f>
        <v/>
      </c>
      <c r="AH88" s="28" t="str">
        <f aca="false">IF($A88="","",IFERROR(COUNTIF(P88,"כן")/(COUNTIF(P88,"כן")+COUNTIF(P88,"לא")),""))</f>
        <v/>
      </c>
      <c r="AI88" s="28" t="str">
        <f aca="false">IF($A88="","",IFERROR(COUNTIF(Q88:R88,"כן")/(COUNTIF(Q88:R88,"כן")+COUNTIF(Q88:R88,"לא")),""))</f>
        <v/>
      </c>
      <c r="AJ88" s="28" t="str">
        <f aca="false">IF($A88="","",IFERROR(COUNTIF(S88:T88,"כן")/(COUNTIF(S88:T88,"כן")+COUNTIF(S88:T88,"לא")),""))</f>
        <v/>
      </c>
      <c r="AK88" s="28" t="str">
        <f aca="false">IF($A88="","",IFERROR(COUNTIF(L88:T88,"כן")/(COUNTIF(L88:T88,"כן")+COUNTIF(L88:T88,"לא")),""))</f>
        <v/>
      </c>
      <c r="AL88" s="36" t="str">
        <f aca="false">IF($A88="","",IFERROR(AVERAGE(U88:V88),""))</f>
        <v/>
      </c>
      <c r="AM88" s="36" t="str">
        <f aca="false">IF($A88="","",IFERROR(AVERAGE(W88:X88),""))</f>
        <v/>
      </c>
      <c r="AN88" s="36" t="str">
        <f aca="false">IF($A88="","",IFERROR(AVERAGE(Y88:Z88),""))</f>
        <v/>
      </c>
      <c r="AO88" s="36" t="str">
        <f aca="false">IF($A88="","",IFERROR(AVERAGE(AA88:AB88),""))</f>
        <v/>
      </c>
      <c r="AP88" s="36" t="str">
        <f aca="false">IF($A88="","",IFERROR(AVERAGE(AC88),""))</f>
        <v/>
      </c>
      <c r="AQ88" s="36" t="str">
        <f aca="false">IF($A88="","",IFERROR(AVERAGE(U88:AC88),""))</f>
        <v/>
      </c>
      <c r="AR88" s="27" t="str">
        <f aca="false">IF($A88="","",IF(AND(H88="",J88=""),"לא נבדק",IF(AND(OR(H88="",H88=I88),OR(J88="",J88=K88)),"תואם","לא תואם")))</f>
        <v/>
      </c>
      <c r="AS88" s="27" t="str">
        <f aca="false">IF($A88="","",IF(AND(AR88&lt;&gt;"לא תואם",G88&lt;&gt;"לא ברור"),"אמין","לפרש בזהירות"))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7" t="str">
        <f aca="false">IF($A89="","",$A89&amp;"|"&amp;$C89)</f>
        <v/>
      </c>
      <c r="AF89" s="28" t="str">
        <f aca="false">IF($A89="","",IFERROR(COUNTIF(L89:M89,"כן")/(COUNTIF(L89:M89,"כן")+COUNTIF(L89:M89,"לא")),""))</f>
        <v/>
      </c>
      <c r="AG89" s="28" t="str">
        <f aca="false">IF($A89="","",IFERROR(COUNTIF(N89:O89,"כן")/(COUNTIF(N89:O89,"כן")+COUNTIF(N89:O89,"לא")),""))</f>
        <v/>
      </c>
      <c r="AH89" s="28" t="str">
        <f aca="false">IF($A89="","",IFERROR(COUNTIF(P89,"כן")/(COUNTIF(P89,"כן")+COUNTIF(P89,"לא")),""))</f>
        <v/>
      </c>
      <c r="AI89" s="28" t="str">
        <f aca="false">IF($A89="","",IFERROR(COUNTIF(Q89:R89,"כן")/(COUNTIF(Q89:R89,"כן")+COUNTIF(Q89:R89,"לא")),""))</f>
        <v/>
      </c>
      <c r="AJ89" s="28" t="str">
        <f aca="false">IF($A89="","",IFERROR(COUNTIF(S89:T89,"כן")/(COUNTIF(S89:T89,"כן")+COUNTIF(S89:T89,"לא")),""))</f>
        <v/>
      </c>
      <c r="AK89" s="28" t="str">
        <f aca="false">IF($A89="","",IFERROR(COUNTIF(L89:T89,"כן")/(COUNTIF(L89:T89,"כן")+COUNTIF(L89:T89,"לא")),""))</f>
        <v/>
      </c>
      <c r="AL89" s="36" t="str">
        <f aca="false">IF($A89="","",IFERROR(AVERAGE(U89:V89),""))</f>
        <v/>
      </c>
      <c r="AM89" s="36" t="str">
        <f aca="false">IF($A89="","",IFERROR(AVERAGE(W89:X89),""))</f>
        <v/>
      </c>
      <c r="AN89" s="36" t="str">
        <f aca="false">IF($A89="","",IFERROR(AVERAGE(Y89:Z89),""))</f>
        <v/>
      </c>
      <c r="AO89" s="36" t="str">
        <f aca="false">IF($A89="","",IFERROR(AVERAGE(AA89:AB89),""))</f>
        <v/>
      </c>
      <c r="AP89" s="36" t="str">
        <f aca="false">IF($A89="","",IFERROR(AVERAGE(AC89),""))</f>
        <v/>
      </c>
      <c r="AQ89" s="36" t="str">
        <f aca="false">IF($A89="","",IFERROR(AVERAGE(U89:AC89),""))</f>
        <v/>
      </c>
      <c r="AR89" s="27" t="str">
        <f aca="false">IF($A89="","",IF(AND(H89="",J89=""),"לא נבדק",IF(AND(OR(H89="",H89=I89),OR(J89="",J89=K89)),"תואם","לא תואם")))</f>
        <v/>
      </c>
      <c r="AS89" s="27" t="str">
        <f aca="false">IF($A89="","",IF(AND(AR89&lt;&gt;"לא תואם",G89&lt;&gt;"לא ברור"),"אמין","לפרש בזהירות"))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7" t="str">
        <f aca="false">IF($A90="","",$A90&amp;"|"&amp;$C90)</f>
        <v/>
      </c>
      <c r="AF90" s="28" t="str">
        <f aca="false">IF($A90="","",IFERROR(COUNTIF(L90:M90,"כן")/(COUNTIF(L90:M90,"כן")+COUNTIF(L90:M90,"לא")),""))</f>
        <v/>
      </c>
      <c r="AG90" s="28" t="str">
        <f aca="false">IF($A90="","",IFERROR(COUNTIF(N90:O90,"כן")/(COUNTIF(N90:O90,"כן")+COUNTIF(N90:O90,"לא")),""))</f>
        <v/>
      </c>
      <c r="AH90" s="28" t="str">
        <f aca="false">IF($A90="","",IFERROR(COUNTIF(P90,"כן")/(COUNTIF(P90,"כן")+COUNTIF(P90,"לא")),""))</f>
        <v/>
      </c>
      <c r="AI90" s="28" t="str">
        <f aca="false">IF($A90="","",IFERROR(COUNTIF(Q90:R90,"כן")/(COUNTIF(Q90:R90,"כן")+COUNTIF(Q90:R90,"לא")),""))</f>
        <v/>
      </c>
      <c r="AJ90" s="28" t="str">
        <f aca="false">IF($A90="","",IFERROR(COUNTIF(S90:T90,"כן")/(COUNTIF(S90:T90,"כן")+COUNTIF(S90:T90,"לא")),""))</f>
        <v/>
      </c>
      <c r="AK90" s="28" t="str">
        <f aca="false">IF($A90="","",IFERROR(COUNTIF(L90:T90,"כן")/(COUNTIF(L90:T90,"כן")+COUNTIF(L90:T90,"לא")),""))</f>
        <v/>
      </c>
      <c r="AL90" s="36" t="str">
        <f aca="false">IF($A90="","",IFERROR(AVERAGE(U90:V90),""))</f>
        <v/>
      </c>
      <c r="AM90" s="36" t="str">
        <f aca="false">IF($A90="","",IFERROR(AVERAGE(W90:X90),""))</f>
        <v/>
      </c>
      <c r="AN90" s="36" t="str">
        <f aca="false">IF($A90="","",IFERROR(AVERAGE(Y90:Z90),""))</f>
        <v/>
      </c>
      <c r="AO90" s="36" t="str">
        <f aca="false">IF($A90="","",IFERROR(AVERAGE(AA90:AB90),""))</f>
        <v/>
      </c>
      <c r="AP90" s="36" t="str">
        <f aca="false">IF($A90="","",IFERROR(AVERAGE(AC90),""))</f>
        <v/>
      </c>
      <c r="AQ90" s="36" t="str">
        <f aca="false">IF($A90="","",IFERROR(AVERAGE(U90:AC90),""))</f>
        <v/>
      </c>
      <c r="AR90" s="27" t="str">
        <f aca="false">IF($A90="","",IF(AND(H90="",J90=""),"לא נבדק",IF(AND(OR(H90="",H90=I90),OR(J90="",J90=K90)),"תואם","לא תואם")))</f>
        <v/>
      </c>
      <c r="AS90" s="27" t="str">
        <f aca="false">IF($A90="","",IF(AND(AR90&lt;&gt;"לא תואם",G90&lt;&gt;"לא ברור"),"אמין","לפרש בזהירות"))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7" t="str">
        <f aca="false">IF($A91="","",$A91&amp;"|"&amp;$C91)</f>
        <v/>
      </c>
      <c r="AF91" s="28" t="str">
        <f aca="false">IF($A91="","",IFERROR(COUNTIF(L91:M91,"כן")/(COUNTIF(L91:M91,"כן")+COUNTIF(L91:M91,"לא")),""))</f>
        <v/>
      </c>
      <c r="AG91" s="28" t="str">
        <f aca="false">IF($A91="","",IFERROR(COUNTIF(N91:O91,"כן")/(COUNTIF(N91:O91,"כן")+COUNTIF(N91:O91,"לא")),""))</f>
        <v/>
      </c>
      <c r="AH91" s="28" t="str">
        <f aca="false">IF($A91="","",IFERROR(COUNTIF(P91,"כן")/(COUNTIF(P91,"כן")+COUNTIF(P91,"לא")),""))</f>
        <v/>
      </c>
      <c r="AI91" s="28" t="str">
        <f aca="false">IF($A91="","",IFERROR(COUNTIF(Q91:R91,"כן")/(COUNTIF(Q91:R91,"כן")+COUNTIF(Q91:R91,"לא")),""))</f>
        <v/>
      </c>
      <c r="AJ91" s="28" t="str">
        <f aca="false">IF($A91="","",IFERROR(COUNTIF(S91:T91,"כן")/(COUNTIF(S91:T91,"כן")+COUNTIF(S91:T91,"לא")),""))</f>
        <v/>
      </c>
      <c r="AK91" s="28" t="str">
        <f aca="false">IF($A91="","",IFERROR(COUNTIF(L91:T91,"כן")/(COUNTIF(L91:T91,"כן")+COUNTIF(L91:T91,"לא")),""))</f>
        <v/>
      </c>
      <c r="AL91" s="36" t="str">
        <f aca="false">IF($A91="","",IFERROR(AVERAGE(U91:V91),""))</f>
        <v/>
      </c>
      <c r="AM91" s="36" t="str">
        <f aca="false">IF($A91="","",IFERROR(AVERAGE(W91:X91),""))</f>
        <v/>
      </c>
      <c r="AN91" s="36" t="str">
        <f aca="false">IF($A91="","",IFERROR(AVERAGE(Y91:Z91),""))</f>
        <v/>
      </c>
      <c r="AO91" s="36" t="str">
        <f aca="false">IF($A91="","",IFERROR(AVERAGE(AA91:AB91),""))</f>
        <v/>
      </c>
      <c r="AP91" s="36" t="str">
        <f aca="false">IF($A91="","",IFERROR(AVERAGE(AC91),""))</f>
        <v/>
      </c>
      <c r="AQ91" s="36" t="str">
        <f aca="false">IF($A91="","",IFERROR(AVERAGE(U91:AC91),""))</f>
        <v/>
      </c>
      <c r="AR91" s="27" t="str">
        <f aca="false">IF($A91="","",IF(AND(H91="",J91=""),"לא נבדק",IF(AND(OR(H91="",H91=I91),OR(J91="",J91=K91)),"תואם","לא תואם")))</f>
        <v/>
      </c>
      <c r="AS91" s="27" t="str">
        <f aca="false">IF($A91="","",IF(AND(AR91&lt;&gt;"לא תואם",G91&lt;&gt;"לא ברור"),"אמין","לפרש בזהירות"))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7" t="str">
        <f aca="false">IF($A92="","",$A92&amp;"|"&amp;$C92)</f>
        <v/>
      </c>
      <c r="AF92" s="28" t="str">
        <f aca="false">IF($A92="","",IFERROR(COUNTIF(L92:M92,"כן")/(COUNTIF(L92:M92,"כן")+COUNTIF(L92:M92,"לא")),""))</f>
        <v/>
      </c>
      <c r="AG92" s="28" t="str">
        <f aca="false">IF($A92="","",IFERROR(COUNTIF(N92:O92,"כן")/(COUNTIF(N92:O92,"כן")+COUNTIF(N92:O92,"לא")),""))</f>
        <v/>
      </c>
      <c r="AH92" s="28" t="str">
        <f aca="false">IF($A92="","",IFERROR(COUNTIF(P92,"כן")/(COUNTIF(P92,"כן")+COUNTIF(P92,"לא")),""))</f>
        <v/>
      </c>
      <c r="AI92" s="28" t="str">
        <f aca="false">IF($A92="","",IFERROR(COUNTIF(Q92:R92,"כן")/(COUNTIF(Q92:R92,"כן")+COUNTIF(Q92:R92,"לא")),""))</f>
        <v/>
      </c>
      <c r="AJ92" s="28" t="str">
        <f aca="false">IF($A92="","",IFERROR(COUNTIF(S92:T92,"כן")/(COUNTIF(S92:T92,"כן")+COUNTIF(S92:T92,"לא")),""))</f>
        <v/>
      </c>
      <c r="AK92" s="28" t="str">
        <f aca="false">IF($A92="","",IFERROR(COUNTIF(L92:T92,"כן")/(COUNTIF(L92:T92,"כן")+COUNTIF(L92:T92,"לא")),""))</f>
        <v/>
      </c>
      <c r="AL92" s="36" t="str">
        <f aca="false">IF($A92="","",IFERROR(AVERAGE(U92:V92),""))</f>
        <v/>
      </c>
      <c r="AM92" s="36" t="str">
        <f aca="false">IF($A92="","",IFERROR(AVERAGE(W92:X92),""))</f>
        <v/>
      </c>
      <c r="AN92" s="36" t="str">
        <f aca="false">IF($A92="","",IFERROR(AVERAGE(Y92:Z92),""))</f>
        <v/>
      </c>
      <c r="AO92" s="36" t="str">
        <f aca="false">IF($A92="","",IFERROR(AVERAGE(AA92:AB92),""))</f>
        <v/>
      </c>
      <c r="AP92" s="36" t="str">
        <f aca="false">IF($A92="","",IFERROR(AVERAGE(AC92),""))</f>
        <v/>
      </c>
      <c r="AQ92" s="36" t="str">
        <f aca="false">IF($A92="","",IFERROR(AVERAGE(U92:AC92),""))</f>
        <v/>
      </c>
      <c r="AR92" s="27" t="str">
        <f aca="false">IF($A92="","",IF(AND(H92="",J92=""),"לא נבדק",IF(AND(OR(H92="",H92=I92),OR(J92="",J92=K92)),"תואם","לא תואם")))</f>
        <v/>
      </c>
      <c r="AS92" s="27" t="str">
        <f aca="false">IF($A92="","",IF(AND(AR92&lt;&gt;"לא תואם",G92&lt;&gt;"לא ברור"),"אמין","לפרש בזהירות"))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7" t="str">
        <f aca="false">IF($A93="","",$A93&amp;"|"&amp;$C93)</f>
        <v/>
      </c>
      <c r="AF93" s="28" t="str">
        <f aca="false">IF($A93="","",IFERROR(COUNTIF(L93:M93,"כן")/(COUNTIF(L93:M93,"כן")+COUNTIF(L93:M93,"לא")),""))</f>
        <v/>
      </c>
      <c r="AG93" s="28" t="str">
        <f aca="false">IF($A93="","",IFERROR(COUNTIF(N93:O93,"כן")/(COUNTIF(N93:O93,"כן")+COUNTIF(N93:O93,"לא")),""))</f>
        <v/>
      </c>
      <c r="AH93" s="28" t="str">
        <f aca="false">IF($A93="","",IFERROR(COUNTIF(P93,"כן")/(COUNTIF(P93,"כן")+COUNTIF(P93,"לא")),""))</f>
        <v/>
      </c>
      <c r="AI93" s="28" t="str">
        <f aca="false">IF($A93="","",IFERROR(COUNTIF(Q93:R93,"כן")/(COUNTIF(Q93:R93,"כן")+COUNTIF(Q93:R93,"לא")),""))</f>
        <v/>
      </c>
      <c r="AJ93" s="28" t="str">
        <f aca="false">IF($A93="","",IFERROR(COUNTIF(S93:T93,"כן")/(COUNTIF(S93:T93,"כן")+COUNTIF(S93:T93,"לא")),""))</f>
        <v/>
      </c>
      <c r="AK93" s="28" t="str">
        <f aca="false">IF($A93="","",IFERROR(COUNTIF(L93:T93,"כן")/(COUNTIF(L93:T93,"כן")+COUNTIF(L93:T93,"לא")),""))</f>
        <v/>
      </c>
      <c r="AL93" s="36" t="str">
        <f aca="false">IF($A93="","",IFERROR(AVERAGE(U93:V93),""))</f>
        <v/>
      </c>
      <c r="AM93" s="36" t="str">
        <f aca="false">IF($A93="","",IFERROR(AVERAGE(W93:X93),""))</f>
        <v/>
      </c>
      <c r="AN93" s="36" t="str">
        <f aca="false">IF($A93="","",IFERROR(AVERAGE(Y93:Z93),""))</f>
        <v/>
      </c>
      <c r="AO93" s="36" t="str">
        <f aca="false">IF($A93="","",IFERROR(AVERAGE(AA93:AB93),""))</f>
        <v/>
      </c>
      <c r="AP93" s="36" t="str">
        <f aca="false">IF($A93="","",IFERROR(AVERAGE(AC93),""))</f>
        <v/>
      </c>
      <c r="AQ93" s="36" t="str">
        <f aca="false">IF($A93="","",IFERROR(AVERAGE(U93:AC93),""))</f>
        <v/>
      </c>
      <c r="AR93" s="27" t="str">
        <f aca="false">IF($A93="","",IF(AND(H93="",J93=""),"לא נבדק",IF(AND(OR(H93="",H93=I93),OR(J93="",J93=K93)),"תואם","לא תואם")))</f>
        <v/>
      </c>
      <c r="AS93" s="27" t="str">
        <f aca="false">IF($A93="","",IF(AND(AR93&lt;&gt;"לא תואם",G93&lt;&gt;"לא ברור"),"אמין","לפרש בזהירות"))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7" t="str">
        <f aca="false">IF($A94="","",$A94&amp;"|"&amp;$C94)</f>
        <v/>
      </c>
      <c r="AF94" s="28" t="str">
        <f aca="false">IF($A94="","",IFERROR(COUNTIF(L94:M94,"כן")/(COUNTIF(L94:M94,"כן")+COUNTIF(L94:M94,"לא")),""))</f>
        <v/>
      </c>
      <c r="AG94" s="28" t="str">
        <f aca="false">IF($A94="","",IFERROR(COUNTIF(N94:O94,"כן")/(COUNTIF(N94:O94,"כן")+COUNTIF(N94:O94,"לא")),""))</f>
        <v/>
      </c>
      <c r="AH94" s="28" t="str">
        <f aca="false">IF($A94="","",IFERROR(COUNTIF(P94,"כן")/(COUNTIF(P94,"כן")+COUNTIF(P94,"לא")),""))</f>
        <v/>
      </c>
      <c r="AI94" s="28" t="str">
        <f aca="false">IF($A94="","",IFERROR(COUNTIF(Q94:R94,"כן")/(COUNTIF(Q94:R94,"כן")+COUNTIF(Q94:R94,"לא")),""))</f>
        <v/>
      </c>
      <c r="AJ94" s="28" t="str">
        <f aca="false">IF($A94="","",IFERROR(COUNTIF(S94:T94,"כן")/(COUNTIF(S94:T94,"כן")+COUNTIF(S94:T94,"לא")),""))</f>
        <v/>
      </c>
      <c r="AK94" s="28" t="str">
        <f aca="false">IF($A94="","",IFERROR(COUNTIF(L94:T94,"כן")/(COUNTIF(L94:T94,"כן")+COUNTIF(L94:T94,"לא")),""))</f>
        <v/>
      </c>
      <c r="AL94" s="36" t="str">
        <f aca="false">IF($A94="","",IFERROR(AVERAGE(U94:V94),""))</f>
        <v/>
      </c>
      <c r="AM94" s="36" t="str">
        <f aca="false">IF($A94="","",IFERROR(AVERAGE(W94:X94),""))</f>
        <v/>
      </c>
      <c r="AN94" s="36" t="str">
        <f aca="false">IF($A94="","",IFERROR(AVERAGE(Y94:Z94),""))</f>
        <v/>
      </c>
      <c r="AO94" s="36" t="str">
        <f aca="false">IF($A94="","",IFERROR(AVERAGE(AA94:AB94),""))</f>
        <v/>
      </c>
      <c r="AP94" s="36" t="str">
        <f aca="false">IF($A94="","",IFERROR(AVERAGE(AC94),""))</f>
        <v/>
      </c>
      <c r="AQ94" s="36" t="str">
        <f aca="false">IF($A94="","",IFERROR(AVERAGE(U94:AC94),""))</f>
        <v/>
      </c>
      <c r="AR94" s="27" t="str">
        <f aca="false">IF($A94="","",IF(AND(H94="",J94=""),"לא נבדק",IF(AND(OR(H94="",H94=I94),OR(J94="",J94=K94)),"תואם","לא תואם")))</f>
        <v/>
      </c>
      <c r="AS94" s="27" t="str">
        <f aca="false">IF($A94="","",IF(AND(AR94&lt;&gt;"לא תואם",G94&lt;&gt;"לא ברור"),"אמין","לפרש בזהירות"))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7" t="str">
        <f aca="false">IF($A95="","",$A95&amp;"|"&amp;$C95)</f>
        <v/>
      </c>
      <c r="AF95" s="28" t="str">
        <f aca="false">IF($A95="","",IFERROR(COUNTIF(L95:M95,"כן")/(COUNTIF(L95:M95,"כן")+COUNTIF(L95:M95,"לא")),""))</f>
        <v/>
      </c>
      <c r="AG95" s="28" t="str">
        <f aca="false">IF($A95="","",IFERROR(COUNTIF(N95:O95,"כן")/(COUNTIF(N95:O95,"כן")+COUNTIF(N95:O95,"לא")),""))</f>
        <v/>
      </c>
      <c r="AH95" s="28" t="str">
        <f aca="false">IF($A95="","",IFERROR(COUNTIF(P95,"כן")/(COUNTIF(P95,"כן")+COUNTIF(P95,"לא")),""))</f>
        <v/>
      </c>
      <c r="AI95" s="28" t="str">
        <f aca="false">IF($A95="","",IFERROR(COUNTIF(Q95:R95,"כן")/(COUNTIF(Q95:R95,"כן")+COUNTIF(Q95:R95,"לא")),""))</f>
        <v/>
      </c>
      <c r="AJ95" s="28" t="str">
        <f aca="false">IF($A95="","",IFERROR(COUNTIF(S95:T95,"כן")/(COUNTIF(S95:T95,"כן")+COUNTIF(S95:T95,"לא")),""))</f>
        <v/>
      </c>
      <c r="AK95" s="28" t="str">
        <f aca="false">IF($A95="","",IFERROR(COUNTIF(L95:T95,"כן")/(COUNTIF(L95:T95,"כן")+COUNTIF(L95:T95,"לא")),""))</f>
        <v/>
      </c>
      <c r="AL95" s="36" t="str">
        <f aca="false">IF($A95="","",IFERROR(AVERAGE(U95:V95),""))</f>
        <v/>
      </c>
      <c r="AM95" s="36" t="str">
        <f aca="false">IF($A95="","",IFERROR(AVERAGE(W95:X95),""))</f>
        <v/>
      </c>
      <c r="AN95" s="36" t="str">
        <f aca="false">IF($A95="","",IFERROR(AVERAGE(Y95:Z95),""))</f>
        <v/>
      </c>
      <c r="AO95" s="36" t="str">
        <f aca="false">IF($A95="","",IFERROR(AVERAGE(AA95:AB95),""))</f>
        <v/>
      </c>
      <c r="AP95" s="36" t="str">
        <f aca="false">IF($A95="","",IFERROR(AVERAGE(AC95),""))</f>
        <v/>
      </c>
      <c r="AQ95" s="36" t="str">
        <f aca="false">IF($A95="","",IFERROR(AVERAGE(U95:AC95),""))</f>
        <v/>
      </c>
      <c r="AR95" s="27" t="str">
        <f aca="false">IF($A95="","",IF(AND(H95="",J95=""),"לא נבדק",IF(AND(OR(H95="",H95=I95),OR(J95="",J95=K95)),"תואם","לא תואם")))</f>
        <v/>
      </c>
      <c r="AS95" s="27" t="str">
        <f aca="false">IF($A95="","",IF(AND(AR95&lt;&gt;"לא תואם",G95&lt;&gt;"לא ברור"),"אמין","לפרש בזהירות"))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7" t="str">
        <f aca="false">IF($A96="","",$A96&amp;"|"&amp;$C96)</f>
        <v/>
      </c>
      <c r="AF96" s="28" t="str">
        <f aca="false">IF($A96="","",IFERROR(COUNTIF(L96:M96,"כן")/(COUNTIF(L96:M96,"כן")+COUNTIF(L96:M96,"לא")),""))</f>
        <v/>
      </c>
      <c r="AG96" s="28" t="str">
        <f aca="false">IF($A96="","",IFERROR(COUNTIF(N96:O96,"כן")/(COUNTIF(N96:O96,"כן")+COUNTIF(N96:O96,"לא")),""))</f>
        <v/>
      </c>
      <c r="AH96" s="28" t="str">
        <f aca="false">IF($A96="","",IFERROR(COUNTIF(P96,"כן")/(COUNTIF(P96,"כן")+COUNTIF(P96,"לא")),""))</f>
        <v/>
      </c>
      <c r="AI96" s="28" t="str">
        <f aca="false">IF($A96="","",IFERROR(COUNTIF(Q96:R96,"כן")/(COUNTIF(Q96:R96,"כן")+COUNTIF(Q96:R96,"לא")),""))</f>
        <v/>
      </c>
      <c r="AJ96" s="28" t="str">
        <f aca="false">IF($A96="","",IFERROR(COUNTIF(S96:T96,"כן")/(COUNTIF(S96:T96,"כן")+COUNTIF(S96:T96,"לא")),""))</f>
        <v/>
      </c>
      <c r="AK96" s="28" t="str">
        <f aca="false">IF($A96="","",IFERROR(COUNTIF(L96:T96,"כן")/(COUNTIF(L96:T96,"כן")+COUNTIF(L96:T96,"לא")),""))</f>
        <v/>
      </c>
      <c r="AL96" s="36" t="str">
        <f aca="false">IF($A96="","",IFERROR(AVERAGE(U96:V96),""))</f>
        <v/>
      </c>
      <c r="AM96" s="36" t="str">
        <f aca="false">IF($A96="","",IFERROR(AVERAGE(W96:X96),""))</f>
        <v/>
      </c>
      <c r="AN96" s="36" t="str">
        <f aca="false">IF($A96="","",IFERROR(AVERAGE(Y96:Z96),""))</f>
        <v/>
      </c>
      <c r="AO96" s="36" t="str">
        <f aca="false">IF($A96="","",IFERROR(AVERAGE(AA96:AB96),""))</f>
        <v/>
      </c>
      <c r="AP96" s="36" t="str">
        <f aca="false">IF($A96="","",IFERROR(AVERAGE(AC96),""))</f>
        <v/>
      </c>
      <c r="AQ96" s="36" t="str">
        <f aca="false">IF($A96="","",IFERROR(AVERAGE(U96:AC96),""))</f>
        <v/>
      </c>
      <c r="AR96" s="27" t="str">
        <f aca="false">IF($A96="","",IF(AND(H96="",J96=""),"לא נבדק",IF(AND(OR(H96="",H96=I96),OR(J96="",J96=K96)),"תואם","לא תואם")))</f>
        <v/>
      </c>
      <c r="AS96" s="27" t="str">
        <f aca="false">IF($A96="","",IF(AND(AR96&lt;&gt;"לא תואם",G96&lt;&gt;"לא ברור"),"אמין","לפרש בזהירות"))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7" t="str">
        <f aca="false">IF($A97="","",$A97&amp;"|"&amp;$C97)</f>
        <v/>
      </c>
      <c r="AF97" s="28" t="str">
        <f aca="false">IF($A97="","",IFERROR(COUNTIF(L97:M97,"כן")/(COUNTIF(L97:M97,"כן")+COUNTIF(L97:M97,"לא")),""))</f>
        <v/>
      </c>
      <c r="AG97" s="28" t="str">
        <f aca="false">IF($A97="","",IFERROR(COUNTIF(N97:O97,"כן")/(COUNTIF(N97:O97,"כן")+COUNTIF(N97:O97,"לא")),""))</f>
        <v/>
      </c>
      <c r="AH97" s="28" t="str">
        <f aca="false">IF($A97="","",IFERROR(COUNTIF(P97,"כן")/(COUNTIF(P97,"כן")+COUNTIF(P97,"לא")),""))</f>
        <v/>
      </c>
      <c r="AI97" s="28" t="str">
        <f aca="false">IF($A97="","",IFERROR(COUNTIF(Q97:R97,"כן")/(COUNTIF(Q97:R97,"כן")+COUNTIF(Q97:R97,"לא")),""))</f>
        <v/>
      </c>
      <c r="AJ97" s="28" t="str">
        <f aca="false">IF($A97="","",IFERROR(COUNTIF(S97:T97,"כן")/(COUNTIF(S97:T97,"כן")+COUNTIF(S97:T97,"לא")),""))</f>
        <v/>
      </c>
      <c r="AK97" s="28" t="str">
        <f aca="false">IF($A97="","",IFERROR(COUNTIF(L97:T97,"כן")/(COUNTIF(L97:T97,"כן")+COUNTIF(L97:T97,"לא")),""))</f>
        <v/>
      </c>
      <c r="AL97" s="36" t="str">
        <f aca="false">IF($A97="","",IFERROR(AVERAGE(U97:V97),""))</f>
        <v/>
      </c>
      <c r="AM97" s="36" t="str">
        <f aca="false">IF($A97="","",IFERROR(AVERAGE(W97:X97),""))</f>
        <v/>
      </c>
      <c r="AN97" s="36" t="str">
        <f aca="false">IF($A97="","",IFERROR(AVERAGE(Y97:Z97),""))</f>
        <v/>
      </c>
      <c r="AO97" s="36" t="str">
        <f aca="false">IF($A97="","",IFERROR(AVERAGE(AA97:AB97),""))</f>
        <v/>
      </c>
      <c r="AP97" s="36" t="str">
        <f aca="false">IF($A97="","",IFERROR(AVERAGE(AC97),""))</f>
        <v/>
      </c>
      <c r="AQ97" s="36" t="str">
        <f aca="false">IF($A97="","",IFERROR(AVERAGE(U97:AC97),""))</f>
        <v/>
      </c>
      <c r="AR97" s="27" t="str">
        <f aca="false">IF($A97="","",IF(AND(H97="",J97=""),"לא נבדק",IF(AND(OR(H97="",H97=I97),OR(J97="",J97=K97)),"תואם","לא תואם")))</f>
        <v/>
      </c>
      <c r="AS97" s="27" t="str">
        <f aca="false">IF($A97="","",IF(AND(AR97&lt;&gt;"לא תואם",G97&lt;&gt;"לא ברור"),"אמין","לפרש בזהירות"))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7" t="str">
        <f aca="false">IF($A98="","",$A98&amp;"|"&amp;$C98)</f>
        <v/>
      </c>
      <c r="AF98" s="28" t="str">
        <f aca="false">IF($A98="","",IFERROR(COUNTIF(L98:M98,"כן")/(COUNTIF(L98:M98,"כן")+COUNTIF(L98:M98,"לא")),""))</f>
        <v/>
      </c>
      <c r="AG98" s="28" t="str">
        <f aca="false">IF($A98="","",IFERROR(COUNTIF(N98:O98,"כן")/(COUNTIF(N98:O98,"כן")+COUNTIF(N98:O98,"לא")),""))</f>
        <v/>
      </c>
      <c r="AH98" s="28" t="str">
        <f aca="false">IF($A98="","",IFERROR(COUNTIF(P98,"כן")/(COUNTIF(P98,"כן")+COUNTIF(P98,"לא")),""))</f>
        <v/>
      </c>
      <c r="AI98" s="28" t="str">
        <f aca="false">IF($A98="","",IFERROR(COUNTIF(Q98:R98,"כן")/(COUNTIF(Q98:R98,"כן")+COUNTIF(Q98:R98,"לא")),""))</f>
        <v/>
      </c>
      <c r="AJ98" s="28" t="str">
        <f aca="false">IF($A98="","",IFERROR(COUNTIF(S98:T98,"כן")/(COUNTIF(S98:T98,"כן")+COUNTIF(S98:T98,"לא")),""))</f>
        <v/>
      </c>
      <c r="AK98" s="28" t="str">
        <f aca="false">IF($A98="","",IFERROR(COUNTIF(L98:T98,"כן")/(COUNTIF(L98:T98,"כן")+COUNTIF(L98:T98,"לא")),""))</f>
        <v/>
      </c>
      <c r="AL98" s="36" t="str">
        <f aca="false">IF($A98="","",IFERROR(AVERAGE(U98:V98),""))</f>
        <v/>
      </c>
      <c r="AM98" s="36" t="str">
        <f aca="false">IF($A98="","",IFERROR(AVERAGE(W98:X98),""))</f>
        <v/>
      </c>
      <c r="AN98" s="36" t="str">
        <f aca="false">IF($A98="","",IFERROR(AVERAGE(Y98:Z98),""))</f>
        <v/>
      </c>
      <c r="AO98" s="36" t="str">
        <f aca="false">IF($A98="","",IFERROR(AVERAGE(AA98:AB98),""))</f>
        <v/>
      </c>
      <c r="AP98" s="36" t="str">
        <f aca="false">IF($A98="","",IFERROR(AVERAGE(AC98),""))</f>
        <v/>
      </c>
      <c r="AQ98" s="36" t="str">
        <f aca="false">IF($A98="","",IFERROR(AVERAGE(U98:AC98),""))</f>
        <v/>
      </c>
      <c r="AR98" s="27" t="str">
        <f aca="false">IF($A98="","",IF(AND(H98="",J98=""),"לא נבדק",IF(AND(OR(H98="",H98=I98),OR(J98="",J98=K98)),"תואם","לא תואם")))</f>
        <v/>
      </c>
      <c r="AS98" s="27" t="str">
        <f aca="false">IF($A98="","",IF(AND(AR98&lt;&gt;"לא תואם",G98&lt;&gt;"לא ברור"),"אמין","לפרש בזהירות"))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7" t="str">
        <f aca="false">IF($A99="","",$A99&amp;"|"&amp;$C99)</f>
        <v/>
      </c>
      <c r="AF99" s="28" t="str">
        <f aca="false">IF($A99="","",IFERROR(COUNTIF(L99:M99,"כן")/(COUNTIF(L99:M99,"כן")+COUNTIF(L99:M99,"לא")),""))</f>
        <v/>
      </c>
      <c r="AG99" s="28" t="str">
        <f aca="false">IF($A99="","",IFERROR(COUNTIF(N99:O99,"כן")/(COUNTIF(N99:O99,"כן")+COUNTIF(N99:O99,"לא")),""))</f>
        <v/>
      </c>
      <c r="AH99" s="28" t="str">
        <f aca="false">IF($A99="","",IFERROR(COUNTIF(P99,"כן")/(COUNTIF(P99,"כן")+COUNTIF(P99,"לא")),""))</f>
        <v/>
      </c>
      <c r="AI99" s="28" t="str">
        <f aca="false">IF($A99="","",IFERROR(COUNTIF(Q99:R99,"כן")/(COUNTIF(Q99:R99,"כן")+COUNTIF(Q99:R99,"לא")),""))</f>
        <v/>
      </c>
      <c r="AJ99" s="28" t="str">
        <f aca="false">IF($A99="","",IFERROR(COUNTIF(S99:T99,"כן")/(COUNTIF(S99:T99,"כן")+COUNTIF(S99:T99,"לא")),""))</f>
        <v/>
      </c>
      <c r="AK99" s="28" t="str">
        <f aca="false">IF($A99="","",IFERROR(COUNTIF(L99:T99,"כן")/(COUNTIF(L99:T99,"כן")+COUNTIF(L99:T99,"לא")),""))</f>
        <v/>
      </c>
      <c r="AL99" s="36" t="str">
        <f aca="false">IF($A99="","",IFERROR(AVERAGE(U99:V99),""))</f>
        <v/>
      </c>
      <c r="AM99" s="36" t="str">
        <f aca="false">IF($A99="","",IFERROR(AVERAGE(W99:X99),""))</f>
        <v/>
      </c>
      <c r="AN99" s="36" t="str">
        <f aca="false">IF($A99="","",IFERROR(AVERAGE(Y99:Z99),""))</f>
        <v/>
      </c>
      <c r="AO99" s="36" t="str">
        <f aca="false">IF($A99="","",IFERROR(AVERAGE(AA99:AB99),""))</f>
        <v/>
      </c>
      <c r="AP99" s="36" t="str">
        <f aca="false">IF($A99="","",IFERROR(AVERAGE(AC99),""))</f>
        <v/>
      </c>
      <c r="AQ99" s="36" t="str">
        <f aca="false">IF($A99="","",IFERROR(AVERAGE(U99:AC99),""))</f>
        <v/>
      </c>
      <c r="AR99" s="27" t="str">
        <f aca="false">IF($A99="","",IF(AND(H99="",J99=""),"לא נבדק",IF(AND(OR(H99="",H99=I99),OR(J99="",J99=K99)),"תואם","לא תואם")))</f>
        <v/>
      </c>
      <c r="AS99" s="27" t="str">
        <f aca="false">IF($A99="","",IF(AND(AR99&lt;&gt;"לא תואם",G99&lt;&gt;"לא ברור"),"אמין","לפרש בזהירות"))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7" t="str">
        <f aca="false">IF($A100="","",$A100&amp;"|"&amp;$C100)</f>
        <v/>
      </c>
      <c r="AF100" s="28" t="str">
        <f aca="false">IF($A100="","",IFERROR(COUNTIF(L100:M100,"כן")/(COUNTIF(L100:M100,"כן")+COUNTIF(L100:M100,"לא")),""))</f>
        <v/>
      </c>
      <c r="AG100" s="28" t="str">
        <f aca="false">IF($A100="","",IFERROR(COUNTIF(N100:O100,"כן")/(COUNTIF(N100:O100,"כן")+COUNTIF(N100:O100,"לא")),""))</f>
        <v/>
      </c>
      <c r="AH100" s="28" t="str">
        <f aca="false">IF($A100="","",IFERROR(COUNTIF(P100,"כן")/(COUNTIF(P100,"כן")+COUNTIF(P100,"לא")),""))</f>
        <v/>
      </c>
      <c r="AI100" s="28" t="str">
        <f aca="false">IF($A100="","",IFERROR(COUNTIF(Q100:R100,"כן")/(COUNTIF(Q100:R100,"כן")+COUNTIF(Q100:R100,"לא")),""))</f>
        <v/>
      </c>
      <c r="AJ100" s="28" t="str">
        <f aca="false">IF($A100="","",IFERROR(COUNTIF(S100:T100,"כן")/(COUNTIF(S100:T100,"כן")+COUNTIF(S100:T100,"לא")),""))</f>
        <v/>
      </c>
      <c r="AK100" s="28" t="str">
        <f aca="false">IF($A100="","",IFERROR(COUNTIF(L100:T100,"כן")/(COUNTIF(L100:T100,"כן")+COUNTIF(L100:T100,"לא")),""))</f>
        <v/>
      </c>
      <c r="AL100" s="36" t="str">
        <f aca="false">IF($A100="","",IFERROR(AVERAGE(U100:V100),""))</f>
        <v/>
      </c>
      <c r="AM100" s="36" t="str">
        <f aca="false">IF($A100="","",IFERROR(AVERAGE(W100:X100),""))</f>
        <v/>
      </c>
      <c r="AN100" s="36" t="str">
        <f aca="false">IF($A100="","",IFERROR(AVERAGE(Y100:Z100),""))</f>
        <v/>
      </c>
      <c r="AO100" s="36" t="str">
        <f aca="false">IF($A100="","",IFERROR(AVERAGE(AA100:AB100),""))</f>
        <v/>
      </c>
      <c r="AP100" s="36" t="str">
        <f aca="false">IF($A100="","",IFERROR(AVERAGE(AC100),""))</f>
        <v/>
      </c>
      <c r="AQ100" s="36" t="str">
        <f aca="false">IF($A100="","",IFERROR(AVERAGE(U100:AC100),""))</f>
        <v/>
      </c>
      <c r="AR100" s="27" t="str">
        <f aca="false">IF($A100="","",IF(AND(H100="",J100=""),"לא נבדק",IF(AND(OR(H100="",H100=I100),OR(J100="",J100=K100)),"תואם","לא תואם")))</f>
        <v/>
      </c>
      <c r="AS100" s="27" t="str">
        <f aca="false">IF($A100="","",IF(AND(AR100&lt;&gt;"לא תואם",G100&lt;&gt;"לא ברור"),"אמין","לפרש בזהירות"))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7" t="str">
        <f aca="false">IF($A101="","",$A101&amp;"|"&amp;$C101)</f>
        <v/>
      </c>
      <c r="AF101" s="28" t="str">
        <f aca="false">IF($A101="","",IFERROR(COUNTIF(L101:M101,"כן")/(COUNTIF(L101:M101,"כן")+COUNTIF(L101:M101,"לא")),""))</f>
        <v/>
      </c>
      <c r="AG101" s="28" t="str">
        <f aca="false">IF($A101="","",IFERROR(COUNTIF(N101:O101,"כן")/(COUNTIF(N101:O101,"כן")+COUNTIF(N101:O101,"לא")),""))</f>
        <v/>
      </c>
      <c r="AH101" s="28" t="str">
        <f aca="false">IF($A101="","",IFERROR(COUNTIF(P101,"כן")/(COUNTIF(P101,"כן")+COUNTIF(P101,"לא")),""))</f>
        <v/>
      </c>
      <c r="AI101" s="28" t="str">
        <f aca="false">IF($A101="","",IFERROR(COUNTIF(Q101:R101,"כן")/(COUNTIF(Q101:R101,"כן")+COUNTIF(Q101:R101,"לא")),""))</f>
        <v/>
      </c>
      <c r="AJ101" s="28" t="str">
        <f aca="false">IF($A101="","",IFERROR(COUNTIF(S101:T101,"כן")/(COUNTIF(S101:T101,"כן")+COUNTIF(S101:T101,"לא")),""))</f>
        <v/>
      </c>
      <c r="AK101" s="28" t="str">
        <f aca="false">IF($A101="","",IFERROR(COUNTIF(L101:T101,"כן")/(COUNTIF(L101:T101,"כן")+COUNTIF(L101:T101,"לא")),""))</f>
        <v/>
      </c>
      <c r="AL101" s="36" t="str">
        <f aca="false">IF($A101="","",IFERROR(AVERAGE(U101:V101),""))</f>
        <v/>
      </c>
      <c r="AM101" s="36" t="str">
        <f aca="false">IF($A101="","",IFERROR(AVERAGE(W101:X101),""))</f>
        <v/>
      </c>
      <c r="AN101" s="36" t="str">
        <f aca="false">IF($A101="","",IFERROR(AVERAGE(Y101:Z101),""))</f>
        <v/>
      </c>
      <c r="AO101" s="36" t="str">
        <f aca="false">IF($A101="","",IFERROR(AVERAGE(AA101:AB101),""))</f>
        <v/>
      </c>
      <c r="AP101" s="36" t="str">
        <f aca="false">IF($A101="","",IFERROR(AVERAGE(AC101),""))</f>
        <v/>
      </c>
      <c r="AQ101" s="36" t="str">
        <f aca="false">IF($A101="","",IFERROR(AVERAGE(U101:AC101),""))</f>
        <v/>
      </c>
      <c r="AR101" s="27" t="str">
        <f aca="false">IF($A101="","",IF(AND(H101="",J101=""),"לא נבדק",IF(AND(OR(H101="",H101=I101),OR(J101="",J101=K101)),"תואם","לא תואם")))</f>
        <v/>
      </c>
      <c r="AS101" s="27" t="str">
        <f aca="false">IF($A101="","",IF(AND(AR101&lt;&gt;"לא תואם",G101&lt;&gt;"לא ברור"),"אמין","לפרש בזהירות"))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7" t="str">
        <f aca="false">IF($A102="","",$A102&amp;"|"&amp;$C102)</f>
        <v/>
      </c>
      <c r="AF102" s="28" t="str">
        <f aca="false">IF($A102="","",IFERROR(COUNTIF(L102:M102,"כן")/(COUNTIF(L102:M102,"כן")+COUNTIF(L102:M102,"לא")),""))</f>
        <v/>
      </c>
      <c r="AG102" s="28" t="str">
        <f aca="false">IF($A102="","",IFERROR(COUNTIF(N102:O102,"כן")/(COUNTIF(N102:O102,"כן")+COUNTIF(N102:O102,"לא")),""))</f>
        <v/>
      </c>
      <c r="AH102" s="28" t="str">
        <f aca="false">IF($A102="","",IFERROR(COUNTIF(P102,"כן")/(COUNTIF(P102,"כן")+COUNTIF(P102,"לא")),""))</f>
        <v/>
      </c>
      <c r="AI102" s="28" t="str">
        <f aca="false">IF($A102="","",IFERROR(COUNTIF(Q102:R102,"כן")/(COUNTIF(Q102:R102,"כן")+COUNTIF(Q102:R102,"לא")),""))</f>
        <v/>
      </c>
      <c r="AJ102" s="28" t="str">
        <f aca="false">IF($A102="","",IFERROR(COUNTIF(S102:T102,"כן")/(COUNTIF(S102:T102,"כן")+COUNTIF(S102:T102,"לא")),""))</f>
        <v/>
      </c>
      <c r="AK102" s="28" t="str">
        <f aca="false">IF($A102="","",IFERROR(COUNTIF(L102:T102,"כן")/(COUNTIF(L102:T102,"כן")+COUNTIF(L102:T102,"לא")),""))</f>
        <v/>
      </c>
      <c r="AL102" s="36" t="str">
        <f aca="false">IF($A102="","",IFERROR(AVERAGE(U102:V102),""))</f>
        <v/>
      </c>
      <c r="AM102" s="36" t="str">
        <f aca="false">IF($A102="","",IFERROR(AVERAGE(W102:X102),""))</f>
        <v/>
      </c>
      <c r="AN102" s="36" t="str">
        <f aca="false">IF($A102="","",IFERROR(AVERAGE(Y102:Z102),""))</f>
        <v/>
      </c>
      <c r="AO102" s="36" t="str">
        <f aca="false">IF($A102="","",IFERROR(AVERAGE(AA102:AB102),""))</f>
        <v/>
      </c>
      <c r="AP102" s="36" t="str">
        <f aca="false">IF($A102="","",IFERROR(AVERAGE(AC102),""))</f>
        <v/>
      </c>
      <c r="AQ102" s="36" t="str">
        <f aca="false">IF($A102="","",IFERROR(AVERAGE(U102:AC102),""))</f>
        <v/>
      </c>
      <c r="AR102" s="27" t="str">
        <f aca="false">IF($A102="","",IF(AND(H102="",J102=""),"לא נבדק",IF(AND(OR(H102="",H102=I102),OR(J102="",J102=K102)),"תואם","לא תואם")))</f>
        <v/>
      </c>
      <c r="AS102" s="27" t="str">
        <f aca="false">IF($A102="","",IF(AND(AR102&lt;&gt;"לא תואם",G102&lt;&gt;"לא ברור"),"אמין","לפרש בזהירות"))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7" t="str">
        <f aca="false">IF($A103="","",$A103&amp;"|"&amp;$C103)</f>
        <v/>
      </c>
      <c r="AF103" s="28" t="str">
        <f aca="false">IF($A103="","",IFERROR(COUNTIF(L103:M103,"כן")/(COUNTIF(L103:M103,"כן")+COUNTIF(L103:M103,"לא")),""))</f>
        <v/>
      </c>
      <c r="AG103" s="28" t="str">
        <f aca="false">IF($A103="","",IFERROR(COUNTIF(N103:O103,"כן")/(COUNTIF(N103:O103,"כן")+COUNTIF(N103:O103,"לא")),""))</f>
        <v/>
      </c>
      <c r="AH103" s="28" t="str">
        <f aca="false">IF($A103="","",IFERROR(COUNTIF(P103,"כן")/(COUNTIF(P103,"כן")+COUNTIF(P103,"לא")),""))</f>
        <v/>
      </c>
      <c r="AI103" s="28" t="str">
        <f aca="false">IF($A103="","",IFERROR(COUNTIF(Q103:R103,"כן")/(COUNTIF(Q103:R103,"כן")+COUNTIF(Q103:R103,"לא")),""))</f>
        <v/>
      </c>
      <c r="AJ103" s="28" t="str">
        <f aca="false">IF($A103="","",IFERROR(COUNTIF(S103:T103,"כן")/(COUNTIF(S103:T103,"כן")+COUNTIF(S103:T103,"לא")),""))</f>
        <v/>
      </c>
      <c r="AK103" s="28" t="str">
        <f aca="false">IF($A103="","",IFERROR(COUNTIF(L103:T103,"כן")/(COUNTIF(L103:T103,"כן")+COUNTIF(L103:T103,"לא")),""))</f>
        <v/>
      </c>
      <c r="AL103" s="36" t="str">
        <f aca="false">IF($A103="","",IFERROR(AVERAGE(U103:V103),""))</f>
        <v/>
      </c>
      <c r="AM103" s="36" t="str">
        <f aca="false">IF($A103="","",IFERROR(AVERAGE(W103:X103),""))</f>
        <v/>
      </c>
      <c r="AN103" s="36" t="str">
        <f aca="false">IF($A103="","",IFERROR(AVERAGE(Y103:Z103),""))</f>
        <v/>
      </c>
      <c r="AO103" s="36" t="str">
        <f aca="false">IF($A103="","",IFERROR(AVERAGE(AA103:AB103),""))</f>
        <v/>
      </c>
      <c r="AP103" s="36" t="str">
        <f aca="false">IF($A103="","",IFERROR(AVERAGE(AC103),""))</f>
        <v/>
      </c>
      <c r="AQ103" s="36" t="str">
        <f aca="false">IF($A103="","",IFERROR(AVERAGE(U103:AC103),""))</f>
        <v/>
      </c>
      <c r="AR103" s="27" t="str">
        <f aca="false">IF($A103="","",IF(AND(H103="",J103=""),"לא נבדק",IF(AND(OR(H103="",H103=I103),OR(J103="",J103=K103)),"תואם","לא תואם")))</f>
        <v/>
      </c>
      <c r="AS103" s="27" t="str">
        <f aca="false">IF($A103="","",IF(AND(AR103&lt;&gt;"לא תואם",G103&lt;&gt;"לא ברור"),"אמין","לפרש בזהירות"))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7" t="str">
        <f aca="false">IF($A104="","",$A104&amp;"|"&amp;$C104)</f>
        <v/>
      </c>
      <c r="AF104" s="28" t="str">
        <f aca="false">IF($A104="","",IFERROR(COUNTIF(L104:M104,"כן")/(COUNTIF(L104:M104,"כן")+COUNTIF(L104:M104,"לא")),""))</f>
        <v/>
      </c>
      <c r="AG104" s="28" t="str">
        <f aca="false">IF($A104="","",IFERROR(COUNTIF(N104:O104,"כן")/(COUNTIF(N104:O104,"כן")+COUNTIF(N104:O104,"לא")),""))</f>
        <v/>
      </c>
      <c r="AH104" s="28" t="str">
        <f aca="false">IF($A104="","",IFERROR(COUNTIF(P104,"כן")/(COUNTIF(P104,"כן")+COUNTIF(P104,"לא")),""))</f>
        <v/>
      </c>
      <c r="AI104" s="28" t="str">
        <f aca="false">IF($A104="","",IFERROR(COUNTIF(Q104:R104,"כן")/(COUNTIF(Q104:R104,"כן")+COUNTIF(Q104:R104,"לא")),""))</f>
        <v/>
      </c>
      <c r="AJ104" s="28" t="str">
        <f aca="false">IF($A104="","",IFERROR(COUNTIF(S104:T104,"כן")/(COUNTIF(S104:T104,"כן")+COUNTIF(S104:T104,"לא")),""))</f>
        <v/>
      </c>
      <c r="AK104" s="28" t="str">
        <f aca="false">IF($A104="","",IFERROR(COUNTIF(L104:T104,"כן")/(COUNTIF(L104:T104,"כן")+COUNTIF(L104:T104,"לא")),""))</f>
        <v/>
      </c>
      <c r="AL104" s="36" t="str">
        <f aca="false">IF($A104="","",IFERROR(AVERAGE(U104:V104),""))</f>
        <v/>
      </c>
      <c r="AM104" s="36" t="str">
        <f aca="false">IF($A104="","",IFERROR(AVERAGE(W104:X104),""))</f>
        <v/>
      </c>
      <c r="AN104" s="36" t="str">
        <f aca="false">IF($A104="","",IFERROR(AVERAGE(Y104:Z104),""))</f>
        <v/>
      </c>
      <c r="AO104" s="36" t="str">
        <f aca="false">IF($A104="","",IFERROR(AVERAGE(AA104:AB104),""))</f>
        <v/>
      </c>
      <c r="AP104" s="36" t="str">
        <f aca="false">IF($A104="","",IFERROR(AVERAGE(AC104),""))</f>
        <v/>
      </c>
      <c r="AQ104" s="36" t="str">
        <f aca="false">IF($A104="","",IFERROR(AVERAGE(U104:AC104),""))</f>
        <v/>
      </c>
      <c r="AR104" s="27" t="str">
        <f aca="false">IF($A104="","",IF(AND(H104="",J104=""),"לא נבדק",IF(AND(OR(H104="",H104=I104),OR(J104="",J104=K104)),"תואם","לא תואם")))</f>
        <v/>
      </c>
      <c r="AS104" s="27" t="str">
        <f aca="false">IF($A104="","",IF(AND(AR104&lt;&gt;"לא תואם",G104&lt;&gt;"לא ברור"),"אמין","לפרש בזהירות"))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7" t="str">
        <f aca="false">IF($A105="","",$A105&amp;"|"&amp;$C105)</f>
        <v/>
      </c>
      <c r="AF105" s="28" t="str">
        <f aca="false">IF($A105="","",IFERROR(COUNTIF(L105:M105,"כן")/(COUNTIF(L105:M105,"כן")+COUNTIF(L105:M105,"לא")),""))</f>
        <v/>
      </c>
      <c r="AG105" s="28" t="str">
        <f aca="false">IF($A105="","",IFERROR(COUNTIF(N105:O105,"כן")/(COUNTIF(N105:O105,"כן")+COUNTIF(N105:O105,"לא")),""))</f>
        <v/>
      </c>
      <c r="AH105" s="28" t="str">
        <f aca="false">IF($A105="","",IFERROR(COUNTIF(P105,"כן")/(COUNTIF(P105,"כן")+COUNTIF(P105,"לא")),""))</f>
        <v/>
      </c>
      <c r="AI105" s="28" t="str">
        <f aca="false">IF($A105="","",IFERROR(COUNTIF(Q105:R105,"כן")/(COUNTIF(Q105:R105,"כן")+COUNTIF(Q105:R105,"לא")),""))</f>
        <v/>
      </c>
      <c r="AJ105" s="28" t="str">
        <f aca="false">IF($A105="","",IFERROR(COUNTIF(S105:T105,"כן")/(COUNTIF(S105:T105,"כן")+COUNTIF(S105:T105,"לא")),""))</f>
        <v/>
      </c>
      <c r="AK105" s="28" t="str">
        <f aca="false">IF($A105="","",IFERROR(COUNTIF(L105:T105,"כן")/(COUNTIF(L105:T105,"כן")+COUNTIF(L105:T105,"לא")),""))</f>
        <v/>
      </c>
      <c r="AL105" s="36" t="str">
        <f aca="false">IF($A105="","",IFERROR(AVERAGE(U105:V105),""))</f>
        <v/>
      </c>
      <c r="AM105" s="36" t="str">
        <f aca="false">IF($A105="","",IFERROR(AVERAGE(W105:X105),""))</f>
        <v/>
      </c>
      <c r="AN105" s="36" t="str">
        <f aca="false">IF($A105="","",IFERROR(AVERAGE(Y105:Z105),""))</f>
        <v/>
      </c>
      <c r="AO105" s="36" t="str">
        <f aca="false">IF($A105="","",IFERROR(AVERAGE(AA105:AB105),""))</f>
        <v/>
      </c>
      <c r="AP105" s="36" t="str">
        <f aca="false">IF($A105="","",IFERROR(AVERAGE(AC105),""))</f>
        <v/>
      </c>
      <c r="AQ105" s="36" t="str">
        <f aca="false">IF($A105="","",IFERROR(AVERAGE(U105:AC105),""))</f>
        <v/>
      </c>
      <c r="AR105" s="27" t="str">
        <f aca="false">IF($A105="","",IF(AND(H105="",J105=""),"לא נבדק",IF(AND(OR(H105="",H105=I105),OR(J105="",J105=K105)),"תואם","לא תואם")))</f>
        <v/>
      </c>
      <c r="AS105" s="27" t="str">
        <f aca="false">IF($A105="","",IF(AND(AR105&lt;&gt;"לא תואם",G105&lt;&gt;"לא ברור"),"אמין","לפרש בזהירות"))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7" t="str">
        <f aca="false">IF($A106="","",$A106&amp;"|"&amp;$C106)</f>
        <v/>
      </c>
      <c r="AF106" s="28" t="str">
        <f aca="false">IF($A106="","",IFERROR(COUNTIF(L106:M106,"כן")/(COUNTIF(L106:M106,"כן")+COUNTIF(L106:M106,"לא")),""))</f>
        <v/>
      </c>
      <c r="AG106" s="28" t="str">
        <f aca="false">IF($A106="","",IFERROR(COUNTIF(N106:O106,"כן")/(COUNTIF(N106:O106,"כן")+COUNTIF(N106:O106,"לא")),""))</f>
        <v/>
      </c>
      <c r="AH106" s="28" t="str">
        <f aca="false">IF($A106="","",IFERROR(COUNTIF(P106,"כן")/(COUNTIF(P106,"כן")+COUNTIF(P106,"לא")),""))</f>
        <v/>
      </c>
      <c r="AI106" s="28" t="str">
        <f aca="false">IF($A106="","",IFERROR(COUNTIF(Q106:R106,"כן")/(COUNTIF(Q106:R106,"כן")+COUNTIF(Q106:R106,"לא")),""))</f>
        <v/>
      </c>
      <c r="AJ106" s="28" t="str">
        <f aca="false">IF($A106="","",IFERROR(COUNTIF(S106:T106,"כן")/(COUNTIF(S106:T106,"כן")+COUNTIF(S106:T106,"לא")),""))</f>
        <v/>
      </c>
      <c r="AK106" s="28" t="str">
        <f aca="false">IF($A106="","",IFERROR(COUNTIF(L106:T106,"כן")/(COUNTIF(L106:T106,"כן")+COUNTIF(L106:T106,"לא")),""))</f>
        <v/>
      </c>
      <c r="AL106" s="36" t="str">
        <f aca="false">IF($A106="","",IFERROR(AVERAGE(U106:V106),""))</f>
        <v/>
      </c>
      <c r="AM106" s="36" t="str">
        <f aca="false">IF($A106="","",IFERROR(AVERAGE(W106:X106),""))</f>
        <v/>
      </c>
      <c r="AN106" s="36" t="str">
        <f aca="false">IF($A106="","",IFERROR(AVERAGE(Y106:Z106),""))</f>
        <v/>
      </c>
      <c r="AO106" s="36" t="str">
        <f aca="false">IF($A106="","",IFERROR(AVERAGE(AA106:AB106),""))</f>
        <v/>
      </c>
      <c r="AP106" s="36" t="str">
        <f aca="false">IF($A106="","",IFERROR(AVERAGE(AC106),""))</f>
        <v/>
      </c>
      <c r="AQ106" s="36" t="str">
        <f aca="false">IF($A106="","",IFERROR(AVERAGE(U106:AC106),""))</f>
        <v/>
      </c>
      <c r="AR106" s="27" t="str">
        <f aca="false">IF($A106="","",IF(AND(H106="",J106=""),"לא נבדק",IF(AND(OR(H106="",H106=I106),OR(J106="",J106=K106)),"תואם","לא תואם")))</f>
        <v/>
      </c>
      <c r="AS106" s="27" t="str">
        <f aca="false">IF($A106="","",IF(AND(AR106&lt;&gt;"לא תואם",G106&lt;&gt;"לא ברור"),"אמין","לפרש בזהירות"))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7" t="str">
        <f aca="false">IF($A107="","",$A107&amp;"|"&amp;$C107)</f>
        <v/>
      </c>
      <c r="AF107" s="28" t="str">
        <f aca="false">IF($A107="","",IFERROR(COUNTIF(L107:M107,"כן")/(COUNTIF(L107:M107,"כן")+COUNTIF(L107:M107,"לא")),""))</f>
        <v/>
      </c>
      <c r="AG107" s="28" t="str">
        <f aca="false">IF($A107="","",IFERROR(COUNTIF(N107:O107,"כן")/(COUNTIF(N107:O107,"כן")+COUNTIF(N107:O107,"לא")),""))</f>
        <v/>
      </c>
      <c r="AH107" s="28" t="str">
        <f aca="false">IF($A107="","",IFERROR(COUNTIF(P107,"כן")/(COUNTIF(P107,"כן")+COUNTIF(P107,"לא")),""))</f>
        <v/>
      </c>
      <c r="AI107" s="28" t="str">
        <f aca="false">IF($A107="","",IFERROR(COUNTIF(Q107:R107,"כן")/(COUNTIF(Q107:R107,"כן")+COUNTIF(Q107:R107,"לא")),""))</f>
        <v/>
      </c>
      <c r="AJ107" s="28" t="str">
        <f aca="false">IF($A107="","",IFERROR(COUNTIF(S107:T107,"כן")/(COUNTIF(S107:T107,"כן")+COUNTIF(S107:T107,"לא")),""))</f>
        <v/>
      </c>
      <c r="AK107" s="28" t="str">
        <f aca="false">IF($A107="","",IFERROR(COUNTIF(L107:T107,"כן")/(COUNTIF(L107:T107,"כן")+COUNTIF(L107:T107,"לא")),""))</f>
        <v/>
      </c>
      <c r="AL107" s="36" t="str">
        <f aca="false">IF($A107="","",IFERROR(AVERAGE(U107:V107),""))</f>
        <v/>
      </c>
      <c r="AM107" s="36" t="str">
        <f aca="false">IF($A107="","",IFERROR(AVERAGE(W107:X107),""))</f>
        <v/>
      </c>
      <c r="AN107" s="36" t="str">
        <f aca="false">IF($A107="","",IFERROR(AVERAGE(Y107:Z107),""))</f>
        <v/>
      </c>
      <c r="AO107" s="36" t="str">
        <f aca="false">IF($A107="","",IFERROR(AVERAGE(AA107:AB107),""))</f>
        <v/>
      </c>
      <c r="AP107" s="36" t="str">
        <f aca="false">IF($A107="","",IFERROR(AVERAGE(AC107),""))</f>
        <v/>
      </c>
      <c r="AQ107" s="36" t="str">
        <f aca="false">IF($A107="","",IFERROR(AVERAGE(U107:AC107),""))</f>
        <v/>
      </c>
      <c r="AR107" s="27" t="str">
        <f aca="false">IF($A107="","",IF(AND(H107="",J107=""),"לא נבדק",IF(AND(OR(H107="",H107=I107),OR(J107="",J107=K107)),"תואם","לא תואם")))</f>
        <v/>
      </c>
      <c r="AS107" s="27" t="str">
        <f aca="false">IF($A107="","",IF(AND(AR107&lt;&gt;"לא תואם",G107&lt;&gt;"לא ברור"),"אמין","לפרש בזהירות"))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7" t="str">
        <f aca="false">IF($A108="","",$A108&amp;"|"&amp;$C108)</f>
        <v/>
      </c>
      <c r="AF108" s="28" t="str">
        <f aca="false">IF($A108="","",IFERROR(COUNTIF(L108:M108,"כן")/(COUNTIF(L108:M108,"כן")+COUNTIF(L108:M108,"לא")),""))</f>
        <v/>
      </c>
      <c r="AG108" s="28" t="str">
        <f aca="false">IF($A108="","",IFERROR(COUNTIF(N108:O108,"כן")/(COUNTIF(N108:O108,"כן")+COUNTIF(N108:O108,"לא")),""))</f>
        <v/>
      </c>
      <c r="AH108" s="28" t="str">
        <f aca="false">IF($A108="","",IFERROR(COUNTIF(P108,"כן")/(COUNTIF(P108,"כן")+COUNTIF(P108,"לא")),""))</f>
        <v/>
      </c>
      <c r="AI108" s="28" t="str">
        <f aca="false">IF($A108="","",IFERROR(COUNTIF(Q108:R108,"כן")/(COUNTIF(Q108:R108,"כן")+COUNTIF(Q108:R108,"לא")),""))</f>
        <v/>
      </c>
      <c r="AJ108" s="28" t="str">
        <f aca="false">IF($A108="","",IFERROR(COUNTIF(S108:T108,"כן")/(COUNTIF(S108:T108,"כן")+COUNTIF(S108:T108,"לא")),""))</f>
        <v/>
      </c>
      <c r="AK108" s="28" t="str">
        <f aca="false">IF($A108="","",IFERROR(COUNTIF(L108:T108,"כן")/(COUNTIF(L108:T108,"כן")+COUNTIF(L108:T108,"לא")),""))</f>
        <v/>
      </c>
      <c r="AL108" s="36" t="str">
        <f aca="false">IF($A108="","",IFERROR(AVERAGE(U108:V108),""))</f>
        <v/>
      </c>
      <c r="AM108" s="36" t="str">
        <f aca="false">IF($A108="","",IFERROR(AVERAGE(W108:X108),""))</f>
        <v/>
      </c>
      <c r="AN108" s="36" t="str">
        <f aca="false">IF($A108="","",IFERROR(AVERAGE(Y108:Z108),""))</f>
        <v/>
      </c>
      <c r="AO108" s="36" t="str">
        <f aca="false">IF($A108="","",IFERROR(AVERAGE(AA108:AB108),""))</f>
        <v/>
      </c>
      <c r="AP108" s="36" t="str">
        <f aca="false">IF($A108="","",IFERROR(AVERAGE(AC108),""))</f>
        <v/>
      </c>
      <c r="AQ108" s="36" t="str">
        <f aca="false">IF($A108="","",IFERROR(AVERAGE(U108:AC108),""))</f>
        <v/>
      </c>
      <c r="AR108" s="27" t="str">
        <f aca="false">IF($A108="","",IF(AND(H108="",J108=""),"לא נבדק",IF(AND(OR(H108="",H108=I108),OR(J108="",J108=K108)),"תואם","לא תואם")))</f>
        <v/>
      </c>
      <c r="AS108" s="27" t="str">
        <f aca="false">IF($A108="","",IF(AND(AR108&lt;&gt;"לא תואם",G108&lt;&gt;"לא ברור"),"אמין","לפרש בזהירות"))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7" t="str">
        <f aca="false">IF($A109="","",$A109&amp;"|"&amp;$C109)</f>
        <v/>
      </c>
      <c r="AF109" s="28" t="str">
        <f aca="false">IF($A109="","",IFERROR(COUNTIF(L109:M109,"כן")/(COUNTIF(L109:M109,"כן")+COUNTIF(L109:M109,"לא")),""))</f>
        <v/>
      </c>
      <c r="AG109" s="28" t="str">
        <f aca="false">IF($A109="","",IFERROR(COUNTIF(N109:O109,"כן")/(COUNTIF(N109:O109,"כן")+COUNTIF(N109:O109,"לא")),""))</f>
        <v/>
      </c>
      <c r="AH109" s="28" t="str">
        <f aca="false">IF($A109="","",IFERROR(COUNTIF(P109,"כן")/(COUNTIF(P109,"כן")+COUNTIF(P109,"לא")),""))</f>
        <v/>
      </c>
      <c r="AI109" s="28" t="str">
        <f aca="false">IF($A109="","",IFERROR(COUNTIF(Q109:R109,"כן")/(COUNTIF(Q109:R109,"כן")+COUNTIF(Q109:R109,"לא")),""))</f>
        <v/>
      </c>
      <c r="AJ109" s="28" t="str">
        <f aca="false">IF($A109="","",IFERROR(COUNTIF(S109:T109,"כן")/(COUNTIF(S109:T109,"כן")+COUNTIF(S109:T109,"לא")),""))</f>
        <v/>
      </c>
      <c r="AK109" s="28" t="str">
        <f aca="false">IF($A109="","",IFERROR(COUNTIF(L109:T109,"כן")/(COUNTIF(L109:T109,"כן")+COUNTIF(L109:T109,"לא")),""))</f>
        <v/>
      </c>
      <c r="AL109" s="36" t="str">
        <f aca="false">IF($A109="","",IFERROR(AVERAGE(U109:V109),""))</f>
        <v/>
      </c>
      <c r="AM109" s="36" t="str">
        <f aca="false">IF($A109="","",IFERROR(AVERAGE(W109:X109),""))</f>
        <v/>
      </c>
      <c r="AN109" s="36" t="str">
        <f aca="false">IF($A109="","",IFERROR(AVERAGE(Y109:Z109),""))</f>
        <v/>
      </c>
      <c r="AO109" s="36" t="str">
        <f aca="false">IF($A109="","",IFERROR(AVERAGE(AA109:AB109),""))</f>
        <v/>
      </c>
      <c r="AP109" s="36" t="str">
        <f aca="false">IF($A109="","",IFERROR(AVERAGE(AC109),""))</f>
        <v/>
      </c>
      <c r="AQ109" s="36" t="str">
        <f aca="false">IF($A109="","",IFERROR(AVERAGE(U109:AC109),""))</f>
        <v/>
      </c>
      <c r="AR109" s="27" t="str">
        <f aca="false">IF($A109="","",IF(AND(H109="",J109=""),"לא נבדק",IF(AND(OR(H109="",H109=I109),OR(J109="",J109=K109)),"תואם","לא תואם")))</f>
        <v/>
      </c>
      <c r="AS109" s="27" t="str">
        <f aca="false">IF($A109="","",IF(AND(AR109&lt;&gt;"לא תואם",G109&lt;&gt;"לא ברור"),"אמין","לפרש בזהירות"))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7" t="str">
        <f aca="false">IF($A110="","",$A110&amp;"|"&amp;$C110)</f>
        <v/>
      </c>
      <c r="AF110" s="28" t="str">
        <f aca="false">IF($A110="","",IFERROR(COUNTIF(L110:M110,"כן")/(COUNTIF(L110:M110,"כן")+COUNTIF(L110:M110,"לא")),""))</f>
        <v/>
      </c>
      <c r="AG110" s="28" t="str">
        <f aca="false">IF($A110="","",IFERROR(COUNTIF(N110:O110,"כן")/(COUNTIF(N110:O110,"כן")+COUNTIF(N110:O110,"לא")),""))</f>
        <v/>
      </c>
      <c r="AH110" s="28" t="str">
        <f aca="false">IF($A110="","",IFERROR(COUNTIF(P110,"כן")/(COUNTIF(P110,"כן")+COUNTIF(P110,"לא")),""))</f>
        <v/>
      </c>
      <c r="AI110" s="28" t="str">
        <f aca="false">IF($A110="","",IFERROR(COUNTIF(Q110:R110,"כן")/(COUNTIF(Q110:R110,"כן")+COUNTIF(Q110:R110,"לא")),""))</f>
        <v/>
      </c>
      <c r="AJ110" s="28" t="str">
        <f aca="false">IF($A110="","",IFERROR(COUNTIF(S110:T110,"כן")/(COUNTIF(S110:T110,"כן")+COUNTIF(S110:T110,"לא")),""))</f>
        <v/>
      </c>
      <c r="AK110" s="28" t="str">
        <f aca="false">IF($A110="","",IFERROR(COUNTIF(L110:T110,"כן")/(COUNTIF(L110:T110,"כן")+COUNTIF(L110:T110,"לא")),""))</f>
        <v/>
      </c>
      <c r="AL110" s="36" t="str">
        <f aca="false">IF($A110="","",IFERROR(AVERAGE(U110:V110),""))</f>
        <v/>
      </c>
      <c r="AM110" s="36" t="str">
        <f aca="false">IF($A110="","",IFERROR(AVERAGE(W110:X110),""))</f>
        <v/>
      </c>
      <c r="AN110" s="36" t="str">
        <f aca="false">IF($A110="","",IFERROR(AVERAGE(Y110:Z110),""))</f>
        <v/>
      </c>
      <c r="AO110" s="36" t="str">
        <f aca="false">IF($A110="","",IFERROR(AVERAGE(AA110:AB110),""))</f>
        <v/>
      </c>
      <c r="AP110" s="36" t="str">
        <f aca="false">IF($A110="","",IFERROR(AVERAGE(AC110),""))</f>
        <v/>
      </c>
      <c r="AQ110" s="36" t="str">
        <f aca="false">IF($A110="","",IFERROR(AVERAGE(U110:AC110),""))</f>
        <v/>
      </c>
      <c r="AR110" s="27" t="str">
        <f aca="false">IF($A110="","",IF(AND(H110="",J110=""),"לא נבדק",IF(AND(OR(H110="",H110=I110),OR(J110="",J110=K110)),"תואם","לא תואם")))</f>
        <v/>
      </c>
      <c r="AS110" s="27" t="str">
        <f aca="false">IF($A110="","",IF(AND(AR110&lt;&gt;"לא תואם",G110&lt;&gt;"לא ברור"),"אמין","לפרש בזהירות"))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7" t="str">
        <f aca="false">IF($A111="","",$A111&amp;"|"&amp;$C111)</f>
        <v/>
      </c>
      <c r="AF111" s="28" t="str">
        <f aca="false">IF($A111="","",IFERROR(COUNTIF(L111:M111,"כן")/(COUNTIF(L111:M111,"כן")+COUNTIF(L111:M111,"לא")),""))</f>
        <v/>
      </c>
      <c r="AG111" s="28" t="str">
        <f aca="false">IF($A111="","",IFERROR(COUNTIF(N111:O111,"כן")/(COUNTIF(N111:O111,"כן")+COUNTIF(N111:O111,"לא")),""))</f>
        <v/>
      </c>
      <c r="AH111" s="28" t="str">
        <f aca="false">IF($A111="","",IFERROR(COUNTIF(P111,"כן")/(COUNTIF(P111,"כן")+COUNTIF(P111,"לא")),""))</f>
        <v/>
      </c>
      <c r="AI111" s="28" t="str">
        <f aca="false">IF($A111="","",IFERROR(COUNTIF(Q111:R111,"כן")/(COUNTIF(Q111:R111,"כן")+COUNTIF(Q111:R111,"לא")),""))</f>
        <v/>
      </c>
      <c r="AJ111" s="28" t="str">
        <f aca="false">IF($A111="","",IFERROR(COUNTIF(S111:T111,"כן")/(COUNTIF(S111:T111,"כן")+COUNTIF(S111:T111,"לא")),""))</f>
        <v/>
      </c>
      <c r="AK111" s="28" t="str">
        <f aca="false">IF($A111="","",IFERROR(COUNTIF(L111:T111,"כן")/(COUNTIF(L111:T111,"כן")+COUNTIF(L111:T111,"לא")),""))</f>
        <v/>
      </c>
      <c r="AL111" s="36" t="str">
        <f aca="false">IF($A111="","",IFERROR(AVERAGE(U111:V111),""))</f>
        <v/>
      </c>
      <c r="AM111" s="36" t="str">
        <f aca="false">IF($A111="","",IFERROR(AVERAGE(W111:X111),""))</f>
        <v/>
      </c>
      <c r="AN111" s="36" t="str">
        <f aca="false">IF($A111="","",IFERROR(AVERAGE(Y111:Z111),""))</f>
        <v/>
      </c>
      <c r="AO111" s="36" t="str">
        <f aca="false">IF($A111="","",IFERROR(AVERAGE(AA111:AB111),""))</f>
        <v/>
      </c>
      <c r="AP111" s="36" t="str">
        <f aca="false">IF($A111="","",IFERROR(AVERAGE(AC111),""))</f>
        <v/>
      </c>
      <c r="AQ111" s="36" t="str">
        <f aca="false">IF($A111="","",IFERROR(AVERAGE(U111:AC111),""))</f>
        <v/>
      </c>
      <c r="AR111" s="27" t="str">
        <f aca="false">IF($A111="","",IF(AND(H111="",J111=""),"לא נבדק",IF(AND(OR(H111="",H111=I111),OR(J111="",J111=K111)),"תואם","לא תואם")))</f>
        <v/>
      </c>
      <c r="AS111" s="27" t="str">
        <f aca="false">IF($A111="","",IF(AND(AR111&lt;&gt;"לא תואם",G111&lt;&gt;"לא ברור"),"אמין","לפרש בזהירות"))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7" t="str">
        <f aca="false">IF($A112="","",$A112&amp;"|"&amp;$C112)</f>
        <v/>
      </c>
      <c r="AF112" s="28" t="str">
        <f aca="false">IF($A112="","",IFERROR(COUNTIF(L112:M112,"כן")/(COUNTIF(L112:M112,"כן")+COUNTIF(L112:M112,"לא")),""))</f>
        <v/>
      </c>
      <c r="AG112" s="28" t="str">
        <f aca="false">IF($A112="","",IFERROR(COUNTIF(N112:O112,"כן")/(COUNTIF(N112:O112,"כן")+COUNTIF(N112:O112,"לא")),""))</f>
        <v/>
      </c>
      <c r="AH112" s="28" t="str">
        <f aca="false">IF($A112="","",IFERROR(COUNTIF(P112,"כן")/(COUNTIF(P112,"כן")+COUNTIF(P112,"לא")),""))</f>
        <v/>
      </c>
      <c r="AI112" s="28" t="str">
        <f aca="false">IF($A112="","",IFERROR(COUNTIF(Q112:R112,"כן")/(COUNTIF(Q112:R112,"כן")+COUNTIF(Q112:R112,"לא")),""))</f>
        <v/>
      </c>
      <c r="AJ112" s="28" t="str">
        <f aca="false">IF($A112="","",IFERROR(COUNTIF(S112:T112,"כן")/(COUNTIF(S112:T112,"כן")+COUNTIF(S112:T112,"לא")),""))</f>
        <v/>
      </c>
      <c r="AK112" s="28" t="str">
        <f aca="false">IF($A112="","",IFERROR(COUNTIF(L112:T112,"כן")/(COUNTIF(L112:T112,"כן")+COUNTIF(L112:T112,"לא")),""))</f>
        <v/>
      </c>
      <c r="AL112" s="36" t="str">
        <f aca="false">IF($A112="","",IFERROR(AVERAGE(U112:V112),""))</f>
        <v/>
      </c>
      <c r="AM112" s="36" t="str">
        <f aca="false">IF($A112="","",IFERROR(AVERAGE(W112:X112),""))</f>
        <v/>
      </c>
      <c r="AN112" s="36" t="str">
        <f aca="false">IF($A112="","",IFERROR(AVERAGE(Y112:Z112),""))</f>
        <v/>
      </c>
      <c r="AO112" s="36" t="str">
        <f aca="false">IF($A112="","",IFERROR(AVERAGE(AA112:AB112),""))</f>
        <v/>
      </c>
      <c r="AP112" s="36" t="str">
        <f aca="false">IF($A112="","",IFERROR(AVERAGE(AC112),""))</f>
        <v/>
      </c>
      <c r="AQ112" s="36" t="str">
        <f aca="false">IF($A112="","",IFERROR(AVERAGE(U112:AC112),""))</f>
        <v/>
      </c>
      <c r="AR112" s="27" t="str">
        <f aca="false">IF($A112="","",IF(AND(H112="",J112=""),"לא נבדק",IF(AND(OR(H112="",H112=I112),OR(J112="",J112=K112)),"תואם","לא תואם")))</f>
        <v/>
      </c>
      <c r="AS112" s="27" t="str">
        <f aca="false">IF($A112="","",IF(AND(AR112&lt;&gt;"לא תואם",G112&lt;&gt;"לא ברור"),"אמין","לפרש בזהירות"))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7" t="str">
        <f aca="false">IF($A113="","",$A113&amp;"|"&amp;$C113)</f>
        <v/>
      </c>
      <c r="AF113" s="28" t="str">
        <f aca="false">IF($A113="","",IFERROR(COUNTIF(L113:M113,"כן")/(COUNTIF(L113:M113,"כן")+COUNTIF(L113:M113,"לא")),""))</f>
        <v/>
      </c>
      <c r="AG113" s="28" t="str">
        <f aca="false">IF($A113="","",IFERROR(COUNTIF(N113:O113,"כן")/(COUNTIF(N113:O113,"כן")+COUNTIF(N113:O113,"לא")),""))</f>
        <v/>
      </c>
      <c r="AH113" s="28" t="str">
        <f aca="false">IF($A113="","",IFERROR(COUNTIF(P113,"כן")/(COUNTIF(P113,"כן")+COUNTIF(P113,"לא")),""))</f>
        <v/>
      </c>
      <c r="AI113" s="28" t="str">
        <f aca="false">IF($A113="","",IFERROR(COUNTIF(Q113:R113,"כן")/(COUNTIF(Q113:R113,"כן")+COUNTIF(Q113:R113,"לא")),""))</f>
        <v/>
      </c>
      <c r="AJ113" s="28" t="str">
        <f aca="false">IF($A113="","",IFERROR(COUNTIF(S113:T113,"כן")/(COUNTIF(S113:T113,"כן")+COUNTIF(S113:T113,"לא")),""))</f>
        <v/>
      </c>
      <c r="AK113" s="28" t="str">
        <f aca="false">IF($A113="","",IFERROR(COUNTIF(L113:T113,"כן")/(COUNTIF(L113:T113,"כן")+COUNTIF(L113:T113,"לא")),""))</f>
        <v/>
      </c>
      <c r="AL113" s="36" t="str">
        <f aca="false">IF($A113="","",IFERROR(AVERAGE(U113:V113),""))</f>
        <v/>
      </c>
      <c r="AM113" s="36" t="str">
        <f aca="false">IF($A113="","",IFERROR(AVERAGE(W113:X113),""))</f>
        <v/>
      </c>
      <c r="AN113" s="36" t="str">
        <f aca="false">IF($A113="","",IFERROR(AVERAGE(Y113:Z113),""))</f>
        <v/>
      </c>
      <c r="AO113" s="36" t="str">
        <f aca="false">IF($A113="","",IFERROR(AVERAGE(AA113:AB113),""))</f>
        <v/>
      </c>
      <c r="AP113" s="36" t="str">
        <f aca="false">IF($A113="","",IFERROR(AVERAGE(AC113),""))</f>
        <v/>
      </c>
      <c r="AQ113" s="36" t="str">
        <f aca="false">IF($A113="","",IFERROR(AVERAGE(U113:AC113),""))</f>
        <v/>
      </c>
      <c r="AR113" s="27" t="str">
        <f aca="false">IF($A113="","",IF(AND(H113="",J113=""),"לא נבדק",IF(AND(OR(H113="",H113=I113),OR(J113="",J113=K113)),"תואם","לא תואם")))</f>
        <v/>
      </c>
      <c r="AS113" s="27" t="str">
        <f aca="false">IF($A113="","",IF(AND(AR113&lt;&gt;"לא תואם",G113&lt;&gt;"לא ברור"),"אמין","לפרש בזהירות"))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7" t="str">
        <f aca="false">IF($A114="","",$A114&amp;"|"&amp;$C114)</f>
        <v/>
      </c>
      <c r="AF114" s="28" t="str">
        <f aca="false">IF($A114="","",IFERROR(COUNTIF(L114:M114,"כן")/(COUNTIF(L114:M114,"כן")+COUNTIF(L114:M114,"לא")),""))</f>
        <v/>
      </c>
      <c r="AG114" s="28" t="str">
        <f aca="false">IF($A114="","",IFERROR(COUNTIF(N114:O114,"כן")/(COUNTIF(N114:O114,"כן")+COUNTIF(N114:O114,"לא")),""))</f>
        <v/>
      </c>
      <c r="AH114" s="28" t="str">
        <f aca="false">IF($A114="","",IFERROR(COUNTIF(P114,"כן")/(COUNTIF(P114,"כן")+COUNTIF(P114,"לא")),""))</f>
        <v/>
      </c>
      <c r="AI114" s="28" t="str">
        <f aca="false">IF($A114="","",IFERROR(COUNTIF(Q114:R114,"כן")/(COUNTIF(Q114:R114,"כן")+COUNTIF(Q114:R114,"לא")),""))</f>
        <v/>
      </c>
      <c r="AJ114" s="28" t="str">
        <f aca="false">IF($A114="","",IFERROR(COUNTIF(S114:T114,"כן")/(COUNTIF(S114:T114,"כן")+COUNTIF(S114:T114,"לא")),""))</f>
        <v/>
      </c>
      <c r="AK114" s="28" t="str">
        <f aca="false">IF($A114="","",IFERROR(COUNTIF(L114:T114,"כן")/(COUNTIF(L114:T114,"כן")+COUNTIF(L114:T114,"לא")),""))</f>
        <v/>
      </c>
      <c r="AL114" s="36" t="str">
        <f aca="false">IF($A114="","",IFERROR(AVERAGE(U114:V114),""))</f>
        <v/>
      </c>
      <c r="AM114" s="36" t="str">
        <f aca="false">IF($A114="","",IFERROR(AVERAGE(W114:X114),""))</f>
        <v/>
      </c>
      <c r="AN114" s="36" t="str">
        <f aca="false">IF($A114="","",IFERROR(AVERAGE(Y114:Z114),""))</f>
        <v/>
      </c>
      <c r="AO114" s="36" t="str">
        <f aca="false">IF($A114="","",IFERROR(AVERAGE(AA114:AB114),""))</f>
        <v/>
      </c>
      <c r="AP114" s="36" t="str">
        <f aca="false">IF($A114="","",IFERROR(AVERAGE(AC114),""))</f>
        <v/>
      </c>
      <c r="AQ114" s="36" t="str">
        <f aca="false">IF($A114="","",IFERROR(AVERAGE(U114:AC114),""))</f>
        <v/>
      </c>
      <c r="AR114" s="27" t="str">
        <f aca="false">IF($A114="","",IF(AND(H114="",J114=""),"לא נבדק",IF(AND(OR(H114="",H114=I114),OR(J114="",J114=K114)),"תואם","לא תואם")))</f>
        <v/>
      </c>
      <c r="AS114" s="27" t="str">
        <f aca="false">IF($A114="","",IF(AND(AR114&lt;&gt;"לא תואם",G114&lt;&gt;"לא ברור"),"אמין","לפרש בזהירות"))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7" t="str">
        <f aca="false">IF($A115="","",$A115&amp;"|"&amp;$C115)</f>
        <v/>
      </c>
      <c r="AF115" s="28" t="str">
        <f aca="false">IF($A115="","",IFERROR(COUNTIF(L115:M115,"כן")/(COUNTIF(L115:M115,"כן")+COUNTIF(L115:M115,"לא")),""))</f>
        <v/>
      </c>
      <c r="AG115" s="28" t="str">
        <f aca="false">IF($A115="","",IFERROR(COUNTIF(N115:O115,"כן")/(COUNTIF(N115:O115,"כן")+COUNTIF(N115:O115,"לא")),""))</f>
        <v/>
      </c>
      <c r="AH115" s="28" t="str">
        <f aca="false">IF($A115="","",IFERROR(COUNTIF(P115,"כן")/(COUNTIF(P115,"כן")+COUNTIF(P115,"לא")),""))</f>
        <v/>
      </c>
      <c r="AI115" s="28" t="str">
        <f aca="false">IF($A115="","",IFERROR(COUNTIF(Q115:R115,"כן")/(COUNTIF(Q115:R115,"כן")+COUNTIF(Q115:R115,"לא")),""))</f>
        <v/>
      </c>
      <c r="AJ115" s="28" t="str">
        <f aca="false">IF($A115="","",IFERROR(COUNTIF(S115:T115,"כן")/(COUNTIF(S115:T115,"כן")+COUNTIF(S115:T115,"לא")),""))</f>
        <v/>
      </c>
      <c r="AK115" s="28" t="str">
        <f aca="false">IF($A115="","",IFERROR(COUNTIF(L115:T115,"כן")/(COUNTIF(L115:T115,"כן")+COUNTIF(L115:T115,"לא")),""))</f>
        <v/>
      </c>
      <c r="AL115" s="36" t="str">
        <f aca="false">IF($A115="","",IFERROR(AVERAGE(U115:V115),""))</f>
        <v/>
      </c>
      <c r="AM115" s="36" t="str">
        <f aca="false">IF($A115="","",IFERROR(AVERAGE(W115:X115),""))</f>
        <v/>
      </c>
      <c r="AN115" s="36" t="str">
        <f aca="false">IF($A115="","",IFERROR(AVERAGE(Y115:Z115),""))</f>
        <v/>
      </c>
      <c r="AO115" s="36" t="str">
        <f aca="false">IF($A115="","",IFERROR(AVERAGE(AA115:AB115),""))</f>
        <v/>
      </c>
      <c r="AP115" s="36" t="str">
        <f aca="false">IF($A115="","",IFERROR(AVERAGE(AC115),""))</f>
        <v/>
      </c>
      <c r="AQ115" s="36" t="str">
        <f aca="false">IF($A115="","",IFERROR(AVERAGE(U115:AC115),""))</f>
        <v/>
      </c>
      <c r="AR115" s="27" t="str">
        <f aca="false">IF($A115="","",IF(AND(H115="",J115=""),"לא נבדק",IF(AND(OR(H115="",H115=I115),OR(J115="",J115=K115)),"תואם","לא תואם")))</f>
        <v/>
      </c>
      <c r="AS115" s="27" t="str">
        <f aca="false">IF($A115="","",IF(AND(AR115&lt;&gt;"לא תואם",G115&lt;&gt;"לא ברור"),"אמין","לפרש בזהירות"))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7" t="str">
        <f aca="false">IF($A116="","",$A116&amp;"|"&amp;$C116)</f>
        <v/>
      </c>
      <c r="AF116" s="28" t="str">
        <f aca="false">IF($A116="","",IFERROR(COUNTIF(L116:M116,"כן")/(COUNTIF(L116:M116,"כן")+COUNTIF(L116:M116,"לא")),""))</f>
        <v/>
      </c>
      <c r="AG116" s="28" t="str">
        <f aca="false">IF($A116="","",IFERROR(COUNTIF(N116:O116,"כן")/(COUNTIF(N116:O116,"כן")+COUNTIF(N116:O116,"לא")),""))</f>
        <v/>
      </c>
      <c r="AH116" s="28" t="str">
        <f aca="false">IF($A116="","",IFERROR(COUNTIF(P116,"כן")/(COUNTIF(P116,"כן")+COUNTIF(P116,"לא")),""))</f>
        <v/>
      </c>
      <c r="AI116" s="28" t="str">
        <f aca="false">IF($A116="","",IFERROR(COUNTIF(Q116:R116,"כן")/(COUNTIF(Q116:R116,"כן")+COUNTIF(Q116:R116,"לא")),""))</f>
        <v/>
      </c>
      <c r="AJ116" s="28" t="str">
        <f aca="false">IF($A116="","",IFERROR(COUNTIF(S116:T116,"כן")/(COUNTIF(S116:T116,"כן")+COUNTIF(S116:T116,"לא")),""))</f>
        <v/>
      </c>
      <c r="AK116" s="28" t="str">
        <f aca="false">IF($A116="","",IFERROR(COUNTIF(L116:T116,"כן")/(COUNTIF(L116:T116,"כן")+COUNTIF(L116:T116,"לא")),""))</f>
        <v/>
      </c>
      <c r="AL116" s="36" t="str">
        <f aca="false">IF($A116="","",IFERROR(AVERAGE(U116:V116),""))</f>
        <v/>
      </c>
      <c r="AM116" s="36" t="str">
        <f aca="false">IF($A116="","",IFERROR(AVERAGE(W116:X116),""))</f>
        <v/>
      </c>
      <c r="AN116" s="36" t="str">
        <f aca="false">IF($A116="","",IFERROR(AVERAGE(Y116:Z116),""))</f>
        <v/>
      </c>
      <c r="AO116" s="36" t="str">
        <f aca="false">IF($A116="","",IFERROR(AVERAGE(AA116:AB116),""))</f>
        <v/>
      </c>
      <c r="AP116" s="36" t="str">
        <f aca="false">IF($A116="","",IFERROR(AVERAGE(AC116),""))</f>
        <v/>
      </c>
      <c r="AQ116" s="36" t="str">
        <f aca="false">IF($A116="","",IFERROR(AVERAGE(U116:AC116),""))</f>
        <v/>
      </c>
      <c r="AR116" s="27" t="str">
        <f aca="false">IF($A116="","",IF(AND(H116="",J116=""),"לא נבדק",IF(AND(OR(H116="",H116=I116),OR(J116="",J116=K116)),"תואם","לא תואם")))</f>
        <v/>
      </c>
      <c r="AS116" s="27" t="str">
        <f aca="false">IF($A116="","",IF(AND(AR116&lt;&gt;"לא תואם",G116&lt;&gt;"לא ברור"),"אמין","לפרש בזהירות"))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7" t="str">
        <f aca="false">IF($A117="","",$A117&amp;"|"&amp;$C117)</f>
        <v/>
      </c>
      <c r="AF117" s="28" t="str">
        <f aca="false">IF($A117="","",IFERROR(COUNTIF(L117:M117,"כן")/(COUNTIF(L117:M117,"כן")+COUNTIF(L117:M117,"לא")),""))</f>
        <v/>
      </c>
      <c r="AG117" s="28" t="str">
        <f aca="false">IF($A117="","",IFERROR(COUNTIF(N117:O117,"כן")/(COUNTIF(N117:O117,"כן")+COUNTIF(N117:O117,"לא")),""))</f>
        <v/>
      </c>
      <c r="AH117" s="28" t="str">
        <f aca="false">IF($A117="","",IFERROR(COUNTIF(P117,"כן")/(COUNTIF(P117,"כן")+COUNTIF(P117,"לא")),""))</f>
        <v/>
      </c>
      <c r="AI117" s="28" t="str">
        <f aca="false">IF($A117="","",IFERROR(COUNTIF(Q117:R117,"כן")/(COUNTIF(Q117:R117,"כן")+COUNTIF(Q117:R117,"לא")),""))</f>
        <v/>
      </c>
      <c r="AJ117" s="28" t="str">
        <f aca="false">IF($A117="","",IFERROR(COUNTIF(S117:T117,"כן")/(COUNTIF(S117:T117,"כן")+COUNTIF(S117:T117,"לא")),""))</f>
        <v/>
      </c>
      <c r="AK117" s="28" t="str">
        <f aca="false">IF($A117="","",IFERROR(COUNTIF(L117:T117,"כן")/(COUNTIF(L117:T117,"כן")+COUNTIF(L117:T117,"לא")),""))</f>
        <v/>
      </c>
      <c r="AL117" s="36" t="str">
        <f aca="false">IF($A117="","",IFERROR(AVERAGE(U117:V117),""))</f>
        <v/>
      </c>
      <c r="AM117" s="36" t="str">
        <f aca="false">IF($A117="","",IFERROR(AVERAGE(W117:X117),""))</f>
        <v/>
      </c>
      <c r="AN117" s="36" t="str">
        <f aca="false">IF($A117="","",IFERROR(AVERAGE(Y117:Z117),""))</f>
        <v/>
      </c>
      <c r="AO117" s="36" t="str">
        <f aca="false">IF($A117="","",IFERROR(AVERAGE(AA117:AB117),""))</f>
        <v/>
      </c>
      <c r="AP117" s="36" t="str">
        <f aca="false">IF($A117="","",IFERROR(AVERAGE(AC117),""))</f>
        <v/>
      </c>
      <c r="AQ117" s="36" t="str">
        <f aca="false">IF($A117="","",IFERROR(AVERAGE(U117:AC117),""))</f>
        <v/>
      </c>
      <c r="AR117" s="27" t="str">
        <f aca="false">IF($A117="","",IF(AND(H117="",J117=""),"לא נבדק",IF(AND(OR(H117="",H117=I117),OR(J117="",J117=K117)),"תואם","לא תואם")))</f>
        <v/>
      </c>
      <c r="AS117" s="27" t="str">
        <f aca="false">IF($A117="","",IF(AND(AR117&lt;&gt;"לא תואם",G117&lt;&gt;"לא ברור"),"אמין","לפרש בזהירות"))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7" t="str">
        <f aca="false">IF($A118="","",$A118&amp;"|"&amp;$C118)</f>
        <v/>
      </c>
      <c r="AF118" s="28" t="str">
        <f aca="false">IF($A118="","",IFERROR(COUNTIF(L118:M118,"כן")/(COUNTIF(L118:M118,"כן")+COUNTIF(L118:M118,"לא")),""))</f>
        <v/>
      </c>
      <c r="AG118" s="28" t="str">
        <f aca="false">IF($A118="","",IFERROR(COUNTIF(N118:O118,"כן")/(COUNTIF(N118:O118,"כן")+COUNTIF(N118:O118,"לא")),""))</f>
        <v/>
      </c>
      <c r="AH118" s="28" t="str">
        <f aca="false">IF($A118="","",IFERROR(COUNTIF(P118,"כן")/(COUNTIF(P118,"כן")+COUNTIF(P118,"לא")),""))</f>
        <v/>
      </c>
      <c r="AI118" s="28" t="str">
        <f aca="false">IF($A118="","",IFERROR(COUNTIF(Q118:R118,"כן")/(COUNTIF(Q118:R118,"כן")+COUNTIF(Q118:R118,"לא")),""))</f>
        <v/>
      </c>
      <c r="AJ118" s="28" t="str">
        <f aca="false">IF($A118="","",IFERROR(COUNTIF(S118:T118,"כן")/(COUNTIF(S118:T118,"כן")+COUNTIF(S118:T118,"לא")),""))</f>
        <v/>
      </c>
      <c r="AK118" s="28" t="str">
        <f aca="false">IF($A118="","",IFERROR(COUNTIF(L118:T118,"כן")/(COUNTIF(L118:T118,"כן")+COUNTIF(L118:T118,"לא")),""))</f>
        <v/>
      </c>
      <c r="AL118" s="36" t="str">
        <f aca="false">IF($A118="","",IFERROR(AVERAGE(U118:V118),""))</f>
        <v/>
      </c>
      <c r="AM118" s="36" t="str">
        <f aca="false">IF($A118="","",IFERROR(AVERAGE(W118:X118),""))</f>
        <v/>
      </c>
      <c r="AN118" s="36" t="str">
        <f aca="false">IF($A118="","",IFERROR(AVERAGE(Y118:Z118),""))</f>
        <v/>
      </c>
      <c r="AO118" s="36" t="str">
        <f aca="false">IF($A118="","",IFERROR(AVERAGE(AA118:AB118),""))</f>
        <v/>
      </c>
      <c r="AP118" s="36" t="str">
        <f aca="false">IF($A118="","",IFERROR(AVERAGE(AC118),""))</f>
        <v/>
      </c>
      <c r="AQ118" s="36" t="str">
        <f aca="false">IF($A118="","",IFERROR(AVERAGE(U118:AC118),""))</f>
        <v/>
      </c>
      <c r="AR118" s="27" t="str">
        <f aca="false">IF($A118="","",IF(AND(H118="",J118=""),"לא נבדק",IF(AND(OR(H118="",H118=I118),OR(J118="",J118=K118)),"תואם","לא תואם")))</f>
        <v/>
      </c>
      <c r="AS118" s="27" t="str">
        <f aca="false">IF($A118="","",IF(AND(AR118&lt;&gt;"לא תואם",G118&lt;&gt;"לא ברור"),"אמין","לפרש בזהירות"))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7" t="str">
        <f aca="false">IF($A119="","",$A119&amp;"|"&amp;$C119)</f>
        <v/>
      </c>
      <c r="AF119" s="28" t="str">
        <f aca="false">IF($A119="","",IFERROR(COUNTIF(L119:M119,"כן")/(COUNTIF(L119:M119,"כן")+COUNTIF(L119:M119,"לא")),""))</f>
        <v/>
      </c>
      <c r="AG119" s="28" t="str">
        <f aca="false">IF($A119="","",IFERROR(COUNTIF(N119:O119,"כן")/(COUNTIF(N119:O119,"כן")+COUNTIF(N119:O119,"לא")),""))</f>
        <v/>
      </c>
      <c r="AH119" s="28" t="str">
        <f aca="false">IF($A119="","",IFERROR(COUNTIF(P119,"כן")/(COUNTIF(P119,"כן")+COUNTIF(P119,"לא")),""))</f>
        <v/>
      </c>
      <c r="AI119" s="28" t="str">
        <f aca="false">IF($A119="","",IFERROR(COUNTIF(Q119:R119,"כן")/(COUNTIF(Q119:R119,"כן")+COUNTIF(Q119:R119,"לא")),""))</f>
        <v/>
      </c>
      <c r="AJ119" s="28" t="str">
        <f aca="false">IF($A119="","",IFERROR(COUNTIF(S119:T119,"כן")/(COUNTIF(S119:T119,"כן")+COUNTIF(S119:T119,"לא")),""))</f>
        <v/>
      </c>
      <c r="AK119" s="28" t="str">
        <f aca="false">IF($A119="","",IFERROR(COUNTIF(L119:T119,"כן")/(COUNTIF(L119:T119,"כן")+COUNTIF(L119:T119,"לא")),""))</f>
        <v/>
      </c>
      <c r="AL119" s="36" t="str">
        <f aca="false">IF($A119="","",IFERROR(AVERAGE(U119:V119),""))</f>
        <v/>
      </c>
      <c r="AM119" s="36" t="str">
        <f aca="false">IF($A119="","",IFERROR(AVERAGE(W119:X119),""))</f>
        <v/>
      </c>
      <c r="AN119" s="36" t="str">
        <f aca="false">IF($A119="","",IFERROR(AVERAGE(Y119:Z119),""))</f>
        <v/>
      </c>
      <c r="AO119" s="36" t="str">
        <f aca="false">IF($A119="","",IFERROR(AVERAGE(AA119:AB119),""))</f>
        <v/>
      </c>
      <c r="AP119" s="36" t="str">
        <f aca="false">IF($A119="","",IFERROR(AVERAGE(AC119),""))</f>
        <v/>
      </c>
      <c r="AQ119" s="36" t="str">
        <f aca="false">IF($A119="","",IFERROR(AVERAGE(U119:AC119),""))</f>
        <v/>
      </c>
      <c r="AR119" s="27" t="str">
        <f aca="false">IF($A119="","",IF(AND(H119="",J119=""),"לא נבדק",IF(AND(OR(H119="",H119=I119),OR(J119="",J119=K119)),"תואם","לא תואם")))</f>
        <v/>
      </c>
      <c r="AS119" s="27" t="str">
        <f aca="false">IF($A119="","",IF(AND(AR119&lt;&gt;"לא תואם",G119&lt;&gt;"לא ברור"),"אמין","לפרש בזהירות"))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7" t="str">
        <f aca="false">IF($A120="","",$A120&amp;"|"&amp;$C120)</f>
        <v/>
      </c>
      <c r="AF120" s="28" t="str">
        <f aca="false">IF($A120="","",IFERROR(COUNTIF(L120:M120,"כן")/(COUNTIF(L120:M120,"כן")+COUNTIF(L120:M120,"לא")),""))</f>
        <v/>
      </c>
      <c r="AG120" s="28" t="str">
        <f aca="false">IF($A120="","",IFERROR(COUNTIF(N120:O120,"כן")/(COUNTIF(N120:O120,"כן")+COUNTIF(N120:O120,"לא")),""))</f>
        <v/>
      </c>
      <c r="AH120" s="28" t="str">
        <f aca="false">IF($A120="","",IFERROR(COUNTIF(P120,"כן")/(COUNTIF(P120,"כן")+COUNTIF(P120,"לא")),""))</f>
        <v/>
      </c>
      <c r="AI120" s="28" t="str">
        <f aca="false">IF($A120="","",IFERROR(COUNTIF(Q120:R120,"כן")/(COUNTIF(Q120:R120,"כן")+COUNTIF(Q120:R120,"לא")),""))</f>
        <v/>
      </c>
      <c r="AJ120" s="28" t="str">
        <f aca="false">IF($A120="","",IFERROR(COUNTIF(S120:T120,"כן")/(COUNTIF(S120:T120,"כן")+COUNTIF(S120:T120,"לא")),""))</f>
        <v/>
      </c>
      <c r="AK120" s="28" t="str">
        <f aca="false">IF($A120="","",IFERROR(COUNTIF(L120:T120,"כן")/(COUNTIF(L120:T120,"כן")+COUNTIF(L120:T120,"לא")),""))</f>
        <v/>
      </c>
      <c r="AL120" s="36" t="str">
        <f aca="false">IF($A120="","",IFERROR(AVERAGE(U120:V120),""))</f>
        <v/>
      </c>
      <c r="AM120" s="36" t="str">
        <f aca="false">IF($A120="","",IFERROR(AVERAGE(W120:X120),""))</f>
        <v/>
      </c>
      <c r="AN120" s="36" t="str">
        <f aca="false">IF($A120="","",IFERROR(AVERAGE(Y120:Z120),""))</f>
        <v/>
      </c>
      <c r="AO120" s="36" t="str">
        <f aca="false">IF($A120="","",IFERROR(AVERAGE(AA120:AB120),""))</f>
        <v/>
      </c>
      <c r="AP120" s="36" t="str">
        <f aca="false">IF($A120="","",IFERROR(AVERAGE(AC120),""))</f>
        <v/>
      </c>
      <c r="AQ120" s="36" t="str">
        <f aca="false">IF($A120="","",IFERROR(AVERAGE(U120:AC120),""))</f>
        <v/>
      </c>
      <c r="AR120" s="27" t="str">
        <f aca="false">IF($A120="","",IF(AND(H120="",J120=""),"לא נבדק",IF(AND(OR(H120="",H120=I120),OR(J120="",J120=K120)),"תואם","לא תואם")))</f>
        <v/>
      </c>
      <c r="AS120" s="27" t="str">
        <f aca="false">IF($A120="","",IF(AND(AR120&lt;&gt;"לא תואם",G120&lt;&gt;"לא ברור"),"אמין","לפרש בזהירות"))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7" t="str">
        <f aca="false">IF($A121="","",$A121&amp;"|"&amp;$C121)</f>
        <v/>
      </c>
      <c r="AF121" s="28" t="str">
        <f aca="false">IF($A121="","",IFERROR(COUNTIF(L121:M121,"כן")/(COUNTIF(L121:M121,"כן")+COUNTIF(L121:M121,"לא")),""))</f>
        <v/>
      </c>
      <c r="AG121" s="28" t="str">
        <f aca="false">IF($A121="","",IFERROR(COUNTIF(N121:O121,"כן")/(COUNTIF(N121:O121,"כן")+COUNTIF(N121:O121,"לא")),""))</f>
        <v/>
      </c>
      <c r="AH121" s="28" t="str">
        <f aca="false">IF($A121="","",IFERROR(COUNTIF(P121,"כן")/(COUNTIF(P121,"כן")+COUNTIF(P121,"לא")),""))</f>
        <v/>
      </c>
      <c r="AI121" s="28" t="str">
        <f aca="false">IF($A121="","",IFERROR(COUNTIF(Q121:R121,"כן")/(COUNTIF(Q121:R121,"כן")+COUNTIF(Q121:R121,"לא")),""))</f>
        <v/>
      </c>
      <c r="AJ121" s="28" t="str">
        <f aca="false">IF($A121="","",IFERROR(COUNTIF(S121:T121,"כן")/(COUNTIF(S121:T121,"כן")+COUNTIF(S121:T121,"לא")),""))</f>
        <v/>
      </c>
      <c r="AK121" s="28" t="str">
        <f aca="false">IF($A121="","",IFERROR(COUNTIF(L121:T121,"כן")/(COUNTIF(L121:T121,"כן")+COUNTIF(L121:T121,"לא")),""))</f>
        <v/>
      </c>
      <c r="AL121" s="36" t="str">
        <f aca="false">IF($A121="","",IFERROR(AVERAGE(U121:V121),""))</f>
        <v/>
      </c>
      <c r="AM121" s="36" t="str">
        <f aca="false">IF($A121="","",IFERROR(AVERAGE(W121:X121),""))</f>
        <v/>
      </c>
      <c r="AN121" s="36" t="str">
        <f aca="false">IF($A121="","",IFERROR(AVERAGE(Y121:Z121),""))</f>
        <v/>
      </c>
      <c r="AO121" s="36" t="str">
        <f aca="false">IF($A121="","",IFERROR(AVERAGE(AA121:AB121),""))</f>
        <v/>
      </c>
      <c r="AP121" s="36" t="str">
        <f aca="false">IF($A121="","",IFERROR(AVERAGE(AC121),""))</f>
        <v/>
      </c>
      <c r="AQ121" s="36" t="str">
        <f aca="false">IF($A121="","",IFERROR(AVERAGE(U121:AC121),""))</f>
        <v/>
      </c>
      <c r="AR121" s="27" t="str">
        <f aca="false">IF($A121="","",IF(AND(H121="",J121=""),"לא נבדק",IF(AND(OR(H121="",H121=I121),OR(J121="",J121=K121)),"תואם","לא תואם")))</f>
        <v/>
      </c>
      <c r="AS121" s="27" t="str">
        <f aca="false">IF($A121="","",IF(AND(AR121&lt;&gt;"לא תואם",G121&lt;&gt;"לא ברור"),"אמין","לפרש בזהירות"))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7" t="str">
        <f aca="false">IF($A122="","",$A122&amp;"|"&amp;$C122)</f>
        <v/>
      </c>
      <c r="AF122" s="28" t="str">
        <f aca="false">IF($A122="","",IFERROR(COUNTIF(L122:M122,"כן")/(COUNTIF(L122:M122,"כן")+COUNTIF(L122:M122,"לא")),""))</f>
        <v/>
      </c>
      <c r="AG122" s="28" t="str">
        <f aca="false">IF($A122="","",IFERROR(COUNTIF(N122:O122,"כן")/(COUNTIF(N122:O122,"כן")+COUNTIF(N122:O122,"לא")),""))</f>
        <v/>
      </c>
      <c r="AH122" s="28" t="str">
        <f aca="false">IF($A122="","",IFERROR(COUNTIF(P122,"כן")/(COUNTIF(P122,"כן")+COUNTIF(P122,"לא")),""))</f>
        <v/>
      </c>
      <c r="AI122" s="28" t="str">
        <f aca="false">IF($A122="","",IFERROR(COUNTIF(Q122:R122,"כן")/(COUNTIF(Q122:R122,"כן")+COUNTIF(Q122:R122,"לא")),""))</f>
        <v/>
      </c>
      <c r="AJ122" s="28" t="str">
        <f aca="false">IF($A122="","",IFERROR(COUNTIF(S122:T122,"כן")/(COUNTIF(S122:T122,"כן")+COUNTIF(S122:T122,"לא")),""))</f>
        <v/>
      </c>
      <c r="AK122" s="28" t="str">
        <f aca="false">IF($A122="","",IFERROR(COUNTIF(L122:T122,"כן")/(COUNTIF(L122:T122,"כן")+COUNTIF(L122:T122,"לא")),""))</f>
        <v/>
      </c>
      <c r="AL122" s="36" t="str">
        <f aca="false">IF($A122="","",IFERROR(AVERAGE(U122:V122),""))</f>
        <v/>
      </c>
      <c r="AM122" s="36" t="str">
        <f aca="false">IF($A122="","",IFERROR(AVERAGE(W122:X122),""))</f>
        <v/>
      </c>
      <c r="AN122" s="36" t="str">
        <f aca="false">IF($A122="","",IFERROR(AVERAGE(Y122:Z122),""))</f>
        <v/>
      </c>
      <c r="AO122" s="36" t="str">
        <f aca="false">IF($A122="","",IFERROR(AVERAGE(AA122:AB122),""))</f>
        <v/>
      </c>
      <c r="AP122" s="36" t="str">
        <f aca="false">IF($A122="","",IFERROR(AVERAGE(AC122),""))</f>
        <v/>
      </c>
      <c r="AQ122" s="36" t="str">
        <f aca="false">IF($A122="","",IFERROR(AVERAGE(U122:AC122),""))</f>
        <v/>
      </c>
      <c r="AR122" s="27" t="str">
        <f aca="false">IF($A122="","",IF(AND(H122="",J122=""),"לא נבדק",IF(AND(OR(H122="",H122=I122),OR(J122="",J122=K122)),"תואם","לא תואם")))</f>
        <v/>
      </c>
      <c r="AS122" s="27" t="str">
        <f aca="false">IF($A122="","",IF(AND(AR122&lt;&gt;"לא תואם",G122&lt;&gt;"לא ברור"),"אמין","לפרש בזהירות"))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7" t="str">
        <f aca="false">IF($A123="","",$A123&amp;"|"&amp;$C123)</f>
        <v/>
      </c>
      <c r="AF123" s="28" t="str">
        <f aca="false">IF($A123="","",IFERROR(COUNTIF(L123:M123,"כן")/(COUNTIF(L123:M123,"כן")+COUNTIF(L123:M123,"לא")),""))</f>
        <v/>
      </c>
      <c r="AG123" s="28" t="str">
        <f aca="false">IF($A123="","",IFERROR(COUNTIF(N123:O123,"כן")/(COUNTIF(N123:O123,"כן")+COUNTIF(N123:O123,"לא")),""))</f>
        <v/>
      </c>
      <c r="AH123" s="28" t="str">
        <f aca="false">IF($A123="","",IFERROR(COUNTIF(P123,"כן")/(COUNTIF(P123,"כן")+COUNTIF(P123,"לא")),""))</f>
        <v/>
      </c>
      <c r="AI123" s="28" t="str">
        <f aca="false">IF($A123="","",IFERROR(COUNTIF(Q123:R123,"כן")/(COUNTIF(Q123:R123,"כן")+COUNTIF(Q123:R123,"לא")),""))</f>
        <v/>
      </c>
      <c r="AJ123" s="28" t="str">
        <f aca="false">IF($A123="","",IFERROR(COUNTIF(S123:T123,"כן")/(COUNTIF(S123:T123,"כן")+COUNTIF(S123:T123,"לא")),""))</f>
        <v/>
      </c>
      <c r="AK123" s="28" t="str">
        <f aca="false">IF($A123="","",IFERROR(COUNTIF(L123:T123,"כן")/(COUNTIF(L123:T123,"כן")+COUNTIF(L123:T123,"לא")),""))</f>
        <v/>
      </c>
      <c r="AL123" s="36" t="str">
        <f aca="false">IF($A123="","",IFERROR(AVERAGE(U123:V123),""))</f>
        <v/>
      </c>
      <c r="AM123" s="36" t="str">
        <f aca="false">IF($A123="","",IFERROR(AVERAGE(W123:X123),""))</f>
        <v/>
      </c>
      <c r="AN123" s="36" t="str">
        <f aca="false">IF($A123="","",IFERROR(AVERAGE(Y123:Z123),""))</f>
        <v/>
      </c>
      <c r="AO123" s="36" t="str">
        <f aca="false">IF($A123="","",IFERROR(AVERAGE(AA123:AB123),""))</f>
        <v/>
      </c>
      <c r="AP123" s="36" t="str">
        <f aca="false">IF($A123="","",IFERROR(AVERAGE(AC123),""))</f>
        <v/>
      </c>
      <c r="AQ123" s="36" t="str">
        <f aca="false">IF($A123="","",IFERROR(AVERAGE(U123:AC123),""))</f>
        <v/>
      </c>
      <c r="AR123" s="27" t="str">
        <f aca="false">IF($A123="","",IF(AND(H123="",J123=""),"לא נבדק",IF(AND(OR(H123="",H123=I123),OR(J123="",J123=K123)),"תואם","לא תואם")))</f>
        <v/>
      </c>
      <c r="AS123" s="27" t="str">
        <f aca="false">IF($A123="","",IF(AND(AR123&lt;&gt;"לא תואם",G123&lt;&gt;"לא ברור"),"אמין","לפרש בזהירות"))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7" t="str">
        <f aca="false">IF($A124="","",$A124&amp;"|"&amp;$C124)</f>
        <v/>
      </c>
      <c r="AF124" s="28" t="str">
        <f aca="false">IF($A124="","",IFERROR(COUNTIF(L124:M124,"כן")/(COUNTIF(L124:M124,"כן")+COUNTIF(L124:M124,"לא")),""))</f>
        <v/>
      </c>
      <c r="AG124" s="28" t="str">
        <f aca="false">IF($A124="","",IFERROR(COUNTIF(N124:O124,"כן")/(COUNTIF(N124:O124,"כן")+COUNTIF(N124:O124,"לא")),""))</f>
        <v/>
      </c>
      <c r="AH124" s="28" t="str">
        <f aca="false">IF($A124="","",IFERROR(COUNTIF(P124,"כן")/(COUNTIF(P124,"כן")+COUNTIF(P124,"לא")),""))</f>
        <v/>
      </c>
      <c r="AI124" s="28" t="str">
        <f aca="false">IF($A124="","",IFERROR(COUNTIF(Q124:R124,"כן")/(COUNTIF(Q124:R124,"כן")+COUNTIF(Q124:R124,"לא")),""))</f>
        <v/>
      </c>
      <c r="AJ124" s="28" t="str">
        <f aca="false">IF($A124="","",IFERROR(COUNTIF(S124:T124,"כן")/(COUNTIF(S124:T124,"כן")+COUNTIF(S124:T124,"לא")),""))</f>
        <v/>
      </c>
      <c r="AK124" s="28" t="str">
        <f aca="false">IF($A124="","",IFERROR(COUNTIF(L124:T124,"כן")/(COUNTIF(L124:T124,"כן")+COUNTIF(L124:T124,"לא")),""))</f>
        <v/>
      </c>
      <c r="AL124" s="36" t="str">
        <f aca="false">IF($A124="","",IFERROR(AVERAGE(U124:V124),""))</f>
        <v/>
      </c>
      <c r="AM124" s="36" t="str">
        <f aca="false">IF($A124="","",IFERROR(AVERAGE(W124:X124),""))</f>
        <v/>
      </c>
      <c r="AN124" s="36" t="str">
        <f aca="false">IF($A124="","",IFERROR(AVERAGE(Y124:Z124),""))</f>
        <v/>
      </c>
      <c r="AO124" s="36" t="str">
        <f aca="false">IF($A124="","",IFERROR(AVERAGE(AA124:AB124),""))</f>
        <v/>
      </c>
      <c r="AP124" s="36" t="str">
        <f aca="false">IF($A124="","",IFERROR(AVERAGE(AC124),""))</f>
        <v/>
      </c>
      <c r="AQ124" s="36" t="str">
        <f aca="false">IF($A124="","",IFERROR(AVERAGE(U124:AC124),""))</f>
        <v/>
      </c>
      <c r="AR124" s="27" t="str">
        <f aca="false">IF($A124="","",IF(AND(H124="",J124=""),"לא נבדק",IF(AND(OR(H124="",H124=I124),OR(J124="",J124=K124)),"תואם","לא תואם")))</f>
        <v/>
      </c>
      <c r="AS124" s="27" t="str">
        <f aca="false">IF($A124="","",IF(AND(AR124&lt;&gt;"לא תואם",G124&lt;&gt;"לא ברור"),"אמין","לפרש בזהירות"))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7" t="str">
        <f aca="false">IF($A125="","",$A125&amp;"|"&amp;$C125)</f>
        <v/>
      </c>
      <c r="AF125" s="28" t="str">
        <f aca="false">IF($A125="","",IFERROR(COUNTIF(L125:M125,"כן")/(COUNTIF(L125:M125,"כן")+COUNTIF(L125:M125,"לא")),""))</f>
        <v/>
      </c>
      <c r="AG125" s="28" t="str">
        <f aca="false">IF($A125="","",IFERROR(COUNTIF(N125:O125,"כן")/(COUNTIF(N125:O125,"כן")+COUNTIF(N125:O125,"לא")),""))</f>
        <v/>
      </c>
      <c r="AH125" s="28" t="str">
        <f aca="false">IF($A125="","",IFERROR(COUNTIF(P125,"כן")/(COUNTIF(P125,"כן")+COUNTIF(P125,"לא")),""))</f>
        <v/>
      </c>
      <c r="AI125" s="28" t="str">
        <f aca="false">IF($A125="","",IFERROR(COUNTIF(Q125:R125,"כן")/(COUNTIF(Q125:R125,"כן")+COUNTIF(Q125:R125,"לא")),""))</f>
        <v/>
      </c>
      <c r="AJ125" s="28" t="str">
        <f aca="false">IF($A125="","",IFERROR(COUNTIF(S125:T125,"כן")/(COUNTIF(S125:T125,"כן")+COUNTIF(S125:T125,"לא")),""))</f>
        <v/>
      </c>
      <c r="AK125" s="28" t="str">
        <f aca="false">IF($A125="","",IFERROR(COUNTIF(L125:T125,"כן")/(COUNTIF(L125:T125,"כן")+COUNTIF(L125:T125,"לא")),""))</f>
        <v/>
      </c>
      <c r="AL125" s="36" t="str">
        <f aca="false">IF($A125="","",IFERROR(AVERAGE(U125:V125),""))</f>
        <v/>
      </c>
      <c r="AM125" s="36" t="str">
        <f aca="false">IF($A125="","",IFERROR(AVERAGE(W125:X125),""))</f>
        <v/>
      </c>
      <c r="AN125" s="36" t="str">
        <f aca="false">IF($A125="","",IFERROR(AVERAGE(Y125:Z125),""))</f>
        <v/>
      </c>
      <c r="AO125" s="36" t="str">
        <f aca="false">IF($A125="","",IFERROR(AVERAGE(AA125:AB125),""))</f>
        <v/>
      </c>
      <c r="AP125" s="36" t="str">
        <f aca="false">IF($A125="","",IFERROR(AVERAGE(AC125),""))</f>
        <v/>
      </c>
      <c r="AQ125" s="36" t="str">
        <f aca="false">IF($A125="","",IFERROR(AVERAGE(U125:AC125),""))</f>
        <v/>
      </c>
      <c r="AR125" s="27" t="str">
        <f aca="false">IF($A125="","",IF(AND(H125="",J125=""),"לא נבדק",IF(AND(OR(H125="",H125=I125),OR(J125="",J125=K125)),"תואם","לא תואם")))</f>
        <v/>
      </c>
      <c r="AS125" s="27" t="str">
        <f aca="false">IF($A125="","",IF(AND(AR125&lt;&gt;"לא תואם",G125&lt;&gt;"לא ברור"),"אמין","לפרש בזהירות"))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7" t="str">
        <f aca="false">IF($A126="","",$A126&amp;"|"&amp;$C126)</f>
        <v/>
      </c>
      <c r="AF126" s="28" t="str">
        <f aca="false">IF($A126="","",IFERROR(COUNTIF(L126:M126,"כן")/(COUNTIF(L126:M126,"כן")+COUNTIF(L126:M126,"לא")),""))</f>
        <v/>
      </c>
      <c r="AG126" s="28" t="str">
        <f aca="false">IF($A126="","",IFERROR(COUNTIF(N126:O126,"כן")/(COUNTIF(N126:O126,"כן")+COUNTIF(N126:O126,"לא")),""))</f>
        <v/>
      </c>
      <c r="AH126" s="28" t="str">
        <f aca="false">IF($A126="","",IFERROR(COUNTIF(P126,"כן")/(COUNTIF(P126,"כן")+COUNTIF(P126,"לא")),""))</f>
        <v/>
      </c>
      <c r="AI126" s="28" t="str">
        <f aca="false">IF($A126="","",IFERROR(COUNTIF(Q126:R126,"כן")/(COUNTIF(Q126:R126,"כן")+COUNTIF(Q126:R126,"לא")),""))</f>
        <v/>
      </c>
      <c r="AJ126" s="28" t="str">
        <f aca="false">IF($A126="","",IFERROR(COUNTIF(S126:T126,"כן")/(COUNTIF(S126:T126,"כן")+COUNTIF(S126:T126,"לא")),""))</f>
        <v/>
      </c>
      <c r="AK126" s="28" t="str">
        <f aca="false">IF($A126="","",IFERROR(COUNTIF(L126:T126,"כן")/(COUNTIF(L126:T126,"כן")+COUNTIF(L126:T126,"לא")),""))</f>
        <v/>
      </c>
      <c r="AL126" s="36" t="str">
        <f aca="false">IF($A126="","",IFERROR(AVERAGE(U126:V126),""))</f>
        <v/>
      </c>
      <c r="AM126" s="36" t="str">
        <f aca="false">IF($A126="","",IFERROR(AVERAGE(W126:X126),""))</f>
        <v/>
      </c>
      <c r="AN126" s="36" t="str">
        <f aca="false">IF($A126="","",IFERROR(AVERAGE(Y126:Z126),""))</f>
        <v/>
      </c>
      <c r="AO126" s="36" t="str">
        <f aca="false">IF($A126="","",IFERROR(AVERAGE(AA126:AB126),""))</f>
        <v/>
      </c>
      <c r="AP126" s="36" t="str">
        <f aca="false">IF($A126="","",IFERROR(AVERAGE(AC126),""))</f>
        <v/>
      </c>
      <c r="AQ126" s="36" t="str">
        <f aca="false">IF($A126="","",IFERROR(AVERAGE(U126:AC126),""))</f>
        <v/>
      </c>
      <c r="AR126" s="27" t="str">
        <f aca="false">IF($A126="","",IF(AND(H126="",J126=""),"לא נבדק",IF(AND(OR(H126="",H126=I126),OR(J126="",J126=K126)),"תואם","לא תואם")))</f>
        <v/>
      </c>
      <c r="AS126" s="27" t="str">
        <f aca="false">IF($A126="","",IF(AND(AR126&lt;&gt;"לא תואם",G126&lt;&gt;"לא ברור"),"אמין","לפרש בזהירות"))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7" t="str">
        <f aca="false">IF($A127="","",$A127&amp;"|"&amp;$C127)</f>
        <v/>
      </c>
      <c r="AF127" s="28" t="str">
        <f aca="false">IF($A127="","",IFERROR(COUNTIF(L127:M127,"כן")/(COUNTIF(L127:M127,"כן")+COUNTIF(L127:M127,"לא")),""))</f>
        <v/>
      </c>
      <c r="AG127" s="28" t="str">
        <f aca="false">IF($A127="","",IFERROR(COUNTIF(N127:O127,"כן")/(COUNTIF(N127:O127,"כן")+COUNTIF(N127:O127,"לא")),""))</f>
        <v/>
      </c>
      <c r="AH127" s="28" t="str">
        <f aca="false">IF($A127="","",IFERROR(COUNTIF(P127,"כן")/(COUNTIF(P127,"כן")+COUNTIF(P127,"לא")),""))</f>
        <v/>
      </c>
      <c r="AI127" s="28" t="str">
        <f aca="false">IF($A127="","",IFERROR(COUNTIF(Q127:R127,"כן")/(COUNTIF(Q127:R127,"כן")+COUNTIF(Q127:R127,"לא")),""))</f>
        <v/>
      </c>
      <c r="AJ127" s="28" t="str">
        <f aca="false">IF($A127="","",IFERROR(COUNTIF(S127:T127,"כן")/(COUNTIF(S127:T127,"כן")+COUNTIF(S127:T127,"לא")),""))</f>
        <v/>
      </c>
      <c r="AK127" s="28" t="str">
        <f aca="false">IF($A127="","",IFERROR(COUNTIF(L127:T127,"כן")/(COUNTIF(L127:T127,"כן")+COUNTIF(L127:T127,"לא")),""))</f>
        <v/>
      </c>
      <c r="AL127" s="36" t="str">
        <f aca="false">IF($A127="","",IFERROR(AVERAGE(U127:V127),""))</f>
        <v/>
      </c>
      <c r="AM127" s="36" t="str">
        <f aca="false">IF($A127="","",IFERROR(AVERAGE(W127:X127),""))</f>
        <v/>
      </c>
      <c r="AN127" s="36" t="str">
        <f aca="false">IF($A127="","",IFERROR(AVERAGE(Y127:Z127),""))</f>
        <v/>
      </c>
      <c r="AO127" s="36" t="str">
        <f aca="false">IF($A127="","",IFERROR(AVERAGE(AA127:AB127),""))</f>
        <v/>
      </c>
      <c r="AP127" s="36" t="str">
        <f aca="false">IF($A127="","",IFERROR(AVERAGE(AC127),""))</f>
        <v/>
      </c>
      <c r="AQ127" s="36" t="str">
        <f aca="false">IF($A127="","",IFERROR(AVERAGE(U127:AC127),""))</f>
        <v/>
      </c>
      <c r="AR127" s="27" t="str">
        <f aca="false">IF($A127="","",IF(AND(H127="",J127=""),"לא נבדק",IF(AND(OR(H127="",H127=I127),OR(J127="",J127=K127)),"תואם","לא תואם")))</f>
        <v/>
      </c>
      <c r="AS127" s="27" t="str">
        <f aca="false">IF($A127="","",IF(AND(AR127&lt;&gt;"לא תואם",G127&lt;&gt;"לא ברור"),"אמין","לפרש בזהירות"))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7" t="str">
        <f aca="false">IF($A128="","",$A128&amp;"|"&amp;$C128)</f>
        <v/>
      </c>
      <c r="AF128" s="28" t="str">
        <f aca="false">IF($A128="","",IFERROR(COUNTIF(L128:M128,"כן")/(COUNTIF(L128:M128,"כן")+COUNTIF(L128:M128,"לא")),""))</f>
        <v/>
      </c>
      <c r="AG128" s="28" t="str">
        <f aca="false">IF($A128="","",IFERROR(COUNTIF(N128:O128,"כן")/(COUNTIF(N128:O128,"כן")+COUNTIF(N128:O128,"לא")),""))</f>
        <v/>
      </c>
      <c r="AH128" s="28" t="str">
        <f aca="false">IF($A128="","",IFERROR(COUNTIF(P128,"כן")/(COUNTIF(P128,"כן")+COUNTIF(P128,"לא")),""))</f>
        <v/>
      </c>
      <c r="AI128" s="28" t="str">
        <f aca="false">IF($A128="","",IFERROR(COUNTIF(Q128:R128,"כן")/(COUNTIF(Q128:R128,"כן")+COUNTIF(Q128:R128,"לא")),""))</f>
        <v/>
      </c>
      <c r="AJ128" s="28" t="str">
        <f aca="false">IF($A128="","",IFERROR(COUNTIF(S128:T128,"כן")/(COUNTIF(S128:T128,"כן")+COUNTIF(S128:T128,"לא")),""))</f>
        <v/>
      </c>
      <c r="AK128" s="28" t="str">
        <f aca="false">IF($A128="","",IFERROR(COUNTIF(L128:T128,"כן")/(COUNTIF(L128:T128,"כן")+COUNTIF(L128:T128,"לא")),""))</f>
        <v/>
      </c>
      <c r="AL128" s="36" t="str">
        <f aca="false">IF($A128="","",IFERROR(AVERAGE(U128:V128),""))</f>
        <v/>
      </c>
      <c r="AM128" s="36" t="str">
        <f aca="false">IF($A128="","",IFERROR(AVERAGE(W128:X128),""))</f>
        <v/>
      </c>
      <c r="AN128" s="36" t="str">
        <f aca="false">IF($A128="","",IFERROR(AVERAGE(Y128:Z128),""))</f>
        <v/>
      </c>
      <c r="AO128" s="36" t="str">
        <f aca="false">IF($A128="","",IFERROR(AVERAGE(AA128:AB128),""))</f>
        <v/>
      </c>
      <c r="AP128" s="36" t="str">
        <f aca="false">IF($A128="","",IFERROR(AVERAGE(AC128),""))</f>
        <v/>
      </c>
      <c r="AQ128" s="36" t="str">
        <f aca="false">IF($A128="","",IFERROR(AVERAGE(U128:AC128),""))</f>
        <v/>
      </c>
      <c r="AR128" s="27" t="str">
        <f aca="false">IF($A128="","",IF(AND(H128="",J128=""),"לא נבדק",IF(AND(OR(H128="",H128=I128),OR(J128="",J128=K128)),"תואם","לא תואם")))</f>
        <v/>
      </c>
      <c r="AS128" s="27" t="str">
        <f aca="false">IF($A128="","",IF(AND(AR128&lt;&gt;"לא תואם",G128&lt;&gt;"לא ברור"),"אמין","לפרש בזהירות"))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7" t="str">
        <f aca="false">IF($A129="","",$A129&amp;"|"&amp;$C129)</f>
        <v/>
      </c>
      <c r="AF129" s="28" t="str">
        <f aca="false">IF($A129="","",IFERROR(COUNTIF(L129:M129,"כן")/(COUNTIF(L129:M129,"כן")+COUNTIF(L129:M129,"לא")),""))</f>
        <v/>
      </c>
      <c r="AG129" s="28" t="str">
        <f aca="false">IF($A129="","",IFERROR(COUNTIF(N129:O129,"כן")/(COUNTIF(N129:O129,"כן")+COUNTIF(N129:O129,"לא")),""))</f>
        <v/>
      </c>
      <c r="AH129" s="28" t="str">
        <f aca="false">IF($A129="","",IFERROR(COUNTIF(P129,"כן")/(COUNTIF(P129,"כן")+COUNTIF(P129,"לא")),""))</f>
        <v/>
      </c>
      <c r="AI129" s="28" t="str">
        <f aca="false">IF($A129="","",IFERROR(COUNTIF(Q129:R129,"כן")/(COUNTIF(Q129:R129,"כן")+COUNTIF(Q129:R129,"לא")),""))</f>
        <v/>
      </c>
      <c r="AJ129" s="28" t="str">
        <f aca="false">IF($A129="","",IFERROR(COUNTIF(S129:T129,"כן")/(COUNTIF(S129:T129,"כן")+COUNTIF(S129:T129,"לא")),""))</f>
        <v/>
      </c>
      <c r="AK129" s="28" t="str">
        <f aca="false">IF($A129="","",IFERROR(COUNTIF(L129:T129,"כן")/(COUNTIF(L129:T129,"כן")+COUNTIF(L129:T129,"לא")),""))</f>
        <v/>
      </c>
      <c r="AL129" s="36" t="str">
        <f aca="false">IF($A129="","",IFERROR(AVERAGE(U129:V129),""))</f>
        <v/>
      </c>
      <c r="AM129" s="36" t="str">
        <f aca="false">IF($A129="","",IFERROR(AVERAGE(W129:X129),""))</f>
        <v/>
      </c>
      <c r="AN129" s="36" t="str">
        <f aca="false">IF($A129="","",IFERROR(AVERAGE(Y129:Z129),""))</f>
        <v/>
      </c>
      <c r="AO129" s="36" t="str">
        <f aca="false">IF($A129="","",IFERROR(AVERAGE(AA129:AB129),""))</f>
        <v/>
      </c>
      <c r="AP129" s="36" t="str">
        <f aca="false">IF($A129="","",IFERROR(AVERAGE(AC129),""))</f>
        <v/>
      </c>
      <c r="AQ129" s="36" t="str">
        <f aca="false">IF($A129="","",IFERROR(AVERAGE(U129:AC129),""))</f>
        <v/>
      </c>
      <c r="AR129" s="27" t="str">
        <f aca="false">IF($A129="","",IF(AND(H129="",J129=""),"לא נבדק",IF(AND(OR(H129="",H129=I129),OR(J129="",J129=K129)),"תואם","לא תואם")))</f>
        <v/>
      </c>
      <c r="AS129" s="27" t="str">
        <f aca="false">IF($A129="","",IF(AND(AR129&lt;&gt;"לא תואם",G129&lt;&gt;"לא ברור"),"אמין","לפרש בזהירות"))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7" t="str">
        <f aca="false">IF($A130="","",$A130&amp;"|"&amp;$C130)</f>
        <v/>
      </c>
      <c r="AF130" s="28" t="str">
        <f aca="false">IF($A130="","",IFERROR(COUNTIF(L130:M130,"כן")/(COUNTIF(L130:M130,"כן")+COUNTIF(L130:M130,"לא")),""))</f>
        <v/>
      </c>
      <c r="AG130" s="28" t="str">
        <f aca="false">IF($A130="","",IFERROR(COUNTIF(N130:O130,"כן")/(COUNTIF(N130:O130,"כן")+COUNTIF(N130:O130,"לא")),""))</f>
        <v/>
      </c>
      <c r="AH130" s="28" t="str">
        <f aca="false">IF($A130="","",IFERROR(COUNTIF(P130,"כן")/(COUNTIF(P130,"כן")+COUNTIF(P130,"לא")),""))</f>
        <v/>
      </c>
      <c r="AI130" s="28" t="str">
        <f aca="false">IF($A130="","",IFERROR(COUNTIF(Q130:R130,"כן")/(COUNTIF(Q130:R130,"כן")+COUNTIF(Q130:R130,"לא")),""))</f>
        <v/>
      </c>
      <c r="AJ130" s="28" t="str">
        <f aca="false">IF($A130="","",IFERROR(COUNTIF(S130:T130,"כן")/(COUNTIF(S130:T130,"כן")+COUNTIF(S130:T130,"לא")),""))</f>
        <v/>
      </c>
      <c r="AK130" s="28" t="str">
        <f aca="false">IF($A130="","",IFERROR(COUNTIF(L130:T130,"כן")/(COUNTIF(L130:T130,"כן")+COUNTIF(L130:T130,"לא")),""))</f>
        <v/>
      </c>
      <c r="AL130" s="36" t="str">
        <f aca="false">IF($A130="","",IFERROR(AVERAGE(U130:V130),""))</f>
        <v/>
      </c>
      <c r="AM130" s="36" t="str">
        <f aca="false">IF($A130="","",IFERROR(AVERAGE(W130:X130),""))</f>
        <v/>
      </c>
      <c r="AN130" s="36" t="str">
        <f aca="false">IF($A130="","",IFERROR(AVERAGE(Y130:Z130),""))</f>
        <v/>
      </c>
      <c r="AO130" s="36" t="str">
        <f aca="false">IF($A130="","",IFERROR(AVERAGE(AA130:AB130),""))</f>
        <v/>
      </c>
      <c r="AP130" s="36" t="str">
        <f aca="false">IF($A130="","",IFERROR(AVERAGE(AC130),""))</f>
        <v/>
      </c>
      <c r="AQ130" s="36" t="str">
        <f aca="false">IF($A130="","",IFERROR(AVERAGE(U130:AC130),""))</f>
        <v/>
      </c>
      <c r="AR130" s="27" t="str">
        <f aca="false">IF($A130="","",IF(AND(H130="",J130=""),"לא נבדק",IF(AND(OR(H130="",H130=I130),OR(J130="",J130=K130)),"תואם","לא תואם")))</f>
        <v/>
      </c>
      <c r="AS130" s="27" t="str">
        <f aca="false">IF($A130="","",IF(AND(AR130&lt;&gt;"לא תואם",G130&lt;&gt;"לא ברור"),"אמין","לפרש בזהירות"))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7" t="str">
        <f aca="false">IF($A131="","",$A131&amp;"|"&amp;$C131)</f>
        <v/>
      </c>
      <c r="AF131" s="28" t="str">
        <f aca="false">IF($A131="","",IFERROR(COUNTIF(L131:M131,"כן")/(COUNTIF(L131:M131,"כן")+COUNTIF(L131:M131,"לא")),""))</f>
        <v/>
      </c>
      <c r="AG131" s="28" t="str">
        <f aca="false">IF($A131="","",IFERROR(COUNTIF(N131:O131,"כן")/(COUNTIF(N131:O131,"כן")+COUNTIF(N131:O131,"לא")),""))</f>
        <v/>
      </c>
      <c r="AH131" s="28" t="str">
        <f aca="false">IF($A131="","",IFERROR(COUNTIF(P131,"כן")/(COUNTIF(P131,"כן")+COUNTIF(P131,"לא")),""))</f>
        <v/>
      </c>
      <c r="AI131" s="28" t="str">
        <f aca="false">IF($A131="","",IFERROR(COUNTIF(Q131:R131,"כן")/(COUNTIF(Q131:R131,"כן")+COUNTIF(Q131:R131,"לא")),""))</f>
        <v/>
      </c>
      <c r="AJ131" s="28" t="str">
        <f aca="false">IF($A131="","",IFERROR(COUNTIF(S131:T131,"כן")/(COUNTIF(S131:T131,"כן")+COUNTIF(S131:T131,"לא")),""))</f>
        <v/>
      </c>
      <c r="AK131" s="28" t="str">
        <f aca="false">IF($A131="","",IFERROR(COUNTIF(L131:T131,"כן")/(COUNTIF(L131:T131,"כן")+COUNTIF(L131:T131,"לא")),""))</f>
        <v/>
      </c>
      <c r="AL131" s="36" t="str">
        <f aca="false">IF($A131="","",IFERROR(AVERAGE(U131:V131),""))</f>
        <v/>
      </c>
      <c r="AM131" s="36" t="str">
        <f aca="false">IF($A131="","",IFERROR(AVERAGE(W131:X131),""))</f>
        <v/>
      </c>
      <c r="AN131" s="36" t="str">
        <f aca="false">IF($A131="","",IFERROR(AVERAGE(Y131:Z131),""))</f>
        <v/>
      </c>
      <c r="AO131" s="36" t="str">
        <f aca="false">IF($A131="","",IFERROR(AVERAGE(AA131:AB131),""))</f>
        <v/>
      </c>
      <c r="AP131" s="36" t="str">
        <f aca="false">IF($A131="","",IFERROR(AVERAGE(AC131),""))</f>
        <v/>
      </c>
      <c r="AQ131" s="36" t="str">
        <f aca="false">IF($A131="","",IFERROR(AVERAGE(U131:AC131),""))</f>
        <v/>
      </c>
      <c r="AR131" s="27" t="str">
        <f aca="false">IF($A131="","",IF(AND(H131="",J131=""),"לא נבדק",IF(AND(OR(H131="",H131=I131),OR(J131="",J131=K131)),"תואם","לא תואם")))</f>
        <v/>
      </c>
      <c r="AS131" s="27" t="str">
        <f aca="false">IF($A131="","",IF(AND(AR131&lt;&gt;"לא תואם",G131&lt;&gt;"לא ברור"),"אמין","לפרש בזהירות"))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7" t="str">
        <f aca="false">IF($A132="","",$A132&amp;"|"&amp;$C132)</f>
        <v/>
      </c>
      <c r="AF132" s="28" t="str">
        <f aca="false">IF($A132="","",IFERROR(COUNTIF(L132:M132,"כן")/(COUNTIF(L132:M132,"כן")+COUNTIF(L132:M132,"לא")),""))</f>
        <v/>
      </c>
      <c r="AG132" s="28" t="str">
        <f aca="false">IF($A132="","",IFERROR(COUNTIF(N132:O132,"כן")/(COUNTIF(N132:O132,"כן")+COUNTIF(N132:O132,"לא")),""))</f>
        <v/>
      </c>
      <c r="AH132" s="28" t="str">
        <f aca="false">IF($A132="","",IFERROR(COUNTIF(P132,"כן")/(COUNTIF(P132,"כן")+COUNTIF(P132,"לא")),""))</f>
        <v/>
      </c>
      <c r="AI132" s="28" t="str">
        <f aca="false">IF($A132="","",IFERROR(COUNTIF(Q132:R132,"כן")/(COUNTIF(Q132:R132,"כן")+COUNTIF(Q132:R132,"לא")),""))</f>
        <v/>
      </c>
      <c r="AJ132" s="28" t="str">
        <f aca="false">IF($A132="","",IFERROR(COUNTIF(S132:T132,"כן")/(COUNTIF(S132:T132,"כן")+COUNTIF(S132:T132,"לא")),""))</f>
        <v/>
      </c>
      <c r="AK132" s="28" t="str">
        <f aca="false">IF($A132="","",IFERROR(COUNTIF(L132:T132,"כן")/(COUNTIF(L132:T132,"כן")+COUNTIF(L132:T132,"לא")),""))</f>
        <v/>
      </c>
      <c r="AL132" s="36" t="str">
        <f aca="false">IF($A132="","",IFERROR(AVERAGE(U132:V132),""))</f>
        <v/>
      </c>
      <c r="AM132" s="36" t="str">
        <f aca="false">IF($A132="","",IFERROR(AVERAGE(W132:X132),""))</f>
        <v/>
      </c>
      <c r="AN132" s="36" t="str">
        <f aca="false">IF($A132="","",IFERROR(AVERAGE(Y132:Z132),""))</f>
        <v/>
      </c>
      <c r="AO132" s="36" t="str">
        <f aca="false">IF($A132="","",IFERROR(AVERAGE(AA132:AB132),""))</f>
        <v/>
      </c>
      <c r="AP132" s="36" t="str">
        <f aca="false">IF($A132="","",IFERROR(AVERAGE(AC132),""))</f>
        <v/>
      </c>
      <c r="AQ132" s="36" t="str">
        <f aca="false">IF($A132="","",IFERROR(AVERAGE(U132:AC132),""))</f>
        <v/>
      </c>
      <c r="AR132" s="27" t="str">
        <f aca="false">IF($A132="","",IF(AND(H132="",J132=""),"לא נבדק",IF(AND(OR(H132="",H132=I132),OR(J132="",J132=K132)),"תואם","לא תואם")))</f>
        <v/>
      </c>
      <c r="AS132" s="27" t="str">
        <f aca="false">IF($A132="","",IF(AND(AR132&lt;&gt;"לא תואם",G132&lt;&gt;"לא ברור"),"אמין","לפרש בזהירות"))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7" t="str">
        <f aca="false">IF($A133="","",$A133&amp;"|"&amp;$C133)</f>
        <v/>
      </c>
      <c r="AF133" s="28" t="str">
        <f aca="false">IF($A133="","",IFERROR(COUNTIF(L133:M133,"כן")/(COUNTIF(L133:M133,"כן")+COUNTIF(L133:M133,"לא")),""))</f>
        <v/>
      </c>
      <c r="AG133" s="28" t="str">
        <f aca="false">IF($A133="","",IFERROR(COUNTIF(N133:O133,"כן")/(COUNTIF(N133:O133,"כן")+COUNTIF(N133:O133,"לא")),""))</f>
        <v/>
      </c>
      <c r="AH133" s="28" t="str">
        <f aca="false">IF($A133="","",IFERROR(COUNTIF(P133,"כן")/(COUNTIF(P133,"כן")+COUNTIF(P133,"לא")),""))</f>
        <v/>
      </c>
      <c r="AI133" s="28" t="str">
        <f aca="false">IF($A133="","",IFERROR(COUNTIF(Q133:R133,"כן")/(COUNTIF(Q133:R133,"כן")+COUNTIF(Q133:R133,"לא")),""))</f>
        <v/>
      </c>
      <c r="AJ133" s="28" t="str">
        <f aca="false">IF($A133="","",IFERROR(COUNTIF(S133:T133,"כן")/(COUNTIF(S133:T133,"כן")+COUNTIF(S133:T133,"לא")),""))</f>
        <v/>
      </c>
      <c r="AK133" s="28" t="str">
        <f aca="false">IF($A133="","",IFERROR(COUNTIF(L133:T133,"כן")/(COUNTIF(L133:T133,"כן")+COUNTIF(L133:T133,"לא")),""))</f>
        <v/>
      </c>
      <c r="AL133" s="36" t="str">
        <f aca="false">IF($A133="","",IFERROR(AVERAGE(U133:V133),""))</f>
        <v/>
      </c>
      <c r="AM133" s="36" t="str">
        <f aca="false">IF($A133="","",IFERROR(AVERAGE(W133:X133),""))</f>
        <v/>
      </c>
      <c r="AN133" s="36" t="str">
        <f aca="false">IF($A133="","",IFERROR(AVERAGE(Y133:Z133),""))</f>
        <v/>
      </c>
      <c r="AO133" s="36" t="str">
        <f aca="false">IF($A133="","",IFERROR(AVERAGE(AA133:AB133),""))</f>
        <v/>
      </c>
      <c r="AP133" s="36" t="str">
        <f aca="false">IF($A133="","",IFERROR(AVERAGE(AC133),""))</f>
        <v/>
      </c>
      <c r="AQ133" s="36" t="str">
        <f aca="false">IF($A133="","",IFERROR(AVERAGE(U133:AC133),""))</f>
        <v/>
      </c>
      <c r="AR133" s="27" t="str">
        <f aca="false">IF($A133="","",IF(AND(H133="",J133=""),"לא נבדק",IF(AND(OR(H133="",H133=I133),OR(J133="",J133=K133)),"תואם","לא תואם")))</f>
        <v/>
      </c>
      <c r="AS133" s="27" t="str">
        <f aca="false">IF($A133="","",IF(AND(AR133&lt;&gt;"לא תואם",G133&lt;&gt;"לא ברור"),"אמין","לפרש בזהירות"))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7" t="str">
        <f aca="false">IF($A134="","",$A134&amp;"|"&amp;$C134)</f>
        <v/>
      </c>
      <c r="AF134" s="28" t="str">
        <f aca="false">IF($A134="","",IFERROR(COUNTIF(L134:M134,"כן")/(COUNTIF(L134:M134,"כן")+COUNTIF(L134:M134,"לא")),""))</f>
        <v/>
      </c>
      <c r="AG134" s="28" t="str">
        <f aca="false">IF($A134="","",IFERROR(COUNTIF(N134:O134,"כן")/(COUNTIF(N134:O134,"כן")+COUNTIF(N134:O134,"לא")),""))</f>
        <v/>
      </c>
      <c r="AH134" s="28" t="str">
        <f aca="false">IF($A134="","",IFERROR(COUNTIF(P134,"כן")/(COUNTIF(P134,"כן")+COUNTIF(P134,"לא")),""))</f>
        <v/>
      </c>
      <c r="AI134" s="28" t="str">
        <f aca="false">IF($A134="","",IFERROR(COUNTIF(Q134:R134,"כן")/(COUNTIF(Q134:R134,"כן")+COUNTIF(Q134:R134,"לא")),""))</f>
        <v/>
      </c>
      <c r="AJ134" s="28" t="str">
        <f aca="false">IF($A134="","",IFERROR(COUNTIF(S134:T134,"כן")/(COUNTIF(S134:T134,"כן")+COUNTIF(S134:T134,"לא")),""))</f>
        <v/>
      </c>
      <c r="AK134" s="28" t="str">
        <f aca="false">IF($A134="","",IFERROR(COUNTIF(L134:T134,"כן")/(COUNTIF(L134:T134,"כן")+COUNTIF(L134:T134,"לא")),""))</f>
        <v/>
      </c>
      <c r="AL134" s="36" t="str">
        <f aca="false">IF($A134="","",IFERROR(AVERAGE(U134:V134),""))</f>
        <v/>
      </c>
      <c r="AM134" s="36" t="str">
        <f aca="false">IF($A134="","",IFERROR(AVERAGE(W134:X134),""))</f>
        <v/>
      </c>
      <c r="AN134" s="36" t="str">
        <f aca="false">IF($A134="","",IFERROR(AVERAGE(Y134:Z134),""))</f>
        <v/>
      </c>
      <c r="AO134" s="36" t="str">
        <f aca="false">IF($A134="","",IFERROR(AVERAGE(AA134:AB134),""))</f>
        <v/>
      </c>
      <c r="AP134" s="36" t="str">
        <f aca="false">IF($A134="","",IFERROR(AVERAGE(AC134),""))</f>
        <v/>
      </c>
      <c r="AQ134" s="36" t="str">
        <f aca="false">IF($A134="","",IFERROR(AVERAGE(U134:AC134),""))</f>
        <v/>
      </c>
      <c r="AR134" s="27" t="str">
        <f aca="false">IF($A134="","",IF(AND(H134="",J134=""),"לא נבדק",IF(AND(OR(H134="",H134=I134),OR(J134="",J134=K134)),"תואם","לא תואם")))</f>
        <v/>
      </c>
      <c r="AS134" s="27" t="str">
        <f aca="false">IF($A134="","",IF(AND(AR134&lt;&gt;"לא תואם",G134&lt;&gt;"לא ברור"),"אמין","לפרש בזהירות"))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7" t="str">
        <f aca="false">IF($A135="","",$A135&amp;"|"&amp;$C135)</f>
        <v/>
      </c>
      <c r="AF135" s="28" t="str">
        <f aca="false">IF($A135="","",IFERROR(COUNTIF(L135:M135,"כן")/(COUNTIF(L135:M135,"כן")+COUNTIF(L135:M135,"לא")),""))</f>
        <v/>
      </c>
      <c r="AG135" s="28" t="str">
        <f aca="false">IF($A135="","",IFERROR(COUNTIF(N135:O135,"כן")/(COUNTIF(N135:O135,"כן")+COUNTIF(N135:O135,"לא")),""))</f>
        <v/>
      </c>
      <c r="AH135" s="28" t="str">
        <f aca="false">IF($A135="","",IFERROR(COUNTIF(P135,"כן")/(COUNTIF(P135,"כן")+COUNTIF(P135,"לא")),""))</f>
        <v/>
      </c>
      <c r="AI135" s="28" t="str">
        <f aca="false">IF($A135="","",IFERROR(COUNTIF(Q135:R135,"כן")/(COUNTIF(Q135:R135,"כן")+COUNTIF(Q135:R135,"לא")),""))</f>
        <v/>
      </c>
      <c r="AJ135" s="28" t="str">
        <f aca="false">IF($A135="","",IFERROR(COUNTIF(S135:T135,"כן")/(COUNTIF(S135:T135,"כן")+COUNTIF(S135:T135,"לא")),""))</f>
        <v/>
      </c>
      <c r="AK135" s="28" t="str">
        <f aca="false">IF($A135="","",IFERROR(COUNTIF(L135:T135,"כן")/(COUNTIF(L135:T135,"כן")+COUNTIF(L135:T135,"לא")),""))</f>
        <v/>
      </c>
      <c r="AL135" s="36" t="str">
        <f aca="false">IF($A135="","",IFERROR(AVERAGE(U135:V135),""))</f>
        <v/>
      </c>
      <c r="AM135" s="36" t="str">
        <f aca="false">IF($A135="","",IFERROR(AVERAGE(W135:X135),""))</f>
        <v/>
      </c>
      <c r="AN135" s="36" t="str">
        <f aca="false">IF($A135="","",IFERROR(AVERAGE(Y135:Z135),""))</f>
        <v/>
      </c>
      <c r="AO135" s="36" t="str">
        <f aca="false">IF($A135="","",IFERROR(AVERAGE(AA135:AB135),""))</f>
        <v/>
      </c>
      <c r="AP135" s="36" t="str">
        <f aca="false">IF($A135="","",IFERROR(AVERAGE(AC135),""))</f>
        <v/>
      </c>
      <c r="AQ135" s="36" t="str">
        <f aca="false">IF($A135="","",IFERROR(AVERAGE(U135:AC135),""))</f>
        <v/>
      </c>
      <c r="AR135" s="27" t="str">
        <f aca="false">IF($A135="","",IF(AND(H135="",J135=""),"לא נבדק",IF(AND(OR(H135="",H135=I135),OR(J135="",J135=K135)),"תואם","לא תואם")))</f>
        <v/>
      </c>
      <c r="AS135" s="27" t="str">
        <f aca="false">IF($A135="","",IF(AND(AR135&lt;&gt;"לא תואם",G135&lt;&gt;"לא ברור"),"אמין","לפרש בזהירות"))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7" t="str">
        <f aca="false">IF($A136="","",$A136&amp;"|"&amp;$C136)</f>
        <v/>
      </c>
      <c r="AF136" s="28" t="str">
        <f aca="false">IF($A136="","",IFERROR(COUNTIF(L136:M136,"כן")/(COUNTIF(L136:M136,"כן")+COUNTIF(L136:M136,"לא")),""))</f>
        <v/>
      </c>
      <c r="AG136" s="28" t="str">
        <f aca="false">IF($A136="","",IFERROR(COUNTIF(N136:O136,"כן")/(COUNTIF(N136:O136,"כן")+COUNTIF(N136:O136,"לא")),""))</f>
        <v/>
      </c>
      <c r="AH136" s="28" t="str">
        <f aca="false">IF($A136="","",IFERROR(COUNTIF(P136,"כן")/(COUNTIF(P136,"כן")+COUNTIF(P136,"לא")),""))</f>
        <v/>
      </c>
      <c r="AI136" s="28" t="str">
        <f aca="false">IF($A136="","",IFERROR(COUNTIF(Q136:R136,"כן")/(COUNTIF(Q136:R136,"כן")+COUNTIF(Q136:R136,"לא")),""))</f>
        <v/>
      </c>
      <c r="AJ136" s="28" t="str">
        <f aca="false">IF($A136="","",IFERROR(COUNTIF(S136:T136,"כן")/(COUNTIF(S136:T136,"כן")+COUNTIF(S136:T136,"לא")),""))</f>
        <v/>
      </c>
      <c r="AK136" s="28" t="str">
        <f aca="false">IF($A136="","",IFERROR(COUNTIF(L136:T136,"כן")/(COUNTIF(L136:T136,"כן")+COUNTIF(L136:T136,"לא")),""))</f>
        <v/>
      </c>
      <c r="AL136" s="36" t="str">
        <f aca="false">IF($A136="","",IFERROR(AVERAGE(U136:V136),""))</f>
        <v/>
      </c>
      <c r="AM136" s="36" t="str">
        <f aca="false">IF($A136="","",IFERROR(AVERAGE(W136:X136),""))</f>
        <v/>
      </c>
      <c r="AN136" s="36" t="str">
        <f aca="false">IF($A136="","",IFERROR(AVERAGE(Y136:Z136),""))</f>
        <v/>
      </c>
      <c r="AO136" s="36" t="str">
        <f aca="false">IF($A136="","",IFERROR(AVERAGE(AA136:AB136),""))</f>
        <v/>
      </c>
      <c r="AP136" s="36" t="str">
        <f aca="false">IF($A136="","",IFERROR(AVERAGE(AC136),""))</f>
        <v/>
      </c>
      <c r="AQ136" s="36" t="str">
        <f aca="false">IF($A136="","",IFERROR(AVERAGE(U136:AC136),""))</f>
        <v/>
      </c>
      <c r="AR136" s="27" t="str">
        <f aca="false">IF($A136="","",IF(AND(H136="",J136=""),"לא נבדק",IF(AND(OR(H136="",H136=I136),OR(J136="",J136=K136)),"תואם","לא תואם")))</f>
        <v/>
      </c>
      <c r="AS136" s="27" t="str">
        <f aca="false">IF($A136="","",IF(AND(AR136&lt;&gt;"לא תואם",G136&lt;&gt;"לא ברור"),"אמין","לפרש בזהירות"))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7" t="str">
        <f aca="false">IF($A137="","",$A137&amp;"|"&amp;$C137)</f>
        <v/>
      </c>
      <c r="AF137" s="28" t="str">
        <f aca="false">IF($A137="","",IFERROR(COUNTIF(L137:M137,"כן")/(COUNTIF(L137:M137,"כן")+COUNTIF(L137:M137,"לא")),""))</f>
        <v/>
      </c>
      <c r="AG137" s="28" t="str">
        <f aca="false">IF($A137="","",IFERROR(COUNTIF(N137:O137,"כן")/(COUNTIF(N137:O137,"כן")+COUNTIF(N137:O137,"לא")),""))</f>
        <v/>
      </c>
      <c r="AH137" s="28" t="str">
        <f aca="false">IF($A137="","",IFERROR(COUNTIF(P137,"כן")/(COUNTIF(P137,"כן")+COUNTIF(P137,"לא")),""))</f>
        <v/>
      </c>
      <c r="AI137" s="28" t="str">
        <f aca="false">IF($A137="","",IFERROR(COUNTIF(Q137:R137,"כן")/(COUNTIF(Q137:R137,"כן")+COUNTIF(Q137:R137,"לא")),""))</f>
        <v/>
      </c>
      <c r="AJ137" s="28" t="str">
        <f aca="false">IF($A137="","",IFERROR(COUNTIF(S137:T137,"כן")/(COUNTIF(S137:T137,"כן")+COUNTIF(S137:T137,"לא")),""))</f>
        <v/>
      </c>
      <c r="AK137" s="28" t="str">
        <f aca="false">IF($A137="","",IFERROR(COUNTIF(L137:T137,"כן")/(COUNTIF(L137:T137,"כן")+COUNTIF(L137:T137,"לא")),""))</f>
        <v/>
      </c>
      <c r="AL137" s="36" t="str">
        <f aca="false">IF($A137="","",IFERROR(AVERAGE(U137:V137),""))</f>
        <v/>
      </c>
      <c r="AM137" s="36" t="str">
        <f aca="false">IF($A137="","",IFERROR(AVERAGE(W137:X137),""))</f>
        <v/>
      </c>
      <c r="AN137" s="36" t="str">
        <f aca="false">IF($A137="","",IFERROR(AVERAGE(Y137:Z137),""))</f>
        <v/>
      </c>
      <c r="AO137" s="36" t="str">
        <f aca="false">IF($A137="","",IFERROR(AVERAGE(AA137:AB137),""))</f>
        <v/>
      </c>
      <c r="AP137" s="36" t="str">
        <f aca="false">IF($A137="","",IFERROR(AVERAGE(AC137),""))</f>
        <v/>
      </c>
      <c r="AQ137" s="36" t="str">
        <f aca="false">IF($A137="","",IFERROR(AVERAGE(U137:AC137),""))</f>
        <v/>
      </c>
      <c r="AR137" s="27" t="str">
        <f aca="false">IF($A137="","",IF(AND(H137="",J137=""),"לא נבדק",IF(AND(OR(H137="",H137=I137),OR(J137="",J137=K137)),"תואם","לא תואם")))</f>
        <v/>
      </c>
      <c r="AS137" s="27" t="str">
        <f aca="false">IF($A137="","",IF(AND(AR137&lt;&gt;"לא תואם",G137&lt;&gt;"לא ברור"),"אמין","לפרש בזהירות"))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7" t="str">
        <f aca="false">IF($A138="","",$A138&amp;"|"&amp;$C138)</f>
        <v/>
      </c>
      <c r="AF138" s="28" t="str">
        <f aca="false">IF($A138="","",IFERROR(COUNTIF(L138:M138,"כן")/(COUNTIF(L138:M138,"כן")+COUNTIF(L138:M138,"לא")),""))</f>
        <v/>
      </c>
      <c r="AG138" s="28" t="str">
        <f aca="false">IF($A138="","",IFERROR(COUNTIF(N138:O138,"כן")/(COUNTIF(N138:O138,"כן")+COUNTIF(N138:O138,"לא")),""))</f>
        <v/>
      </c>
      <c r="AH138" s="28" t="str">
        <f aca="false">IF($A138="","",IFERROR(COUNTIF(P138,"כן")/(COUNTIF(P138,"כן")+COUNTIF(P138,"לא")),""))</f>
        <v/>
      </c>
      <c r="AI138" s="28" t="str">
        <f aca="false">IF($A138="","",IFERROR(COUNTIF(Q138:R138,"כן")/(COUNTIF(Q138:R138,"כן")+COUNTIF(Q138:R138,"לא")),""))</f>
        <v/>
      </c>
      <c r="AJ138" s="28" t="str">
        <f aca="false">IF($A138="","",IFERROR(COUNTIF(S138:T138,"כן")/(COUNTIF(S138:T138,"כן")+COUNTIF(S138:T138,"לא")),""))</f>
        <v/>
      </c>
      <c r="AK138" s="28" t="str">
        <f aca="false">IF($A138="","",IFERROR(COUNTIF(L138:T138,"כן")/(COUNTIF(L138:T138,"כן")+COUNTIF(L138:T138,"לא")),""))</f>
        <v/>
      </c>
      <c r="AL138" s="36" t="str">
        <f aca="false">IF($A138="","",IFERROR(AVERAGE(U138:V138),""))</f>
        <v/>
      </c>
      <c r="AM138" s="36" t="str">
        <f aca="false">IF($A138="","",IFERROR(AVERAGE(W138:X138),""))</f>
        <v/>
      </c>
      <c r="AN138" s="36" t="str">
        <f aca="false">IF($A138="","",IFERROR(AVERAGE(Y138:Z138),""))</f>
        <v/>
      </c>
      <c r="AO138" s="36" t="str">
        <f aca="false">IF($A138="","",IFERROR(AVERAGE(AA138:AB138),""))</f>
        <v/>
      </c>
      <c r="AP138" s="36" t="str">
        <f aca="false">IF($A138="","",IFERROR(AVERAGE(AC138),""))</f>
        <v/>
      </c>
      <c r="AQ138" s="36" t="str">
        <f aca="false">IF($A138="","",IFERROR(AVERAGE(U138:AC138),""))</f>
        <v/>
      </c>
      <c r="AR138" s="27" t="str">
        <f aca="false">IF($A138="","",IF(AND(H138="",J138=""),"לא נבדק",IF(AND(OR(H138="",H138=I138),OR(J138="",J138=K138)),"תואם","לא תואם")))</f>
        <v/>
      </c>
      <c r="AS138" s="27" t="str">
        <f aca="false">IF($A138="","",IF(AND(AR138&lt;&gt;"לא תואם",G138&lt;&gt;"לא ברור"),"אמין","לפרש בזהירות"))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7" t="str">
        <f aca="false">IF($A139="","",$A139&amp;"|"&amp;$C139)</f>
        <v/>
      </c>
      <c r="AF139" s="28" t="str">
        <f aca="false">IF($A139="","",IFERROR(COUNTIF(L139:M139,"כן")/(COUNTIF(L139:M139,"כן")+COUNTIF(L139:M139,"לא")),""))</f>
        <v/>
      </c>
      <c r="AG139" s="28" t="str">
        <f aca="false">IF($A139="","",IFERROR(COUNTIF(N139:O139,"כן")/(COUNTIF(N139:O139,"כן")+COUNTIF(N139:O139,"לא")),""))</f>
        <v/>
      </c>
      <c r="AH139" s="28" t="str">
        <f aca="false">IF($A139="","",IFERROR(COUNTIF(P139,"כן")/(COUNTIF(P139,"כן")+COUNTIF(P139,"לא")),""))</f>
        <v/>
      </c>
      <c r="AI139" s="28" t="str">
        <f aca="false">IF($A139="","",IFERROR(COUNTIF(Q139:R139,"כן")/(COUNTIF(Q139:R139,"כן")+COUNTIF(Q139:R139,"לא")),""))</f>
        <v/>
      </c>
      <c r="AJ139" s="28" t="str">
        <f aca="false">IF($A139="","",IFERROR(COUNTIF(S139:T139,"כן")/(COUNTIF(S139:T139,"כן")+COUNTIF(S139:T139,"לא")),""))</f>
        <v/>
      </c>
      <c r="AK139" s="28" t="str">
        <f aca="false">IF($A139="","",IFERROR(COUNTIF(L139:T139,"כן")/(COUNTIF(L139:T139,"כן")+COUNTIF(L139:T139,"לא")),""))</f>
        <v/>
      </c>
      <c r="AL139" s="36" t="str">
        <f aca="false">IF($A139="","",IFERROR(AVERAGE(U139:V139),""))</f>
        <v/>
      </c>
      <c r="AM139" s="36" t="str">
        <f aca="false">IF($A139="","",IFERROR(AVERAGE(W139:X139),""))</f>
        <v/>
      </c>
      <c r="AN139" s="36" t="str">
        <f aca="false">IF($A139="","",IFERROR(AVERAGE(Y139:Z139),""))</f>
        <v/>
      </c>
      <c r="AO139" s="36" t="str">
        <f aca="false">IF($A139="","",IFERROR(AVERAGE(AA139:AB139),""))</f>
        <v/>
      </c>
      <c r="AP139" s="36" t="str">
        <f aca="false">IF($A139="","",IFERROR(AVERAGE(AC139),""))</f>
        <v/>
      </c>
      <c r="AQ139" s="36" t="str">
        <f aca="false">IF($A139="","",IFERROR(AVERAGE(U139:AC139),""))</f>
        <v/>
      </c>
      <c r="AR139" s="27" t="str">
        <f aca="false">IF($A139="","",IF(AND(H139="",J139=""),"לא נבדק",IF(AND(OR(H139="",H139=I139),OR(J139="",J139=K139)),"תואם","לא תואם")))</f>
        <v/>
      </c>
      <c r="AS139" s="27" t="str">
        <f aca="false">IF($A139="","",IF(AND(AR139&lt;&gt;"לא תואם",G139&lt;&gt;"לא ברור"),"אמין","לפרש בזהירות"))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7" t="str">
        <f aca="false">IF($A140="","",$A140&amp;"|"&amp;$C140)</f>
        <v/>
      </c>
      <c r="AF140" s="28" t="str">
        <f aca="false">IF($A140="","",IFERROR(COUNTIF(L140:M140,"כן")/(COUNTIF(L140:M140,"כן")+COUNTIF(L140:M140,"לא")),""))</f>
        <v/>
      </c>
      <c r="AG140" s="28" t="str">
        <f aca="false">IF($A140="","",IFERROR(COUNTIF(N140:O140,"כן")/(COUNTIF(N140:O140,"כן")+COUNTIF(N140:O140,"לא")),""))</f>
        <v/>
      </c>
      <c r="AH140" s="28" t="str">
        <f aca="false">IF($A140="","",IFERROR(COUNTIF(P140,"כן")/(COUNTIF(P140,"כן")+COUNTIF(P140,"לא")),""))</f>
        <v/>
      </c>
      <c r="AI140" s="28" t="str">
        <f aca="false">IF($A140="","",IFERROR(COUNTIF(Q140:R140,"כן")/(COUNTIF(Q140:R140,"כן")+COUNTIF(Q140:R140,"לא")),""))</f>
        <v/>
      </c>
      <c r="AJ140" s="28" t="str">
        <f aca="false">IF($A140="","",IFERROR(COUNTIF(S140:T140,"כן")/(COUNTIF(S140:T140,"כן")+COUNTIF(S140:T140,"לא")),""))</f>
        <v/>
      </c>
      <c r="AK140" s="28" t="str">
        <f aca="false">IF($A140="","",IFERROR(COUNTIF(L140:T140,"כן")/(COUNTIF(L140:T140,"כן")+COUNTIF(L140:T140,"לא")),""))</f>
        <v/>
      </c>
      <c r="AL140" s="36" t="str">
        <f aca="false">IF($A140="","",IFERROR(AVERAGE(U140:V140),""))</f>
        <v/>
      </c>
      <c r="AM140" s="36" t="str">
        <f aca="false">IF($A140="","",IFERROR(AVERAGE(W140:X140),""))</f>
        <v/>
      </c>
      <c r="AN140" s="36" t="str">
        <f aca="false">IF($A140="","",IFERROR(AVERAGE(Y140:Z140),""))</f>
        <v/>
      </c>
      <c r="AO140" s="36" t="str">
        <f aca="false">IF($A140="","",IFERROR(AVERAGE(AA140:AB140),""))</f>
        <v/>
      </c>
      <c r="AP140" s="36" t="str">
        <f aca="false">IF($A140="","",IFERROR(AVERAGE(AC140),""))</f>
        <v/>
      </c>
      <c r="AQ140" s="36" t="str">
        <f aca="false">IF($A140="","",IFERROR(AVERAGE(U140:AC140),""))</f>
        <v/>
      </c>
      <c r="AR140" s="27" t="str">
        <f aca="false">IF($A140="","",IF(AND(H140="",J140=""),"לא נבדק",IF(AND(OR(H140="",H140=I140),OR(J140="",J140=K140)),"תואם","לא תואם")))</f>
        <v/>
      </c>
      <c r="AS140" s="27" t="str">
        <f aca="false">IF($A140="","",IF(AND(AR140&lt;&gt;"לא תואם",G140&lt;&gt;"לא ברור"),"אמין","לפרש בזהירות"))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7" t="str">
        <f aca="false">IF($A141="","",$A141&amp;"|"&amp;$C141)</f>
        <v/>
      </c>
      <c r="AF141" s="28" t="str">
        <f aca="false">IF($A141="","",IFERROR(COUNTIF(L141:M141,"כן")/(COUNTIF(L141:M141,"כן")+COUNTIF(L141:M141,"לא")),""))</f>
        <v/>
      </c>
      <c r="AG141" s="28" t="str">
        <f aca="false">IF($A141="","",IFERROR(COUNTIF(N141:O141,"כן")/(COUNTIF(N141:O141,"כן")+COUNTIF(N141:O141,"לא")),""))</f>
        <v/>
      </c>
      <c r="AH141" s="28" t="str">
        <f aca="false">IF($A141="","",IFERROR(COUNTIF(P141,"כן")/(COUNTIF(P141,"כן")+COUNTIF(P141,"לא")),""))</f>
        <v/>
      </c>
      <c r="AI141" s="28" t="str">
        <f aca="false">IF($A141="","",IFERROR(COUNTIF(Q141:R141,"כן")/(COUNTIF(Q141:R141,"כן")+COUNTIF(Q141:R141,"לא")),""))</f>
        <v/>
      </c>
      <c r="AJ141" s="28" t="str">
        <f aca="false">IF($A141="","",IFERROR(COUNTIF(S141:T141,"כן")/(COUNTIF(S141:T141,"כן")+COUNTIF(S141:T141,"לא")),""))</f>
        <v/>
      </c>
      <c r="AK141" s="28" t="str">
        <f aca="false">IF($A141="","",IFERROR(COUNTIF(L141:T141,"כן")/(COUNTIF(L141:T141,"כן")+COUNTIF(L141:T141,"לא")),""))</f>
        <v/>
      </c>
      <c r="AL141" s="36" t="str">
        <f aca="false">IF($A141="","",IFERROR(AVERAGE(U141:V141),""))</f>
        <v/>
      </c>
      <c r="AM141" s="36" t="str">
        <f aca="false">IF($A141="","",IFERROR(AVERAGE(W141:X141),""))</f>
        <v/>
      </c>
      <c r="AN141" s="36" t="str">
        <f aca="false">IF($A141="","",IFERROR(AVERAGE(Y141:Z141),""))</f>
        <v/>
      </c>
      <c r="AO141" s="36" t="str">
        <f aca="false">IF($A141="","",IFERROR(AVERAGE(AA141:AB141),""))</f>
        <v/>
      </c>
      <c r="AP141" s="36" t="str">
        <f aca="false">IF($A141="","",IFERROR(AVERAGE(AC141),""))</f>
        <v/>
      </c>
      <c r="AQ141" s="36" t="str">
        <f aca="false">IF($A141="","",IFERROR(AVERAGE(U141:AC141),""))</f>
        <v/>
      </c>
      <c r="AR141" s="27" t="str">
        <f aca="false">IF($A141="","",IF(AND(H141="",J141=""),"לא נבדק",IF(AND(OR(H141="",H141=I141),OR(J141="",J141=K141)),"תואם","לא תואם")))</f>
        <v/>
      </c>
      <c r="AS141" s="27" t="str">
        <f aca="false">IF($A141="","",IF(AND(AR141&lt;&gt;"לא תואם",G141&lt;&gt;"לא ברור"),"אמין","לפרש בזהירות"))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7" t="str">
        <f aca="false">IF($A142="","",$A142&amp;"|"&amp;$C142)</f>
        <v/>
      </c>
      <c r="AF142" s="28" t="str">
        <f aca="false">IF($A142="","",IFERROR(COUNTIF(L142:M142,"כן")/(COUNTIF(L142:M142,"כן")+COUNTIF(L142:M142,"לא")),""))</f>
        <v/>
      </c>
      <c r="AG142" s="28" t="str">
        <f aca="false">IF($A142="","",IFERROR(COUNTIF(N142:O142,"כן")/(COUNTIF(N142:O142,"כן")+COUNTIF(N142:O142,"לא")),""))</f>
        <v/>
      </c>
      <c r="AH142" s="28" t="str">
        <f aca="false">IF($A142="","",IFERROR(COUNTIF(P142,"כן")/(COUNTIF(P142,"כן")+COUNTIF(P142,"לא")),""))</f>
        <v/>
      </c>
      <c r="AI142" s="28" t="str">
        <f aca="false">IF($A142="","",IFERROR(COUNTIF(Q142:R142,"כן")/(COUNTIF(Q142:R142,"כן")+COUNTIF(Q142:R142,"לא")),""))</f>
        <v/>
      </c>
      <c r="AJ142" s="28" t="str">
        <f aca="false">IF($A142="","",IFERROR(COUNTIF(S142:T142,"כן")/(COUNTIF(S142:T142,"כן")+COUNTIF(S142:T142,"לא")),""))</f>
        <v/>
      </c>
      <c r="AK142" s="28" t="str">
        <f aca="false">IF($A142="","",IFERROR(COUNTIF(L142:T142,"כן")/(COUNTIF(L142:T142,"כן")+COUNTIF(L142:T142,"לא")),""))</f>
        <v/>
      </c>
      <c r="AL142" s="36" t="str">
        <f aca="false">IF($A142="","",IFERROR(AVERAGE(U142:V142),""))</f>
        <v/>
      </c>
      <c r="AM142" s="36" t="str">
        <f aca="false">IF($A142="","",IFERROR(AVERAGE(W142:X142),""))</f>
        <v/>
      </c>
      <c r="AN142" s="36" t="str">
        <f aca="false">IF($A142="","",IFERROR(AVERAGE(Y142:Z142),""))</f>
        <v/>
      </c>
      <c r="AO142" s="36" t="str">
        <f aca="false">IF($A142="","",IFERROR(AVERAGE(AA142:AB142),""))</f>
        <v/>
      </c>
      <c r="AP142" s="36" t="str">
        <f aca="false">IF($A142="","",IFERROR(AVERAGE(AC142),""))</f>
        <v/>
      </c>
      <c r="AQ142" s="36" t="str">
        <f aca="false">IF($A142="","",IFERROR(AVERAGE(U142:AC142),""))</f>
        <v/>
      </c>
      <c r="AR142" s="27" t="str">
        <f aca="false">IF($A142="","",IF(AND(H142="",J142=""),"לא נבדק",IF(AND(OR(H142="",H142=I142),OR(J142="",J142=K142)),"תואם","לא תואם")))</f>
        <v/>
      </c>
      <c r="AS142" s="27" t="str">
        <f aca="false">IF($A142="","",IF(AND(AR142&lt;&gt;"לא תואם",G142&lt;&gt;"לא ברור"),"אמין","לפרש בזהירות"))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7" t="str">
        <f aca="false">IF($A143="","",$A143&amp;"|"&amp;$C143)</f>
        <v/>
      </c>
      <c r="AF143" s="28" t="str">
        <f aca="false">IF($A143="","",IFERROR(COUNTIF(L143:M143,"כן")/(COUNTIF(L143:M143,"כן")+COUNTIF(L143:M143,"לא")),""))</f>
        <v/>
      </c>
      <c r="AG143" s="28" t="str">
        <f aca="false">IF($A143="","",IFERROR(COUNTIF(N143:O143,"כן")/(COUNTIF(N143:O143,"כן")+COUNTIF(N143:O143,"לא")),""))</f>
        <v/>
      </c>
      <c r="AH143" s="28" t="str">
        <f aca="false">IF($A143="","",IFERROR(COUNTIF(P143,"כן")/(COUNTIF(P143,"כן")+COUNTIF(P143,"לא")),""))</f>
        <v/>
      </c>
      <c r="AI143" s="28" t="str">
        <f aca="false">IF($A143="","",IFERROR(COUNTIF(Q143:R143,"כן")/(COUNTIF(Q143:R143,"כן")+COUNTIF(Q143:R143,"לא")),""))</f>
        <v/>
      </c>
      <c r="AJ143" s="28" t="str">
        <f aca="false">IF($A143="","",IFERROR(COUNTIF(S143:T143,"כן")/(COUNTIF(S143:T143,"כן")+COUNTIF(S143:T143,"לא")),""))</f>
        <v/>
      </c>
      <c r="AK143" s="28" t="str">
        <f aca="false">IF($A143="","",IFERROR(COUNTIF(L143:T143,"כן")/(COUNTIF(L143:T143,"כן")+COUNTIF(L143:T143,"לא")),""))</f>
        <v/>
      </c>
      <c r="AL143" s="36" t="str">
        <f aca="false">IF($A143="","",IFERROR(AVERAGE(U143:V143),""))</f>
        <v/>
      </c>
      <c r="AM143" s="36" t="str">
        <f aca="false">IF($A143="","",IFERROR(AVERAGE(W143:X143),""))</f>
        <v/>
      </c>
      <c r="AN143" s="36" t="str">
        <f aca="false">IF($A143="","",IFERROR(AVERAGE(Y143:Z143),""))</f>
        <v/>
      </c>
      <c r="AO143" s="36" t="str">
        <f aca="false">IF($A143="","",IFERROR(AVERAGE(AA143:AB143),""))</f>
        <v/>
      </c>
      <c r="AP143" s="36" t="str">
        <f aca="false">IF($A143="","",IFERROR(AVERAGE(AC143),""))</f>
        <v/>
      </c>
      <c r="AQ143" s="36" t="str">
        <f aca="false">IF($A143="","",IFERROR(AVERAGE(U143:AC143),""))</f>
        <v/>
      </c>
      <c r="AR143" s="27" t="str">
        <f aca="false">IF($A143="","",IF(AND(H143="",J143=""),"לא נבדק",IF(AND(OR(H143="",H143=I143),OR(J143="",J143=K143)),"תואם","לא תואם")))</f>
        <v/>
      </c>
      <c r="AS143" s="27" t="str">
        <f aca="false">IF($A143="","",IF(AND(AR143&lt;&gt;"לא תואם",G143&lt;&gt;"לא ברור"),"אמין","לפרש בזהירות"))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7" t="str">
        <f aca="false">IF($A144="","",$A144&amp;"|"&amp;$C144)</f>
        <v/>
      </c>
      <c r="AF144" s="28" t="str">
        <f aca="false">IF($A144="","",IFERROR(COUNTIF(L144:M144,"כן")/(COUNTIF(L144:M144,"כן")+COUNTIF(L144:M144,"לא")),""))</f>
        <v/>
      </c>
      <c r="AG144" s="28" t="str">
        <f aca="false">IF($A144="","",IFERROR(COUNTIF(N144:O144,"כן")/(COUNTIF(N144:O144,"כן")+COUNTIF(N144:O144,"לא")),""))</f>
        <v/>
      </c>
      <c r="AH144" s="28" t="str">
        <f aca="false">IF($A144="","",IFERROR(COUNTIF(P144,"כן")/(COUNTIF(P144,"כן")+COUNTIF(P144,"לא")),""))</f>
        <v/>
      </c>
      <c r="AI144" s="28" t="str">
        <f aca="false">IF($A144="","",IFERROR(COUNTIF(Q144:R144,"כן")/(COUNTIF(Q144:R144,"כן")+COUNTIF(Q144:R144,"לא")),""))</f>
        <v/>
      </c>
      <c r="AJ144" s="28" t="str">
        <f aca="false">IF($A144="","",IFERROR(COUNTIF(S144:T144,"כן")/(COUNTIF(S144:T144,"כן")+COUNTIF(S144:T144,"לא")),""))</f>
        <v/>
      </c>
      <c r="AK144" s="28" t="str">
        <f aca="false">IF($A144="","",IFERROR(COUNTIF(L144:T144,"כן")/(COUNTIF(L144:T144,"כן")+COUNTIF(L144:T144,"לא")),""))</f>
        <v/>
      </c>
      <c r="AL144" s="36" t="str">
        <f aca="false">IF($A144="","",IFERROR(AVERAGE(U144:V144),""))</f>
        <v/>
      </c>
      <c r="AM144" s="36" t="str">
        <f aca="false">IF($A144="","",IFERROR(AVERAGE(W144:X144),""))</f>
        <v/>
      </c>
      <c r="AN144" s="36" t="str">
        <f aca="false">IF($A144="","",IFERROR(AVERAGE(Y144:Z144),""))</f>
        <v/>
      </c>
      <c r="AO144" s="36" t="str">
        <f aca="false">IF($A144="","",IFERROR(AVERAGE(AA144:AB144),""))</f>
        <v/>
      </c>
      <c r="AP144" s="36" t="str">
        <f aca="false">IF($A144="","",IFERROR(AVERAGE(AC144),""))</f>
        <v/>
      </c>
      <c r="AQ144" s="36" t="str">
        <f aca="false">IF($A144="","",IFERROR(AVERAGE(U144:AC144),""))</f>
        <v/>
      </c>
      <c r="AR144" s="27" t="str">
        <f aca="false">IF($A144="","",IF(AND(H144="",J144=""),"לא נבדק",IF(AND(OR(H144="",H144=I144),OR(J144="",J144=K144)),"תואם","לא תואם")))</f>
        <v/>
      </c>
      <c r="AS144" s="27" t="str">
        <f aca="false">IF($A144="","",IF(AND(AR144&lt;&gt;"לא תואם",G144&lt;&gt;"לא ברור"),"אמין","לפרש בזהירות"))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7" t="str">
        <f aca="false">IF($A145="","",$A145&amp;"|"&amp;$C145)</f>
        <v/>
      </c>
      <c r="AF145" s="28" t="str">
        <f aca="false">IF($A145="","",IFERROR(COUNTIF(L145:M145,"כן")/(COUNTIF(L145:M145,"כן")+COUNTIF(L145:M145,"לא")),""))</f>
        <v/>
      </c>
      <c r="AG145" s="28" t="str">
        <f aca="false">IF($A145="","",IFERROR(COUNTIF(N145:O145,"כן")/(COUNTIF(N145:O145,"כן")+COUNTIF(N145:O145,"לא")),""))</f>
        <v/>
      </c>
      <c r="AH145" s="28" t="str">
        <f aca="false">IF($A145="","",IFERROR(COUNTIF(P145,"כן")/(COUNTIF(P145,"כן")+COUNTIF(P145,"לא")),""))</f>
        <v/>
      </c>
      <c r="AI145" s="28" t="str">
        <f aca="false">IF($A145="","",IFERROR(COUNTIF(Q145:R145,"כן")/(COUNTIF(Q145:R145,"כן")+COUNTIF(Q145:R145,"לא")),""))</f>
        <v/>
      </c>
      <c r="AJ145" s="28" t="str">
        <f aca="false">IF($A145="","",IFERROR(COUNTIF(S145:T145,"כן")/(COUNTIF(S145:T145,"כן")+COUNTIF(S145:T145,"לא")),""))</f>
        <v/>
      </c>
      <c r="AK145" s="28" t="str">
        <f aca="false">IF($A145="","",IFERROR(COUNTIF(L145:T145,"כן")/(COUNTIF(L145:T145,"כן")+COUNTIF(L145:T145,"לא")),""))</f>
        <v/>
      </c>
      <c r="AL145" s="36" t="str">
        <f aca="false">IF($A145="","",IFERROR(AVERAGE(U145:V145),""))</f>
        <v/>
      </c>
      <c r="AM145" s="36" t="str">
        <f aca="false">IF($A145="","",IFERROR(AVERAGE(W145:X145),""))</f>
        <v/>
      </c>
      <c r="AN145" s="36" t="str">
        <f aca="false">IF($A145="","",IFERROR(AVERAGE(Y145:Z145),""))</f>
        <v/>
      </c>
      <c r="AO145" s="36" t="str">
        <f aca="false">IF($A145="","",IFERROR(AVERAGE(AA145:AB145),""))</f>
        <v/>
      </c>
      <c r="AP145" s="36" t="str">
        <f aca="false">IF($A145="","",IFERROR(AVERAGE(AC145),""))</f>
        <v/>
      </c>
      <c r="AQ145" s="36" t="str">
        <f aca="false">IF($A145="","",IFERROR(AVERAGE(U145:AC145),""))</f>
        <v/>
      </c>
      <c r="AR145" s="27" t="str">
        <f aca="false">IF($A145="","",IF(AND(H145="",J145=""),"לא נבדק",IF(AND(OR(H145="",H145=I145),OR(J145="",J145=K145)),"תואם","לא תואם")))</f>
        <v/>
      </c>
      <c r="AS145" s="27" t="str">
        <f aca="false">IF($A145="","",IF(AND(AR145&lt;&gt;"לא תואם",G145&lt;&gt;"לא ברור"),"אמין","לפרש בזהירות"))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7" t="str">
        <f aca="false">IF($A146="","",$A146&amp;"|"&amp;$C146)</f>
        <v/>
      </c>
      <c r="AF146" s="28" t="str">
        <f aca="false">IF($A146="","",IFERROR(COUNTIF(L146:M146,"כן")/(COUNTIF(L146:M146,"כן")+COUNTIF(L146:M146,"לא")),""))</f>
        <v/>
      </c>
      <c r="AG146" s="28" t="str">
        <f aca="false">IF($A146="","",IFERROR(COUNTIF(N146:O146,"כן")/(COUNTIF(N146:O146,"כן")+COUNTIF(N146:O146,"לא")),""))</f>
        <v/>
      </c>
      <c r="AH146" s="28" t="str">
        <f aca="false">IF($A146="","",IFERROR(COUNTIF(P146,"כן")/(COUNTIF(P146,"כן")+COUNTIF(P146,"לא")),""))</f>
        <v/>
      </c>
      <c r="AI146" s="28" t="str">
        <f aca="false">IF($A146="","",IFERROR(COUNTIF(Q146:R146,"כן")/(COUNTIF(Q146:R146,"כן")+COUNTIF(Q146:R146,"לא")),""))</f>
        <v/>
      </c>
      <c r="AJ146" s="28" t="str">
        <f aca="false">IF($A146="","",IFERROR(COUNTIF(S146:T146,"כן")/(COUNTIF(S146:T146,"כן")+COUNTIF(S146:T146,"לא")),""))</f>
        <v/>
      </c>
      <c r="AK146" s="28" t="str">
        <f aca="false">IF($A146="","",IFERROR(COUNTIF(L146:T146,"כן")/(COUNTIF(L146:T146,"כן")+COUNTIF(L146:T146,"לא")),""))</f>
        <v/>
      </c>
      <c r="AL146" s="36" t="str">
        <f aca="false">IF($A146="","",IFERROR(AVERAGE(U146:V146),""))</f>
        <v/>
      </c>
      <c r="AM146" s="36" t="str">
        <f aca="false">IF($A146="","",IFERROR(AVERAGE(W146:X146),""))</f>
        <v/>
      </c>
      <c r="AN146" s="36" t="str">
        <f aca="false">IF($A146="","",IFERROR(AVERAGE(Y146:Z146),""))</f>
        <v/>
      </c>
      <c r="AO146" s="36" t="str">
        <f aca="false">IF($A146="","",IFERROR(AVERAGE(AA146:AB146),""))</f>
        <v/>
      </c>
      <c r="AP146" s="36" t="str">
        <f aca="false">IF($A146="","",IFERROR(AVERAGE(AC146),""))</f>
        <v/>
      </c>
      <c r="AQ146" s="36" t="str">
        <f aca="false">IF($A146="","",IFERROR(AVERAGE(U146:AC146),""))</f>
        <v/>
      </c>
      <c r="AR146" s="27" t="str">
        <f aca="false">IF($A146="","",IF(AND(H146="",J146=""),"לא נבדק",IF(AND(OR(H146="",H146=I146),OR(J146="",J146=K146)),"תואם","לא תואם")))</f>
        <v/>
      </c>
      <c r="AS146" s="27" t="str">
        <f aca="false">IF($A146="","",IF(AND(AR146&lt;&gt;"לא תואם",G146&lt;&gt;"לא ברור"),"אמין","לפרש בזהירות"))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7" t="str">
        <f aca="false">IF($A147="","",$A147&amp;"|"&amp;$C147)</f>
        <v/>
      </c>
      <c r="AF147" s="28" t="str">
        <f aca="false">IF($A147="","",IFERROR(COUNTIF(L147:M147,"כן")/(COUNTIF(L147:M147,"כן")+COUNTIF(L147:M147,"לא")),""))</f>
        <v/>
      </c>
      <c r="AG147" s="28" t="str">
        <f aca="false">IF($A147="","",IFERROR(COUNTIF(N147:O147,"כן")/(COUNTIF(N147:O147,"כן")+COUNTIF(N147:O147,"לא")),""))</f>
        <v/>
      </c>
      <c r="AH147" s="28" t="str">
        <f aca="false">IF($A147="","",IFERROR(COUNTIF(P147,"כן")/(COUNTIF(P147,"כן")+COUNTIF(P147,"לא")),""))</f>
        <v/>
      </c>
      <c r="AI147" s="28" t="str">
        <f aca="false">IF($A147="","",IFERROR(COUNTIF(Q147:R147,"כן")/(COUNTIF(Q147:R147,"כן")+COUNTIF(Q147:R147,"לא")),""))</f>
        <v/>
      </c>
      <c r="AJ147" s="28" t="str">
        <f aca="false">IF($A147="","",IFERROR(COUNTIF(S147:T147,"כן")/(COUNTIF(S147:T147,"כן")+COUNTIF(S147:T147,"לא")),""))</f>
        <v/>
      </c>
      <c r="AK147" s="28" t="str">
        <f aca="false">IF($A147="","",IFERROR(COUNTIF(L147:T147,"כן")/(COUNTIF(L147:T147,"כן")+COUNTIF(L147:T147,"לא")),""))</f>
        <v/>
      </c>
      <c r="AL147" s="36" t="str">
        <f aca="false">IF($A147="","",IFERROR(AVERAGE(U147:V147),""))</f>
        <v/>
      </c>
      <c r="AM147" s="36" t="str">
        <f aca="false">IF($A147="","",IFERROR(AVERAGE(W147:X147),""))</f>
        <v/>
      </c>
      <c r="AN147" s="36" t="str">
        <f aca="false">IF($A147="","",IFERROR(AVERAGE(Y147:Z147),""))</f>
        <v/>
      </c>
      <c r="AO147" s="36" t="str">
        <f aca="false">IF($A147="","",IFERROR(AVERAGE(AA147:AB147),""))</f>
        <v/>
      </c>
      <c r="AP147" s="36" t="str">
        <f aca="false">IF($A147="","",IFERROR(AVERAGE(AC147),""))</f>
        <v/>
      </c>
      <c r="AQ147" s="36" t="str">
        <f aca="false">IF($A147="","",IFERROR(AVERAGE(U147:AC147),""))</f>
        <v/>
      </c>
      <c r="AR147" s="27" t="str">
        <f aca="false">IF($A147="","",IF(AND(H147="",J147=""),"לא נבדק",IF(AND(OR(H147="",H147=I147),OR(J147="",J147=K147)),"תואם","לא תואם")))</f>
        <v/>
      </c>
      <c r="AS147" s="27" t="str">
        <f aca="false">IF($A147="","",IF(AND(AR147&lt;&gt;"לא תואם",G147&lt;&gt;"לא ברור"),"אמין","לפרש בזהירות"))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7" t="str">
        <f aca="false">IF($A148="","",$A148&amp;"|"&amp;$C148)</f>
        <v/>
      </c>
      <c r="AF148" s="28" t="str">
        <f aca="false">IF($A148="","",IFERROR(COUNTIF(L148:M148,"כן")/(COUNTIF(L148:M148,"כן")+COUNTIF(L148:M148,"לא")),""))</f>
        <v/>
      </c>
      <c r="AG148" s="28" t="str">
        <f aca="false">IF($A148="","",IFERROR(COUNTIF(N148:O148,"כן")/(COUNTIF(N148:O148,"כן")+COUNTIF(N148:O148,"לא")),""))</f>
        <v/>
      </c>
      <c r="AH148" s="28" t="str">
        <f aca="false">IF($A148="","",IFERROR(COUNTIF(P148,"כן")/(COUNTIF(P148,"כן")+COUNTIF(P148,"לא")),""))</f>
        <v/>
      </c>
      <c r="AI148" s="28" t="str">
        <f aca="false">IF($A148="","",IFERROR(COUNTIF(Q148:R148,"כן")/(COUNTIF(Q148:R148,"כן")+COUNTIF(Q148:R148,"לא")),""))</f>
        <v/>
      </c>
      <c r="AJ148" s="28" t="str">
        <f aca="false">IF($A148="","",IFERROR(COUNTIF(S148:T148,"כן")/(COUNTIF(S148:T148,"כן")+COUNTIF(S148:T148,"לא")),""))</f>
        <v/>
      </c>
      <c r="AK148" s="28" t="str">
        <f aca="false">IF($A148="","",IFERROR(COUNTIF(L148:T148,"כן")/(COUNTIF(L148:T148,"כן")+COUNTIF(L148:T148,"לא")),""))</f>
        <v/>
      </c>
      <c r="AL148" s="36" t="str">
        <f aca="false">IF($A148="","",IFERROR(AVERAGE(U148:V148),""))</f>
        <v/>
      </c>
      <c r="AM148" s="36" t="str">
        <f aca="false">IF($A148="","",IFERROR(AVERAGE(W148:X148),""))</f>
        <v/>
      </c>
      <c r="AN148" s="36" t="str">
        <f aca="false">IF($A148="","",IFERROR(AVERAGE(Y148:Z148),""))</f>
        <v/>
      </c>
      <c r="AO148" s="36" t="str">
        <f aca="false">IF($A148="","",IFERROR(AVERAGE(AA148:AB148),""))</f>
        <v/>
      </c>
      <c r="AP148" s="36" t="str">
        <f aca="false">IF($A148="","",IFERROR(AVERAGE(AC148),""))</f>
        <v/>
      </c>
      <c r="AQ148" s="36" t="str">
        <f aca="false">IF($A148="","",IFERROR(AVERAGE(U148:AC148),""))</f>
        <v/>
      </c>
      <c r="AR148" s="27" t="str">
        <f aca="false">IF($A148="","",IF(AND(H148="",J148=""),"לא נבדק",IF(AND(OR(H148="",H148=I148),OR(J148="",J148=K148)),"תואם","לא תואם")))</f>
        <v/>
      </c>
      <c r="AS148" s="27" t="str">
        <f aca="false">IF($A148="","",IF(AND(AR148&lt;&gt;"לא תואם",G148&lt;&gt;"לא ברור"),"אמין","לפרש בזהירות"))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7" t="str">
        <f aca="false">IF($A149="","",$A149&amp;"|"&amp;$C149)</f>
        <v/>
      </c>
      <c r="AF149" s="28" t="str">
        <f aca="false">IF($A149="","",IFERROR(COUNTIF(L149:M149,"כן")/(COUNTIF(L149:M149,"כן")+COUNTIF(L149:M149,"לא")),""))</f>
        <v/>
      </c>
      <c r="AG149" s="28" t="str">
        <f aca="false">IF($A149="","",IFERROR(COUNTIF(N149:O149,"כן")/(COUNTIF(N149:O149,"כן")+COUNTIF(N149:O149,"לא")),""))</f>
        <v/>
      </c>
      <c r="AH149" s="28" t="str">
        <f aca="false">IF($A149="","",IFERROR(COUNTIF(P149,"כן")/(COUNTIF(P149,"כן")+COUNTIF(P149,"לא")),""))</f>
        <v/>
      </c>
      <c r="AI149" s="28" t="str">
        <f aca="false">IF($A149="","",IFERROR(COUNTIF(Q149:R149,"כן")/(COUNTIF(Q149:R149,"כן")+COUNTIF(Q149:R149,"לא")),""))</f>
        <v/>
      </c>
      <c r="AJ149" s="28" t="str">
        <f aca="false">IF($A149="","",IFERROR(COUNTIF(S149:T149,"כן")/(COUNTIF(S149:T149,"כן")+COUNTIF(S149:T149,"לא")),""))</f>
        <v/>
      </c>
      <c r="AK149" s="28" t="str">
        <f aca="false">IF($A149="","",IFERROR(COUNTIF(L149:T149,"כן")/(COUNTIF(L149:T149,"כן")+COUNTIF(L149:T149,"לא")),""))</f>
        <v/>
      </c>
      <c r="AL149" s="36" t="str">
        <f aca="false">IF($A149="","",IFERROR(AVERAGE(U149:V149),""))</f>
        <v/>
      </c>
      <c r="AM149" s="36" t="str">
        <f aca="false">IF($A149="","",IFERROR(AVERAGE(W149:X149),""))</f>
        <v/>
      </c>
      <c r="AN149" s="36" t="str">
        <f aca="false">IF($A149="","",IFERROR(AVERAGE(Y149:Z149),""))</f>
        <v/>
      </c>
      <c r="AO149" s="36" t="str">
        <f aca="false">IF($A149="","",IFERROR(AVERAGE(AA149:AB149),""))</f>
        <v/>
      </c>
      <c r="AP149" s="36" t="str">
        <f aca="false">IF($A149="","",IFERROR(AVERAGE(AC149),""))</f>
        <v/>
      </c>
      <c r="AQ149" s="36" t="str">
        <f aca="false">IF($A149="","",IFERROR(AVERAGE(U149:AC149),""))</f>
        <v/>
      </c>
      <c r="AR149" s="27" t="str">
        <f aca="false">IF($A149="","",IF(AND(H149="",J149=""),"לא נבדק",IF(AND(OR(H149="",H149=I149),OR(J149="",J149=K149)),"תואם","לא תואם")))</f>
        <v/>
      </c>
      <c r="AS149" s="27" t="str">
        <f aca="false">IF($A149="","",IF(AND(AR149&lt;&gt;"לא תואם",G149&lt;&gt;"לא ברור"),"אמין","לפרש בזהירות"))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7" t="str">
        <f aca="false">IF($A150="","",$A150&amp;"|"&amp;$C150)</f>
        <v/>
      </c>
      <c r="AF150" s="28" t="str">
        <f aca="false">IF($A150="","",IFERROR(COUNTIF(L150:M150,"כן")/(COUNTIF(L150:M150,"כן")+COUNTIF(L150:M150,"לא")),""))</f>
        <v/>
      </c>
      <c r="AG150" s="28" t="str">
        <f aca="false">IF($A150="","",IFERROR(COUNTIF(N150:O150,"כן")/(COUNTIF(N150:O150,"כן")+COUNTIF(N150:O150,"לא")),""))</f>
        <v/>
      </c>
      <c r="AH150" s="28" t="str">
        <f aca="false">IF($A150="","",IFERROR(COUNTIF(P150,"כן")/(COUNTIF(P150,"כן")+COUNTIF(P150,"לא")),""))</f>
        <v/>
      </c>
      <c r="AI150" s="28" t="str">
        <f aca="false">IF($A150="","",IFERROR(COUNTIF(Q150:R150,"כן")/(COUNTIF(Q150:R150,"כן")+COUNTIF(Q150:R150,"לא")),""))</f>
        <v/>
      </c>
      <c r="AJ150" s="28" t="str">
        <f aca="false">IF($A150="","",IFERROR(COUNTIF(S150:T150,"כן")/(COUNTIF(S150:T150,"כן")+COUNTIF(S150:T150,"לא")),""))</f>
        <v/>
      </c>
      <c r="AK150" s="28" t="str">
        <f aca="false">IF($A150="","",IFERROR(COUNTIF(L150:T150,"כן")/(COUNTIF(L150:T150,"כן")+COUNTIF(L150:T150,"לא")),""))</f>
        <v/>
      </c>
      <c r="AL150" s="36" t="str">
        <f aca="false">IF($A150="","",IFERROR(AVERAGE(U150:V150),""))</f>
        <v/>
      </c>
      <c r="AM150" s="36" t="str">
        <f aca="false">IF($A150="","",IFERROR(AVERAGE(W150:X150),""))</f>
        <v/>
      </c>
      <c r="AN150" s="36" t="str">
        <f aca="false">IF($A150="","",IFERROR(AVERAGE(Y150:Z150),""))</f>
        <v/>
      </c>
      <c r="AO150" s="36" t="str">
        <f aca="false">IF($A150="","",IFERROR(AVERAGE(AA150:AB150),""))</f>
        <v/>
      </c>
      <c r="AP150" s="36" t="str">
        <f aca="false">IF($A150="","",IFERROR(AVERAGE(AC150),""))</f>
        <v/>
      </c>
      <c r="AQ150" s="36" t="str">
        <f aca="false">IF($A150="","",IFERROR(AVERAGE(U150:AC150),""))</f>
        <v/>
      </c>
      <c r="AR150" s="27" t="str">
        <f aca="false">IF($A150="","",IF(AND(H150="",J150=""),"לא נבדק",IF(AND(OR(H150="",H150=I150),OR(J150="",J150=K150)),"תואם","לא תואם")))</f>
        <v/>
      </c>
      <c r="AS150" s="27" t="str">
        <f aca="false">IF($A150="","",IF(AND(AR150&lt;&gt;"לא תואם",G150&lt;&gt;"לא ברור"),"אמין","לפרש בזהירות"))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7" t="str">
        <f aca="false">IF($A151="","",$A151&amp;"|"&amp;$C151)</f>
        <v/>
      </c>
      <c r="AF151" s="28" t="str">
        <f aca="false">IF($A151="","",IFERROR(COUNTIF(L151:M151,"כן")/(COUNTIF(L151:M151,"כן")+COUNTIF(L151:M151,"לא")),""))</f>
        <v/>
      </c>
      <c r="AG151" s="28" t="str">
        <f aca="false">IF($A151="","",IFERROR(COUNTIF(N151:O151,"כן")/(COUNTIF(N151:O151,"כן")+COUNTIF(N151:O151,"לא")),""))</f>
        <v/>
      </c>
      <c r="AH151" s="28" t="str">
        <f aca="false">IF($A151="","",IFERROR(COUNTIF(P151,"כן")/(COUNTIF(P151,"כן")+COUNTIF(P151,"לא")),""))</f>
        <v/>
      </c>
      <c r="AI151" s="28" t="str">
        <f aca="false">IF($A151="","",IFERROR(COUNTIF(Q151:R151,"כן")/(COUNTIF(Q151:R151,"כן")+COUNTIF(Q151:R151,"לא")),""))</f>
        <v/>
      </c>
      <c r="AJ151" s="28" t="str">
        <f aca="false">IF($A151="","",IFERROR(COUNTIF(S151:T151,"כן")/(COUNTIF(S151:T151,"כן")+COUNTIF(S151:T151,"לא")),""))</f>
        <v/>
      </c>
      <c r="AK151" s="28" t="str">
        <f aca="false">IF($A151="","",IFERROR(COUNTIF(L151:T151,"כן")/(COUNTIF(L151:T151,"כן")+COUNTIF(L151:T151,"לא")),""))</f>
        <v/>
      </c>
      <c r="AL151" s="36" t="str">
        <f aca="false">IF($A151="","",IFERROR(AVERAGE(U151:V151),""))</f>
        <v/>
      </c>
      <c r="AM151" s="36" t="str">
        <f aca="false">IF($A151="","",IFERROR(AVERAGE(W151:X151),""))</f>
        <v/>
      </c>
      <c r="AN151" s="36" t="str">
        <f aca="false">IF($A151="","",IFERROR(AVERAGE(Y151:Z151),""))</f>
        <v/>
      </c>
      <c r="AO151" s="36" t="str">
        <f aca="false">IF($A151="","",IFERROR(AVERAGE(AA151:AB151),""))</f>
        <v/>
      </c>
      <c r="AP151" s="36" t="str">
        <f aca="false">IF($A151="","",IFERROR(AVERAGE(AC151),""))</f>
        <v/>
      </c>
      <c r="AQ151" s="36" t="str">
        <f aca="false">IF($A151="","",IFERROR(AVERAGE(U151:AC151),""))</f>
        <v/>
      </c>
      <c r="AR151" s="27" t="str">
        <f aca="false">IF($A151="","",IF(AND(H151="",J151=""),"לא נבדק",IF(AND(OR(H151="",H151=I151),OR(J151="",J151=K151)),"תואם","לא תואם")))</f>
        <v/>
      </c>
      <c r="AS151" s="27" t="str">
        <f aca="false">IF($A151="","",IF(AND(AR151&lt;&gt;"לא תואם",G151&lt;&gt;"לא ברור"),"אמין","לפרש בזהירות"))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7" t="str">
        <f aca="false">IF($A152="","",$A152&amp;"|"&amp;$C152)</f>
        <v/>
      </c>
      <c r="AF152" s="28" t="str">
        <f aca="false">IF($A152="","",IFERROR(COUNTIF(L152:M152,"כן")/(COUNTIF(L152:M152,"כן")+COUNTIF(L152:M152,"לא")),""))</f>
        <v/>
      </c>
      <c r="AG152" s="28" t="str">
        <f aca="false">IF($A152="","",IFERROR(COUNTIF(N152:O152,"כן")/(COUNTIF(N152:O152,"כן")+COUNTIF(N152:O152,"לא")),""))</f>
        <v/>
      </c>
      <c r="AH152" s="28" t="str">
        <f aca="false">IF($A152="","",IFERROR(COUNTIF(P152,"כן")/(COUNTIF(P152,"כן")+COUNTIF(P152,"לא")),""))</f>
        <v/>
      </c>
      <c r="AI152" s="28" t="str">
        <f aca="false">IF($A152="","",IFERROR(COUNTIF(Q152:R152,"כן")/(COUNTIF(Q152:R152,"כן")+COUNTIF(Q152:R152,"לא")),""))</f>
        <v/>
      </c>
      <c r="AJ152" s="28" t="str">
        <f aca="false">IF($A152="","",IFERROR(COUNTIF(S152:T152,"כן")/(COUNTIF(S152:T152,"כן")+COUNTIF(S152:T152,"לא")),""))</f>
        <v/>
      </c>
      <c r="AK152" s="28" t="str">
        <f aca="false">IF($A152="","",IFERROR(COUNTIF(L152:T152,"כן")/(COUNTIF(L152:T152,"כן")+COUNTIF(L152:T152,"לא")),""))</f>
        <v/>
      </c>
      <c r="AL152" s="36" t="str">
        <f aca="false">IF($A152="","",IFERROR(AVERAGE(U152:V152),""))</f>
        <v/>
      </c>
      <c r="AM152" s="36" t="str">
        <f aca="false">IF($A152="","",IFERROR(AVERAGE(W152:X152),""))</f>
        <v/>
      </c>
      <c r="AN152" s="36" t="str">
        <f aca="false">IF($A152="","",IFERROR(AVERAGE(Y152:Z152),""))</f>
        <v/>
      </c>
      <c r="AO152" s="36" t="str">
        <f aca="false">IF($A152="","",IFERROR(AVERAGE(AA152:AB152),""))</f>
        <v/>
      </c>
      <c r="AP152" s="36" t="str">
        <f aca="false">IF($A152="","",IFERROR(AVERAGE(AC152),""))</f>
        <v/>
      </c>
      <c r="AQ152" s="36" t="str">
        <f aca="false">IF($A152="","",IFERROR(AVERAGE(U152:AC152),""))</f>
        <v/>
      </c>
      <c r="AR152" s="27" t="str">
        <f aca="false">IF($A152="","",IF(AND(H152="",J152=""),"לא נבדק",IF(AND(OR(H152="",H152=I152),OR(J152="",J152=K152)),"תואם","לא תואם")))</f>
        <v/>
      </c>
      <c r="AS152" s="27" t="str">
        <f aca="false">IF($A152="","",IF(AND(AR152&lt;&gt;"לא תואם",G152&lt;&gt;"לא ברור"),"אמין","לפרש בזהירות"))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7" t="str">
        <f aca="false">IF($A153="","",$A153&amp;"|"&amp;$C153)</f>
        <v/>
      </c>
      <c r="AF153" s="28" t="str">
        <f aca="false">IF($A153="","",IFERROR(COUNTIF(L153:M153,"כן")/(COUNTIF(L153:M153,"כן")+COUNTIF(L153:M153,"לא")),""))</f>
        <v/>
      </c>
      <c r="AG153" s="28" t="str">
        <f aca="false">IF($A153="","",IFERROR(COUNTIF(N153:O153,"כן")/(COUNTIF(N153:O153,"כן")+COUNTIF(N153:O153,"לא")),""))</f>
        <v/>
      </c>
      <c r="AH153" s="28" t="str">
        <f aca="false">IF($A153="","",IFERROR(COUNTIF(P153,"כן")/(COUNTIF(P153,"כן")+COUNTIF(P153,"לא")),""))</f>
        <v/>
      </c>
      <c r="AI153" s="28" t="str">
        <f aca="false">IF($A153="","",IFERROR(COUNTIF(Q153:R153,"כן")/(COUNTIF(Q153:R153,"כן")+COUNTIF(Q153:R153,"לא")),""))</f>
        <v/>
      </c>
      <c r="AJ153" s="28" t="str">
        <f aca="false">IF($A153="","",IFERROR(COUNTIF(S153:T153,"כן")/(COUNTIF(S153:T153,"כן")+COUNTIF(S153:T153,"לא")),""))</f>
        <v/>
      </c>
      <c r="AK153" s="28" t="str">
        <f aca="false">IF($A153="","",IFERROR(COUNTIF(L153:T153,"כן")/(COUNTIF(L153:T153,"כן")+COUNTIF(L153:T153,"לא")),""))</f>
        <v/>
      </c>
      <c r="AL153" s="36" t="str">
        <f aca="false">IF($A153="","",IFERROR(AVERAGE(U153:V153),""))</f>
        <v/>
      </c>
      <c r="AM153" s="36" t="str">
        <f aca="false">IF($A153="","",IFERROR(AVERAGE(W153:X153),""))</f>
        <v/>
      </c>
      <c r="AN153" s="36" t="str">
        <f aca="false">IF($A153="","",IFERROR(AVERAGE(Y153:Z153),""))</f>
        <v/>
      </c>
      <c r="AO153" s="36" t="str">
        <f aca="false">IF($A153="","",IFERROR(AVERAGE(AA153:AB153),""))</f>
        <v/>
      </c>
      <c r="AP153" s="36" t="str">
        <f aca="false">IF($A153="","",IFERROR(AVERAGE(AC153),""))</f>
        <v/>
      </c>
      <c r="AQ153" s="36" t="str">
        <f aca="false">IF($A153="","",IFERROR(AVERAGE(U153:AC153),""))</f>
        <v/>
      </c>
      <c r="AR153" s="27" t="str">
        <f aca="false">IF($A153="","",IF(AND(H153="",J153=""),"לא נבדק",IF(AND(OR(H153="",H153=I153),OR(J153="",J153=K153)),"תואם","לא תואם")))</f>
        <v/>
      </c>
      <c r="AS153" s="27" t="str">
        <f aca="false">IF($A153="","",IF(AND(AR153&lt;&gt;"לא תואם",G153&lt;&gt;"לא ברור"),"אמין","לפרש בזהירות"))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7" t="str">
        <f aca="false">IF($A154="","",$A154&amp;"|"&amp;$C154)</f>
        <v/>
      </c>
      <c r="AF154" s="28" t="str">
        <f aca="false">IF($A154="","",IFERROR(COUNTIF(L154:M154,"כן")/(COUNTIF(L154:M154,"כן")+COUNTIF(L154:M154,"לא")),""))</f>
        <v/>
      </c>
      <c r="AG154" s="28" t="str">
        <f aca="false">IF($A154="","",IFERROR(COUNTIF(N154:O154,"כן")/(COUNTIF(N154:O154,"כן")+COUNTIF(N154:O154,"לא")),""))</f>
        <v/>
      </c>
      <c r="AH154" s="28" t="str">
        <f aca="false">IF($A154="","",IFERROR(COUNTIF(P154,"כן")/(COUNTIF(P154,"כן")+COUNTIF(P154,"לא")),""))</f>
        <v/>
      </c>
      <c r="AI154" s="28" t="str">
        <f aca="false">IF($A154="","",IFERROR(COUNTIF(Q154:R154,"כן")/(COUNTIF(Q154:R154,"כן")+COUNTIF(Q154:R154,"לא")),""))</f>
        <v/>
      </c>
      <c r="AJ154" s="28" t="str">
        <f aca="false">IF($A154="","",IFERROR(COUNTIF(S154:T154,"כן")/(COUNTIF(S154:T154,"כן")+COUNTIF(S154:T154,"לא")),""))</f>
        <v/>
      </c>
      <c r="AK154" s="28" t="str">
        <f aca="false">IF($A154="","",IFERROR(COUNTIF(L154:T154,"כן")/(COUNTIF(L154:T154,"כן")+COUNTIF(L154:T154,"לא")),""))</f>
        <v/>
      </c>
      <c r="AL154" s="36" t="str">
        <f aca="false">IF($A154="","",IFERROR(AVERAGE(U154:V154),""))</f>
        <v/>
      </c>
      <c r="AM154" s="36" t="str">
        <f aca="false">IF($A154="","",IFERROR(AVERAGE(W154:X154),""))</f>
        <v/>
      </c>
      <c r="AN154" s="36" t="str">
        <f aca="false">IF($A154="","",IFERROR(AVERAGE(Y154:Z154),""))</f>
        <v/>
      </c>
      <c r="AO154" s="36" t="str">
        <f aca="false">IF($A154="","",IFERROR(AVERAGE(AA154:AB154),""))</f>
        <v/>
      </c>
      <c r="AP154" s="36" t="str">
        <f aca="false">IF($A154="","",IFERROR(AVERAGE(AC154),""))</f>
        <v/>
      </c>
      <c r="AQ154" s="36" t="str">
        <f aca="false">IF($A154="","",IFERROR(AVERAGE(U154:AC154),""))</f>
        <v/>
      </c>
      <c r="AR154" s="27" t="str">
        <f aca="false">IF($A154="","",IF(AND(H154="",J154=""),"לא נבדק",IF(AND(OR(H154="",H154=I154),OR(J154="",J154=K154)),"תואם","לא תואם")))</f>
        <v/>
      </c>
      <c r="AS154" s="27" t="str">
        <f aca="false">IF($A154="","",IF(AND(AR154&lt;&gt;"לא תואם",G154&lt;&gt;"לא ברור"),"אמין","לפרש בזהירות"))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7" t="str">
        <f aca="false">IF($A155="","",$A155&amp;"|"&amp;$C155)</f>
        <v/>
      </c>
      <c r="AF155" s="28" t="str">
        <f aca="false">IF($A155="","",IFERROR(COUNTIF(L155:M155,"כן")/(COUNTIF(L155:M155,"כן")+COUNTIF(L155:M155,"לא")),""))</f>
        <v/>
      </c>
      <c r="AG155" s="28" t="str">
        <f aca="false">IF($A155="","",IFERROR(COUNTIF(N155:O155,"כן")/(COUNTIF(N155:O155,"כן")+COUNTIF(N155:O155,"לא")),""))</f>
        <v/>
      </c>
      <c r="AH155" s="28" t="str">
        <f aca="false">IF($A155="","",IFERROR(COUNTIF(P155,"כן")/(COUNTIF(P155,"כן")+COUNTIF(P155,"לא")),""))</f>
        <v/>
      </c>
      <c r="AI155" s="28" t="str">
        <f aca="false">IF($A155="","",IFERROR(COUNTIF(Q155:R155,"כן")/(COUNTIF(Q155:R155,"כן")+COUNTIF(Q155:R155,"לא")),""))</f>
        <v/>
      </c>
      <c r="AJ155" s="28" t="str">
        <f aca="false">IF($A155="","",IFERROR(COUNTIF(S155:T155,"כן")/(COUNTIF(S155:T155,"כן")+COUNTIF(S155:T155,"לא")),""))</f>
        <v/>
      </c>
      <c r="AK155" s="28" t="str">
        <f aca="false">IF($A155="","",IFERROR(COUNTIF(L155:T155,"כן")/(COUNTIF(L155:T155,"כן")+COUNTIF(L155:T155,"לא")),""))</f>
        <v/>
      </c>
      <c r="AL155" s="36" t="str">
        <f aca="false">IF($A155="","",IFERROR(AVERAGE(U155:V155),""))</f>
        <v/>
      </c>
      <c r="AM155" s="36" t="str">
        <f aca="false">IF($A155="","",IFERROR(AVERAGE(W155:X155),""))</f>
        <v/>
      </c>
      <c r="AN155" s="36" t="str">
        <f aca="false">IF($A155="","",IFERROR(AVERAGE(Y155:Z155),""))</f>
        <v/>
      </c>
      <c r="AO155" s="36" t="str">
        <f aca="false">IF($A155="","",IFERROR(AVERAGE(AA155:AB155),""))</f>
        <v/>
      </c>
      <c r="AP155" s="36" t="str">
        <f aca="false">IF($A155="","",IFERROR(AVERAGE(AC155),""))</f>
        <v/>
      </c>
      <c r="AQ155" s="36" t="str">
        <f aca="false">IF($A155="","",IFERROR(AVERAGE(U155:AC155),""))</f>
        <v/>
      </c>
      <c r="AR155" s="27" t="str">
        <f aca="false">IF($A155="","",IF(AND(H155="",J155=""),"לא נבדק",IF(AND(OR(H155="",H155=I155),OR(J155="",J155=K155)),"תואם","לא תואם")))</f>
        <v/>
      </c>
      <c r="AS155" s="27" t="str">
        <f aca="false">IF($A155="","",IF(AND(AR155&lt;&gt;"לא תואם",G155&lt;&gt;"לא ברור"),"אמין","לפרש בזהירות"))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7" t="str">
        <f aca="false">IF($A156="","",$A156&amp;"|"&amp;$C156)</f>
        <v/>
      </c>
      <c r="AF156" s="28" t="str">
        <f aca="false">IF($A156="","",IFERROR(COUNTIF(L156:M156,"כן")/(COUNTIF(L156:M156,"כן")+COUNTIF(L156:M156,"לא")),""))</f>
        <v/>
      </c>
      <c r="AG156" s="28" t="str">
        <f aca="false">IF($A156="","",IFERROR(COUNTIF(N156:O156,"כן")/(COUNTIF(N156:O156,"כן")+COUNTIF(N156:O156,"לא")),""))</f>
        <v/>
      </c>
      <c r="AH156" s="28" t="str">
        <f aca="false">IF($A156="","",IFERROR(COUNTIF(P156,"כן")/(COUNTIF(P156,"כן")+COUNTIF(P156,"לא")),""))</f>
        <v/>
      </c>
      <c r="AI156" s="28" t="str">
        <f aca="false">IF($A156="","",IFERROR(COUNTIF(Q156:R156,"כן")/(COUNTIF(Q156:R156,"כן")+COUNTIF(Q156:R156,"לא")),""))</f>
        <v/>
      </c>
      <c r="AJ156" s="28" t="str">
        <f aca="false">IF($A156="","",IFERROR(COUNTIF(S156:T156,"כן")/(COUNTIF(S156:T156,"כן")+COUNTIF(S156:T156,"לא")),""))</f>
        <v/>
      </c>
      <c r="AK156" s="28" t="str">
        <f aca="false">IF($A156="","",IFERROR(COUNTIF(L156:T156,"כן")/(COUNTIF(L156:T156,"כן")+COUNTIF(L156:T156,"לא")),""))</f>
        <v/>
      </c>
      <c r="AL156" s="36" t="str">
        <f aca="false">IF($A156="","",IFERROR(AVERAGE(U156:V156),""))</f>
        <v/>
      </c>
      <c r="AM156" s="36" t="str">
        <f aca="false">IF($A156="","",IFERROR(AVERAGE(W156:X156),""))</f>
        <v/>
      </c>
      <c r="AN156" s="36" t="str">
        <f aca="false">IF($A156="","",IFERROR(AVERAGE(Y156:Z156),""))</f>
        <v/>
      </c>
      <c r="AO156" s="36" t="str">
        <f aca="false">IF($A156="","",IFERROR(AVERAGE(AA156:AB156),""))</f>
        <v/>
      </c>
      <c r="AP156" s="36" t="str">
        <f aca="false">IF($A156="","",IFERROR(AVERAGE(AC156),""))</f>
        <v/>
      </c>
      <c r="AQ156" s="36" t="str">
        <f aca="false">IF($A156="","",IFERROR(AVERAGE(U156:AC156),""))</f>
        <v/>
      </c>
      <c r="AR156" s="27" t="str">
        <f aca="false">IF($A156="","",IF(AND(H156="",J156=""),"לא נבדק",IF(AND(OR(H156="",H156=I156),OR(J156="",J156=K156)),"תואם","לא תואם")))</f>
        <v/>
      </c>
      <c r="AS156" s="27" t="str">
        <f aca="false">IF($A156="","",IF(AND(AR156&lt;&gt;"לא תואם",G156&lt;&gt;"לא ברור"),"אמין","לפרש בזהירות"))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7" t="str">
        <f aca="false">IF($A157="","",$A157&amp;"|"&amp;$C157)</f>
        <v/>
      </c>
      <c r="AF157" s="28" t="str">
        <f aca="false">IF($A157="","",IFERROR(COUNTIF(L157:M157,"כן")/(COUNTIF(L157:M157,"כן")+COUNTIF(L157:M157,"לא")),""))</f>
        <v/>
      </c>
      <c r="AG157" s="28" t="str">
        <f aca="false">IF($A157="","",IFERROR(COUNTIF(N157:O157,"כן")/(COUNTIF(N157:O157,"כן")+COUNTIF(N157:O157,"לא")),""))</f>
        <v/>
      </c>
      <c r="AH157" s="28" t="str">
        <f aca="false">IF($A157="","",IFERROR(COUNTIF(P157,"כן")/(COUNTIF(P157,"כן")+COUNTIF(P157,"לא")),""))</f>
        <v/>
      </c>
      <c r="AI157" s="28" t="str">
        <f aca="false">IF($A157="","",IFERROR(COUNTIF(Q157:R157,"כן")/(COUNTIF(Q157:R157,"כן")+COUNTIF(Q157:R157,"לא")),""))</f>
        <v/>
      </c>
      <c r="AJ157" s="28" t="str">
        <f aca="false">IF($A157="","",IFERROR(COUNTIF(S157:T157,"כן")/(COUNTIF(S157:T157,"כן")+COUNTIF(S157:T157,"לא")),""))</f>
        <v/>
      </c>
      <c r="AK157" s="28" t="str">
        <f aca="false">IF($A157="","",IFERROR(COUNTIF(L157:T157,"כן")/(COUNTIF(L157:T157,"כן")+COUNTIF(L157:T157,"לא")),""))</f>
        <v/>
      </c>
      <c r="AL157" s="36" t="str">
        <f aca="false">IF($A157="","",IFERROR(AVERAGE(U157:V157),""))</f>
        <v/>
      </c>
      <c r="AM157" s="36" t="str">
        <f aca="false">IF($A157="","",IFERROR(AVERAGE(W157:X157),""))</f>
        <v/>
      </c>
      <c r="AN157" s="36" t="str">
        <f aca="false">IF($A157="","",IFERROR(AVERAGE(Y157:Z157),""))</f>
        <v/>
      </c>
      <c r="AO157" s="36" t="str">
        <f aca="false">IF($A157="","",IFERROR(AVERAGE(AA157:AB157),""))</f>
        <v/>
      </c>
      <c r="AP157" s="36" t="str">
        <f aca="false">IF($A157="","",IFERROR(AVERAGE(AC157),""))</f>
        <v/>
      </c>
      <c r="AQ157" s="36" t="str">
        <f aca="false">IF($A157="","",IFERROR(AVERAGE(U157:AC157),""))</f>
        <v/>
      </c>
      <c r="AR157" s="27" t="str">
        <f aca="false">IF($A157="","",IF(AND(H157="",J157=""),"לא נבדק",IF(AND(OR(H157="",H157=I157),OR(J157="",J157=K157)),"תואם","לא תואם")))</f>
        <v/>
      </c>
      <c r="AS157" s="27" t="str">
        <f aca="false">IF($A157="","",IF(AND(AR157&lt;&gt;"לא תואם",G157&lt;&gt;"לא ברור"),"אמין","לפרש בזהירות"))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7" t="str">
        <f aca="false">IF($A158="","",$A158&amp;"|"&amp;$C158)</f>
        <v/>
      </c>
      <c r="AF158" s="28" t="str">
        <f aca="false">IF($A158="","",IFERROR(COUNTIF(L158:M158,"כן")/(COUNTIF(L158:M158,"כן")+COUNTIF(L158:M158,"לא")),""))</f>
        <v/>
      </c>
      <c r="AG158" s="28" t="str">
        <f aca="false">IF($A158="","",IFERROR(COUNTIF(N158:O158,"כן")/(COUNTIF(N158:O158,"כן")+COUNTIF(N158:O158,"לא")),""))</f>
        <v/>
      </c>
      <c r="AH158" s="28" t="str">
        <f aca="false">IF($A158="","",IFERROR(COUNTIF(P158,"כן")/(COUNTIF(P158,"כן")+COUNTIF(P158,"לא")),""))</f>
        <v/>
      </c>
      <c r="AI158" s="28" t="str">
        <f aca="false">IF($A158="","",IFERROR(COUNTIF(Q158:R158,"כן")/(COUNTIF(Q158:R158,"כן")+COUNTIF(Q158:R158,"לא")),""))</f>
        <v/>
      </c>
      <c r="AJ158" s="28" t="str">
        <f aca="false">IF($A158="","",IFERROR(COUNTIF(S158:T158,"כן")/(COUNTIF(S158:T158,"כן")+COUNTIF(S158:T158,"לא")),""))</f>
        <v/>
      </c>
      <c r="AK158" s="28" t="str">
        <f aca="false">IF($A158="","",IFERROR(COUNTIF(L158:T158,"כן")/(COUNTIF(L158:T158,"כן")+COUNTIF(L158:T158,"לא")),""))</f>
        <v/>
      </c>
      <c r="AL158" s="36" t="str">
        <f aca="false">IF($A158="","",IFERROR(AVERAGE(U158:V158),""))</f>
        <v/>
      </c>
      <c r="AM158" s="36" t="str">
        <f aca="false">IF($A158="","",IFERROR(AVERAGE(W158:X158),""))</f>
        <v/>
      </c>
      <c r="AN158" s="36" t="str">
        <f aca="false">IF($A158="","",IFERROR(AVERAGE(Y158:Z158),""))</f>
        <v/>
      </c>
      <c r="AO158" s="36" t="str">
        <f aca="false">IF($A158="","",IFERROR(AVERAGE(AA158:AB158),""))</f>
        <v/>
      </c>
      <c r="AP158" s="36" t="str">
        <f aca="false">IF($A158="","",IFERROR(AVERAGE(AC158),""))</f>
        <v/>
      </c>
      <c r="AQ158" s="36" t="str">
        <f aca="false">IF($A158="","",IFERROR(AVERAGE(U158:AC158),""))</f>
        <v/>
      </c>
      <c r="AR158" s="27" t="str">
        <f aca="false">IF($A158="","",IF(AND(H158="",J158=""),"לא נבדק",IF(AND(OR(H158="",H158=I158),OR(J158="",J158=K158)),"תואם","לא תואם")))</f>
        <v/>
      </c>
      <c r="AS158" s="27" t="str">
        <f aca="false">IF($A158="","",IF(AND(AR158&lt;&gt;"לא תואם",G158&lt;&gt;"לא ברור"),"אמין","לפרש בזהירות"))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7" t="str">
        <f aca="false">IF($A159="","",$A159&amp;"|"&amp;$C159)</f>
        <v/>
      </c>
      <c r="AF159" s="28" t="str">
        <f aca="false">IF($A159="","",IFERROR(COUNTIF(L159:M159,"כן")/(COUNTIF(L159:M159,"כן")+COUNTIF(L159:M159,"לא")),""))</f>
        <v/>
      </c>
      <c r="AG159" s="28" t="str">
        <f aca="false">IF($A159="","",IFERROR(COUNTIF(N159:O159,"כן")/(COUNTIF(N159:O159,"כן")+COUNTIF(N159:O159,"לא")),""))</f>
        <v/>
      </c>
      <c r="AH159" s="28" t="str">
        <f aca="false">IF($A159="","",IFERROR(COUNTIF(P159,"כן")/(COUNTIF(P159,"כן")+COUNTIF(P159,"לא")),""))</f>
        <v/>
      </c>
      <c r="AI159" s="28" t="str">
        <f aca="false">IF($A159="","",IFERROR(COUNTIF(Q159:R159,"כן")/(COUNTIF(Q159:R159,"כן")+COUNTIF(Q159:R159,"לא")),""))</f>
        <v/>
      </c>
      <c r="AJ159" s="28" t="str">
        <f aca="false">IF($A159="","",IFERROR(COUNTIF(S159:T159,"כן")/(COUNTIF(S159:T159,"כן")+COUNTIF(S159:T159,"לא")),""))</f>
        <v/>
      </c>
      <c r="AK159" s="28" t="str">
        <f aca="false">IF($A159="","",IFERROR(COUNTIF(L159:T159,"כן")/(COUNTIF(L159:T159,"כן")+COUNTIF(L159:T159,"לא")),""))</f>
        <v/>
      </c>
      <c r="AL159" s="36" t="str">
        <f aca="false">IF($A159="","",IFERROR(AVERAGE(U159:V159),""))</f>
        <v/>
      </c>
      <c r="AM159" s="36" t="str">
        <f aca="false">IF($A159="","",IFERROR(AVERAGE(W159:X159),""))</f>
        <v/>
      </c>
      <c r="AN159" s="36" t="str">
        <f aca="false">IF($A159="","",IFERROR(AVERAGE(Y159:Z159),""))</f>
        <v/>
      </c>
      <c r="AO159" s="36" t="str">
        <f aca="false">IF($A159="","",IFERROR(AVERAGE(AA159:AB159),""))</f>
        <v/>
      </c>
      <c r="AP159" s="36" t="str">
        <f aca="false">IF($A159="","",IFERROR(AVERAGE(AC159),""))</f>
        <v/>
      </c>
      <c r="AQ159" s="36" t="str">
        <f aca="false">IF($A159="","",IFERROR(AVERAGE(U159:AC159),""))</f>
        <v/>
      </c>
      <c r="AR159" s="27" t="str">
        <f aca="false">IF($A159="","",IF(AND(H159="",J159=""),"לא נבדק",IF(AND(OR(H159="",H159=I159),OR(J159="",J159=K159)),"תואם","לא תואם")))</f>
        <v/>
      </c>
      <c r="AS159" s="27" t="str">
        <f aca="false">IF($A159="","",IF(AND(AR159&lt;&gt;"לא תואם",G159&lt;&gt;"לא ברור"),"אמין","לפרש בזהירות"))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7" t="str">
        <f aca="false">IF($A160="","",$A160&amp;"|"&amp;$C160)</f>
        <v/>
      </c>
      <c r="AF160" s="28" t="str">
        <f aca="false">IF($A160="","",IFERROR(COUNTIF(L160:M160,"כן")/(COUNTIF(L160:M160,"כן")+COUNTIF(L160:M160,"לא")),""))</f>
        <v/>
      </c>
      <c r="AG160" s="28" t="str">
        <f aca="false">IF($A160="","",IFERROR(COUNTIF(N160:O160,"כן")/(COUNTIF(N160:O160,"כן")+COUNTIF(N160:O160,"לא")),""))</f>
        <v/>
      </c>
      <c r="AH160" s="28" t="str">
        <f aca="false">IF($A160="","",IFERROR(COUNTIF(P160,"כן")/(COUNTIF(P160,"כן")+COUNTIF(P160,"לא")),""))</f>
        <v/>
      </c>
      <c r="AI160" s="28" t="str">
        <f aca="false">IF($A160="","",IFERROR(COUNTIF(Q160:R160,"כן")/(COUNTIF(Q160:R160,"כן")+COUNTIF(Q160:R160,"לא")),""))</f>
        <v/>
      </c>
      <c r="AJ160" s="28" t="str">
        <f aca="false">IF($A160="","",IFERROR(COUNTIF(S160:T160,"כן")/(COUNTIF(S160:T160,"כן")+COUNTIF(S160:T160,"לא")),""))</f>
        <v/>
      </c>
      <c r="AK160" s="28" t="str">
        <f aca="false">IF($A160="","",IFERROR(COUNTIF(L160:T160,"כן")/(COUNTIF(L160:T160,"כן")+COUNTIF(L160:T160,"לא")),""))</f>
        <v/>
      </c>
      <c r="AL160" s="36" t="str">
        <f aca="false">IF($A160="","",IFERROR(AVERAGE(U160:V160),""))</f>
        <v/>
      </c>
      <c r="AM160" s="36" t="str">
        <f aca="false">IF($A160="","",IFERROR(AVERAGE(W160:X160),""))</f>
        <v/>
      </c>
      <c r="AN160" s="36" t="str">
        <f aca="false">IF($A160="","",IFERROR(AVERAGE(Y160:Z160),""))</f>
        <v/>
      </c>
      <c r="AO160" s="36" t="str">
        <f aca="false">IF($A160="","",IFERROR(AVERAGE(AA160:AB160),""))</f>
        <v/>
      </c>
      <c r="AP160" s="36" t="str">
        <f aca="false">IF($A160="","",IFERROR(AVERAGE(AC160),""))</f>
        <v/>
      </c>
      <c r="AQ160" s="36" t="str">
        <f aca="false">IF($A160="","",IFERROR(AVERAGE(U160:AC160),""))</f>
        <v/>
      </c>
      <c r="AR160" s="27" t="str">
        <f aca="false">IF($A160="","",IF(AND(H160="",J160=""),"לא נבדק",IF(AND(OR(H160="",H160=I160),OR(J160="",J160=K160)),"תואם","לא תואם")))</f>
        <v/>
      </c>
      <c r="AS160" s="27" t="str">
        <f aca="false">IF($A160="","",IF(AND(AR160&lt;&gt;"לא תואם",G160&lt;&gt;"לא ברור"),"אמין","לפרש בזהירות"))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7" t="str">
        <f aca="false">IF($A161="","",$A161&amp;"|"&amp;$C161)</f>
        <v/>
      </c>
      <c r="AF161" s="28" t="str">
        <f aca="false">IF($A161="","",IFERROR(COUNTIF(L161:M161,"כן")/(COUNTIF(L161:M161,"כן")+COUNTIF(L161:M161,"לא")),""))</f>
        <v/>
      </c>
      <c r="AG161" s="28" t="str">
        <f aca="false">IF($A161="","",IFERROR(COUNTIF(N161:O161,"כן")/(COUNTIF(N161:O161,"כן")+COUNTIF(N161:O161,"לא")),""))</f>
        <v/>
      </c>
      <c r="AH161" s="28" t="str">
        <f aca="false">IF($A161="","",IFERROR(COUNTIF(P161,"כן")/(COUNTIF(P161,"כן")+COUNTIF(P161,"לא")),""))</f>
        <v/>
      </c>
      <c r="AI161" s="28" t="str">
        <f aca="false">IF($A161="","",IFERROR(COUNTIF(Q161:R161,"כן")/(COUNTIF(Q161:R161,"כן")+COUNTIF(Q161:R161,"לא")),""))</f>
        <v/>
      </c>
      <c r="AJ161" s="28" t="str">
        <f aca="false">IF($A161="","",IFERROR(COUNTIF(S161:T161,"כן")/(COUNTIF(S161:T161,"כן")+COUNTIF(S161:T161,"לא")),""))</f>
        <v/>
      </c>
      <c r="AK161" s="28" t="str">
        <f aca="false">IF($A161="","",IFERROR(COUNTIF(L161:T161,"כן")/(COUNTIF(L161:T161,"כן")+COUNTIF(L161:T161,"לא")),""))</f>
        <v/>
      </c>
      <c r="AL161" s="36" t="str">
        <f aca="false">IF($A161="","",IFERROR(AVERAGE(U161:V161),""))</f>
        <v/>
      </c>
      <c r="AM161" s="36" t="str">
        <f aca="false">IF($A161="","",IFERROR(AVERAGE(W161:X161),""))</f>
        <v/>
      </c>
      <c r="AN161" s="36" t="str">
        <f aca="false">IF($A161="","",IFERROR(AVERAGE(Y161:Z161),""))</f>
        <v/>
      </c>
      <c r="AO161" s="36" t="str">
        <f aca="false">IF($A161="","",IFERROR(AVERAGE(AA161:AB161),""))</f>
        <v/>
      </c>
      <c r="AP161" s="36" t="str">
        <f aca="false">IF($A161="","",IFERROR(AVERAGE(AC161),""))</f>
        <v/>
      </c>
      <c r="AQ161" s="36" t="str">
        <f aca="false">IF($A161="","",IFERROR(AVERAGE(U161:AC161),""))</f>
        <v/>
      </c>
      <c r="AR161" s="27" t="str">
        <f aca="false">IF($A161="","",IF(AND(H161="",J161=""),"לא נבדק",IF(AND(OR(H161="",H161=I161),OR(J161="",J161=K161)),"תואם","לא תואם")))</f>
        <v/>
      </c>
      <c r="AS161" s="27" t="str">
        <f aca="false">IF($A161="","",IF(AND(AR161&lt;&gt;"לא תואם",G161&lt;&gt;"לא ברור"),"אמין","לפרש בזהירות"))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7" t="str">
        <f aca="false">IF($A162="","",$A162&amp;"|"&amp;$C162)</f>
        <v/>
      </c>
      <c r="AF162" s="28" t="str">
        <f aca="false">IF($A162="","",IFERROR(COUNTIF(L162:M162,"כן")/(COUNTIF(L162:M162,"כן")+COUNTIF(L162:M162,"לא")),""))</f>
        <v/>
      </c>
      <c r="AG162" s="28" t="str">
        <f aca="false">IF($A162="","",IFERROR(COUNTIF(N162:O162,"כן")/(COUNTIF(N162:O162,"כן")+COUNTIF(N162:O162,"לא")),""))</f>
        <v/>
      </c>
      <c r="AH162" s="28" t="str">
        <f aca="false">IF($A162="","",IFERROR(COUNTIF(P162,"כן")/(COUNTIF(P162,"כן")+COUNTIF(P162,"לא")),""))</f>
        <v/>
      </c>
      <c r="AI162" s="28" t="str">
        <f aca="false">IF($A162="","",IFERROR(COUNTIF(Q162:R162,"כן")/(COUNTIF(Q162:R162,"כן")+COUNTIF(Q162:R162,"לא")),""))</f>
        <v/>
      </c>
      <c r="AJ162" s="28" t="str">
        <f aca="false">IF($A162="","",IFERROR(COUNTIF(S162:T162,"כן")/(COUNTIF(S162:T162,"כן")+COUNTIF(S162:T162,"לא")),""))</f>
        <v/>
      </c>
      <c r="AK162" s="28" t="str">
        <f aca="false">IF($A162="","",IFERROR(COUNTIF(L162:T162,"כן")/(COUNTIF(L162:T162,"כן")+COUNTIF(L162:T162,"לא")),""))</f>
        <v/>
      </c>
      <c r="AL162" s="36" t="str">
        <f aca="false">IF($A162="","",IFERROR(AVERAGE(U162:V162),""))</f>
        <v/>
      </c>
      <c r="AM162" s="36" t="str">
        <f aca="false">IF($A162="","",IFERROR(AVERAGE(W162:X162),""))</f>
        <v/>
      </c>
      <c r="AN162" s="36" t="str">
        <f aca="false">IF($A162="","",IFERROR(AVERAGE(Y162:Z162),""))</f>
        <v/>
      </c>
      <c r="AO162" s="36" t="str">
        <f aca="false">IF($A162="","",IFERROR(AVERAGE(AA162:AB162),""))</f>
        <v/>
      </c>
      <c r="AP162" s="36" t="str">
        <f aca="false">IF($A162="","",IFERROR(AVERAGE(AC162),""))</f>
        <v/>
      </c>
      <c r="AQ162" s="36" t="str">
        <f aca="false">IF($A162="","",IFERROR(AVERAGE(U162:AC162),""))</f>
        <v/>
      </c>
      <c r="AR162" s="27" t="str">
        <f aca="false">IF($A162="","",IF(AND(H162="",J162=""),"לא נבדק",IF(AND(OR(H162="",H162=I162),OR(J162="",J162=K162)),"תואם","לא תואם")))</f>
        <v/>
      </c>
      <c r="AS162" s="27" t="str">
        <f aca="false">IF($A162="","",IF(AND(AR162&lt;&gt;"לא תואם",G162&lt;&gt;"לא ברור"),"אמין","לפרש בזהירות"))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7" t="str">
        <f aca="false">IF($A163="","",$A163&amp;"|"&amp;$C163)</f>
        <v/>
      </c>
      <c r="AF163" s="28" t="str">
        <f aca="false">IF($A163="","",IFERROR(COUNTIF(L163:M163,"כן")/(COUNTIF(L163:M163,"כן")+COUNTIF(L163:M163,"לא")),""))</f>
        <v/>
      </c>
      <c r="AG163" s="28" t="str">
        <f aca="false">IF($A163="","",IFERROR(COUNTIF(N163:O163,"כן")/(COUNTIF(N163:O163,"כן")+COUNTIF(N163:O163,"לא")),""))</f>
        <v/>
      </c>
      <c r="AH163" s="28" t="str">
        <f aca="false">IF($A163="","",IFERROR(COUNTIF(P163,"כן")/(COUNTIF(P163,"כן")+COUNTIF(P163,"לא")),""))</f>
        <v/>
      </c>
      <c r="AI163" s="28" t="str">
        <f aca="false">IF($A163="","",IFERROR(COUNTIF(Q163:R163,"כן")/(COUNTIF(Q163:R163,"כן")+COUNTIF(Q163:R163,"לא")),""))</f>
        <v/>
      </c>
      <c r="AJ163" s="28" t="str">
        <f aca="false">IF($A163="","",IFERROR(COUNTIF(S163:T163,"כן")/(COUNTIF(S163:T163,"כן")+COUNTIF(S163:T163,"לא")),""))</f>
        <v/>
      </c>
      <c r="AK163" s="28" t="str">
        <f aca="false">IF($A163="","",IFERROR(COUNTIF(L163:T163,"כן")/(COUNTIF(L163:T163,"כן")+COUNTIF(L163:T163,"לא")),""))</f>
        <v/>
      </c>
      <c r="AL163" s="36" t="str">
        <f aca="false">IF($A163="","",IFERROR(AVERAGE(U163:V163),""))</f>
        <v/>
      </c>
      <c r="AM163" s="36" t="str">
        <f aca="false">IF($A163="","",IFERROR(AVERAGE(W163:X163),""))</f>
        <v/>
      </c>
      <c r="AN163" s="36" t="str">
        <f aca="false">IF($A163="","",IFERROR(AVERAGE(Y163:Z163),""))</f>
        <v/>
      </c>
      <c r="AO163" s="36" t="str">
        <f aca="false">IF($A163="","",IFERROR(AVERAGE(AA163:AB163),""))</f>
        <v/>
      </c>
      <c r="AP163" s="36" t="str">
        <f aca="false">IF($A163="","",IFERROR(AVERAGE(AC163),""))</f>
        <v/>
      </c>
      <c r="AQ163" s="36" t="str">
        <f aca="false">IF($A163="","",IFERROR(AVERAGE(U163:AC163),""))</f>
        <v/>
      </c>
      <c r="AR163" s="27" t="str">
        <f aca="false">IF($A163="","",IF(AND(H163="",J163=""),"לא נבדק",IF(AND(OR(H163="",H163=I163),OR(J163="",J163=K163)),"תואם","לא תואם")))</f>
        <v/>
      </c>
      <c r="AS163" s="27" t="str">
        <f aca="false">IF($A163="","",IF(AND(AR163&lt;&gt;"לא תואם",G163&lt;&gt;"לא ברור"),"אמין","לפרש בזהירות"))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7" t="str">
        <f aca="false">IF($A164="","",$A164&amp;"|"&amp;$C164)</f>
        <v/>
      </c>
      <c r="AF164" s="28" t="str">
        <f aca="false">IF($A164="","",IFERROR(COUNTIF(L164:M164,"כן")/(COUNTIF(L164:M164,"כן")+COUNTIF(L164:M164,"לא")),""))</f>
        <v/>
      </c>
      <c r="AG164" s="28" t="str">
        <f aca="false">IF($A164="","",IFERROR(COUNTIF(N164:O164,"כן")/(COUNTIF(N164:O164,"כן")+COUNTIF(N164:O164,"לא")),""))</f>
        <v/>
      </c>
      <c r="AH164" s="28" t="str">
        <f aca="false">IF($A164="","",IFERROR(COUNTIF(P164,"כן")/(COUNTIF(P164,"כן")+COUNTIF(P164,"לא")),""))</f>
        <v/>
      </c>
      <c r="AI164" s="28" t="str">
        <f aca="false">IF($A164="","",IFERROR(COUNTIF(Q164:R164,"כן")/(COUNTIF(Q164:R164,"כן")+COUNTIF(Q164:R164,"לא")),""))</f>
        <v/>
      </c>
      <c r="AJ164" s="28" t="str">
        <f aca="false">IF($A164="","",IFERROR(COUNTIF(S164:T164,"כן")/(COUNTIF(S164:T164,"כן")+COUNTIF(S164:T164,"לא")),""))</f>
        <v/>
      </c>
      <c r="AK164" s="28" t="str">
        <f aca="false">IF($A164="","",IFERROR(COUNTIF(L164:T164,"כן")/(COUNTIF(L164:T164,"כן")+COUNTIF(L164:T164,"לא")),""))</f>
        <v/>
      </c>
      <c r="AL164" s="36" t="str">
        <f aca="false">IF($A164="","",IFERROR(AVERAGE(U164:V164),""))</f>
        <v/>
      </c>
      <c r="AM164" s="36" t="str">
        <f aca="false">IF($A164="","",IFERROR(AVERAGE(W164:X164),""))</f>
        <v/>
      </c>
      <c r="AN164" s="36" t="str">
        <f aca="false">IF($A164="","",IFERROR(AVERAGE(Y164:Z164),""))</f>
        <v/>
      </c>
      <c r="AO164" s="36" t="str">
        <f aca="false">IF($A164="","",IFERROR(AVERAGE(AA164:AB164),""))</f>
        <v/>
      </c>
      <c r="AP164" s="36" t="str">
        <f aca="false">IF($A164="","",IFERROR(AVERAGE(AC164),""))</f>
        <v/>
      </c>
      <c r="AQ164" s="36" t="str">
        <f aca="false">IF($A164="","",IFERROR(AVERAGE(U164:AC164),""))</f>
        <v/>
      </c>
      <c r="AR164" s="27" t="str">
        <f aca="false">IF($A164="","",IF(AND(H164="",J164=""),"לא נבדק",IF(AND(OR(H164="",H164=I164),OR(J164="",J164=K164)),"תואם","לא תואם")))</f>
        <v/>
      </c>
      <c r="AS164" s="27" t="str">
        <f aca="false">IF($A164="","",IF(AND(AR164&lt;&gt;"לא תואם",G164&lt;&gt;"לא ברור"),"אמין","לפרש בזהירות"))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7" t="str">
        <f aca="false">IF($A165="","",$A165&amp;"|"&amp;$C165)</f>
        <v/>
      </c>
      <c r="AF165" s="28" t="str">
        <f aca="false">IF($A165="","",IFERROR(COUNTIF(L165:M165,"כן")/(COUNTIF(L165:M165,"כן")+COUNTIF(L165:M165,"לא")),""))</f>
        <v/>
      </c>
      <c r="AG165" s="28" t="str">
        <f aca="false">IF($A165="","",IFERROR(COUNTIF(N165:O165,"כן")/(COUNTIF(N165:O165,"כן")+COUNTIF(N165:O165,"לא")),""))</f>
        <v/>
      </c>
      <c r="AH165" s="28" t="str">
        <f aca="false">IF($A165="","",IFERROR(COUNTIF(P165,"כן")/(COUNTIF(P165,"כן")+COUNTIF(P165,"לא")),""))</f>
        <v/>
      </c>
      <c r="AI165" s="28" t="str">
        <f aca="false">IF($A165="","",IFERROR(COUNTIF(Q165:R165,"כן")/(COUNTIF(Q165:R165,"כן")+COUNTIF(Q165:R165,"לא")),""))</f>
        <v/>
      </c>
      <c r="AJ165" s="28" t="str">
        <f aca="false">IF($A165="","",IFERROR(COUNTIF(S165:T165,"כן")/(COUNTIF(S165:T165,"כן")+COUNTIF(S165:T165,"לא")),""))</f>
        <v/>
      </c>
      <c r="AK165" s="28" t="str">
        <f aca="false">IF($A165="","",IFERROR(COUNTIF(L165:T165,"כן")/(COUNTIF(L165:T165,"כן")+COUNTIF(L165:T165,"לא")),""))</f>
        <v/>
      </c>
      <c r="AL165" s="36" t="str">
        <f aca="false">IF($A165="","",IFERROR(AVERAGE(U165:V165),""))</f>
        <v/>
      </c>
      <c r="AM165" s="36" t="str">
        <f aca="false">IF($A165="","",IFERROR(AVERAGE(W165:X165),""))</f>
        <v/>
      </c>
      <c r="AN165" s="36" t="str">
        <f aca="false">IF($A165="","",IFERROR(AVERAGE(Y165:Z165),""))</f>
        <v/>
      </c>
      <c r="AO165" s="36" t="str">
        <f aca="false">IF($A165="","",IFERROR(AVERAGE(AA165:AB165),""))</f>
        <v/>
      </c>
      <c r="AP165" s="36" t="str">
        <f aca="false">IF($A165="","",IFERROR(AVERAGE(AC165),""))</f>
        <v/>
      </c>
      <c r="AQ165" s="36" t="str">
        <f aca="false">IF($A165="","",IFERROR(AVERAGE(U165:AC165),""))</f>
        <v/>
      </c>
      <c r="AR165" s="27" t="str">
        <f aca="false">IF($A165="","",IF(AND(H165="",J165=""),"לא נבדק",IF(AND(OR(H165="",H165=I165),OR(J165="",J165=K165)),"תואם","לא תואם")))</f>
        <v/>
      </c>
      <c r="AS165" s="27" t="str">
        <f aca="false">IF($A165="","",IF(AND(AR165&lt;&gt;"לא תואם",G165&lt;&gt;"לא ברור"),"אמין","לפרש בזהירות"))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7" t="str">
        <f aca="false">IF($A166="","",$A166&amp;"|"&amp;$C166)</f>
        <v/>
      </c>
      <c r="AF166" s="28" t="str">
        <f aca="false">IF($A166="","",IFERROR(COUNTIF(L166:M166,"כן")/(COUNTIF(L166:M166,"כן")+COUNTIF(L166:M166,"לא")),""))</f>
        <v/>
      </c>
      <c r="AG166" s="28" t="str">
        <f aca="false">IF($A166="","",IFERROR(COUNTIF(N166:O166,"כן")/(COUNTIF(N166:O166,"כן")+COUNTIF(N166:O166,"לא")),""))</f>
        <v/>
      </c>
      <c r="AH166" s="28" t="str">
        <f aca="false">IF($A166="","",IFERROR(COUNTIF(P166,"כן")/(COUNTIF(P166,"כן")+COUNTIF(P166,"לא")),""))</f>
        <v/>
      </c>
      <c r="AI166" s="28" t="str">
        <f aca="false">IF($A166="","",IFERROR(COUNTIF(Q166:R166,"כן")/(COUNTIF(Q166:R166,"כן")+COUNTIF(Q166:R166,"לא")),""))</f>
        <v/>
      </c>
      <c r="AJ166" s="28" t="str">
        <f aca="false">IF($A166="","",IFERROR(COUNTIF(S166:T166,"כן")/(COUNTIF(S166:T166,"כן")+COUNTIF(S166:T166,"לא")),""))</f>
        <v/>
      </c>
      <c r="AK166" s="28" t="str">
        <f aca="false">IF($A166="","",IFERROR(COUNTIF(L166:T166,"כן")/(COUNTIF(L166:T166,"כן")+COUNTIF(L166:T166,"לא")),""))</f>
        <v/>
      </c>
      <c r="AL166" s="36" t="str">
        <f aca="false">IF($A166="","",IFERROR(AVERAGE(U166:V166),""))</f>
        <v/>
      </c>
      <c r="AM166" s="36" t="str">
        <f aca="false">IF($A166="","",IFERROR(AVERAGE(W166:X166),""))</f>
        <v/>
      </c>
      <c r="AN166" s="36" t="str">
        <f aca="false">IF($A166="","",IFERROR(AVERAGE(Y166:Z166),""))</f>
        <v/>
      </c>
      <c r="AO166" s="36" t="str">
        <f aca="false">IF($A166="","",IFERROR(AVERAGE(AA166:AB166),""))</f>
        <v/>
      </c>
      <c r="AP166" s="36" t="str">
        <f aca="false">IF($A166="","",IFERROR(AVERAGE(AC166),""))</f>
        <v/>
      </c>
      <c r="AQ166" s="36" t="str">
        <f aca="false">IF($A166="","",IFERROR(AVERAGE(U166:AC166),""))</f>
        <v/>
      </c>
      <c r="AR166" s="27" t="str">
        <f aca="false">IF($A166="","",IF(AND(H166="",J166=""),"לא נבדק",IF(AND(OR(H166="",H166=I166),OR(J166="",J166=K166)),"תואם","לא תואם")))</f>
        <v/>
      </c>
      <c r="AS166" s="27" t="str">
        <f aca="false">IF($A166="","",IF(AND(AR166&lt;&gt;"לא תואם",G166&lt;&gt;"לא ברור"),"אמין","לפרש בזהירות"))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7" t="str">
        <f aca="false">IF($A167="","",$A167&amp;"|"&amp;$C167)</f>
        <v/>
      </c>
      <c r="AF167" s="28" t="str">
        <f aca="false">IF($A167="","",IFERROR(COUNTIF(L167:M167,"כן")/(COUNTIF(L167:M167,"כן")+COUNTIF(L167:M167,"לא")),""))</f>
        <v/>
      </c>
      <c r="AG167" s="28" t="str">
        <f aca="false">IF($A167="","",IFERROR(COUNTIF(N167:O167,"כן")/(COUNTIF(N167:O167,"כן")+COUNTIF(N167:O167,"לא")),""))</f>
        <v/>
      </c>
      <c r="AH167" s="28" t="str">
        <f aca="false">IF($A167="","",IFERROR(COUNTIF(P167,"כן")/(COUNTIF(P167,"כן")+COUNTIF(P167,"לא")),""))</f>
        <v/>
      </c>
      <c r="AI167" s="28" t="str">
        <f aca="false">IF($A167="","",IFERROR(COUNTIF(Q167:R167,"כן")/(COUNTIF(Q167:R167,"כן")+COUNTIF(Q167:R167,"לא")),""))</f>
        <v/>
      </c>
      <c r="AJ167" s="28" t="str">
        <f aca="false">IF($A167="","",IFERROR(COUNTIF(S167:T167,"כן")/(COUNTIF(S167:T167,"כן")+COUNTIF(S167:T167,"לא")),""))</f>
        <v/>
      </c>
      <c r="AK167" s="28" t="str">
        <f aca="false">IF($A167="","",IFERROR(COUNTIF(L167:T167,"כן")/(COUNTIF(L167:T167,"כן")+COUNTIF(L167:T167,"לא")),""))</f>
        <v/>
      </c>
      <c r="AL167" s="36" t="str">
        <f aca="false">IF($A167="","",IFERROR(AVERAGE(U167:V167),""))</f>
        <v/>
      </c>
      <c r="AM167" s="36" t="str">
        <f aca="false">IF($A167="","",IFERROR(AVERAGE(W167:X167),""))</f>
        <v/>
      </c>
      <c r="AN167" s="36" t="str">
        <f aca="false">IF($A167="","",IFERROR(AVERAGE(Y167:Z167),""))</f>
        <v/>
      </c>
      <c r="AO167" s="36" t="str">
        <f aca="false">IF($A167="","",IFERROR(AVERAGE(AA167:AB167),""))</f>
        <v/>
      </c>
      <c r="AP167" s="36" t="str">
        <f aca="false">IF($A167="","",IFERROR(AVERAGE(AC167),""))</f>
        <v/>
      </c>
      <c r="AQ167" s="36" t="str">
        <f aca="false">IF($A167="","",IFERROR(AVERAGE(U167:AC167),""))</f>
        <v/>
      </c>
      <c r="AR167" s="27" t="str">
        <f aca="false">IF($A167="","",IF(AND(H167="",J167=""),"לא נבדק",IF(AND(OR(H167="",H167=I167),OR(J167="",J167=K167)),"תואם","לא תואם")))</f>
        <v/>
      </c>
      <c r="AS167" s="27" t="str">
        <f aca="false">IF($A167="","",IF(AND(AR167&lt;&gt;"לא תואם",G167&lt;&gt;"לא ברור"),"אמין","לפרש בזהירות"))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7" t="str">
        <f aca="false">IF($A168="","",$A168&amp;"|"&amp;$C168)</f>
        <v/>
      </c>
      <c r="AF168" s="28" t="str">
        <f aca="false">IF($A168="","",IFERROR(COUNTIF(L168:M168,"כן")/(COUNTIF(L168:M168,"כן")+COUNTIF(L168:M168,"לא")),""))</f>
        <v/>
      </c>
      <c r="AG168" s="28" t="str">
        <f aca="false">IF($A168="","",IFERROR(COUNTIF(N168:O168,"כן")/(COUNTIF(N168:O168,"כן")+COUNTIF(N168:O168,"לא")),""))</f>
        <v/>
      </c>
      <c r="AH168" s="28" t="str">
        <f aca="false">IF($A168="","",IFERROR(COUNTIF(P168,"כן")/(COUNTIF(P168,"כן")+COUNTIF(P168,"לא")),""))</f>
        <v/>
      </c>
      <c r="AI168" s="28" t="str">
        <f aca="false">IF($A168="","",IFERROR(COUNTIF(Q168:R168,"כן")/(COUNTIF(Q168:R168,"כן")+COUNTIF(Q168:R168,"לא")),""))</f>
        <v/>
      </c>
      <c r="AJ168" s="28" t="str">
        <f aca="false">IF($A168="","",IFERROR(COUNTIF(S168:T168,"כן")/(COUNTIF(S168:T168,"כן")+COUNTIF(S168:T168,"לא")),""))</f>
        <v/>
      </c>
      <c r="AK168" s="28" t="str">
        <f aca="false">IF($A168="","",IFERROR(COUNTIF(L168:T168,"כן")/(COUNTIF(L168:T168,"כן")+COUNTIF(L168:T168,"לא")),""))</f>
        <v/>
      </c>
      <c r="AL168" s="36" t="str">
        <f aca="false">IF($A168="","",IFERROR(AVERAGE(U168:V168),""))</f>
        <v/>
      </c>
      <c r="AM168" s="36" t="str">
        <f aca="false">IF($A168="","",IFERROR(AVERAGE(W168:X168),""))</f>
        <v/>
      </c>
      <c r="AN168" s="36" t="str">
        <f aca="false">IF($A168="","",IFERROR(AVERAGE(Y168:Z168),""))</f>
        <v/>
      </c>
      <c r="AO168" s="36" t="str">
        <f aca="false">IF($A168="","",IFERROR(AVERAGE(AA168:AB168),""))</f>
        <v/>
      </c>
      <c r="AP168" s="36" t="str">
        <f aca="false">IF($A168="","",IFERROR(AVERAGE(AC168),""))</f>
        <v/>
      </c>
      <c r="AQ168" s="36" t="str">
        <f aca="false">IF($A168="","",IFERROR(AVERAGE(U168:AC168),""))</f>
        <v/>
      </c>
      <c r="AR168" s="27" t="str">
        <f aca="false">IF($A168="","",IF(AND(H168="",J168=""),"לא נבדק",IF(AND(OR(H168="",H168=I168),OR(J168="",J168=K168)),"תואם","לא תואם")))</f>
        <v/>
      </c>
      <c r="AS168" s="27" t="str">
        <f aca="false">IF($A168="","",IF(AND(AR168&lt;&gt;"לא תואם",G168&lt;&gt;"לא ברור"),"אמין","לפרש בזהירות"))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7" t="str">
        <f aca="false">IF($A169="","",$A169&amp;"|"&amp;$C169)</f>
        <v/>
      </c>
      <c r="AF169" s="28" t="str">
        <f aca="false">IF($A169="","",IFERROR(COUNTIF(L169:M169,"כן")/(COUNTIF(L169:M169,"כן")+COUNTIF(L169:M169,"לא")),""))</f>
        <v/>
      </c>
      <c r="AG169" s="28" t="str">
        <f aca="false">IF($A169="","",IFERROR(COUNTIF(N169:O169,"כן")/(COUNTIF(N169:O169,"כן")+COUNTIF(N169:O169,"לא")),""))</f>
        <v/>
      </c>
      <c r="AH169" s="28" t="str">
        <f aca="false">IF($A169="","",IFERROR(COUNTIF(P169,"כן")/(COUNTIF(P169,"כן")+COUNTIF(P169,"לא")),""))</f>
        <v/>
      </c>
      <c r="AI169" s="28" t="str">
        <f aca="false">IF($A169="","",IFERROR(COUNTIF(Q169:R169,"כן")/(COUNTIF(Q169:R169,"כן")+COUNTIF(Q169:R169,"לא")),""))</f>
        <v/>
      </c>
      <c r="AJ169" s="28" t="str">
        <f aca="false">IF($A169="","",IFERROR(COUNTIF(S169:T169,"כן")/(COUNTIF(S169:T169,"כן")+COUNTIF(S169:T169,"לא")),""))</f>
        <v/>
      </c>
      <c r="AK169" s="28" t="str">
        <f aca="false">IF($A169="","",IFERROR(COUNTIF(L169:T169,"כן")/(COUNTIF(L169:T169,"כן")+COUNTIF(L169:T169,"לא")),""))</f>
        <v/>
      </c>
      <c r="AL169" s="36" t="str">
        <f aca="false">IF($A169="","",IFERROR(AVERAGE(U169:V169),""))</f>
        <v/>
      </c>
      <c r="AM169" s="36" t="str">
        <f aca="false">IF($A169="","",IFERROR(AVERAGE(W169:X169),""))</f>
        <v/>
      </c>
      <c r="AN169" s="36" t="str">
        <f aca="false">IF($A169="","",IFERROR(AVERAGE(Y169:Z169),""))</f>
        <v/>
      </c>
      <c r="AO169" s="36" t="str">
        <f aca="false">IF($A169="","",IFERROR(AVERAGE(AA169:AB169),""))</f>
        <v/>
      </c>
      <c r="AP169" s="36" t="str">
        <f aca="false">IF($A169="","",IFERROR(AVERAGE(AC169),""))</f>
        <v/>
      </c>
      <c r="AQ169" s="36" t="str">
        <f aca="false">IF($A169="","",IFERROR(AVERAGE(U169:AC169),""))</f>
        <v/>
      </c>
      <c r="AR169" s="27" t="str">
        <f aca="false">IF($A169="","",IF(AND(H169="",J169=""),"לא נבדק",IF(AND(OR(H169="",H169=I169),OR(J169="",J169=K169)),"תואם","לא תואם")))</f>
        <v/>
      </c>
      <c r="AS169" s="27" t="str">
        <f aca="false">IF($A169="","",IF(AND(AR169&lt;&gt;"לא תואם",G169&lt;&gt;"לא ברור"),"אמין","לפרש בזהירות"))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7" t="str">
        <f aca="false">IF($A170="","",$A170&amp;"|"&amp;$C170)</f>
        <v/>
      </c>
      <c r="AF170" s="28" t="str">
        <f aca="false">IF($A170="","",IFERROR(COUNTIF(L170:M170,"כן")/(COUNTIF(L170:M170,"כן")+COUNTIF(L170:M170,"לא")),""))</f>
        <v/>
      </c>
      <c r="AG170" s="28" t="str">
        <f aca="false">IF($A170="","",IFERROR(COUNTIF(N170:O170,"כן")/(COUNTIF(N170:O170,"כן")+COUNTIF(N170:O170,"לא")),""))</f>
        <v/>
      </c>
      <c r="AH170" s="28" t="str">
        <f aca="false">IF($A170="","",IFERROR(COUNTIF(P170,"כן")/(COUNTIF(P170,"כן")+COUNTIF(P170,"לא")),""))</f>
        <v/>
      </c>
      <c r="AI170" s="28" t="str">
        <f aca="false">IF($A170="","",IFERROR(COUNTIF(Q170:R170,"כן")/(COUNTIF(Q170:R170,"כן")+COUNTIF(Q170:R170,"לא")),""))</f>
        <v/>
      </c>
      <c r="AJ170" s="28" t="str">
        <f aca="false">IF($A170="","",IFERROR(COUNTIF(S170:T170,"כן")/(COUNTIF(S170:T170,"כן")+COUNTIF(S170:T170,"לא")),""))</f>
        <v/>
      </c>
      <c r="AK170" s="28" t="str">
        <f aca="false">IF($A170="","",IFERROR(COUNTIF(L170:T170,"כן")/(COUNTIF(L170:T170,"כן")+COUNTIF(L170:T170,"לא")),""))</f>
        <v/>
      </c>
      <c r="AL170" s="36" t="str">
        <f aca="false">IF($A170="","",IFERROR(AVERAGE(U170:V170),""))</f>
        <v/>
      </c>
      <c r="AM170" s="36" t="str">
        <f aca="false">IF($A170="","",IFERROR(AVERAGE(W170:X170),""))</f>
        <v/>
      </c>
      <c r="AN170" s="36" t="str">
        <f aca="false">IF($A170="","",IFERROR(AVERAGE(Y170:Z170),""))</f>
        <v/>
      </c>
      <c r="AO170" s="36" t="str">
        <f aca="false">IF($A170="","",IFERROR(AVERAGE(AA170:AB170),""))</f>
        <v/>
      </c>
      <c r="AP170" s="36" t="str">
        <f aca="false">IF($A170="","",IFERROR(AVERAGE(AC170),""))</f>
        <v/>
      </c>
      <c r="AQ170" s="36" t="str">
        <f aca="false">IF($A170="","",IFERROR(AVERAGE(U170:AC170),""))</f>
        <v/>
      </c>
      <c r="AR170" s="27" t="str">
        <f aca="false">IF($A170="","",IF(AND(H170="",J170=""),"לא נבדק",IF(AND(OR(H170="",H170=I170),OR(J170="",J170=K170)),"תואם","לא תואם")))</f>
        <v/>
      </c>
      <c r="AS170" s="27" t="str">
        <f aca="false">IF($A170="","",IF(AND(AR170&lt;&gt;"לא תואם",G170&lt;&gt;"לא ברור"),"אמין","לפרש בזהירות"))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7" t="str">
        <f aca="false">IF($A171="","",$A171&amp;"|"&amp;$C171)</f>
        <v/>
      </c>
      <c r="AF171" s="28" t="str">
        <f aca="false">IF($A171="","",IFERROR(COUNTIF(L171:M171,"כן")/(COUNTIF(L171:M171,"כן")+COUNTIF(L171:M171,"לא")),""))</f>
        <v/>
      </c>
      <c r="AG171" s="28" t="str">
        <f aca="false">IF($A171="","",IFERROR(COUNTIF(N171:O171,"כן")/(COUNTIF(N171:O171,"כן")+COUNTIF(N171:O171,"לא")),""))</f>
        <v/>
      </c>
      <c r="AH171" s="28" t="str">
        <f aca="false">IF($A171="","",IFERROR(COUNTIF(P171,"כן")/(COUNTIF(P171,"כן")+COUNTIF(P171,"לא")),""))</f>
        <v/>
      </c>
      <c r="AI171" s="28" t="str">
        <f aca="false">IF($A171="","",IFERROR(COUNTIF(Q171:R171,"כן")/(COUNTIF(Q171:R171,"כן")+COUNTIF(Q171:R171,"לא")),""))</f>
        <v/>
      </c>
      <c r="AJ171" s="28" t="str">
        <f aca="false">IF($A171="","",IFERROR(COUNTIF(S171:T171,"כן")/(COUNTIF(S171:T171,"כן")+COUNTIF(S171:T171,"לא")),""))</f>
        <v/>
      </c>
      <c r="AK171" s="28" t="str">
        <f aca="false">IF($A171="","",IFERROR(COUNTIF(L171:T171,"כן")/(COUNTIF(L171:T171,"כן")+COUNTIF(L171:T171,"לא")),""))</f>
        <v/>
      </c>
      <c r="AL171" s="36" t="str">
        <f aca="false">IF($A171="","",IFERROR(AVERAGE(U171:V171),""))</f>
        <v/>
      </c>
      <c r="AM171" s="36" t="str">
        <f aca="false">IF($A171="","",IFERROR(AVERAGE(W171:X171),""))</f>
        <v/>
      </c>
      <c r="AN171" s="36" t="str">
        <f aca="false">IF($A171="","",IFERROR(AVERAGE(Y171:Z171),""))</f>
        <v/>
      </c>
      <c r="AO171" s="36" t="str">
        <f aca="false">IF($A171="","",IFERROR(AVERAGE(AA171:AB171),""))</f>
        <v/>
      </c>
      <c r="AP171" s="36" t="str">
        <f aca="false">IF($A171="","",IFERROR(AVERAGE(AC171),""))</f>
        <v/>
      </c>
      <c r="AQ171" s="36" t="str">
        <f aca="false">IF($A171="","",IFERROR(AVERAGE(U171:AC171),""))</f>
        <v/>
      </c>
      <c r="AR171" s="27" t="str">
        <f aca="false">IF($A171="","",IF(AND(H171="",J171=""),"לא נבדק",IF(AND(OR(H171="",H171=I171),OR(J171="",J171=K171)),"תואם","לא תואם")))</f>
        <v/>
      </c>
      <c r="AS171" s="27" t="str">
        <f aca="false">IF($A171="","",IF(AND(AR171&lt;&gt;"לא תואם",G171&lt;&gt;"לא ברור"),"אמין","לפרש בזהירות"))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7" t="str">
        <f aca="false">IF($A172="","",$A172&amp;"|"&amp;$C172)</f>
        <v/>
      </c>
      <c r="AF172" s="28" t="str">
        <f aca="false">IF($A172="","",IFERROR(COUNTIF(L172:M172,"כן")/(COUNTIF(L172:M172,"כן")+COUNTIF(L172:M172,"לא")),""))</f>
        <v/>
      </c>
      <c r="AG172" s="28" t="str">
        <f aca="false">IF($A172="","",IFERROR(COUNTIF(N172:O172,"כן")/(COUNTIF(N172:O172,"כן")+COUNTIF(N172:O172,"לא")),""))</f>
        <v/>
      </c>
      <c r="AH172" s="28" t="str">
        <f aca="false">IF($A172="","",IFERROR(COUNTIF(P172,"כן")/(COUNTIF(P172,"כן")+COUNTIF(P172,"לא")),""))</f>
        <v/>
      </c>
      <c r="AI172" s="28" t="str">
        <f aca="false">IF($A172="","",IFERROR(COUNTIF(Q172:R172,"כן")/(COUNTIF(Q172:R172,"כן")+COUNTIF(Q172:R172,"לא")),""))</f>
        <v/>
      </c>
      <c r="AJ172" s="28" t="str">
        <f aca="false">IF($A172="","",IFERROR(COUNTIF(S172:T172,"כן")/(COUNTIF(S172:T172,"כן")+COUNTIF(S172:T172,"לא")),""))</f>
        <v/>
      </c>
      <c r="AK172" s="28" t="str">
        <f aca="false">IF($A172="","",IFERROR(COUNTIF(L172:T172,"כן")/(COUNTIF(L172:T172,"כן")+COUNTIF(L172:T172,"לא")),""))</f>
        <v/>
      </c>
      <c r="AL172" s="36" t="str">
        <f aca="false">IF($A172="","",IFERROR(AVERAGE(U172:V172),""))</f>
        <v/>
      </c>
      <c r="AM172" s="36" t="str">
        <f aca="false">IF($A172="","",IFERROR(AVERAGE(W172:X172),""))</f>
        <v/>
      </c>
      <c r="AN172" s="36" t="str">
        <f aca="false">IF($A172="","",IFERROR(AVERAGE(Y172:Z172),""))</f>
        <v/>
      </c>
      <c r="AO172" s="36" t="str">
        <f aca="false">IF($A172="","",IFERROR(AVERAGE(AA172:AB172),""))</f>
        <v/>
      </c>
      <c r="AP172" s="36" t="str">
        <f aca="false">IF($A172="","",IFERROR(AVERAGE(AC172),""))</f>
        <v/>
      </c>
      <c r="AQ172" s="36" t="str">
        <f aca="false">IF($A172="","",IFERROR(AVERAGE(U172:AC172),""))</f>
        <v/>
      </c>
      <c r="AR172" s="27" t="str">
        <f aca="false">IF($A172="","",IF(AND(H172="",J172=""),"לא נבדק",IF(AND(OR(H172="",H172=I172),OR(J172="",J172=K172)),"תואם","לא תואם")))</f>
        <v/>
      </c>
      <c r="AS172" s="27" t="str">
        <f aca="false">IF($A172="","",IF(AND(AR172&lt;&gt;"לא תואם",G172&lt;&gt;"לא ברור"),"אמין","לפרש בזהירות"))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7" t="str">
        <f aca="false">IF($A173="","",$A173&amp;"|"&amp;$C173)</f>
        <v/>
      </c>
      <c r="AF173" s="28" t="str">
        <f aca="false">IF($A173="","",IFERROR(COUNTIF(L173:M173,"כן")/(COUNTIF(L173:M173,"כן")+COUNTIF(L173:M173,"לא")),""))</f>
        <v/>
      </c>
      <c r="AG173" s="28" t="str">
        <f aca="false">IF($A173="","",IFERROR(COUNTIF(N173:O173,"כן")/(COUNTIF(N173:O173,"כן")+COUNTIF(N173:O173,"לא")),""))</f>
        <v/>
      </c>
      <c r="AH173" s="28" t="str">
        <f aca="false">IF($A173="","",IFERROR(COUNTIF(P173,"כן")/(COUNTIF(P173,"כן")+COUNTIF(P173,"לא")),""))</f>
        <v/>
      </c>
      <c r="AI173" s="28" t="str">
        <f aca="false">IF($A173="","",IFERROR(COUNTIF(Q173:R173,"כן")/(COUNTIF(Q173:R173,"כן")+COUNTIF(Q173:R173,"לא")),""))</f>
        <v/>
      </c>
      <c r="AJ173" s="28" t="str">
        <f aca="false">IF($A173="","",IFERROR(COUNTIF(S173:T173,"כן")/(COUNTIF(S173:T173,"כן")+COUNTIF(S173:T173,"לא")),""))</f>
        <v/>
      </c>
      <c r="AK173" s="28" t="str">
        <f aca="false">IF($A173="","",IFERROR(COUNTIF(L173:T173,"כן")/(COUNTIF(L173:T173,"כן")+COUNTIF(L173:T173,"לא")),""))</f>
        <v/>
      </c>
      <c r="AL173" s="36" t="str">
        <f aca="false">IF($A173="","",IFERROR(AVERAGE(U173:V173),""))</f>
        <v/>
      </c>
      <c r="AM173" s="36" t="str">
        <f aca="false">IF($A173="","",IFERROR(AVERAGE(W173:X173),""))</f>
        <v/>
      </c>
      <c r="AN173" s="36" t="str">
        <f aca="false">IF($A173="","",IFERROR(AVERAGE(Y173:Z173),""))</f>
        <v/>
      </c>
      <c r="AO173" s="36" t="str">
        <f aca="false">IF($A173="","",IFERROR(AVERAGE(AA173:AB173),""))</f>
        <v/>
      </c>
      <c r="AP173" s="36" t="str">
        <f aca="false">IF($A173="","",IFERROR(AVERAGE(AC173),""))</f>
        <v/>
      </c>
      <c r="AQ173" s="36" t="str">
        <f aca="false">IF($A173="","",IFERROR(AVERAGE(U173:AC173),""))</f>
        <v/>
      </c>
      <c r="AR173" s="27" t="str">
        <f aca="false">IF($A173="","",IF(AND(H173="",J173=""),"לא נבדק",IF(AND(OR(H173="",H173=I173),OR(J173="",J173=K173)),"תואם","לא תואם")))</f>
        <v/>
      </c>
      <c r="AS173" s="27" t="str">
        <f aca="false">IF($A173="","",IF(AND(AR173&lt;&gt;"לא תואם",G173&lt;&gt;"לא ברור"),"אמין","לפרש בזהירות"))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7" t="str">
        <f aca="false">IF($A174="","",$A174&amp;"|"&amp;$C174)</f>
        <v/>
      </c>
      <c r="AF174" s="28" t="str">
        <f aca="false">IF($A174="","",IFERROR(COUNTIF(L174:M174,"כן")/(COUNTIF(L174:M174,"כן")+COUNTIF(L174:M174,"לא")),""))</f>
        <v/>
      </c>
      <c r="AG174" s="28" t="str">
        <f aca="false">IF($A174="","",IFERROR(COUNTIF(N174:O174,"כן")/(COUNTIF(N174:O174,"כן")+COUNTIF(N174:O174,"לא")),""))</f>
        <v/>
      </c>
      <c r="AH174" s="28" t="str">
        <f aca="false">IF($A174="","",IFERROR(COUNTIF(P174,"כן")/(COUNTIF(P174,"כן")+COUNTIF(P174,"לא")),""))</f>
        <v/>
      </c>
      <c r="AI174" s="28" t="str">
        <f aca="false">IF($A174="","",IFERROR(COUNTIF(Q174:R174,"כן")/(COUNTIF(Q174:R174,"כן")+COUNTIF(Q174:R174,"לא")),""))</f>
        <v/>
      </c>
      <c r="AJ174" s="28" t="str">
        <f aca="false">IF($A174="","",IFERROR(COUNTIF(S174:T174,"כן")/(COUNTIF(S174:T174,"כן")+COUNTIF(S174:T174,"לא")),""))</f>
        <v/>
      </c>
      <c r="AK174" s="28" t="str">
        <f aca="false">IF($A174="","",IFERROR(COUNTIF(L174:T174,"כן")/(COUNTIF(L174:T174,"כן")+COUNTIF(L174:T174,"לא")),""))</f>
        <v/>
      </c>
      <c r="AL174" s="36" t="str">
        <f aca="false">IF($A174="","",IFERROR(AVERAGE(U174:V174),""))</f>
        <v/>
      </c>
      <c r="AM174" s="36" t="str">
        <f aca="false">IF($A174="","",IFERROR(AVERAGE(W174:X174),""))</f>
        <v/>
      </c>
      <c r="AN174" s="36" t="str">
        <f aca="false">IF($A174="","",IFERROR(AVERAGE(Y174:Z174),""))</f>
        <v/>
      </c>
      <c r="AO174" s="36" t="str">
        <f aca="false">IF($A174="","",IFERROR(AVERAGE(AA174:AB174),""))</f>
        <v/>
      </c>
      <c r="AP174" s="36" t="str">
        <f aca="false">IF($A174="","",IFERROR(AVERAGE(AC174),""))</f>
        <v/>
      </c>
      <c r="AQ174" s="36" t="str">
        <f aca="false">IF($A174="","",IFERROR(AVERAGE(U174:AC174),""))</f>
        <v/>
      </c>
      <c r="AR174" s="27" t="str">
        <f aca="false">IF($A174="","",IF(AND(H174="",J174=""),"לא נבדק",IF(AND(OR(H174="",H174=I174),OR(J174="",J174=K174)),"תואם","לא תואם")))</f>
        <v/>
      </c>
      <c r="AS174" s="27" t="str">
        <f aca="false">IF($A174="","",IF(AND(AR174&lt;&gt;"לא תואם",G174&lt;&gt;"לא ברור"),"אמין","לפרש בזהירות"))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7" t="str">
        <f aca="false">IF($A175="","",$A175&amp;"|"&amp;$C175)</f>
        <v/>
      </c>
      <c r="AF175" s="28" t="str">
        <f aca="false">IF($A175="","",IFERROR(COUNTIF(L175:M175,"כן")/(COUNTIF(L175:M175,"כן")+COUNTIF(L175:M175,"לא")),""))</f>
        <v/>
      </c>
      <c r="AG175" s="28" t="str">
        <f aca="false">IF($A175="","",IFERROR(COUNTIF(N175:O175,"כן")/(COUNTIF(N175:O175,"כן")+COUNTIF(N175:O175,"לא")),""))</f>
        <v/>
      </c>
      <c r="AH175" s="28" t="str">
        <f aca="false">IF($A175="","",IFERROR(COUNTIF(P175,"כן")/(COUNTIF(P175,"כן")+COUNTIF(P175,"לא")),""))</f>
        <v/>
      </c>
      <c r="AI175" s="28" t="str">
        <f aca="false">IF($A175="","",IFERROR(COUNTIF(Q175:R175,"כן")/(COUNTIF(Q175:R175,"כן")+COUNTIF(Q175:R175,"לא")),""))</f>
        <v/>
      </c>
      <c r="AJ175" s="28" t="str">
        <f aca="false">IF($A175="","",IFERROR(COUNTIF(S175:T175,"כן")/(COUNTIF(S175:T175,"כן")+COUNTIF(S175:T175,"לא")),""))</f>
        <v/>
      </c>
      <c r="AK175" s="28" t="str">
        <f aca="false">IF($A175="","",IFERROR(COUNTIF(L175:T175,"כן")/(COUNTIF(L175:T175,"כן")+COUNTIF(L175:T175,"לא")),""))</f>
        <v/>
      </c>
      <c r="AL175" s="36" t="str">
        <f aca="false">IF($A175="","",IFERROR(AVERAGE(U175:V175),""))</f>
        <v/>
      </c>
      <c r="AM175" s="36" t="str">
        <f aca="false">IF($A175="","",IFERROR(AVERAGE(W175:X175),""))</f>
        <v/>
      </c>
      <c r="AN175" s="36" t="str">
        <f aca="false">IF($A175="","",IFERROR(AVERAGE(Y175:Z175),""))</f>
        <v/>
      </c>
      <c r="AO175" s="36" t="str">
        <f aca="false">IF($A175="","",IFERROR(AVERAGE(AA175:AB175),""))</f>
        <v/>
      </c>
      <c r="AP175" s="36" t="str">
        <f aca="false">IF($A175="","",IFERROR(AVERAGE(AC175),""))</f>
        <v/>
      </c>
      <c r="AQ175" s="36" t="str">
        <f aca="false">IF($A175="","",IFERROR(AVERAGE(U175:AC175),""))</f>
        <v/>
      </c>
      <c r="AR175" s="27" t="str">
        <f aca="false">IF($A175="","",IF(AND(H175="",J175=""),"לא נבדק",IF(AND(OR(H175="",H175=I175),OR(J175="",J175=K175)),"תואם","לא תואם")))</f>
        <v/>
      </c>
      <c r="AS175" s="27" t="str">
        <f aca="false">IF($A175="","",IF(AND(AR175&lt;&gt;"לא תואם",G175&lt;&gt;"לא ברור"),"אמין","לפרש בזהירות"))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7" t="str">
        <f aca="false">IF($A176="","",$A176&amp;"|"&amp;$C176)</f>
        <v/>
      </c>
      <c r="AF176" s="28" t="str">
        <f aca="false">IF($A176="","",IFERROR(COUNTIF(L176:M176,"כן")/(COUNTIF(L176:M176,"כן")+COUNTIF(L176:M176,"לא")),""))</f>
        <v/>
      </c>
      <c r="AG176" s="28" t="str">
        <f aca="false">IF($A176="","",IFERROR(COUNTIF(N176:O176,"כן")/(COUNTIF(N176:O176,"כן")+COUNTIF(N176:O176,"לא")),""))</f>
        <v/>
      </c>
      <c r="AH176" s="28" t="str">
        <f aca="false">IF($A176="","",IFERROR(COUNTIF(P176,"כן")/(COUNTIF(P176,"כן")+COUNTIF(P176,"לא")),""))</f>
        <v/>
      </c>
      <c r="AI176" s="28" t="str">
        <f aca="false">IF($A176="","",IFERROR(COUNTIF(Q176:R176,"כן")/(COUNTIF(Q176:R176,"כן")+COUNTIF(Q176:R176,"לא")),""))</f>
        <v/>
      </c>
      <c r="AJ176" s="28" t="str">
        <f aca="false">IF($A176="","",IFERROR(COUNTIF(S176:T176,"כן")/(COUNTIF(S176:T176,"כן")+COUNTIF(S176:T176,"לא")),""))</f>
        <v/>
      </c>
      <c r="AK176" s="28" t="str">
        <f aca="false">IF($A176="","",IFERROR(COUNTIF(L176:T176,"כן")/(COUNTIF(L176:T176,"כן")+COUNTIF(L176:T176,"לא")),""))</f>
        <v/>
      </c>
      <c r="AL176" s="36" t="str">
        <f aca="false">IF($A176="","",IFERROR(AVERAGE(U176:V176),""))</f>
        <v/>
      </c>
      <c r="AM176" s="36" t="str">
        <f aca="false">IF($A176="","",IFERROR(AVERAGE(W176:X176),""))</f>
        <v/>
      </c>
      <c r="AN176" s="36" t="str">
        <f aca="false">IF($A176="","",IFERROR(AVERAGE(Y176:Z176),""))</f>
        <v/>
      </c>
      <c r="AO176" s="36" t="str">
        <f aca="false">IF($A176="","",IFERROR(AVERAGE(AA176:AB176),""))</f>
        <v/>
      </c>
      <c r="AP176" s="36" t="str">
        <f aca="false">IF($A176="","",IFERROR(AVERAGE(AC176),""))</f>
        <v/>
      </c>
      <c r="AQ176" s="36" t="str">
        <f aca="false">IF($A176="","",IFERROR(AVERAGE(U176:AC176),""))</f>
        <v/>
      </c>
      <c r="AR176" s="27" t="str">
        <f aca="false">IF($A176="","",IF(AND(H176="",J176=""),"לא נבדק",IF(AND(OR(H176="",H176=I176),OR(J176="",J176=K176)),"תואם","לא תואם")))</f>
        <v/>
      </c>
      <c r="AS176" s="27" t="str">
        <f aca="false">IF($A176="","",IF(AND(AR176&lt;&gt;"לא תואם",G176&lt;&gt;"לא ברור"),"אמין","לפרש בזהירות"))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7" t="str">
        <f aca="false">IF($A177="","",$A177&amp;"|"&amp;$C177)</f>
        <v/>
      </c>
      <c r="AF177" s="28" t="str">
        <f aca="false">IF($A177="","",IFERROR(COUNTIF(L177:M177,"כן")/(COUNTIF(L177:M177,"כן")+COUNTIF(L177:M177,"לא")),""))</f>
        <v/>
      </c>
      <c r="AG177" s="28" t="str">
        <f aca="false">IF($A177="","",IFERROR(COUNTIF(N177:O177,"כן")/(COUNTIF(N177:O177,"כן")+COUNTIF(N177:O177,"לא")),""))</f>
        <v/>
      </c>
      <c r="AH177" s="28" t="str">
        <f aca="false">IF($A177="","",IFERROR(COUNTIF(P177,"כן")/(COUNTIF(P177,"כן")+COUNTIF(P177,"לא")),""))</f>
        <v/>
      </c>
      <c r="AI177" s="28" t="str">
        <f aca="false">IF($A177="","",IFERROR(COUNTIF(Q177:R177,"כן")/(COUNTIF(Q177:R177,"כן")+COUNTIF(Q177:R177,"לא")),""))</f>
        <v/>
      </c>
      <c r="AJ177" s="28" t="str">
        <f aca="false">IF($A177="","",IFERROR(COUNTIF(S177:T177,"כן")/(COUNTIF(S177:T177,"כן")+COUNTIF(S177:T177,"לא")),""))</f>
        <v/>
      </c>
      <c r="AK177" s="28" t="str">
        <f aca="false">IF($A177="","",IFERROR(COUNTIF(L177:T177,"כן")/(COUNTIF(L177:T177,"כן")+COUNTIF(L177:T177,"לא")),""))</f>
        <v/>
      </c>
      <c r="AL177" s="36" t="str">
        <f aca="false">IF($A177="","",IFERROR(AVERAGE(U177:V177),""))</f>
        <v/>
      </c>
      <c r="AM177" s="36" t="str">
        <f aca="false">IF($A177="","",IFERROR(AVERAGE(W177:X177),""))</f>
        <v/>
      </c>
      <c r="AN177" s="36" t="str">
        <f aca="false">IF($A177="","",IFERROR(AVERAGE(Y177:Z177),""))</f>
        <v/>
      </c>
      <c r="AO177" s="36" t="str">
        <f aca="false">IF($A177="","",IFERROR(AVERAGE(AA177:AB177),""))</f>
        <v/>
      </c>
      <c r="AP177" s="36" t="str">
        <f aca="false">IF($A177="","",IFERROR(AVERAGE(AC177),""))</f>
        <v/>
      </c>
      <c r="AQ177" s="36" t="str">
        <f aca="false">IF($A177="","",IFERROR(AVERAGE(U177:AC177),""))</f>
        <v/>
      </c>
      <c r="AR177" s="27" t="str">
        <f aca="false">IF($A177="","",IF(AND(H177="",J177=""),"לא נבדק",IF(AND(OR(H177="",H177=I177),OR(J177="",J177=K177)),"תואם","לא תואם")))</f>
        <v/>
      </c>
      <c r="AS177" s="27" t="str">
        <f aca="false">IF($A177="","",IF(AND(AR177&lt;&gt;"לא תואם",G177&lt;&gt;"לא ברור"),"אמין","לפרש בזהירות"))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7" t="str">
        <f aca="false">IF($A178="","",$A178&amp;"|"&amp;$C178)</f>
        <v/>
      </c>
      <c r="AF178" s="28" t="str">
        <f aca="false">IF($A178="","",IFERROR(COUNTIF(L178:M178,"כן")/(COUNTIF(L178:M178,"כן")+COUNTIF(L178:M178,"לא")),""))</f>
        <v/>
      </c>
      <c r="AG178" s="28" t="str">
        <f aca="false">IF($A178="","",IFERROR(COUNTIF(N178:O178,"כן")/(COUNTIF(N178:O178,"כן")+COUNTIF(N178:O178,"לא")),""))</f>
        <v/>
      </c>
      <c r="AH178" s="28" t="str">
        <f aca="false">IF($A178="","",IFERROR(COUNTIF(P178,"כן")/(COUNTIF(P178,"כן")+COUNTIF(P178,"לא")),""))</f>
        <v/>
      </c>
      <c r="AI178" s="28" t="str">
        <f aca="false">IF($A178="","",IFERROR(COUNTIF(Q178:R178,"כן")/(COUNTIF(Q178:R178,"כן")+COUNTIF(Q178:R178,"לא")),""))</f>
        <v/>
      </c>
      <c r="AJ178" s="28" t="str">
        <f aca="false">IF($A178="","",IFERROR(COUNTIF(S178:T178,"כן")/(COUNTIF(S178:T178,"כן")+COUNTIF(S178:T178,"לא")),""))</f>
        <v/>
      </c>
      <c r="AK178" s="28" t="str">
        <f aca="false">IF($A178="","",IFERROR(COUNTIF(L178:T178,"כן")/(COUNTIF(L178:T178,"כן")+COUNTIF(L178:T178,"לא")),""))</f>
        <v/>
      </c>
      <c r="AL178" s="36" t="str">
        <f aca="false">IF($A178="","",IFERROR(AVERAGE(U178:V178),""))</f>
        <v/>
      </c>
      <c r="AM178" s="36" t="str">
        <f aca="false">IF($A178="","",IFERROR(AVERAGE(W178:X178),""))</f>
        <v/>
      </c>
      <c r="AN178" s="36" t="str">
        <f aca="false">IF($A178="","",IFERROR(AVERAGE(Y178:Z178),""))</f>
        <v/>
      </c>
      <c r="AO178" s="36" t="str">
        <f aca="false">IF($A178="","",IFERROR(AVERAGE(AA178:AB178),""))</f>
        <v/>
      </c>
      <c r="AP178" s="36" t="str">
        <f aca="false">IF($A178="","",IFERROR(AVERAGE(AC178),""))</f>
        <v/>
      </c>
      <c r="AQ178" s="36" t="str">
        <f aca="false">IF($A178="","",IFERROR(AVERAGE(U178:AC178),""))</f>
        <v/>
      </c>
      <c r="AR178" s="27" t="str">
        <f aca="false">IF($A178="","",IF(AND(H178="",J178=""),"לא נבדק",IF(AND(OR(H178="",H178=I178),OR(J178="",J178=K178)),"תואם","לא תואם")))</f>
        <v/>
      </c>
      <c r="AS178" s="27" t="str">
        <f aca="false">IF($A178="","",IF(AND(AR178&lt;&gt;"לא תואם",G178&lt;&gt;"לא ברור"),"אמין","לפרש בזהירות"))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7" t="str">
        <f aca="false">IF($A179="","",$A179&amp;"|"&amp;$C179)</f>
        <v/>
      </c>
      <c r="AF179" s="28" t="str">
        <f aca="false">IF($A179="","",IFERROR(COUNTIF(L179:M179,"כן")/(COUNTIF(L179:M179,"כן")+COUNTIF(L179:M179,"לא")),""))</f>
        <v/>
      </c>
      <c r="AG179" s="28" t="str">
        <f aca="false">IF($A179="","",IFERROR(COUNTIF(N179:O179,"כן")/(COUNTIF(N179:O179,"כן")+COUNTIF(N179:O179,"לא")),""))</f>
        <v/>
      </c>
      <c r="AH179" s="28" t="str">
        <f aca="false">IF($A179="","",IFERROR(COUNTIF(P179,"כן")/(COUNTIF(P179,"כן")+COUNTIF(P179,"לא")),""))</f>
        <v/>
      </c>
      <c r="AI179" s="28" t="str">
        <f aca="false">IF($A179="","",IFERROR(COUNTIF(Q179:R179,"כן")/(COUNTIF(Q179:R179,"כן")+COUNTIF(Q179:R179,"לא")),""))</f>
        <v/>
      </c>
      <c r="AJ179" s="28" t="str">
        <f aca="false">IF($A179="","",IFERROR(COUNTIF(S179:T179,"כן")/(COUNTIF(S179:T179,"כן")+COUNTIF(S179:T179,"לא")),""))</f>
        <v/>
      </c>
      <c r="AK179" s="28" t="str">
        <f aca="false">IF($A179="","",IFERROR(COUNTIF(L179:T179,"כן")/(COUNTIF(L179:T179,"כן")+COUNTIF(L179:T179,"לא")),""))</f>
        <v/>
      </c>
      <c r="AL179" s="36" t="str">
        <f aca="false">IF($A179="","",IFERROR(AVERAGE(U179:V179),""))</f>
        <v/>
      </c>
      <c r="AM179" s="36" t="str">
        <f aca="false">IF($A179="","",IFERROR(AVERAGE(W179:X179),""))</f>
        <v/>
      </c>
      <c r="AN179" s="36" t="str">
        <f aca="false">IF($A179="","",IFERROR(AVERAGE(Y179:Z179),""))</f>
        <v/>
      </c>
      <c r="AO179" s="36" t="str">
        <f aca="false">IF($A179="","",IFERROR(AVERAGE(AA179:AB179),""))</f>
        <v/>
      </c>
      <c r="AP179" s="36" t="str">
        <f aca="false">IF($A179="","",IFERROR(AVERAGE(AC179),""))</f>
        <v/>
      </c>
      <c r="AQ179" s="36" t="str">
        <f aca="false">IF($A179="","",IFERROR(AVERAGE(U179:AC179),""))</f>
        <v/>
      </c>
      <c r="AR179" s="27" t="str">
        <f aca="false">IF($A179="","",IF(AND(H179="",J179=""),"לא נבדק",IF(AND(OR(H179="",H179=I179),OR(J179="",J179=K179)),"תואם","לא תואם")))</f>
        <v/>
      </c>
      <c r="AS179" s="27" t="str">
        <f aca="false">IF($A179="","",IF(AND(AR179&lt;&gt;"לא תואם",G179&lt;&gt;"לא ברור"),"אמין","לפרש בזהירות"))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7" t="str">
        <f aca="false">IF($A180="","",$A180&amp;"|"&amp;$C180)</f>
        <v/>
      </c>
      <c r="AF180" s="28" t="str">
        <f aca="false">IF($A180="","",IFERROR(COUNTIF(L180:M180,"כן")/(COUNTIF(L180:M180,"כן")+COUNTIF(L180:M180,"לא")),""))</f>
        <v/>
      </c>
      <c r="AG180" s="28" t="str">
        <f aca="false">IF($A180="","",IFERROR(COUNTIF(N180:O180,"כן")/(COUNTIF(N180:O180,"כן")+COUNTIF(N180:O180,"לא")),""))</f>
        <v/>
      </c>
      <c r="AH180" s="28" t="str">
        <f aca="false">IF($A180="","",IFERROR(COUNTIF(P180,"כן")/(COUNTIF(P180,"כן")+COUNTIF(P180,"לא")),""))</f>
        <v/>
      </c>
      <c r="AI180" s="28" t="str">
        <f aca="false">IF($A180="","",IFERROR(COUNTIF(Q180:R180,"כן")/(COUNTIF(Q180:R180,"כן")+COUNTIF(Q180:R180,"לא")),""))</f>
        <v/>
      </c>
      <c r="AJ180" s="28" t="str">
        <f aca="false">IF($A180="","",IFERROR(COUNTIF(S180:T180,"כן")/(COUNTIF(S180:T180,"כן")+COUNTIF(S180:T180,"לא")),""))</f>
        <v/>
      </c>
      <c r="AK180" s="28" t="str">
        <f aca="false">IF($A180="","",IFERROR(COUNTIF(L180:T180,"כן")/(COUNTIF(L180:T180,"כן")+COUNTIF(L180:T180,"לא")),""))</f>
        <v/>
      </c>
      <c r="AL180" s="36" t="str">
        <f aca="false">IF($A180="","",IFERROR(AVERAGE(U180:V180),""))</f>
        <v/>
      </c>
      <c r="AM180" s="36" t="str">
        <f aca="false">IF($A180="","",IFERROR(AVERAGE(W180:X180),""))</f>
        <v/>
      </c>
      <c r="AN180" s="36" t="str">
        <f aca="false">IF($A180="","",IFERROR(AVERAGE(Y180:Z180),""))</f>
        <v/>
      </c>
      <c r="AO180" s="36" t="str">
        <f aca="false">IF($A180="","",IFERROR(AVERAGE(AA180:AB180),""))</f>
        <v/>
      </c>
      <c r="AP180" s="36" t="str">
        <f aca="false">IF($A180="","",IFERROR(AVERAGE(AC180),""))</f>
        <v/>
      </c>
      <c r="AQ180" s="36" t="str">
        <f aca="false">IF($A180="","",IFERROR(AVERAGE(U180:AC180),""))</f>
        <v/>
      </c>
      <c r="AR180" s="27" t="str">
        <f aca="false">IF($A180="","",IF(AND(H180="",J180=""),"לא נבדק",IF(AND(OR(H180="",H180=I180),OR(J180="",J180=K180)),"תואם","לא תואם")))</f>
        <v/>
      </c>
      <c r="AS180" s="27" t="str">
        <f aca="false">IF($A180="","",IF(AND(AR180&lt;&gt;"לא תואם",G180&lt;&gt;"לא ברור"),"אמין","לפרש בזהירות"))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7" t="str">
        <f aca="false">IF($A181="","",$A181&amp;"|"&amp;$C181)</f>
        <v/>
      </c>
      <c r="AF181" s="28" t="str">
        <f aca="false">IF($A181="","",IFERROR(COUNTIF(L181:M181,"כן")/(COUNTIF(L181:M181,"כן")+COUNTIF(L181:M181,"לא")),""))</f>
        <v/>
      </c>
      <c r="AG181" s="28" t="str">
        <f aca="false">IF($A181="","",IFERROR(COUNTIF(N181:O181,"כן")/(COUNTIF(N181:O181,"כן")+COUNTIF(N181:O181,"לא")),""))</f>
        <v/>
      </c>
      <c r="AH181" s="28" t="str">
        <f aca="false">IF($A181="","",IFERROR(COUNTIF(P181,"כן")/(COUNTIF(P181,"כן")+COUNTIF(P181,"לא")),""))</f>
        <v/>
      </c>
      <c r="AI181" s="28" t="str">
        <f aca="false">IF($A181="","",IFERROR(COUNTIF(Q181:R181,"כן")/(COUNTIF(Q181:R181,"כן")+COUNTIF(Q181:R181,"לא")),""))</f>
        <v/>
      </c>
      <c r="AJ181" s="28" t="str">
        <f aca="false">IF($A181="","",IFERROR(COUNTIF(S181:T181,"כן")/(COUNTIF(S181:T181,"כן")+COUNTIF(S181:T181,"לא")),""))</f>
        <v/>
      </c>
      <c r="AK181" s="28" t="str">
        <f aca="false">IF($A181="","",IFERROR(COUNTIF(L181:T181,"כן")/(COUNTIF(L181:T181,"כן")+COUNTIF(L181:T181,"לא")),""))</f>
        <v/>
      </c>
      <c r="AL181" s="36" t="str">
        <f aca="false">IF($A181="","",IFERROR(AVERAGE(U181:V181),""))</f>
        <v/>
      </c>
      <c r="AM181" s="36" t="str">
        <f aca="false">IF($A181="","",IFERROR(AVERAGE(W181:X181),""))</f>
        <v/>
      </c>
      <c r="AN181" s="36" t="str">
        <f aca="false">IF($A181="","",IFERROR(AVERAGE(Y181:Z181),""))</f>
        <v/>
      </c>
      <c r="AO181" s="36" t="str">
        <f aca="false">IF($A181="","",IFERROR(AVERAGE(AA181:AB181),""))</f>
        <v/>
      </c>
      <c r="AP181" s="36" t="str">
        <f aca="false">IF($A181="","",IFERROR(AVERAGE(AC181),""))</f>
        <v/>
      </c>
      <c r="AQ181" s="36" t="str">
        <f aca="false">IF($A181="","",IFERROR(AVERAGE(U181:AC181),""))</f>
        <v/>
      </c>
      <c r="AR181" s="27" t="str">
        <f aca="false">IF($A181="","",IF(AND(H181="",J181=""),"לא נבדק",IF(AND(OR(H181="",H181=I181),OR(J181="",J181=K181)),"תואם","לא תואם")))</f>
        <v/>
      </c>
      <c r="AS181" s="27" t="str">
        <f aca="false">IF($A181="","",IF(AND(AR181&lt;&gt;"לא תואם",G181&lt;&gt;"לא ברור"),"אמין","לפרש בזהירות"))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7" t="str">
        <f aca="false">IF($A182="","",$A182&amp;"|"&amp;$C182)</f>
        <v/>
      </c>
      <c r="AF182" s="28" t="str">
        <f aca="false">IF($A182="","",IFERROR(COUNTIF(L182:M182,"כן")/(COUNTIF(L182:M182,"כן")+COUNTIF(L182:M182,"לא")),""))</f>
        <v/>
      </c>
      <c r="AG182" s="28" t="str">
        <f aca="false">IF($A182="","",IFERROR(COUNTIF(N182:O182,"כן")/(COUNTIF(N182:O182,"כן")+COUNTIF(N182:O182,"לא")),""))</f>
        <v/>
      </c>
      <c r="AH182" s="28" t="str">
        <f aca="false">IF($A182="","",IFERROR(COUNTIF(P182,"כן")/(COUNTIF(P182,"כן")+COUNTIF(P182,"לא")),""))</f>
        <v/>
      </c>
      <c r="AI182" s="28" t="str">
        <f aca="false">IF($A182="","",IFERROR(COUNTIF(Q182:R182,"כן")/(COUNTIF(Q182:R182,"כן")+COUNTIF(Q182:R182,"לא")),""))</f>
        <v/>
      </c>
      <c r="AJ182" s="28" t="str">
        <f aca="false">IF($A182="","",IFERROR(COUNTIF(S182:T182,"כן")/(COUNTIF(S182:T182,"כן")+COUNTIF(S182:T182,"לא")),""))</f>
        <v/>
      </c>
      <c r="AK182" s="28" t="str">
        <f aca="false">IF($A182="","",IFERROR(COUNTIF(L182:T182,"כן")/(COUNTIF(L182:T182,"כן")+COUNTIF(L182:T182,"לא")),""))</f>
        <v/>
      </c>
      <c r="AL182" s="36" t="str">
        <f aca="false">IF($A182="","",IFERROR(AVERAGE(U182:V182),""))</f>
        <v/>
      </c>
      <c r="AM182" s="36" t="str">
        <f aca="false">IF($A182="","",IFERROR(AVERAGE(W182:X182),""))</f>
        <v/>
      </c>
      <c r="AN182" s="36" t="str">
        <f aca="false">IF($A182="","",IFERROR(AVERAGE(Y182:Z182),""))</f>
        <v/>
      </c>
      <c r="AO182" s="36" t="str">
        <f aca="false">IF($A182="","",IFERROR(AVERAGE(AA182:AB182),""))</f>
        <v/>
      </c>
      <c r="AP182" s="36" t="str">
        <f aca="false">IF($A182="","",IFERROR(AVERAGE(AC182),""))</f>
        <v/>
      </c>
      <c r="AQ182" s="36" t="str">
        <f aca="false">IF($A182="","",IFERROR(AVERAGE(U182:AC182),""))</f>
        <v/>
      </c>
      <c r="AR182" s="27" t="str">
        <f aca="false">IF($A182="","",IF(AND(H182="",J182=""),"לא נבדק",IF(AND(OR(H182="",H182=I182),OR(J182="",J182=K182)),"תואם","לא תואם")))</f>
        <v/>
      </c>
      <c r="AS182" s="27" t="str">
        <f aca="false">IF($A182="","",IF(AND(AR182&lt;&gt;"לא תואם",G182&lt;&gt;"לא ברור"),"אמין","לפרש בזהירות"))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7" t="str">
        <f aca="false">IF($A183="","",$A183&amp;"|"&amp;$C183)</f>
        <v/>
      </c>
      <c r="AF183" s="28" t="str">
        <f aca="false">IF($A183="","",IFERROR(COUNTIF(L183:M183,"כן")/(COUNTIF(L183:M183,"כן")+COUNTIF(L183:M183,"לא")),""))</f>
        <v/>
      </c>
      <c r="AG183" s="28" t="str">
        <f aca="false">IF($A183="","",IFERROR(COUNTIF(N183:O183,"כן")/(COUNTIF(N183:O183,"כן")+COUNTIF(N183:O183,"לא")),""))</f>
        <v/>
      </c>
      <c r="AH183" s="28" t="str">
        <f aca="false">IF($A183="","",IFERROR(COUNTIF(P183,"כן")/(COUNTIF(P183,"כן")+COUNTIF(P183,"לא")),""))</f>
        <v/>
      </c>
      <c r="AI183" s="28" t="str">
        <f aca="false">IF($A183="","",IFERROR(COUNTIF(Q183:R183,"כן")/(COUNTIF(Q183:R183,"כן")+COUNTIF(Q183:R183,"לא")),""))</f>
        <v/>
      </c>
      <c r="AJ183" s="28" t="str">
        <f aca="false">IF($A183="","",IFERROR(COUNTIF(S183:T183,"כן")/(COUNTIF(S183:T183,"כן")+COUNTIF(S183:T183,"לא")),""))</f>
        <v/>
      </c>
      <c r="AK183" s="28" t="str">
        <f aca="false">IF($A183="","",IFERROR(COUNTIF(L183:T183,"כן")/(COUNTIF(L183:T183,"כן")+COUNTIF(L183:T183,"לא")),""))</f>
        <v/>
      </c>
      <c r="AL183" s="36" t="str">
        <f aca="false">IF($A183="","",IFERROR(AVERAGE(U183:V183),""))</f>
        <v/>
      </c>
      <c r="AM183" s="36" t="str">
        <f aca="false">IF($A183="","",IFERROR(AVERAGE(W183:X183),""))</f>
        <v/>
      </c>
      <c r="AN183" s="36" t="str">
        <f aca="false">IF($A183="","",IFERROR(AVERAGE(Y183:Z183),""))</f>
        <v/>
      </c>
      <c r="AO183" s="36" t="str">
        <f aca="false">IF($A183="","",IFERROR(AVERAGE(AA183:AB183),""))</f>
        <v/>
      </c>
      <c r="AP183" s="36" t="str">
        <f aca="false">IF($A183="","",IFERROR(AVERAGE(AC183),""))</f>
        <v/>
      </c>
      <c r="AQ183" s="36" t="str">
        <f aca="false">IF($A183="","",IFERROR(AVERAGE(U183:AC183),""))</f>
        <v/>
      </c>
      <c r="AR183" s="27" t="str">
        <f aca="false">IF($A183="","",IF(AND(H183="",J183=""),"לא נבדק",IF(AND(OR(H183="",H183=I183),OR(J183="",J183=K183)),"תואם","לא תואם")))</f>
        <v/>
      </c>
      <c r="AS183" s="27" t="str">
        <f aca="false">IF($A183="","",IF(AND(AR183&lt;&gt;"לא תואם",G183&lt;&gt;"לא ברור"),"אמין","לפרש בזהירות"))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7" t="str">
        <f aca="false">IF($A184="","",$A184&amp;"|"&amp;$C184)</f>
        <v/>
      </c>
      <c r="AF184" s="28" t="str">
        <f aca="false">IF($A184="","",IFERROR(COUNTIF(L184:M184,"כן")/(COUNTIF(L184:M184,"כן")+COUNTIF(L184:M184,"לא")),""))</f>
        <v/>
      </c>
      <c r="AG184" s="28" t="str">
        <f aca="false">IF($A184="","",IFERROR(COUNTIF(N184:O184,"כן")/(COUNTIF(N184:O184,"כן")+COUNTIF(N184:O184,"לא")),""))</f>
        <v/>
      </c>
      <c r="AH184" s="28" t="str">
        <f aca="false">IF($A184="","",IFERROR(COUNTIF(P184,"כן")/(COUNTIF(P184,"כן")+COUNTIF(P184,"לא")),""))</f>
        <v/>
      </c>
      <c r="AI184" s="28" t="str">
        <f aca="false">IF($A184="","",IFERROR(COUNTIF(Q184:R184,"כן")/(COUNTIF(Q184:R184,"כן")+COUNTIF(Q184:R184,"לא")),""))</f>
        <v/>
      </c>
      <c r="AJ184" s="28" t="str">
        <f aca="false">IF($A184="","",IFERROR(COUNTIF(S184:T184,"כן")/(COUNTIF(S184:T184,"כן")+COUNTIF(S184:T184,"לא")),""))</f>
        <v/>
      </c>
      <c r="AK184" s="28" t="str">
        <f aca="false">IF($A184="","",IFERROR(COUNTIF(L184:T184,"כן")/(COUNTIF(L184:T184,"כן")+COUNTIF(L184:T184,"לא")),""))</f>
        <v/>
      </c>
      <c r="AL184" s="36" t="str">
        <f aca="false">IF($A184="","",IFERROR(AVERAGE(U184:V184),""))</f>
        <v/>
      </c>
      <c r="AM184" s="36" t="str">
        <f aca="false">IF($A184="","",IFERROR(AVERAGE(W184:X184),""))</f>
        <v/>
      </c>
      <c r="AN184" s="36" t="str">
        <f aca="false">IF($A184="","",IFERROR(AVERAGE(Y184:Z184),""))</f>
        <v/>
      </c>
      <c r="AO184" s="36" t="str">
        <f aca="false">IF($A184="","",IFERROR(AVERAGE(AA184:AB184),""))</f>
        <v/>
      </c>
      <c r="AP184" s="36" t="str">
        <f aca="false">IF($A184="","",IFERROR(AVERAGE(AC184),""))</f>
        <v/>
      </c>
      <c r="AQ184" s="36" t="str">
        <f aca="false">IF($A184="","",IFERROR(AVERAGE(U184:AC184),""))</f>
        <v/>
      </c>
      <c r="AR184" s="27" t="str">
        <f aca="false">IF($A184="","",IF(AND(H184="",J184=""),"לא נבדק",IF(AND(OR(H184="",H184=I184),OR(J184="",J184=K184)),"תואם","לא תואם")))</f>
        <v/>
      </c>
      <c r="AS184" s="27" t="str">
        <f aca="false">IF($A184="","",IF(AND(AR184&lt;&gt;"לא תואם",G184&lt;&gt;"לא ברור"),"אמין","לפרש בזהירות"))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7" t="str">
        <f aca="false">IF($A185="","",$A185&amp;"|"&amp;$C185)</f>
        <v/>
      </c>
      <c r="AF185" s="28" t="str">
        <f aca="false">IF($A185="","",IFERROR(COUNTIF(L185:M185,"כן")/(COUNTIF(L185:M185,"כן")+COUNTIF(L185:M185,"לא")),""))</f>
        <v/>
      </c>
      <c r="AG185" s="28" t="str">
        <f aca="false">IF($A185="","",IFERROR(COUNTIF(N185:O185,"כן")/(COUNTIF(N185:O185,"כן")+COUNTIF(N185:O185,"לא")),""))</f>
        <v/>
      </c>
      <c r="AH185" s="28" t="str">
        <f aca="false">IF($A185="","",IFERROR(COUNTIF(P185,"כן")/(COUNTIF(P185,"כן")+COUNTIF(P185,"לא")),""))</f>
        <v/>
      </c>
      <c r="AI185" s="28" t="str">
        <f aca="false">IF($A185="","",IFERROR(COUNTIF(Q185:R185,"כן")/(COUNTIF(Q185:R185,"כן")+COUNTIF(Q185:R185,"לא")),""))</f>
        <v/>
      </c>
      <c r="AJ185" s="28" t="str">
        <f aca="false">IF($A185="","",IFERROR(COUNTIF(S185:T185,"כן")/(COUNTIF(S185:T185,"כן")+COUNTIF(S185:T185,"לא")),""))</f>
        <v/>
      </c>
      <c r="AK185" s="28" t="str">
        <f aca="false">IF($A185="","",IFERROR(COUNTIF(L185:T185,"כן")/(COUNTIF(L185:T185,"כן")+COUNTIF(L185:T185,"לא")),""))</f>
        <v/>
      </c>
      <c r="AL185" s="36" t="str">
        <f aca="false">IF($A185="","",IFERROR(AVERAGE(U185:V185),""))</f>
        <v/>
      </c>
      <c r="AM185" s="36" t="str">
        <f aca="false">IF($A185="","",IFERROR(AVERAGE(W185:X185),""))</f>
        <v/>
      </c>
      <c r="AN185" s="36" t="str">
        <f aca="false">IF($A185="","",IFERROR(AVERAGE(Y185:Z185),""))</f>
        <v/>
      </c>
      <c r="AO185" s="36" t="str">
        <f aca="false">IF($A185="","",IFERROR(AVERAGE(AA185:AB185),""))</f>
        <v/>
      </c>
      <c r="AP185" s="36" t="str">
        <f aca="false">IF($A185="","",IFERROR(AVERAGE(AC185),""))</f>
        <v/>
      </c>
      <c r="AQ185" s="36" t="str">
        <f aca="false">IF($A185="","",IFERROR(AVERAGE(U185:AC185),""))</f>
        <v/>
      </c>
      <c r="AR185" s="27" t="str">
        <f aca="false">IF($A185="","",IF(AND(H185="",J185=""),"לא נבדק",IF(AND(OR(H185="",H185=I185),OR(J185="",J185=K185)),"תואם","לא תואם")))</f>
        <v/>
      </c>
      <c r="AS185" s="27" t="str">
        <f aca="false">IF($A185="","",IF(AND(AR185&lt;&gt;"לא תואם",G185&lt;&gt;"לא ברור"),"אמין","לפרש בזהירות"))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7" t="str">
        <f aca="false">IF($A186="","",$A186&amp;"|"&amp;$C186)</f>
        <v/>
      </c>
      <c r="AF186" s="28" t="str">
        <f aca="false">IF($A186="","",IFERROR(COUNTIF(L186:M186,"כן")/(COUNTIF(L186:M186,"כן")+COUNTIF(L186:M186,"לא")),""))</f>
        <v/>
      </c>
      <c r="AG186" s="28" t="str">
        <f aca="false">IF($A186="","",IFERROR(COUNTIF(N186:O186,"כן")/(COUNTIF(N186:O186,"כן")+COUNTIF(N186:O186,"לא")),""))</f>
        <v/>
      </c>
      <c r="AH186" s="28" t="str">
        <f aca="false">IF($A186="","",IFERROR(COUNTIF(P186,"כן")/(COUNTIF(P186,"כן")+COUNTIF(P186,"לא")),""))</f>
        <v/>
      </c>
      <c r="AI186" s="28" t="str">
        <f aca="false">IF($A186="","",IFERROR(COUNTIF(Q186:R186,"כן")/(COUNTIF(Q186:R186,"כן")+COUNTIF(Q186:R186,"לא")),""))</f>
        <v/>
      </c>
      <c r="AJ186" s="28" t="str">
        <f aca="false">IF($A186="","",IFERROR(COUNTIF(S186:T186,"כן")/(COUNTIF(S186:T186,"כן")+COUNTIF(S186:T186,"לא")),""))</f>
        <v/>
      </c>
      <c r="AK186" s="28" t="str">
        <f aca="false">IF($A186="","",IFERROR(COUNTIF(L186:T186,"כן")/(COUNTIF(L186:T186,"כן")+COUNTIF(L186:T186,"לא")),""))</f>
        <v/>
      </c>
      <c r="AL186" s="36" t="str">
        <f aca="false">IF($A186="","",IFERROR(AVERAGE(U186:V186),""))</f>
        <v/>
      </c>
      <c r="AM186" s="36" t="str">
        <f aca="false">IF($A186="","",IFERROR(AVERAGE(W186:X186),""))</f>
        <v/>
      </c>
      <c r="AN186" s="36" t="str">
        <f aca="false">IF($A186="","",IFERROR(AVERAGE(Y186:Z186),""))</f>
        <v/>
      </c>
      <c r="AO186" s="36" t="str">
        <f aca="false">IF($A186="","",IFERROR(AVERAGE(AA186:AB186),""))</f>
        <v/>
      </c>
      <c r="AP186" s="36" t="str">
        <f aca="false">IF($A186="","",IFERROR(AVERAGE(AC186),""))</f>
        <v/>
      </c>
      <c r="AQ186" s="36" t="str">
        <f aca="false">IF($A186="","",IFERROR(AVERAGE(U186:AC186),""))</f>
        <v/>
      </c>
      <c r="AR186" s="27" t="str">
        <f aca="false">IF($A186="","",IF(AND(H186="",J186=""),"לא נבדק",IF(AND(OR(H186="",H186=I186),OR(J186="",J186=K186)),"תואם","לא תואם")))</f>
        <v/>
      </c>
      <c r="AS186" s="27" t="str">
        <f aca="false">IF($A186="","",IF(AND(AR186&lt;&gt;"לא תואם",G186&lt;&gt;"לא ברור"),"אמין","לפרש בזהירות"))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7" t="str">
        <f aca="false">IF($A187="","",$A187&amp;"|"&amp;$C187)</f>
        <v/>
      </c>
      <c r="AF187" s="28" t="str">
        <f aca="false">IF($A187="","",IFERROR(COUNTIF(L187:M187,"כן")/(COUNTIF(L187:M187,"כן")+COUNTIF(L187:M187,"לא")),""))</f>
        <v/>
      </c>
      <c r="AG187" s="28" t="str">
        <f aca="false">IF($A187="","",IFERROR(COUNTIF(N187:O187,"כן")/(COUNTIF(N187:O187,"כן")+COUNTIF(N187:O187,"לא")),""))</f>
        <v/>
      </c>
      <c r="AH187" s="28" t="str">
        <f aca="false">IF($A187="","",IFERROR(COUNTIF(P187,"כן")/(COUNTIF(P187,"כן")+COUNTIF(P187,"לא")),""))</f>
        <v/>
      </c>
      <c r="AI187" s="28" t="str">
        <f aca="false">IF($A187="","",IFERROR(COUNTIF(Q187:R187,"כן")/(COUNTIF(Q187:R187,"כן")+COUNTIF(Q187:R187,"לא")),""))</f>
        <v/>
      </c>
      <c r="AJ187" s="28" t="str">
        <f aca="false">IF($A187="","",IFERROR(COUNTIF(S187:T187,"כן")/(COUNTIF(S187:T187,"כן")+COUNTIF(S187:T187,"לא")),""))</f>
        <v/>
      </c>
      <c r="AK187" s="28" t="str">
        <f aca="false">IF($A187="","",IFERROR(COUNTIF(L187:T187,"כן")/(COUNTIF(L187:T187,"כן")+COUNTIF(L187:T187,"לא")),""))</f>
        <v/>
      </c>
      <c r="AL187" s="36" t="str">
        <f aca="false">IF($A187="","",IFERROR(AVERAGE(U187:V187),""))</f>
        <v/>
      </c>
      <c r="AM187" s="36" t="str">
        <f aca="false">IF($A187="","",IFERROR(AVERAGE(W187:X187),""))</f>
        <v/>
      </c>
      <c r="AN187" s="36" t="str">
        <f aca="false">IF($A187="","",IFERROR(AVERAGE(Y187:Z187),""))</f>
        <v/>
      </c>
      <c r="AO187" s="36" t="str">
        <f aca="false">IF($A187="","",IFERROR(AVERAGE(AA187:AB187),""))</f>
        <v/>
      </c>
      <c r="AP187" s="36" t="str">
        <f aca="false">IF($A187="","",IFERROR(AVERAGE(AC187),""))</f>
        <v/>
      </c>
      <c r="AQ187" s="36" t="str">
        <f aca="false">IF($A187="","",IFERROR(AVERAGE(U187:AC187),""))</f>
        <v/>
      </c>
      <c r="AR187" s="27" t="str">
        <f aca="false">IF($A187="","",IF(AND(H187="",J187=""),"לא נבדק",IF(AND(OR(H187="",H187=I187),OR(J187="",J187=K187)),"תואם","לא תואם")))</f>
        <v/>
      </c>
      <c r="AS187" s="27" t="str">
        <f aca="false">IF($A187="","",IF(AND(AR187&lt;&gt;"לא תואם",G187&lt;&gt;"לא ברור"),"אמין","לפרש בזהירות"))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7" t="str">
        <f aca="false">IF($A188="","",$A188&amp;"|"&amp;$C188)</f>
        <v/>
      </c>
      <c r="AF188" s="28" t="str">
        <f aca="false">IF($A188="","",IFERROR(COUNTIF(L188:M188,"כן")/(COUNTIF(L188:M188,"כן")+COUNTIF(L188:M188,"לא")),""))</f>
        <v/>
      </c>
      <c r="AG188" s="28" t="str">
        <f aca="false">IF($A188="","",IFERROR(COUNTIF(N188:O188,"כן")/(COUNTIF(N188:O188,"כן")+COUNTIF(N188:O188,"לא")),""))</f>
        <v/>
      </c>
      <c r="AH188" s="28" t="str">
        <f aca="false">IF($A188="","",IFERROR(COUNTIF(P188,"כן")/(COUNTIF(P188,"כן")+COUNTIF(P188,"לא")),""))</f>
        <v/>
      </c>
      <c r="AI188" s="28" t="str">
        <f aca="false">IF($A188="","",IFERROR(COUNTIF(Q188:R188,"כן")/(COUNTIF(Q188:R188,"כן")+COUNTIF(Q188:R188,"לא")),""))</f>
        <v/>
      </c>
      <c r="AJ188" s="28" t="str">
        <f aca="false">IF($A188="","",IFERROR(COUNTIF(S188:T188,"כן")/(COUNTIF(S188:T188,"כן")+COUNTIF(S188:T188,"לא")),""))</f>
        <v/>
      </c>
      <c r="AK188" s="28" t="str">
        <f aca="false">IF($A188="","",IFERROR(COUNTIF(L188:T188,"כן")/(COUNTIF(L188:T188,"כן")+COUNTIF(L188:T188,"לא")),""))</f>
        <v/>
      </c>
      <c r="AL188" s="36" t="str">
        <f aca="false">IF($A188="","",IFERROR(AVERAGE(U188:V188),""))</f>
        <v/>
      </c>
      <c r="AM188" s="36" t="str">
        <f aca="false">IF($A188="","",IFERROR(AVERAGE(W188:X188),""))</f>
        <v/>
      </c>
      <c r="AN188" s="36" t="str">
        <f aca="false">IF($A188="","",IFERROR(AVERAGE(Y188:Z188),""))</f>
        <v/>
      </c>
      <c r="AO188" s="36" t="str">
        <f aca="false">IF($A188="","",IFERROR(AVERAGE(AA188:AB188),""))</f>
        <v/>
      </c>
      <c r="AP188" s="36" t="str">
        <f aca="false">IF($A188="","",IFERROR(AVERAGE(AC188),""))</f>
        <v/>
      </c>
      <c r="AQ188" s="36" t="str">
        <f aca="false">IF($A188="","",IFERROR(AVERAGE(U188:AC188),""))</f>
        <v/>
      </c>
      <c r="AR188" s="27" t="str">
        <f aca="false">IF($A188="","",IF(AND(H188="",J188=""),"לא נבדק",IF(AND(OR(H188="",H188=I188),OR(J188="",J188=K188)),"תואם","לא תואם")))</f>
        <v/>
      </c>
      <c r="AS188" s="27" t="str">
        <f aca="false">IF($A188="","",IF(AND(AR188&lt;&gt;"לא תואם",G188&lt;&gt;"לא ברור"),"אמין","לפרש בזהירות"))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7" t="str">
        <f aca="false">IF($A189="","",$A189&amp;"|"&amp;$C189)</f>
        <v/>
      </c>
      <c r="AF189" s="28" t="str">
        <f aca="false">IF($A189="","",IFERROR(COUNTIF(L189:M189,"כן")/(COUNTIF(L189:M189,"כן")+COUNTIF(L189:M189,"לא")),""))</f>
        <v/>
      </c>
      <c r="AG189" s="28" t="str">
        <f aca="false">IF($A189="","",IFERROR(COUNTIF(N189:O189,"כן")/(COUNTIF(N189:O189,"כן")+COUNTIF(N189:O189,"לא")),""))</f>
        <v/>
      </c>
      <c r="AH189" s="28" t="str">
        <f aca="false">IF($A189="","",IFERROR(COUNTIF(P189,"כן")/(COUNTIF(P189,"כן")+COUNTIF(P189,"לא")),""))</f>
        <v/>
      </c>
      <c r="AI189" s="28" t="str">
        <f aca="false">IF($A189="","",IFERROR(COUNTIF(Q189:R189,"כן")/(COUNTIF(Q189:R189,"כן")+COUNTIF(Q189:R189,"לא")),""))</f>
        <v/>
      </c>
      <c r="AJ189" s="28" t="str">
        <f aca="false">IF($A189="","",IFERROR(COUNTIF(S189:T189,"כן")/(COUNTIF(S189:T189,"כן")+COUNTIF(S189:T189,"לא")),""))</f>
        <v/>
      </c>
      <c r="AK189" s="28" t="str">
        <f aca="false">IF($A189="","",IFERROR(COUNTIF(L189:T189,"כן")/(COUNTIF(L189:T189,"כן")+COUNTIF(L189:T189,"לא")),""))</f>
        <v/>
      </c>
      <c r="AL189" s="36" t="str">
        <f aca="false">IF($A189="","",IFERROR(AVERAGE(U189:V189),""))</f>
        <v/>
      </c>
      <c r="AM189" s="36" t="str">
        <f aca="false">IF($A189="","",IFERROR(AVERAGE(W189:X189),""))</f>
        <v/>
      </c>
      <c r="AN189" s="36" t="str">
        <f aca="false">IF($A189="","",IFERROR(AVERAGE(Y189:Z189),""))</f>
        <v/>
      </c>
      <c r="AO189" s="36" t="str">
        <f aca="false">IF($A189="","",IFERROR(AVERAGE(AA189:AB189),""))</f>
        <v/>
      </c>
      <c r="AP189" s="36" t="str">
        <f aca="false">IF($A189="","",IFERROR(AVERAGE(AC189),""))</f>
        <v/>
      </c>
      <c r="AQ189" s="36" t="str">
        <f aca="false">IF($A189="","",IFERROR(AVERAGE(U189:AC189),""))</f>
        <v/>
      </c>
      <c r="AR189" s="27" t="str">
        <f aca="false">IF($A189="","",IF(AND(H189="",J189=""),"לא נבדק",IF(AND(OR(H189="",H189=I189),OR(J189="",J189=K189)),"תואם","לא תואם")))</f>
        <v/>
      </c>
      <c r="AS189" s="27" t="str">
        <f aca="false">IF($A189="","",IF(AND(AR189&lt;&gt;"לא תואם",G189&lt;&gt;"לא ברור"),"אמין","לפרש בזהירות"))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7" t="str">
        <f aca="false">IF($A190="","",$A190&amp;"|"&amp;$C190)</f>
        <v/>
      </c>
      <c r="AF190" s="28" t="str">
        <f aca="false">IF($A190="","",IFERROR(COUNTIF(L190:M190,"כן")/(COUNTIF(L190:M190,"כן")+COUNTIF(L190:M190,"לא")),""))</f>
        <v/>
      </c>
      <c r="AG190" s="28" t="str">
        <f aca="false">IF($A190="","",IFERROR(COUNTIF(N190:O190,"כן")/(COUNTIF(N190:O190,"כן")+COUNTIF(N190:O190,"לא")),""))</f>
        <v/>
      </c>
      <c r="AH190" s="28" t="str">
        <f aca="false">IF($A190="","",IFERROR(COUNTIF(P190,"כן")/(COUNTIF(P190,"כן")+COUNTIF(P190,"לא")),""))</f>
        <v/>
      </c>
      <c r="AI190" s="28" t="str">
        <f aca="false">IF($A190="","",IFERROR(COUNTIF(Q190:R190,"כן")/(COUNTIF(Q190:R190,"כן")+COUNTIF(Q190:R190,"לא")),""))</f>
        <v/>
      </c>
      <c r="AJ190" s="28" t="str">
        <f aca="false">IF($A190="","",IFERROR(COUNTIF(S190:T190,"כן")/(COUNTIF(S190:T190,"כן")+COUNTIF(S190:T190,"לא")),""))</f>
        <v/>
      </c>
      <c r="AK190" s="28" t="str">
        <f aca="false">IF($A190="","",IFERROR(COUNTIF(L190:T190,"כן")/(COUNTIF(L190:T190,"כן")+COUNTIF(L190:T190,"לא")),""))</f>
        <v/>
      </c>
      <c r="AL190" s="36" t="str">
        <f aca="false">IF($A190="","",IFERROR(AVERAGE(U190:V190),""))</f>
        <v/>
      </c>
      <c r="AM190" s="36" t="str">
        <f aca="false">IF($A190="","",IFERROR(AVERAGE(W190:X190),""))</f>
        <v/>
      </c>
      <c r="AN190" s="36" t="str">
        <f aca="false">IF($A190="","",IFERROR(AVERAGE(Y190:Z190),""))</f>
        <v/>
      </c>
      <c r="AO190" s="36" t="str">
        <f aca="false">IF($A190="","",IFERROR(AVERAGE(AA190:AB190),""))</f>
        <v/>
      </c>
      <c r="AP190" s="36" t="str">
        <f aca="false">IF($A190="","",IFERROR(AVERAGE(AC190),""))</f>
        <v/>
      </c>
      <c r="AQ190" s="36" t="str">
        <f aca="false">IF($A190="","",IFERROR(AVERAGE(U190:AC190),""))</f>
        <v/>
      </c>
      <c r="AR190" s="27" t="str">
        <f aca="false">IF($A190="","",IF(AND(H190="",J190=""),"לא נבדק",IF(AND(OR(H190="",H190=I190),OR(J190="",J190=K190)),"תואם","לא תואם")))</f>
        <v/>
      </c>
      <c r="AS190" s="27" t="str">
        <f aca="false">IF($A190="","",IF(AND(AR190&lt;&gt;"לא תואם",G190&lt;&gt;"לא ברור"),"אמין","לפרש בזהירות"))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7" t="str">
        <f aca="false">IF($A191="","",$A191&amp;"|"&amp;$C191)</f>
        <v/>
      </c>
      <c r="AF191" s="28" t="str">
        <f aca="false">IF($A191="","",IFERROR(COUNTIF(L191:M191,"כן")/(COUNTIF(L191:M191,"כן")+COUNTIF(L191:M191,"לא")),""))</f>
        <v/>
      </c>
      <c r="AG191" s="28" t="str">
        <f aca="false">IF($A191="","",IFERROR(COUNTIF(N191:O191,"כן")/(COUNTIF(N191:O191,"כן")+COUNTIF(N191:O191,"לא")),""))</f>
        <v/>
      </c>
      <c r="AH191" s="28" t="str">
        <f aca="false">IF($A191="","",IFERROR(COUNTIF(P191,"כן")/(COUNTIF(P191,"כן")+COUNTIF(P191,"לא")),""))</f>
        <v/>
      </c>
      <c r="AI191" s="28" t="str">
        <f aca="false">IF($A191="","",IFERROR(COUNTIF(Q191:R191,"כן")/(COUNTIF(Q191:R191,"כן")+COUNTIF(Q191:R191,"לא")),""))</f>
        <v/>
      </c>
      <c r="AJ191" s="28" t="str">
        <f aca="false">IF($A191="","",IFERROR(COUNTIF(S191:T191,"כן")/(COUNTIF(S191:T191,"כן")+COUNTIF(S191:T191,"לא")),""))</f>
        <v/>
      </c>
      <c r="AK191" s="28" t="str">
        <f aca="false">IF($A191="","",IFERROR(COUNTIF(L191:T191,"כן")/(COUNTIF(L191:T191,"כן")+COUNTIF(L191:T191,"לא")),""))</f>
        <v/>
      </c>
      <c r="AL191" s="36" t="str">
        <f aca="false">IF($A191="","",IFERROR(AVERAGE(U191:V191),""))</f>
        <v/>
      </c>
      <c r="AM191" s="36" t="str">
        <f aca="false">IF($A191="","",IFERROR(AVERAGE(W191:X191),""))</f>
        <v/>
      </c>
      <c r="AN191" s="36" t="str">
        <f aca="false">IF($A191="","",IFERROR(AVERAGE(Y191:Z191),""))</f>
        <v/>
      </c>
      <c r="AO191" s="36" t="str">
        <f aca="false">IF($A191="","",IFERROR(AVERAGE(AA191:AB191),""))</f>
        <v/>
      </c>
      <c r="AP191" s="36" t="str">
        <f aca="false">IF($A191="","",IFERROR(AVERAGE(AC191),""))</f>
        <v/>
      </c>
      <c r="AQ191" s="36" t="str">
        <f aca="false">IF($A191="","",IFERROR(AVERAGE(U191:AC191),""))</f>
        <v/>
      </c>
      <c r="AR191" s="27" t="str">
        <f aca="false">IF($A191="","",IF(AND(H191="",J191=""),"לא נבדק",IF(AND(OR(H191="",H191=I191),OR(J191="",J191=K191)),"תואם","לא תואם")))</f>
        <v/>
      </c>
      <c r="AS191" s="27" t="str">
        <f aca="false">IF($A191="","",IF(AND(AR191&lt;&gt;"לא תואם",G191&lt;&gt;"לא ברור"),"אמין","לפרש בזהירות"))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7" t="str">
        <f aca="false">IF($A192="","",$A192&amp;"|"&amp;$C192)</f>
        <v/>
      </c>
      <c r="AF192" s="28" t="str">
        <f aca="false">IF($A192="","",IFERROR(COUNTIF(L192:M192,"כן")/(COUNTIF(L192:M192,"כן")+COUNTIF(L192:M192,"לא")),""))</f>
        <v/>
      </c>
      <c r="AG192" s="28" t="str">
        <f aca="false">IF($A192="","",IFERROR(COUNTIF(N192:O192,"כן")/(COUNTIF(N192:O192,"כן")+COUNTIF(N192:O192,"לא")),""))</f>
        <v/>
      </c>
      <c r="AH192" s="28" t="str">
        <f aca="false">IF($A192="","",IFERROR(COUNTIF(P192,"כן")/(COUNTIF(P192,"כן")+COUNTIF(P192,"לא")),""))</f>
        <v/>
      </c>
      <c r="AI192" s="28" t="str">
        <f aca="false">IF($A192="","",IFERROR(COUNTIF(Q192:R192,"כן")/(COUNTIF(Q192:R192,"כן")+COUNTIF(Q192:R192,"לא")),""))</f>
        <v/>
      </c>
      <c r="AJ192" s="28" t="str">
        <f aca="false">IF($A192="","",IFERROR(COUNTIF(S192:T192,"כן")/(COUNTIF(S192:T192,"כן")+COUNTIF(S192:T192,"לא")),""))</f>
        <v/>
      </c>
      <c r="AK192" s="28" t="str">
        <f aca="false">IF($A192="","",IFERROR(COUNTIF(L192:T192,"כן")/(COUNTIF(L192:T192,"כן")+COUNTIF(L192:T192,"לא")),""))</f>
        <v/>
      </c>
      <c r="AL192" s="36" t="str">
        <f aca="false">IF($A192="","",IFERROR(AVERAGE(U192:V192),""))</f>
        <v/>
      </c>
      <c r="AM192" s="36" t="str">
        <f aca="false">IF($A192="","",IFERROR(AVERAGE(W192:X192),""))</f>
        <v/>
      </c>
      <c r="AN192" s="36" t="str">
        <f aca="false">IF($A192="","",IFERROR(AVERAGE(Y192:Z192),""))</f>
        <v/>
      </c>
      <c r="AO192" s="36" t="str">
        <f aca="false">IF($A192="","",IFERROR(AVERAGE(AA192:AB192),""))</f>
        <v/>
      </c>
      <c r="AP192" s="36" t="str">
        <f aca="false">IF($A192="","",IFERROR(AVERAGE(AC192),""))</f>
        <v/>
      </c>
      <c r="AQ192" s="36" t="str">
        <f aca="false">IF($A192="","",IFERROR(AVERAGE(U192:AC192),""))</f>
        <v/>
      </c>
      <c r="AR192" s="27" t="str">
        <f aca="false">IF($A192="","",IF(AND(H192="",J192=""),"לא נבדק",IF(AND(OR(H192="",H192=I192),OR(J192="",J192=K192)),"תואם","לא תואם")))</f>
        <v/>
      </c>
      <c r="AS192" s="27" t="str">
        <f aca="false">IF($A192="","",IF(AND(AR192&lt;&gt;"לא תואם",G192&lt;&gt;"לא ברור"),"אמין","לפרש בזהירות"))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7" t="str">
        <f aca="false">IF($A193="","",$A193&amp;"|"&amp;$C193)</f>
        <v/>
      </c>
      <c r="AF193" s="28" t="str">
        <f aca="false">IF($A193="","",IFERROR(COUNTIF(L193:M193,"כן")/(COUNTIF(L193:M193,"כן")+COUNTIF(L193:M193,"לא")),""))</f>
        <v/>
      </c>
      <c r="AG193" s="28" t="str">
        <f aca="false">IF($A193="","",IFERROR(COUNTIF(N193:O193,"כן")/(COUNTIF(N193:O193,"כן")+COUNTIF(N193:O193,"לא")),""))</f>
        <v/>
      </c>
      <c r="AH193" s="28" t="str">
        <f aca="false">IF($A193="","",IFERROR(COUNTIF(P193,"כן")/(COUNTIF(P193,"כן")+COUNTIF(P193,"לא")),""))</f>
        <v/>
      </c>
      <c r="AI193" s="28" t="str">
        <f aca="false">IF($A193="","",IFERROR(COUNTIF(Q193:R193,"כן")/(COUNTIF(Q193:R193,"כן")+COUNTIF(Q193:R193,"לא")),""))</f>
        <v/>
      </c>
      <c r="AJ193" s="28" t="str">
        <f aca="false">IF($A193="","",IFERROR(COUNTIF(S193:T193,"כן")/(COUNTIF(S193:T193,"כן")+COUNTIF(S193:T193,"לא")),""))</f>
        <v/>
      </c>
      <c r="AK193" s="28" t="str">
        <f aca="false">IF($A193="","",IFERROR(COUNTIF(L193:T193,"כן")/(COUNTIF(L193:T193,"כן")+COUNTIF(L193:T193,"לא")),""))</f>
        <v/>
      </c>
      <c r="AL193" s="36" t="str">
        <f aca="false">IF($A193="","",IFERROR(AVERAGE(U193:V193),""))</f>
        <v/>
      </c>
      <c r="AM193" s="36" t="str">
        <f aca="false">IF($A193="","",IFERROR(AVERAGE(W193:X193),""))</f>
        <v/>
      </c>
      <c r="AN193" s="36" t="str">
        <f aca="false">IF($A193="","",IFERROR(AVERAGE(Y193:Z193),""))</f>
        <v/>
      </c>
      <c r="AO193" s="36" t="str">
        <f aca="false">IF($A193="","",IFERROR(AVERAGE(AA193:AB193),""))</f>
        <v/>
      </c>
      <c r="AP193" s="36" t="str">
        <f aca="false">IF($A193="","",IFERROR(AVERAGE(AC193),""))</f>
        <v/>
      </c>
      <c r="AQ193" s="36" t="str">
        <f aca="false">IF($A193="","",IFERROR(AVERAGE(U193:AC193),""))</f>
        <v/>
      </c>
      <c r="AR193" s="27" t="str">
        <f aca="false">IF($A193="","",IF(AND(H193="",J193=""),"לא נבדק",IF(AND(OR(H193="",H193=I193),OR(J193="",J193=K193)),"תואם","לא תואם")))</f>
        <v/>
      </c>
      <c r="AS193" s="27" t="str">
        <f aca="false">IF($A193="","",IF(AND(AR193&lt;&gt;"לא תואם",G193&lt;&gt;"לא ברור"),"אמין","לפרש בזהירות"))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7" t="str">
        <f aca="false">IF($A194="","",$A194&amp;"|"&amp;$C194)</f>
        <v/>
      </c>
      <c r="AF194" s="28" t="str">
        <f aca="false">IF($A194="","",IFERROR(COUNTIF(L194:M194,"כן")/(COUNTIF(L194:M194,"כן")+COUNTIF(L194:M194,"לא")),""))</f>
        <v/>
      </c>
      <c r="AG194" s="28" t="str">
        <f aca="false">IF($A194="","",IFERROR(COUNTIF(N194:O194,"כן")/(COUNTIF(N194:O194,"כן")+COUNTIF(N194:O194,"לא")),""))</f>
        <v/>
      </c>
      <c r="AH194" s="28" t="str">
        <f aca="false">IF($A194="","",IFERROR(COUNTIF(P194,"כן")/(COUNTIF(P194,"כן")+COUNTIF(P194,"לא")),""))</f>
        <v/>
      </c>
      <c r="AI194" s="28" t="str">
        <f aca="false">IF($A194="","",IFERROR(COUNTIF(Q194:R194,"כן")/(COUNTIF(Q194:R194,"כן")+COUNTIF(Q194:R194,"לא")),""))</f>
        <v/>
      </c>
      <c r="AJ194" s="28" t="str">
        <f aca="false">IF($A194="","",IFERROR(COUNTIF(S194:T194,"כן")/(COUNTIF(S194:T194,"כן")+COUNTIF(S194:T194,"לא")),""))</f>
        <v/>
      </c>
      <c r="AK194" s="28" t="str">
        <f aca="false">IF($A194="","",IFERROR(COUNTIF(L194:T194,"כן")/(COUNTIF(L194:T194,"כן")+COUNTIF(L194:T194,"לא")),""))</f>
        <v/>
      </c>
      <c r="AL194" s="36" t="str">
        <f aca="false">IF($A194="","",IFERROR(AVERAGE(U194:V194),""))</f>
        <v/>
      </c>
      <c r="AM194" s="36" t="str">
        <f aca="false">IF($A194="","",IFERROR(AVERAGE(W194:X194),""))</f>
        <v/>
      </c>
      <c r="AN194" s="36" t="str">
        <f aca="false">IF($A194="","",IFERROR(AVERAGE(Y194:Z194),""))</f>
        <v/>
      </c>
      <c r="AO194" s="36" t="str">
        <f aca="false">IF($A194="","",IFERROR(AVERAGE(AA194:AB194),""))</f>
        <v/>
      </c>
      <c r="AP194" s="36" t="str">
        <f aca="false">IF($A194="","",IFERROR(AVERAGE(AC194),""))</f>
        <v/>
      </c>
      <c r="AQ194" s="36" t="str">
        <f aca="false">IF($A194="","",IFERROR(AVERAGE(U194:AC194),""))</f>
        <v/>
      </c>
      <c r="AR194" s="27" t="str">
        <f aca="false">IF($A194="","",IF(AND(H194="",J194=""),"לא נבדק",IF(AND(OR(H194="",H194=I194),OR(J194="",J194=K194)),"תואם","לא תואם")))</f>
        <v/>
      </c>
      <c r="AS194" s="27" t="str">
        <f aca="false">IF($A194="","",IF(AND(AR194&lt;&gt;"לא תואם",G194&lt;&gt;"לא ברור"),"אמין","לפרש בזהירות"))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7" t="str">
        <f aca="false">IF($A195="","",$A195&amp;"|"&amp;$C195)</f>
        <v/>
      </c>
      <c r="AF195" s="28" t="str">
        <f aca="false">IF($A195="","",IFERROR(COUNTIF(L195:M195,"כן")/(COUNTIF(L195:M195,"כן")+COUNTIF(L195:M195,"לא")),""))</f>
        <v/>
      </c>
      <c r="AG195" s="28" t="str">
        <f aca="false">IF($A195="","",IFERROR(COUNTIF(N195:O195,"כן")/(COUNTIF(N195:O195,"כן")+COUNTIF(N195:O195,"לא")),""))</f>
        <v/>
      </c>
      <c r="AH195" s="28" t="str">
        <f aca="false">IF($A195="","",IFERROR(COUNTIF(P195,"כן")/(COUNTIF(P195,"כן")+COUNTIF(P195,"לא")),""))</f>
        <v/>
      </c>
      <c r="AI195" s="28" t="str">
        <f aca="false">IF($A195="","",IFERROR(COUNTIF(Q195:R195,"כן")/(COUNTIF(Q195:R195,"כן")+COUNTIF(Q195:R195,"לא")),""))</f>
        <v/>
      </c>
      <c r="AJ195" s="28" t="str">
        <f aca="false">IF($A195="","",IFERROR(COUNTIF(S195:T195,"כן")/(COUNTIF(S195:T195,"כן")+COUNTIF(S195:T195,"לא")),""))</f>
        <v/>
      </c>
      <c r="AK195" s="28" t="str">
        <f aca="false">IF($A195="","",IFERROR(COUNTIF(L195:T195,"כן")/(COUNTIF(L195:T195,"כן")+COUNTIF(L195:T195,"לא")),""))</f>
        <v/>
      </c>
      <c r="AL195" s="36" t="str">
        <f aca="false">IF($A195="","",IFERROR(AVERAGE(U195:V195),""))</f>
        <v/>
      </c>
      <c r="AM195" s="36" t="str">
        <f aca="false">IF($A195="","",IFERROR(AVERAGE(W195:X195),""))</f>
        <v/>
      </c>
      <c r="AN195" s="36" t="str">
        <f aca="false">IF($A195="","",IFERROR(AVERAGE(Y195:Z195),""))</f>
        <v/>
      </c>
      <c r="AO195" s="36" t="str">
        <f aca="false">IF($A195="","",IFERROR(AVERAGE(AA195:AB195),""))</f>
        <v/>
      </c>
      <c r="AP195" s="36" t="str">
        <f aca="false">IF($A195="","",IFERROR(AVERAGE(AC195),""))</f>
        <v/>
      </c>
      <c r="AQ195" s="36" t="str">
        <f aca="false">IF($A195="","",IFERROR(AVERAGE(U195:AC195),""))</f>
        <v/>
      </c>
      <c r="AR195" s="27" t="str">
        <f aca="false">IF($A195="","",IF(AND(H195="",J195=""),"לא נבדק",IF(AND(OR(H195="",H195=I195),OR(J195="",J195=K195)),"תואם","לא תואם")))</f>
        <v/>
      </c>
      <c r="AS195" s="27" t="str">
        <f aca="false">IF($A195="","",IF(AND(AR195&lt;&gt;"לא תואם",G195&lt;&gt;"לא ברור"),"אמין","לפרש בזהירות"))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7" t="str">
        <f aca="false">IF($A196="","",$A196&amp;"|"&amp;$C196)</f>
        <v/>
      </c>
      <c r="AF196" s="28" t="str">
        <f aca="false">IF($A196="","",IFERROR(COUNTIF(L196:M196,"כן")/(COUNTIF(L196:M196,"כן")+COUNTIF(L196:M196,"לא")),""))</f>
        <v/>
      </c>
      <c r="AG196" s="28" t="str">
        <f aca="false">IF($A196="","",IFERROR(COUNTIF(N196:O196,"כן")/(COUNTIF(N196:O196,"כן")+COUNTIF(N196:O196,"לא")),""))</f>
        <v/>
      </c>
      <c r="AH196" s="28" t="str">
        <f aca="false">IF($A196="","",IFERROR(COUNTIF(P196,"כן")/(COUNTIF(P196,"כן")+COUNTIF(P196,"לא")),""))</f>
        <v/>
      </c>
      <c r="AI196" s="28" t="str">
        <f aca="false">IF($A196="","",IFERROR(COUNTIF(Q196:R196,"כן")/(COUNTIF(Q196:R196,"כן")+COUNTIF(Q196:R196,"לא")),""))</f>
        <v/>
      </c>
      <c r="AJ196" s="28" t="str">
        <f aca="false">IF($A196="","",IFERROR(COUNTIF(S196:T196,"כן")/(COUNTIF(S196:T196,"כן")+COUNTIF(S196:T196,"לא")),""))</f>
        <v/>
      </c>
      <c r="AK196" s="28" t="str">
        <f aca="false">IF($A196="","",IFERROR(COUNTIF(L196:T196,"כן")/(COUNTIF(L196:T196,"כן")+COUNTIF(L196:T196,"לא")),""))</f>
        <v/>
      </c>
      <c r="AL196" s="36" t="str">
        <f aca="false">IF($A196="","",IFERROR(AVERAGE(U196:V196),""))</f>
        <v/>
      </c>
      <c r="AM196" s="36" t="str">
        <f aca="false">IF($A196="","",IFERROR(AVERAGE(W196:X196),""))</f>
        <v/>
      </c>
      <c r="AN196" s="36" t="str">
        <f aca="false">IF($A196="","",IFERROR(AVERAGE(Y196:Z196),""))</f>
        <v/>
      </c>
      <c r="AO196" s="36" t="str">
        <f aca="false">IF($A196="","",IFERROR(AVERAGE(AA196:AB196),""))</f>
        <v/>
      </c>
      <c r="AP196" s="36" t="str">
        <f aca="false">IF($A196="","",IFERROR(AVERAGE(AC196),""))</f>
        <v/>
      </c>
      <c r="AQ196" s="36" t="str">
        <f aca="false">IF($A196="","",IFERROR(AVERAGE(U196:AC196),""))</f>
        <v/>
      </c>
      <c r="AR196" s="27" t="str">
        <f aca="false">IF($A196="","",IF(AND(H196="",J196=""),"לא נבדק",IF(AND(OR(H196="",H196=I196),OR(J196="",J196=K196)),"תואם","לא תואם")))</f>
        <v/>
      </c>
      <c r="AS196" s="27" t="str">
        <f aca="false">IF($A196="","",IF(AND(AR196&lt;&gt;"לא תואם",G196&lt;&gt;"לא ברור"),"אמין","לפרש בזהירות"))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7" t="str">
        <f aca="false">IF($A197="","",$A197&amp;"|"&amp;$C197)</f>
        <v/>
      </c>
      <c r="AF197" s="28" t="str">
        <f aca="false">IF($A197="","",IFERROR(COUNTIF(L197:M197,"כן")/(COUNTIF(L197:M197,"כן")+COUNTIF(L197:M197,"לא")),""))</f>
        <v/>
      </c>
      <c r="AG197" s="28" t="str">
        <f aca="false">IF($A197="","",IFERROR(COUNTIF(N197:O197,"כן")/(COUNTIF(N197:O197,"כן")+COUNTIF(N197:O197,"לא")),""))</f>
        <v/>
      </c>
      <c r="AH197" s="28" t="str">
        <f aca="false">IF($A197="","",IFERROR(COUNTIF(P197,"כן")/(COUNTIF(P197,"כן")+COUNTIF(P197,"לא")),""))</f>
        <v/>
      </c>
      <c r="AI197" s="28" t="str">
        <f aca="false">IF($A197="","",IFERROR(COUNTIF(Q197:R197,"כן")/(COUNTIF(Q197:R197,"כן")+COUNTIF(Q197:R197,"לא")),""))</f>
        <v/>
      </c>
      <c r="AJ197" s="28" t="str">
        <f aca="false">IF($A197="","",IFERROR(COUNTIF(S197:T197,"כן")/(COUNTIF(S197:T197,"כן")+COUNTIF(S197:T197,"לא")),""))</f>
        <v/>
      </c>
      <c r="AK197" s="28" t="str">
        <f aca="false">IF($A197="","",IFERROR(COUNTIF(L197:T197,"כן")/(COUNTIF(L197:T197,"כן")+COUNTIF(L197:T197,"לא")),""))</f>
        <v/>
      </c>
      <c r="AL197" s="36" t="str">
        <f aca="false">IF($A197="","",IFERROR(AVERAGE(U197:V197),""))</f>
        <v/>
      </c>
      <c r="AM197" s="36" t="str">
        <f aca="false">IF($A197="","",IFERROR(AVERAGE(W197:X197),""))</f>
        <v/>
      </c>
      <c r="AN197" s="36" t="str">
        <f aca="false">IF($A197="","",IFERROR(AVERAGE(Y197:Z197),""))</f>
        <v/>
      </c>
      <c r="AO197" s="36" t="str">
        <f aca="false">IF($A197="","",IFERROR(AVERAGE(AA197:AB197),""))</f>
        <v/>
      </c>
      <c r="AP197" s="36" t="str">
        <f aca="false">IF($A197="","",IFERROR(AVERAGE(AC197),""))</f>
        <v/>
      </c>
      <c r="AQ197" s="36" t="str">
        <f aca="false">IF($A197="","",IFERROR(AVERAGE(U197:AC197),""))</f>
        <v/>
      </c>
      <c r="AR197" s="27" t="str">
        <f aca="false">IF($A197="","",IF(AND(H197="",J197=""),"לא נבדק",IF(AND(OR(H197="",H197=I197),OR(J197="",J197=K197)),"תואם","לא תואם")))</f>
        <v/>
      </c>
      <c r="AS197" s="27" t="str">
        <f aca="false">IF($A197="","",IF(AND(AR197&lt;&gt;"לא תואם",G197&lt;&gt;"לא ברור"),"אמין","לפרש בזהירות"))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7" t="str">
        <f aca="false">IF($A198="","",$A198&amp;"|"&amp;$C198)</f>
        <v/>
      </c>
      <c r="AF198" s="28" t="str">
        <f aca="false">IF($A198="","",IFERROR(COUNTIF(L198:M198,"כן")/(COUNTIF(L198:M198,"כן")+COUNTIF(L198:M198,"לא")),""))</f>
        <v/>
      </c>
      <c r="AG198" s="28" t="str">
        <f aca="false">IF($A198="","",IFERROR(COUNTIF(N198:O198,"כן")/(COUNTIF(N198:O198,"כן")+COUNTIF(N198:O198,"לא")),""))</f>
        <v/>
      </c>
      <c r="AH198" s="28" t="str">
        <f aca="false">IF($A198="","",IFERROR(COUNTIF(P198,"כן")/(COUNTIF(P198,"כן")+COUNTIF(P198,"לא")),""))</f>
        <v/>
      </c>
      <c r="AI198" s="28" t="str">
        <f aca="false">IF($A198="","",IFERROR(COUNTIF(Q198:R198,"כן")/(COUNTIF(Q198:R198,"כן")+COUNTIF(Q198:R198,"לא")),""))</f>
        <v/>
      </c>
      <c r="AJ198" s="28" t="str">
        <f aca="false">IF($A198="","",IFERROR(COUNTIF(S198:T198,"כן")/(COUNTIF(S198:T198,"כן")+COUNTIF(S198:T198,"לא")),""))</f>
        <v/>
      </c>
      <c r="AK198" s="28" t="str">
        <f aca="false">IF($A198="","",IFERROR(COUNTIF(L198:T198,"כן")/(COUNTIF(L198:T198,"כן")+COUNTIF(L198:T198,"לא")),""))</f>
        <v/>
      </c>
      <c r="AL198" s="36" t="str">
        <f aca="false">IF($A198="","",IFERROR(AVERAGE(U198:V198),""))</f>
        <v/>
      </c>
      <c r="AM198" s="36" t="str">
        <f aca="false">IF($A198="","",IFERROR(AVERAGE(W198:X198),""))</f>
        <v/>
      </c>
      <c r="AN198" s="36" t="str">
        <f aca="false">IF($A198="","",IFERROR(AVERAGE(Y198:Z198),""))</f>
        <v/>
      </c>
      <c r="AO198" s="36" t="str">
        <f aca="false">IF($A198="","",IFERROR(AVERAGE(AA198:AB198),""))</f>
        <v/>
      </c>
      <c r="AP198" s="36" t="str">
        <f aca="false">IF($A198="","",IFERROR(AVERAGE(AC198),""))</f>
        <v/>
      </c>
      <c r="AQ198" s="36" t="str">
        <f aca="false">IF($A198="","",IFERROR(AVERAGE(U198:AC198),""))</f>
        <v/>
      </c>
      <c r="AR198" s="27" t="str">
        <f aca="false">IF($A198="","",IF(AND(H198="",J198=""),"לא נבדק",IF(AND(OR(H198="",H198=I198),OR(J198="",J198=K198)),"תואם","לא תואם")))</f>
        <v/>
      </c>
      <c r="AS198" s="27" t="str">
        <f aca="false">IF($A198="","",IF(AND(AR198&lt;&gt;"לא תואם",G198&lt;&gt;"לא ברור"),"אמין","לפרש בזהירות"))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7" t="str">
        <f aca="false">IF($A199="","",$A199&amp;"|"&amp;$C199)</f>
        <v/>
      </c>
      <c r="AF199" s="28" t="str">
        <f aca="false">IF($A199="","",IFERROR(COUNTIF(L199:M199,"כן")/(COUNTIF(L199:M199,"כן")+COUNTIF(L199:M199,"לא")),""))</f>
        <v/>
      </c>
      <c r="AG199" s="28" t="str">
        <f aca="false">IF($A199="","",IFERROR(COUNTIF(N199:O199,"כן")/(COUNTIF(N199:O199,"כן")+COUNTIF(N199:O199,"לא")),""))</f>
        <v/>
      </c>
      <c r="AH199" s="28" t="str">
        <f aca="false">IF($A199="","",IFERROR(COUNTIF(P199,"כן")/(COUNTIF(P199,"כן")+COUNTIF(P199,"לא")),""))</f>
        <v/>
      </c>
      <c r="AI199" s="28" t="str">
        <f aca="false">IF($A199="","",IFERROR(COUNTIF(Q199:R199,"כן")/(COUNTIF(Q199:R199,"כן")+COUNTIF(Q199:R199,"לא")),""))</f>
        <v/>
      </c>
      <c r="AJ199" s="28" t="str">
        <f aca="false">IF($A199="","",IFERROR(COUNTIF(S199:T199,"כן")/(COUNTIF(S199:T199,"כן")+COUNTIF(S199:T199,"לא")),""))</f>
        <v/>
      </c>
      <c r="AK199" s="28" t="str">
        <f aca="false">IF($A199="","",IFERROR(COUNTIF(L199:T199,"כן")/(COUNTIF(L199:T199,"כן")+COUNTIF(L199:T199,"לא")),""))</f>
        <v/>
      </c>
      <c r="AL199" s="36" t="str">
        <f aca="false">IF($A199="","",IFERROR(AVERAGE(U199:V199),""))</f>
        <v/>
      </c>
      <c r="AM199" s="36" t="str">
        <f aca="false">IF($A199="","",IFERROR(AVERAGE(W199:X199),""))</f>
        <v/>
      </c>
      <c r="AN199" s="36" t="str">
        <f aca="false">IF($A199="","",IFERROR(AVERAGE(Y199:Z199),""))</f>
        <v/>
      </c>
      <c r="AO199" s="36" t="str">
        <f aca="false">IF($A199="","",IFERROR(AVERAGE(AA199:AB199),""))</f>
        <v/>
      </c>
      <c r="AP199" s="36" t="str">
        <f aca="false">IF($A199="","",IFERROR(AVERAGE(AC199),""))</f>
        <v/>
      </c>
      <c r="AQ199" s="36" t="str">
        <f aca="false">IF($A199="","",IFERROR(AVERAGE(U199:AC199),""))</f>
        <v/>
      </c>
      <c r="AR199" s="27" t="str">
        <f aca="false">IF($A199="","",IF(AND(H199="",J199=""),"לא נבדק",IF(AND(OR(H199="",H199=I199),OR(J199="",J199=K199)),"תואם","לא תואם")))</f>
        <v/>
      </c>
      <c r="AS199" s="27" t="str">
        <f aca="false">IF($A199="","",IF(AND(AR199&lt;&gt;"לא תואם",G199&lt;&gt;"לא ברור"),"אמין","לפרש בזהירות"))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7" t="str">
        <f aca="false">IF($A200="","",$A200&amp;"|"&amp;$C200)</f>
        <v/>
      </c>
      <c r="AF200" s="28" t="str">
        <f aca="false">IF($A200="","",IFERROR(COUNTIF(L200:M200,"כן")/(COUNTIF(L200:M200,"כן")+COUNTIF(L200:M200,"לא")),""))</f>
        <v/>
      </c>
      <c r="AG200" s="28" t="str">
        <f aca="false">IF($A200="","",IFERROR(COUNTIF(N200:O200,"כן")/(COUNTIF(N200:O200,"כן")+COUNTIF(N200:O200,"לא")),""))</f>
        <v/>
      </c>
      <c r="AH200" s="28" t="str">
        <f aca="false">IF($A200="","",IFERROR(COUNTIF(P200,"כן")/(COUNTIF(P200,"כן")+COUNTIF(P200,"לא")),""))</f>
        <v/>
      </c>
      <c r="AI200" s="28" t="str">
        <f aca="false">IF($A200="","",IFERROR(COUNTIF(Q200:R200,"כן")/(COUNTIF(Q200:R200,"כן")+COUNTIF(Q200:R200,"לא")),""))</f>
        <v/>
      </c>
      <c r="AJ200" s="28" t="str">
        <f aca="false">IF($A200="","",IFERROR(COUNTIF(S200:T200,"כן")/(COUNTIF(S200:T200,"כן")+COUNTIF(S200:T200,"לא")),""))</f>
        <v/>
      </c>
      <c r="AK200" s="28" t="str">
        <f aca="false">IF($A200="","",IFERROR(COUNTIF(L200:T200,"כן")/(COUNTIF(L200:T200,"כן")+COUNTIF(L200:T200,"לא")),""))</f>
        <v/>
      </c>
      <c r="AL200" s="36" t="str">
        <f aca="false">IF($A200="","",IFERROR(AVERAGE(U200:V200),""))</f>
        <v/>
      </c>
      <c r="AM200" s="36" t="str">
        <f aca="false">IF($A200="","",IFERROR(AVERAGE(W200:X200),""))</f>
        <v/>
      </c>
      <c r="AN200" s="36" t="str">
        <f aca="false">IF($A200="","",IFERROR(AVERAGE(Y200:Z200),""))</f>
        <v/>
      </c>
      <c r="AO200" s="36" t="str">
        <f aca="false">IF($A200="","",IFERROR(AVERAGE(AA200:AB200),""))</f>
        <v/>
      </c>
      <c r="AP200" s="36" t="str">
        <f aca="false">IF($A200="","",IFERROR(AVERAGE(AC200),""))</f>
        <v/>
      </c>
      <c r="AQ200" s="36" t="str">
        <f aca="false">IF($A200="","",IFERROR(AVERAGE(U200:AC200),""))</f>
        <v/>
      </c>
      <c r="AR200" s="27" t="str">
        <f aca="false">IF($A200="","",IF(AND(H200="",J200=""),"לא נבדק",IF(AND(OR(H200="",H200=I200),OR(J200="",J200=K200)),"תואם","לא תואם")))</f>
        <v/>
      </c>
      <c r="AS200" s="27" t="str">
        <f aca="false">IF($A200="","",IF(AND(AR200&lt;&gt;"לא תואם",G200&lt;&gt;"לא ברור"),"אמין","לפרש בזהירות"))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7" t="str">
        <f aca="false">IF($A201="","",$A201&amp;"|"&amp;$C201)</f>
        <v/>
      </c>
      <c r="AF201" s="28" t="str">
        <f aca="false">IF($A201="","",IFERROR(COUNTIF(L201:M201,"כן")/(COUNTIF(L201:M201,"כן")+COUNTIF(L201:M201,"לא")),""))</f>
        <v/>
      </c>
      <c r="AG201" s="28" t="str">
        <f aca="false">IF($A201="","",IFERROR(COUNTIF(N201:O201,"כן")/(COUNTIF(N201:O201,"כן")+COUNTIF(N201:O201,"לא")),""))</f>
        <v/>
      </c>
      <c r="AH201" s="28" t="str">
        <f aca="false">IF($A201="","",IFERROR(COUNTIF(P201,"כן")/(COUNTIF(P201,"כן")+COUNTIF(P201,"לא")),""))</f>
        <v/>
      </c>
      <c r="AI201" s="28" t="str">
        <f aca="false">IF($A201="","",IFERROR(COUNTIF(Q201:R201,"כן")/(COUNTIF(Q201:R201,"כן")+COUNTIF(Q201:R201,"לא")),""))</f>
        <v/>
      </c>
      <c r="AJ201" s="28" t="str">
        <f aca="false">IF($A201="","",IFERROR(COUNTIF(S201:T201,"כן")/(COUNTIF(S201:T201,"כן")+COUNTIF(S201:T201,"לא")),""))</f>
        <v/>
      </c>
      <c r="AK201" s="28" t="str">
        <f aca="false">IF($A201="","",IFERROR(COUNTIF(L201:T201,"כן")/(COUNTIF(L201:T201,"כן")+COUNTIF(L201:T201,"לא")),""))</f>
        <v/>
      </c>
      <c r="AL201" s="36" t="str">
        <f aca="false">IF($A201="","",IFERROR(AVERAGE(U201:V201),""))</f>
        <v/>
      </c>
      <c r="AM201" s="36" t="str">
        <f aca="false">IF($A201="","",IFERROR(AVERAGE(W201:X201),""))</f>
        <v/>
      </c>
      <c r="AN201" s="36" t="str">
        <f aca="false">IF($A201="","",IFERROR(AVERAGE(Y201:Z201),""))</f>
        <v/>
      </c>
      <c r="AO201" s="36" t="str">
        <f aca="false">IF($A201="","",IFERROR(AVERAGE(AA201:AB201),""))</f>
        <v/>
      </c>
      <c r="AP201" s="36" t="str">
        <f aca="false">IF($A201="","",IFERROR(AVERAGE(AC201),""))</f>
        <v/>
      </c>
      <c r="AQ201" s="36" t="str">
        <f aca="false">IF($A201="","",IFERROR(AVERAGE(U201:AC201),""))</f>
        <v/>
      </c>
      <c r="AR201" s="27" t="str">
        <f aca="false">IF($A201="","",IF(AND(H201="",J201=""),"לא נבדק",IF(AND(OR(H201="",H201=I201),OR(J201="",J201=K201)),"תואם","לא תואם")))</f>
        <v/>
      </c>
      <c r="AS201" s="27" t="str">
        <f aca="false">IF($A201="","",IF(AND(AR201&lt;&gt;"לא תואם",G201&lt;&gt;"לא ברור"),"אמין","לפרש בזהירות"))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7" t="str">
        <f aca="false">IF($A202="","",$A202&amp;"|"&amp;$C202)</f>
        <v/>
      </c>
      <c r="AF202" s="28" t="str">
        <f aca="false">IF($A202="","",IFERROR(COUNTIF(L202:M202,"כן")/(COUNTIF(L202:M202,"כן")+COUNTIF(L202:M202,"לא")),""))</f>
        <v/>
      </c>
      <c r="AG202" s="28" t="str">
        <f aca="false">IF($A202="","",IFERROR(COUNTIF(N202:O202,"כן")/(COUNTIF(N202:O202,"כן")+COUNTIF(N202:O202,"לא")),""))</f>
        <v/>
      </c>
      <c r="AH202" s="28" t="str">
        <f aca="false">IF($A202="","",IFERROR(COUNTIF(P202,"כן")/(COUNTIF(P202,"כן")+COUNTIF(P202,"לא")),""))</f>
        <v/>
      </c>
      <c r="AI202" s="28" t="str">
        <f aca="false">IF($A202="","",IFERROR(COUNTIF(Q202:R202,"כן")/(COUNTIF(Q202:R202,"כן")+COUNTIF(Q202:R202,"לא")),""))</f>
        <v/>
      </c>
      <c r="AJ202" s="28" t="str">
        <f aca="false">IF($A202="","",IFERROR(COUNTIF(S202:T202,"כן")/(COUNTIF(S202:T202,"כן")+COUNTIF(S202:T202,"לא")),""))</f>
        <v/>
      </c>
      <c r="AK202" s="28" t="str">
        <f aca="false">IF($A202="","",IFERROR(COUNTIF(L202:T202,"כן")/(COUNTIF(L202:T202,"כן")+COUNTIF(L202:T202,"לא")),""))</f>
        <v/>
      </c>
      <c r="AL202" s="36" t="str">
        <f aca="false">IF($A202="","",IFERROR(AVERAGE(U202:V202),""))</f>
        <v/>
      </c>
      <c r="AM202" s="36" t="str">
        <f aca="false">IF($A202="","",IFERROR(AVERAGE(W202:X202),""))</f>
        <v/>
      </c>
      <c r="AN202" s="36" t="str">
        <f aca="false">IF($A202="","",IFERROR(AVERAGE(Y202:Z202),""))</f>
        <v/>
      </c>
      <c r="AO202" s="36" t="str">
        <f aca="false">IF($A202="","",IFERROR(AVERAGE(AA202:AB202),""))</f>
        <v/>
      </c>
      <c r="AP202" s="36" t="str">
        <f aca="false">IF($A202="","",IFERROR(AVERAGE(AC202),""))</f>
        <v/>
      </c>
      <c r="AQ202" s="36" t="str">
        <f aca="false">IF($A202="","",IFERROR(AVERAGE(U202:AC202),""))</f>
        <v/>
      </c>
      <c r="AR202" s="27" t="str">
        <f aca="false">IF($A202="","",IF(AND(H202="",J202=""),"לא נבדק",IF(AND(OR(H202="",H202=I202),OR(J202="",J202=K202)),"תואם","לא תואם")))</f>
        <v/>
      </c>
      <c r="AS202" s="27" t="str">
        <f aca="false">IF($A202="","",IF(AND(AR202&lt;&gt;"לא תואם",G202&lt;&gt;"לא ברור"),"אמין","לפרש בזהירות"))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7" t="str">
        <f aca="false">IF($A203="","",$A203&amp;"|"&amp;$C203)</f>
        <v/>
      </c>
      <c r="AF203" s="28" t="str">
        <f aca="false">IF($A203="","",IFERROR(COUNTIF(L203:M203,"כן")/(COUNTIF(L203:M203,"כן")+COUNTIF(L203:M203,"לא")),""))</f>
        <v/>
      </c>
      <c r="AG203" s="28" t="str">
        <f aca="false">IF($A203="","",IFERROR(COUNTIF(N203:O203,"כן")/(COUNTIF(N203:O203,"כן")+COUNTIF(N203:O203,"לא")),""))</f>
        <v/>
      </c>
      <c r="AH203" s="28" t="str">
        <f aca="false">IF($A203="","",IFERROR(COUNTIF(P203,"כן")/(COUNTIF(P203,"כן")+COUNTIF(P203,"לא")),""))</f>
        <v/>
      </c>
      <c r="AI203" s="28" t="str">
        <f aca="false">IF($A203="","",IFERROR(COUNTIF(Q203:R203,"כן")/(COUNTIF(Q203:R203,"כן")+COUNTIF(Q203:R203,"לא")),""))</f>
        <v/>
      </c>
      <c r="AJ203" s="28" t="str">
        <f aca="false">IF($A203="","",IFERROR(COUNTIF(S203:T203,"כן")/(COUNTIF(S203:T203,"כן")+COUNTIF(S203:T203,"לא")),""))</f>
        <v/>
      </c>
      <c r="AK203" s="28" t="str">
        <f aca="false">IF($A203="","",IFERROR(COUNTIF(L203:T203,"כן")/(COUNTIF(L203:T203,"כן")+COUNTIF(L203:T203,"לא")),""))</f>
        <v/>
      </c>
      <c r="AL203" s="36" t="str">
        <f aca="false">IF($A203="","",IFERROR(AVERAGE(U203:V203),""))</f>
        <v/>
      </c>
      <c r="AM203" s="36" t="str">
        <f aca="false">IF($A203="","",IFERROR(AVERAGE(W203:X203),""))</f>
        <v/>
      </c>
      <c r="AN203" s="36" t="str">
        <f aca="false">IF($A203="","",IFERROR(AVERAGE(Y203:Z203),""))</f>
        <v/>
      </c>
      <c r="AO203" s="36" t="str">
        <f aca="false">IF($A203="","",IFERROR(AVERAGE(AA203:AB203),""))</f>
        <v/>
      </c>
      <c r="AP203" s="36" t="str">
        <f aca="false">IF($A203="","",IFERROR(AVERAGE(AC203),""))</f>
        <v/>
      </c>
      <c r="AQ203" s="36" t="str">
        <f aca="false">IF($A203="","",IFERROR(AVERAGE(U203:AC203),""))</f>
        <v/>
      </c>
      <c r="AR203" s="27" t="str">
        <f aca="false">IF($A203="","",IF(AND(H203="",J203=""),"לא נבדק",IF(AND(OR(H203="",H203=I203),OR(J203="",J203=K203)),"תואם","לא תואם")))</f>
        <v/>
      </c>
      <c r="AS203" s="27" t="str">
        <f aca="false">IF($A203="","",IF(AND(AR203&lt;&gt;"לא תואם",G203&lt;&gt;"לא ברור"),"אמין","לפרש בזהירות"))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7" t="str">
        <f aca="false">IF($A204="","",$A204&amp;"|"&amp;$C204)</f>
        <v/>
      </c>
      <c r="AF204" s="28" t="str">
        <f aca="false">IF($A204="","",IFERROR(COUNTIF(L204:M204,"כן")/(COUNTIF(L204:M204,"כן")+COUNTIF(L204:M204,"לא")),""))</f>
        <v/>
      </c>
      <c r="AG204" s="28" t="str">
        <f aca="false">IF($A204="","",IFERROR(COUNTIF(N204:O204,"כן")/(COUNTIF(N204:O204,"כן")+COUNTIF(N204:O204,"לא")),""))</f>
        <v/>
      </c>
      <c r="AH204" s="28" t="str">
        <f aca="false">IF($A204="","",IFERROR(COUNTIF(P204,"כן")/(COUNTIF(P204,"כן")+COUNTIF(P204,"לא")),""))</f>
        <v/>
      </c>
      <c r="AI204" s="28" t="str">
        <f aca="false">IF($A204="","",IFERROR(COUNTIF(Q204:R204,"כן")/(COUNTIF(Q204:R204,"כן")+COUNTIF(Q204:R204,"לא")),""))</f>
        <v/>
      </c>
      <c r="AJ204" s="28" t="str">
        <f aca="false">IF($A204="","",IFERROR(COUNTIF(S204:T204,"כן")/(COUNTIF(S204:T204,"כן")+COUNTIF(S204:T204,"לא")),""))</f>
        <v/>
      </c>
      <c r="AK204" s="28" t="str">
        <f aca="false">IF($A204="","",IFERROR(COUNTIF(L204:T204,"כן")/(COUNTIF(L204:T204,"כן")+COUNTIF(L204:T204,"לא")),""))</f>
        <v/>
      </c>
      <c r="AL204" s="36" t="str">
        <f aca="false">IF($A204="","",IFERROR(AVERAGE(U204:V204),""))</f>
        <v/>
      </c>
      <c r="AM204" s="36" t="str">
        <f aca="false">IF($A204="","",IFERROR(AVERAGE(W204:X204),""))</f>
        <v/>
      </c>
      <c r="AN204" s="36" t="str">
        <f aca="false">IF($A204="","",IFERROR(AVERAGE(Y204:Z204),""))</f>
        <v/>
      </c>
      <c r="AO204" s="36" t="str">
        <f aca="false">IF($A204="","",IFERROR(AVERAGE(AA204:AB204),""))</f>
        <v/>
      </c>
      <c r="AP204" s="36" t="str">
        <f aca="false">IF($A204="","",IFERROR(AVERAGE(AC204),""))</f>
        <v/>
      </c>
      <c r="AQ204" s="36" t="str">
        <f aca="false">IF($A204="","",IFERROR(AVERAGE(U204:AC204),""))</f>
        <v/>
      </c>
      <c r="AR204" s="27" t="str">
        <f aca="false">IF($A204="","",IF(AND(H204="",J204=""),"לא נבדק",IF(AND(OR(H204="",H204=I204),OR(J204="",J204=K204)),"תואם","לא תואם")))</f>
        <v/>
      </c>
      <c r="AS204" s="27" t="str">
        <f aca="false">IF($A204="","",IF(AND(AR204&lt;&gt;"לא תואם",G204&lt;&gt;"לא ברור"),"אמין","לפרש בזהירות"))</f>
        <v/>
      </c>
    </row>
  </sheetData>
  <mergeCells count="5">
    <mergeCell ref="A3:G3"/>
    <mergeCell ref="H3:K3"/>
    <mergeCell ref="L3:T3"/>
    <mergeCell ref="U3:AC3"/>
    <mergeCell ref="AE3:AS3"/>
  </mergeCells>
  <conditionalFormatting sqref="AL5:AQ204">
    <cfRule type="colorScale" priority="2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AF5:AK204">
    <cfRule type="colorScale" priority="3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AS5:AS204">
    <cfRule type="cellIs" priority="4" operator="equal" aboveAverage="0" equalAverage="0" bottom="0" percent="0" rank="0" text="" dxfId="1">
      <formula>"לפרש בזהירות"</formula>
    </cfRule>
  </conditionalFormatting>
  <conditionalFormatting sqref="AR5:AR204">
    <cfRule type="cellIs" priority="5" operator="equal" aboveAverage="0" equalAverage="0" bottom="0" percent="0" rank="0" text="" dxfId="2">
      <formula>"לא תואם"</formula>
    </cfRule>
  </conditionalFormatting>
  <dataValidations count="6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prompt="ריק = לא ידוע" showDropDown="false" showErrorMessage="false" showInputMessage="true" sqref="H5:H204 J5:J204" type="list">
      <formula1>"כן,לא"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I204 K5:T204" type="list">
      <formula1>"כן,לא,לא ענה"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U5:AC204" type="list">
      <formula1>"3,2,1"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775A"/>
    <pageSetUpPr fitToPage="false"/>
  </sheetPr>
  <dimension ref="A1:L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3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0" t="s">
        <v>157</v>
      </c>
    </row>
    <row r="2" customFormat="false" ht="15" hidden="false" customHeight="false" outlineLevel="0" collapsed="false">
      <c r="A2" s="11" t="s">
        <v>158</v>
      </c>
    </row>
    <row r="3" customFormat="false" ht="15" hidden="false" customHeight="false" outlineLevel="0" collapsed="false">
      <c r="B3" s="30" t="s">
        <v>88</v>
      </c>
      <c r="C3" s="30"/>
      <c r="D3" s="30"/>
      <c r="E3" s="14" t="s">
        <v>105</v>
      </c>
      <c r="F3" s="14"/>
      <c r="G3" s="14"/>
      <c r="H3" s="31" t="s">
        <v>106</v>
      </c>
      <c r="I3" s="31"/>
      <c r="J3" s="31"/>
      <c r="K3" s="17" t="s">
        <v>107</v>
      </c>
      <c r="L3" s="17"/>
    </row>
    <row r="4" customFormat="false" ht="57.75" hidden="false" customHeight="true" outlineLevel="0" collapsed="false">
      <c r="A4" s="18" t="s">
        <v>47</v>
      </c>
      <c r="B4" s="20" t="s">
        <v>31</v>
      </c>
      <c r="C4" s="20" t="s">
        <v>159</v>
      </c>
      <c r="D4" s="20" t="s">
        <v>160</v>
      </c>
      <c r="E4" s="21" t="s">
        <v>31</v>
      </c>
      <c r="F4" s="21" t="s">
        <v>159</v>
      </c>
      <c r="G4" s="21" t="s">
        <v>160</v>
      </c>
      <c r="H4" s="23" t="s">
        <v>31</v>
      </c>
      <c r="I4" s="23" t="s">
        <v>159</v>
      </c>
      <c r="J4" s="23" t="s">
        <v>160</v>
      </c>
      <c r="K4" s="25" t="s">
        <v>112</v>
      </c>
      <c r="L4" s="25" t="s">
        <v>113</v>
      </c>
    </row>
    <row r="5" customFormat="false" ht="15" hidden="false" customHeight="false" outlineLevel="0" collapsed="false">
      <c r="A5" s="26" t="s">
        <v>86</v>
      </c>
      <c r="B5" s="36" t="n">
        <f aca="false">IF($A5="","",IFERROR(AVERAGEIFS('רווחה - קליטה'!$AQ$5:$AQ$204,'רווחה - קליטה'!$A$5:$A$204,$A5,'רווחה - קליטה'!$C$5:$C$204,"תחילת שנה"),""))</f>
        <v>2.11111111111111</v>
      </c>
      <c r="C5" s="28" t="n">
        <f aca="false">IF($A5="","",IFERROR(AVERAGEIFS('רווחה - קליטה'!$AK$5:$AK$204,'רווחה - קליטה'!$A$5:$A$204,$A5,'רווחה - קליטה'!$C$5:$C$204,"תחילת שנה"),""))</f>
        <v>0.75</v>
      </c>
      <c r="D5" s="27" t="str">
        <f aca="false">IF($A5="","",IFERROR(INDEX('רווחה - קליטה'!$AS$5:$AS$204,MATCH($A5&amp;"|תחילת שנה",'רווחה - קליטה'!$AE$5:$AE$204,0)),""))</f>
        <v>אמין</v>
      </c>
      <c r="E5" s="36" t="str">
        <f aca="false">IF($A5="","",IFERROR(AVERAGEIFS('רווחה - קליטה'!$AQ$5:$AQ$204,'רווחה - קליטה'!$A$5:$A$204,$A5,'רווחה - קליטה'!$C$5:$C$204,"אמצע שנה"),""))</f>
        <v/>
      </c>
      <c r="F5" s="28" t="str">
        <f aca="false">IF($A5="","",IFERROR(AVERAGEIFS('רווחה - קליטה'!$AK$5:$AK$204,'רווחה - קליטה'!$A$5:$A$204,$A5,'רווחה - קליטה'!$C$5:$C$204,"אמצע שנה"),""))</f>
        <v/>
      </c>
      <c r="G5" s="27" t="str">
        <f aca="false">IF($A5="","",IFERROR(INDEX('רווחה - קליטה'!$AS$5:$AS$204,MATCH($A5&amp;"|אמצע שנה",'רווחה - קליטה'!$AE$5:$AE$204,0)),""))</f>
        <v/>
      </c>
      <c r="H5" s="36" t="str">
        <f aca="false">IF($A5="","",IFERROR(AVERAGEIFS('רווחה - קליטה'!$AQ$5:$AQ$204,'רווחה - קליטה'!$A$5:$A$204,$A5,'רווחה - קליטה'!$C$5:$C$204,"סוף שנה"),""))</f>
        <v/>
      </c>
      <c r="I5" s="28" t="str">
        <f aca="false">IF($A5="","",IFERROR(AVERAGEIFS('רווחה - קליטה'!$AK$5:$AK$204,'רווחה - קליטה'!$A$5:$A$204,$A5,'רווחה - קליטה'!$C$5:$C$204,"סוף שנה"),""))</f>
        <v/>
      </c>
      <c r="J5" s="27" t="str">
        <f aca="false">IF($A5="","",IFERROR(INDEX('רווחה - קליטה'!$AS$5:$AS$204,MATCH($A5&amp;"|סוף שנה",'רווחה - קליטה'!$AE$5:$AE$204,0)),""))</f>
        <v/>
      </c>
      <c r="K5" s="37" t="str">
        <f aca="false">IF(AND(ISNUMBER(B5),ISNUMBER(H5)),H5-B5,"")</f>
        <v/>
      </c>
      <c r="L5" s="27" t="str">
        <f aca="false">IF(K5="","",IF(K5&gt;=0.5,"עלייה",IF(K5&lt;=-0.5,"ירידה","יציב")))</f>
        <v/>
      </c>
    </row>
    <row r="6" customFormat="false" ht="15" hidden="false" customHeight="false" outlineLevel="0" collapsed="false">
      <c r="A6" s="29"/>
      <c r="B6" s="36" t="str">
        <f aca="false">IF($A6="","",IFERROR(AVERAGEIFS('רווחה - קליטה'!$AQ$5:$AQ$204,'רווחה - קליטה'!$A$5:$A$204,$A6,'רווחה - קליטה'!$C$5:$C$204,"תחילת שנה"),""))</f>
        <v/>
      </c>
      <c r="C6" s="28" t="str">
        <f aca="false">IF($A6="","",IFERROR(AVERAGEIFS('רווחה - קליטה'!$AK$5:$AK$204,'רווחה - קליטה'!$A$5:$A$204,$A6,'רווחה - קליטה'!$C$5:$C$204,"תחילת שנה"),""))</f>
        <v/>
      </c>
      <c r="D6" s="27" t="str">
        <f aca="false">IF($A6="","",IFERROR(INDEX('רווחה - קליטה'!$AS$5:$AS$204,MATCH($A6&amp;"|תחילת שנה",'רווחה - קליטה'!$AE$5:$AE$204,0)),""))</f>
        <v/>
      </c>
      <c r="E6" s="36" t="str">
        <f aca="false">IF($A6="","",IFERROR(AVERAGEIFS('רווחה - קליטה'!$AQ$5:$AQ$204,'רווחה - קליטה'!$A$5:$A$204,$A6,'רווחה - קליטה'!$C$5:$C$204,"אמצע שנה"),""))</f>
        <v/>
      </c>
      <c r="F6" s="28" t="str">
        <f aca="false">IF($A6="","",IFERROR(AVERAGEIFS('רווחה - קליטה'!$AK$5:$AK$204,'רווחה - קליטה'!$A$5:$A$204,$A6,'רווחה - קליטה'!$C$5:$C$204,"אמצע שנה"),""))</f>
        <v/>
      </c>
      <c r="G6" s="27" t="str">
        <f aca="false">IF($A6="","",IFERROR(INDEX('רווחה - קליטה'!$AS$5:$AS$204,MATCH($A6&amp;"|אמצע שנה",'רווחה - קליטה'!$AE$5:$AE$204,0)),""))</f>
        <v/>
      </c>
      <c r="H6" s="36" t="str">
        <f aca="false">IF($A6="","",IFERROR(AVERAGEIFS('רווחה - קליטה'!$AQ$5:$AQ$204,'רווחה - קליטה'!$A$5:$A$204,$A6,'רווחה - קליטה'!$C$5:$C$204,"סוף שנה"),""))</f>
        <v/>
      </c>
      <c r="I6" s="28" t="str">
        <f aca="false">IF($A6="","",IFERROR(AVERAGEIFS('רווחה - קליטה'!$AK$5:$AK$204,'רווחה - קליטה'!$A$5:$A$204,$A6,'רווחה - קליטה'!$C$5:$C$204,"סוף שנה"),""))</f>
        <v/>
      </c>
      <c r="J6" s="27" t="str">
        <f aca="false">IF($A6="","",IFERROR(INDEX('רווחה - קליטה'!$AS$5:$AS$204,MATCH($A6&amp;"|סוף שנה",'רווחה - קליטה'!$AE$5:$AE$204,0)),""))</f>
        <v/>
      </c>
      <c r="K6" s="37" t="str">
        <f aca="false">IF(AND(ISNUMBER(B6),ISNUMBER(H6)),H6-B6,"")</f>
        <v/>
      </c>
      <c r="L6" s="27" t="str">
        <f aca="false">IF(K6="","",IF(K6&gt;=0.5,"עלייה",IF(K6&lt;=-0.5,"ירידה","יציב")))</f>
        <v/>
      </c>
    </row>
    <row r="7" customFormat="false" ht="15" hidden="false" customHeight="false" outlineLevel="0" collapsed="false">
      <c r="A7" s="29"/>
      <c r="B7" s="36" t="str">
        <f aca="false">IF($A7="","",IFERROR(AVERAGEIFS('רווחה - קליטה'!$AQ$5:$AQ$204,'רווחה - קליטה'!$A$5:$A$204,$A7,'רווחה - קליטה'!$C$5:$C$204,"תחילת שנה"),""))</f>
        <v/>
      </c>
      <c r="C7" s="28" t="str">
        <f aca="false">IF($A7="","",IFERROR(AVERAGEIFS('רווחה - קליטה'!$AK$5:$AK$204,'רווחה - קליטה'!$A$5:$A$204,$A7,'רווחה - קליטה'!$C$5:$C$204,"תחילת שנה"),""))</f>
        <v/>
      </c>
      <c r="D7" s="27" t="str">
        <f aca="false">IF($A7="","",IFERROR(INDEX('רווחה - קליטה'!$AS$5:$AS$204,MATCH($A7&amp;"|תחילת שנה",'רווחה - קליטה'!$AE$5:$AE$204,0)),""))</f>
        <v/>
      </c>
      <c r="E7" s="36" t="str">
        <f aca="false">IF($A7="","",IFERROR(AVERAGEIFS('רווחה - קליטה'!$AQ$5:$AQ$204,'רווחה - קליטה'!$A$5:$A$204,$A7,'רווחה - קליטה'!$C$5:$C$204,"אמצע שנה"),""))</f>
        <v/>
      </c>
      <c r="F7" s="28" t="str">
        <f aca="false">IF($A7="","",IFERROR(AVERAGEIFS('רווחה - קליטה'!$AK$5:$AK$204,'רווחה - קליטה'!$A$5:$A$204,$A7,'רווחה - קליטה'!$C$5:$C$204,"אמצע שנה"),""))</f>
        <v/>
      </c>
      <c r="G7" s="27" t="str">
        <f aca="false">IF($A7="","",IFERROR(INDEX('רווחה - קליטה'!$AS$5:$AS$204,MATCH($A7&amp;"|אמצע שנה",'רווחה - קליטה'!$AE$5:$AE$204,0)),""))</f>
        <v/>
      </c>
      <c r="H7" s="36" t="str">
        <f aca="false">IF($A7="","",IFERROR(AVERAGEIFS('רווחה - קליטה'!$AQ$5:$AQ$204,'רווחה - קליטה'!$A$5:$A$204,$A7,'רווחה - קליטה'!$C$5:$C$204,"סוף שנה"),""))</f>
        <v/>
      </c>
      <c r="I7" s="28" t="str">
        <f aca="false">IF($A7="","",IFERROR(AVERAGEIFS('רווחה - קליטה'!$AK$5:$AK$204,'רווחה - קליטה'!$A$5:$A$204,$A7,'רווחה - קליטה'!$C$5:$C$204,"סוף שנה"),""))</f>
        <v/>
      </c>
      <c r="J7" s="27" t="str">
        <f aca="false">IF($A7="","",IFERROR(INDEX('רווחה - קליטה'!$AS$5:$AS$204,MATCH($A7&amp;"|סוף שנה",'רווחה - קליטה'!$AE$5:$AE$204,0)),""))</f>
        <v/>
      </c>
      <c r="K7" s="37" t="str">
        <f aca="false">IF(AND(ISNUMBER(B7),ISNUMBER(H7)),H7-B7,"")</f>
        <v/>
      </c>
      <c r="L7" s="27" t="str">
        <f aca="false">IF(K7="","",IF(K7&gt;=0.5,"עלייה",IF(K7&lt;=-0.5,"ירידה","יציב")))</f>
        <v/>
      </c>
    </row>
    <row r="8" customFormat="false" ht="15" hidden="false" customHeight="false" outlineLevel="0" collapsed="false">
      <c r="A8" s="29"/>
      <c r="B8" s="36" t="str">
        <f aca="false">IF($A8="","",IFERROR(AVERAGEIFS('רווחה - קליטה'!$AQ$5:$AQ$204,'רווחה - קליטה'!$A$5:$A$204,$A8,'רווחה - קליטה'!$C$5:$C$204,"תחילת שנה"),""))</f>
        <v/>
      </c>
      <c r="C8" s="28" t="str">
        <f aca="false">IF($A8="","",IFERROR(AVERAGEIFS('רווחה - קליטה'!$AK$5:$AK$204,'רווחה - קליטה'!$A$5:$A$204,$A8,'רווחה - קליטה'!$C$5:$C$204,"תחילת שנה"),""))</f>
        <v/>
      </c>
      <c r="D8" s="27" t="str">
        <f aca="false">IF($A8="","",IFERROR(INDEX('רווחה - קליטה'!$AS$5:$AS$204,MATCH($A8&amp;"|תחילת שנה",'רווחה - קליטה'!$AE$5:$AE$204,0)),""))</f>
        <v/>
      </c>
      <c r="E8" s="36" t="str">
        <f aca="false">IF($A8="","",IFERROR(AVERAGEIFS('רווחה - קליטה'!$AQ$5:$AQ$204,'רווחה - קליטה'!$A$5:$A$204,$A8,'רווחה - קליטה'!$C$5:$C$204,"אמצע שנה"),""))</f>
        <v/>
      </c>
      <c r="F8" s="28" t="str">
        <f aca="false">IF($A8="","",IFERROR(AVERAGEIFS('רווחה - קליטה'!$AK$5:$AK$204,'רווחה - קליטה'!$A$5:$A$204,$A8,'רווחה - קליטה'!$C$5:$C$204,"אמצע שנה"),""))</f>
        <v/>
      </c>
      <c r="G8" s="27" t="str">
        <f aca="false">IF($A8="","",IFERROR(INDEX('רווחה - קליטה'!$AS$5:$AS$204,MATCH($A8&amp;"|אמצע שנה",'רווחה - קליטה'!$AE$5:$AE$204,0)),""))</f>
        <v/>
      </c>
      <c r="H8" s="36" t="str">
        <f aca="false">IF($A8="","",IFERROR(AVERAGEIFS('רווחה - קליטה'!$AQ$5:$AQ$204,'רווחה - קליטה'!$A$5:$A$204,$A8,'רווחה - קליטה'!$C$5:$C$204,"סוף שנה"),""))</f>
        <v/>
      </c>
      <c r="I8" s="28" t="str">
        <f aca="false">IF($A8="","",IFERROR(AVERAGEIFS('רווחה - קליטה'!$AK$5:$AK$204,'רווחה - קליטה'!$A$5:$A$204,$A8,'רווחה - קליטה'!$C$5:$C$204,"סוף שנה"),""))</f>
        <v/>
      </c>
      <c r="J8" s="27" t="str">
        <f aca="false">IF($A8="","",IFERROR(INDEX('רווחה - קליטה'!$AS$5:$AS$204,MATCH($A8&amp;"|סוף שנה",'רווחה - קליטה'!$AE$5:$AE$204,0)),""))</f>
        <v/>
      </c>
      <c r="K8" s="37" t="str">
        <f aca="false">IF(AND(ISNUMBER(B8),ISNUMBER(H8)),H8-B8,"")</f>
        <v/>
      </c>
      <c r="L8" s="27" t="str">
        <f aca="false">IF(K8="","",IF(K8&gt;=0.5,"עלייה",IF(K8&lt;=-0.5,"ירידה","יציב")))</f>
        <v/>
      </c>
    </row>
    <row r="9" customFormat="false" ht="15" hidden="false" customHeight="false" outlineLevel="0" collapsed="false">
      <c r="A9" s="29"/>
      <c r="B9" s="36" t="str">
        <f aca="false">IF($A9="","",IFERROR(AVERAGEIFS('רווחה - קליטה'!$AQ$5:$AQ$204,'רווחה - קליטה'!$A$5:$A$204,$A9,'רווחה - קליטה'!$C$5:$C$204,"תחילת שנה"),""))</f>
        <v/>
      </c>
      <c r="C9" s="28" t="str">
        <f aca="false">IF($A9="","",IFERROR(AVERAGEIFS('רווחה - קליטה'!$AK$5:$AK$204,'רווחה - קליטה'!$A$5:$A$204,$A9,'רווחה - קליטה'!$C$5:$C$204,"תחילת שנה"),""))</f>
        <v/>
      </c>
      <c r="D9" s="27" t="str">
        <f aca="false">IF($A9="","",IFERROR(INDEX('רווחה - קליטה'!$AS$5:$AS$204,MATCH($A9&amp;"|תחילת שנה",'רווחה - קליטה'!$AE$5:$AE$204,0)),""))</f>
        <v/>
      </c>
      <c r="E9" s="36" t="str">
        <f aca="false">IF($A9="","",IFERROR(AVERAGEIFS('רווחה - קליטה'!$AQ$5:$AQ$204,'רווחה - קליטה'!$A$5:$A$204,$A9,'רווחה - קליטה'!$C$5:$C$204,"אמצע שנה"),""))</f>
        <v/>
      </c>
      <c r="F9" s="28" t="str">
        <f aca="false">IF($A9="","",IFERROR(AVERAGEIFS('רווחה - קליטה'!$AK$5:$AK$204,'רווחה - קליטה'!$A$5:$A$204,$A9,'רווחה - קליטה'!$C$5:$C$204,"אמצע שנה"),""))</f>
        <v/>
      </c>
      <c r="G9" s="27" t="str">
        <f aca="false">IF($A9="","",IFERROR(INDEX('רווחה - קליטה'!$AS$5:$AS$204,MATCH($A9&amp;"|אמצע שנה",'רווחה - קליטה'!$AE$5:$AE$204,0)),""))</f>
        <v/>
      </c>
      <c r="H9" s="36" t="str">
        <f aca="false">IF($A9="","",IFERROR(AVERAGEIFS('רווחה - קליטה'!$AQ$5:$AQ$204,'רווחה - קליטה'!$A$5:$A$204,$A9,'רווחה - קליטה'!$C$5:$C$204,"סוף שנה"),""))</f>
        <v/>
      </c>
      <c r="I9" s="28" t="str">
        <f aca="false">IF($A9="","",IFERROR(AVERAGEIFS('רווחה - קליטה'!$AK$5:$AK$204,'רווחה - קליטה'!$A$5:$A$204,$A9,'רווחה - קליטה'!$C$5:$C$204,"סוף שנה"),""))</f>
        <v/>
      </c>
      <c r="J9" s="27" t="str">
        <f aca="false">IF($A9="","",IFERROR(INDEX('רווחה - קליטה'!$AS$5:$AS$204,MATCH($A9&amp;"|סוף שנה",'רווחה - קליטה'!$AE$5:$AE$204,0)),""))</f>
        <v/>
      </c>
      <c r="K9" s="37" t="str">
        <f aca="false">IF(AND(ISNUMBER(B9),ISNUMBER(H9)),H9-B9,"")</f>
        <v/>
      </c>
      <c r="L9" s="27" t="str">
        <f aca="false">IF(K9="","",IF(K9&gt;=0.5,"עלייה",IF(K9&lt;=-0.5,"ירידה","יציב")))</f>
        <v/>
      </c>
    </row>
    <row r="10" customFormat="false" ht="15" hidden="false" customHeight="false" outlineLevel="0" collapsed="false">
      <c r="A10" s="29"/>
      <c r="B10" s="36" t="str">
        <f aca="false">IF($A10="","",IFERROR(AVERAGEIFS('רווחה - קליטה'!$AQ$5:$AQ$204,'רווחה - קליטה'!$A$5:$A$204,$A10,'רווחה - קליטה'!$C$5:$C$204,"תחילת שנה"),""))</f>
        <v/>
      </c>
      <c r="C10" s="28" t="str">
        <f aca="false">IF($A10="","",IFERROR(AVERAGEIFS('רווחה - קליטה'!$AK$5:$AK$204,'רווחה - קליטה'!$A$5:$A$204,$A10,'רווחה - קליטה'!$C$5:$C$204,"תחילת שנה"),""))</f>
        <v/>
      </c>
      <c r="D10" s="27" t="str">
        <f aca="false">IF($A10="","",IFERROR(INDEX('רווחה - קליטה'!$AS$5:$AS$204,MATCH($A10&amp;"|תחילת שנה",'רווחה - קליטה'!$AE$5:$AE$204,0)),""))</f>
        <v/>
      </c>
      <c r="E10" s="36" t="str">
        <f aca="false">IF($A10="","",IFERROR(AVERAGEIFS('רווחה - קליטה'!$AQ$5:$AQ$204,'רווחה - קליטה'!$A$5:$A$204,$A10,'רווחה - קליטה'!$C$5:$C$204,"אמצע שנה"),""))</f>
        <v/>
      </c>
      <c r="F10" s="28" t="str">
        <f aca="false">IF($A10="","",IFERROR(AVERAGEIFS('רווחה - קליטה'!$AK$5:$AK$204,'רווחה - קליטה'!$A$5:$A$204,$A10,'רווחה - קליטה'!$C$5:$C$204,"אמצע שנה"),""))</f>
        <v/>
      </c>
      <c r="G10" s="27" t="str">
        <f aca="false">IF($A10="","",IFERROR(INDEX('רווחה - קליטה'!$AS$5:$AS$204,MATCH($A10&amp;"|אמצע שנה",'רווחה - קליטה'!$AE$5:$AE$204,0)),""))</f>
        <v/>
      </c>
      <c r="H10" s="36" t="str">
        <f aca="false">IF($A10="","",IFERROR(AVERAGEIFS('רווחה - קליטה'!$AQ$5:$AQ$204,'רווחה - קליטה'!$A$5:$A$204,$A10,'רווחה - קליטה'!$C$5:$C$204,"סוף שנה"),""))</f>
        <v/>
      </c>
      <c r="I10" s="28" t="str">
        <f aca="false">IF($A10="","",IFERROR(AVERAGEIFS('רווחה - קליטה'!$AK$5:$AK$204,'רווחה - קליטה'!$A$5:$A$204,$A10,'רווחה - קליטה'!$C$5:$C$204,"סוף שנה"),""))</f>
        <v/>
      </c>
      <c r="J10" s="27" t="str">
        <f aca="false">IF($A10="","",IFERROR(INDEX('רווחה - קליטה'!$AS$5:$AS$204,MATCH($A10&amp;"|סוף שנה",'רווחה - קליטה'!$AE$5:$AE$204,0)),""))</f>
        <v/>
      </c>
      <c r="K10" s="37" t="str">
        <f aca="false">IF(AND(ISNUMBER(B10),ISNUMBER(H10)),H10-B10,"")</f>
        <v/>
      </c>
      <c r="L10" s="27" t="str">
        <f aca="false">IF(K10="","",IF(K10&gt;=0.5,"עלייה",IF(K10&lt;=-0.5,"ירידה","יציב")))</f>
        <v/>
      </c>
    </row>
    <row r="11" customFormat="false" ht="15" hidden="false" customHeight="false" outlineLevel="0" collapsed="false">
      <c r="A11" s="29"/>
      <c r="B11" s="36" t="str">
        <f aca="false">IF($A11="","",IFERROR(AVERAGEIFS('רווחה - קליטה'!$AQ$5:$AQ$204,'רווחה - קליטה'!$A$5:$A$204,$A11,'רווחה - קליטה'!$C$5:$C$204,"תחילת שנה"),""))</f>
        <v/>
      </c>
      <c r="C11" s="28" t="str">
        <f aca="false">IF($A11="","",IFERROR(AVERAGEIFS('רווחה - קליטה'!$AK$5:$AK$204,'רווחה - קליטה'!$A$5:$A$204,$A11,'רווחה - קליטה'!$C$5:$C$204,"תחילת שנה"),""))</f>
        <v/>
      </c>
      <c r="D11" s="27" t="str">
        <f aca="false">IF($A11="","",IFERROR(INDEX('רווחה - קליטה'!$AS$5:$AS$204,MATCH($A11&amp;"|תחילת שנה",'רווחה - קליטה'!$AE$5:$AE$204,0)),""))</f>
        <v/>
      </c>
      <c r="E11" s="36" t="str">
        <f aca="false">IF($A11="","",IFERROR(AVERAGEIFS('רווחה - קליטה'!$AQ$5:$AQ$204,'רווחה - קליטה'!$A$5:$A$204,$A11,'רווחה - קליטה'!$C$5:$C$204,"אמצע שנה"),""))</f>
        <v/>
      </c>
      <c r="F11" s="28" t="str">
        <f aca="false">IF($A11="","",IFERROR(AVERAGEIFS('רווחה - קליטה'!$AK$5:$AK$204,'רווחה - קליטה'!$A$5:$A$204,$A11,'רווחה - קליטה'!$C$5:$C$204,"אמצע שנה"),""))</f>
        <v/>
      </c>
      <c r="G11" s="27" t="str">
        <f aca="false">IF($A11="","",IFERROR(INDEX('רווחה - קליטה'!$AS$5:$AS$204,MATCH($A11&amp;"|אמצע שנה",'רווחה - קליטה'!$AE$5:$AE$204,0)),""))</f>
        <v/>
      </c>
      <c r="H11" s="36" t="str">
        <f aca="false">IF($A11="","",IFERROR(AVERAGEIFS('רווחה - קליטה'!$AQ$5:$AQ$204,'רווחה - קליטה'!$A$5:$A$204,$A11,'רווחה - קליטה'!$C$5:$C$204,"סוף שנה"),""))</f>
        <v/>
      </c>
      <c r="I11" s="28" t="str">
        <f aca="false">IF($A11="","",IFERROR(AVERAGEIFS('רווחה - קליטה'!$AK$5:$AK$204,'רווחה - קליטה'!$A$5:$A$204,$A11,'רווחה - קליטה'!$C$5:$C$204,"סוף שנה"),""))</f>
        <v/>
      </c>
      <c r="J11" s="27" t="str">
        <f aca="false">IF($A11="","",IFERROR(INDEX('רווחה - קליטה'!$AS$5:$AS$204,MATCH($A11&amp;"|סוף שנה",'רווחה - קליטה'!$AE$5:$AE$204,0)),""))</f>
        <v/>
      </c>
      <c r="K11" s="37" t="str">
        <f aca="false">IF(AND(ISNUMBER(B11),ISNUMBER(H11)),H11-B11,"")</f>
        <v/>
      </c>
      <c r="L11" s="27" t="str">
        <f aca="false">IF(K11="","",IF(K11&gt;=0.5,"עלייה",IF(K11&lt;=-0.5,"ירידה","יציב")))</f>
        <v/>
      </c>
    </row>
    <row r="12" customFormat="false" ht="15" hidden="false" customHeight="false" outlineLevel="0" collapsed="false">
      <c r="A12" s="29"/>
      <c r="B12" s="36" t="str">
        <f aca="false">IF($A12="","",IFERROR(AVERAGEIFS('רווחה - קליטה'!$AQ$5:$AQ$204,'רווחה - קליטה'!$A$5:$A$204,$A12,'רווחה - קליטה'!$C$5:$C$204,"תחילת שנה"),""))</f>
        <v/>
      </c>
      <c r="C12" s="28" t="str">
        <f aca="false">IF($A12="","",IFERROR(AVERAGEIFS('רווחה - קליטה'!$AK$5:$AK$204,'רווחה - קליטה'!$A$5:$A$204,$A12,'רווחה - קליטה'!$C$5:$C$204,"תחילת שנה"),""))</f>
        <v/>
      </c>
      <c r="D12" s="27" t="str">
        <f aca="false">IF($A12="","",IFERROR(INDEX('רווחה - קליטה'!$AS$5:$AS$204,MATCH($A12&amp;"|תחילת שנה",'רווחה - קליטה'!$AE$5:$AE$204,0)),""))</f>
        <v/>
      </c>
      <c r="E12" s="36" t="str">
        <f aca="false">IF($A12="","",IFERROR(AVERAGEIFS('רווחה - קליטה'!$AQ$5:$AQ$204,'רווחה - קליטה'!$A$5:$A$204,$A12,'רווחה - קליטה'!$C$5:$C$204,"אמצע שנה"),""))</f>
        <v/>
      </c>
      <c r="F12" s="28" t="str">
        <f aca="false">IF($A12="","",IFERROR(AVERAGEIFS('רווחה - קליטה'!$AK$5:$AK$204,'רווחה - קליטה'!$A$5:$A$204,$A12,'רווחה - קליטה'!$C$5:$C$204,"אמצע שנה"),""))</f>
        <v/>
      </c>
      <c r="G12" s="27" t="str">
        <f aca="false">IF($A12="","",IFERROR(INDEX('רווחה - קליטה'!$AS$5:$AS$204,MATCH($A12&amp;"|אמצע שנה",'רווחה - קליטה'!$AE$5:$AE$204,0)),""))</f>
        <v/>
      </c>
      <c r="H12" s="36" t="str">
        <f aca="false">IF($A12="","",IFERROR(AVERAGEIFS('רווחה - קליטה'!$AQ$5:$AQ$204,'רווחה - קליטה'!$A$5:$A$204,$A12,'רווחה - קליטה'!$C$5:$C$204,"סוף שנה"),""))</f>
        <v/>
      </c>
      <c r="I12" s="28" t="str">
        <f aca="false">IF($A12="","",IFERROR(AVERAGEIFS('רווחה - קליטה'!$AK$5:$AK$204,'רווחה - קליטה'!$A$5:$A$204,$A12,'רווחה - קליטה'!$C$5:$C$204,"סוף שנה"),""))</f>
        <v/>
      </c>
      <c r="J12" s="27" t="str">
        <f aca="false">IF($A12="","",IFERROR(INDEX('רווחה - קליטה'!$AS$5:$AS$204,MATCH($A12&amp;"|סוף שנה",'רווחה - קליטה'!$AE$5:$AE$204,0)),""))</f>
        <v/>
      </c>
      <c r="K12" s="37" t="str">
        <f aca="false">IF(AND(ISNUMBER(B12),ISNUMBER(H12)),H12-B12,"")</f>
        <v/>
      </c>
      <c r="L12" s="27" t="str">
        <f aca="false">IF(K12="","",IF(K12&gt;=0.5,"עלייה",IF(K12&lt;=-0.5,"ירידה","יציב")))</f>
        <v/>
      </c>
    </row>
    <row r="13" customFormat="false" ht="15" hidden="false" customHeight="false" outlineLevel="0" collapsed="false">
      <c r="A13" s="29"/>
      <c r="B13" s="36" t="str">
        <f aca="false">IF($A13="","",IFERROR(AVERAGEIFS('רווחה - קליטה'!$AQ$5:$AQ$204,'רווחה - קליטה'!$A$5:$A$204,$A13,'רווחה - קליטה'!$C$5:$C$204,"תחילת שנה"),""))</f>
        <v/>
      </c>
      <c r="C13" s="28" t="str">
        <f aca="false">IF($A13="","",IFERROR(AVERAGEIFS('רווחה - קליטה'!$AK$5:$AK$204,'רווחה - קליטה'!$A$5:$A$204,$A13,'רווחה - קליטה'!$C$5:$C$204,"תחילת שנה"),""))</f>
        <v/>
      </c>
      <c r="D13" s="27" t="str">
        <f aca="false">IF($A13="","",IFERROR(INDEX('רווחה - קליטה'!$AS$5:$AS$204,MATCH($A13&amp;"|תחילת שנה",'רווחה - קליטה'!$AE$5:$AE$204,0)),""))</f>
        <v/>
      </c>
      <c r="E13" s="36" t="str">
        <f aca="false">IF($A13="","",IFERROR(AVERAGEIFS('רווחה - קליטה'!$AQ$5:$AQ$204,'רווחה - קליטה'!$A$5:$A$204,$A13,'רווחה - קליטה'!$C$5:$C$204,"אמצע שנה"),""))</f>
        <v/>
      </c>
      <c r="F13" s="28" t="str">
        <f aca="false">IF($A13="","",IFERROR(AVERAGEIFS('רווחה - קליטה'!$AK$5:$AK$204,'רווחה - קליטה'!$A$5:$A$204,$A13,'רווחה - קליטה'!$C$5:$C$204,"אמצע שנה"),""))</f>
        <v/>
      </c>
      <c r="G13" s="27" t="str">
        <f aca="false">IF($A13="","",IFERROR(INDEX('רווחה - קליטה'!$AS$5:$AS$204,MATCH($A13&amp;"|אמצע שנה",'רווחה - קליטה'!$AE$5:$AE$204,0)),""))</f>
        <v/>
      </c>
      <c r="H13" s="36" t="str">
        <f aca="false">IF($A13="","",IFERROR(AVERAGEIFS('רווחה - קליטה'!$AQ$5:$AQ$204,'רווחה - קליטה'!$A$5:$A$204,$A13,'רווחה - קליטה'!$C$5:$C$204,"סוף שנה"),""))</f>
        <v/>
      </c>
      <c r="I13" s="28" t="str">
        <f aca="false">IF($A13="","",IFERROR(AVERAGEIFS('רווחה - קליטה'!$AK$5:$AK$204,'רווחה - קליטה'!$A$5:$A$204,$A13,'רווחה - קליטה'!$C$5:$C$204,"סוף שנה"),""))</f>
        <v/>
      </c>
      <c r="J13" s="27" t="str">
        <f aca="false">IF($A13="","",IFERROR(INDEX('רווחה - קליטה'!$AS$5:$AS$204,MATCH($A13&amp;"|סוף שנה",'רווחה - קליטה'!$AE$5:$AE$204,0)),""))</f>
        <v/>
      </c>
      <c r="K13" s="37" t="str">
        <f aca="false">IF(AND(ISNUMBER(B13),ISNUMBER(H13)),H13-B13,"")</f>
        <v/>
      </c>
      <c r="L13" s="27" t="str">
        <f aca="false">IF(K13="","",IF(K13&gt;=0.5,"עלייה",IF(K13&lt;=-0.5,"ירידה","יציב")))</f>
        <v/>
      </c>
    </row>
    <row r="14" customFormat="false" ht="15" hidden="false" customHeight="false" outlineLevel="0" collapsed="false">
      <c r="A14" s="29"/>
      <c r="B14" s="36" t="str">
        <f aca="false">IF($A14="","",IFERROR(AVERAGEIFS('רווחה - קליטה'!$AQ$5:$AQ$204,'רווחה - קליטה'!$A$5:$A$204,$A14,'רווחה - קליטה'!$C$5:$C$204,"תחילת שנה"),""))</f>
        <v/>
      </c>
      <c r="C14" s="28" t="str">
        <f aca="false">IF($A14="","",IFERROR(AVERAGEIFS('רווחה - קליטה'!$AK$5:$AK$204,'רווחה - קליטה'!$A$5:$A$204,$A14,'רווחה - קליטה'!$C$5:$C$204,"תחילת שנה"),""))</f>
        <v/>
      </c>
      <c r="D14" s="27" t="str">
        <f aca="false">IF($A14="","",IFERROR(INDEX('רווחה - קליטה'!$AS$5:$AS$204,MATCH($A14&amp;"|תחילת שנה",'רווחה - קליטה'!$AE$5:$AE$204,0)),""))</f>
        <v/>
      </c>
      <c r="E14" s="36" t="str">
        <f aca="false">IF($A14="","",IFERROR(AVERAGEIFS('רווחה - קליטה'!$AQ$5:$AQ$204,'רווחה - קליטה'!$A$5:$A$204,$A14,'רווחה - קליטה'!$C$5:$C$204,"אמצע שנה"),""))</f>
        <v/>
      </c>
      <c r="F14" s="28" t="str">
        <f aca="false">IF($A14="","",IFERROR(AVERAGEIFS('רווחה - קליטה'!$AK$5:$AK$204,'רווחה - קליטה'!$A$5:$A$204,$A14,'רווחה - קליטה'!$C$5:$C$204,"אמצע שנה"),""))</f>
        <v/>
      </c>
      <c r="G14" s="27" t="str">
        <f aca="false">IF($A14="","",IFERROR(INDEX('רווחה - קליטה'!$AS$5:$AS$204,MATCH($A14&amp;"|אמצע שנה",'רווחה - קליטה'!$AE$5:$AE$204,0)),""))</f>
        <v/>
      </c>
      <c r="H14" s="36" t="str">
        <f aca="false">IF($A14="","",IFERROR(AVERAGEIFS('רווחה - קליטה'!$AQ$5:$AQ$204,'רווחה - קליטה'!$A$5:$A$204,$A14,'רווחה - קליטה'!$C$5:$C$204,"סוף שנה"),""))</f>
        <v/>
      </c>
      <c r="I14" s="28" t="str">
        <f aca="false">IF($A14="","",IFERROR(AVERAGEIFS('רווחה - קליטה'!$AK$5:$AK$204,'רווחה - קליטה'!$A$5:$A$204,$A14,'רווחה - קליטה'!$C$5:$C$204,"סוף שנה"),""))</f>
        <v/>
      </c>
      <c r="J14" s="27" t="str">
        <f aca="false">IF($A14="","",IFERROR(INDEX('רווחה - קליטה'!$AS$5:$AS$204,MATCH($A14&amp;"|סוף שנה",'רווחה - קליטה'!$AE$5:$AE$204,0)),""))</f>
        <v/>
      </c>
      <c r="K14" s="37" t="str">
        <f aca="false">IF(AND(ISNUMBER(B14),ISNUMBER(H14)),H14-B14,"")</f>
        <v/>
      </c>
      <c r="L14" s="27" t="str">
        <f aca="false">IF(K14="","",IF(K14&gt;=0.5,"עלייה",IF(K14&lt;=-0.5,"ירידה","יציב")))</f>
        <v/>
      </c>
    </row>
    <row r="15" customFormat="false" ht="15" hidden="false" customHeight="false" outlineLevel="0" collapsed="false">
      <c r="A15" s="29"/>
      <c r="B15" s="36" t="str">
        <f aca="false">IF($A15="","",IFERROR(AVERAGEIFS('רווחה - קליטה'!$AQ$5:$AQ$204,'רווחה - קליטה'!$A$5:$A$204,$A15,'רווחה - קליטה'!$C$5:$C$204,"תחילת שנה"),""))</f>
        <v/>
      </c>
      <c r="C15" s="28" t="str">
        <f aca="false">IF($A15="","",IFERROR(AVERAGEIFS('רווחה - קליטה'!$AK$5:$AK$204,'רווחה - קליטה'!$A$5:$A$204,$A15,'רווחה - קליטה'!$C$5:$C$204,"תחילת שנה"),""))</f>
        <v/>
      </c>
      <c r="D15" s="27" t="str">
        <f aca="false">IF($A15="","",IFERROR(INDEX('רווחה - קליטה'!$AS$5:$AS$204,MATCH($A15&amp;"|תחילת שנה",'רווחה - קליטה'!$AE$5:$AE$204,0)),""))</f>
        <v/>
      </c>
      <c r="E15" s="36" t="str">
        <f aca="false">IF($A15="","",IFERROR(AVERAGEIFS('רווחה - קליטה'!$AQ$5:$AQ$204,'רווחה - קליטה'!$A$5:$A$204,$A15,'רווחה - קליטה'!$C$5:$C$204,"אמצע שנה"),""))</f>
        <v/>
      </c>
      <c r="F15" s="28" t="str">
        <f aca="false">IF($A15="","",IFERROR(AVERAGEIFS('רווחה - קליטה'!$AK$5:$AK$204,'רווחה - קליטה'!$A$5:$A$204,$A15,'רווחה - קליטה'!$C$5:$C$204,"אמצע שנה"),""))</f>
        <v/>
      </c>
      <c r="G15" s="27" t="str">
        <f aca="false">IF($A15="","",IFERROR(INDEX('רווחה - קליטה'!$AS$5:$AS$204,MATCH($A15&amp;"|אמצע שנה",'רווחה - קליטה'!$AE$5:$AE$204,0)),""))</f>
        <v/>
      </c>
      <c r="H15" s="36" t="str">
        <f aca="false">IF($A15="","",IFERROR(AVERAGEIFS('רווחה - קליטה'!$AQ$5:$AQ$204,'רווחה - קליטה'!$A$5:$A$204,$A15,'רווחה - קליטה'!$C$5:$C$204,"סוף שנה"),""))</f>
        <v/>
      </c>
      <c r="I15" s="28" t="str">
        <f aca="false">IF($A15="","",IFERROR(AVERAGEIFS('רווחה - קליטה'!$AK$5:$AK$204,'רווחה - קליטה'!$A$5:$A$204,$A15,'רווחה - קליטה'!$C$5:$C$204,"סוף שנה"),""))</f>
        <v/>
      </c>
      <c r="J15" s="27" t="str">
        <f aca="false">IF($A15="","",IFERROR(INDEX('רווחה - קליטה'!$AS$5:$AS$204,MATCH($A15&amp;"|סוף שנה",'רווחה - קליטה'!$AE$5:$AE$204,0)),""))</f>
        <v/>
      </c>
      <c r="K15" s="37" t="str">
        <f aca="false">IF(AND(ISNUMBER(B15),ISNUMBER(H15)),H15-B15,"")</f>
        <v/>
      </c>
      <c r="L15" s="27" t="str">
        <f aca="false">IF(K15="","",IF(K15&gt;=0.5,"עלייה",IF(K15&lt;=-0.5,"ירידה","יציב")))</f>
        <v/>
      </c>
    </row>
    <row r="16" customFormat="false" ht="15" hidden="false" customHeight="false" outlineLevel="0" collapsed="false">
      <c r="A16" s="29"/>
      <c r="B16" s="36" t="str">
        <f aca="false">IF($A16="","",IFERROR(AVERAGEIFS('רווחה - קליטה'!$AQ$5:$AQ$204,'רווחה - קליטה'!$A$5:$A$204,$A16,'רווחה - קליטה'!$C$5:$C$204,"תחילת שנה"),""))</f>
        <v/>
      </c>
      <c r="C16" s="28" t="str">
        <f aca="false">IF($A16="","",IFERROR(AVERAGEIFS('רווחה - קליטה'!$AK$5:$AK$204,'רווחה - קליטה'!$A$5:$A$204,$A16,'רווחה - קליטה'!$C$5:$C$204,"תחילת שנה"),""))</f>
        <v/>
      </c>
      <c r="D16" s="27" t="str">
        <f aca="false">IF($A16="","",IFERROR(INDEX('רווחה - קליטה'!$AS$5:$AS$204,MATCH($A16&amp;"|תחילת שנה",'רווחה - קליטה'!$AE$5:$AE$204,0)),""))</f>
        <v/>
      </c>
      <c r="E16" s="36" t="str">
        <f aca="false">IF($A16="","",IFERROR(AVERAGEIFS('רווחה - קליטה'!$AQ$5:$AQ$204,'רווחה - קליטה'!$A$5:$A$204,$A16,'רווחה - קליטה'!$C$5:$C$204,"אמצע שנה"),""))</f>
        <v/>
      </c>
      <c r="F16" s="28" t="str">
        <f aca="false">IF($A16="","",IFERROR(AVERAGEIFS('רווחה - קליטה'!$AK$5:$AK$204,'רווחה - קליטה'!$A$5:$A$204,$A16,'רווחה - קליטה'!$C$5:$C$204,"אמצע שנה"),""))</f>
        <v/>
      </c>
      <c r="G16" s="27" t="str">
        <f aca="false">IF($A16="","",IFERROR(INDEX('רווחה - קליטה'!$AS$5:$AS$204,MATCH($A16&amp;"|אמצע שנה",'רווחה - קליטה'!$AE$5:$AE$204,0)),""))</f>
        <v/>
      </c>
      <c r="H16" s="36" t="str">
        <f aca="false">IF($A16="","",IFERROR(AVERAGEIFS('רווחה - קליטה'!$AQ$5:$AQ$204,'רווחה - קליטה'!$A$5:$A$204,$A16,'רווחה - קליטה'!$C$5:$C$204,"סוף שנה"),""))</f>
        <v/>
      </c>
      <c r="I16" s="28" t="str">
        <f aca="false">IF($A16="","",IFERROR(AVERAGEIFS('רווחה - קליטה'!$AK$5:$AK$204,'רווחה - קליטה'!$A$5:$A$204,$A16,'רווחה - קליטה'!$C$5:$C$204,"סוף שנה"),""))</f>
        <v/>
      </c>
      <c r="J16" s="27" t="str">
        <f aca="false">IF($A16="","",IFERROR(INDEX('רווחה - קליטה'!$AS$5:$AS$204,MATCH($A16&amp;"|סוף שנה",'רווחה - קליטה'!$AE$5:$AE$204,0)),""))</f>
        <v/>
      </c>
      <c r="K16" s="37" t="str">
        <f aca="false">IF(AND(ISNUMBER(B16),ISNUMBER(H16)),H16-B16,"")</f>
        <v/>
      </c>
      <c r="L16" s="27" t="str">
        <f aca="false">IF(K16="","",IF(K16&gt;=0.5,"עלייה",IF(K16&lt;=-0.5,"ירידה","יציב")))</f>
        <v/>
      </c>
    </row>
    <row r="17" customFormat="false" ht="15" hidden="false" customHeight="false" outlineLevel="0" collapsed="false">
      <c r="A17" s="29"/>
      <c r="B17" s="36" t="str">
        <f aca="false">IF($A17="","",IFERROR(AVERAGEIFS('רווחה - קליטה'!$AQ$5:$AQ$204,'רווחה - קליטה'!$A$5:$A$204,$A17,'רווחה - קליטה'!$C$5:$C$204,"תחילת שנה"),""))</f>
        <v/>
      </c>
      <c r="C17" s="28" t="str">
        <f aca="false">IF($A17="","",IFERROR(AVERAGEIFS('רווחה - קליטה'!$AK$5:$AK$204,'רווחה - קליטה'!$A$5:$A$204,$A17,'רווחה - קליטה'!$C$5:$C$204,"תחילת שנה"),""))</f>
        <v/>
      </c>
      <c r="D17" s="27" t="str">
        <f aca="false">IF($A17="","",IFERROR(INDEX('רווחה - קליטה'!$AS$5:$AS$204,MATCH($A17&amp;"|תחילת שנה",'רווחה - קליטה'!$AE$5:$AE$204,0)),""))</f>
        <v/>
      </c>
      <c r="E17" s="36" t="str">
        <f aca="false">IF($A17="","",IFERROR(AVERAGEIFS('רווחה - קליטה'!$AQ$5:$AQ$204,'רווחה - קליטה'!$A$5:$A$204,$A17,'רווחה - קליטה'!$C$5:$C$204,"אמצע שנה"),""))</f>
        <v/>
      </c>
      <c r="F17" s="28" t="str">
        <f aca="false">IF($A17="","",IFERROR(AVERAGEIFS('רווחה - קליטה'!$AK$5:$AK$204,'רווחה - קליטה'!$A$5:$A$204,$A17,'רווחה - קליטה'!$C$5:$C$204,"אמצע שנה"),""))</f>
        <v/>
      </c>
      <c r="G17" s="27" t="str">
        <f aca="false">IF($A17="","",IFERROR(INDEX('רווחה - קליטה'!$AS$5:$AS$204,MATCH($A17&amp;"|אמצע שנה",'רווחה - קליטה'!$AE$5:$AE$204,0)),""))</f>
        <v/>
      </c>
      <c r="H17" s="36" t="str">
        <f aca="false">IF($A17="","",IFERROR(AVERAGEIFS('רווחה - קליטה'!$AQ$5:$AQ$204,'רווחה - קליטה'!$A$5:$A$204,$A17,'רווחה - קליטה'!$C$5:$C$204,"סוף שנה"),""))</f>
        <v/>
      </c>
      <c r="I17" s="28" t="str">
        <f aca="false">IF($A17="","",IFERROR(AVERAGEIFS('רווחה - קליטה'!$AK$5:$AK$204,'רווחה - קליטה'!$A$5:$A$204,$A17,'רווחה - קליטה'!$C$5:$C$204,"סוף שנה"),""))</f>
        <v/>
      </c>
      <c r="J17" s="27" t="str">
        <f aca="false">IF($A17="","",IFERROR(INDEX('רווחה - קליטה'!$AS$5:$AS$204,MATCH($A17&amp;"|סוף שנה",'רווחה - קליטה'!$AE$5:$AE$204,0)),""))</f>
        <v/>
      </c>
      <c r="K17" s="37" t="str">
        <f aca="false">IF(AND(ISNUMBER(B17),ISNUMBER(H17)),H17-B17,"")</f>
        <v/>
      </c>
      <c r="L17" s="27" t="str">
        <f aca="false">IF(K17="","",IF(K17&gt;=0.5,"עלייה",IF(K17&lt;=-0.5,"ירידה","יציב")))</f>
        <v/>
      </c>
    </row>
    <row r="18" customFormat="false" ht="15" hidden="false" customHeight="false" outlineLevel="0" collapsed="false">
      <c r="A18" s="29"/>
      <c r="B18" s="36" t="str">
        <f aca="false">IF($A18="","",IFERROR(AVERAGEIFS('רווחה - קליטה'!$AQ$5:$AQ$204,'רווחה - קליטה'!$A$5:$A$204,$A18,'רווחה - קליטה'!$C$5:$C$204,"תחילת שנה"),""))</f>
        <v/>
      </c>
      <c r="C18" s="28" t="str">
        <f aca="false">IF($A18="","",IFERROR(AVERAGEIFS('רווחה - קליטה'!$AK$5:$AK$204,'רווחה - קליטה'!$A$5:$A$204,$A18,'רווחה - קליטה'!$C$5:$C$204,"תחילת שנה"),""))</f>
        <v/>
      </c>
      <c r="D18" s="27" t="str">
        <f aca="false">IF($A18="","",IFERROR(INDEX('רווחה - קליטה'!$AS$5:$AS$204,MATCH($A18&amp;"|תחילת שנה",'רווחה - קליטה'!$AE$5:$AE$204,0)),""))</f>
        <v/>
      </c>
      <c r="E18" s="36" t="str">
        <f aca="false">IF($A18="","",IFERROR(AVERAGEIFS('רווחה - קליטה'!$AQ$5:$AQ$204,'רווחה - קליטה'!$A$5:$A$204,$A18,'רווחה - קליטה'!$C$5:$C$204,"אמצע שנה"),""))</f>
        <v/>
      </c>
      <c r="F18" s="28" t="str">
        <f aca="false">IF($A18="","",IFERROR(AVERAGEIFS('רווחה - קליטה'!$AK$5:$AK$204,'רווחה - קליטה'!$A$5:$A$204,$A18,'רווחה - קליטה'!$C$5:$C$204,"אמצע שנה"),""))</f>
        <v/>
      </c>
      <c r="G18" s="27" t="str">
        <f aca="false">IF($A18="","",IFERROR(INDEX('רווחה - קליטה'!$AS$5:$AS$204,MATCH($A18&amp;"|אמצע שנה",'רווחה - קליטה'!$AE$5:$AE$204,0)),""))</f>
        <v/>
      </c>
      <c r="H18" s="36" t="str">
        <f aca="false">IF($A18="","",IFERROR(AVERAGEIFS('רווחה - קליטה'!$AQ$5:$AQ$204,'רווחה - קליטה'!$A$5:$A$204,$A18,'רווחה - קליטה'!$C$5:$C$204,"סוף שנה"),""))</f>
        <v/>
      </c>
      <c r="I18" s="28" t="str">
        <f aca="false">IF($A18="","",IFERROR(AVERAGEIFS('רווחה - קליטה'!$AK$5:$AK$204,'רווחה - קליטה'!$A$5:$A$204,$A18,'רווחה - קליטה'!$C$5:$C$204,"סוף שנה"),""))</f>
        <v/>
      </c>
      <c r="J18" s="27" t="str">
        <f aca="false">IF($A18="","",IFERROR(INDEX('רווחה - קליטה'!$AS$5:$AS$204,MATCH($A18&amp;"|סוף שנה",'רווחה - קליטה'!$AE$5:$AE$204,0)),""))</f>
        <v/>
      </c>
      <c r="K18" s="37" t="str">
        <f aca="false">IF(AND(ISNUMBER(B18),ISNUMBER(H18)),H18-B18,"")</f>
        <v/>
      </c>
      <c r="L18" s="27" t="str">
        <f aca="false">IF(K18="","",IF(K18&gt;=0.5,"עלייה",IF(K18&lt;=-0.5,"ירידה","יציב")))</f>
        <v/>
      </c>
    </row>
    <row r="19" customFormat="false" ht="15" hidden="false" customHeight="false" outlineLevel="0" collapsed="false">
      <c r="A19" s="29"/>
      <c r="B19" s="36" t="str">
        <f aca="false">IF($A19="","",IFERROR(AVERAGEIFS('רווחה - קליטה'!$AQ$5:$AQ$204,'רווחה - קליטה'!$A$5:$A$204,$A19,'רווחה - קליטה'!$C$5:$C$204,"תחילת שנה"),""))</f>
        <v/>
      </c>
      <c r="C19" s="28" t="str">
        <f aca="false">IF($A19="","",IFERROR(AVERAGEIFS('רווחה - קליטה'!$AK$5:$AK$204,'רווחה - קליטה'!$A$5:$A$204,$A19,'רווחה - קליטה'!$C$5:$C$204,"תחילת שנה"),""))</f>
        <v/>
      </c>
      <c r="D19" s="27" t="str">
        <f aca="false">IF($A19="","",IFERROR(INDEX('רווחה - קליטה'!$AS$5:$AS$204,MATCH($A19&amp;"|תחילת שנה",'רווחה - קליטה'!$AE$5:$AE$204,0)),""))</f>
        <v/>
      </c>
      <c r="E19" s="36" t="str">
        <f aca="false">IF($A19="","",IFERROR(AVERAGEIFS('רווחה - קליטה'!$AQ$5:$AQ$204,'רווחה - קליטה'!$A$5:$A$204,$A19,'רווחה - קליטה'!$C$5:$C$204,"אמצע שנה"),""))</f>
        <v/>
      </c>
      <c r="F19" s="28" t="str">
        <f aca="false">IF($A19="","",IFERROR(AVERAGEIFS('רווחה - קליטה'!$AK$5:$AK$204,'רווחה - קליטה'!$A$5:$A$204,$A19,'רווחה - קליטה'!$C$5:$C$204,"אמצע שנה"),""))</f>
        <v/>
      </c>
      <c r="G19" s="27" t="str">
        <f aca="false">IF($A19="","",IFERROR(INDEX('רווחה - קליטה'!$AS$5:$AS$204,MATCH($A19&amp;"|אמצע שנה",'רווחה - קליטה'!$AE$5:$AE$204,0)),""))</f>
        <v/>
      </c>
      <c r="H19" s="36" t="str">
        <f aca="false">IF($A19="","",IFERROR(AVERAGEIFS('רווחה - קליטה'!$AQ$5:$AQ$204,'רווחה - קליטה'!$A$5:$A$204,$A19,'רווחה - קליטה'!$C$5:$C$204,"סוף שנה"),""))</f>
        <v/>
      </c>
      <c r="I19" s="28" t="str">
        <f aca="false">IF($A19="","",IFERROR(AVERAGEIFS('רווחה - קליטה'!$AK$5:$AK$204,'רווחה - קליטה'!$A$5:$A$204,$A19,'רווחה - קליטה'!$C$5:$C$204,"סוף שנה"),""))</f>
        <v/>
      </c>
      <c r="J19" s="27" t="str">
        <f aca="false">IF($A19="","",IFERROR(INDEX('רווחה - קליטה'!$AS$5:$AS$204,MATCH($A19&amp;"|סוף שנה",'רווחה - קליטה'!$AE$5:$AE$204,0)),""))</f>
        <v/>
      </c>
      <c r="K19" s="37" t="str">
        <f aca="false">IF(AND(ISNUMBER(B19),ISNUMBER(H19)),H19-B19,"")</f>
        <v/>
      </c>
      <c r="L19" s="27" t="str">
        <f aca="false">IF(K19="","",IF(K19&gt;=0.5,"עלייה",IF(K19&lt;=-0.5,"ירידה","יציב")))</f>
        <v/>
      </c>
    </row>
    <row r="20" customFormat="false" ht="15" hidden="false" customHeight="false" outlineLevel="0" collapsed="false">
      <c r="A20" s="29"/>
      <c r="B20" s="36" t="str">
        <f aca="false">IF($A20="","",IFERROR(AVERAGEIFS('רווחה - קליטה'!$AQ$5:$AQ$204,'רווחה - קליטה'!$A$5:$A$204,$A20,'רווחה - קליטה'!$C$5:$C$204,"תחילת שנה"),""))</f>
        <v/>
      </c>
      <c r="C20" s="28" t="str">
        <f aca="false">IF($A20="","",IFERROR(AVERAGEIFS('רווחה - קליטה'!$AK$5:$AK$204,'רווחה - קליטה'!$A$5:$A$204,$A20,'רווחה - קליטה'!$C$5:$C$204,"תחילת שנה"),""))</f>
        <v/>
      </c>
      <c r="D20" s="27" t="str">
        <f aca="false">IF($A20="","",IFERROR(INDEX('רווחה - קליטה'!$AS$5:$AS$204,MATCH($A20&amp;"|תחילת שנה",'רווחה - קליטה'!$AE$5:$AE$204,0)),""))</f>
        <v/>
      </c>
      <c r="E20" s="36" t="str">
        <f aca="false">IF($A20="","",IFERROR(AVERAGEIFS('רווחה - קליטה'!$AQ$5:$AQ$204,'רווחה - קליטה'!$A$5:$A$204,$A20,'רווחה - קליטה'!$C$5:$C$204,"אמצע שנה"),""))</f>
        <v/>
      </c>
      <c r="F20" s="28" t="str">
        <f aca="false">IF($A20="","",IFERROR(AVERAGEIFS('רווחה - קליטה'!$AK$5:$AK$204,'רווחה - קליטה'!$A$5:$A$204,$A20,'רווחה - קליטה'!$C$5:$C$204,"אמצע שנה"),""))</f>
        <v/>
      </c>
      <c r="G20" s="27" t="str">
        <f aca="false">IF($A20="","",IFERROR(INDEX('רווחה - קליטה'!$AS$5:$AS$204,MATCH($A20&amp;"|אמצע שנה",'רווחה - קליטה'!$AE$5:$AE$204,0)),""))</f>
        <v/>
      </c>
      <c r="H20" s="36" t="str">
        <f aca="false">IF($A20="","",IFERROR(AVERAGEIFS('רווחה - קליטה'!$AQ$5:$AQ$204,'רווחה - קליטה'!$A$5:$A$204,$A20,'רווחה - קליטה'!$C$5:$C$204,"סוף שנה"),""))</f>
        <v/>
      </c>
      <c r="I20" s="28" t="str">
        <f aca="false">IF($A20="","",IFERROR(AVERAGEIFS('רווחה - קליטה'!$AK$5:$AK$204,'רווחה - קליטה'!$A$5:$A$204,$A20,'רווחה - קליטה'!$C$5:$C$204,"סוף שנה"),""))</f>
        <v/>
      </c>
      <c r="J20" s="27" t="str">
        <f aca="false">IF($A20="","",IFERROR(INDEX('רווחה - קליטה'!$AS$5:$AS$204,MATCH($A20&amp;"|סוף שנה",'רווחה - קליטה'!$AE$5:$AE$204,0)),""))</f>
        <v/>
      </c>
      <c r="K20" s="37" t="str">
        <f aca="false">IF(AND(ISNUMBER(B20),ISNUMBER(H20)),H20-B20,"")</f>
        <v/>
      </c>
      <c r="L20" s="27" t="str">
        <f aca="false">IF(K20="","",IF(K20&gt;=0.5,"עלייה",IF(K20&lt;=-0.5,"ירידה","יציב")))</f>
        <v/>
      </c>
    </row>
    <row r="21" customFormat="false" ht="15" hidden="false" customHeight="false" outlineLevel="0" collapsed="false">
      <c r="A21" s="29"/>
      <c r="B21" s="36" t="str">
        <f aca="false">IF($A21="","",IFERROR(AVERAGEIFS('רווחה - קליטה'!$AQ$5:$AQ$204,'רווחה - קליטה'!$A$5:$A$204,$A21,'רווחה - קליטה'!$C$5:$C$204,"תחילת שנה"),""))</f>
        <v/>
      </c>
      <c r="C21" s="28" t="str">
        <f aca="false">IF($A21="","",IFERROR(AVERAGEIFS('רווחה - קליטה'!$AK$5:$AK$204,'רווחה - קליטה'!$A$5:$A$204,$A21,'רווחה - קליטה'!$C$5:$C$204,"תחילת שנה"),""))</f>
        <v/>
      </c>
      <c r="D21" s="27" t="str">
        <f aca="false">IF($A21="","",IFERROR(INDEX('רווחה - קליטה'!$AS$5:$AS$204,MATCH($A21&amp;"|תחילת שנה",'רווחה - קליטה'!$AE$5:$AE$204,0)),""))</f>
        <v/>
      </c>
      <c r="E21" s="36" t="str">
        <f aca="false">IF($A21="","",IFERROR(AVERAGEIFS('רווחה - קליטה'!$AQ$5:$AQ$204,'רווחה - קליטה'!$A$5:$A$204,$A21,'רווחה - קליטה'!$C$5:$C$204,"אמצע שנה"),""))</f>
        <v/>
      </c>
      <c r="F21" s="28" t="str">
        <f aca="false">IF($A21="","",IFERROR(AVERAGEIFS('רווחה - קליטה'!$AK$5:$AK$204,'רווחה - קליטה'!$A$5:$A$204,$A21,'רווחה - קליטה'!$C$5:$C$204,"אמצע שנה"),""))</f>
        <v/>
      </c>
      <c r="G21" s="27" t="str">
        <f aca="false">IF($A21="","",IFERROR(INDEX('רווחה - קליטה'!$AS$5:$AS$204,MATCH($A21&amp;"|אמצע שנה",'רווחה - קליטה'!$AE$5:$AE$204,0)),""))</f>
        <v/>
      </c>
      <c r="H21" s="36" t="str">
        <f aca="false">IF($A21="","",IFERROR(AVERAGEIFS('רווחה - קליטה'!$AQ$5:$AQ$204,'רווחה - קליטה'!$A$5:$A$204,$A21,'רווחה - קליטה'!$C$5:$C$204,"סוף שנה"),""))</f>
        <v/>
      </c>
      <c r="I21" s="28" t="str">
        <f aca="false">IF($A21="","",IFERROR(AVERAGEIFS('רווחה - קליטה'!$AK$5:$AK$204,'רווחה - קליטה'!$A$5:$A$204,$A21,'רווחה - קליטה'!$C$5:$C$204,"סוף שנה"),""))</f>
        <v/>
      </c>
      <c r="J21" s="27" t="str">
        <f aca="false">IF($A21="","",IFERROR(INDEX('רווחה - קליטה'!$AS$5:$AS$204,MATCH($A21&amp;"|סוף שנה",'רווחה - קליטה'!$AE$5:$AE$204,0)),""))</f>
        <v/>
      </c>
      <c r="K21" s="37" t="str">
        <f aca="false">IF(AND(ISNUMBER(B21),ISNUMBER(H21)),H21-B21,"")</f>
        <v/>
      </c>
      <c r="L21" s="27" t="str">
        <f aca="false">IF(K21="","",IF(K21&gt;=0.5,"עלייה",IF(K21&lt;=-0.5,"ירידה","יציב")))</f>
        <v/>
      </c>
    </row>
    <row r="22" customFormat="false" ht="15" hidden="false" customHeight="false" outlineLevel="0" collapsed="false">
      <c r="A22" s="29"/>
      <c r="B22" s="36" t="str">
        <f aca="false">IF($A22="","",IFERROR(AVERAGEIFS('רווחה - קליטה'!$AQ$5:$AQ$204,'רווחה - קליטה'!$A$5:$A$204,$A22,'רווחה - קליטה'!$C$5:$C$204,"תחילת שנה"),""))</f>
        <v/>
      </c>
      <c r="C22" s="28" t="str">
        <f aca="false">IF($A22="","",IFERROR(AVERAGEIFS('רווחה - קליטה'!$AK$5:$AK$204,'רווחה - קליטה'!$A$5:$A$204,$A22,'רווחה - קליטה'!$C$5:$C$204,"תחילת שנה"),""))</f>
        <v/>
      </c>
      <c r="D22" s="27" t="str">
        <f aca="false">IF($A22="","",IFERROR(INDEX('רווחה - קליטה'!$AS$5:$AS$204,MATCH($A22&amp;"|תחילת שנה",'רווחה - קליטה'!$AE$5:$AE$204,0)),""))</f>
        <v/>
      </c>
      <c r="E22" s="36" t="str">
        <f aca="false">IF($A22="","",IFERROR(AVERAGEIFS('רווחה - קליטה'!$AQ$5:$AQ$204,'רווחה - קליטה'!$A$5:$A$204,$A22,'רווחה - קליטה'!$C$5:$C$204,"אמצע שנה"),""))</f>
        <v/>
      </c>
      <c r="F22" s="28" t="str">
        <f aca="false">IF($A22="","",IFERROR(AVERAGEIFS('רווחה - קליטה'!$AK$5:$AK$204,'רווחה - קליטה'!$A$5:$A$204,$A22,'רווחה - קליטה'!$C$5:$C$204,"אמצע שנה"),""))</f>
        <v/>
      </c>
      <c r="G22" s="27" t="str">
        <f aca="false">IF($A22="","",IFERROR(INDEX('רווחה - קליטה'!$AS$5:$AS$204,MATCH($A22&amp;"|אמצע שנה",'רווחה - קליטה'!$AE$5:$AE$204,0)),""))</f>
        <v/>
      </c>
      <c r="H22" s="36" t="str">
        <f aca="false">IF($A22="","",IFERROR(AVERAGEIFS('רווחה - קליטה'!$AQ$5:$AQ$204,'רווחה - קליטה'!$A$5:$A$204,$A22,'רווחה - קליטה'!$C$5:$C$204,"סוף שנה"),""))</f>
        <v/>
      </c>
      <c r="I22" s="28" t="str">
        <f aca="false">IF($A22="","",IFERROR(AVERAGEIFS('רווחה - קליטה'!$AK$5:$AK$204,'רווחה - קליטה'!$A$5:$A$204,$A22,'רווחה - קליטה'!$C$5:$C$204,"סוף שנה"),""))</f>
        <v/>
      </c>
      <c r="J22" s="27" t="str">
        <f aca="false">IF($A22="","",IFERROR(INDEX('רווחה - קליטה'!$AS$5:$AS$204,MATCH($A22&amp;"|סוף שנה",'רווחה - קליטה'!$AE$5:$AE$204,0)),""))</f>
        <v/>
      </c>
      <c r="K22" s="37" t="str">
        <f aca="false">IF(AND(ISNUMBER(B22),ISNUMBER(H22)),H22-B22,"")</f>
        <v/>
      </c>
      <c r="L22" s="27" t="str">
        <f aca="false">IF(K22="","",IF(K22&gt;=0.5,"עלייה",IF(K22&lt;=-0.5,"ירידה","יציב")))</f>
        <v/>
      </c>
    </row>
    <row r="23" customFormat="false" ht="15" hidden="false" customHeight="false" outlineLevel="0" collapsed="false">
      <c r="A23" s="29"/>
      <c r="B23" s="36" t="str">
        <f aca="false">IF($A23="","",IFERROR(AVERAGEIFS('רווחה - קליטה'!$AQ$5:$AQ$204,'רווחה - קליטה'!$A$5:$A$204,$A23,'רווחה - קליטה'!$C$5:$C$204,"תחילת שנה"),""))</f>
        <v/>
      </c>
      <c r="C23" s="28" t="str">
        <f aca="false">IF($A23="","",IFERROR(AVERAGEIFS('רווחה - קליטה'!$AK$5:$AK$204,'רווחה - קליטה'!$A$5:$A$204,$A23,'רווחה - קליטה'!$C$5:$C$204,"תחילת שנה"),""))</f>
        <v/>
      </c>
      <c r="D23" s="27" t="str">
        <f aca="false">IF($A23="","",IFERROR(INDEX('רווחה - קליטה'!$AS$5:$AS$204,MATCH($A23&amp;"|תחילת שנה",'רווחה - קליטה'!$AE$5:$AE$204,0)),""))</f>
        <v/>
      </c>
      <c r="E23" s="36" t="str">
        <f aca="false">IF($A23="","",IFERROR(AVERAGEIFS('רווחה - קליטה'!$AQ$5:$AQ$204,'רווחה - קליטה'!$A$5:$A$204,$A23,'רווחה - קליטה'!$C$5:$C$204,"אמצע שנה"),""))</f>
        <v/>
      </c>
      <c r="F23" s="28" t="str">
        <f aca="false">IF($A23="","",IFERROR(AVERAGEIFS('רווחה - קליטה'!$AK$5:$AK$204,'רווחה - קליטה'!$A$5:$A$204,$A23,'רווחה - קליטה'!$C$5:$C$204,"אמצע שנה"),""))</f>
        <v/>
      </c>
      <c r="G23" s="27" t="str">
        <f aca="false">IF($A23="","",IFERROR(INDEX('רווחה - קליטה'!$AS$5:$AS$204,MATCH($A23&amp;"|אמצע שנה",'רווחה - קליטה'!$AE$5:$AE$204,0)),""))</f>
        <v/>
      </c>
      <c r="H23" s="36" t="str">
        <f aca="false">IF($A23="","",IFERROR(AVERAGEIFS('רווחה - קליטה'!$AQ$5:$AQ$204,'רווחה - קליטה'!$A$5:$A$204,$A23,'רווחה - קליטה'!$C$5:$C$204,"סוף שנה"),""))</f>
        <v/>
      </c>
      <c r="I23" s="28" t="str">
        <f aca="false">IF($A23="","",IFERROR(AVERAGEIFS('רווחה - קליטה'!$AK$5:$AK$204,'רווחה - קליטה'!$A$5:$A$204,$A23,'רווחה - קליטה'!$C$5:$C$204,"סוף שנה"),""))</f>
        <v/>
      </c>
      <c r="J23" s="27" t="str">
        <f aca="false">IF($A23="","",IFERROR(INDEX('רווחה - קליטה'!$AS$5:$AS$204,MATCH($A23&amp;"|סוף שנה",'רווחה - קליטה'!$AE$5:$AE$204,0)),""))</f>
        <v/>
      </c>
      <c r="K23" s="37" t="str">
        <f aca="false">IF(AND(ISNUMBER(B23),ISNUMBER(H23)),H23-B23,"")</f>
        <v/>
      </c>
      <c r="L23" s="27" t="str">
        <f aca="false">IF(K23="","",IF(K23&gt;=0.5,"עלייה",IF(K23&lt;=-0.5,"ירידה","יציב")))</f>
        <v/>
      </c>
    </row>
    <row r="24" customFormat="false" ht="15" hidden="false" customHeight="false" outlineLevel="0" collapsed="false">
      <c r="A24" s="29"/>
      <c r="B24" s="36" t="str">
        <f aca="false">IF($A24="","",IFERROR(AVERAGEIFS('רווחה - קליטה'!$AQ$5:$AQ$204,'רווחה - קליטה'!$A$5:$A$204,$A24,'רווחה - קליטה'!$C$5:$C$204,"תחילת שנה"),""))</f>
        <v/>
      </c>
      <c r="C24" s="28" t="str">
        <f aca="false">IF($A24="","",IFERROR(AVERAGEIFS('רווחה - קליטה'!$AK$5:$AK$204,'רווחה - קליטה'!$A$5:$A$204,$A24,'רווחה - קליטה'!$C$5:$C$204,"תחילת שנה"),""))</f>
        <v/>
      </c>
      <c r="D24" s="27" t="str">
        <f aca="false">IF($A24="","",IFERROR(INDEX('רווחה - קליטה'!$AS$5:$AS$204,MATCH($A24&amp;"|תחילת שנה",'רווחה - קליטה'!$AE$5:$AE$204,0)),""))</f>
        <v/>
      </c>
      <c r="E24" s="36" t="str">
        <f aca="false">IF($A24="","",IFERROR(AVERAGEIFS('רווחה - קליטה'!$AQ$5:$AQ$204,'רווחה - קליטה'!$A$5:$A$204,$A24,'רווחה - קליטה'!$C$5:$C$204,"אמצע שנה"),""))</f>
        <v/>
      </c>
      <c r="F24" s="28" t="str">
        <f aca="false">IF($A24="","",IFERROR(AVERAGEIFS('רווחה - קליטה'!$AK$5:$AK$204,'רווחה - קליטה'!$A$5:$A$204,$A24,'רווחה - קליטה'!$C$5:$C$204,"אמצע שנה"),""))</f>
        <v/>
      </c>
      <c r="G24" s="27" t="str">
        <f aca="false">IF($A24="","",IFERROR(INDEX('רווחה - קליטה'!$AS$5:$AS$204,MATCH($A24&amp;"|אמצע שנה",'רווחה - קליטה'!$AE$5:$AE$204,0)),""))</f>
        <v/>
      </c>
      <c r="H24" s="36" t="str">
        <f aca="false">IF($A24="","",IFERROR(AVERAGEIFS('רווחה - קליטה'!$AQ$5:$AQ$204,'רווחה - קליטה'!$A$5:$A$204,$A24,'רווחה - קליטה'!$C$5:$C$204,"סוף שנה"),""))</f>
        <v/>
      </c>
      <c r="I24" s="28" t="str">
        <f aca="false">IF($A24="","",IFERROR(AVERAGEIFS('רווחה - קליטה'!$AK$5:$AK$204,'רווחה - קליטה'!$A$5:$A$204,$A24,'רווחה - קליטה'!$C$5:$C$204,"סוף שנה"),""))</f>
        <v/>
      </c>
      <c r="J24" s="27" t="str">
        <f aca="false">IF($A24="","",IFERROR(INDEX('רווחה - קליטה'!$AS$5:$AS$204,MATCH($A24&amp;"|סוף שנה",'רווחה - קליטה'!$AE$5:$AE$204,0)),""))</f>
        <v/>
      </c>
      <c r="K24" s="37" t="str">
        <f aca="false">IF(AND(ISNUMBER(B24),ISNUMBER(H24)),H24-B24,"")</f>
        <v/>
      </c>
      <c r="L24" s="27" t="str">
        <f aca="false">IF(K24="","",IF(K24&gt;=0.5,"עלייה",IF(K24&lt;=-0.5,"ירידה","יציב")))</f>
        <v/>
      </c>
    </row>
    <row r="25" customFormat="false" ht="15" hidden="false" customHeight="false" outlineLevel="0" collapsed="false">
      <c r="A25" s="29"/>
      <c r="B25" s="36" t="str">
        <f aca="false">IF($A25="","",IFERROR(AVERAGEIFS('רווחה - קליטה'!$AQ$5:$AQ$204,'רווחה - קליטה'!$A$5:$A$204,$A25,'רווחה - קליטה'!$C$5:$C$204,"תחילת שנה"),""))</f>
        <v/>
      </c>
      <c r="C25" s="28" t="str">
        <f aca="false">IF($A25="","",IFERROR(AVERAGEIFS('רווחה - קליטה'!$AK$5:$AK$204,'רווחה - קליטה'!$A$5:$A$204,$A25,'רווחה - קליטה'!$C$5:$C$204,"תחילת שנה"),""))</f>
        <v/>
      </c>
      <c r="D25" s="27" t="str">
        <f aca="false">IF($A25="","",IFERROR(INDEX('רווחה - קליטה'!$AS$5:$AS$204,MATCH($A25&amp;"|תחילת שנה",'רווחה - קליטה'!$AE$5:$AE$204,0)),""))</f>
        <v/>
      </c>
      <c r="E25" s="36" t="str">
        <f aca="false">IF($A25="","",IFERROR(AVERAGEIFS('רווחה - קליטה'!$AQ$5:$AQ$204,'רווחה - קליטה'!$A$5:$A$204,$A25,'רווחה - קליטה'!$C$5:$C$204,"אמצע שנה"),""))</f>
        <v/>
      </c>
      <c r="F25" s="28" t="str">
        <f aca="false">IF($A25="","",IFERROR(AVERAGEIFS('רווחה - קליטה'!$AK$5:$AK$204,'רווחה - קליטה'!$A$5:$A$204,$A25,'רווחה - קליטה'!$C$5:$C$204,"אמצע שנה"),""))</f>
        <v/>
      </c>
      <c r="G25" s="27" t="str">
        <f aca="false">IF($A25="","",IFERROR(INDEX('רווחה - קליטה'!$AS$5:$AS$204,MATCH($A25&amp;"|אמצע שנה",'רווחה - קליטה'!$AE$5:$AE$204,0)),""))</f>
        <v/>
      </c>
      <c r="H25" s="36" t="str">
        <f aca="false">IF($A25="","",IFERROR(AVERAGEIFS('רווחה - קליטה'!$AQ$5:$AQ$204,'רווחה - קליטה'!$A$5:$A$204,$A25,'רווחה - קליטה'!$C$5:$C$204,"סוף שנה"),""))</f>
        <v/>
      </c>
      <c r="I25" s="28" t="str">
        <f aca="false">IF($A25="","",IFERROR(AVERAGEIFS('רווחה - קליטה'!$AK$5:$AK$204,'רווחה - קליטה'!$A$5:$A$204,$A25,'רווחה - קליטה'!$C$5:$C$204,"סוף שנה"),""))</f>
        <v/>
      </c>
      <c r="J25" s="27" t="str">
        <f aca="false">IF($A25="","",IFERROR(INDEX('רווחה - קליטה'!$AS$5:$AS$204,MATCH($A25&amp;"|סוף שנה",'רווחה - קליטה'!$AE$5:$AE$204,0)),""))</f>
        <v/>
      </c>
      <c r="K25" s="37" t="str">
        <f aca="false">IF(AND(ISNUMBER(B25),ISNUMBER(H25)),H25-B25,"")</f>
        <v/>
      </c>
      <c r="L25" s="27" t="str">
        <f aca="false">IF(K25="","",IF(K25&gt;=0.5,"עלייה",IF(K25&lt;=-0.5,"ירידה","יציב")))</f>
        <v/>
      </c>
    </row>
    <row r="26" customFormat="false" ht="15" hidden="false" customHeight="false" outlineLevel="0" collapsed="false">
      <c r="A26" s="29"/>
      <c r="B26" s="36" t="str">
        <f aca="false">IF($A26="","",IFERROR(AVERAGEIFS('רווחה - קליטה'!$AQ$5:$AQ$204,'רווחה - קליטה'!$A$5:$A$204,$A26,'רווחה - קליטה'!$C$5:$C$204,"תחילת שנה"),""))</f>
        <v/>
      </c>
      <c r="C26" s="28" t="str">
        <f aca="false">IF($A26="","",IFERROR(AVERAGEIFS('רווחה - קליטה'!$AK$5:$AK$204,'רווחה - קליטה'!$A$5:$A$204,$A26,'רווחה - קליטה'!$C$5:$C$204,"תחילת שנה"),""))</f>
        <v/>
      </c>
      <c r="D26" s="27" t="str">
        <f aca="false">IF($A26="","",IFERROR(INDEX('רווחה - קליטה'!$AS$5:$AS$204,MATCH($A26&amp;"|תחילת שנה",'רווחה - קליטה'!$AE$5:$AE$204,0)),""))</f>
        <v/>
      </c>
      <c r="E26" s="36" t="str">
        <f aca="false">IF($A26="","",IFERROR(AVERAGEIFS('רווחה - קליטה'!$AQ$5:$AQ$204,'רווחה - קליטה'!$A$5:$A$204,$A26,'רווחה - קליטה'!$C$5:$C$204,"אמצע שנה"),""))</f>
        <v/>
      </c>
      <c r="F26" s="28" t="str">
        <f aca="false">IF($A26="","",IFERROR(AVERAGEIFS('רווחה - קליטה'!$AK$5:$AK$204,'רווחה - קליטה'!$A$5:$A$204,$A26,'רווחה - קליטה'!$C$5:$C$204,"אמצע שנה"),""))</f>
        <v/>
      </c>
      <c r="G26" s="27" t="str">
        <f aca="false">IF($A26="","",IFERROR(INDEX('רווחה - קליטה'!$AS$5:$AS$204,MATCH($A26&amp;"|אמצע שנה",'רווחה - קליטה'!$AE$5:$AE$204,0)),""))</f>
        <v/>
      </c>
      <c r="H26" s="36" t="str">
        <f aca="false">IF($A26="","",IFERROR(AVERAGEIFS('רווחה - קליטה'!$AQ$5:$AQ$204,'רווחה - קליטה'!$A$5:$A$204,$A26,'רווחה - קליטה'!$C$5:$C$204,"סוף שנה"),""))</f>
        <v/>
      </c>
      <c r="I26" s="28" t="str">
        <f aca="false">IF($A26="","",IFERROR(AVERAGEIFS('רווחה - קליטה'!$AK$5:$AK$204,'רווחה - קליטה'!$A$5:$A$204,$A26,'רווחה - קליטה'!$C$5:$C$204,"סוף שנה"),""))</f>
        <v/>
      </c>
      <c r="J26" s="27" t="str">
        <f aca="false">IF($A26="","",IFERROR(INDEX('רווחה - קליטה'!$AS$5:$AS$204,MATCH($A26&amp;"|סוף שנה",'רווחה - קליטה'!$AE$5:$AE$204,0)),""))</f>
        <v/>
      </c>
      <c r="K26" s="37" t="str">
        <f aca="false">IF(AND(ISNUMBER(B26),ISNUMBER(H26)),H26-B26,"")</f>
        <v/>
      </c>
      <c r="L26" s="27" t="str">
        <f aca="false">IF(K26="","",IF(K26&gt;=0.5,"עלייה",IF(K26&lt;=-0.5,"ירידה","יציב")))</f>
        <v/>
      </c>
    </row>
    <row r="27" customFormat="false" ht="15" hidden="false" customHeight="false" outlineLevel="0" collapsed="false">
      <c r="A27" s="29"/>
      <c r="B27" s="36" t="str">
        <f aca="false">IF($A27="","",IFERROR(AVERAGEIFS('רווחה - קליטה'!$AQ$5:$AQ$204,'רווחה - קליטה'!$A$5:$A$204,$A27,'רווחה - קליטה'!$C$5:$C$204,"תחילת שנה"),""))</f>
        <v/>
      </c>
      <c r="C27" s="28" t="str">
        <f aca="false">IF($A27="","",IFERROR(AVERAGEIFS('רווחה - קליטה'!$AK$5:$AK$204,'רווחה - קליטה'!$A$5:$A$204,$A27,'רווחה - קליטה'!$C$5:$C$204,"תחילת שנה"),""))</f>
        <v/>
      </c>
      <c r="D27" s="27" t="str">
        <f aca="false">IF($A27="","",IFERROR(INDEX('רווחה - קליטה'!$AS$5:$AS$204,MATCH($A27&amp;"|תחילת שנה",'רווחה - קליטה'!$AE$5:$AE$204,0)),""))</f>
        <v/>
      </c>
      <c r="E27" s="36" t="str">
        <f aca="false">IF($A27="","",IFERROR(AVERAGEIFS('רווחה - קליטה'!$AQ$5:$AQ$204,'רווחה - קליטה'!$A$5:$A$204,$A27,'רווחה - קליטה'!$C$5:$C$204,"אמצע שנה"),""))</f>
        <v/>
      </c>
      <c r="F27" s="28" t="str">
        <f aca="false">IF($A27="","",IFERROR(AVERAGEIFS('רווחה - קליטה'!$AK$5:$AK$204,'רווחה - קליטה'!$A$5:$A$204,$A27,'רווחה - קליטה'!$C$5:$C$204,"אמצע שנה"),""))</f>
        <v/>
      </c>
      <c r="G27" s="27" t="str">
        <f aca="false">IF($A27="","",IFERROR(INDEX('רווחה - קליטה'!$AS$5:$AS$204,MATCH($A27&amp;"|אמצע שנה",'רווחה - קליטה'!$AE$5:$AE$204,0)),""))</f>
        <v/>
      </c>
      <c r="H27" s="36" t="str">
        <f aca="false">IF($A27="","",IFERROR(AVERAGEIFS('רווחה - קליטה'!$AQ$5:$AQ$204,'רווחה - קליטה'!$A$5:$A$204,$A27,'רווחה - קליטה'!$C$5:$C$204,"סוף שנה"),""))</f>
        <v/>
      </c>
      <c r="I27" s="28" t="str">
        <f aca="false">IF($A27="","",IFERROR(AVERAGEIFS('רווחה - קליטה'!$AK$5:$AK$204,'רווחה - קליטה'!$A$5:$A$204,$A27,'רווחה - קליטה'!$C$5:$C$204,"סוף שנה"),""))</f>
        <v/>
      </c>
      <c r="J27" s="27" t="str">
        <f aca="false">IF($A27="","",IFERROR(INDEX('רווחה - קליטה'!$AS$5:$AS$204,MATCH($A27&amp;"|סוף שנה",'רווחה - קליטה'!$AE$5:$AE$204,0)),""))</f>
        <v/>
      </c>
      <c r="K27" s="37" t="str">
        <f aca="false">IF(AND(ISNUMBER(B27),ISNUMBER(H27)),H27-B27,"")</f>
        <v/>
      </c>
      <c r="L27" s="27" t="str">
        <f aca="false">IF(K27="","",IF(K27&gt;=0.5,"עלייה",IF(K27&lt;=-0.5,"ירידה","יציב")))</f>
        <v/>
      </c>
    </row>
    <row r="28" customFormat="false" ht="15" hidden="false" customHeight="false" outlineLevel="0" collapsed="false">
      <c r="A28" s="29"/>
      <c r="B28" s="36" t="str">
        <f aca="false">IF($A28="","",IFERROR(AVERAGEIFS('רווחה - קליטה'!$AQ$5:$AQ$204,'רווחה - קליטה'!$A$5:$A$204,$A28,'רווחה - קליטה'!$C$5:$C$204,"תחילת שנה"),""))</f>
        <v/>
      </c>
      <c r="C28" s="28" t="str">
        <f aca="false">IF($A28="","",IFERROR(AVERAGEIFS('רווחה - קליטה'!$AK$5:$AK$204,'רווחה - קליטה'!$A$5:$A$204,$A28,'רווחה - קליטה'!$C$5:$C$204,"תחילת שנה"),""))</f>
        <v/>
      </c>
      <c r="D28" s="27" t="str">
        <f aca="false">IF($A28="","",IFERROR(INDEX('רווחה - קליטה'!$AS$5:$AS$204,MATCH($A28&amp;"|תחילת שנה",'רווחה - קליטה'!$AE$5:$AE$204,0)),""))</f>
        <v/>
      </c>
      <c r="E28" s="36" t="str">
        <f aca="false">IF($A28="","",IFERROR(AVERAGEIFS('רווחה - קליטה'!$AQ$5:$AQ$204,'רווחה - קליטה'!$A$5:$A$204,$A28,'רווחה - קליטה'!$C$5:$C$204,"אמצע שנה"),""))</f>
        <v/>
      </c>
      <c r="F28" s="28" t="str">
        <f aca="false">IF($A28="","",IFERROR(AVERAGEIFS('רווחה - קליטה'!$AK$5:$AK$204,'רווחה - קליטה'!$A$5:$A$204,$A28,'רווחה - קליטה'!$C$5:$C$204,"אמצע שנה"),""))</f>
        <v/>
      </c>
      <c r="G28" s="27" t="str">
        <f aca="false">IF($A28="","",IFERROR(INDEX('רווחה - קליטה'!$AS$5:$AS$204,MATCH($A28&amp;"|אמצע שנה",'רווחה - קליטה'!$AE$5:$AE$204,0)),""))</f>
        <v/>
      </c>
      <c r="H28" s="36" t="str">
        <f aca="false">IF($A28="","",IFERROR(AVERAGEIFS('רווחה - קליטה'!$AQ$5:$AQ$204,'רווחה - קליטה'!$A$5:$A$204,$A28,'רווחה - קליטה'!$C$5:$C$204,"סוף שנה"),""))</f>
        <v/>
      </c>
      <c r="I28" s="28" t="str">
        <f aca="false">IF($A28="","",IFERROR(AVERAGEIFS('רווחה - קליטה'!$AK$5:$AK$204,'רווחה - קליטה'!$A$5:$A$204,$A28,'רווחה - קליטה'!$C$5:$C$204,"סוף שנה"),""))</f>
        <v/>
      </c>
      <c r="J28" s="27" t="str">
        <f aca="false">IF($A28="","",IFERROR(INDEX('רווחה - קליטה'!$AS$5:$AS$204,MATCH($A28&amp;"|סוף שנה",'רווחה - קליטה'!$AE$5:$AE$204,0)),""))</f>
        <v/>
      </c>
      <c r="K28" s="37" t="str">
        <f aca="false">IF(AND(ISNUMBER(B28),ISNUMBER(H28)),H28-B28,"")</f>
        <v/>
      </c>
      <c r="L28" s="27" t="str">
        <f aca="false">IF(K28="","",IF(K28&gt;=0.5,"עלייה",IF(K28&lt;=-0.5,"ירידה","יציב")))</f>
        <v/>
      </c>
    </row>
    <row r="29" customFormat="false" ht="15" hidden="false" customHeight="false" outlineLevel="0" collapsed="false">
      <c r="A29" s="29"/>
      <c r="B29" s="36" t="str">
        <f aca="false">IF($A29="","",IFERROR(AVERAGEIFS('רווחה - קליטה'!$AQ$5:$AQ$204,'רווחה - קליטה'!$A$5:$A$204,$A29,'רווחה - קליטה'!$C$5:$C$204,"תחילת שנה"),""))</f>
        <v/>
      </c>
      <c r="C29" s="28" t="str">
        <f aca="false">IF($A29="","",IFERROR(AVERAGEIFS('רווחה - קליטה'!$AK$5:$AK$204,'רווחה - קליטה'!$A$5:$A$204,$A29,'רווחה - קליטה'!$C$5:$C$204,"תחילת שנה"),""))</f>
        <v/>
      </c>
      <c r="D29" s="27" t="str">
        <f aca="false">IF($A29="","",IFERROR(INDEX('רווחה - קליטה'!$AS$5:$AS$204,MATCH($A29&amp;"|תחילת שנה",'רווחה - קליטה'!$AE$5:$AE$204,0)),""))</f>
        <v/>
      </c>
      <c r="E29" s="36" t="str">
        <f aca="false">IF($A29="","",IFERROR(AVERAGEIFS('רווחה - קליטה'!$AQ$5:$AQ$204,'רווחה - קליטה'!$A$5:$A$204,$A29,'רווחה - קליטה'!$C$5:$C$204,"אמצע שנה"),""))</f>
        <v/>
      </c>
      <c r="F29" s="28" t="str">
        <f aca="false">IF($A29="","",IFERROR(AVERAGEIFS('רווחה - קליטה'!$AK$5:$AK$204,'רווחה - קליטה'!$A$5:$A$204,$A29,'רווחה - קליטה'!$C$5:$C$204,"אמצע שנה"),""))</f>
        <v/>
      </c>
      <c r="G29" s="27" t="str">
        <f aca="false">IF($A29="","",IFERROR(INDEX('רווחה - קליטה'!$AS$5:$AS$204,MATCH($A29&amp;"|אמצע שנה",'רווחה - קליטה'!$AE$5:$AE$204,0)),""))</f>
        <v/>
      </c>
      <c r="H29" s="36" t="str">
        <f aca="false">IF($A29="","",IFERROR(AVERAGEIFS('רווחה - קליטה'!$AQ$5:$AQ$204,'רווחה - קליטה'!$A$5:$A$204,$A29,'רווחה - קליטה'!$C$5:$C$204,"סוף שנה"),""))</f>
        <v/>
      </c>
      <c r="I29" s="28" t="str">
        <f aca="false">IF($A29="","",IFERROR(AVERAGEIFS('רווחה - קליטה'!$AK$5:$AK$204,'רווחה - קליטה'!$A$5:$A$204,$A29,'רווחה - קליטה'!$C$5:$C$204,"סוף שנה"),""))</f>
        <v/>
      </c>
      <c r="J29" s="27" t="str">
        <f aca="false">IF($A29="","",IFERROR(INDEX('רווחה - קליטה'!$AS$5:$AS$204,MATCH($A29&amp;"|סוף שנה",'רווחה - קליטה'!$AE$5:$AE$204,0)),""))</f>
        <v/>
      </c>
      <c r="K29" s="37" t="str">
        <f aca="false">IF(AND(ISNUMBER(B29),ISNUMBER(H29)),H29-B29,"")</f>
        <v/>
      </c>
      <c r="L29" s="27" t="str">
        <f aca="false">IF(K29="","",IF(K29&gt;=0.5,"עלייה",IF(K29&lt;=-0.5,"ירידה","יציב")))</f>
        <v/>
      </c>
    </row>
    <row r="30" customFormat="false" ht="15" hidden="false" customHeight="false" outlineLevel="0" collapsed="false">
      <c r="A30" s="29"/>
      <c r="B30" s="36" t="str">
        <f aca="false">IF($A30="","",IFERROR(AVERAGEIFS('רווחה - קליטה'!$AQ$5:$AQ$204,'רווחה - קליטה'!$A$5:$A$204,$A30,'רווחה - קליטה'!$C$5:$C$204,"תחילת שנה"),""))</f>
        <v/>
      </c>
      <c r="C30" s="28" t="str">
        <f aca="false">IF($A30="","",IFERROR(AVERAGEIFS('רווחה - קליטה'!$AK$5:$AK$204,'רווחה - קליטה'!$A$5:$A$204,$A30,'רווחה - קליטה'!$C$5:$C$204,"תחילת שנה"),""))</f>
        <v/>
      </c>
      <c r="D30" s="27" t="str">
        <f aca="false">IF($A30="","",IFERROR(INDEX('רווחה - קליטה'!$AS$5:$AS$204,MATCH($A30&amp;"|תחילת שנה",'רווחה - קליטה'!$AE$5:$AE$204,0)),""))</f>
        <v/>
      </c>
      <c r="E30" s="36" t="str">
        <f aca="false">IF($A30="","",IFERROR(AVERAGEIFS('רווחה - קליטה'!$AQ$5:$AQ$204,'רווחה - קליטה'!$A$5:$A$204,$A30,'רווחה - קליטה'!$C$5:$C$204,"אמצע שנה"),""))</f>
        <v/>
      </c>
      <c r="F30" s="28" t="str">
        <f aca="false">IF($A30="","",IFERROR(AVERAGEIFS('רווחה - קליטה'!$AK$5:$AK$204,'רווחה - קליטה'!$A$5:$A$204,$A30,'רווחה - קליטה'!$C$5:$C$204,"אמצע שנה"),""))</f>
        <v/>
      </c>
      <c r="G30" s="27" t="str">
        <f aca="false">IF($A30="","",IFERROR(INDEX('רווחה - קליטה'!$AS$5:$AS$204,MATCH($A30&amp;"|אמצע שנה",'רווחה - קליטה'!$AE$5:$AE$204,0)),""))</f>
        <v/>
      </c>
      <c r="H30" s="36" t="str">
        <f aca="false">IF($A30="","",IFERROR(AVERAGEIFS('רווחה - קליטה'!$AQ$5:$AQ$204,'רווחה - קליטה'!$A$5:$A$204,$A30,'רווחה - קליטה'!$C$5:$C$204,"סוף שנה"),""))</f>
        <v/>
      </c>
      <c r="I30" s="28" t="str">
        <f aca="false">IF($A30="","",IFERROR(AVERAGEIFS('רווחה - קליטה'!$AK$5:$AK$204,'רווחה - קליטה'!$A$5:$A$204,$A30,'רווחה - קליטה'!$C$5:$C$204,"סוף שנה"),""))</f>
        <v/>
      </c>
      <c r="J30" s="27" t="str">
        <f aca="false">IF($A30="","",IFERROR(INDEX('רווחה - קליטה'!$AS$5:$AS$204,MATCH($A30&amp;"|סוף שנה",'רווחה - קליטה'!$AE$5:$AE$204,0)),""))</f>
        <v/>
      </c>
      <c r="K30" s="37" t="str">
        <f aca="false">IF(AND(ISNUMBER(B30),ISNUMBER(H30)),H30-B30,"")</f>
        <v/>
      </c>
      <c r="L30" s="27" t="str">
        <f aca="false">IF(K30="","",IF(K30&gt;=0.5,"עלייה",IF(K30&lt;=-0.5,"ירידה","יציב")))</f>
        <v/>
      </c>
    </row>
    <row r="31" customFormat="false" ht="15" hidden="false" customHeight="false" outlineLevel="0" collapsed="false">
      <c r="A31" s="29"/>
      <c r="B31" s="36" t="str">
        <f aca="false">IF($A31="","",IFERROR(AVERAGEIFS('רווחה - קליטה'!$AQ$5:$AQ$204,'רווחה - קליטה'!$A$5:$A$204,$A31,'רווחה - קליטה'!$C$5:$C$204,"תחילת שנה"),""))</f>
        <v/>
      </c>
      <c r="C31" s="28" t="str">
        <f aca="false">IF($A31="","",IFERROR(AVERAGEIFS('רווחה - קליטה'!$AK$5:$AK$204,'רווחה - קליטה'!$A$5:$A$204,$A31,'רווחה - קליטה'!$C$5:$C$204,"תחילת שנה"),""))</f>
        <v/>
      </c>
      <c r="D31" s="27" t="str">
        <f aca="false">IF($A31="","",IFERROR(INDEX('רווחה - קליטה'!$AS$5:$AS$204,MATCH($A31&amp;"|תחילת שנה",'רווחה - קליטה'!$AE$5:$AE$204,0)),""))</f>
        <v/>
      </c>
      <c r="E31" s="36" t="str">
        <f aca="false">IF($A31="","",IFERROR(AVERAGEIFS('רווחה - קליטה'!$AQ$5:$AQ$204,'רווחה - קליטה'!$A$5:$A$204,$A31,'רווחה - קליטה'!$C$5:$C$204,"אמצע שנה"),""))</f>
        <v/>
      </c>
      <c r="F31" s="28" t="str">
        <f aca="false">IF($A31="","",IFERROR(AVERAGEIFS('רווחה - קליטה'!$AK$5:$AK$204,'רווחה - קליטה'!$A$5:$A$204,$A31,'רווחה - קליטה'!$C$5:$C$204,"אמצע שנה"),""))</f>
        <v/>
      </c>
      <c r="G31" s="27" t="str">
        <f aca="false">IF($A31="","",IFERROR(INDEX('רווחה - קליטה'!$AS$5:$AS$204,MATCH($A31&amp;"|אמצע שנה",'רווחה - קליטה'!$AE$5:$AE$204,0)),""))</f>
        <v/>
      </c>
      <c r="H31" s="36" t="str">
        <f aca="false">IF($A31="","",IFERROR(AVERAGEIFS('רווחה - קליטה'!$AQ$5:$AQ$204,'רווחה - קליטה'!$A$5:$A$204,$A31,'רווחה - קליטה'!$C$5:$C$204,"סוף שנה"),""))</f>
        <v/>
      </c>
      <c r="I31" s="28" t="str">
        <f aca="false">IF($A31="","",IFERROR(AVERAGEIFS('רווחה - קליטה'!$AK$5:$AK$204,'רווחה - קליטה'!$A$5:$A$204,$A31,'רווחה - קליטה'!$C$5:$C$204,"סוף שנה"),""))</f>
        <v/>
      </c>
      <c r="J31" s="27" t="str">
        <f aca="false">IF($A31="","",IFERROR(INDEX('רווחה - קליטה'!$AS$5:$AS$204,MATCH($A31&amp;"|סוף שנה",'רווחה - קליטה'!$AE$5:$AE$204,0)),""))</f>
        <v/>
      </c>
      <c r="K31" s="37" t="str">
        <f aca="false">IF(AND(ISNUMBER(B31),ISNUMBER(H31)),H31-B31,"")</f>
        <v/>
      </c>
      <c r="L31" s="27" t="str">
        <f aca="false">IF(K31="","",IF(K31&gt;=0.5,"עלייה",IF(K31&lt;=-0.5,"ירידה","יציב")))</f>
        <v/>
      </c>
    </row>
    <row r="32" customFormat="false" ht="15" hidden="false" customHeight="false" outlineLevel="0" collapsed="false">
      <c r="A32" s="29"/>
      <c r="B32" s="36" t="str">
        <f aca="false">IF($A32="","",IFERROR(AVERAGEIFS('רווחה - קליטה'!$AQ$5:$AQ$204,'רווחה - קליטה'!$A$5:$A$204,$A32,'רווחה - קליטה'!$C$5:$C$204,"תחילת שנה"),""))</f>
        <v/>
      </c>
      <c r="C32" s="28" t="str">
        <f aca="false">IF($A32="","",IFERROR(AVERAGEIFS('רווחה - קליטה'!$AK$5:$AK$204,'רווחה - קליטה'!$A$5:$A$204,$A32,'רווחה - קליטה'!$C$5:$C$204,"תחילת שנה"),""))</f>
        <v/>
      </c>
      <c r="D32" s="27" t="str">
        <f aca="false">IF($A32="","",IFERROR(INDEX('רווחה - קליטה'!$AS$5:$AS$204,MATCH($A32&amp;"|תחילת שנה",'רווחה - קליטה'!$AE$5:$AE$204,0)),""))</f>
        <v/>
      </c>
      <c r="E32" s="36" t="str">
        <f aca="false">IF($A32="","",IFERROR(AVERAGEIFS('רווחה - קליטה'!$AQ$5:$AQ$204,'רווחה - קליטה'!$A$5:$A$204,$A32,'רווחה - קליטה'!$C$5:$C$204,"אמצע שנה"),""))</f>
        <v/>
      </c>
      <c r="F32" s="28" t="str">
        <f aca="false">IF($A32="","",IFERROR(AVERAGEIFS('רווחה - קליטה'!$AK$5:$AK$204,'רווחה - קליטה'!$A$5:$A$204,$A32,'רווחה - קליטה'!$C$5:$C$204,"אמצע שנה"),""))</f>
        <v/>
      </c>
      <c r="G32" s="27" t="str">
        <f aca="false">IF($A32="","",IFERROR(INDEX('רווחה - קליטה'!$AS$5:$AS$204,MATCH($A32&amp;"|אמצע שנה",'רווחה - קליטה'!$AE$5:$AE$204,0)),""))</f>
        <v/>
      </c>
      <c r="H32" s="36" t="str">
        <f aca="false">IF($A32="","",IFERROR(AVERAGEIFS('רווחה - קליטה'!$AQ$5:$AQ$204,'רווחה - קליטה'!$A$5:$A$204,$A32,'רווחה - קליטה'!$C$5:$C$204,"סוף שנה"),""))</f>
        <v/>
      </c>
      <c r="I32" s="28" t="str">
        <f aca="false">IF($A32="","",IFERROR(AVERAGEIFS('רווחה - קליטה'!$AK$5:$AK$204,'רווחה - קליטה'!$A$5:$A$204,$A32,'רווחה - קליטה'!$C$5:$C$204,"סוף שנה"),""))</f>
        <v/>
      </c>
      <c r="J32" s="27" t="str">
        <f aca="false">IF($A32="","",IFERROR(INDEX('רווחה - קליטה'!$AS$5:$AS$204,MATCH($A32&amp;"|סוף שנה",'רווחה - קליטה'!$AE$5:$AE$204,0)),""))</f>
        <v/>
      </c>
      <c r="K32" s="37" t="str">
        <f aca="false">IF(AND(ISNUMBER(B32),ISNUMBER(H32)),H32-B32,"")</f>
        <v/>
      </c>
      <c r="L32" s="27" t="str">
        <f aca="false">IF(K32="","",IF(K32&gt;=0.5,"עלייה",IF(K32&lt;=-0.5,"ירידה","יציב")))</f>
        <v/>
      </c>
    </row>
    <row r="33" customFormat="false" ht="15" hidden="false" customHeight="false" outlineLevel="0" collapsed="false">
      <c r="A33" s="29"/>
      <c r="B33" s="36" t="str">
        <f aca="false">IF($A33="","",IFERROR(AVERAGEIFS('רווחה - קליטה'!$AQ$5:$AQ$204,'רווחה - קליטה'!$A$5:$A$204,$A33,'רווחה - קליטה'!$C$5:$C$204,"תחילת שנה"),""))</f>
        <v/>
      </c>
      <c r="C33" s="28" t="str">
        <f aca="false">IF($A33="","",IFERROR(AVERAGEIFS('רווחה - קליטה'!$AK$5:$AK$204,'רווחה - קליטה'!$A$5:$A$204,$A33,'רווחה - קליטה'!$C$5:$C$204,"תחילת שנה"),""))</f>
        <v/>
      </c>
      <c r="D33" s="27" t="str">
        <f aca="false">IF($A33="","",IFERROR(INDEX('רווחה - קליטה'!$AS$5:$AS$204,MATCH($A33&amp;"|תחילת שנה",'רווחה - קליטה'!$AE$5:$AE$204,0)),""))</f>
        <v/>
      </c>
      <c r="E33" s="36" t="str">
        <f aca="false">IF($A33="","",IFERROR(AVERAGEIFS('רווחה - קליטה'!$AQ$5:$AQ$204,'רווחה - קליטה'!$A$5:$A$204,$A33,'רווחה - קליטה'!$C$5:$C$204,"אמצע שנה"),""))</f>
        <v/>
      </c>
      <c r="F33" s="28" t="str">
        <f aca="false">IF($A33="","",IFERROR(AVERAGEIFS('רווחה - קליטה'!$AK$5:$AK$204,'רווחה - קליטה'!$A$5:$A$204,$A33,'רווחה - קליטה'!$C$5:$C$204,"אמצע שנה"),""))</f>
        <v/>
      </c>
      <c r="G33" s="27" t="str">
        <f aca="false">IF($A33="","",IFERROR(INDEX('רווחה - קליטה'!$AS$5:$AS$204,MATCH($A33&amp;"|אמצע שנה",'רווחה - קליטה'!$AE$5:$AE$204,0)),""))</f>
        <v/>
      </c>
      <c r="H33" s="36" t="str">
        <f aca="false">IF($A33="","",IFERROR(AVERAGEIFS('רווחה - קליטה'!$AQ$5:$AQ$204,'רווחה - קליטה'!$A$5:$A$204,$A33,'רווחה - קליטה'!$C$5:$C$204,"סוף שנה"),""))</f>
        <v/>
      </c>
      <c r="I33" s="28" t="str">
        <f aca="false">IF($A33="","",IFERROR(AVERAGEIFS('רווחה - קליטה'!$AK$5:$AK$204,'רווחה - קליטה'!$A$5:$A$204,$A33,'רווחה - קליטה'!$C$5:$C$204,"סוף שנה"),""))</f>
        <v/>
      </c>
      <c r="J33" s="27" t="str">
        <f aca="false">IF($A33="","",IFERROR(INDEX('רווחה - קליטה'!$AS$5:$AS$204,MATCH($A33&amp;"|סוף שנה",'רווחה - קליטה'!$AE$5:$AE$204,0)),""))</f>
        <v/>
      </c>
      <c r="K33" s="37" t="str">
        <f aca="false">IF(AND(ISNUMBER(B33),ISNUMBER(H33)),H33-B33,"")</f>
        <v/>
      </c>
      <c r="L33" s="27" t="str">
        <f aca="false">IF(K33="","",IF(K33&gt;=0.5,"עלייה",IF(K33&lt;=-0.5,"ירידה","יציב")))</f>
        <v/>
      </c>
    </row>
    <row r="34" customFormat="false" ht="15" hidden="false" customHeight="false" outlineLevel="0" collapsed="false">
      <c r="A34" s="29"/>
      <c r="B34" s="36" t="str">
        <f aca="false">IF($A34="","",IFERROR(AVERAGEIFS('רווחה - קליטה'!$AQ$5:$AQ$204,'רווחה - קליטה'!$A$5:$A$204,$A34,'רווחה - קליטה'!$C$5:$C$204,"תחילת שנה"),""))</f>
        <v/>
      </c>
      <c r="C34" s="28" t="str">
        <f aca="false">IF($A34="","",IFERROR(AVERAGEIFS('רווחה - קליטה'!$AK$5:$AK$204,'רווחה - קליטה'!$A$5:$A$204,$A34,'רווחה - קליטה'!$C$5:$C$204,"תחילת שנה"),""))</f>
        <v/>
      </c>
      <c r="D34" s="27" t="str">
        <f aca="false">IF($A34="","",IFERROR(INDEX('רווחה - קליטה'!$AS$5:$AS$204,MATCH($A34&amp;"|תחילת שנה",'רווחה - קליטה'!$AE$5:$AE$204,0)),""))</f>
        <v/>
      </c>
      <c r="E34" s="36" t="str">
        <f aca="false">IF($A34="","",IFERROR(AVERAGEIFS('רווחה - קליטה'!$AQ$5:$AQ$204,'רווחה - קליטה'!$A$5:$A$204,$A34,'רווחה - קליטה'!$C$5:$C$204,"אמצע שנה"),""))</f>
        <v/>
      </c>
      <c r="F34" s="28" t="str">
        <f aca="false">IF($A34="","",IFERROR(AVERAGEIFS('רווחה - קליטה'!$AK$5:$AK$204,'רווחה - קליטה'!$A$5:$A$204,$A34,'רווחה - קליטה'!$C$5:$C$204,"אמצע שנה"),""))</f>
        <v/>
      </c>
      <c r="G34" s="27" t="str">
        <f aca="false">IF($A34="","",IFERROR(INDEX('רווחה - קליטה'!$AS$5:$AS$204,MATCH($A34&amp;"|אמצע שנה",'רווחה - קליטה'!$AE$5:$AE$204,0)),""))</f>
        <v/>
      </c>
      <c r="H34" s="36" t="str">
        <f aca="false">IF($A34="","",IFERROR(AVERAGEIFS('רווחה - קליטה'!$AQ$5:$AQ$204,'רווחה - קליטה'!$A$5:$A$204,$A34,'רווחה - קליטה'!$C$5:$C$204,"סוף שנה"),""))</f>
        <v/>
      </c>
      <c r="I34" s="28" t="str">
        <f aca="false">IF($A34="","",IFERROR(AVERAGEIFS('רווחה - קליטה'!$AK$5:$AK$204,'רווחה - קליטה'!$A$5:$A$204,$A34,'רווחה - קליטה'!$C$5:$C$204,"סוף שנה"),""))</f>
        <v/>
      </c>
      <c r="J34" s="27" t="str">
        <f aca="false">IF($A34="","",IFERROR(INDEX('רווחה - קליטה'!$AS$5:$AS$204,MATCH($A34&amp;"|סוף שנה",'רווחה - קליטה'!$AE$5:$AE$204,0)),""))</f>
        <v/>
      </c>
      <c r="K34" s="37" t="str">
        <f aca="false">IF(AND(ISNUMBER(B34),ISNUMBER(H34)),H34-B34,"")</f>
        <v/>
      </c>
      <c r="L34" s="27" t="str">
        <f aca="false">IF(K34="","",IF(K34&gt;=0.5,"עלייה",IF(K34&lt;=-0.5,"ירידה","יציב")))</f>
        <v/>
      </c>
    </row>
    <row r="35" customFormat="false" ht="15" hidden="false" customHeight="false" outlineLevel="0" collapsed="false">
      <c r="A35" s="29"/>
      <c r="B35" s="36" t="str">
        <f aca="false">IF($A35="","",IFERROR(AVERAGEIFS('רווחה - קליטה'!$AQ$5:$AQ$204,'רווחה - קליטה'!$A$5:$A$204,$A35,'רווחה - קליטה'!$C$5:$C$204,"תחילת שנה"),""))</f>
        <v/>
      </c>
      <c r="C35" s="28" t="str">
        <f aca="false">IF($A35="","",IFERROR(AVERAGEIFS('רווחה - קליטה'!$AK$5:$AK$204,'רווחה - קליטה'!$A$5:$A$204,$A35,'רווחה - קליטה'!$C$5:$C$204,"תחילת שנה"),""))</f>
        <v/>
      </c>
      <c r="D35" s="27" t="str">
        <f aca="false">IF($A35="","",IFERROR(INDEX('רווחה - קליטה'!$AS$5:$AS$204,MATCH($A35&amp;"|תחילת שנה",'רווחה - קליטה'!$AE$5:$AE$204,0)),""))</f>
        <v/>
      </c>
      <c r="E35" s="36" t="str">
        <f aca="false">IF($A35="","",IFERROR(AVERAGEIFS('רווחה - קליטה'!$AQ$5:$AQ$204,'רווחה - קליטה'!$A$5:$A$204,$A35,'רווחה - קליטה'!$C$5:$C$204,"אמצע שנה"),""))</f>
        <v/>
      </c>
      <c r="F35" s="28" t="str">
        <f aca="false">IF($A35="","",IFERROR(AVERAGEIFS('רווחה - קליטה'!$AK$5:$AK$204,'רווחה - קליטה'!$A$5:$A$204,$A35,'רווחה - קליטה'!$C$5:$C$204,"אמצע שנה"),""))</f>
        <v/>
      </c>
      <c r="G35" s="27" t="str">
        <f aca="false">IF($A35="","",IFERROR(INDEX('רווחה - קליטה'!$AS$5:$AS$204,MATCH($A35&amp;"|אמצע שנה",'רווחה - קליטה'!$AE$5:$AE$204,0)),""))</f>
        <v/>
      </c>
      <c r="H35" s="36" t="str">
        <f aca="false">IF($A35="","",IFERROR(AVERAGEIFS('רווחה - קליטה'!$AQ$5:$AQ$204,'רווחה - קליטה'!$A$5:$A$204,$A35,'רווחה - קליטה'!$C$5:$C$204,"סוף שנה"),""))</f>
        <v/>
      </c>
      <c r="I35" s="28" t="str">
        <f aca="false">IF($A35="","",IFERROR(AVERAGEIFS('רווחה - קליטה'!$AK$5:$AK$204,'רווחה - קליטה'!$A$5:$A$204,$A35,'רווחה - קליטה'!$C$5:$C$204,"סוף שנה"),""))</f>
        <v/>
      </c>
      <c r="J35" s="27" t="str">
        <f aca="false">IF($A35="","",IFERROR(INDEX('רווחה - קליטה'!$AS$5:$AS$204,MATCH($A35&amp;"|סוף שנה",'רווחה - קליטה'!$AE$5:$AE$204,0)),""))</f>
        <v/>
      </c>
      <c r="K35" s="37" t="str">
        <f aca="false">IF(AND(ISNUMBER(B35),ISNUMBER(H35)),H35-B35,"")</f>
        <v/>
      </c>
      <c r="L35" s="27" t="str">
        <f aca="false">IF(K35="","",IF(K35&gt;=0.5,"עלייה",IF(K35&lt;=-0.5,"ירידה","יציב")))</f>
        <v/>
      </c>
    </row>
    <row r="36" customFormat="false" ht="15" hidden="false" customHeight="false" outlineLevel="0" collapsed="false">
      <c r="A36" s="29"/>
      <c r="B36" s="36" t="str">
        <f aca="false">IF($A36="","",IFERROR(AVERAGEIFS('רווחה - קליטה'!$AQ$5:$AQ$204,'רווחה - קליטה'!$A$5:$A$204,$A36,'רווחה - קליטה'!$C$5:$C$204,"תחילת שנה"),""))</f>
        <v/>
      </c>
      <c r="C36" s="28" t="str">
        <f aca="false">IF($A36="","",IFERROR(AVERAGEIFS('רווחה - קליטה'!$AK$5:$AK$204,'רווחה - קליטה'!$A$5:$A$204,$A36,'רווחה - קליטה'!$C$5:$C$204,"תחילת שנה"),""))</f>
        <v/>
      </c>
      <c r="D36" s="27" t="str">
        <f aca="false">IF($A36="","",IFERROR(INDEX('רווחה - קליטה'!$AS$5:$AS$204,MATCH($A36&amp;"|תחילת שנה",'רווחה - קליטה'!$AE$5:$AE$204,0)),""))</f>
        <v/>
      </c>
      <c r="E36" s="36" t="str">
        <f aca="false">IF($A36="","",IFERROR(AVERAGEIFS('רווחה - קליטה'!$AQ$5:$AQ$204,'רווחה - קליטה'!$A$5:$A$204,$A36,'רווחה - קליטה'!$C$5:$C$204,"אמצע שנה"),""))</f>
        <v/>
      </c>
      <c r="F36" s="28" t="str">
        <f aca="false">IF($A36="","",IFERROR(AVERAGEIFS('רווחה - קליטה'!$AK$5:$AK$204,'רווחה - קליטה'!$A$5:$A$204,$A36,'רווחה - קליטה'!$C$5:$C$204,"אמצע שנה"),""))</f>
        <v/>
      </c>
      <c r="G36" s="27" t="str">
        <f aca="false">IF($A36="","",IFERROR(INDEX('רווחה - קליטה'!$AS$5:$AS$204,MATCH($A36&amp;"|אמצע שנה",'רווחה - קליטה'!$AE$5:$AE$204,0)),""))</f>
        <v/>
      </c>
      <c r="H36" s="36" t="str">
        <f aca="false">IF($A36="","",IFERROR(AVERAGEIFS('רווחה - קליטה'!$AQ$5:$AQ$204,'רווחה - קליטה'!$A$5:$A$204,$A36,'רווחה - קליטה'!$C$5:$C$204,"סוף שנה"),""))</f>
        <v/>
      </c>
      <c r="I36" s="28" t="str">
        <f aca="false">IF($A36="","",IFERROR(AVERAGEIFS('רווחה - קליטה'!$AK$5:$AK$204,'רווחה - קליטה'!$A$5:$A$204,$A36,'רווחה - קליטה'!$C$5:$C$204,"סוף שנה"),""))</f>
        <v/>
      </c>
      <c r="J36" s="27" t="str">
        <f aca="false">IF($A36="","",IFERROR(INDEX('רווחה - קליטה'!$AS$5:$AS$204,MATCH($A36&amp;"|סוף שנה",'רווחה - קליטה'!$AE$5:$AE$204,0)),""))</f>
        <v/>
      </c>
      <c r="K36" s="37" t="str">
        <f aca="false">IF(AND(ISNUMBER(B36),ISNUMBER(H36)),H36-B36,"")</f>
        <v/>
      </c>
      <c r="L36" s="27" t="str">
        <f aca="false">IF(K36="","",IF(K36&gt;=0.5,"עלייה",IF(K36&lt;=-0.5,"ירידה","יציב")))</f>
        <v/>
      </c>
    </row>
    <row r="37" customFormat="false" ht="15" hidden="false" customHeight="false" outlineLevel="0" collapsed="false">
      <c r="A37" s="29"/>
      <c r="B37" s="36" t="str">
        <f aca="false">IF($A37="","",IFERROR(AVERAGEIFS('רווחה - קליטה'!$AQ$5:$AQ$204,'רווחה - קליטה'!$A$5:$A$204,$A37,'רווחה - קליטה'!$C$5:$C$204,"תחילת שנה"),""))</f>
        <v/>
      </c>
      <c r="C37" s="28" t="str">
        <f aca="false">IF($A37="","",IFERROR(AVERAGEIFS('רווחה - קליטה'!$AK$5:$AK$204,'רווחה - קליטה'!$A$5:$A$204,$A37,'רווחה - קליטה'!$C$5:$C$204,"תחילת שנה"),""))</f>
        <v/>
      </c>
      <c r="D37" s="27" t="str">
        <f aca="false">IF($A37="","",IFERROR(INDEX('רווחה - קליטה'!$AS$5:$AS$204,MATCH($A37&amp;"|תחילת שנה",'רווחה - קליטה'!$AE$5:$AE$204,0)),""))</f>
        <v/>
      </c>
      <c r="E37" s="36" t="str">
        <f aca="false">IF($A37="","",IFERROR(AVERAGEIFS('רווחה - קליטה'!$AQ$5:$AQ$204,'רווחה - קליטה'!$A$5:$A$204,$A37,'רווחה - קליטה'!$C$5:$C$204,"אמצע שנה"),""))</f>
        <v/>
      </c>
      <c r="F37" s="28" t="str">
        <f aca="false">IF($A37="","",IFERROR(AVERAGEIFS('רווחה - קליטה'!$AK$5:$AK$204,'רווחה - קליטה'!$A$5:$A$204,$A37,'רווחה - קליטה'!$C$5:$C$204,"אמצע שנה"),""))</f>
        <v/>
      </c>
      <c r="G37" s="27" t="str">
        <f aca="false">IF($A37="","",IFERROR(INDEX('רווחה - קליטה'!$AS$5:$AS$204,MATCH($A37&amp;"|אמצע שנה",'רווחה - קליטה'!$AE$5:$AE$204,0)),""))</f>
        <v/>
      </c>
      <c r="H37" s="36" t="str">
        <f aca="false">IF($A37="","",IFERROR(AVERAGEIFS('רווחה - קליטה'!$AQ$5:$AQ$204,'רווחה - קליטה'!$A$5:$A$204,$A37,'רווחה - קליטה'!$C$5:$C$204,"סוף שנה"),""))</f>
        <v/>
      </c>
      <c r="I37" s="28" t="str">
        <f aca="false">IF($A37="","",IFERROR(AVERAGEIFS('רווחה - קליטה'!$AK$5:$AK$204,'רווחה - קליטה'!$A$5:$A$204,$A37,'רווחה - קליטה'!$C$5:$C$204,"סוף שנה"),""))</f>
        <v/>
      </c>
      <c r="J37" s="27" t="str">
        <f aca="false">IF($A37="","",IFERROR(INDEX('רווחה - קליטה'!$AS$5:$AS$204,MATCH($A37&amp;"|סוף שנה",'רווחה - קליטה'!$AE$5:$AE$204,0)),""))</f>
        <v/>
      </c>
      <c r="K37" s="37" t="str">
        <f aca="false">IF(AND(ISNUMBER(B37),ISNUMBER(H37)),H37-B37,"")</f>
        <v/>
      </c>
      <c r="L37" s="27" t="str">
        <f aca="false">IF(K37="","",IF(K37&gt;=0.5,"עלייה",IF(K37&lt;=-0.5,"ירידה","יציב")))</f>
        <v/>
      </c>
    </row>
    <row r="38" customFormat="false" ht="15" hidden="false" customHeight="false" outlineLevel="0" collapsed="false">
      <c r="A38" s="29"/>
      <c r="B38" s="36" t="str">
        <f aca="false">IF($A38="","",IFERROR(AVERAGEIFS('רווחה - קליטה'!$AQ$5:$AQ$204,'רווחה - קליטה'!$A$5:$A$204,$A38,'רווחה - קליטה'!$C$5:$C$204,"תחילת שנה"),""))</f>
        <v/>
      </c>
      <c r="C38" s="28" t="str">
        <f aca="false">IF($A38="","",IFERROR(AVERAGEIFS('רווחה - קליטה'!$AK$5:$AK$204,'רווחה - קליטה'!$A$5:$A$204,$A38,'רווחה - קליטה'!$C$5:$C$204,"תחילת שנה"),""))</f>
        <v/>
      </c>
      <c r="D38" s="27" t="str">
        <f aca="false">IF($A38="","",IFERROR(INDEX('רווחה - קליטה'!$AS$5:$AS$204,MATCH($A38&amp;"|תחילת שנה",'רווחה - קליטה'!$AE$5:$AE$204,0)),""))</f>
        <v/>
      </c>
      <c r="E38" s="36" t="str">
        <f aca="false">IF($A38="","",IFERROR(AVERAGEIFS('רווחה - קליטה'!$AQ$5:$AQ$204,'רווחה - קליטה'!$A$5:$A$204,$A38,'רווחה - קליטה'!$C$5:$C$204,"אמצע שנה"),""))</f>
        <v/>
      </c>
      <c r="F38" s="28" t="str">
        <f aca="false">IF($A38="","",IFERROR(AVERAGEIFS('רווחה - קליטה'!$AK$5:$AK$204,'רווחה - קליטה'!$A$5:$A$204,$A38,'רווחה - קליטה'!$C$5:$C$204,"אמצע שנה"),""))</f>
        <v/>
      </c>
      <c r="G38" s="27" t="str">
        <f aca="false">IF($A38="","",IFERROR(INDEX('רווחה - קליטה'!$AS$5:$AS$204,MATCH($A38&amp;"|אמצע שנה",'רווחה - קליטה'!$AE$5:$AE$204,0)),""))</f>
        <v/>
      </c>
      <c r="H38" s="36" t="str">
        <f aca="false">IF($A38="","",IFERROR(AVERAGEIFS('רווחה - קליטה'!$AQ$5:$AQ$204,'רווחה - קליטה'!$A$5:$A$204,$A38,'רווחה - קליטה'!$C$5:$C$204,"סוף שנה"),""))</f>
        <v/>
      </c>
      <c r="I38" s="28" t="str">
        <f aca="false">IF($A38="","",IFERROR(AVERAGEIFS('רווחה - קליטה'!$AK$5:$AK$204,'רווחה - קליטה'!$A$5:$A$204,$A38,'רווחה - קליטה'!$C$5:$C$204,"סוף שנה"),""))</f>
        <v/>
      </c>
      <c r="J38" s="27" t="str">
        <f aca="false">IF($A38="","",IFERROR(INDEX('רווחה - קליטה'!$AS$5:$AS$204,MATCH($A38&amp;"|סוף שנה",'רווחה - קליטה'!$AE$5:$AE$204,0)),""))</f>
        <v/>
      </c>
      <c r="K38" s="37" t="str">
        <f aca="false">IF(AND(ISNUMBER(B38),ISNUMBER(H38)),H38-B38,"")</f>
        <v/>
      </c>
      <c r="L38" s="27" t="str">
        <f aca="false">IF(K38="","",IF(K38&gt;=0.5,"עלייה",IF(K38&lt;=-0.5,"ירידה","יציב")))</f>
        <v/>
      </c>
    </row>
    <row r="39" customFormat="false" ht="15" hidden="false" customHeight="false" outlineLevel="0" collapsed="false">
      <c r="A39" s="29"/>
      <c r="B39" s="36" t="str">
        <f aca="false">IF($A39="","",IFERROR(AVERAGEIFS('רווחה - קליטה'!$AQ$5:$AQ$204,'רווחה - קליטה'!$A$5:$A$204,$A39,'רווחה - קליטה'!$C$5:$C$204,"תחילת שנה"),""))</f>
        <v/>
      </c>
      <c r="C39" s="28" t="str">
        <f aca="false">IF($A39="","",IFERROR(AVERAGEIFS('רווחה - קליטה'!$AK$5:$AK$204,'רווחה - קליטה'!$A$5:$A$204,$A39,'רווחה - קליטה'!$C$5:$C$204,"תחילת שנה"),""))</f>
        <v/>
      </c>
      <c r="D39" s="27" t="str">
        <f aca="false">IF($A39="","",IFERROR(INDEX('רווחה - קליטה'!$AS$5:$AS$204,MATCH($A39&amp;"|תחילת שנה",'רווחה - קליטה'!$AE$5:$AE$204,0)),""))</f>
        <v/>
      </c>
      <c r="E39" s="36" t="str">
        <f aca="false">IF($A39="","",IFERROR(AVERAGEIFS('רווחה - קליטה'!$AQ$5:$AQ$204,'רווחה - קליטה'!$A$5:$A$204,$A39,'רווחה - קליטה'!$C$5:$C$204,"אמצע שנה"),""))</f>
        <v/>
      </c>
      <c r="F39" s="28" t="str">
        <f aca="false">IF($A39="","",IFERROR(AVERAGEIFS('רווחה - קליטה'!$AK$5:$AK$204,'רווחה - קליטה'!$A$5:$A$204,$A39,'רווחה - קליטה'!$C$5:$C$204,"אמצע שנה"),""))</f>
        <v/>
      </c>
      <c r="G39" s="27" t="str">
        <f aca="false">IF($A39="","",IFERROR(INDEX('רווחה - קליטה'!$AS$5:$AS$204,MATCH($A39&amp;"|אמצע שנה",'רווחה - קליטה'!$AE$5:$AE$204,0)),""))</f>
        <v/>
      </c>
      <c r="H39" s="36" t="str">
        <f aca="false">IF($A39="","",IFERROR(AVERAGEIFS('רווחה - קליטה'!$AQ$5:$AQ$204,'רווחה - קליטה'!$A$5:$A$204,$A39,'רווחה - קליטה'!$C$5:$C$204,"סוף שנה"),""))</f>
        <v/>
      </c>
      <c r="I39" s="28" t="str">
        <f aca="false">IF($A39="","",IFERROR(AVERAGEIFS('רווחה - קליטה'!$AK$5:$AK$204,'רווחה - קליטה'!$A$5:$A$204,$A39,'רווחה - קליטה'!$C$5:$C$204,"סוף שנה"),""))</f>
        <v/>
      </c>
      <c r="J39" s="27" t="str">
        <f aca="false">IF($A39="","",IFERROR(INDEX('רווחה - קליטה'!$AS$5:$AS$204,MATCH($A39&amp;"|סוף שנה",'רווחה - קליטה'!$AE$5:$AE$204,0)),""))</f>
        <v/>
      </c>
      <c r="K39" s="37" t="str">
        <f aca="false">IF(AND(ISNUMBER(B39),ISNUMBER(H39)),H39-B39,"")</f>
        <v/>
      </c>
      <c r="L39" s="27" t="str">
        <f aca="false">IF(K39="","",IF(K39&gt;=0.5,"עלייה",IF(K39&lt;=-0.5,"ירידה","יציב")))</f>
        <v/>
      </c>
    </row>
    <row r="40" customFormat="false" ht="15" hidden="false" customHeight="false" outlineLevel="0" collapsed="false">
      <c r="A40" s="29"/>
      <c r="B40" s="36" t="str">
        <f aca="false">IF($A40="","",IFERROR(AVERAGEIFS('רווחה - קליטה'!$AQ$5:$AQ$204,'רווחה - קליטה'!$A$5:$A$204,$A40,'רווחה - קליטה'!$C$5:$C$204,"תחילת שנה"),""))</f>
        <v/>
      </c>
      <c r="C40" s="28" t="str">
        <f aca="false">IF($A40="","",IFERROR(AVERAGEIFS('רווחה - קליטה'!$AK$5:$AK$204,'רווחה - קליטה'!$A$5:$A$204,$A40,'רווחה - קליטה'!$C$5:$C$204,"תחילת שנה"),""))</f>
        <v/>
      </c>
      <c r="D40" s="27" t="str">
        <f aca="false">IF($A40="","",IFERROR(INDEX('רווחה - קליטה'!$AS$5:$AS$204,MATCH($A40&amp;"|תחילת שנה",'רווחה - קליטה'!$AE$5:$AE$204,0)),""))</f>
        <v/>
      </c>
      <c r="E40" s="36" t="str">
        <f aca="false">IF($A40="","",IFERROR(AVERAGEIFS('רווחה - קליטה'!$AQ$5:$AQ$204,'רווחה - קליטה'!$A$5:$A$204,$A40,'רווחה - קליטה'!$C$5:$C$204,"אמצע שנה"),""))</f>
        <v/>
      </c>
      <c r="F40" s="28" t="str">
        <f aca="false">IF($A40="","",IFERROR(AVERAGEIFS('רווחה - קליטה'!$AK$5:$AK$204,'רווחה - קליטה'!$A$5:$A$204,$A40,'רווחה - קליטה'!$C$5:$C$204,"אמצע שנה"),""))</f>
        <v/>
      </c>
      <c r="G40" s="27" t="str">
        <f aca="false">IF($A40="","",IFERROR(INDEX('רווחה - קליטה'!$AS$5:$AS$204,MATCH($A40&amp;"|אמצע שנה",'רווחה - קליטה'!$AE$5:$AE$204,0)),""))</f>
        <v/>
      </c>
      <c r="H40" s="36" t="str">
        <f aca="false">IF($A40="","",IFERROR(AVERAGEIFS('רווחה - קליטה'!$AQ$5:$AQ$204,'רווחה - קליטה'!$A$5:$A$204,$A40,'רווחה - קליטה'!$C$5:$C$204,"סוף שנה"),""))</f>
        <v/>
      </c>
      <c r="I40" s="28" t="str">
        <f aca="false">IF($A40="","",IFERROR(AVERAGEIFS('רווחה - קליטה'!$AK$5:$AK$204,'רווחה - קליטה'!$A$5:$A$204,$A40,'רווחה - קליטה'!$C$5:$C$204,"סוף שנה"),""))</f>
        <v/>
      </c>
      <c r="J40" s="27" t="str">
        <f aca="false">IF($A40="","",IFERROR(INDEX('רווחה - קליטה'!$AS$5:$AS$204,MATCH($A40&amp;"|סוף שנה",'רווחה - קליטה'!$AE$5:$AE$204,0)),""))</f>
        <v/>
      </c>
      <c r="K40" s="37" t="str">
        <f aca="false">IF(AND(ISNUMBER(B40),ISNUMBER(H40)),H40-B40,"")</f>
        <v/>
      </c>
      <c r="L40" s="27" t="str">
        <f aca="false">IF(K40="","",IF(K40&gt;=0.5,"עלייה",IF(K40&lt;=-0.5,"ירידה","יציב")))</f>
        <v/>
      </c>
    </row>
    <row r="41" customFormat="false" ht="15" hidden="false" customHeight="false" outlineLevel="0" collapsed="false">
      <c r="A41" s="29"/>
      <c r="B41" s="36" t="str">
        <f aca="false">IF($A41="","",IFERROR(AVERAGEIFS('רווחה - קליטה'!$AQ$5:$AQ$204,'רווחה - קליטה'!$A$5:$A$204,$A41,'רווחה - קליטה'!$C$5:$C$204,"תחילת שנה"),""))</f>
        <v/>
      </c>
      <c r="C41" s="28" t="str">
        <f aca="false">IF($A41="","",IFERROR(AVERAGEIFS('רווחה - קליטה'!$AK$5:$AK$204,'רווחה - קליטה'!$A$5:$A$204,$A41,'רווחה - קליטה'!$C$5:$C$204,"תחילת שנה"),""))</f>
        <v/>
      </c>
      <c r="D41" s="27" t="str">
        <f aca="false">IF($A41="","",IFERROR(INDEX('רווחה - קליטה'!$AS$5:$AS$204,MATCH($A41&amp;"|תחילת שנה",'רווחה - קליטה'!$AE$5:$AE$204,0)),""))</f>
        <v/>
      </c>
      <c r="E41" s="36" t="str">
        <f aca="false">IF($A41="","",IFERROR(AVERAGEIFS('רווחה - קליטה'!$AQ$5:$AQ$204,'רווחה - קליטה'!$A$5:$A$204,$A41,'רווחה - קליטה'!$C$5:$C$204,"אמצע שנה"),""))</f>
        <v/>
      </c>
      <c r="F41" s="28" t="str">
        <f aca="false">IF($A41="","",IFERROR(AVERAGEIFS('רווחה - קליטה'!$AK$5:$AK$204,'רווחה - קליטה'!$A$5:$A$204,$A41,'רווחה - קליטה'!$C$5:$C$204,"אמצע שנה"),""))</f>
        <v/>
      </c>
      <c r="G41" s="27" t="str">
        <f aca="false">IF($A41="","",IFERROR(INDEX('רווחה - קליטה'!$AS$5:$AS$204,MATCH($A41&amp;"|אמצע שנה",'רווחה - קליטה'!$AE$5:$AE$204,0)),""))</f>
        <v/>
      </c>
      <c r="H41" s="36" t="str">
        <f aca="false">IF($A41="","",IFERROR(AVERAGEIFS('רווחה - קליטה'!$AQ$5:$AQ$204,'רווחה - קליטה'!$A$5:$A$204,$A41,'רווחה - קליטה'!$C$5:$C$204,"סוף שנה"),""))</f>
        <v/>
      </c>
      <c r="I41" s="28" t="str">
        <f aca="false">IF($A41="","",IFERROR(AVERAGEIFS('רווחה - קליטה'!$AK$5:$AK$204,'רווחה - קליטה'!$A$5:$A$204,$A41,'רווחה - קליטה'!$C$5:$C$204,"סוף שנה"),""))</f>
        <v/>
      </c>
      <c r="J41" s="27" t="str">
        <f aca="false">IF($A41="","",IFERROR(INDEX('רווחה - קליטה'!$AS$5:$AS$204,MATCH($A41&amp;"|סוף שנה",'רווחה - קליטה'!$AE$5:$AE$204,0)),""))</f>
        <v/>
      </c>
      <c r="K41" s="37" t="str">
        <f aca="false">IF(AND(ISNUMBER(B41),ISNUMBER(H41)),H41-B41,"")</f>
        <v/>
      </c>
      <c r="L41" s="27" t="str">
        <f aca="false">IF(K41="","",IF(K41&gt;=0.5,"עלייה",IF(K41&lt;=-0.5,"ירידה","יציב")))</f>
        <v/>
      </c>
    </row>
    <row r="42" customFormat="false" ht="15" hidden="false" customHeight="false" outlineLevel="0" collapsed="false">
      <c r="A42" s="29"/>
      <c r="B42" s="36" t="str">
        <f aca="false">IF($A42="","",IFERROR(AVERAGEIFS('רווחה - קליטה'!$AQ$5:$AQ$204,'רווחה - קליטה'!$A$5:$A$204,$A42,'רווחה - קליטה'!$C$5:$C$204,"תחילת שנה"),""))</f>
        <v/>
      </c>
      <c r="C42" s="28" t="str">
        <f aca="false">IF($A42="","",IFERROR(AVERAGEIFS('רווחה - קליטה'!$AK$5:$AK$204,'רווחה - קליטה'!$A$5:$A$204,$A42,'רווחה - קליטה'!$C$5:$C$204,"תחילת שנה"),""))</f>
        <v/>
      </c>
      <c r="D42" s="27" t="str">
        <f aca="false">IF($A42="","",IFERROR(INDEX('רווחה - קליטה'!$AS$5:$AS$204,MATCH($A42&amp;"|תחילת שנה",'רווחה - קליטה'!$AE$5:$AE$204,0)),""))</f>
        <v/>
      </c>
      <c r="E42" s="36" t="str">
        <f aca="false">IF($A42="","",IFERROR(AVERAGEIFS('רווחה - קליטה'!$AQ$5:$AQ$204,'רווחה - קליטה'!$A$5:$A$204,$A42,'רווחה - קליטה'!$C$5:$C$204,"אמצע שנה"),""))</f>
        <v/>
      </c>
      <c r="F42" s="28" t="str">
        <f aca="false">IF($A42="","",IFERROR(AVERAGEIFS('רווחה - קליטה'!$AK$5:$AK$204,'רווחה - קליטה'!$A$5:$A$204,$A42,'רווחה - קליטה'!$C$5:$C$204,"אמצע שנה"),""))</f>
        <v/>
      </c>
      <c r="G42" s="27" t="str">
        <f aca="false">IF($A42="","",IFERROR(INDEX('רווחה - קליטה'!$AS$5:$AS$204,MATCH($A42&amp;"|אמצע שנה",'רווחה - קליטה'!$AE$5:$AE$204,0)),""))</f>
        <v/>
      </c>
      <c r="H42" s="36" t="str">
        <f aca="false">IF($A42="","",IFERROR(AVERAGEIFS('רווחה - קליטה'!$AQ$5:$AQ$204,'רווחה - קליטה'!$A$5:$A$204,$A42,'רווחה - קליטה'!$C$5:$C$204,"סוף שנה"),""))</f>
        <v/>
      </c>
      <c r="I42" s="28" t="str">
        <f aca="false">IF($A42="","",IFERROR(AVERAGEIFS('רווחה - קליטה'!$AK$5:$AK$204,'רווחה - קליטה'!$A$5:$A$204,$A42,'רווחה - קליטה'!$C$5:$C$204,"סוף שנה"),""))</f>
        <v/>
      </c>
      <c r="J42" s="27" t="str">
        <f aca="false">IF($A42="","",IFERROR(INDEX('רווחה - קליטה'!$AS$5:$AS$204,MATCH($A42&amp;"|סוף שנה",'רווחה - קליטה'!$AE$5:$AE$204,0)),""))</f>
        <v/>
      </c>
      <c r="K42" s="37" t="str">
        <f aca="false">IF(AND(ISNUMBER(B42),ISNUMBER(H42)),H42-B42,"")</f>
        <v/>
      </c>
      <c r="L42" s="27" t="str">
        <f aca="false">IF(K42="","",IF(K42&gt;=0.5,"עלייה",IF(K42&lt;=-0.5,"ירידה","יציב")))</f>
        <v/>
      </c>
    </row>
    <row r="43" customFormat="false" ht="15" hidden="false" customHeight="false" outlineLevel="0" collapsed="false">
      <c r="A43" s="29"/>
      <c r="B43" s="36" t="str">
        <f aca="false">IF($A43="","",IFERROR(AVERAGEIFS('רווחה - קליטה'!$AQ$5:$AQ$204,'רווחה - קליטה'!$A$5:$A$204,$A43,'רווחה - קליטה'!$C$5:$C$204,"תחילת שנה"),""))</f>
        <v/>
      </c>
      <c r="C43" s="28" t="str">
        <f aca="false">IF($A43="","",IFERROR(AVERAGEIFS('רווחה - קליטה'!$AK$5:$AK$204,'רווחה - קליטה'!$A$5:$A$204,$A43,'רווחה - קליטה'!$C$5:$C$204,"תחילת שנה"),""))</f>
        <v/>
      </c>
      <c r="D43" s="27" t="str">
        <f aca="false">IF($A43="","",IFERROR(INDEX('רווחה - קליטה'!$AS$5:$AS$204,MATCH($A43&amp;"|תחילת שנה",'רווחה - קליטה'!$AE$5:$AE$204,0)),""))</f>
        <v/>
      </c>
      <c r="E43" s="36" t="str">
        <f aca="false">IF($A43="","",IFERROR(AVERAGEIFS('רווחה - קליטה'!$AQ$5:$AQ$204,'רווחה - קליטה'!$A$5:$A$204,$A43,'רווחה - קליטה'!$C$5:$C$204,"אמצע שנה"),""))</f>
        <v/>
      </c>
      <c r="F43" s="28" t="str">
        <f aca="false">IF($A43="","",IFERROR(AVERAGEIFS('רווחה - קליטה'!$AK$5:$AK$204,'רווחה - קליטה'!$A$5:$A$204,$A43,'רווחה - קליטה'!$C$5:$C$204,"אמצע שנה"),""))</f>
        <v/>
      </c>
      <c r="G43" s="27" t="str">
        <f aca="false">IF($A43="","",IFERROR(INDEX('רווחה - קליטה'!$AS$5:$AS$204,MATCH($A43&amp;"|אמצע שנה",'רווחה - קליטה'!$AE$5:$AE$204,0)),""))</f>
        <v/>
      </c>
      <c r="H43" s="36" t="str">
        <f aca="false">IF($A43="","",IFERROR(AVERAGEIFS('רווחה - קליטה'!$AQ$5:$AQ$204,'רווחה - קליטה'!$A$5:$A$204,$A43,'רווחה - קליטה'!$C$5:$C$204,"סוף שנה"),""))</f>
        <v/>
      </c>
      <c r="I43" s="28" t="str">
        <f aca="false">IF($A43="","",IFERROR(AVERAGEIFS('רווחה - קליטה'!$AK$5:$AK$204,'רווחה - קליטה'!$A$5:$A$204,$A43,'רווחה - קליטה'!$C$5:$C$204,"סוף שנה"),""))</f>
        <v/>
      </c>
      <c r="J43" s="27" t="str">
        <f aca="false">IF($A43="","",IFERROR(INDEX('רווחה - קליטה'!$AS$5:$AS$204,MATCH($A43&amp;"|סוף שנה",'רווחה - קליטה'!$AE$5:$AE$204,0)),""))</f>
        <v/>
      </c>
      <c r="K43" s="37" t="str">
        <f aca="false">IF(AND(ISNUMBER(B43),ISNUMBER(H43)),H43-B43,"")</f>
        <v/>
      </c>
      <c r="L43" s="27" t="str">
        <f aca="false">IF(K43="","",IF(K43&gt;=0.5,"עלייה",IF(K43&lt;=-0.5,"ירידה","יציב")))</f>
        <v/>
      </c>
    </row>
    <row r="44" customFormat="false" ht="15" hidden="false" customHeight="false" outlineLevel="0" collapsed="false">
      <c r="A44" s="29"/>
      <c r="B44" s="36" t="str">
        <f aca="false">IF($A44="","",IFERROR(AVERAGEIFS('רווחה - קליטה'!$AQ$5:$AQ$204,'רווחה - קליטה'!$A$5:$A$204,$A44,'רווחה - קליטה'!$C$5:$C$204,"תחילת שנה"),""))</f>
        <v/>
      </c>
      <c r="C44" s="28" t="str">
        <f aca="false">IF($A44="","",IFERROR(AVERAGEIFS('רווחה - קליטה'!$AK$5:$AK$204,'רווחה - קליטה'!$A$5:$A$204,$A44,'רווחה - קליטה'!$C$5:$C$204,"תחילת שנה"),""))</f>
        <v/>
      </c>
      <c r="D44" s="27" t="str">
        <f aca="false">IF($A44="","",IFERROR(INDEX('רווחה - קליטה'!$AS$5:$AS$204,MATCH($A44&amp;"|תחילת שנה",'רווחה - קליטה'!$AE$5:$AE$204,0)),""))</f>
        <v/>
      </c>
      <c r="E44" s="36" t="str">
        <f aca="false">IF($A44="","",IFERROR(AVERAGEIFS('רווחה - קליטה'!$AQ$5:$AQ$204,'רווחה - קליטה'!$A$5:$A$204,$A44,'רווחה - קליטה'!$C$5:$C$204,"אמצע שנה"),""))</f>
        <v/>
      </c>
      <c r="F44" s="28" t="str">
        <f aca="false">IF($A44="","",IFERROR(AVERAGEIFS('רווחה - קליטה'!$AK$5:$AK$204,'רווחה - קליטה'!$A$5:$A$204,$A44,'רווחה - קליטה'!$C$5:$C$204,"אמצע שנה"),""))</f>
        <v/>
      </c>
      <c r="G44" s="27" t="str">
        <f aca="false">IF($A44="","",IFERROR(INDEX('רווחה - קליטה'!$AS$5:$AS$204,MATCH($A44&amp;"|אמצע שנה",'רווחה - קליטה'!$AE$5:$AE$204,0)),""))</f>
        <v/>
      </c>
      <c r="H44" s="36" t="str">
        <f aca="false">IF($A44="","",IFERROR(AVERAGEIFS('רווחה - קליטה'!$AQ$5:$AQ$204,'רווחה - קליטה'!$A$5:$A$204,$A44,'רווחה - קליטה'!$C$5:$C$204,"סוף שנה"),""))</f>
        <v/>
      </c>
      <c r="I44" s="28" t="str">
        <f aca="false">IF($A44="","",IFERROR(AVERAGEIFS('רווחה - קליטה'!$AK$5:$AK$204,'רווחה - קליטה'!$A$5:$A$204,$A44,'רווחה - קליטה'!$C$5:$C$204,"סוף שנה"),""))</f>
        <v/>
      </c>
      <c r="J44" s="27" t="str">
        <f aca="false">IF($A44="","",IFERROR(INDEX('רווחה - קליטה'!$AS$5:$AS$204,MATCH($A44&amp;"|סוף שנה",'רווחה - קליטה'!$AE$5:$AE$204,0)),""))</f>
        <v/>
      </c>
      <c r="K44" s="37" t="str">
        <f aca="false">IF(AND(ISNUMBER(B44),ISNUMBER(H44)),H44-B44,"")</f>
        <v/>
      </c>
      <c r="L44" s="27" t="str">
        <f aca="false">IF(K44="","",IF(K44&gt;=0.5,"עלייה",IF(K44&lt;=-0.5,"ירידה","יציב")))</f>
        <v/>
      </c>
    </row>
    <row r="45" customFormat="false" ht="15" hidden="false" customHeight="false" outlineLevel="0" collapsed="false">
      <c r="A45" s="29"/>
      <c r="B45" s="36" t="str">
        <f aca="false">IF($A45="","",IFERROR(AVERAGEIFS('רווחה - קליטה'!$AQ$5:$AQ$204,'רווחה - קליטה'!$A$5:$A$204,$A45,'רווחה - קליטה'!$C$5:$C$204,"תחילת שנה"),""))</f>
        <v/>
      </c>
      <c r="C45" s="28" t="str">
        <f aca="false">IF($A45="","",IFERROR(AVERAGEIFS('רווחה - קליטה'!$AK$5:$AK$204,'רווחה - קליטה'!$A$5:$A$204,$A45,'רווחה - קליטה'!$C$5:$C$204,"תחילת שנה"),""))</f>
        <v/>
      </c>
      <c r="D45" s="27" t="str">
        <f aca="false">IF($A45="","",IFERROR(INDEX('רווחה - קליטה'!$AS$5:$AS$204,MATCH($A45&amp;"|תחילת שנה",'רווחה - קליטה'!$AE$5:$AE$204,0)),""))</f>
        <v/>
      </c>
      <c r="E45" s="36" t="str">
        <f aca="false">IF($A45="","",IFERROR(AVERAGEIFS('רווחה - קליטה'!$AQ$5:$AQ$204,'רווחה - קליטה'!$A$5:$A$204,$A45,'רווחה - קליטה'!$C$5:$C$204,"אמצע שנה"),""))</f>
        <v/>
      </c>
      <c r="F45" s="28" t="str">
        <f aca="false">IF($A45="","",IFERROR(AVERAGEIFS('רווחה - קליטה'!$AK$5:$AK$204,'רווחה - קליטה'!$A$5:$A$204,$A45,'רווחה - קליטה'!$C$5:$C$204,"אמצע שנה"),""))</f>
        <v/>
      </c>
      <c r="G45" s="27" t="str">
        <f aca="false">IF($A45="","",IFERROR(INDEX('רווחה - קליטה'!$AS$5:$AS$204,MATCH($A45&amp;"|אמצע שנה",'רווחה - קליטה'!$AE$5:$AE$204,0)),""))</f>
        <v/>
      </c>
      <c r="H45" s="36" t="str">
        <f aca="false">IF($A45="","",IFERROR(AVERAGEIFS('רווחה - קליטה'!$AQ$5:$AQ$204,'רווחה - קליטה'!$A$5:$A$204,$A45,'רווחה - קליטה'!$C$5:$C$204,"סוף שנה"),""))</f>
        <v/>
      </c>
      <c r="I45" s="28" t="str">
        <f aca="false">IF($A45="","",IFERROR(AVERAGEIFS('רווחה - קליטה'!$AK$5:$AK$204,'רווחה - קליטה'!$A$5:$A$204,$A45,'רווחה - קליטה'!$C$5:$C$204,"סוף שנה"),""))</f>
        <v/>
      </c>
      <c r="J45" s="27" t="str">
        <f aca="false">IF($A45="","",IFERROR(INDEX('רווחה - קליטה'!$AS$5:$AS$204,MATCH($A45&amp;"|סוף שנה",'רווחה - קליטה'!$AE$5:$AE$204,0)),""))</f>
        <v/>
      </c>
      <c r="K45" s="37" t="str">
        <f aca="false">IF(AND(ISNUMBER(B45),ISNUMBER(H45)),H45-B45,"")</f>
        <v/>
      </c>
      <c r="L45" s="27" t="str">
        <f aca="false">IF(K45="","",IF(K45&gt;=0.5,"עלייה",IF(K45&lt;=-0.5,"ירידה","יציב")))</f>
        <v/>
      </c>
    </row>
    <row r="46" customFormat="false" ht="15" hidden="false" customHeight="false" outlineLevel="0" collapsed="false">
      <c r="A46" s="29"/>
      <c r="B46" s="36" t="str">
        <f aca="false">IF($A46="","",IFERROR(AVERAGEIFS('רווחה - קליטה'!$AQ$5:$AQ$204,'רווחה - קליטה'!$A$5:$A$204,$A46,'רווחה - קליטה'!$C$5:$C$204,"תחילת שנה"),""))</f>
        <v/>
      </c>
      <c r="C46" s="28" t="str">
        <f aca="false">IF($A46="","",IFERROR(AVERAGEIFS('רווחה - קליטה'!$AK$5:$AK$204,'רווחה - קליטה'!$A$5:$A$204,$A46,'רווחה - קליטה'!$C$5:$C$204,"תחילת שנה"),""))</f>
        <v/>
      </c>
      <c r="D46" s="27" t="str">
        <f aca="false">IF($A46="","",IFERROR(INDEX('רווחה - קליטה'!$AS$5:$AS$204,MATCH($A46&amp;"|תחילת שנה",'רווחה - קליטה'!$AE$5:$AE$204,0)),""))</f>
        <v/>
      </c>
      <c r="E46" s="36" t="str">
        <f aca="false">IF($A46="","",IFERROR(AVERAGEIFS('רווחה - קליטה'!$AQ$5:$AQ$204,'רווחה - קליטה'!$A$5:$A$204,$A46,'רווחה - קליטה'!$C$5:$C$204,"אמצע שנה"),""))</f>
        <v/>
      </c>
      <c r="F46" s="28" t="str">
        <f aca="false">IF($A46="","",IFERROR(AVERAGEIFS('רווחה - קליטה'!$AK$5:$AK$204,'רווחה - קליטה'!$A$5:$A$204,$A46,'רווחה - קליטה'!$C$5:$C$204,"אמצע שנה"),""))</f>
        <v/>
      </c>
      <c r="G46" s="27" t="str">
        <f aca="false">IF($A46="","",IFERROR(INDEX('רווחה - קליטה'!$AS$5:$AS$204,MATCH($A46&amp;"|אמצע שנה",'רווחה - קליטה'!$AE$5:$AE$204,0)),""))</f>
        <v/>
      </c>
      <c r="H46" s="36" t="str">
        <f aca="false">IF($A46="","",IFERROR(AVERAGEIFS('רווחה - קליטה'!$AQ$5:$AQ$204,'רווחה - קליטה'!$A$5:$A$204,$A46,'רווחה - קליטה'!$C$5:$C$204,"סוף שנה"),""))</f>
        <v/>
      </c>
      <c r="I46" s="28" t="str">
        <f aca="false">IF($A46="","",IFERROR(AVERAGEIFS('רווחה - קליטה'!$AK$5:$AK$204,'רווחה - קליטה'!$A$5:$A$204,$A46,'רווחה - קליטה'!$C$5:$C$204,"סוף שנה"),""))</f>
        <v/>
      </c>
      <c r="J46" s="27" t="str">
        <f aca="false">IF($A46="","",IFERROR(INDEX('רווחה - קליטה'!$AS$5:$AS$204,MATCH($A46&amp;"|סוף שנה",'רווחה - קליטה'!$AE$5:$AE$204,0)),""))</f>
        <v/>
      </c>
      <c r="K46" s="37" t="str">
        <f aca="false">IF(AND(ISNUMBER(B46),ISNUMBER(H46)),H46-B46,"")</f>
        <v/>
      </c>
      <c r="L46" s="27" t="str">
        <f aca="false">IF(K46="","",IF(K46&gt;=0.5,"עלייה",IF(K46&lt;=-0.5,"ירידה","יציב")))</f>
        <v/>
      </c>
    </row>
    <row r="47" customFormat="false" ht="15" hidden="false" customHeight="false" outlineLevel="0" collapsed="false">
      <c r="A47" s="29"/>
      <c r="B47" s="36" t="str">
        <f aca="false">IF($A47="","",IFERROR(AVERAGEIFS('רווחה - קליטה'!$AQ$5:$AQ$204,'רווחה - קליטה'!$A$5:$A$204,$A47,'רווחה - קליטה'!$C$5:$C$204,"תחילת שנה"),""))</f>
        <v/>
      </c>
      <c r="C47" s="28" t="str">
        <f aca="false">IF($A47="","",IFERROR(AVERAGEIFS('רווחה - קליטה'!$AK$5:$AK$204,'רווחה - קליטה'!$A$5:$A$204,$A47,'רווחה - קליטה'!$C$5:$C$204,"תחילת שנה"),""))</f>
        <v/>
      </c>
      <c r="D47" s="27" t="str">
        <f aca="false">IF($A47="","",IFERROR(INDEX('רווחה - קליטה'!$AS$5:$AS$204,MATCH($A47&amp;"|תחילת שנה",'רווחה - קליטה'!$AE$5:$AE$204,0)),""))</f>
        <v/>
      </c>
      <c r="E47" s="36" t="str">
        <f aca="false">IF($A47="","",IFERROR(AVERAGEIFS('רווחה - קליטה'!$AQ$5:$AQ$204,'רווחה - קליטה'!$A$5:$A$204,$A47,'רווחה - קליטה'!$C$5:$C$204,"אמצע שנה"),""))</f>
        <v/>
      </c>
      <c r="F47" s="28" t="str">
        <f aca="false">IF($A47="","",IFERROR(AVERAGEIFS('רווחה - קליטה'!$AK$5:$AK$204,'רווחה - קליטה'!$A$5:$A$204,$A47,'רווחה - קליטה'!$C$5:$C$204,"אמצע שנה"),""))</f>
        <v/>
      </c>
      <c r="G47" s="27" t="str">
        <f aca="false">IF($A47="","",IFERROR(INDEX('רווחה - קליטה'!$AS$5:$AS$204,MATCH($A47&amp;"|אמצע שנה",'רווחה - קליטה'!$AE$5:$AE$204,0)),""))</f>
        <v/>
      </c>
      <c r="H47" s="36" t="str">
        <f aca="false">IF($A47="","",IFERROR(AVERAGEIFS('רווחה - קליטה'!$AQ$5:$AQ$204,'רווחה - קליטה'!$A$5:$A$204,$A47,'רווחה - קליטה'!$C$5:$C$204,"סוף שנה"),""))</f>
        <v/>
      </c>
      <c r="I47" s="28" t="str">
        <f aca="false">IF($A47="","",IFERROR(AVERAGEIFS('רווחה - קליטה'!$AK$5:$AK$204,'רווחה - קליטה'!$A$5:$A$204,$A47,'רווחה - קליטה'!$C$5:$C$204,"סוף שנה"),""))</f>
        <v/>
      </c>
      <c r="J47" s="27" t="str">
        <f aca="false">IF($A47="","",IFERROR(INDEX('רווחה - קליטה'!$AS$5:$AS$204,MATCH($A47&amp;"|סוף שנה",'רווחה - קליטה'!$AE$5:$AE$204,0)),""))</f>
        <v/>
      </c>
      <c r="K47" s="37" t="str">
        <f aca="false">IF(AND(ISNUMBER(B47),ISNUMBER(H47)),H47-B47,"")</f>
        <v/>
      </c>
      <c r="L47" s="27" t="str">
        <f aca="false">IF(K47="","",IF(K47&gt;=0.5,"עלייה",IF(K47&lt;=-0.5,"ירידה","יציב")))</f>
        <v/>
      </c>
    </row>
    <row r="48" customFormat="false" ht="15" hidden="false" customHeight="false" outlineLevel="0" collapsed="false">
      <c r="A48" s="29"/>
      <c r="B48" s="36" t="str">
        <f aca="false">IF($A48="","",IFERROR(AVERAGEIFS('רווחה - קליטה'!$AQ$5:$AQ$204,'רווחה - קליטה'!$A$5:$A$204,$A48,'רווחה - קליטה'!$C$5:$C$204,"תחילת שנה"),""))</f>
        <v/>
      </c>
      <c r="C48" s="28" t="str">
        <f aca="false">IF($A48="","",IFERROR(AVERAGEIFS('רווחה - קליטה'!$AK$5:$AK$204,'רווחה - קליטה'!$A$5:$A$204,$A48,'רווחה - קליטה'!$C$5:$C$204,"תחילת שנה"),""))</f>
        <v/>
      </c>
      <c r="D48" s="27" t="str">
        <f aca="false">IF($A48="","",IFERROR(INDEX('רווחה - קליטה'!$AS$5:$AS$204,MATCH($A48&amp;"|תחילת שנה",'רווחה - קליטה'!$AE$5:$AE$204,0)),""))</f>
        <v/>
      </c>
      <c r="E48" s="36" t="str">
        <f aca="false">IF($A48="","",IFERROR(AVERAGEIFS('רווחה - קליטה'!$AQ$5:$AQ$204,'רווחה - קליטה'!$A$5:$A$204,$A48,'רווחה - קליטה'!$C$5:$C$204,"אמצע שנה"),""))</f>
        <v/>
      </c>
      <c r="F48" s="28" t="str">
        <f aca="false">IF($A48="","",IFERROR(AVERAGEIFS('רווחה - קליטה'!$AK$5:$AK$204,'רווחה - קליטה'!$A$5:$A$204,$A48,'רווחה - קליטה'!$C$5:$C$204,"אמצע שנה"),""))</f>
        <v/>
      </c>
      <c r="G48" s="27" t="str">
        <f aca="false">IF($A48="","",IFERROR(INDEX('רווחה - קליטה'!$AS$5:$AS$204,MATCH($A48&amp;"|אמצע שנה",'רווחה - קליטה'!$AE$5:$AE$204,0)),""))</f>
        <v/>
      </c>
      <c r="H48" s="36" t="str">
        <f aca="false">IF($A48="","",IFERROR(AVERAGEIFS('רווחה - קליטה'!$AQ$5:$AQ$204,'רווחה - קליטה'!$A$5:$A$204,$A48,'רווחה - קליטה'!$C$5:$C$204,"סוף שנה"),""))</f>
        <v/>
      </c>
      <c r="I48" s="28" t="str">
        <f aca="false">IF($A48="","",IFERROR(AVERAGEIFS('רווחה - קליטה'!$AK$5:$AK$204,'רווחה - קליטה'!$A$5:$A$204,$A48,'רווחה - קליטה'!$C$5:$C$204,"סוף שנה"),""))</f>
        <v/>
      </c>
      <c r="J48" s="27" t="str">
        <f aca="false">IF($A48="","",IFERROR(INDEX('רווחה - קליטה'!$AS$5:$AS$204,MATCH($A48&amp;"|סוף שנה",'רווחה - קליטה'!$AE$5:$AE$204,0)),""))</f>
        <v/>
      </c>
      <c r="K48" s="37" t="str">
        <f aca="false">IF(AND(ISNUMBER(B48),ISNUMBER(H48)),H48-B48,"")</f>
        <v/>
      </c>
      <c r="L48" s="27" t="str">
        <f aca="false">IF(K48="","",IF(K48&gt;=0.5,"עלייה",IF(K48&lt;=-0.5,"ירידה","יציב")))</f>
        <v/>
      </c>
    </row>
    <row r="49" customFormat="false" ht="15" hidden="false" customHeight="false" outlineLevel="0" collapsed="false">
      <c r="A49" s="29"/>
      <c r="B49" s="36" t="str">
        <f aca="false">IF($A49="","",IFERROR(AVERAGEIFS('רווחה - קליטה'!$AQ$5:$AQ$204,'רווחה - קליטה'!$A$5:$A$204,$A49,'רווחה - קליטה'!$C$5:$C$204,"תחילת שנה"),""))</f>
        <v/>
      </c>
      <c r="C49" s="28" t="str">
        <f aca="false">IF($A49="","",IFERROR(AVERAGEIFS('רווחה - קליטה'!$AK$5:$AK$204,'רווחה - קליטה'!$A$5:$A$204,$A49,'רווחה - קליטה'!$C$5:$C$204,"תחילת שנה"),""))</f>
        <v/>
      </c>
      <c r="D49" s="27" t="str">
        <f aca="false">IF($A49="","",IFERROR(INDEX('רווחה - קליטה'!$AS$5:$AS$204,MATCH($A49&amp;"|תחילת שנה",'רווחה - קליטה'!$AE$5:$AE$204,0)),""))</f>
        <v/>
      </c>
      <c r="E49" s="36" t="str">
        <f aca="false">IF($A49="","",IFERROR(AVERAGEIFS('רווחה - קליטה'!$AQ$5:$AQ$204,'רווחה - קליטה'!$A$5:$A$204,$A49,'רווחה - קליטה'!$C$5:$C$204,"אמצע שנה"),""))</f>
        <v/>
      </c>
      <c r="F49" s="28" t="str">
        <f aca="false">IF($A49="","",IFERROR(AVERAGEIFS('רווחה - קליטה'!$AK$5:$AK$204,'רווחה - קליטה'!$A$5:$A$204,$A49,'רווחה - קליטה'!$C$5:$C$204,"אמצע שנה"),""))</f>
        <v/>
      </c>
      <c r="G49" s="27" t="str">
        <f aca="false">IF($A49="","",IFERROR(INDEX('רווחה - קליטה'!$AS$5:$AS$204,MATCH($A49&amp;"|אמצע שנה",'רווחה - קליטה'!$AE$5:$AE$204,0)),""))</f>
        <v/>
      </c>
      <c r="H49" s="36" t="str">
        <f aca="false">IF($A49="","",IFERROR(AVERAGEIFS('רווחה - קליטה'!$AQ$5:$AQ$204,'רווחה - קליטה'!$A$5:$A$204,$A49,'רווחה - קליטה'!$C$5:$C$204,"סוף שנה"),""))</f>
        <v/>
      </c>
      <c r="I49" s="28" t="str">
        <f aca="false">IF($A49="","",IFERROR(AVERAGEIFS('רווחה - קליטה'!$AK$5:$AK$204,'רווחה - קליטה'!$A$5:$A$204,$A49,'רווחה - קליטה'!$C$5:$C$204,"סוף שנה"),""))</f>
        <v/>
      </c>
      <c r="J49" s="27" t="str">
        <f aca="false">IF($A49="","",IFERROR(INDEX('רווחה - קליטה'!$AS$5:$AS$204,MATCH($A49&amp;"|סוף שנה",'רווחה - קליטה'!$AE$5:$AE$204,0)),""))</f>
        <v/>
      </c>
      <c r="K49" s="37" t="str">
        <f aca="false">IF(AND(ISNUMBER(B49),ISNUMBER(H49)),H49-B49,"")</f>
        <v/>
      </c>
      <c r="L49" s="27" t="str">
        <f aca="false">IF(K49="","",IF(K49&gt;=0.5,"עלייה",IF(K49&lt;=-0.5,"ירידה","יציב")))</f>
        <v/>
      </c>
    </row>
    <row r="50" customFormat="false" ht="15" hidden="false" customHeight="false" outlineLevel="0" collapsed="false">
      <c r="A50" s="29"/>
      <c r="B50" s="36" t="str">
        <f aca="false">IF($A50="","",IFERROR(AVERAGEIFS('רווחה - קליטה'!$AQ$5:$AQ$204,'רווחה - קליטה'!$A$5:$A$204,$A50,'רווחה - קליטה'!$C$5:$C$204,"תחילת שנה"),""))</f>
        <v/>
      </c>
      <c r="C50" s="28" t="str">
        <f aca="false">IF($A50="","",IFERROR(AVERAGEIFS('רווחה - קליטה'!$AK$5:$AK$204,'רווחה - קליטה'!$A$5:$A$204,$A50,'רווחה - קליטה'!$C$5:$C$204,"תחילת שנה"),""))</f>
        <v/>
      </c>
      <c r="D50" s="27" t="str">
        <f aca="false">IF($A50="","",IFERROR(INDEX('רווחה - קליטה'!$AS$5:$AS$204,MATCH($A50&amp;"|תחילת שנה",'רווחה - קליטה'!$AE$5:$AE$204,0)),""))</f>
        <v/>
      </c>
      <c r="E50" s="36" t="str">
        <f aca="false">IF($A50="","",IFERROR(AVERAGEIFS('רווחה - קליטה'!$AQ$5:$AQ$204,'רווחה - קליטה'!$A$5:$A$204,$A50,'רווחה - קליטה'!$C$5:$C$204,"אמצע שנה"),""))</f>
        <v/>
      </c>
      <c r="F50" s="28" t="str">
        <f aca="false">IF($A50="","",IFERROR(AVERAGEIFS('רווחה - קליטה'!$AK$5:$AK$204,'רווחה - קליטה'!$A$5:$A$204,$A50,'רווחה - קליטה'!$C$5:$C$204,"אמצע שנה"),""))</f>
        <v/>
      </c>
      <c r="G50" s="27" t="str">
        <f aca="false">IF($A50="","",IFERROR(INDEX('רווחה - קליטה'!$AS$5:$AS$204,MATCH($A50&amp;"|אמצע שנה",'רווחה - קליטה'!$AE$5:$AE$204,0)),""))</f>
        <v/>
      </c>
      <c r="H50" s="36" t="str">
        <f aca="false">IF($A50="","",IFERROR(AVERAGEIFS('רווחה - קליטה'!$AQ$5:$AQ$204,'רווחה - קליטה'!$A$5:$A$204,$A50,'רווחה - קליטה'!$C$5:$C$204,"סוף שנה"),""))</f>
        <v/>
      </c>
      <c r="I50" s="28" t="str">
        <f aca="false">IF($A50="","",IFERROR(AVERAGEIFS('רווחה - קליטה'!$AK$5:$AK$204,'רווחה - קליטה'!$A$5:$A$204,$A50,'רווחה - קליטה'!$C$5:$C$204,"סוף שנה"),""))</f>
        <v/>
      </c>
      <c r="J50" s="27" t="str">
        <f aca="false">IF($A50="","",IFERROR(INDEX('רווחה - קליטה'!$AS$5:$AS$204,MATCH($A50&amp;"|סוף שנה",'רווחה - קליטה'!$AE$5:$AE$204,0)),""))</f>
        <v/>
      </c>
      <c r="K50" s="37" t="str">
        <f aca="false">IF(AND(ISNUMBER(B50),ISNUMBER(H50)),H50-B50,"")</f>
        <v/>
      </c>
      <c r="L50" s="27" t="str">
        <f aca="false">IF(K50="","",IF(K50&gt;=0.5,"עלייה",IF(K50&lt;=-0.5,"ירידה","יציב")))</f>
        <v/>
      </c>
    </row>
    <row r="51" customFormat="false" ht="15" hidden="false" customHeight="false" outlineLevel="0" collapsed="false">
      <c r="A51" s="29"/>
      <c r="B51" s="36" t="str">
        <f aca="false">IF($A51="","",IFERROR(AVERAGEIFS('רווחה - קליטה'!$AQ$5:$AQ$204,'רווחה - קליטה'!$A$5:$A$204,$A51,'רווחה - קליטה'!$C$5:$C$204,"תחילת שנה"),""))</f>
        <v/>
      </c>
      <c r="C51" s="28" t="str">
        <f aca="false">IF($A51="","",IFERROR(AVERAGEIFS('רווחה - קליטה'!$AK$5:$AK$204,'רווחה - קליטה'!$A$5:$A$204,$A51,'רווחה - קליטה'!$C$5:$C$204,"תחילת שנה"),""))</f>
        <v/>
      </c>
      <c r="D51" s="27" t="str">
        <f aca="false">IF($A51="","",IFERROR(INDEX('רווחה - קליטה'!$AS$5:$AS$204,MATCH($A51&amp;"|תחילת שנה",'רווחה - קליטה'!$AE$5:$AE$204,0)),""))</f>
        <v/>
      </c>
      <c r="E51" s="36" t="str">
        <f aca="false">IF($A51="","",IFERROR(AVERAGEIFS('רווחה - קליטה'!$AQ$5:$AQ$204,'רווחה - קליטה'!$A$5:$A$204,$A51,'רווחה - קליטה'!$C$5:$C$204,"אמצע שנה"),""))</f>
        <v/>
      </c>
      <c r="F51" s="28" t="str">
        <f aca="false">IF($A51="","",IFERROR(AVERAGEIFS('רווחה - קליטה'!$AK$5:$AK$204,'רווחה - קליטה'!$A$5:$A$204,$A51,'רווחה - קליטה'!$C$5:$C$204,"אמצע שנה"),""))</f>
        <v/>
      </c>
      <c r="G51" s="27" t="str">
        <f aca="false">IF($A51="","",IFERROR(INDEX('רווחה - קליטה'!$AS$5:$AS$204,MATCH($A51&amp;"|אמצע שנה",'רווחה - קליטה'!$AE$5:$AE$204,0)),""))</f>
        <v/>
      </c>
      <c r="H51" s="36" t="str">
        <f aca="false">IF($A51="","",IFERROR(AVERAGEIFS('רווחה - קליטה'!$AQ$5:$AQ$204,'רווחה - קליטה'!$A$5:$A$204,$A51,'רווחה - קליטה'!$C$5:$C$204,"סוף שנה"),""))</f>
        <v/>
      </c>
      <c r="I51" s="28" t="str">
        <f aca="false">IF($A51="","",IFERROR(AVERAGEIFS('רווחה - קליטה'!$AK$5:$AK$204,'רווחה - קליטה'!$A$5:$A$204,$A51,'רווחה - קליטה'!$C$5:$C$204,"סוף שנה"),""))</f>
        <v/>
      </c>
      <c r="J51" s="27" t="str">
        <f aca="false">IF($A51="","",IFERROR(INDEX('רווחה - קליטה'!$AS$5:$AS$204,MATCH($A51&amp;"|סוף שנה",'רווחה - קליטה'!$AE$5:$AE$204,0)),""))</f>
        <v/>
      </c>
      <c r="K51" s="37" t="str">
        <f aca="false">IF(AND(ISNUMBER(B51),ISNUMBER(H51)),H51-B51,"")</f>
        <v/>
      </c>
      <c r="L51" s="27" t="str">
        <f aca="false">IF(K51="","",IF(K51&gt;=0.5,"עלייה",IF(K51&lt;=-0.5,"ירידה","יציב")))</f>
        <v/>
      </c>
    </row>
    <row r="52" customFormat="false" ht="15" hidden="false" customHeight="false" outlineLevel="0" collapsed="false">
      <c r="A52" s="29"/>
      <c r="B52" s="36" t="str">
        <f aca="false">IF($A52="","",IFERROR(AVERAGEIFS('רווחה - קליטה'!$AQ$5:$AQ$204,'רווחה - קליטה'!$A$5:$A$204,$A52,'רווחה - קליטה'!$C$5:$C$204,"תחילת שנה"),""))</f>
        <v/>
      </c>
      <c r="C52" s="28" t="str">
        <f aca="false">IF($A52="","",IFERROR(AVERAGEIFS('רווחה - קליטה'!$AK$5:$AK$204,'רווחה - קליטה'!$A$5:$A$204,$A52,'רווחה - קליטה'!$C$5:$C$204,"תחילת שנה"),""))</f>
        <v/>
      </c>
      <c r="D52" s="27" t="str">
        <f aca="false">IF($A52="","",IFERROR(INDEX('רווחה - קליטה'!$AS$5:$AS$204,MATCH($A52&amp;"|תחילת שנה",'רווחה - קליטה'!$AE$5:$AE$204,0)),""))</f>
        <v/>
      </c>
      <c r="E52" s="36" t="str">
        <f aca="false">IF($A52="","",IFERROR(AVERAGEIFS('רווחה - קליטה'!$AQ$5:$AQ$204,'רווחה - קליטה'!$A$5:$A$204,$A52,'רווחה - קליטה'!$C$5:$C$204,"אמצע שנה"),""))</f>
        <v/>
      </c>
      <c r="F52" s="28" t="str">
        <f aca="false">IF($A52="","",IFERROR(AVERAGEIFS('רווחה - קליטה'!$AK$5:$AK$204,'רווחה - קליטה'!$A$5:$A$204,$A52,'רווחה - קליטה'!$C$5:$C$204,"אמצע שנה"),""))</f>
        <v/>
      </c>
      <c r="G52" s="27" t="str">
        <f aca="false">IF($A52="","",IFERROR(INDEX('רווחה - קליטה'!$AS$5:$AS$204,MATCH($A52&amp;"|אמצע שנה",'רווחה - קליטה'!$AE$5:$AE$204,0)),""))</f>
        <v/>
      </c>
      <c r="H52" s="36" t="str">
        <f aca="false">IF($A52="","",IFERROR(AVERAGEIFS('רווחה - קליטה'!$AQ$5:$AQ$204,'רווחה - קליטה'!$A$5:$A$204,$A52,'רווחה - קליטה'!$C$5:$C$204,"סוף שנה"),""))</f>
        <v/>
      </c>
      <c r="I52" s="28" t="str">
        <f aca="false">IF($A52="","",IFERROR(AVERAGEIFS('רווחה - קליטה'!$AK$5:$AK$204,'רווחה - קליטה'!$A$5:$A$204,$A52,'רווחה - קליטה'!$C$5:$C$204,"סוף שנה"),""))</f>
        <v/>
      </c>
      <c r="J52" s="27" t="str">
        <f aca="false">IF($A52="","",IFERROR(INDEX('רווחה - קליטה'!$AS$5:$AS$204,MATCH($A52&amp;"|סוף שנה",'רווחה - קליטה'!$AE$5:$AE$204,0)),""))</f>
        <v/>
      </c>
      <c r="K52" s="37" t="str">
        <f aca="false">IF(AND(ISNUMBER(B52),ISNUMBER(H52)),H52-B52,"")</f>
        <v/>
      </c>
      <c r="L52" s="27" t="str">
        <f aca="false">IF(K52="","",IF(K52&gt;=0.5,"עלייה",IF(K52&lt;=-0.5,"ירידה","יציב")))</f>
        <v/>
      </c>
    </row>
    <row r="53" customFormat="false" ht="15" hidden="false" customHeight="false" outlineLevel="0" collapsed="false">
      <c r="A53" s="29"/>
      <c r="B53" s="36" t="str">
        <f aca="false">IF($A53="","",IFERROR(AVERAGEIFS('רווחה - קליטה'!$AQ$5:$AQ$204,'רווחה - קליטה'!$A$5:$A$204,$A53,'רווחה - קליטה'!$C$5:$C$204,"תחילת שנה"),""))</f>
        <v/>
      </c>
      <c r="C53" s="28" t="str">
        <f aca="false">IF($A53="","",IFERROR(AVERAGEIFS('רווחה - קליטה'!$AK$5:$AK$204,'רווחה - קליטה'!$A$5:$A$204,$A53,'רווחה - קליטה'!$C$5:$C$204,"תחילת שנה"),""))</f>
        <v/>
      </c>
      <c r="D53" s="27" t="str">
        <f aca="false">IF($A53="","",IFERROR(INDEX('רווחה - קליטה'!$AS$5:$AS$204,MATCH($A53&amp;"|תחילת שנה",'רווחה - קליטה'!$AE$5:$AE$204,0)),""))</f>
        <v/>
      </c>
      <c r="E53" s="36" t="str">
        <f aca="false">IF($A53="","",IFERROR(AVERAGEIFS('רווחה - קליטה'!$AQ$5:$AQ$204,'רווחה - קליטה'!$A$5:$A$204,$A53,'רווחה - קליטה'!$C$5:$C$204,"אמצע שנה"),""))</f>
        <v/>
      </c>
      <c r="F53" s="28" t="str">
        <f aca="false">IF($A53="","",IFERROR(AVERAGEIFS('רווחה - קליטה'!$AK$5:$AK$204,'רווחה - קליטה'!$A$5:$A$204,$A53,'רווחה - קליטה'!$C$5:$C$204,"אמצע שנה"),""))</f>
        <v/>
      </c>
      <c r="G53" s="27" t="str">
        <f aca="false">IF($A53="","",IFERROR(INDEX('רווחה - קליטה'!$AS$5:$AS$204,MATCH($A53&amp;"|אמצע שנה",'רווחה - קליטה'!$AE$5:$AE$204,0)),""))</f>
        <v/>
      </c>
      <c r="H53" s="36" t="str">
        <f aca="false">IF($A53="","",IFERROR(AVERAGEIFS('רווחה - קליטה'!$AQ$5:$AQ$204,'רווחה - קליטה'!$A$5:$A$204,$A53,'רווחה - קליטה'!$C$5:$C$204,"סוף שנה"),""))</f>
        <v/>
      </c>
      <c r="I53" s="28" t="str">
        <f aca="false">IF($A53="","",IFERROR(AVERAGEIFS('רווחה - קליטה'!$AK$5:$AK$204,'רווחה - קליטה'!$A$5:$A$204,$A53,'רווחה - קליטה'!$C$5:$C$204,"סוף שנה"),""))</f>
        <v/>
      </c>
      <c r="J53" s="27" t="str">
        <f aca="false">IF($A53="","",IFERROR(INDEX('רווחה - קליטה'!$AS$5:$AS$204,MATCH($A53&amp;"|סוף שנה",'רווחה - קליטה'!$AE$5:$AE$204,0)),""))</f>
        <v/>
      </c>
      <c r="K53" s="37" t="str">
        <f aca="false">IF(AND(ISNUMBER(B53),ISNUMBER(H53)),H53-B53,"")</f>
        <v/>
      </c>
      <c r="L53" s="27" t="str">
        <f aca="false">IF(K53="","",IF(K53&gt;=0.5,"עלייה",IF(K53&lt;=-0.5,"ירידה","יציב")))</f>
        <v/>
      </c>
    </row>
    <row r="54" customFormat="false" ht="15" hidden="false" customHeight="false" outlineLevel="0" collapsed="false">
      <c r="A54" s="29"/>
      <c r="B54" s="36" t="str">
        <f aca="false">IF($A54="","",IFERROR(AVERAGEIFS('רווחה - קליטה'!$AQ$5:$AQ$204,'רווחה - קליטה'!$A$5:$A$204,$A54,'רווחה - קליטה'!$C$5:$C$204,"תחילת שנה"),""))</f>
        <v/>
      </c>
      <c r="C54" s="28" t="str">
        <f aca="false">IF($A54="","",IFERROR(AVERAGEIFS('רווחה - קליטה'!$AK$5:$AK$204,'רווחה - קליטה'!$A$5:$A$204,$A54,'רווחה - קליטה'!$C$5:$C$204,"תחילת שנה"),""))</f>
        <v/>
      </c>
      <c r="D54" s="27" t="str">
        <f aca="false">IF($A54="","",IFERROR(INDEX('רווחה - קליטה'!$AS$5:$AS$204,MATCH($A54&amp;"|תחילת שנה",'רווחה - קליטה'!$AE$5:$AE$204,0)),""))</f>
        <v/>
      </c>
      <c r="E54" s="36" t="str">
        <f aca="false">IF($A54="","",IFERROR(AVERAGEIFS('רווחה - קליטה'!$AQ$5:$AQ$204,'רווחה - קליטה'!$A$5:$A$204,$A54,'רווחה - קליטה'!$C$5:$C$204,"אמצע שנה"),""))</f>
        <v/>
      </c>
      <c r="F54" s="28" t="str">
        <f aca="false">IF($A54="","",IFERROR(AVERAGEIFS('רווחה - קליטה'!$AK$5:$AK$204,'רווחה - קליטה'!$A$5:$A$204,$A54,'רווחה - קליטה'!$C$5:$C$204,"אמצע שנה"),""))</f>
        <v/>
      </c>
      <c r="G54" s="27" t="str">
        <f aca="false">IF($A54="","",IFERROR(INDEX('רווחה - קליטה'!$AS$5:$AS$204,MATCH($A54&amp;"|אמצע שנה",'רווחה - קליטה'!$AE$5:$AE$204,0)),""))</f>
        <v/>
      </c>
      <c r="H54" s="36" t="str">
        <f aca="false">IF($A54="","",IFERROR(AVERAGEIFS('רווחה - קליטה'!$AQ$5:$AQ$204,'רווחה - קליטה'!$A$5:$A$204,$A54,'רווחה - קליטה'!$C$5:$C$204,"סוף שנה"),""))</f>
        <v/>
      </c>
      <c r="I54" s="28" t="str">
        <f aca="false">IF($A54="","",IFERROR(AVERAGEIFS('רווחה - קליטה'!$AK$5:$AK$204,'רווחה - קליטה'!$A$5:$A$204,$A54,'רווחה - קליטה'!$C$5:$C$204,"סוף שנה"),""))</f>
        <v/>
      </c>
      <c r="J54" s="27" t="str">
        <f aca="false">IF($A54="","",IFERROR(INDEX('רווחה - קליטה'!$AS$5:$AS$204,MATCH($A54&amp;"|סוף שנה",'רווחה - קליטה'!$AE$5:$AE$204,0)),""))</f>
        <v/>
      </c>
      <c r="K54" s="37" t="str">
        <f aca="false">IF(AND(ISNUMBER(B54),ISNUMBER(H54)),H54-B54,"")</f>
        <v/>
      </c>
      <c r="L54" s="27" t="str">
        <f aca="false">IF(K54="","",IF(K54&gt;=0.5,"עלייה",IF(K54&lt;=-0.5,"ירידה","יציב")))</f>
        <v/>
      </c>
    </row>
    <row r="55" customFormat="false" ht="15" hidden="false" customHeight="false" outlineLevel="0" collapsed="false">
      <c r="A55" s="29"/>
      <c r="B55" s="36" t="str">
        <f aca="false">IF($A55="","",IFERROR(AVERAGEIFS('רווחה - קליטה'!$AQ$5:$AQ$204,'רווחה - קליטה'!$A$5:$A$204,$A55,'רווחה - קליטה'!$C$5:$C$204,"תחילת שנה"),""))</f>
        <v/>
      </c>
      <c r="C55" s="28" t="str">
        <f aca="false">IF($A55="","",IFERROR(AVERAGEIFS('רווחה - קליטה'!$AK$5:$AK$204,'רווחה - קליטה'!$A$5:$A$204,$A55,'רווחה - קליטה'!$C$5:$C$204,"תחילת שנה"),""))</f>
        <v/>
      </c>
      <c r="D55" s="27" t="str">
        <f aca="false">IF($A55="","",IFERROR(INDEX('רווחה - קליטה'!$AS$5:$AS$204,MATCH($A55&amp;"|תחילת שנה",'רווחה - קליטה'!$AE$5:$AE$204,0)),""))</f>
        <v/>
      </c>
      <c r="E55" s="36" t="str">
        <f aca="false">IF($A55="","",IFERROR(AVERAGEIFS('רווחה - קליטה'!$AQ$5:$AQ$204,'רווחה - קליטה'!$A$5:$A$204,$A55,'רווחה - קליטה'!$C$5:$C$204,"אמצע שנה"),""))</f>
        <v/>
      </c>
      <c r="F55" s="28" t="str">
        <f aca="false">IF($A55="","",IFERROR(AVERAGEIFS('רווחה - קליטה'!$AK$5:$AK$204,'רווחה - קליטה'!$A$5:$A$204,$A55,'רווחה - קליטה'!$C$5:$C$204,"אמצע שנה"),""))</f>
        <v/>
      </c>
      <c r="G55" s="27" t="str">
        <f aca="false">IF($A55="","",IFERROR(INDEX('רווחה - קליטה'!$AS$5:$AS$204,MATCH($A55&amp;"|אמצע שנה",'רווחה - קליטה'!$AE$5:$AE$204,0)),""))</f>
        <v/>
      </c>
      <c r="H55" s="36" t="str">
        <f aca="false">IF($A55="","",IFERROR(AVERAGEIFS('רווחה - קליטה'!$AQ$5:$AQ$204,'רווחה - קליטה'!$A$5:$A$204,$A55,'רווחה - קליטה'!$C$5:$C$204,"סוף שנה"),""))</f>
        <v/>
      </c>
      <c r="I55" s="28" t="str">
        <f aca="false">IF($A55="","",IFERROR(AVERAGEIFS('רווחה - קליטה'!$AK$5:$AK$204,'רווחה - קליטה'!$A$5:$A$204,$A55,'רווחה - קליטה'!$C$5:$C$204,"סוף שנה"),""))</f>
        <v/>
      </c>
      <c r="J55" s="27" t="str">
        <f aca="false">IF($A55="","",IFERROR(INDEX('רווחה - קליטה'!$AS$5:$AS$204,MATCH($A55&amp;"|סוף שנה",'רווחה - קליטה'!$AE$5:$AE$204,0)),""))</f>
        <v/>
      </c>
      <c r="K55" s="37" t="str">
        <f aca="false">IF(AND(ISNUMBER(B55),ISNUMBER(H55)),H55-B55,"")</f>
        <v/>
      </c>
      <c r="L55" s="27" t="str">
        <f aca="false">IF(K55="","",IF(K55&gt;=0.5,"עלייה",IF(K55&lt;=-0.5,"ירידה","יציב")))</f>
        <v/>
      </c>
    </row>
    <row r="56" customFormat="false" ht="15" hidden="false" customHeight="false" outlineLevel="0" collapsed="false">
      <c r="A56" s="29"/>
      <c r="B56" s="36" t="str">
        <f aca="false">IF($A56="","",IFERROR(AVERAGEIFS('רווחה - קליטה'!$AQ$5:$AQ$204,'רווחה - קליטה'!$A$5:$A$204,$A56,'רווחה - קליטה'!$C$5:$C$204,"תחילת שנה"),""))</f>
        <v/>
      </c>
      <c r="C56" s="28" t="str">
        <f aca="false">IF($A56="","",IFERROR(AVERAGEIFS('רווחה - קליטה'!$AK$5:$AK$204,'רווחה - קליטה'!$A$5:$A$204,$A56,'רווחה - קליטה'!$C$5:$C$204,"תחילת שנה"),""))</f>
        <v/>
      </c>
      <c r="D56" s="27" t="str">
        <f aca="false">IF($A56="","",IFERROR(INDEX('רווחה - קליטה'!$AS$5:$AS$204,MATCH($A56&amp;"|תחילת שנה",'רווחה - קליטה'!$AE$5:$AE$204,0)),""))</f>
        <v/>
      </c>
      <c r="E56" s="36" t="str">
        <f aca="false">IF($A56="","",IFERROR(AVERAGEIFS('רווחה - קליטה'!$AQ$5:$AQ$204,'רווחה - קליטה'!$A$5:$A$204,$A56,'רווחה - קליטה'!$C$5:$C$204,"אמצע שנה"),""))</f>
        <v/>
      </c>
      <c r="F56" s="28" t="str">
        <f aca="false">IF($A56="","",IFERROR(AVERAGEIFS('רווחה - קליטה'!$AK$5:$AK$204,'רווחה - קליטה'!$A$5:$A$204,$A56,'רווחה - קליטה'!$C$5:$C$204,"אמצע שנה"),""))</f>
        <v/>
      </c>
      <c r="G56" s="27" t="str">
        <f aca="false">IF($A56="","",IFERROR(INDEX('רווחה - קליטה'!$AS$5:$AS$204,MATCH($A56&amp;"|אמצע שנה",'רווחה - קליטה'!$AE$5:$AE$204,0)),""))</f>
        <v/>
      </c>
      <c r="H56" s="36" t="str">
        <f aca="false">IF($A56="","",IFERROR(AVERAGEIFS('רווחה - קליטה'!$AQ$5:$AQ$204,'רווחה - קליטה'!$A$5:$A$204,$A56,'רווחה - קליטה'!$C$5:$C$204,"סוף שנה"),""))</f>
        <v/>
      </c>
      <c r="I56" s="28" t="str">
        <f aca="false">IF($A56="","",IFERROR(AVERAGEIFS('רווחה - קליטה'!$AK$5:$AK$204,'רווחה - קליטה'!$A$5:$A$204,$A56,'רווחה - קליטה'!$C$5:$C$204,"סוף שנה"),""))</f>
        <v/>
      </c>
      <c r="J56" s="27" t="str">
        <f aca="false">IF($A56="","",IFERROR(INDEX('רווחה - קליטה'!$AS$5:$AS$204,MATCH($A56&amp;"|סוף שנה",'רווחה - קליטה'!$AE$5:$AE$204,0)),""))</f>
        <v/>
      </c>
      <c r="K56" s="37" t="str">
        <f aca="false">IF(AND(ISNUMBER(B56),ISNUMBER(H56)),H56-B56,"")</f>
        <v/>
      </c>
      <c r="L56" s="27" t="str">
        <f aca="false">IF(K56="","",IF(K56&gt;=0.5,"עלייה",IF(K56&lt;=-0.5,"ירידה","יציב")))</f>
        <v/>
      </c>
    </row>
    <row r="57" customFormat="false" ht="15" hidden="false" customHeight="false" outlineLevel="0" collapsed="false">
      <c r="A57" s="29"/>
      <c r="B57" s="36" t="str">
        <f aca="false">IF($A57="","",IFERROR(AVERAGEIFS('רווחה - קליטה'!$AQ$5:$AQ$204,'רווחה - קליטה'!$A$5:$A$204,$A57,'רווחה - קליטה'!$C$5:$C$204,"תחילת שנה"),""))</f>
        <v/>
      </c>
      <c r="C57" s="28" t="str">
        <f aca="false">IF($A57="","",IFERROR(AVERAGEIFS('רווחה - קליטה'!$AK$5:$AK$204,'רווחה - קליטה'!$A$5:$A$204,$A57,'רווחה - קליטה'!$C$5:$C$204,"תחילת שנה"),""))</f>
        <v/>
      </c>
      <c r="D57" s="27" t="str">
        <f aca="false">IF($A57="","",IFERROR(INDEX('רווחה - קליטה'!$AS$5:$AS$204,MATCH($A57&amp;"|תחילת שנה",'רווחה - קליטה'!$AE$5:$AE$204,0)),""))</f>
        <v/>
      </c>
      <c r="E57" s="36" t="str">
        <f aca="false">IF($A57="","",IFERROR(AVERAGEIFS('רווחה - קליטה'!$AQ$5:$AQ$204,'רווחה - קליטה'!$A$5:$A$204,$A57,'רווחה - קליטה'!$C$5:$C$204,"אמצע שנה"),""))</f>
        <v/>
      </c>
      <c r="F57" s="28" t="str">
        <f aca="false">IF($A57="","",IFERROR(AVERAGEIFS('רווחה - קליטה'!$AK$5:$AK$204,'רווחה - קליטה'!$A$5:$A$204,$A57,'רווחה - קליטה'!$C$5:$C$204,"אמצע שנה"),""))</f>
        <v/>
      </c>
      <c r="G57" s="27" t="str">
        <f aca="false">IF($A57="","",IFERROR(INDEX('רווחה - קליטה'!$AS$5:$AS$204,MATCH($A57&amp;"|אמצע שנה",'רווחה - קליטה'!$AE$5:$AE$204,0)),""))</f>
        <v/>
      </c>
      <c r="H57" s="36" t="str">
        <f aca="false">IF($A57="","",IFERROR(AVERAGEIFS('רווחה - קליטה'!$AQ$5:$AQ$204,'רווחה - קליטה'!$A$5:$A$204,$A57,'רווחה - קליטה'!$C$5:$C$204,"סוף שנה"),""))</f>
        <v/>
      </c>
      <c r="I57" s="28" t="str">
        <f aca="false">IF($A57="","",IFERROR(AVERAGEIFS('רווחה - קליטה'!$AK$5:$AK$204,'רווחה - קליטה'!$A$5:$A$204,$A57,'רווחה - קליטה'!$C$5:$C$204,"סוף שנה"),""))</f>
        <v/>
      </c>
      <c r="J57" s="27" t="str">
        <f aca="false">IF($A57="","",IFERROR(INDEX('רווחה - קליטה'!$AS$5:$AS$204,MATCH($A57&amp;"|סוף שנה",'רווחה - קליטה'!$AE$5:$AE$204,0)),""))</f>
        <v/>
      </c>
      <c r="K57" s="37" t="str">
        <f aca="false">IF(AND(ISNUMBER(B57),ISNUMBER(H57)),H57-B57,"")</f>
        <v/>
      </c>
      <c r="L57" s="27" t="str">
        <f aca="false">IF(K57="","",IF(K57&gt;=0.5,"עלייה",IF(K57&lt;=-0.5,"ירידה","יציב")))</f>
        <v/>
      </c>
    </row>
    <row r="58" customFormat="false" ht="15" hidden="false" customHeight="false" outlineLevel="0" collapsed="false">
      <c r="A58" s="29"/>
      <c r="B58" s="36" t="str">
        <f aca="false">IF($A58="","",IFERROR(AVERAGEIFS('רווחה - קליטה'!$AQ$5:$AQ$204,'רווחה - קליטה'!$A$5:$A$204,$A58,'רווחה - קליטה'!$C$5:$C$204,"תחילת שנה"),""))</f>
        <v/>
      </c>
      <c r="C58" s="28" t="str">
        <f aca="false">IF($A58="","",IFERROR(AVERAGEIFS('רווחה - קליטה'!$AK$5:$AK$204,'רווחה - קליטה'!$A$5:$A$204,$A58,'רווחה - קליטה'!$C$5:$C$204,"תחילת שנה"),""))</f>
        <v/>
      </c>
      <c r="D58" s="27" t="str">
        <f aca="false">IF($A58="","",IFERROR(INDEX('רווחה - קליטה'!$AS$5:$AS$204,MATCH($A58&amp;"|תחילת שנה",'רווחה - קליטה'!$AE$5:$AE$204,0)),""))</f>
        <v/>
      </c>
      <c r="E58" s="36" t="str">
        <f aca="false">IF($A58="","",IFERROR(AVERAGEIFS('רווחה - קליטה'!$AQ$5:$AQ$204,'רווחה - קליטה'!$A$5:$A$204,$A58,'רווחה - קליטה'!$C$5:$C$204,"אמצע שנה"),""))</f>
        <v/>
      </c>
      <c r="F58" s="28" t="str">
        <f aca="false">IF($A58="","",IFERROR(AVERAGEIFS('רווחה - קליטה'!$AK$5:$AK$204,'רווחה - קליטה'!$A$5:$A$204,$A58,'רווחה - קליטה'!$C$5:$C$204,"אמצע שנה"),""))</f>
        <v/>
      </c>
      <c r="G58" s="27" t="str">
        <f aca="false">IF($A58="","",IFERROR(INDEX('רווחה - קליטה'!$AS$5:$AS$204,MATCH($A58&amp;"|אמצע שנה",'רווחה - קליטה'!$AE$5:$AE$204,0)),""))</f>
        <v/>
      </c>
      <c r="H58" s="36" t="str">
        <f aca="false">IF($A58="","",IFERROR(AVERAGEIFS('רווחה - קליטה'!$AQ$5:$AQ$204,'רווחה - קליטה'!$A$5:$A$204,$A58,'רווחה - קליטה'!$C$5:$C$204,"סוף שנה"),""))</f>
        <v/>
      </c>
      <c r="I58" s="28" t="str">
        <f aca="false">IF($A58="","",IFERROR(AVERAGEIFS('רווחה - קליטה'!$AK$5:$AK$204,'רווחה - קליטה'!$A$5:$A$204,$A58,'רווחה - קליטה'!$C$5:$C$204,"סוף שנה"),""))</f>
        <v/>
      </c>
      <c r="J58" s="27" t="str">
        <f aca="false">IF($A58="","",IFERROR(INDEX('רווחה - קליטה'!$AS$5:$AS$204,MATCH($A58&amp;"|סוף שנה",'רווחה - קליטה'!$AE$5:$AE$204,0)),""))</f>
        <v/>
      </c>
      <c r="K58" s="37" t="str">
        <f aca="false">IF(AND(ISNUMBER(B58),ISNUMBER(H58)),H58-B58,"")</f>
        <v/>
      </c>
      <c r="L58" s="27" t="str">
        <f aca="false">IF(K58="","",IF(K58&gt;=0.5,"עלייה",IF(K58&lt;=-0.5,"ירידה","יציב")))</f>
        <v/>
      </c>
    </row>
    <row r="59" customFormat="false" ht="15" hidden="false" customHeight="false" outlineLevel="0" collapsed="false">
      <c r="A59" s="29"/>
      <c r="B59" s="36" t="str">
        <f aca="false">IF($A59="","",IFERROR(AVERAGEIFS('רווחה - קליטה'!$AQ$5:$AQ$204,'רווחה - קליטה'!$A$5:$A$204,$A59,'רווחה - קליטה'!$C$5:$C$204,"תחילת שנה"),""))</f>
        <v/>
      </c>
      <c r="C59" s="28" t="str">
        <f aca="false">IF($A59="","",IFERROR(AVERAGEIFS('רווחה - קליטה'!$AK$5:$AK$204,'רווחה - קליטה'!$A$5:$A$204,$A59,'רווחה - קליטה'!$C$5:$C$204,"תחילת שנה"),""))</f>
        <v/>
      </c>
      <c r="D59" s="27" t="str">
        <f aca="false">IF($A59="","",IFERROR(INDEX('רווחה - קליטה'!$AS$5:$AS$204,MATCH($A59&amp;"|תחילת שנה",'רווחה - קליטה'!$AE$5:$AE$204,0)),""))</f>
        <v/>
      </c>
      <c r="E59" s="36" t="str">
        <f aca="false">IF($A59="","",IFERROR(AVERAGEIFS('רווחה - קליטה'!$AQ$5:$AQ$204,'רווחה - קליטה'!$A$5:$A$204,$A59,'רווחה - קליטה'!$C$5:$C$204,"אמצע שנה"),""))</f>
        <v/>
      </c>
      <c r="F59" s="28" t="str">
        <f aca="false">IF($A59="","",IFERROR(AVERAGEIFS('רווחה - קליטה'!$AK$5:$AK$204,'רווחה - קליטה'!$A$5:$A$204,$A59,'רווחה - קליטה'!$C$5:$C$204,"אמצע שנה"),""))</f>
        <v/>
      </c>
      <c r="G59" s="27" t="str">
        <f aca="false">IF($A59="","",IFERROR(INDEX('רווחה - קליטה'!$AS$5:$AS$204,MATCH($A59&amp;"|אמצע שנה",'רווחה - קליטה'!$AE$5:$AE$204,0)),""))</f>
        <v/>
      </c>
      <c r="H59" s="36" t="str">
        <f aca="false">IF($A59="","",IFERROR(AVERAGEIFS('רווחה - קליטה'!$AQ$5:$AQ$204,'רווחה - קליטה'!$A$5:$A$204,$A59,'רווחה - קליטה'!$C$5:$C$204,"סוף שנה"),""))</f>
        <v/>
      </c>
      <c r="I59" s="28" t="str">
        <f aca="false">IF($A59="","",IFERROR(AVERAGEIFS('רווחה - קליטה'!$AK$5:$AK$204,'רווחה - קליטה'!$A$5:$A$204,$A59,'רווחה - קליטה'!$C$5:$C$204,"סוף שנה"),""))</f>
        <v/>
      </c>
      <c r="J59" s="27" t="str">
        <f aca="false">IF($A59="","",IFERROR(INDEX('רווחה - קליטה'!$AS$5:$AS$204,MATCH($A59&amp;"|סוף שנה",'רווחה - קליטה'!$AE$5:$AE$204,0)),""))</f>
        <v/>
      </c>
      <c r="K59" s="37" t="str">
        <f aca="false">IF(AND(ISNUMBER(B59),ISNUMBER(H59)),H59-B59,"")</f>
        <v/>
      </c>
      <c r="L59" s="27" t="str">
        <f aca="false">IF(K59="","",IF(K59&gt;=0.5,"עלייה",IF(K59&lt;=-0.5,"ירידה","יציב")))</f>
        <v/>
      </c>
    </row>
    <row r="60" customFormat="false" ht="15" hidden="false" customHeight="false" outlineLevel="0" collapsed="false">
      <c r="A60" s="29"/>
      <c r="B60" s="36" t="str">
        <f aca="false">IF($A60="","",IFERROR(AVERAGEIFS('רווחה - קליטה'!$AQ$5:$AQ$204,'רווחה - קליטה'!$A$5:$A$204,$A60,'רווחה - קליטה'!$C$5:$C$204,"תחילת שנה"),""))</f>
        <v/>
      </c>
      <c r="C60" s="28" t="str">
        <f aca="false">IF($A60="","",IFERROR(AVERAGEIFS('רווחה - קליטה'!$AK$5:$AK$204,'רווחה - קליטה'!$A$5:$A$204,$A60,'רווחה - קליטה'!$C$5:$C$204,"תחילת שנה"),""))</f>
        <v/>
      </c>
      <c r="D60" s="27" t="str">
        <f aca="false">IF($A60="","",IFERROR(INDEX('רווחה - קליטה'!$AS$5:$AS$204,MATCH($A60&amp;"|תחילת שנה",'רווחה - קליטה'!$AE$5:$AE$204,0)),""))</f>
        <v/>
      </c>
      <c r="E60" s="36" t="str">
        <f aca="false">IF($A60="","",IFERROR(AVERAGEIFS('רווחה - קליטה'!$AQ$5:$AQ$204,'רווחה - קליטה'!$A$5:$A$204,$A60,'רווחה - קליטה'!$C$5:$C$204,"אמצע שנה"),""))</f>
        <v/>
      </c>
      <c r="F60" s="28" t="str">
        <f aca="false">IF($A60="","",IFERROR(AVERAGEIFS('רווחה - קליטה'!$AK$5:$AK$204,'רווחה - קליטה'!$A$5:$A$204,$A60,'רווחה - קליטה'!$C$5:$C$204,"אמצע שנה"),""))</f>
        <v/>
      </c>
      <c r="G60" s="27" t="str">
        <f aca="false">IF($A60="","",IFERROR(INDEX('רווחה - קליטה'!$AS$5:$AS$204,MATCH($A60&amp;"|אמצע שנה",'רווחה - קליטה'!$AE$5:$AE$204,0)),""))</f>
        <v/>
      </c>
      <c r="H60" s="36" t="str">
        <f aca="false">IF($A60="","",IFERROR(AVERAGEIFS('רווחה - קליטה'!$AQ$5:$AQ$204,'רווחה - קליטה'!$A$5:$A$204,$A60,'רווחה - קליטה'!$C$5:$C$204,"סוף שנה"),""))</f>
        <v/>
      </c>
      <c r="I60" s="28" t="str">
        <f aca="false">IF($A60="","",IFERROR(AVERAGEIFS('רווחה - קליטה'!$AK$5:$AK$204,'רווחה - קליטה'!$A$5:$A$204,$A60,'רווחה - קליטה'!$C$5:$C$204,"סוף שנה"),""))</f>
        <v/>
      </c>
      <c r="J60" s="27" t="str">
        <f aca="false">IF($A60="","",IFERROR(INDEX('רווחה - קליטה'!$AS$5:$AS$204,MATCH($A60&amp;"|סוף שנה",'רווחה - קליטה'!$AE$5:$AE$204,0)),""))</f>
        <v/>
      </c>
      <c r="K60" s="37" t="str">
        <f aca="false">IF(AND(ISNUMBER(B60),ISNUMBER(H60)),H60-B60,"")</f>
        <v/>
      </c>
      <c r="L60" s="27" t="str">
        <f aca="false">IF(K60="","",IF(K60&gt;=0.5,"עלייה",IF(K60&lt;=-0.5,"ירידה","יציב")))</f>
        <v/>
      </c>
    </row>
    <row r="61" customFormat="false" ht="15" hidden="false" customHeight="false" outlineLevel="0" collapsed="false">
      <c r="A61" s="29"/>
      <c r="B61" s="36" t="str">
        <f aca="false">IF($A61="","",IFERROR(AVERAGEIFS('רווחה - קליטה'!$AQ$5:$AQ$204,'רווחה - קליטה'!$A$5:$A$204,$A61,'רווחה - קליטה'!$C$5:$C$204,"תחילת שנה"),""))</f>
        <v/>
      </c>
      <c r="C61" s="28" t="str">
        <f aca="false">IF($A61="","",IFERROR(AVERAGEIFS('רווחה - קליטה'!$AK$5:$AK$204,'רווחה - קליטה'!$A$5:$A$204,$A61,'רווחה - קליטה'!$C$5:$C$204,"תחילת שנה"),""))</f>
        <v/>
      </c>
      <c r="D61" s="27" t="str">
        <f aca="false">IF($A61="","",IFERROR(INDEX('רווחה - קליטה'!$AS$5:$AS$204,MATCH($A61&amp;"|תחילת שנה",'רווחה - קליטה'!$AE$5:$AE$204,0)),""))</f>
        <v/>
      </c>
      <c r="E61" s="36" t="str">
        <f aca="false">IF($A61="","",IFERROR(AVERAGEIFS('רווחה - קליטה'!$AQ$5:$AQ$204,'רווחה - קליטה'!$A$5:$A$204,$A61,'רווחה - קליטה'!$C$5:$C$204,"אמצע שנה"),""))</f>
        <v/>
      </c>
      <c r="F61" s="28" t="str">
        <f aca="false">IF($A61="","",IFERROR(AVERAGEIFS('רווחה - קליטה'!$AK$5:$AK$204,'רווחה - קליטה'!$A$5:$A$204,$A61,'רווחה - קליטה'!$C$5:$C$204,"אמצע שנה"),""))</f>
        <v/>
      </c>
      <c r="G61" s="27" t="str">
        <f aca="false">IF($A61="","",IFERROR(INDEX('רווחה - קליטה'!$AS$5:$AS$204,MATCH($A61&amp;"|אמצע שנה",'רווחה - קליטה'!$AE$5:$AE$204,0)),""))</f>
        <v/>
      </c>
      <c r="H61" s="36" t="str">
        <f aca="false">IF($A61="","",IFERROR(AVERAGEIFS('רווחה - קליטה'!$AQ$5:$AQ$204,'רווחה - קליטה'!$A$5:$A$204,$A61,'רווחה - קליטה'!$C$5:$C$204,"סוף שנה"),""))</f>
        <v/>
      </c>
      <c r="I61" s="28" t="str">
        <f aca="false">IF($A61="","",IFERROR(AVERAGEIFS('רווחה - קליטה'!$AK$5:$AK$204,'רווחה - קליטה'!$A$5:$A$204,$A61,'רווחה - קליטה'!$C$5:$C$204,"סוף שנה"),""))</f>
        <v/>
      </c>
      <c r="J61" s="27" t="str">
        <f aca="false">IF($A61="","",IFERROR(INDEX('רווחה - קליטה'!$AS$5:$AS$204,MATCH($A61&amp;"|סוף שנה",'רווחה - קליטה'!$AE$5:$AE$204,0)),""))</f>
        <v/>
      </c>
      <c r="K61" s="37" t="str">
        <f aca="false">IF(AND(ISNUMBER(B61),ISNUMBER(H61)),H61-B61,"")</f>
        <v/>
      </c>
      <c r="L61" s="27" t="str">
        <f aca="false">IF(K61="","",IF(K61&gt;=0.5,"עלייה",IF(K61&lt;=-0.5,"ירידה","יציב")))</f>
        <v/>
      </c>
    </row>
    <row r="62" customFormat="false" ht="15" hidden="false" customHeight="false" outlineLevel="0" collapsed="false">
      <c r="A62" s="29"/>
      <c r="B62" s="36" t="str">
        <f aca="false">IF($A62="","",IFERROR(AVERAGEIFS('רווחה - קליטה'!$AQ$5:$AQ$204,'רווחה - קליטה'!$A$5:$A$204,$A62,'רווחה - קליטה'!$C$5:$C$204,"תחילת שנה"),""))</f>
        <v/>
      </c>
      <c r="C62" s="28" t="str">
        <f aca="false">IF($A62="","",IFERROR(AVERAGEIFS('רווחה - קליטה'!$AK$5:$AK$204,'רווחה - קליטה'!$A$5:$A$204,$A62,'רווחה - קליטה'!$C$5:$C$204,"תחילת שנה"),""))</f>
        <v/>
      </c>
      <c r="D62" s="27" t="str">
        <f aca="false">IF($A62="","",IFERROR(INDEX('רווחה - קליטה'!$AS$5:$AS$204,MATCH($A62&amp;"|תחילת שנה",'רווחה - קליטה'!$AE$5:$AE$204,0)),""))</f>
        <v/>
      </c>
      <c r="E62" s="36" t="str">
        <f aca="false">IF($A62="","",IFERROR(AVERAGEIFS('רווחה - קליטה'!$AQ$5:$AQ$204,'רווחה - קליטה'!$A$5:$A$204,$A62,'רווחה - קליטה'!$C$5:$C$204,"אמצע שנה"),""))</f>
        <v/>
      </c>
      <c r="F62" s="28" t="str">
        <f aca="false">IF($A62="","",IFERROR(AVERAGEIFS('רווחה - קליטה'!$AK$5:$AK$204,'רווחה - קליטה'!$A$5:$A$204,$A62,'רווחה - קליטה'!$C$5:$C$204,"אמצע שנה"),""))</f>
        <v/>
      </c>
      <c r="G62" s="27" t="str">
        <f aca="false">IF($A62="","",IFERROR(INDEX('רווחה - קליטה'!$AS$5:$AS$204,MATCH($A62&amp;"|אמצע שנה",'רווחה - קליטה'!$AE$5:$AE$204,0)),""))</f>
        <v/>
      </c>
      <c r="H62" s="36" t="str">
        <f aca="false">IF($A62="","",IFERROR(AVERAGEIFS('רווחה - קליטה'!$AQ$5:$AQ$204,'רווחה - קליטה'!$A$5:$A$204,$A62,'רווחה - קליטה'!$C$5:$C$204,"סוף שנה"),""))</f>
        <v/>
      </c>
      <c r="I62" s="28" t="str">
        <f aca="false">IF($A62="","",IFERROR(AVERAGEIFS('רווחה - קליטה'!$AK$5:$AK$204,'רווחה - קליטה'!$A$5:$A$204,$A62,'רווחה - קליטה'!$C$5:$C$204,"סוף שנה"),""))</f>
        <v/>
      </c>
      <c r="J62" s="27" t="str">
        <f aca="false">IF($A62="","",IFERROR(INDEX('רווחה - קליטה'!$AS$5:$AS$204,MATCH($A62&amp;"|סוף שנה",'רווחה - קליטה'!$AE$5:$AE$204,0)),""))</f>
        <v/>
      </c>
      <c r="K62" s="37" t="str">
        <f aca="false">IF(AND(ISNUMBER(B62),ISNUMBER(H62)),H62-B62,"")</f>
        <v/>
      </c>
      <c r="L62" s="27" t="str">
        <f aca="false">IF(K62="","",IF(K62&gt;=0.5,"עלייה",IF(K62&lt;=-0.5,"ירידה","יציב")))</f>
        <v/>
      </c>
    </row>
    <row r="63" customFormat="false" ht="15" hidden="false" customHeight="false" outlineLevel="0" collapsed="false">
      <c r="A63" s="29"/>
      <c r="B63" s="36" t="str">
        <f aca="false">IF($A63="","",IFERROR(AVERAGEIFS('רווחה - קליטה'!$AQ$5:$AQ$204,'רווחה - קליטה'!$A$5:$A$204,$A63,'רווחה - קליטה'!$C$5:$C$204,"תחילת שנה"),""))</f>
        <v/>
      </c>
      <c r="C63" s="28" t="str">
        <f aca="false">IF($A63="","",IFERROR(AVERAGEIFS('רווחה - קליטה'!$AK$5:$AK$204,'רווחה - קליטה'!$A$5:$A$204,$A63,'רווחה - קליטה'!$C$5:$C$204,"תחילת שנה"),""))</f>
        <v/>
      </c>
      <c r="D63" s="27" t="str">
        <f aca="false">IF($A63="","",IFERROR(INDEX('רווחה - קליטה'!$AS$5:$AS$204,MATCH($A63&amp;"|תחילת שנה",'רווחה - קליטה'!$AE$5:$AE$204,0)),""))</f>
        <v/>
      </c>
      <c r="E63" s="36" t="str">
        <f aca="false">IF($A63="","",IFERROR(AVERAGEIFS('רווחה - קליטה'!$AQ$5:$AQ$204,'רווחה - קליטה'!$A$5:$A$204,$A63,'רווחה - קליטה'!$C$5:$C$204,"אמצע שנה"),""))</f>
        <v/>
      </c>
      <c r="F63" s="28" t="str">
        <f aca="false">IF($A63="","",IFERROR(AVERAGEIFS('רווחה - קליטה'!$AK$5:$AK$204,'רווחה - קליטה'!$A$5:$A$204,$A63,'רווחה - קליטה'!$C$5:$C$204,"אמצע שנה"),""))</f>
        <v/>
      </c>
      <c r="G63" s="27" t="str">
        <f aca="false">IF($A63="","",IFERROR(INDEX('רווחה - קליטה'!$AS$5:$AS$204,MATCH($A63&amp;"|אמצע שנה",'רווחה - קליטה'!$AE$5:$AE$204,0)),""))</f>
        <v/>
      </c>
      <c r="H63" s="36" t="str">
        <f aca="false">IF($A63="","",IFERROR(AVERAGEIFS('רווחה - קליטה'!$AQ$5:$AQ$204,'רווחה - קליטה'!$A$5:$A$204,$A63,'רווחה - קליטה'!$C$5:$C$204,"סוף שנה"),""))</f>
        <v/>
      </c>
      <c r="I63" s="28" t="str">
        <f aca="false">IF($A63="","",IFERROR(AVERAGEIFS('רווחה - קליטה'!$AK$5:$AK$204,'רווחה - קליטה'!$A$5:$A$204,$A63,'רווחה - קליטה'!$C$5:$C$204,"סוף שנה"),""))</f>
        <v/>
      </c>
      <c r="J63" s="27" t="str">
        <f aca="false">IF($A63="","",IFERROR(INDEX('רווחה - קליטה'!$AS$5:$AS$204,MATCH($A63&amp;"|סוף שנה",'רווחה - קליטה'!$AE$5:$AE$204,0)),""))</f>
        <v/>
      </c>
      <c r="K63" s="37" t="str">
        <f aca="false">IF(AND(ISNUMBER(B63),ISNUMBER(H63)),H63-B63,"")</f>
        <v/>
      </c>
      <c r="L63" s="27" t="str">
        <f aca="false">IF(K63="","",IF(K63&gt;=0.5,"עלייה",IF(K63&lt;=-0.5,"ירידה","יציב")))</f>
        <v/>
      </c>
    </row>
    <row r="64" customFormat="false" ht="15" hidden="false" customHeight="false" outlineLevel="0" collapsed="false">
      <c r="A64" s="29"/>
      <c r="B64" s="36" t="str">
        <f aca="false">IF($A64="","",IFERROR(AVERAGEIFS('רווחה - קליטה'!$AQ$5:$AQ$204,'רווחה - קליטה'!$A$5:$A$204,$A64,'רווחה - קליטה'!$C$5:$C$204,"תחילת שנה"),""))</f>
        <v/>
      </c>
      <c r="C64" s="28" t="str">
        <f aca="false">IF($A64="","",IFERROR(AVERAGEIFS('רווחה - קליטה'!$AK$5:$AK$204,'רווחה - קליטה'!$A$5:$A$204,$A64,'רווחה - קליטה'!$C$5:$C$204,"תחילת שנה"),""))</f>
        <v/>
      </c>
      <c r="D64" s="27" t="str">
        <f aca="false">IF($A64="","",IFERROR(INDEX('רווחה - קליטה'!$AS$5:$AS$204,MATCH($A64&amp;"|תחילת שנה",'רווחה - קליטה'!$AE$5:$AE$204,0)),""))</f>
        <v/>
      </c>
      <c r="E64" s="36" t="str">
        <f aca="false">IF($A64="","",IFERROR(AVERAGEIFS('רווחה - קליטה'!$AQ$5:$AQ$204,'רווחה - קליטה'!$A$5:$A$204,$A64,'רווחה - קליטה'!$C$5:$C$204,"אמצע שנה"),""))</f>
        <v/>
      </c>
      <c r="F64" s="28" t="str">
        <f aca="false">IF($A64="","",IFERROR(AVERAGEIFS('רווחה - קליטה'!$AK$5:$AK$204,'רווחה - קליטה'!$A$5:$A$204,$A64,'רווחה - קליטה'!$C$5:$C$204,"אמצע שנה"),""))</f>
        <v/>
      </c>
      <c r="G64" s="27" t="str">
        <f aca="false">IF($A64="","",IFERROR(INDEX('רווחה - קליטה'!$AS$5:$AS$204,MATCH($A64&amp;"|אמצע שנה",'רווחה - קליטה'!$AE$5:$AE$204,0)),""))</f>
        <v/>
      </c>
      <c r="H64" s="36" t="str">
        <f aca="false">IF($A64="","",IFERROR(AVERAGEIFS('רווחה - קליטה'!$AQ$5:$AQ$204,'רווחה - קליטה'!$A$5:$A$204,$A64,'רווחה - קליטה'!$C$5:$C$204,"סוף שנה"),""))</f>
        <v/>
      </c>
      <c r="I64" s="28" t="str">
        <f aca="false">IF($A64="","",IFERROR(AVERAGEIFS('רווחה - קליטה'!$AK$5:$AK$204,'רווחה - קליטה'!$A$5:$A$204,$A64,'רווחה - קליטה'!$C$5:$C$204,"סוף שנה"),""))</f>
        <v/>
      </c>
      <c r="J64" s="27" t="str">
        <f aca="false">IF($A64="","",IFERROR(INDEX('רווחה - קליטה'!$AS$5:$AS$204,MATCH($A64&amp;"|סוף שנה",'רווחה - קליטה'!$AE$5:$AE$204,0)),""))</f>
        <v/>
      </c>
      <c r="K64" s="37" t="str">
        <f aca="false">IF(AND(ISNUMBER(B64),ISNUMBER(H64)),H64-B64,"")</f>
        <v/>
      </c>
      <c r="L64" s="27" t="str">
        <f aca="false">IF(K64="","",IF(K64&gt;=0.5,"עלייה",IF(K64&lt;=-0.5,"ירידה","יציב")))</f>
        <v/>
      </c>
    </row>
    <row r="65" customFormat="false" ht="15" hidden="false" customHeight="false" outlineLevel="0" collapsed="false">
      <c r="A65" s="29"/>
      <c r="B65" s="36" t="str">
        <f aca="false">IF($A65="","",IFERROR(AVERAGEIFS('רווחה - קליטה'!$AQ$5:$AQ$204,'רווחה - קליטה'!$A$5:$A$204,$A65,'רווחה - קליטה'!$C$5:$C$204,"תחילת שנה"),""))</f>
        <v/>
      </c>
      <c r="C65" s="28" t="str">
        <f aca="false">IF($A65="","",IFERROR(AVERAGEIFS('רווחה - קליטה'!$AK$5:$AK$204,'רווחה - קליטה'!$A$5:$A$204,$A65,'רווחה - קליטה'!$C$5:$C$204,"תחילת שנה"),""))</f>
        <v/>
      </c>
      <c r="D65" s="27" t="str">
        <f aca="false">IF($A65="","",IFERROR(INDEX('רווחה - קליטה'!$AS$5:$AS$204,MATCH($A65&amp;"|תחילת שנה",'רווחה - קליטה'!$AE$5:$AE$204,0)),""))</f>
        <v/>
      </c>
      <c r="E65" s="36" t="str">
        <f aca="false">IF($A65="","",IFERROR(AVERAGEIFS('רווחה - קליטה'!$AQ$5:$AQ$204,'רווחה - קליטה'!$A$5:$A$204,$A65,'רווחה - קליטה'!$C$5:$C$204,"אמצע שנה"),""))</f>
        <v/>
      </c>
      <c r="F65" s="28" t="str">
        <f aca="false">IF($A65="","",IFERROR(AVERAGEIFS('רווחה - קליטה'!$AK$5:$AK$204,'רווחה - קליטה'!$A$5:$A$204,$A65,'רווחה - קליטה'!$C$5:$C$204,"אמצע שנה"),""))</f>
        <v/>
      </c>
      <c r="G65" s="27" t="str">
        <f aca="false">IF($A65="","",IFERROR(INDEX('רווחה - קליטה'!$AS$5:$AS$204,MATCH($A65&amp;"|אמצע שנה",'רווחה - קליטה'!$AE$5:$AE$204,0)),""))</f>
        <v/>
      </c>
      <c r="H65" s="36" t="str">
        <f aca="false">IF($A65="","",IFERROR(AVERAGEIFS('רווחה - קליטה'!$AQ$5:$AQ$204,'רווחה - קליטה'!$A$5:$A$204,$A65,'רווחה - קליטה'!$C$5:$C$204,"סוף שנה"),""))</f>
        <v/>
      </c>
      <c r="I65" s="28" t="str">
        <f aca="false">IF($A65="","",IFERROR(AVERAGEIFS('רווחה - קליטה'!$AK$5:$AK$204,'רווחה - קליטה'!$A$5:$A$204,$A65,'רווחה - קליטה'!$C$5:$C$204,"סוף שנה"),""))</f>
        <v/>
      </c>
      <c r="J65" s="27" t="str">
        <f aca="false">IF($A65="","",IFERROR(INDEX('רווחה - קליטה'!$AS$5:$AS$204,MATCH($A65&amp;"|סוף שנה",'רווחה - קליטה'!$AE$5:$AE$204,0)),""))</f>
        <v/>
      </c>
      <c r="K65" s="37" t="str">
        <f aca="false">IF(AND(ISNUMBER(B65),ISNUMBER(H65)),H65-B65,"")</f>
        <v/>
      </c>
      <c r="L65" s="27" t="str">
        <f aca="false">IF(K65="","",IF(K65&gt;=0.5,"עלייה",IF(K65&lt;=-0.5,"ירידה","יציב")))</f>
        <v/>
      </c>
    </row>
    <row r="66" customFormat="false" ht="15" hidden="false" customHeight="false" outlineLevel="0" collapsed="false">
      <c r="A66" s="29"/>
      <c r="B66" s="36" t="str">
        <f aca="false">IF($A66="","",IFERROR(AVERAGEIFS('רווחה - קליטה'!$AQ$5:$AQ$204,'רווחה - קליטה'!$A$5:$A$204,$A66,'רווחה - קליטה'!$C$5:$C$204,"תחילת שנה"),""))</f>
        <v/>
      </c>
      <c r="C66" s="28" t="str">
        <f aca="false">IF($A66="","",IFERROR(AVERAGEIFS('רווחה - קליטה'!$AK$5:$AK$204,'רווחה - קליטה'!$A$5:$A$204,$A66,'רווחה - קליטה'!$C$5:$C$204,"תחילת שנה"),""))</f>
        <v/>
      </c>
      <c r="D66" s="27" t="str">
        <f aca="false">IF($A66="","",IFERROR(INDEX('רווחה - קליטה'!$AS$5:$AS$204,MATCH($A66&amp;"|תחילת שנה",'רווחה - קליטה'!$AE$5:$AE$204,0)),""))</f>
        <v/>
      </c>
      <c r="E66" s="36" t="str">
        <f aca="false">IF($A66="","",IFERROR(AVERAGEIFS('רווחה - קליטה'!$AQ$5:$AQ$204,'רווחה - קליטה'!$A$5:$A$204,$A66,'רווחה - קליטה'!$C$5:$C$204,"אמצע שנה"),""))</f>
        <v/>
      </c>
      <c r="F66" s="28" t="str">
        <f aca="false">IF($A66="","",IFERROR(AVERAGEIFS('רווחה - קליטה'!$AK$5:$AK$204,'רווחה - קליטה'!$A$5:$A$204,$A66,'רווחה - קליטה'!$C$5:$C$204,"אמצע שנה"),""))</f>
        <v/>
      </c>
      <c r="G66" s="27" t="str">
        <f aca="false">IF($A66="","",IFERROR(INDEX('רווחה - קליטה'!$AS$5:$AS$204,MATCH($A66&amp;"|אמצע שנה",'רווחה - קליטה'!$AE$5:$AE$204,0)),""))</f>
        <v/>
      </c>
      <c r="H66" s="36" t="str">
        <f aca="false">IF($A66="","",IFERROR(AVERAGEIFS('רווחה - קליטה'!$AQ$5:$AQ$204,'רווחה - קליטה'!$A$5:$A$204,$A66,'רווחה - קליטה'!$C$5:$C$204,"סוף שנה"),""))</f>
        <v/>
      </c>
      <c r="I66" s="28" t="str">
        <f aca="false">IF($A66="","",IFERROR(AVERAGEIFS('רווחה - קליטה'!$AK$5:$AK$204,'רווחה - קליטה'!$A$5:$A$204,$A66,'רווחה - קליטה'!$C$5:$C$204,"סוף שנה"),""))</f>
        <v/>
      </c>
      <c r="J66" s="27" t="str">
        <f aca="false">IF($A66="","",IFERROR(INDEX('רווחה - קליטה'!$AS$5:$AS$204,MATCH($A66&amp;"|סוף שנה",'רווחה - קליטה'!$AE$5:$AE$204,0)),""))</f>
        <v/>
      </c>
      <c r="K66" s="37" t="str">
        <f aca="false">IF(AND(ISNUMBER(B66),ISNUMBER(H66)),H66-B66,"")</f>
        <v/>
      </c>
      <c r="L66" s="27" t="str">
        <f aca="false">IF(K66="","",IF(K66&gt;=0.5,"עלייה",IF(K66&lt;=-0.5,"ירידה","יציב")))</f>
        <v/>
      </c>
    </row>
    <row r="67" customFormat="false" ht="15" hidden="false" customHeight="false" outlineLevel="0" collapsed="false">
      <c r="A67" s="29"/>
      <c r="B67" s="36" t="str">
        <f aca="false">IF($A67="","",IFERROR(AVERAGEIFS('רווחה - קליטה'!$AQ$5:$AQ$204,'רווחה - קליטה'!$A$5:$A$204,$A67,'רווחה - קליטה'!$C$5:$C$204,"תחילת שנה"),""))</f>
        <v/>
      </c>
      <c r="C67" s="28" t="str">
        <f aca="false">IF($A67="","",IFERROR(AVERAGEIFS('רווחה - קליטה'!$AK$5:$AK$204,'רווחה - קליטה'!$A$5:$A$204,$A67,'רווחה - קליטה'!$C$5:$C$204,"תחילת שנה"),""))</f>
        <v/>
      </c>
      <c r="D67" s="27" t="str">
        <f aca="false">IF($A67="","",IFERROR(INDEX('רווחה - קליטה'!$AS$5:$AS$204,MATCH($A67&amp;"|תחילת שנה",'רווחה - קליטה'!$AE$5:$AE$204,0)),""))</f>
        <v/>
      </c>
      <c r="E67" s="36" t="str">
        <f aca="false">IF($A67="","",IFERROR(AVERAGEIFS('רווחה - קליטה'!$AQ$5:$AQ$204,'רווחה - קליטה'!$A$5:$A$204,$A67,'רווחה - קליטה'!$C$5:$C$204,"אמצע שנה"),""))</f>
        <v/>
      </c>
      <c r="F67" s="28" t="str">
        <f aca="false">IF($A67="","",IFERROR(AVERAGEIFS('רווחה - קליטה'!$AK$5:$AK$204,'רווחה - קליטה'!$A$5:$A$204,$A67,'רווחה - קליטה'!$C$5:$C$204,"אמצע שנה"),""))</f>
        <v/>
      </c>
      <c r="G67" s="27" t="str">
        <f aca="false">IF($A67="","",IFERROR(INDEX('רווחה - קליטה'!$AS$5:$AS$204,MATCH($A67&amp;"|אמצע שנה",'רווחה - קליטה'!$AE$5:$AE$204,0)),""))</f>
        <v/>
      </c>
      <c r="H67" s="36" t="str">
        <f aca="false">IF($A67="","",IFERROR(AVERAGEIFS('רווחה - קליטה'!$AQ$5:$AQ$204,'רווחה - קליטה'!$A$5:$A$204,$A67,'רווחה - קליטה'!$C$5:$C$204,"סוף שנה"),""))</f>
        <v/>
      </c>
      <c r="I67" s="28" t="str">
        <f aca="false">IF($A67="","",IFERROR(AVERAGEIFS('רווחה - קליטה'!$AK$5:$AK$204,'רווחה - קליטה'!$A$5:$A$204,$A67,'רווחה - קליטה'!$C$5:$C$204,"סוף שנה"),""))</f>
        <v/>
      </c>
      <c r="J67" s="27" t="str">
        <f aca="false">IF($A67="","",IFERROR(INDEX('רווחה - קליטה'!$AS$5:$AS$204,MATCH($A67&amp;"|סוף שנה",'רווחה - קליטה'!$AE$5:$AE$204,0)),""))</f>
        <v/>
      </c>
      <c r="K67" s="37" t="str">
        <f aca="false">IF(AND(ISNUMBER(B67),ISNUMBER(H67)),H67-B67,"")</f>
        <v/>
      </c>
      <c r="L67" s="27" t="str">
        <f aca="false">IF(K67="","",IF(K67&gt;=0.5,"עלייה",IF(K67&lt;=-0.5,"ירידה","יציב")))</f>
        <v/>
      </c>
    </row>
    <row r="68" customFormat="false" ht="15" hidden="false" customHeight="false" outlineLevel="0" collapsed="false">
      <c r="A68" s="29"/>
      <c r="B68" s="36" t="str">
        <f aca="false">IF($A68="","",IFERROR(AVERAGEIFS('רווחה - קליטה'!$AQ$5:$AQ$204,'רווחה - קליטה'!$A$5:$A$204,$A68,'רווחה - קליטה'!$C$5:$C$204,"תחילת שנה"),""))</f>
        <v/>
      </c>
      <c r="C68" s="28" t="str">
        <f aca="false">IF($A68="","",IFERROR(AVERAGEIFS('רווחה - קליטה'!$AK$5:$AK$204,'רווחה - קליטה'!$A$5:$A$204,$A68,'רווחה - קליטה'!$C$5:$C$204,"תחילת שנה"),""))</f>
        <v/>
      </c>
      <c r="D68" s="27" t="str">
        <f aca="false">IF($A68="","",IFERROR(INDEX('רווחה - קליטה'!$AS$5:$AS$204,MATCH($A68&amp;"|תחילת שנה",'רווחה - קליטה'!$AE$5:$AE$204,0)),""))</f>
        <v/>
      </c>
      <c r="E68" s="36" t="str">
        <f aca="false">IF($A68="","",IFERROR(AVERAGEIFS('רווחה - קליטה'!$AQ$5:$AQ$204,'רווחה - קליטה'!$A$5:$A$204,$A68,'רווחה - קליטה'!$C$5:$C$204,"אמצע שנה"),""))</f>
        <v/>
      </c>
      <c r="F68" s="28" t="str">
        <f aca="false">IF($A68="","",IFERROR(AVERAGEIFS('רווחה - קליטה'!$AK$5:$AK$204,'רווחה - קליטה'!$A$5:$A$204,$A68,'רווחה - קליטה'!$C$5:$C$204,"אמצע שנה"),""))</f>
        <v/>
      </c>
      <c r="G68" s="27" t="str">
        <f aca="false">IF($A68="","",IFERROR(INDEX('רווחה - קליטה'!$AS$5:$AS$204,MATCH($A68&amp;"|אמצע שנה",'רווחה - קליטה'!$AE$5:$AE$204,0)),""))</f>
        <v/>
      </c>
      <c r="H68" s="36" t="str">
        <f aca="false">IF($A68="","",IFERROR(AVERAGEIFS('רווחה - קליטה'!$AQ$5:$AQ$204,'רווחה - קליטה'!$A$5:$A$204,$A68,'רווחה - קליטה'!$C$5:$C$204,"סוף שנה"),""))</f>
        <v/>
      </c>
      <c r="I68" s="28" t="str">
        <f aca="false">IF($A68="","",IFERROR(AVERAGEIFS('רווחה - קליטה'!$AK$5:$AK$204,'רווחה - קליטה'!$A$5:$A$204,$A68,'רווחה - קליטה'!$C$5:$C$204,"סוף שנה"),""))</f>
        <v/>
      </c>
      <c r="J68" s="27" t="str">
        <f aca="false">IF($A68="","",IFERROR(INDEX('רווחה - קליטה'!$AS$5:$AS$204,MATCH($A68&amp;"|סוף שנה",'רווחה - קליטה'!$AE$5:$AE$204,0)),""))</f>
        <v/>
      </c>
      <c r="K68" s="37" t="str">
        <f aca="false">IF(AND(ISNUMBER(B68),ISNUMBER(H68)),H68-B68,"")</f>
        <v/>
      </c>
      <c r="L68" s="27" t="str">
        <f aca="false">IF(K68="","",IF(K68&gt;=0.5,"עלייה",IF(K68&lt;=-0.5,"ירידה","יציב")))</f>
        <v/>
      </c>
    </row>
    <row r="69" customFormat="false" ht="15" hidden="false" customHeight="false" outlineLevel="0" collapsed="false">
      <c r="A69" s="29"/>
      <c r="B69" s="36" t="str">
        <f aca="false">IF($A69="","",IFERROR(AVERAGEIFS('רווחה - קליטה'!$AQ$5:$AQ$204,'רווחה - קליטה'!$A$5:$A$204,$A69,'רווחה - קליטה'!$C$5:$C$204,"תחילת שנה"),""))</f>
        <v/>
      </c>
      <c r="C69" s="28" t="str">
        <f aca="false">IF($A69="","",IFERROR(AVERAGEIFS('רווחה - קליטה'!$AK$5:$AK$204,'רווחה - קליטה'!$A$5:$A$204,$A69,'רווחה - קליטה'!$C$5:$C$204,"תחילת שנה"),""))</f>
        <v/>
      </c>
      <c r="D69" s="27" t="str">
        <f aca="false">IF($A69="","",IFERROR(INDEX('רווחה - קליטה'!$AS$5:$AS$204,MATCH($A69&amp;"|תחילת שנה",'רווחה - קליטה'!$AE$5:$AE$204,0)),""))</f>
        <v/>
      </c>
      <c r="E69" s="36" t="str">
        <f aca="false">IF($A69="","",IFERROR(AVERAGEIFS('רווחה - קליטה'!$AQ$5:$AQ$204,'רווחה - קליטה'!$A$5:$A$204,$A69,'רווחה - קליטה'!$C$5:$C$204,"אמצע שנה"),""))</f>
        <v/>
      </c>
      <c r="F69" s="28" t="str">
        <f aca="false">IF($A69="","",IFERROR(AVERAGEIFS('רווחה - קליטה'!$AK$5:$AK$204,'רווחה - קליטה'!$A$5:$A$204,$A69,'רווחה - קליטה'!$C$5:$C$204,"אמצע שנה"),""))</f>
        <v/>
      </c>
      <c r="G69" s="27" t="str">
        <f aca="false">IF($A69="","",IFERROR(INDEX('רווחה - קליטה'!$AS$5:$AS$204,MATCH($A69&amp;"|אמצע שנה",'רווחה - קליטה'!$AE$5:$AE$204,0)),""))</f>
        <v/>
      </c>
      <c r="H69" s="36" t="str">
        <f aca="false">IF($A69="","",IFERROR(AVERAGEIFS('רווחה - קליטה'!$AQ$5:$AQ$204,'רווחה - קליטה'!$A$5:$A$204,$A69,'רווחה - קליטה'!$C$5:$C$204,"סוף שנה"),""))</f>
        <v/>
      </c>
      <c r="I69" s="28" t="str">
        <f aca="false">IF($A69="","",IFERROR(AVERAGEIFS('רווחה - קליטה'!$AK$5:$AK$204,'רווחה - קליטה'!$A$5:$A$204,$A69,'רווחה - קליטה'!$C$5:$C$204,"סוף שנה"),""))</f>
        <v/>
      </c>
      <c r="J69" s="27" t="str">
        <f aca="false">IF($A69="","",IFERROR(INDEX('רווחה - קליטה'!$AS$5:$AS$204,MATCH($A69&amp;"|סוף שנה",'רווחה - קליטה'!$AE$5:$AE$204,0)),""))</f>
        <v/>
      </c>
      <c r="K69" s="37" t="str">
        <f aca="false">IF(AND(ISNUMBER(B69),ISNUMBER(H69)),H69-B69,"")</f>
        <v/>
      </c>
      <c r="L69" s="27" t="str">
        <f aca="false">IF(K69="","",IF(K69&gt;=0.5,"עלייה",IF(K69&lt;=-0.5,"ירידה","יציב")))</f>
        <v/>
      </c>
    </row>
    <row r="70" customFormat="false" ht="15" hidden="false" customHeight="false" outlineLevel="0" collapsed="false">
      <c r="A70" s="29"/>
      <c r="B70" s="36" t="str">
        <f aca="false">IF($A70="","",IFERROR(AVERAGEIFS('רווחה - קליטה'!$AQ$5:$AQ$204,'רווחה - קליטה'!$A$5:$A$204,$A70,'רווחה - קליטה'!$C$5:$C$204,"תחילת שנה"),""))</f>
        <v/>
      </c>
      <c r="C70" s="28" t="str">
        <f aca="false">IF($A70="","",IFERROR(AVERAGEIFS('רווחה - קליטה'!$AK$5:$AK$204,'רווחה - קליטה'!$A$5:$A$204,$A70,'רווחה - קליטה'!$C$5:$C$204,"תחילת שנה"),""))</f>
        <v/>
      </c>
      <c r="D70" s="27" t="str">
        <f aca="false">IF($A70="","",IFERROR(INDEX('רווחה - קליטה'!$AS$5:$AS$204,MATCH($A70&amp;"|תחילת שנה",'רווחה - קליטה'!$AE$5:$AE$204,0)),""))</f>
        <v/>
      </c>
      <c r="E70" s="36" t="str">
        <f aca="false">IF($A70="","",IFERROR(AVERAGEIFS('רווחה - קליטה'!$AQ$5:$AQ$204,'רווחה - קליטה'!$A$5:$A$204,$A70,'רווחה - קליטה'!$C$5:$C$204,"אמצע שנה"),""))</f>
        <v/>
      </c>
      <c r="F70" s="28" t="str">
        <f aca="false">IF($A70="","",IFERROR(AVERAGEIFS('רווחה - קליטה'!$AK$5:$AK$204,'רווחה - קליטה'!$A$5:$A$204,$A70,'רווחה - קליטה'!$C$5:$C$204,"אמצע שנה"),""))</f>
        <v/>
      </c>
      <c r="G70" s="27" t="str">
        <f aca="false">IF($A70="","",IFERROR(INDEX('רווחה - קליטה'!$AS$5:$AS$204,MATCH($A70&amp;"|אמצע שנה",'רווחה - קליטה'!$AE$5:$AE$204,0)),""))</f>
        <v/>
      </c>
      <c r="H70" s="36" t="str">
        <f aca="false">IF($A70="","",IFERROR(AVERAGEIFS('רווחה - קליטה'!$AQ$5:$AQ$204,'רווחה - קליטה'!$A$5:$A$204,$A70,'רווחה - קליטה'!$C$5:$C$204,"סוף שנה"),""))</f>
        <v/>
      </c>
      <c r="I70" s="28" t="str">
        <f aca="false">IF($A70="","",IFERROR(AVERAGEIFS('רווחה - קליטה'!$AK$5:$AK$204,'רווחה - קליטה'!$A$5:$A$204,$A70,'רווחה - קליטה'!$C$5:$C$204,"סוף שנה"),""))</f>
        <v/>
      </c>
      <c r="J70" s="27" t="str">
        <f aca="false">IF($A70="","",IFERROR(INDEX('רווחה - קליטה'!$AS$5:$AS$204,MATCH($A70&amp;"|סוף שנה",'רווחה - קליטה'!$AE$5:$AE$204,0)),""))</f>
        <v/>
      </c>
      <c r="K70" s="37" t="str">
        <f aca="false">IF(AND(ISNUMBER(B70),ISNUMBER(H70)),H70-B70,"")</f>
        <v/>
      </c>
      <c r="L70" s="27" t="str">
        <f aca="false">IF(K70="","",IF(K70&gt;=0.5,"עלייה",IF(K70&lt;=-0.5,"ירידה","יציב")))</f>
        <v/>
      </c>
    </row>
    <row r="71" customFormat="false" ht="15" hidden="false" customHeight="false" outlineLevel="0" collapsed="false">
      <c r="A71" s="29"/>
      <c r="B71" s="36" t="str">
        <f aca="false">IF($A71="","",IFERROR(AVERAGEIFS('רווחה - קליטה'!$AQ$5:$AQ$204,'רווחה - קליטה'!$A$5:$A$204,$A71,'רווחה - קליטה'!$C$5:$C$204,"תחילת שנה"),""))</f>
        <v/>
      </c>
      <c r="C71" s="28" t="str">
        <f aca="false">IF($A71="","",IFERROR(AVERAGEIFS('רווחה - קליטה'!$AK$5:$AK$204,'רווחה - קליטה'!$A$5:$A$204,$A71,'רווחה - קליטה'!$C$5:$C$204,"תחילת שנה"),""))</f>
        <v/>
      </c>
      <c r="D71" s="27" t="str">
        <f aca="false">IF($A71="","",IFERROR(INDEX('רווחה - קליטה'!$AS$5:$AS$204,MATCH($A71&amp;"|תחילת שנה",'רווחה - קליטה'!$AE$5:$AE$204,0)),""))</f>
        <v/>
      </c>
      <c r="E71" s="36" t="str">
        <f aca="false">IF($A71="","",IFERROR(AVERAGEIFS('רווחה - קליטה'!$AQ$5:$AQ$204,'רווחה - קליטה'!$A$5:$A$204,$A71,'רווחה - קליטה'!$C$5:$C$204,"אמצע שנה"),""))</f>
        <v/>
      </c>
      <c r="F71" s="28" t="str">
        <f aca="false">IF($A71="","",IFERROR(AVERAGEIFS('רווחה - קליטה'!$AK$5:$AK$204,'רווחה - קליטה'!$A$5:$A$204,$A71,'רווחה - קליטה'!$C$5:$C$204,"אמצע שנה"),""))</f>
        <v/>
      </c>
      <c r="G71" s="27" t="str">
        <f aca="false">IF($A71="","",IFERROR(INDEX('רווחה - קליטה'!$AS$5:$AS$204,MATCH($A71&amp;"|אמצע שנה",'רווחה - קליטה'!$AE$5:$AE$204,0)),""))</f>
        <v/>
      </c>
      <c r="H71" s="36" t="str">
        <f aca="false">IF($A71="","",IFERROR(AVERAGEIFS('רווחה - קליטה'!$AQ$5:$AQ$204,'רווחה - קליטה'!$A$5:$A$204,$A71,'רווחה - קליטה'!$C$5:$C$204,"סוף שנה"),""))</f>
        <v/>
      </c>
      <c r="I71" s="28" t="str">
        <f aca="false">IF($A71="","",IFERROR(AVERAGEIFS('רווחה - קליטה'!$AK$5:$AK$204,'רווחה - קליטה'!$A$5:$A$204,$A71,'רווחה - קליטה'!$C$5:$C$204,"סוף שנה"),""))</f>
        <v/>
      </c>
      <c r="J71" s="27" t="str">
        <f aca="false">IF($A71="","",IFERROR(INDEX('רווחה - קליטה'!$AS$5:$AS$204,MATCH($A71&amp;"|סוף שנה",'רווחה - קליטה'!$AE$5:$AE$204,0)),""))</f>
        <v/>
      </c>
      <c r="K71" s="37" t="str">
        <f aca="false">IF(AND(ISNUMBER(B71),ISNUMBER(H71)),H71-B71,"")</f>
        <v/>
      </c>
      <c r="L71" s="27" t="str">
        <f aca="false">IF(K71="","",IF(K71&gt;=0.5,"עלייה",IF(K71&lt;=-0.5,"ירידה","יציב")))</f>
        <v/>
      </c>
    </row>
    <row r="72" customFormat="false" ht="15" hidden="false" customHeight="false" outlineLevel="0" collapsed="false">
      <c r="A72" s="29"/>
      <c r="B72" s="36" t="str">
        <f aca="false">IF($A72="","",IFERROR(AVERAGEIFS('רווחה - קליטה'!$AQ$5:$AQ$204,'רווחה - קליטה'!$A$5:$A$204,$A72,'רווחה - קליטה'!$C$5:$C$204,"תחילת שנה"),""))</f>
        <v/>
      </c>
      <c r="C72" s="28" t="str">
        <f aca="false">IF($A72="","",IFERROR(AVERAGEIFS('רווחה - קליטה'!$AK$5:$AK$204,'רווחה - קליטה'!$A$5:$A$204,$A72,'רווחה - קליטה'!$C$5:$C$204,"תחילת שנה"),""))</f>
        <v/>
      </c>
      <c r="D72" s="27" t="str">
        <f aca="false">IF($A72="","",IFERROR(INDEX('רווחה - קליטה'!$AS$5:$AS$204,MATCH($A72&amp;"|תחילת שנה",'רווחה - קליטה'!$AE$5:$AE$204,0)),""))</f>
        <v/>
      </c>
      <c r="E72" s="36" t="str">
        <f aca="false">IF($A72="","",IFERROR(AVERAGEIFS('רווחה - קליטה'!$AQ$5:$AQ$204,'רווחה - קליטה'!$A$5:$A$204,$A72,'רווחה - קליטה'!$C$5:$C$204,"אמצע שנה"),""))</f>
        <v/>
      </c>
      <c r="F72" s="28" t="str">
        <f aca="false">IF($A72="","",IFERROR(AVERAGEIFS('רווחה - קליטה'!$AK$5:$AK$204,'רווחה - קליטה'!$A$5:$A$204,$A72,'רווחה - קליטה'!$C$5:$C$204,"אמצע שנה"),""))</f>
        <v/>
      </c>
      <c r="G72" s="27" t="str">
        <f aca="false">IF($A72="","",IFERROR(INDEX('רווחה - קליטה'!$AS$5:$AS$204,MATCH($A72&amp;"|אמצע שנה",'רווחה - קליטה'!$AE$5:$AE$204,0)),""))</f>
        <v/>
      </c>
      <c r="H72" s="36" t="str">
        <f aca="false">IF($A72="","",IFERROR(AVERAGEIFS('רווחה - קליטה'!$AQ$5:$AQ$204,'רווחה - קליטה'!$A$5:$A$204,$A72,'רווחה - קליטה'!$C$5:$C$204,"סוף שנה"),""))</f>
        <v/>
      </c>
      <c r="I72" s="28" t="str">
        <f aca="false">IF($A72="","",IFERROR(AVERAGEIFS('רווחה - קליטה'!$AK$5:$AK$204,'רווחה - קליטה'!$A$5:$A$204,$A72,'רווחה - קליטה'!$C$5:$C$204,"סוף שנה"),""))</f>
        <v/>
      </c>
      <c r="J72" s="27" t="str">
        <f aca="false">IF($A72="","",IFERROR(INDEX('רווחה - קליטה'!$AS$5:$AS$204,MATCH($A72&amp;"|סוף שנה",'רווחה - קליטה'!$AE$5:$AE$204,0)),""))</f>
        <v/>
      </c>
      <c r="K72" s="37" t="str">
        <f aca="false">IF(AND(ISNUMBER(B72),ISNUMBER(H72)),H72-B72,"")</f>
        <v/>
      </c>
      <c r="L72" s="27" t="str">
        <f aca="false">IF(K72="","",IF(K72&gt;=0.5,"עלייה",IF(K72&lt;=-0.5,"ירידה","יציב")))</f>
        <v/>
      </c>
    </row>
    <row r="73" customFormat="false" ht="15" hidden="false" customHeight="false" outlineLevel="0" collapsed="false">
      <c r="A73" s="29"/>
      <c r="B73" s="36" t="str">
        <f aca="false">IF($A73="","",IFERROR(AVERAGEIFS('רווחה - קליטה'!$AQ$5:$AQ$204,'רווחה - קליטה'!$A$5:$A$204,$A73,'רווחה - קליטה'!$C$5:$C$204,"תחילת שנה"),""))</f>
        <v/>
      </c>
      <c r="C73" s="28" t="str">
        <f aca="false">IF($A73="","",IFERROR(AVERAGEIFS('רווחה - קליטה'!$AK$5:$AK$204,'רווחה - קליטה'!$A$5:$A$204,$A73,'רווחה - קליטה'!$C$5:$C$204,"תחילת שנה"),""))</f>
        <v/>
      </c>
      <c r="D73" s="27" t="str">
        <f aca="false">IF($A73="","",IFERROR(INDEX('רווחה - קליטה'!$AS$5:$AS$204,MATCH($A73&amp;"|תחילת שנה",'רווחה - קליטה'!$AE$5:$AE$204,0)),""))</f>
        <v/>
      </c>
      <c r="E73" s="36" t="str">
        <f aca="false">IF($A73="","",IFERROR(AVERAGEIFS('רווחה - קליטה'!$AQ$5:$AQ$204,'רווחה - קליטה'!$A$5:$A$204,$A73,'רווחה - קליטה'!$C$5:$C$204,"אמצע שנה"),""))</f>
        <v/>
      </c>
      <c r="F73" s="28" t="str">
        <f aca="false">IF($A73="","",IFERROR(AVERAGEIFS('רווחה - קליטה'!$AK$5:$AK$204,'רווחה - קליטה'!$A$5:$A$204,$A73,'רווחה - קליטה'!$C$5:$C$204,"אמצע שנה"),""))</f>
        <v/>
      </c>
      <c r="G73" s="27" t="str">
        <f aca="false">IF($A73="","",IFERROR(INDEX('רווחה - קליטה'!$AS$5:$AS$204,MATCH($A73&amp;"|אמצע שנה",'רווחה - קליטה'!$AE$5:$AE$204,0)),""))</f>
        <v/>
      </c>
      <c r="H73" s="36" t="str">
        <f aca="false">IF($A73="","",IFERROR(AVERAGEIFS('רווחה - קליטה'!$AQ$5:$AQ$204,'רווחה - קליטה'!$A$5:$A$204,$A73,'רווחה - קליטה'!$C$5:$C$204,"סוף שנה"),""))</f>
        <v/>
      </c>
      <c r="I73" s="28" t="str">
        <f aca="false">IF($A73="","",IFERROR(AVERAGEIFS('רווחה - קליטה'!$AK$5:$AK$204,'רווחה - קליטה'!$A$5:$A$204,$A73,'רווחה - קליטה'!$C$5:$C$204,"סוף שנה"),""))</f>
        <v/>
      </c>
      <c r="J73" s="27" t="str">
        <f aca="false">IF($A73="","",IFERROR(INDEX('רווחה - קליטה'!$AS$5:$AS$204,MATCH($A73&amp;"|סוף שנה",'רווחה - קליטה'!$AE$5:$AE$204,0)),""))</f>
        <v/>
      </c>
      <c r="K73" s="37" t="str">
        <f aca="false">IF(AND(ISNUMBER(B73),ISNUMBER(H73)),H73-B73,"")</f>
        <v/>
      </c>
      <c r="L73" s="27" t="str">
        <f aca="false">IF(K73="","",IF(K73&gt;=0.5,"עלייה",IF(K73&lt;=-0.5,"ירידה","יציב")))</f>
        <v/>
      </c>
    </row>
    <row r="74" customFormat="false" ht="15" hidden="false" customHeight="false" outlineLevel="0" collapsed="false">
      <c r="A74" s="29"/>
      <c r="B74" s="36" t="str">
        <f aca="false">IF($A74="","",IFERROR(AVERAGEIFS('רווחה - קליטה'!$AQ$5:$AQ$204,'רווחה - קליטה'!$A$5:$A$204,$A74,'רווחה - קליטה'!$C$5:$C$204,"תחילת שנה"),""))</f>
        <v/>
      </c>
      <c r="C74" s="28" t="str">
        <f aca="false">IF($A74="","",IFERROR(AVERAGEIFS('רווחה - קליטה'!$AK$5:$AK$204,'רווחה - קליטה'!$A$5:$A$204,$A74,'רווחה - קליטה'!$C$5:$C$204,"תחילת שנה"),""))</f>
        <v/>
      </c>
      <c r="D74" s="27" t="str">
        <f aca="false">IF($A74="","",IFERROR(INDEX('רווחה - קליטה'!$AS$5:$AS$204,MATCH($A74&amp;"|תחילת שנה",'רווחה - קליטה'!$AE$5:$AE$204,0)),""))</f>
        <v/>
      </c>
      <c r="E74" s="36" t="str">
        <f aca="false">IF($A74="","",IFERROR(AVERAGEIFS('רווחה - קליטה'!$AQ$5:$AQ$204,'רווחה - קליטה'!$A$5:$A$204,$A74,'רווחה - קליטה'!$C$5:$C$204,"אמצע שנה"),""))</f>
        <v/>
      </c>
      <c r="F74" s="28" t="str">
        <f aca="false">IF($A74="","",IFERROR(AVERAGEIFS('רווחה - קליטה'!$AK$5:$AK$204,'רווחה - קליטה'!$A$5:$A$204,$A74,'רווחה - קליטה'!$C$5:$C$204,"אמצע שנה"),""))</f>
        <v/>
      </c>
      <c r="G74" s="27" t="str">
        <f aca="false">IF($A74="","",IFERROR(INDEX('רווחה - קליטה'!$AS$5:$AS$204,MATCH($A74&amp;"|אמצע שנה",'רווחה - קליטה'!$AE$5:$AE$204,0)),""))</f>
        <v/>
      </c>
      <c r="H74" s="36" t="str">
        <f aca="false">IF($A74="","",IFERROR(AVERAGEIFS('רווחה - קליטה'!$AQ$5:$AQ$204,'רווחה - קליטה'!$A$5:$A$204,$A74,'רווחה - קליטה'!$C$5:$C$204,"סוף שנה"),""))</f>
        <v/>
      </c>
      <c r="I74" s="28" t="str">
        <f aca="false">IF($A74="","",IFERROR(AVERAGEIFS('רווחה - קליטה'!$AK$5:$AK$204,'רווחה - קליטה'!$A$5:$A$204,$A74,'רווחה - קליטה'!$C$5:$C$204,"סוף שנה"),""))</f>
        <v/>
      </c>
      <c r="J74" s="27" t="str">
        <f aca="false">IF($A74="","",IFERROR(INDEX('רווחה - קליטה'!$AS$5:$AS$204,MATCH($A74&amp;"|סוף שנה",'רווחה - קליטה'!$AE$5:$AE$204,0)),""))</f>
        <v/>
      </c>
      <c r="K74" s="37" t="str">
        <f aca="false">IF(AND(ISNUMBER(B74),ISNUMBER(H74)),H74-B74,"")</f>
        <v/>
      </c>
      <c r="L74" s="27" t="str">
        <f aca="false">IF(K74="","",IF(K74&gt;=0.5,"עלייה",IF(K74&lt;=-0.5,"ירידה","יציב")))</f>
        <v/>
      </c>
    </row>
    <row r="75" customFormat="false" ht="15" hidden="false" customHeight="false" outlineLevel="0" collapsed="false">
      <c r="A75" s="29"/>
      <c r="B75" s="36" t="str">
        <f aca="false">IF($A75="","",IFERROR(AVERAGEIFS('רווחה - קליטה'!$AQ$5:$AQ$204,'רווחה - קליטה'!$A$5:$A$204,$A75,'רווחה - קליטה'!$C$5:$C$204,"תחילת שנה"),""))</f>
        <v/>
      </c>
      <c r="C75" s="28" t="str">
        <f aca="false">IF($A75="","",IFERROR(AVERAGEIFS('רווחה - קליטה'!$AK$5:$AK$204,'רווחה - קליטה'!$A$5:$A$204,$A75,'רווחה - קליטה'!$C$5:$C$204,"תחילת שנה"),""))</f>
        <v/>
      </c>
      <c r="D75" s="27" t="str">
        <f aca="false">IF($A75="","",IFERROR(INDEX('רווחה - קליטה'!$AS$5:$AS$204,MATCH($A75&amp;"|תחילת שנה",'רווחה - קליטה'!$AE$5:$AE$204,0)),""))</f>
        <v/>
      </c>
      <c r="E75" s="36" t="str">
        <f aca="false">IF($A75="","",IFERROR(AVERAGEIFS('רווחה - קליטה'!$AQ$5:$AQ$204,'רווחה - קליטה'!$A$5:$A$204,$A75,'רווחה - קליטה'!$C$5:$C$204,"אמצע שנה"),""))</f>
        <v/>
      </c>
      <c r="F75" s="28" t="str">
        <f aca="false">IF($A75="","",IFERROR(AVERAGEIFS('רווחה - קליטה'!$AK$5:$AK$204,'רווחה - קליטה'!$A$5:$A$204,$A75,'רווחה - קליטה'!$C$5:$C$204,"אמצע שנה"),""))</f>
        <v/>
      </c>
      <c r="G75" s="27" t="str">
        <f aca="false">IF($A75="","",IFERROR(INDEX('רווחה - קליטה'!$AS$5:$AS$204,MATCH($A75&amp;"|אמצע שנה",'רווחה - קליטה'!$AE$5:$AE$204,0)),""))</f>
        <v/>
      </c>
      <c r="H75" s="36" t="str">
        <f aca="false">IF($A75="","",IFERROR(AVERAGEIFS('רווחה - קליטה'!$AQ$5:$AQ$204,'רווחה - קליטה'!$A$5:$A$204,$A75,'רווחה - קליטה'!$C$5:$C$204,"סוף שנה"),""))</f>
        <v/>
      </c>
      <c r="I75" s="28" t="str">
        <f aca="false">IF($A75="","",IFERROR(AVERAGEIFS('רווחה - קליטה'!$AK$5:$AK$204,'רווחה - קליטה'!$A$5:$A$204,$A75,'רווחה - קליטה'!$C$5:$C$204,"סוף שנה"),""))</f>
        <v/>
      </c>
      <c r="J75" s="27" t="str">
        <f aca="false">IF($A75="","",IFERROR(INDEX('רווחה - קליטה'!$AS$5:$AS$204,MATCH($A75&amp;"|סוף שנה",'רווחה - קליטה'!$AE$5:$AE$204,0)),""))</f>
        <v/>
      </c>
      <c r="K75" s="37" t="str">
        <f aca="false">IF(AND(ISNUMBER(B75),ISNUMBER(H75)),H75-B75,"")</f>
        <v/>
      </c>
      <c r="L75" s="27" t="str">
        <f aca="false">IF(K75="","",IF(K75&gt;=0.5,"עלייה",IF(K75&lt;=-0.5,"ירידה","יציב")))</f>
        <v/>
      </c>
    </row>
    <row r="76" customFormat="false" ht="15" hidden="false" customHeight="false" outlineLevel="0" collapsed="false">
      <c r="A76" s="29"/>
      <c r="B76" s="36" t="str">
        <f aca="false">IF($A76="","",IFERROR(AVERAGEIFS('רווחה - קליטה'!$AQ$5:$AQ$204,'רווחה - קליטה'!$A$5:$A$204,$A76,'רווחה - קליטה'!$C$5:$C$204,"תחילת שנה"),""))</f>
        <v/>
      </c>
      <c r="C76" s="28" t="str">
        <f aca="false">IF($A76="","",IFERROR(AVERAGEIFS('רווחה - קליטה'!$AK$5:$AK$204,'רווחה - קליטה'!$A$5:$A$204,$A76,'רווחה - קליטה'!$C$5:$C$204,"תחילת שנה"),""))</f>
        <v/>
      </c>
      <c r="D76" s="27" t="str">
        <f aca="false">IF($A76="","",IFERROR(INDEX('רווחה - קליטה'!$AS$5:$AS$204,MATCH($A76&amp;"|תחילת שנה",'רווחה - קליטה'!$AE$5:$AE$204,0)),""))</f>
        <v/>
      </c>
      <c r="E76" s="36" t="str">
        <f aca="false">IF($A76="","",IFERROR(AVERAGEIFS('רווחה - קליטה'!$AQ$5:$AQ$204,'רווחה - קליטה'!$A$5:$A$204,$A76,'רווחה - קליטה'!$C$5:$C$204,"אמצע שנה"),""))</f>
        <v/>
      </c>
      <c r="F76" s="28" t="str">
        <f aca="false">IF($A76="","",IFERROR(AVERAGEIFS('רווחה - קליטה'!$AK$5:$AK$204,'רווחה - קליטה'!$A$5:$A$204,$A76,'רווחה - קליטה'!$C$5:$C$204,"אמצע שנה"),""))</f>
        <v/>
      </c>
      <c r="G76" s="27" t="str">
        <f aca="false">IF($A76="","",IFERROR(INDEX('רווחה - קליטה'!$AS$5:$AS$204,MATCH($A76&amp;"|אמצע שנה",'רווחה - קליטה'!$AE$5:$AE$204,0)),""))</f>
        <v/>
      </c>
      <c r="H76" s="36" t="str">
        <f aca="false">IF($A76="","",IFERROR(AVERAGEIFS('רווחה - קליטה'!$AQ$5:$AQ$204,'רווחה - קליטה'!$A$5:$A$204,$A76,'רווחה - קליטה'!$C$5:$C$204,"סוף שנה"),""))</f>
        <v/>
      </c>
      <c r="I76" s="28" t="str">
        <f aca="false">IF($A76="","",IFERROR(AVERAGEIFS('רווחה - קליטה'!$AK$5:$AK$204,'רווחה - קליטה'!$A$5:$A$204,$A76,'רווחה - קליטה'!$C$5:$C$204,"סוף שנה"),""))</f>
        <v/>
      </c>
      <c r="J76" s="27" t="str">
        <f aca="false">IF($A76="","",IFERROR(INDEX('רווחה - קליטה'!$AS$5:$AS$204,MATCH($A76&amp;"|סוף שנה",'רווחה - קליטה'!$AE$5:$AE$204,0)),""))</f>
        <v/>
      </c>
      <c r="K76" s="37" t="str">
        <f aca="false">IF(AND(ISNUMBER(B76),ISNUMBER(H76)),H76-B76,"")</f>
        <v/>
      </c>
      <c r="L76" s="27" t="str">
        <f aca="false">IF(K76="","",IF(K76&gt;=0.5,"עלייה",IF(K76&lt;=-0.5,"ירידה","יציב")))</f>
        <v/>
      </c>
    </row>
    <row r="77" customFormat="false" ht="15" hidden="false" customHeight="false" outlineLevel="0" collapsed="false">
      <c r="A77" s="29"/>
      <c r="B77" s="36" t="str">
        <f aca="false">IF($A77="","",IFERROR(AVERAGEIFS('רווחה - קליטה'!$AQ$5:$AQ$204,'רווחה - קליטה'!$A$5:$A$204,$A77,'רווחה - קליטה'!$C$5:$C$204,"תחילת שנה"),""))</f>
        <v/>
      </c>
      <c r="C77" s="28" t="str">
        <f aca="false">IF($A77="","",IFERROR(AVERAGEIFS('רווחה - קליטה'!$AK$5:$AK$204,'רווחה - קליטה'!$A$5:$A$204,$A77,'רווחה - קליטה'!$C$5:$C$204,"תחילת שנה"),""))</f>
        <v/>
      </c>
      <c r="D77" s="27" t="str">
        <f aca="false">IF($A77="","",IFERROR(INDEX('רווחה - קליטה'!$AS$5:$AS$204,MATCH($A77&amp;"|תחילת שנה",'רווחה - קליטה'!$AE$5:$AE$204,0)),""))</f>
        <v/>
      </c>
      <c r="E77" s="36" t="str">
        <f aca="false">IF($A77="","",IFERROR(AVERAGEIFS('רווחה - קליטה'!$AQ$5:$AQ$204,'רווחה - קליטה'!$A$5:$A$204,$A77,'רווחה - קליטה'!$C$5:$C$204,"אמצע שנה"),""))</f>
        <v/>
      </c>
      <c r="F77" s="28" t="str">
        <f aca="false">IF($A77="","",IFERROR(AVERAGEIFS('רווחה - קליטה'!$AK$5:$AK$204,'רווחה - קליטה'!$A$5:$A$204,$A77,'רווחה - קליטה'!$C$5:$C$204,"אמצע שנה"),""))</f>
        <v/>
      </c>
      <c r="G77" s="27" t="str">
        <f aca="false">IF($A77="","",IFERROR(INDEX('רווחה - קליטה'!$AS$5:$AS$204,MATCH($A77&amp;"|אמצע שנה",'רווחה - קליטה'!$AE$5:$AE$204,0)),""))</f>
        <v/>
      </c>
      <c r="H77" s="36" t="str">
        <f aca="false">IF($A77="","",IFERROR(AVERAGEIFS('רווחה - קליטה'!$AQ$5:$AQ$204,'רווחה - קליטה'!$A$5:$A$204,$A77,'רווחה - קליטה'!$C$5:$C$204,"סוף שנה"),""))</f>
        <v/>
      </c>
      <c r="I77" s="28" t="str">
        <f aca="false">IF($A77="","",IFERROR(AVERAGEIFS('רווחה - קליטה'!$AK$5:$AK$204,'רווחה - קליטה'!$A$5:$A$204,$A77,'רווחה - קליטה'!$C$5:$C$204,"סוף שנה"),""))</f>
        <v/>
      </c>
      <c r="J77" s="27" t="str">
        <f aca="false">IF($A77="","",IFERROR(INDEX('רווחה - קליטה'!$AS$5:$AS$204,MATCH($A77&amp;"|סוף שנה",'רווחה - קליטה'!$AE$5:$AE$204,0)),""))</f>
        <v/>
      </c>
      <c r="K77" s="37" t="str">
        <f aca="false">IF(AND(ISNUMBER(B77),ISNUMBER(H77)),H77-B77,"")</f>
        <v/>
      </c>
      <c r="L77" s="27" t="str">
        <f aca="false">IF(K77="","",IF(K77&gt;=0.5,"עלייה",IF(K77&lt;=-0.5,"ירידה","יציב")))</f>
        <v/>
      </c>
    </row>
    <row r="78" customFormat="false" ht="15" hidden="false" customHeight="false" outlineLevel="0" collapsed="false">
      <c r="A78" s="29"/>
      <c r="B78" s="36" t="str">
        <f aca="false">IF($A78="","",IFERROR(AVERAGEIFS('רווחה - קליטה'!$AQ$5:$AQ$204,'רווחה - קליטה'!$A$5:$A$204,$A78,'רווחה - קליטה'!$C$5:$C$204,"תחילת שנה"),""))</f>
        <v/>
      </c>
      <c r="C78" s="28" t="str">
        <f aca="false">IF($A78="","",IFERROR(AVERAGEIFS('רווחה - קליטה'!$AK$5:$AK$204,'רווחה - קליטה'!$A$5:$A$204,$A78,'רווחה - קליטה'!$C$5:$C$204,"תחילת שנה"),""))</f>
        <v/>
      </c>
      <c r="D78" s="27" t="str">
        <f aca="false">IF($A78="","",IFERROR(INDEX('רווחה - קליטה'!$AS$5:$AS$204,MATCH($A78&amp;"|תחילת שנה",'רווחה - קליטה'!$AE$5:$AE$204,0)),""))</f>
        <v/>
      </c>
      <c r="E78" s="36" t="str">
        <f aca="false">IF($A78="","",IFERROR(AVERAGEIFS('רווחה - קליטה'!$AQ$5:$AQ$204,'רווחה - קליטה'!$A$5:$A$204,$A78,'רווחה - קליטה'!$C$5:$C$204,"אמצע שנה"),""))</f>
        <v/>
      </c>
      <c r="F78" s="28" t="str">
        <f aca="false">IF($A78="","",IFERROR(AVERAGEIFS('רווחה - קליטה'!$AK$5:$AK$204,'רווחה - קליטה'!$A$5:$A$204,$A78,'רווחה - קליטה'!$C$5:$C$204,"אמצע שנה"),""))</f>
        <v/>
      </c>
      <c r="G78" s="27" t="str">
        <f aca="false">IF($A78="","",IFERROR(INDEX('רווחה - קליטה'!$AS$5:$AS$204,MATCH($A78&amp;"|אמצע שנה",'רווחה - קליטה'!$AE$5:$AE$204,0)),""))</f>
        <v/>
      </c>
      <c r="H78" s="36" t="str">
        <f aca="false">IF($A78="","",IFERROR(AVERAGEIFS('רווחה - קליטה'!$AQ$5:$AQ$204,'רווחה - קליטה'!$A$5:$A$204,$A78,'רווחה - קליטה'!$C$5:$C$204,"סוף שנה"),""))</f>
        <v/>
      </c>
      <c r="I78" s="28" t="str">
        <f aca="false">IF($A78="","",IFERROR(AVERAGEIFS('רווחה - קליטה'!$AK$5:$AK$204,'רווחה - קליטה'!$A$5:$A$204,$A78,'רווחה - קליטה'!$C$5:$C$204,"סוף שנה"),""))</f>
        <v/>
      </c>
      <c r="J78" s="27" t="str">
        <f aca="false">IF($A78="","",IFERROR(INDEX('רווחה - קליטה'!$AS$5:$AS$204,MATCH($A78&amp;"|סוף שנה",'רווחה - קליטה'!$AE$5:$AE$204,0)),""))</f>
        <v/>
      </c>
      <c r="K78" s="37" t="str">
        <f aca="false">IF(AND(ISNUMBER(B78),ISNUMBER(H78)),H78-B78,"")</f>
        <v/>
      </c>
      <c r="L78" s="27" t="str">
        <f aca="false">IF(K78="","",IF(K78&gt;=0.5,"עלייה",IF(K78&lt;=-0.5,"ירידה","יציב")))</f>
        <v/>
      </c>
    </row>
    <row r="79" customFormat="false" ht="15" hidden="false" customHeight="false" outlineLevel="0" collapsed="false">
      <c r="A79" s="29"/>
      <c r="B79" s="36" t="str">
        <f aca="false">IF($A79="","",IFERROR(AVERAGEIFS('רווחה - קליטה'!$AQ$5:$AQ$204,'רווחה - קליטה'!$A$5:$A$204,$A79,'רווחה - קליטה'!$C$5:$C$204,"תחילת שנה"),""))</f>
        <v/>
      </c>
      <c r="C79" s="28" t="str">
        <f aca="false">IF($A79="","",IFERROR(AVERAGEIFS('רווחה - קליטה'!$AK$5:$AK$204,'רווחה - קליטה'!$A$5:$A$204,$A79,'רווחה - קליטה'!$C$5:$C$204,"תחילת שנה"),""))</f>
        <v/>
      </c>
      <c r="D79" s="27" t="str">
        <f aca="false">IF($A79="","",IFERROR(INDEX('רווחה - קליטה'!$AS$5:$AS$204,MATCH($A79&amp;"|תחילת שנה",'רווחה - קליטה'!$AE$5:$AE$204,0)),""))</f>
        <v/>
      </c>
      <c r="E79" s="36" t="str">
        <f aca="false">IF($A79="","",IFERROR(AVERAGEIFS('רווחה - קליטה'!$AQ$5:$AQ$204,'רווחה - קליטה'!$A$5:$A$204,$A79,'רווחה - קליטה'!$C$5:$C$204,"אמצע שנה"),""))</f>
        <v/>
      </c>
      <c r="F79" s="28" t="str">
        <f aca="false">IF($A79="","",IFERROR(AVERAGEIFS('רווחה - קליטה'!$AK$5:$AK$204,'רווחה - קליטה'!$A$5:$A$204,$A79,'רווחה - קליטה'!$C$5:$C$204,"אמצע שנה"),""))</f>
        <v/>
      </c>
      <c r="G79" s="27" t="str">
        <f aca="false">IF($A79="","",IFERROR(INDEX('רווחה - קליטה'!$AS$5:$AS$204,MATCH($A79&amp;"|אמצע שנה",'רווחה - קליטה'!$AE$5:$AE$204,0)),""))</f>
        <v/>
      </c>
      <c r="H79" s="36" t="str">
        <f aca="false">IF($A79="","",IFERROR(AVERAGEIFS('רווחה - קליטה'!$AQ$5:$AQ$204,'רווחה - קליטה'!$A$5:$A$204,$A79,'רווחה - קליטה'!$C$5:$C$204,"סוף שנה"),""))</f>
        <v/>
      </c>
      <c r="I79" s="28" t="str">
        <f aca="false">IF($A79="","",IFERROR(AVERAGEIFS('רווחה - קליטה'!$AK$5:$AK$204,'רווחה - קליטה'!$A$5:$A$204,$A79,'רווחה - קליטה'!$C$5:$C$204,"סוף שנה"),""))</f>
        <v/>
      </c>
      <c r="J79" s="27" t="str">
        <f aca="false">IF($A79="","",IFERROR(INDEX('רווחה - קליטה'!$AS$5:$AS$204,MATCH($A79&amp;"|סוף שנה",'רווחה - קליטה'!$AE$5:$AE$204,0)),""))</f>
        <v/>
      </c>
      <c r="K79" s="37" t="str">
        <f aca="false">IF(AND(ISNUMBER(B79),ISNUMBER(H79)),H79-B79,"")</f>
        <v/>
      </c>
      <c r="L79" s="27" t="str">
        <f aca="false">IF(K79="","",IF(K79&gt;=0.5,"עלייה",IF(K79&lt;=-0.5,"ירידה","יציב")))</f>
        <v/>
      </c>
    </row>
    <row r="80" customFormat="false" ht="15" hidden="false" customHeight="false" outlineLevel="0" collapsed="false">
      <c r="A80" s="29"/>
      <c r="B80" s="36" t="str">
        <f aca="false">IF($A80="","",IFERROR(AVERAGEIFS('רווחה - קליטה'!$AQ$5:$AQ$204,'רווחה - קליטה'!$A$5:$A$204,$A80,'רווחה - קליטה'!$C$5:$C$204,"תחילת שנה"),""))</f>
        <v/>
      </c>
      <c r="C80" s="28" t="str">
        <f aca="false">IF($A80="","",IFERROR(AVERAGEIFS('רווחה - קליטה'!$AK$5:$AK$204,'רווחה - קליטה'!$A$5:$A$204,$A80,'רווחה - קליטה'!$C$5:$C$204,"תחילת שנה"),""))</f>
        <v/>
      </c>
      <c r="D80" s="27" t="str">
        <f aca="false">IF($A80="","",IFERROR(INDEX('רווחה - קליטה'!$AS$5:$AS$204,MATCH($A80&amp;"|תחילת שנה",'רווחה - קליטה'!$AE$5:$AE$204,0)),""))</f>
        <v/>
      </c>
      <c r="E80" s="36" t="str">
        <f aca="false">IF($A80="","",IFERROR(AVERAGEIFS('רווחה - קליטה'!$AQ$5:$AQ$204,'רווחה - קליטה'!$A$5:$A$204,$A80,'רווחה - קליטה'!$C$5:$C$204,"אמצע שנה"),""))</f>
        <v/>
      </c>
      <c r="F80" s="28" t="str">
        <f aca="false">IF($A80="","",IFERROR(AVERAGEIFS('רווחה - קליטה'!$AK$5:$AK$204,'רווחה - קליטה'!$A$5:$A$204,$A80,'רווחה - קליטה'!$C$5:$C$204,"אמצע שנה"),""))</f>
        <v/>
      </c>
      <c r="G80" s="27" t="str">
        <f aca="false">IF($A80="","",IFERROR(INDEX('רווחה - קליטה'!$AS$5:$AS$204,MATCH($A80&amp;"|אמצע שנה",'רווחה - קליטה'!$AE$5:$AE$204,0)),""))</f>
        <v/>
      </c>
      <c r="H80" s="36" t="str">
        <f aca="false">IF($A80="","",IFERROR(AVERAGEIFS('רווחה - קליטה'!$AQ$5:$AQ$204,'רווחה - קליטה'!$A$5:$A$204,$A80,'רווחה - קליטה'!$C$5:$C$204,"סוף שנה"),""))</f>
        <v/>
      </c>
      <c r="I80" s="28" t="str">
        <f aca="false">IF($A80="","",IFERROR(AVERAGEIFS('רווחה - קליטה'!$AK$5:$AK$204,'רווחה - קליטה'!$A$5:$A$204,$A80,'רווחה - קליטה'!$C$5:$C$204,"סוף שנה"),""))</f>
        <v/>
      </c>
      <c r="J80" s="27" t="str">
        <f aca="false">IF($A80="","",IFERROR(INDEX('רווחה - קליטה'!$AS$5:$AS$204,MATCH($A80&amp;"|סוף שנה",'רווחה - קליטה'!$AE$5:$AE$204,0)),""))</f>
        <v/>
      </c>
      <c r="K80" s="37" t="str">
        <f aca="false">IF(AND(ISNUMBER(B80),ISNUMBER(H80)),H80-B80,"")</f>
        <v/>
      </c>
      <c r="L80" s="27" t="str">
        <f aca="false">IF(K80="","",IF(K80&gt;=0.5,"עלייה",IF(K80&lt;=-0.5,"ירידה","יציב")))</f>
        <v/>
      </c>
    </row>
    <row r="81" customFormat="false" ht="15" hidden="false" customHeight="false" outlineLevel="0" collapsed="false">
      <c r="A81" s="29"/>
      <c r="B81" s="36" t="str">
        <f aca="false">IF($A81="","",IFERROR(AVERAGEIFS('רווחה - קליטה'!$AQ$5:$AQ$204,'רווחה - קליטה'!$A$5:$A$204,$A81,'רווחה - קליטה'!$C$5:$C$204,"תחילת שנה"),""))</f>
        <v/>
      </c>
      <c r="C81" s="28" t="str">
        <f aca="false">IF($A81="","",IFERROR(AVERAGEIFS('רווחה - קליטה'!$AK$5:$AK$204,'רווחה - קליטה'!$A$5:$A$204,$A81,'רווחה - קליטה'!$C$5:$C$204,"תחילת שנה"),""))</f>
        <v/>
      </c>
      <c r="D81" s="27" t="str">
        <f aca="false">IF($A81="","",IFERROR(INDEX('רווחה - קליטה'!$AS$5:$AS$204,MATCH($A81&amp;"|תחילת שנה",'רווחה - קליטה'!$AE$5:$AE$204,0)),""))</f>
        <v/>
      </c>
      <c r="E81" s="36" t="str">
        <f aca="false">IF($A81="","",IFERROR(AVERAGEIFS('רווחה - קליטה'!$AQ$5:$AQ$204,'רווחה - קליטה'!$A$5:$A$204,$A81,'רווחה - קליטה'!$C$5:$C$204,"אמצע שנה"),""))</f>
        <v/>
      </c>
      <c r="F81" s="28" t="str">
        <f aca="false">IF($A81="","",IFERROR(AVERAGEIFS('רווחה - קליטה'!$AK$5:$AK$204,'רווחה - קליטה'!$A$5:$A$204,$A81,'רווחה - קליטה'!$C$5:$C$204,"אמצע שנה"),""))</f>
        <v/>
      </c>
      <c r="G81" s="27" t="str">
        <f aca="false">IF($A81="","",IFERROR(INDEX('רווחה - קליטה'!$AS$5:$AS$204,MATCH($A81&amp;"|אמצע שנה",'רווחה - קליטה'!$AE$5:$AE$204,0)),""))</f>
        <v/>
      </c>
      <c r="H81" s="36" t="str">
        <f aca="false">IF($A81="","",IFERROR(AVERAGEIFS('רווחה - קליטה'!$AQ$5:$AQ$204,'רווחה - קליטה'!$A$5:$A$204,$A81,'רווחה - קליטה'!$C$5:$C$204,"סוף שנה"),""))</f>
        <v/>
      </c>
      <c r="I81" s="28" t="str">
        <f aca="false">IF($A81="","",IFERROR(AVERAGEIFS('רווחה - קליטה'!$AK$5:$AK$204,'רווחה - קליטה'!$A$5:$A$204,$A81,'רווחה - קליטה'!$C$5:$C$204,"סוף שנה"),""))</f>
        <v/>
      </c>
      <c r="J81" s="27" t="str">
        <f aca="false">IF($A81="","",IFERROR(INDEX('רווחה - קליטה'!$AS$5:$AS$204,MATCH($A81&amp;"|סוף שנה",'רווחה - קליטה'!$AE$5:$AE$204,0)),""))</f>
        <v/>
      </c>
      <c r="K81" s="37" t="str">
        <f aca="false">IF(AND(ISNUMBER(B81),ISNUMBER(H81)),H81-B81,"")</f>
        <v/>
      </c>
      <c r="L81" s="27" t="str">
        <f aca="false">IF(K81="","",IF(K81&gt;=0.5,"עלייה",IF(K81&lt;=-0.5,"ירידה","יציב")))</f>
        <v/>
      </c>
    </row>
    <row r="82" customFormat="false" ht="15" hidden="false" customHeight="false" outlineLevel="0" collapsed="false">
      <c r="A82" s="29"/>
      <c r="B82" s="36" t="str">
        <f aca="false">IF($A82="","",IFERROR(AVERAGEIFS('רווחה - קליטה'!$AQ$5:$AQ$204,'רווחה - קליטה'!$A$5:$A$204,$A82,'רווחה - קליטה'!$C$5:$C$204,"תחילת שנה"),""))</f>
        <v/>
      </c>
      <c r="C82" s="28" t="str">
        <f aca="false">IF($A82="","",IFERROR(AVERAGEIFS('רווחה - קליטה'!$AK$5:$AK$204,'רווחה - קליטה'!$A$5:$A$204,$A82,'רווחה - קליטה'!$C$5:$C$204,"תחילת שנה"),""))</f>
        <v/>
      </c>
      <c r="D82" s="27" t="str">
        <f aca="false">IF($A82="","",IFERROR(INDEX('רווחה - קליטה'!$AS$5:$AS$204,MATCH($A82&amp;"|תחילת שנה",'רווחה - קליטה'!$AE$5:$AE$204,0)),""))</f>
        <v/>
      </c>
      <c r="E82" s="36" t="str">
        <f aca="false">IF($A82="","",IFERROR(AVERAGEIFS('רווחה - קליטה'!$AQ$5:$AQ$204,'רווחה - קליטה'!$A$5:$A$204,$A82,'רווחה - קליטה'!$C$5:$C$204,"אמצע שנה"),""))</f>
        <v/>
      </c>
      <c r="F82" s="28" t="str">
        <f aca="false">IF($A82="","",IFERROR(AVERAGEIFS('רווחה - קליטה'!$AK$5:$AK$204,'רווחה - קליטה'!$A$5:$A$204,$A82,'רווחה - קליטה'!$C$5:$C$204,"אמצע שנה"),""))</f>
        <v/>
      </c>
      <c r="G82" s="27" t="str">
        <f aca="false">IF($A82="","",IFERROR(INDEX('רווחה - קליטה'!$AS$5:$AS$204,MATCH($A82&amp;"|אמצע שנה",'רווחה - קליטה'!$AE$5:$AE$204,0)),""))</f>
        <v/>
      </c>
      <c r="H82" s="36" t="str">
        <f aca="false">IF($A82="","",IFERROR(AVERAGEIFS('רווחה - קליטה'!$AQ$5:$AQ$204,'רווחה - קליטה'!$A$5:$A$204,$A82,'רווחה - קליטה'!$C$5:$C$204,"סוף שנה"),""))</f>
        <v/>
      </c>
      <c r="I82" s="28" t="str">
        <f aca="false">IF($A82="","",IFERROR(AVERAGEIFS('רווחה - קליטה'!$AK$5:$AK$204,'רווחה - קליטה'!$A$5:$A$204,$A82,'רווחה - קליטה'!$C$5:$C$204,"סוף שנה"),""))</f>
        <v/>
      </c>
      <c r="J82" s="27" t="str">
        <f aca="false">IF($A82="","",IFERROR(INDEX('רווחה - קליטה'!$AS$5:$AS$204,MATCH($A82&amp;"|סוף שנה",'רווחה - קליטה'!$AE$5:$AE$204,0)),""))</f>
        <v/>
      </c>
      <c r="K82" s="37" t="str">
        <f aca="false">IF(AND(ISNUMBER(B82),ISNUMBER(H82)),H82-B82,"")</f>
        <v/>
      </c>
      <c r="L82" s="27" t="str">
        <f aca="false">IF(K82="","",IF(K82&gt;=0.5,"עלייה",IF(K82&lt;=-0.5,"ירידה","יציב")))</f>
        <v/>
      </c>
    </row>
    <row r="83" customFormat="false" ht="15" hidden="false" customHeight="false" outlineLevel="0" collapsed="false">
      <c r="A83" s="29"/>
      <c r="B83" s="36" t="str">
        <f aca="false">IF($A83="","",IFERROR(AVERAGEIFS('רווחה - קליטה'!$AQ$5:$AQ$204,'רווחה - קליטה'!$A$5:$A$204,$A83,'רווחה - קליטה'!$C$5:$C$204,"תחילת שנה"),""))</f>
        <v/>
      </c>
      <c r="C83" s="28" t="str">
        <f aca="false">IF($A83="","",IFERROR(AVERAGEIFS('רווחה - קליטה'!$AK$5:$AK$204,'רווחה - קליטה'!$A$5:$A$204,$A83,'רווחה - קליטה'!$C$5:$C$204,"תחילת שנה"),""))</f>
        <v/>
      </c>
      <c r="D83" s="27" t="str">
        <f aca="false">IF($A83="","",IFERROR(INDEX('רווחה - קליטה'!$AS$5:$AS$204,MATCH($A83&amp;"|תחילת שנה",'רווחה - קליטה'!$AE$5:$AE$204,0)),""))</f>
        <v/>
      </c>
      <c r="E83" s="36" t="str">
        <f aca="false">IF($A83="","",IFERROR(AVERAGEIFS('רווחה - קליטה'!$AQ$5:$AQ$204,'רווחה - קליטה'!$A$5:$A$204,$A83,'רווחה - קליטה'!$C$5:$C$204,"אמצע שנה"),""))</f>
        <v/>
      </c>
      <c r="F83" s="28" t="str">
        <f aca="false">IF($A83="","",IFERROR(AVERAGEIFS('רווחה - קליטה'!$AK$5:$AK$204,'רווחה - קליטה'!$A$5:$A$204,$A83,'רווחה - קליטה'!$C$5:$C$204,"אמצע שנה"),""))</f>
        <v/>
      </c>
      <c r="G83" s="27" t="str">
        <f aca="false">IF($A83="","",IFERROR(INDEX('רווחה - קליטה'!$AS$5:$AS$204,MATCH($A83&amp;"|אמצע שנה",'רווחה - קליטה'!$AE$5:$AE$204,0)),""))</f>
        <v/>
      </c>
      <c r="H83" s="36" t="str">
        <f aca="false">IF($A83="","",IFERROR(AVERAGEIFS('רווחה - קליטה'!$AQ$5:$AQ$204,'רווחה - קליטה'!$A$5:$A$204,$A83,'רווחה - קליטה'!$C$5:$C$204,"סוף שנה"),""))</f>
        <v/>
      </c>
      <c r="I83" s="28" t="str">
        <f aca="false">IF($A83="","",IFERROR(AVERAGEIFS('רווחה - קליטה'!$AK$5:$AK$204,'רווחה - קליטה'!$A$5:$A$204,$A83,'רווחה - קליטה'!$C$5:$C$204,"סוף שנה"),""))</f>
        <v/>
      </c>
      <c r="J83" s="27" t="str">
        <f aca="false">IF($A83="","",IFERROR(INDEX('רווחה - קליטה'!$AS$5:$AS$204,MATCH($A83&amp;"|סוף שנה",'רווחה - קליטה'!$AE$5:$AE$204,0)),""))</f>
        <v/>
      </c>
      <c r="K83" s="37" t="str">
        <f aca="false">IF(AND(ISNUMBER(B83),ISNUMBER(H83)),H83-B83,"")</f>
        <v/>
      </c>
      <c r="L83" s="27" t="str">
        <f aca="false">IF(K83="","",IF(K83&gt;=0.5,"עלייה",IF(K83&lt;=-0.5,"ירידה","יציב")))</f>
        <v/>
      </c>
    </row>
    <row r="84" customFormat="false" ht="15" hidden="false" customHeight="false" outlineLevel="0" collapsed="false">
      <c r="A84" s="29"/>
      <c r="B84" s="36" t="str">
        <f aca="false">IF($A84="","",IFERROR(AVERAGEIFS('רווחה - קליטה'!$AQ$5:$AQ$204,'רווחה - קליטה'!$A$5:$A$204,$A84,'רווחה - קליטה'!$C$5:$C$204,"תחילת שנה"),""))</f>
        <v/>
      </c>
      <c r="C84" s="28" t="str">
        <f aca="false">IF($A84="","",IFERROR(AVERAGEIFS('רווחה - קליטה'!$AK$5:$AK$204,'רווחה - קליטה'!$A$5:$A$204,$A84,'רווחה - קליטה'!$C$5:$C$204,"תחילת שנה"),""))</f>
        <v/>
      </c>
      <c r="D84" s="27" t="str">
        <f aca="false">IF($A84="","",IFERROR(INDEX('רווחה - קליטה'!$AS$5:$AS$204,MATCH($A84&amp;"|תחילת שנה",'רווחה - קליטה'!$AE$5:$AE$204,0)),""))</f>
        <v/>
      </c>
      <c r="E84" s="36" t="str">
        <f aca="false">IF($A84="","",IFERROR(AVERAGEIFS('רווחה - קליטה'!$AQ$5:$AQ$204,'רווחה - קליטה'!$A$5:$A$204,$A84,'רווחה - קליטה'!$C$5:$C$204,"אמצע שנה"),""))</f>
        <v/>
      </c>
      <c r="F84" s="28" t="str">
        <f aca="false">IF($A84="","",IFERROR(AVERAGEIFS('רווחה - קליטה'!$AK$5:$AK$204,'רווחה - קליטה'!$A$5:$A$204,$A84,'רווחה - קליטה'!$C$5:$C$204,"אמצע שנה"),""))</f>
        <v/>
      </c>
      <c r="G84" s="27" t="str">
        <f aca="false">IF($A84="","",IFERROR(INDEX('רווחה - קליטה'!$AS$5:$AS$204,MATCH($A84&amp;"|אמצע שנה",'רווחה - קליטה'!$AE$5:$AE$204,0)),""))</f>
        <v/>
      </c>
      <c r="H84" s="36" t="str">
        <f aca="false">IF($A84="","",IFERROR(AVERAGEIFS('רווחה - קליטה'!$AQ$5:$AQ$204,'רווחה - קליטה'!$A$5:$A$204,$A84,'רווחה - קליטה'!$C$5:$C$204,"סוף שנה"),""))</f>
        <v/>
      </c>
      <c r="I84" s="28" t="str">
        <f aca="false">IF($A84="","",IFERROR(AVERAGEIFS('רווחה - קליטה'!$AK$5:$AK$204,'רווחה - קליטה'!$A$5:$A$204,$A84,'רווחה - קליטה'!$C$5:$C$204,"סוף שנה"),""))</f>
        <v/>
      </c>
      <c r="J84" s="27" t="str">
        <f aca="false">IF($A84="","",IFERROR(INDEX('רווחה - קליטה'!$AS$5:$AS$204,MATCH($A84&amp;"|סוף שנה",'רווחה - קליטה'!$AE$5:$AE$204,0)),""))</f>
        <v/>
      </c>
      <c r="K84" s="37" t="str">
        <f aca="false">IF(AND(ISNUMBER(B84),ISNUMBER(H84)),H84-B84,"")</f>
        <v/>
      </c>
      <c r="L84" s="27" t="str">
        <f aca="false">IF(K84="","",IF(K84&gt;=0.5,"עלייה",IF(K84&lt;=-0.5,"ירידה","יציב")))</f>
        <v/>
      </c>
    </row>
    <row r="85" customFormat="false" ht="15" hidden="false" customHeight="false" outlineLevel="0" collapsed="false">
      <c r="A85" s="29"/>
      <c r="B85" s="36" t="str">
        <f aca="false">IF($A85="","",IFERROR(AVERAGEIFS('רווחה - קליטה'!$AQ$5:$AQ$204,'רווחה - קליטה'!$A$5:$A$204,$A85,'רווחה - קליטה'!$C$5:$C$204,"תחילת שנה"),""))</f>
        <v/>
      </c>
      <c r="C85" s="28" t="str">
        <f aca="false">IF($A85="","",IFERROR(AVERAGEIFS('רווחה - קליטה'!$AK$5:$AK$204,'רווחה - קליטה'!$A$5:$A$204,$A85,'רווחה - קליטה'!$C$5:$C$204,"תחילת שנה"),""))</f>
        <v/>
      </c>
      <c r="D85" s="27" t="str">
        <f aca="false">IF($A85="","",IFERROR(INDEX('רווחה - קליטה'!$AS$5:$AS$204,MATCH($A85&amp;"|תחילת שנה",'רווחה - קליטה'!$AE$5:$AE$204,0)),""))</f>
        <v/>
      </c>
      <c r="E85" s="36" t="str">
        <f aca="false">IF($A85="","",IFERROR(AVERAGEIFS('רווחה - קליטה'!$AQ$5:$AQ$204,'רווחה - קליטה'!$A$5:$A$204,$A85,'רווחה - קליטה'!$C$5:$C$204,"אמצע שנה"),""))</f>
        <v/>
      </c>
      <c r="F85" s="28" t="str">
        <f aca="false">IF($A85="","",IFERROR(AVERAGEIFS('רווחה - קליטה'!$AK$5:$AK$204,'רווחה - קליטה'!$A$5:$A$204,$A85,'רווחה - קליטה'!$C$5:$C$204,"אמצע שנה"),""))</f>
        <v/>
      </c>
      <c r="G85" s="27" t="str">
        <f aca="false">IF($A85="","",IFERROR(INDEX('רווחה - קליטה'!$AS$5:$AS$204,MATCH($A85&amp;"|אמצע שנה",'רווחה - קליטה'!$AE$5:$AE$204,0)),""))</f>
        <v/>
      </c>
      <c r="H85" s="36" t="str">
        <f aca="false">IF($A85="","",IFERROR(AVERAGEIFS('רווחה - קליטה'!$AQ$5:$AQ$204,'רווחה - קליטה'!$A$5:$A$204,$A85,'רווחה - קליטה'!$C$5:$C$204,"סוף שנה"),""))</f>
        <v/>
      </c>
      <c r="I85" s="28" t="str">
        <f aca="false">IF($A85="","",IFERROR(AVERAGEIFS('רווחה - קליטה'!$AK$5:$AK$204,'רווחה - קליטה'!$A$5:$A$204,$A85,'רווחה - קליטה'!$C$5:$C$204,"סוף שנה"),""))</f>
        <v/>
      </c>
      <c r="J85" s="27" t="str">
        <f aca="false">IF($A85="","",IFERROR(INDEX('רווחה - קליטה'!$AS$5:$AS$204,MATCH($A85&amp;"|סוף שנה",'רווחה - קליטה'!$AE$5:$AE$204,0)),""))</f>
        <v/>
      </c>
      <c r="K85" s="37" t="str">
        <f aca="false">IF(AND(ISNUMBER(B85),ISNUMBER(H85)),H85-B85,"")</f>
        <v/>
      </c>
      <c r="L85" s="27" t="str">
        <f aca="false">IF(K85="","",IF(K85&gt;=0.5,"עלייה",IF(K85&lt;=-0.5,"ירידה","יציב")))</f>
        <v/>
      </c>
    </row>
    <row r="86" customFormat="false" ht="15" hidden="false" customHeight="false" outlineLevel="0" collapsed="false">
      <c r="A86" s="29"/>
      <c r="B86" s="36" t="str">
        <f aca="false">IF($A86="","",IFERROR(AVERAGEIFS('רווחה - קליטה'!$AQ$5:$AQ$204,'רווחה - קליטה'!$A$5:$A$204,$A86,'רווחה - קליטה'!$C$5:$C$204,"תחילת שנה"),""))</f>
        <v/>
      </c>
      <c r="C86" s="28" t="str">
        <f aca="false">IF($A86="","",IFERROR(AVERAGEIFS('רווחה - קליטה'!$AK$5:$AK$204,'רווחה - קליטה'!$A$5:$A$204,$A86,'רווחה - קליטה'!$C$5:$C$204,"תחילת שנה"),""))</f>
        <v/>
      </c>
      <c r="D86" s="27" t="str">
        <f aca="false">IF($A86="","",IFERROR(INDEX('רווחה - קליטה'!$AS$5:$AS$204,MATCH($A86&amp;"|תחילת שנה",'רווחה - קליטה'!$AE$5:$AE$204,0)),""))</f>
        <v/>
      </c>
      <c r="E86" s="36" t="str">
        <f aca="false">IF($A86="","",IFERROR(AVERAGEIFS('רווחה - קליטה'!$AQ$5:$AQ$204,'רווחה - קליטה'!$A$5:$A$204,$A86,'רווחה - קליטה'!$C$5:$C$204,"אמצע שנה"),""))</f>
        <v/>
      </c>
      <c r="F86" s="28" t="str">
        <f aca="false">IF($A86="","",IFERROR(AVERAGEIFS('רווחה - קליטה'!$AK$5:$AK$204,'רווחה - קליטה'!$A$5:$A$204,$A86,'רווחה - קליטה'!$C$5:$C$204,"אמצע שנה"),""))</f>
        <v/>
      </c>
      <c r="G86" s="27" t="str">
        <f aca="false">IF($A86="","",IFERROR(INDEX('רווחה - קליטה'!$AS$5:$AS$204,MATCH($A86&amp;"|אמצע שנה",'רווחה - קליטה'!$AE$5:$AE$204,0)),""))</f>
        <v/>
      </c>
      <c r="H86" s="36" t="str">
        <f aca="false">IF($A86="","",IFERROR(AVERAGEIFS('רווחה - קליטה'!$AQ$5:$AQ$204,'רווחה - קליטה'!$A$5:$A$204,$A86,'רווחה - קליטה'!$C$5:$C$204,"סוף שנה"),""))</f>
        <v/>
      </c>
      <c r="I86" s="28" t="str">
        <f aca="false">IF($A86="","",IFERROR(AVERAGEIFS('רווחה - קליטה'!$AK$5:$AK$204,'רווחה - קליטה'!$A$5:$A$204,$A86,'רווחה - קליטה'!$C$5:$C$204,"סוף שנה"),""))</f>
        <v/>
      </c>
      <c r="J86" s="27" t="str">
        <f aca="false">IF($A86="","",IFERROR(INDEX('רווחה - קליטה'!$AS$5:$AS$204,MATCH($A86&amp;"|סוף שנה",'רווחה - קליטה'!$AE$5:$AE$204,0)),""))</f>
        <v/>
      </c>
      <c r="K86" s="37" t="str">
        <f aca="false">IF(AND(ISNUMBER(B86),ISNUMBER(H86)),H86-B86,"")</f>
        <v/>
      </c>
      <c r="L86" s="27" t="str">
        <f aca="false">IF(K86="","",IF(K86&gt;=0.5,"עלייה",IF(K86&lt;=-0.5,"ירידה","יציב")))</f>
        <v/>
      </c>
    </row>
    <row r="87" customFormat="false" ht="15" hidden="false" customHeight="false" outlineLevel="0" collapsed="false">
      <c r="A87" s="29"/>
      <c r="B87" s="36" t="str">
        <f aca="false">IF($A87="","",IFERROR(AVERAGEIFS('רווחה - קליטה'!$AQ$5:$AQ$204,'רווחה - קליטה'!$A$5:$A$204,$A87,'רווחה - קליטה'!$C$5:$C$204,"תחילת שנה"),""))</f>
        <v/>
      </c>
      <c r="C87" s="28" t="str">
        <f aca="false">IF($A87="","",IFERROR(AVERAGEIFS('רווחה - קליטה'!$AK$5:$AK$204,'רווחה - קליטה'!$A$5:$A$204,$A87,'רווחה - קליטה'!$C$5:$C$204,"תחילת שנה"),""))</f>
        <v/>
      </c>
      <c r="D87" s="27" t="str">
        <f aca="false">IF($A87="","",IFERROR(INDEX('רווחה - קליטה'!$AS$5:$AS$204,MATCH($A87&amp;"|תחילת שנה",'רווחה - קליטה'!$AE$5:$AE$204,0)),""))</f>
        <v/>
      </c>
      <c r="E87" s="36" t="str">
        <f aca="false">IF($A87="","",IFERROR(AVERAGEIFS('רווחה - קליטה'!$AQ$5:$AQ$204,'רווחה - קליטה'!$A$5:$A$204,$A87,'רווחה - קליטה'!$C$5:$C$204,"אמצע שנה"),""))</f>
        <v/>
      </c>
      <c r="F87" s="28" t="str">
        <f aca="false">IF($A87="","",IFERROR(AVERAGEIFS('רווחה - קליטה'!$AK$5:$AK$204,'רווחה - קליטה'!$A$5:$A$204,$A87,'רווחה - קליטה'!$C$5:$C$204,"אמצע שנה"),""))</f>
        <v/>
      </c>
      <c r="G87" s="27" t="str">
        <f aca="false">IF($A87="","",IFERROR(INDEX('רווחה - קליטה'!$AS$5:$AS$204,MATCH($A87&amp;"|אמצע שנה",'רווחה - קליטה'!$AE$5:$AE$204,0)),""))</f>
        <v/>
      </c>
      <c r="H87" s="36" t="str">
        <f aca="false">IF($A87="","",IFERROR(AVERAGEIFS('רווחה - קליטה'!$AQ$5:$AQ$204,'רווחה - קליטה'!$A$5:$A$204,$A87,'רווחה - קליטה'!$C$5:$C$204,"סוף שנה"),""))</f>
        <v/>
      </c>
      <c r="I87" s="28" t="str">
        <f aca="false">IF($A87="","",IFERROR(AVERAGEIFS('רווחה - קליטה'!$AK$5:$AK$204,'רווחה - קליטה'!$A$5:$A$204,$A87,'רווחה - קליטה'!$C$5:$C$204,"סוף שנה"),""))</f>
        <v/>
      </c>
      <c r="J87" s="27" t="str">
        <f aca="false">IF($A87="","",IFERROR(INDEX('רווחה - קליטה'!$AS$5:$AS$204,MATCH($A87&amp;"|סוף שנה",'רווחה - קליטה'!$AE$5:$AE$204,0)),""))</f>
        <v/>
      </c>
      <c r="K87" s="37" t="str">
        <f aca="false">IF(AND(ISNUMBER(B87),ISNUMBER(H87)),H87-B87,"")</f>
        <v/>
      </c>
      <c r="L87" s="27" t="str">
        <f aca="false">IF(K87="","",IF(K87&gt;=0.5,"עלייה",IF(K87&lt;=-0.5,"ירידה","יציב")))</f>
        <v/>
      </c>
    </row>
    <row r="88" customFormat="false" ht="15" hidden="false" customHeight="false" outlineLevel="0" collapsed="false">
      <c r="A88" s="29"/>
      <c r="B88" s="36" t="str">
        <f aca="false">IF($A88="","",IFERROR(AVERAGEIFS('רווחה - קליטה'!$AQ$5:$AQ$204,'רווחה - קליטה'!$A$5:$A$204,$A88,'רווחה - קליטה'!$C$5:$C$204,"תחילת שנה"),""))</f>
        <v/>
      </c>
      <c r="C88" s="28" t="str">
        <f aca="false">IF($A88="","",IFERROR(AVERAGEIFS('רווחה - קליטה'!$AK$5:$AK$204,'רווחה - קליטה'!$A$5:$A$204,$A88,'רווחה - קליטה'!$C$5:$C$204,"תחילת שנה"),""))</f>
        <v/>
      </c>
      <c r="D88" s="27" t="str">
        <f aca="false">IF($A88="","",IFERROR(INDEX('רווחה - קליטה'!$AS$5:$AS$204,MATCH($A88&amp;"|תחילת שנה",'רווחה - קליטה'!$AE$5:$AE$204,0)),""))</f>
        <v/>
      </c>
      <c r="E88" s="36" t="str">
        <f aca="false">IF($A88="","",IFERROR(AVERAGEIFS('רווחה - קליטה'!$AQ$5:$AQ$204,'רווחה - קליטה'!$A$5:$A$204,$A88,'רווחה - קליטה'!$C$5:$C$204,"אמצע שנה"),""))</f>
        <v/>
      </c>
      <c r="F88" s="28" t="str">
        <f aca="false">IF($A88="","",IFERROR(AVERAGEIFS('רווחה - קליטה'!$AK$5:$AK$204,'רווחה - קליטה'!$A$5:$A$204,$A88,'רווחה - קליטה'!$C$5:$C$204,"אמצע שנה"),""))</f>
        <v/>
      </c>
      <c r="G88" s="27" t="str">
        <f aca="false">IF($A88="","",IFERROR(INDEX('רווחה - קליטה'!$AS$5:$AS$204,MATCH($A88&amp;"|אמצע שנה",'רווחה - קליטה'!$AE$5:$AE$204,0)),""))</f>
        <v/>
      </c>
      <c r="H88" s="36" t="str">
        <f aca="false">IF($A88="","",IFERROR(AVERAGEIFS('רווחה - קליטה'!$AQ$5:$AQ$204,'רווחה - קליטה'!$A$5:$A$204,$A88,'רווחה - קליטה'!$C$5:$C$204,"סוף שנה"),""))</f>
        <v/>
      </c>
      <c r="I88" s="28" t="str">
        <f aca="false">IF($A88="","",IFERROR(AVERAGEIFS('רווחה - קליטה'!$AK$5:$AK$204,'רווחה - קליטה'!$A$5:$A$204,$A88,'רווחה - קליטה'!$C$5:$C$204,"סוף שנה"),""))</f>
        <v/>
      </c>
      <c r="J88" s="27" t="str">
        <f aca="false">IF($A88="","",IFERROR(INDEX('רווחה - קליטה'!$AS$5:$AS$204,MATCH($A88&amp;"|סוף שנה",'רווחה - קליטה'!$AE$5:$AE$204,0)),""))</f>
        <v/>
      </c>
      <c r="K88" s="37" t="str">
        <f aca="false">IF(AND(ISNUMBER(B88),ISNUMBER(H88)),H88-B88,"")</f>
        <v/>
      </c>
      <c r="L88" s="27" t="str">
        <f aca="false">IF(K88="","",IF(K88&gt;=0.5,"עלייה",IF(K88&lt;=-0.5,"ירידה","יציב")))</f>
        <v/>
      </c>
    </row>
    <row r="89" customFormat="false" ht="15" hidden="false" customHeight="false" outlineLevel="0" collapsed="false">
      <c r="A89" s="29"/>
      <c r="B89" s="36" t="str">
        <f aca="false">IF($A89="","",IFERROR(AVERAGEIFS('רווחה - קליטה'!$AQ$5:$AQ$204,'רווחה - קליטה'!$A$5:$A$204,$A89,'רווחה - קליטה'!$C$5:$C$204,"תחילת שנה"),""))</f>
        <v/>
      </c>
      <c r="C89" s="28" t="str">
        <f aca="false">IF($A89="","",IFERROR(AVERAGEIFS('רווחה - קליטה'!$AK$5:$AK$204,'רווחה - קליטה'!$A$5:$A$204,$A89,'רווחה - קליטה'!$C$5:$C$204,"תחילת שנה"),""))</f>
        <v/>
      </c>
      <c r="D89" s="27" t="str">
        <f aca="false">IF($A89="","",IFERROR(INDEX('רווחה - קליטה'!$AS$5:$AS$204,MATCH($A89&amp;"|תחילת שנה",'רווחה - קליטה'!$AE$5:$AE$204,0)),""))</f>
        <v/>
      </c>
      <c r="E89" s="36" t="str">
        <f aca="false">IF($A89="","",IFERROR(AVERAGEIFS('רווחה - קליטה'!$AQ$5:$AQ$204,'רווחה - קליטה'!$A$5:$A$204,$A89,'רווחה - קליטה'!$C$5:$C$204,"אמצע שנה"),""))</f>
        <v/>
      </c>
      <c r="F89" s="28" t="str">
        <f aca="false">IF($A89="","",IFERROR(AVERAGEIFS('רווחה - קליטה'!$AK$5:$AK$204,'רווחה - קליטה'!$A$5:$A$204,$A89,'רווחה - קליטה'!$C$5:$C$204,"אמצע שנה"),""))</f>
        <v/>
      </c>
      <c r="G89" s="27" t="str">
        <f aca="false">IF($A89="","",IFERROR(INDEX('רווחה - קליטה'!$AS$5:$AS$204,MATCH($A89&amp;"|אמצע שנה",'רווחה - קליטה'!$AE$5:$AE$204,0)),""))</f>
        <v/>
      </c>
      <c r="H89" s="36" t="str">
        <f aca="false">IF($A89="","",IFERROR(AVERAGEIFS('רווחה - קליטה'!$AQ$5:$AQ$204,'רווחה - קליטה'!$A$5:$A$204,$A89,'רווחה - קליטה'!$C$5:$C$204,"סוף שנה"),""))</f>
        <v/>
      </c>
      <c r="I89" s="28" t="str">
        <f aca="false">IF($A89="","",IFERROR(AVERAGEIFS('רווחה - קליטה'!$AK$5:$AK$204,'רווחה - קליטה'!$A$5:$A$204,$A89,'רווחה - קליטה'!$C$5:$C$204,"סוף שנה"),""))</f>
        <v/>
      </c>
      <c r="J89" s="27" t="str">
        <f aca="false">IF($A89="","",IFERROR(INDEX('רווחה - קליטה'!$AS$5:$AS$204,MATCH($A89&amp;"|סוף שנה",'רווחה - קליטה'!$AE$5:$AE$204,0)),""))</f>
        <v/>
      </c>
      <c r="K89" s="37" t="str">
        <f aca="false">IF(AND(ISNUMBER(B89),ISNUMBER(H89)),H89-B89,"")</f>
        <v/>
      </c>
      <c r="L89" s="27" t="str">
        <f aca="false">IF(K89="","",IF(K89&gt;=0.5,"עלייה",IF(K89&lt;=-0.5,"ירידה","יציב")))</f>
        <v/>
      </c>
    </row>
    <row r="90" customFormat="false" ht="15" hidden="false" customHeight="false" outlineLevel="0" collapsed="false">
      <c r="A90" s="29"/>
      <c r="B90" s="36" t="str">
        <f aca="false">IF($A90="","",IFERROR(AVERAGEIFS('רווחה - קליטה'!$AQ$5:$AQ$204,'רווחה - קליטה'!$A$5:$A$204,$A90,'רווחה - קליטה'!$C$5:$C$204,"תחילת שנה"),""))</f>
        <v/>
      </c>
      <c r="C90" s="28" t="str">
        <f aca="false">IF($A90="","",IFERROR(AVERAGEIFS('רווחה - קליטה'!$AK$5:$AK$204,'רווחה - קליטה'!$A$5:$A$204,$A90,'רווחה - קליטה'!$C$5:$C$204,"תחילת שנה"),""))</f>
        <v/>
      </c>
      <c r="D90" s="27" t="str">
        <f aca="false">IF($A90="","",IFERROR(INDEX('רווחה - קליטה'!$AS$5:$AS$204,MATCH($A90&amp;"|תחילת שנה",'רווחה - קליטה'!$AE$5:$AE$204,0)),""))</f>
        <v/>
      </c>
      <c r="E90" s="36" t="str">
        <f aca="false">IF($A90="","",IFERROR(AVERAGEIFS('רווחה - קליטה'!$AQ$5:$AQ$204,'רווחה - קליטה'!$A$5:$A$204,$A90,'רווחה - קליטה'!$C$5:$C$204,"אמצע שנה"),""))</f>
        <v/>
      </c>
      <c r="F90" s="28" t="str">
        <f aca="false">IF($A90="","",IFERROR(AVERAGEIFS('רווחה - קליטה'!$AK$5:$AK$204,'רווחה - קליטה'!$A$5:$A$204,$A90,'רווחה - קליטה'!$C$5:$C$204,"אמצע שנה"),""))</f>
        <v/>
      </c>
      <c r="G90" s="27" t="str">
        <f aca="false">IF($A90="","",IFERROR(INDEX('רווחה - קליטה'!$AS$5:$AS$204,MATCH($A90&amp;"|אמצע שנה",'רווחה - קליטה'!$AE$5:$AE$204,0)),""))</f>
        <v/>
      </c>
      <c r="H90" s="36" t="str">
        <f aca="false">IF($A90="","",IFERROR(AVERAGEIFS('רווחה - קליטה'!$AQ$5:$AQ$204,'רווחה - קליטה'!$A$5:$A$204,$A90,'רווחה - קליטה'!$C$5:$C$204,"סוף שנה"),""))</f>
        <v/>
      </c>
      <c r="I90" s="28" t="str">
        <f aca="false">IF($A90="","",IFERROR(AVERAGEIFS('רווחה - קליטה'!$AK$5:$AK$204,'רווחה - קליטה'!$A$5:$A$204,$A90,'רווחה - קליטה'!$C$5:$C$204,"סוף שנה"),""))</f>
        <v/>
      </c>
      <c r="J90" s="27" t="str">
        <f aca="false">IF($A90="","",IFERROR(INDEX('רווחה - קליטה'!$AS$5:$AS$204,MATCH($A90&amp;"|סוף שנה",'רווחה - קליטה'!$AE$5:$AE$204,0)),""))</f>
        <v/>
      </c>
      <c r="K90" s="37" t="str">
        <f aca="false">IF(AND(ISNUMBER(B90),ISNUMBER(H90)),H90-B90,"")</f>
        <v/>
      </c>
      <c r="L90" s="27" t="str">
        <f aca="false">IF(K90="","",IF(K90&gt;=0.5,"עלייה",IF(K90&lt;=-0.5,"ירידה","יציב")))</f>
        <v/>
      </c>
    </row>
    <row r="91" customFormat="false" ht="15" hidden="false" customHeight="false" outlineLevel="0" collapsed="false">
      <c r="A91" s="29"/>
      <c r="B91" s="36" t="str">
        <f aca="false">IF($A91="","",IFERROR(AVERAGEIFS('רווחה - קליטה'!$AQ$5:$AQ$204,'רווחה - קליטה'!$A$5:$A$204,$A91,'רווחה - קליטה'!$C$5:$C$204,"תחילת שנה"),""))</f>
        <v/>
      </c>
      <c r="C91" s="28" t="str">
        <f aca="false">IF($A91="","",IFERROR(AVERAGEIFS('רווחה - קליטה'!$AK$5:$AK$204,'רווחה - קליטה'!$A$5:$A$204,$A91,'רווחה - קליטה'!$C$5:$C$204,"תחילת שנה"),""))</f>
        <v/>
      </c>
      <c r="D91" s="27" t="str">
        <f aca="false">IF($A91="","",IFERROR(INDEX('רווחה - קליטה'!$AS$5:$AS$204,MATCH($A91&amp;"|תחילת שנה",'רווחה - קליטה'!$AE$5:$AE$204,0)),""))</f>
        <v/>
      </c>
      <c r="E91" s="36" t="str">
        <f aca="false">IF($A91="","",IFERROR(AVERAGEIFS('רווחה - קליטה'!$AQ$5:$AQ$204,'רווחה - קליטה'!$A$5:$A$204,$A91,'רווחה - קליטה'!$C$5:$C$204,"אמצע שנה"),""))</f>
        <v/>
      </c>
      <c r="F91" s="28" t="str">
        <f aca="false">IF($A91="","",IFERROR(AVERAGEIFS('רווחה - קליטה'!$AK$5:$AK$204,'רווחה - קליטה'!$A$5:$A$204,$A91,'רווחה - קליטה'!$C$5:$C$204,"אמצע שנה"),""))</f>
        <v/>
      </c>
      <c r="G91" s="27" t="str">
        <f aca="false">IF($A91="","",IFERROR(INDEX('רווחה - קליטה'!$AS$5:$AS$204,MATCH($A91&amp;"|אמצע שנה",'רווחה - קליטה'!$AE$5:$AE$204,0)),""))</f>
        <v/>
      </c>
      <c r="H91" s="36" t="str">
        <f aca="false">IF($A91="","",IFERROR(AVERAGEIFS('רווחה - קליטה'!$AQ$5:$AQ$204,'רווחה - קליטה'!$A$5:$A$204,$A91,'רווחה - קליטה'!$C$5:$C$204,"סוף שנה"),""))</f>
        <v/>
      </c>
      <c r="I91" s="28" t="str">
        <f aca="false">IF($A91="","",IFERROR(AVERAGEIFS('רווחה - קליטה'!$AK$5:$AK$204,'רווחה - קליטה'!$A$5:$A$204,$A91,'רווחה - קליטה'!$C$5:$C$204,"סוף שנה"),""))</f>
        <v/>
      </c>
      <c r="J91" s="27" t="str">
        <f aca="false">IF($A91="","",IFERROR(INDEX('רווחה - קליטה'!$AS$5:$AS$204,MATCH($A91&amp;"|סוף שנה",'רווחה - קליטה'!$AE$5:$AE$204,0)),""))</f>
        <v/>
      </c>
      <c r="K91" s="37" t="str">
        <f aca="false">IF(AND(ISNUMBER(B91),ISNUMBER(H91)),H91-B91,"")</f>
        <v/>
      </c>
      <c r="L91" s="27" t="str">
        <f aca="false">IF(K91="","",IF(K91&gt;=0.5,"עלייה",IF(K91&lt;=-0.5,"ירידה","יציב")))</f>
        <v/>
      </c>
    </row>
    <row r="92" customFormat="false" ht="15" hidden="false" customHeight="false" outlineLevel="0" collapsed="false">
      <c r="A92" s="29"/>
      <c r="B92" s="36" t="str">
        <f aca="false">IF($A92="","",IFERROR(AVERAGEIFS('רווחה - קליטה'!$AQ$5:$AQ$204,'רווחה - קליטה'!$A$5:$A$204,$A92,'רווחה - קליטה'!$C$5:$C$204,"תחילת שנה"),""))</f>
        <v/>
      </c>
      <c r="C92" s="28" t="str">
        <f aca="false">IF($A92="","",IFERROR(AVERAGEIFS('רווחה - קליטה'!$AK$5:$AK$204,'רווחה - קליטה'!$A$5:$A$204,$A92,'רווחה - קליטה'!$C$5:$C$204,"תחילת שנה"),""))</f>
        <v/>
      </c>
      <c r="D92" s="27" t="str">
        <f aca="false">IF($A92="","",IFERROR(INDEX('רווחה - קליטה'!$AS$5:$AS$204,MATCH($A92&amp;"|תחילת שנה",'רווחה - קליטה'!$AE$5:$AE$204,0)),""))</f>
        <v/>
      </c>
      <c r="E92" s="36" t="str">
        <f aca="false">IF($A92="","",IFERROR(AVERAGEIFS('רווחה - קליטה'!$AQ$5:$AQ$204,'רווחה - קליטה'!$A$5:$A$204,$A92,'רווחה - קליטה'!$C$5:$C$204,"אמצע שנה"),""))</f>
        <v/>
      </c>
      <c r="F92" s="28" t="str">
        <f aca="false">IF($A92="","",IFERROR(AVERAGEIFS('רווחה - קליטה'!$AK$5:$AK$204,'רווחה - קליטה'!$A$5:$A$204,$A92,'רווחה - קליטה'!$C$5:$C$204,"אמצע שנה"),""))</f>
        <v/>
      </c>
      <c r="G92" s="27" t="str">
        <f aca="false">IF($A92="","",IFERROR(INDEX('רווחה - קליטה'!$AS$5:$AS$204,MATCH($A92&amp;"|אמצע שנה",'רווחה - קליטה'!$AE$5:$AE$204,0)),""))</f>
        <v/>
      </c>
      <c r="H92" s="36" t="str">
        <f aca="false">IF($A92="","",IFERROR(AVERAGEIFS('רווחה - קליטה'!$AQ$5:$AQ$204,'רווחה - קליטה'!$A$5:$A$204,$A92,'רווחה - קליטה'!$C$5:$C$204,"סוף שנה"),""))</f>
        <v/>
      </c>
      <c r="I92" s="28" t="str">
        <f aca="false">IF($A92="","",IFERROR(AVERAGEIFS('רווחה - קליטה'!$AK$5:$AK$204,'רווחה - קליטה'!$A$5:$A$204,$A92,'רווחה - קליטה'!$C$5:$C$204,"סוף שנה"),""))</f>
        <v/>
      </c>
      <c r="J92" s="27" t="str">
        <f aca="false">IF($A92="","",IFERROR(INDEX('רווחה - קליטה'!$AS$5:$AS$204,MATCH($A92&amp;"|סוף שנה",'רווחה - קליטה'!$AE$5:$AE$204,0)),""))</f>
        <v/>
      </c>
      <c r="K92" s="37" t="str">
        <f aca="false">IF(AND(ISNUMBER(B92),ISNUMBER(H92)),H92-B92,"")</f>
        <v/>
      </c>
      <c r="L92" s="27" t="str">
        <f aca="false">IF(K92="","",IF(K92&gt;=0.5,"עלייה",IF(K92&lt;=-0.5,"ירידה","יציב")))</f>
        <v/>
      </c>
    </row>
    <row r="93" customFormat="false" ht="15" hidden="false" customHeight="false" outlineLevel="0" collapsed="false">
      <c r="A93" s="29"/>
      <c r="B93" s="36" t="str">
        <f aca="false">IF($A93="","",IFERROR(AVERAGEIFS('רווחה - קליטה'!$AQ$5:$AQ$204,'רווחה - קליטה'!$A$5:$A$204,$A93,'רווחה - קליטה'!$C$5:$C$204,"תחילת שנה"),""))</f>
        <v/>
      </c>
      <c r="C93" s="28" t="str">
        <f aca="false">IF($A93="","",IFERROR(AVERAGEIFS('רווחה - קליטה'!$AK$5:$AK$204,'רווחה - קליטה'!$A$5:$A$204,$A93,'רווחה - קליטה'!$C$5:$C$204,"תחילת שנה"),""))</f>
        <v/>
      </c>
      <c r="D93" s="27" t="str">
        <f aca="false">IF($A93="","",IFERROR(INDEX('רווחה - קליטה'!$AS$5:$AS$204,MATCH($A93&amp;"|תחילת שנה",'רווחה - קליטה'!$AE$5:$AE$204,0)),""))</f>
        <v/>
      </c>
      <c r="E93" s="36" t="str">
        <f aca="false">IF($A93="","",IFERROR(AVERAGEIFS('רווחה - קליטה'!$AQ$5:$AQ$204,'רווחה - קליטה'!$A$5:$A$204,$A93,'רווחה - קליטה'!$C$5:$C$204,"אמצע שנה"),""))</f>
        <v/>
      </c>
      <c r="F93" s="28" t="str">
        <f aca="false">IF($A93="","",IFERROR(AVERAGEIFS('רווחה - קליטה'!$AK$5:$AK$204,'רווחה - קליטה'!$A$5:$A$204,$A93,'רווחה - קליטה'!$C$5:$C$204,"אמצע שנה"),""))</f>
        <v/>
      </c>
      <c r="G93" s="27" t="str">
        <f aca="false">IF($A93="","",IFERROR(INDEX('רווחה - קליטה'!$AS$5:$AS$204,MATCH($A93&amp;"|אמצע שנה",'רווחה - קליטה'!$AE$5:$AE$204,0)),""))</f>
        <v/>
      </c>
      <c r="H93" s="36" t="str">
        <f aca="false">IF($A93="","",IFERROR(AVERAGEIFS('רווחה - קליטה'!$AQ$5:$AQ$204,'רווחה - קליטה'!$A$5:$A$204,$A93,'רווחה - קליטה'!$C$5:$C$204,"סוף שנה"),""))</f>
        <v/>
      </c>
      <c r="I93" s="28" t="str">
        <f aca="false">IF($A93="","",IFERROR(AVERAGEIFS('רווחה - קליטה'!$AK$5:$AK$204,'רווחה - קליטה'!$A$5:$A$204,$A93,'רווחה - קליטה'!$C$5:$C$204,"סוף שנה"),""))</f>
        <v/>
      </c>
      <c r="J93" s="27" t="str">
        <f aca="false">IF($A93="","",IFERROR(INDEX('רווחה - קליטה'!$AS$5:$AS$204,MATCH($A93&amp;"|סוף שנה",'רווחה - קליטה'!$AE$5:$AE$204,0)),""))</f>
        <v/>
      </c>
      <c r="K93" s="37" t="str">
        <f aca="false">IF(AND(ISNUMBER(B93),ISNUMBER(H93)),H93-B93,"")</f>
        <v/>
      </c>
      <c r="L93" s="27" t="str">
        <f aca="false">IF(K93="","",IF(K93&gt;=0.5,"עלייה",IF(K93&lt;=-0.5,"ירידה","יציב")))</f>
        <v/>
      </c>
    </row>
    <row r="94" customFormat="false" ht="15" hidden="false" customHeight="false" outlineLevel="0" collapsed="false">
      <c r="A94" s="29"/>
      <c r="B94" s="36" t="str">
        <f aca="false">IF($A94="","",IFERROR(AVERAGEIFS('רווחה - קליטה'!$AQ$5:$AQ$204,'רווחה - קליטה'!$A$5:$A$204,$A94,'רווחה - קליטה'!$C$5:$C$204,"תחילת שנה"),""))</f>
        <v/>
      </c>
      <c r="C94" s="28" t="str">
        <f aca="false">IF($A94="","",IFERROR(AVERAGEIFS('רווחה - קליטה'!$AK$5:$AK$204,'רווחה - קליטה'!$A$5:$A$204,$A94,'רווחה - קליטה'!$C$5:$C$204,"תחילת שנה"),""))</f>
        <v/>
      </c>
      <c r="D94" s="27" t="str">
        <f aca="false">IF($A94="","",IFERROR(INDEX('רווחה - קליטה'!$AS$5:$AS$204,MATCH($A94&amp;"|תחילת שנה",'רווחה - קליטה'!$AE$5:$AE$204,0)),""))</f>
        <v/>
      </c>
      <c r="E94" s="36" t="str">
        <f aca="false">IF($A94="","",IFERROR(AVERAGEIFS('רווחה - קליטה'!$AQ$5:$AQ$204,'רווחה - קליטה'!$A$5:$A$204,$A94,'רווחה - קליטה'!$C$5:$C$204,"אמצע שנה"),""))</f>
        <v/>
      </c>
      <c r="F94" s="28" t="str">
        <f aca="false">IF($A94="","",IFERROR(AVERAGEIFS('רווחה - קליטה'!$AK$5:$AK$204,'רווחה - קליטה'!$A$5:$A$204,$A94,'רווחה - קליטה'!$C$5:$C$204,"אמצע שנה"),""))</f>
        <v/>
      </c>
      <c r="G94" s="27" t="str">
        <f aca="false">IF($A94="","",IFERROR(INDEX('רווחה - קליטה'!$AS$5:$AS$204,MATCH($A94&amp;"|אמצע שנה",'רווחה - קליטה'!$AE$5:$AE$204,0)),""))</f>
        <v/>
      </c>
      <c r="H94" s="36" t="str">
        <f aca="false">IF($A94="","",IFERROR(AVERAGEIFS('רווחה - קליטה'!$AQ$5:$AQ$204,'רווחה - קליטה'!$A$5:$A$204,$A94,'רווחה - קליטה'!$C$5:$C$204,"סוף שנה"),""))</f>
        <v/>
      </c>
      <c r="I94" s="28" t="str">
        <f aca="false">IF($A94="","",IFERROR(AVERAGEIFS('רווחה - קליטה'!$AK$5:$AK$204,'רווחה - קליטה'!$A$5:$A$204,$A94,'רווחה - קליטה'!$C$5:$C$204,"סוף שנה"),""))</f>
        <v/>
      </c>
      <c r="J94" s="27" t="str">
        <f aca="false">IF($A94="","",IFERROR(INDEX('רווחה - קליטה'!$AS$5:$AS$204,MATCH($A94&amp;"|סוף שנה",'רווחה - קליטה'!$AE$5:$AE$204,0)),""))</f>
        <v/>
      </c>
      <c r="K94" s="37" t="str">
        <f aca="false">IF(AND(ISNUMBER(B94),ISNUMBER(H94)),H94-B94,"")</f>
        <v/>
      </c>
      <c r="L94" s="27" t="str">
        <f aca="false">IF(K94="","",IF(K94&gt;=0.5,"עלייה",IF(K94&lt;=-0.5,"ירידה","יציב")))</f>
        <v/>
      </c>
    </row>
    <row r="95" customFormat="false" ht="15" hidden="false" customHeight="false" outlineLevel="0" collapsed="false">
      <c r="A95" s="29"/>
      <c r="B95" s="36" t="str">
        <f aca="false">IF($A95="","",IFERROR(AVERAGEIFS('רווחה - קליטה'!$AQ$5:$AQ$204,'רווחה - קליטה'!$A$5:$A$204,$A95,'רווחה - קליטה'!$C$5:$C$204,"תחילת שנה"),""))</f>
        <v/>
      </c>
      <c r="C95" s="28" t="str">
        <f aca="false">IF($A95="","",IFERROR(AVERAGEIFS('רווחה - קליטה'!$AK$5:$AK$204,'רווחה - קליטה'!$A$5:$A$204,$A95,'רווחה - קליטה'!$C$5:$C$204,"תחילת שנה"),""))</f>
        <v/>
      </c>
      <c r="D95" s="27" t="str">
        <f aca="false">IF($A95="","",IFERROR(INDEX('רווחה - קליטה'!$AS$5:$AS$204,MATCH($A95&amp;"|תחילת שנה",'רווחה - קליטה'!$AE$5:$AE$204,0)),""))</f>
        <v/>
      </c>
      <c r="E95" s="36" t="str">
        <f aca="false">IF($A95="","",IFERROR(AVERAGEIFS('רווחה - קליטה'!$AQ$5:$AQ$204,'רווחה - קליטה'!$A$5:$A$204,$A95,'רווחה - קליטה'!$C$5:$C$204,"אמצע שנה"),""))</f>
        <v/>
      </c>
      <c r="F95" s="28" t="str">
        <f aca="false">IF($A95="","",IFERROR(AVERAGEIFS('רווחה - קליטה'!$AK$5:$AK$204,'רווחה - קליטה'!$A$5:$A$204,$A95,'רווחה - קליטה'!$C$5:$C$204,"אמצע שנה"),""))</f>
        <v/>
      </c>
      <c r="G95" s="27" t="str">
        <f aca="false">IF($A95="","",IFERROR(INDEX('רווחה - קליטה'!$AS$5:$AS$204,MATCH($A95&amp;"|אמצע שנה",'רווחה - קליטה'!$AE$5:$AE$204,0)),""))</f>
        <v/>
      </c>
      <c r="H95" s="36" t="str">
        <f aca="false">IF($A95="","",IFERROR(AVERAGEIFS('רווחה - קליטה'!$AQ$5:$AQ$204,'רווחה - קליטה'!$A$5:$A$204,$A95,'רווחה - קליטה'!$C$5:$C$204,"סוף שנה"),""))</f>
        <v/>
      </c>
      <c r="I95" s="28" t="str">
        <f aca="false">IF($A95="","",IFERROR(AVERAGEIFS('רווחה - קליטה'!$AK$5:$AK$204,'רווחה - קליטה'!$A$5:$A$204,$A95,'רווחה - קליטה'!$C$5:$C$204,"סוף שנה"),""))</f>
        <v/>
      </c>
      <c r="J95" s="27" t="str">
        <f aca="false">IF($A95="","",IFERROR(INDEX('רווחה - קליטה'!$AS$5:$AS$204,MATCH($A95&amp;"|סוף שנה",'רווחה - קליטה'!$AE$5:$AE$204,0)),""))</f>
        <v/>
      </c>
      <c r="K95" s="37" t="str">
        <f aca="false">IF(AND(ISNUMBER(B95),ISNUMBER(H95)),H95-B95,"")</f>
        <v/>
      </c>
      <c r="L95" s="27" t="str">
        <f aca="false">IF(K95="","",IF(K95&gt;=0.5,"עלייה",IF(K95&lt;=-0.5,"ירידה","יציב")))</f>
        <v/>
      </c>
    </row>
    <row r="96" customFormat="false" ht="15" hidden="false" customHeight="false" outlineLevel="0" collapsed="false">
      <c r="A96" s="29"/>
      <c r="B96" s="36" t="str">
        <f aca="false">IF($A96="","",IFERROR(AVERAGEIFS('רווחה - קליטה'!$AQ$5:$AQ$204,'רווחה - קליטה'!$A$5:$A$204,$A96,'רווחה - קליטה'!$C$5:$C$204,"תחילת שנה"),""))</f>
        <v/>
      </c>
      <c r="C96" s="28" t="str">
        <f aca="false">IF($A96="","",IFERROR(AVERAGEIFS('רווחה - קליטה'!$AK$5:$AK$204,'רווחה - קליטה'!$A$5:$A$204,$A96,'רווחה - קליטה'!$C$5:$C$204,"תחילת שנה"),""))</f>
        <v/>
      </c>
      <c r="D96" s="27" t="str">
        <f aca="false">IF($A96="","",IFERROR(INDEX('רווחה - קליטה'!$AS$5:$AS$204,MATCH($A96&amp;"|תחילת שנה",'רווחה - קליטה'!$AE$5:$AE$204,0)),""))</f>
        <v/>
      </c>
      <c r="E96" s="36" t="str">
        <f aca="false">IF($A96="","",IFERROR(AVERAGEIFS('רווחה - קליטה'!$AQ$5:$AQ$204,'רווחה - קליטה'!$A$5:$A$204,$A96,'רווחה - קליטה'!$C$5:$C$204,"אמצע שנה"),""))</f>
        <v/>
      </c>
      <c r="F96" s="28" t="str">
        <f aca="false">IF($A96="","",IFERROR(AVERAGEIFS('רווחה - קליטה'!$AK$5:$AK$204,'רווחה - קליטה'!$A$5:$A$204,$A96,'רווחה - קליטה'!$C$5:$C$204,"אמצע שנה"),""))</f>
        <v/>
      </c>
      <c r="G96" s="27" t="str">
        <f aca="false">IF($A96="","",IFERROR(INDEX('רווחה - קליטה'!$AS$5:$AS$204,MATCH($A96&amp;"|אמצע שנה",'רווחה - קליטה'!$AE$5:$AE$204,0)),""))</f>
        <v/>
      </c>
      <c r="H96" s="36" t="str">
        <f aca="false">IF($A96="","",IFERROR(AVERAGEIFS('רווחה - קליטה'!$AQ$5:$AQ$204,'רווחה - קליטה'!$A$5:$A$204,$A96,'רווחה - קליטה'!$C$5:$C$204,"סוף שנה"),""))</f>
        <v/>
      </c>
      <c r="I96" s="28" t="str">
        <f aca="false">IF($A96="","",IFERROR(AVERAGEIFS('רווחה - קליטה'!$AK$5:$AK$204,'רווחה - קליטה'!$A$5:$A$204,$A96,'רווחה - קליטה'!$C$5:$C$204,"סוף שנה"),""))</f>
        <v/>
      </c>
      <c r="J96" s="27" t="str">
        <f aca="false">IF($A96="","",IFERROR(INDEX('רווחה - קליטה'!$AS$5:$AS$204,MATCH($A96&amp;"|סוף שנה",'רווחה - קליטה'!$AE$5:$AE$204,0)),""))</f>
        <v/>
      </c>
      <c r="K96" s="37" t="str">
        <f aca="false">IF(AND(ISNUMBER(B96),ISNUMBER(H96)),H96-B96,"")</f>
        <v/>
      </c>
      <c r="L96" s="27" t="str">
        <f aca="false">IF(K96="","",IF(K96&gt;=0.5,"עלייה",IF(K96&lt;=-0.5,"ירידה","יציב")))</f>
        <v/>
      </c>
    </row>
    <row r="97" customFormat="false" ht="15" hidden="false" customHeight="false" outlineLevel="0" collapsed="false">
      <c r="A97" s="29"/>
      <c r="B97" s="36" t="str">
        <f aca="false">IF($A97="","",IFERROR(AVERAGEIFS('רווחה - קליטה'!$AQ$5:$AQ$204,'רווחה - קליטה'!$A$5:$A$204,$A97,'רווחה - קליטה'!$C$5:$C$204,"תחילת שנה"),""))</f>
        <v/>
      </c>
      <c r="C97" s="28" t="str">
        <f aca="false">IF($A97="","",IFERROR(AVERAGEIFS('רווחה - קליטה'!$AK$5:$AK$204,'רווחה - קליטה'!$A$5:$A$204,$A97,'רווחה - קליטה'!$C$5:$C$204,"תחילת שנה"),""))</f>
        <v/>
      </c>
      <c r="D97" s="27" t="str">
        <f aca="false">IF($A97="","",IFERROR(INDEX('רווחה - קליטה'!$AS$5:$AS$204,MATCH($A97&amp;"|תחילת שנה",'רווחה - קליטה'!$AE$5:$AE$204,0)),""))</f>
        <v/>
      </c>
      <c r="E97" s="36" t="str">
        <f aca="false">IF($A97="","",IFERROR(AVERAGEIFS('רווחה - קליטה'!$AQ$5:$AQ$204,'רווחה - קליטה'!$A$5:$A$204,$A97,'רווחה - קליטה'!$C$5:$C$204,"אמצע שנה"),""))</f>
        <v/>
      </c>
      <c r="F97" s="28" t="str">
        <f aca="false">IF($A97="","",IFERROR(AVERAGEIFS('רווחה - קליטה'!$AK$5:$AK$204,'רווחה - קליטה'!$A$5:$A$204,$A97,'רווחה - קליטה'!$C$5:$C$204,"אמצע שנה"),""))</f>
        <v/>
      </c>
      <c r="G97" s="27" t="str">
        <f aca="false">IF($A97="","",IFERROR(INDEX('רווחה - קליטה'!$AS$5:$AS$204,MATCH($A97&amp;"|אמצע שנה",'רווחה - קליטה'!$AE$5:$AE$204,0)),""))</f>
        <v/>
      </c>
      <c r="H97" s="36" t="str">
        <f aca="false">IF($A97="","",IFERROR(AVERAGEIFS('רווחה - קליטה'!$AQ$5:$AQ$204,'רווחה - קליטה'!$A$5:$A$204,$A97,'רווחה - קליטה'!$C$5:$C$204,"סוף שנה"),""))</f>
        <v/>
      </c>
      <c r="I97" s="28" t="str">
        <f aca="false">IF($A97="","",IFERROR(AVERAGEIFS('רווחה - קליטה'!$AK$5:$AK$204,'רווחה - קליטה'!$A$5:$A$204,$A97,'רווחה - קליטה'!$C$5:$C$204,"סוף שנה"),""))</f>
        <v/>
      </c>
      <c r="J97" s="27" t="str">
        <f aca="false">IF($A97="","",IFERROR(INDEX('רווחה - קליטה'!$AS$5:$AS$204,MATCH($A97&amp;"|סוף שנה",'רווחה - קליטה'!$AE$5:$AE$204,0)),""))</f>
        <v/>
      </c>
      <c r="K97" s="37" t="str">
        <f aca="false">IF(AND(ISNUMBER(B97),ISNUMBER(H97)),H97-B97,"")</f>
        <v/>
      </c>
      <c r="L97" s="27" t="str">
        <f aca="false">IF(K97="","",IF(K97&gt;=0.5,"עלייה",IF(K97&lt;=-0.5,"ירידה","יציב")))</f>
        <v/>
      </c>
    </row>
    <row r="98" customFormat="false" ht="15" hidden="false" customHeight="false" outlineLevel="0" collapsed="false">
      <c r="A98" s="29"/>
      <c r="B98" s="36" t="str">
        <f aca="false">IF($A98="","",IFERROR(AVERAGEIFS('רווחה - קליטה'!$AQ$5:$AQ$204,'רווחה - קליטה'!$A$5:$A$204,$A98,'רווחה - קליטה'!$C$5:$C$204,"תחילת שנה"),""))</f>
        <v/>
      </c>
      <c r="C98" s="28" t="str">
        <f aca="false">IF($A98="","",IFERROR(AVERAGEIFS('רווחה - קליטה'!$AK$5:$AK$204,'רווחה - קליטה'!$A$5:$A$204,$A98,'רווחה - קליטה'!$C$5:$C$204,"תחילת שנה"),""))</f>
        <v/>
      </c>
      <c r="D98" s="27" t="str">
        <f aca="false">IF($A98="","",IFERROR(INDEX('רווחה - קליטה'!$AS$5:$AS$204,MATCH($A98&amp;"|תחילת שנה",'רווחה - קליטה'!$AE$5:$AE$204,0)),""))</f>
        <v/>
      </c>
      <c r="E98" s="36" t="str">
        <f aca="false">IF($A98="","",IFERROR(AVERAGEIFS('רווחה - קליטה'!$AQ$5:$AQ$204,'רווחה - קליטה'!$A$5:$A$204,$A98,'רווחה - קליטה'!$C$5:$C$204,"אמצע שנה"),""))</f>
        <v/>
      </c>
      <c r="F98" s="28" t="str">
        <f aca="false">IF($A98="","",IFERROR(AVERAGEIFS('רווחה - קליטה'!$AK$5:$AK$204,'רווחה - קליטה'!$A$5:$A$204,$A98,'רווחה - קליטה'!$C$5:$C$204,"אמצע שנה"),""))</f>
        <v/>
      </c>
      <c r="G98" s="27" t="str">
        <f aca="false">IF($A98="","",IFERROR(INDEX('רווחה - קליטה'!$AS$5:$AS$204,MATCH($A98&amp;"|אמצע שנה",'רווחה - קליטה'!$AE$5:$AE$204,0)),""))</f>
        <v/>
      </c>
      <c r="H98" s="36" t="str">
        <f aca="false">IF($A98="","",IFERROR(AVERAGEIFS('רווחה - קליטה'!$AQ$5:$AQ$204,'רווחה - קליטה'!$A$5:$A$204,$A98,'רווחה - קליטה'!$C$5:$C$204,"סוף שנה"),""))</f>
        <v/>
      </c>
      <c r="I98" s="28" t="str">
        <f aca="false">IF($A98="","",IFERROR(AVERAGEIFS('רווחה - קליטה'!$AK$5:$AK$204,'רווחה - קליטה'!$A$5:$A$204,$A98,'רווחה - קליטה'!$C$5:$C$204,"סוף שנה"),""))</f>
        <v/>
      </c>
      <c r="J98" s="27" t="str">
        <f aca="false">IF($A98="","",IFERROR(INDEX('רווחה - קליטה'!$AS$5:$AS$204,MATCH($A98&amp;"|סוף שנה",'רווחה - קליטה'!$AE$5:$AE$204,0)),""))</f>
        <v/>
      </c>
      <c r="K98" s="37" t="str">
        <f aca="false">IF(AND(ISNUMBER(B98),ISNUMBER(H98)),H98-B98,"")</f>
        <v/>
      </c>
      <c r="L98" s="27" t="str">
        <f aca="false">IF(K98="","",IF(K98&gt;=0.5,"עלייה",IF(K98&lt;=-0.5,"ירידה","יציב")))</f>
        <v/>
      </c>
    </row>
    <row r="99" customFormat="false" ht="15" hidden="false" customHeight="false" outlineLevel="0" collapsed="false">
      <c r="A99" s="29"/>
      <c r="B99" s="36" t="str">
        <f aca="false">IF($A99="","",IFERROR(AVERAGEIFS('רווחה - קליטה'!$AQ$5:$AQ$204,'רווחה - קליטה'!$A$5:$A$204,$A99,'רווחה - קליטה'!$C$5:$C$204,"תחילת שנה"),""))</f>
        <v/>
      </c>
      <c r="C99" s="28" t="str">
        <f aca="false">IF($A99="","",IFERROR(AVERAGEIFS('רווחה - קליטה'!$AK$5:$AK$204,'רווחה - קליטה'!$A$5:$A$204,$A99,'רווחה - קליטה'!$C$5:$C$204,"תחילת שנה"),""))</f>
        <v/>
      </c>
      <c r="D99" s="27" t="str">
        <f aca="false">IF($A99="","",IFERROR(INDEX('רווחה - קליטה'!$AS$5:$AS$204,MATCH($A99&amp;"|תחילת שנה",'רווחה - קליטה'!$AE$5:$AE$204,0)),""))</f>
        <v/>
      </c>
      <c r="E99" s="36" t="str">
        <f aca="false">IF($A99="","",IFERROR(AVERAGEIFS('רווחה - קליטה'!$AQ$5:$AQ$204,'רווחה - קליטה'!$A$5:$A$204,$A99,'רווחה - קליטה'!$C$5:$C$204,"אמצע שנה"),""))</f>
        <v/>
      </c>
      <c r="F99" s="28" t="str">
        <f aca="false">IF($A99="","",IFERROR(AVERAGEIFS('רווחה - קליטה'!$AK$5:$AK$204,'רווחה - קליטה'!$A$5:$A$204,$A99,'רווחה - קליטה'!$C$5:$C$204,"אמצע שנה"),""))</f>
        <v/>
      </c>
      <c r="G99" s="27" t="str">
        <f aca="false">IF($A99="","",IFERROR(INDEX('רווחה - קליטה'!$AS$5:$AS$204,MATCH($A99&amp;"|אמצע שנה",'רווחה - קליטה'!$AE$5:$AE$204,0)),""))</f>
        <v/>
      </c>
      <c r="H99" s="36" t="str">
        <f aca="false">IF($A99="","",IFERROR(AVERAGEIFS('רווחה - קליטה'!$AQ$5:$AQ$204,'רווחה - קליטה'!$A$5:$A$204,$A99,'רווחה - קליטה'!$C$5:$C$204,"סוף שנה"),""))</f>
        <v/>
      </c>
      <c r="I99" s="28" t="str">
        <f aca="false">IF($A99="","",IFERROR(AVERAGEIFS('רווחה - קליטה'!$AK$5:$AK$204,'רווחה - קליטה'!$A$5:$A$204,$A99,'רווחה - קליטה'!$C$5:$C$204,"סוף שנה"),""))</f>
        <v/>
      </c>
      <c r="J99" s="27" t="str">
        <f aca="false">IF($A99="","",IFERROR(INDEX('רווחה - קליטה'!$AS$5:$AS$204,MATCH($A99&amp;"|סוף שנה",'רווחה - קליטה'!$AE$5:$AE$204,0)),""))</f>
        <v/>
      </c>
      <c r="K99" s="37" t="str">
        <f aca="false">IF(AND(ISNUMBER(B99),ISNUMBER(H99)),H99-B99,"")</f>
        <v/>
      </c>
      <c r="L99" s="27" t="str">
        <f aca="false">IF(K99="","",IF(K99&gt;=0.5,"עלייה",IF(K99&lt;=-0.5,"ירידה","יציב")))</f>
        <v/>
      </c>
    </row>
    <row r="100" customFormat="false" ht="15" hidden="false" customHeight="false" outlineLevel="0" collapsed="false">
      <c r="A100" s="29"/>
      <c r="B100" s="36" t="str">
        <f aca="false">IF($A100="","",IFERROR(AVERAGEIFS('רווחה - קליטה'!$AQ$5:$AQ$204,'רווחה - קליטה'!$A$5:$A$204,$A100,'רווחה - קליטה'!$C$5:$C$204,"תחילת שנה"),""))</f>
        <v/>
      </c>
      <c r="C100" s="28" t="str">
        <f aca="false">IF($A100="","",IFERROR(AVERAGEIFS('רווחה - קליטה'!$AK$5:$AK$204,'רווחה - קליטה'!$A$5:$A$204,$A100,'רווחה - קליטה'!$C$5:$C$204,"תחילת שנה"),""))</f>
        <v/>
      </c>
      <c r="D100" s="27" t="str">
        <f aca="false">IF($A100="","",IFERROR(INDEX('רווחה - קליטה'!$AS$5:$AS$204,MATCH($A100&amp;"|תחילת שנה",'רווחה - קליטה'!$AE$5:$AE$204,0)),""))</f>
        <v/>
      </c>
      <c r="E100" s="36" t="str">
        <f aca="false">IF($A100="","",IFERROR(AVERAGEIFS('רווחה - קליטה'!$AQ$5:$AQ$204,'רווחה - קליטה'!$A$5:$A$204,$A100,'רווחה - קליטה'!$C$5:$C$204,"אמצע שנה"),""))</f>
        <v/>
      </c>
      <c r="F100" s="28" t="str">
        <f aca="false">IF($A100="","",IFERROR(AVERAGEIFS('רווחה - קליטה'!$AK$5:$AK$204,'רווחה - קליטה'!$A$5:$A$204,$A100,'רווחה - קליטה'!$C$5:$C$204,"אמצע שנה"),""))</f>
        <v/>
      </c>
      <c r="G100" s="27" t="str">
        <f aca="false">IF($A100="","",IFERROR(INDEX('רווחה - קליטה'!$AS$5:$AS$204,MATCH($A100&amp;"|אמצע שנה",'רווחה - קליטה'!$AE$5:$AE$204,0)),""))</f>
        <v/>
      </c>
      <c r="H100" s="36" t="str">
        <f aca="false">IF($A100="","",IFERROR(AVERAGEIFS('רווחה - קליטה'!$AQ$5:$AQ$204,'רווחה - קליטה'!$A$5:$A$204,$A100,'רווחה - קליטה'!$C$5:$C$204,"סוף שנה"),""))</f>
        <v/>
      </c>
      <c r="I100" s="28" t="str">
        <f aca="false">IF($A100="","",IFERROR(AVERAGEIFS('רווחה - קליטה'!$AK$5:$AK$204,'רווחה - קליטה'!$A$5:$A$204,$A100,'רווחה - קליטה'!$C$5:$C$204,"סוף שנה"),""))</f>
        <v/>
      </c>
      <c r="J100" s="27" t="str">
        <f aca="false">IF($A100="","",IFERROR(INDEX('רווחה - קליטה'!$AS$5:$AS$204,MATCH($A100&amp;"|סוף שנה",'רווחה - קליטה'!$AE$5:$AE$204,0)),""))</f>
        <v/>
      </c>
      <c r="K100" s="37" t="str">
        <f aca="false">IF(AND(ISNUMBER(B100),ISNUMBER(H100)),H100-B100,"")</f>
        <v/>
      </c>
      <c r="L100" s="27" t="str">
        <f aca="false">IF(K100="","",IF(K100&gt;=0.5,"עלייה",IF(K100&lt;=-0.5,"ירידה","יציב")))</f>
        <v/>
      </c>
    </row>
    <row r="101" customFormat="false" ht="15" hidden="false" customHeight="false" outlineLevel="0" collapsed="false">
      <c r="A101" s="29"/>
      <c r="B101" s="36" t="str">
        <f aca="false">IF($A101="","",IFERROR(AVERAGEIFS('רווחה - קליטה'!$AQ$5:$AQ$204,'רווחה - קליטה'!$A$5:$A$204,$A101,'רווחה - קליטה'!$C$5:$C$204,"תחילת שנה"),""))</f>
        <v/>
      </c>
      <c r="C101" s="28" t="str">
        <f aca="false">IF($A101="","",IFERROR(AVERAGEIFS('רווחה - קליטה'!$AK$5:$AK$204,'רווחה - קליטה'!$A$5:$A$204,$A101,'רווחה - קליטה'!$C$5:$C$204,"תחילת שנה"),""))</f>
        <v/>
      </c>
      <c r="D101" s="27" t="str">
        <f aca="false">IF($A101="","",IFERROR(INDEX('רווחה - קליטה'!$AS$5:$AS$204,MATCH($A101&amp;"|תחילת שנה",'רווחה - קליטה'!$AE$5:$AE$204,0)),""))</f>
        <v/>
      </c>
      <c r="E101" s="36" t="str">
        <f aca="false">IF($A101="","",IFERROR(AVERAGEIFS('רווחה - קליטה'!$AQ$5:$AQ$204,'רווחה - קליטה'!$A$5:$A$204,$A101,'רווחה - קליטה'!$C$5:$C$204,"אמצע שנה"),""))</f>
        <v/>
      </c>
      <c r="F101" s="28" t="str">
        <f aca="false">IF($A101="","",IFERROR(AVERAGEIFS('רווחה - קליטה'!$AK$5:$AK$204,'רווחה - קליטה'!$A$5:$A$204,$A101,'רווחה - קליטה'!$C$5:$C$204,"אמצע שנה"),""))</f>
        <v/>
      </c>
      <c r="G101" s="27" t="str">
        <f aca="false">IF($A101="","",IFERROR(INDEX('רווחה - קליטה'!$AS$5:$AS$204,MATCH($A101&amp;"|אמצע שנה",'רווחה - קליטה'!$AE$5:$AE$204,0)),""))</f>
        <v/>
      </c>
      <c r="H101" s="36" t="str">
        <f aca="false">IF($A101="","",IFERROR(AVERAGEIFS('רווחה - קליטה'!$AQ$5:$AQ$204,'רווחה - קליטה'!$A$5:$A$204,$A101,'רווחה - קליטה'!$C$5:$C$204,"סוף שנה"),""))</f>
        <v/>
      </c>
      <c r="I101" s="28" t="str">
        <f aca="false">IF($A101="","",IFERROR(AVERAGEIFS('רווחה - קליטה'!$AK$5:$AK$204,'רווחה - קליטה'!$A$5:$A$204,$A101,'רווחה - קליטה'!$C$5:$C$204,"סוף שנה"),""))</f>
        <v/>
      </c>
      <c r="J101" s="27" t="str">
        <f aca="false">IF($A101="","",IFERROR(INDEX('רווחה - קליטה'!$AS$5:$AS$204,MATCH($A101&amp;"|סוף שנה",'רווחה - קליטה'!$AE$5:$AE$204,0)),""))</f>
        <v/>
      </c>
      <c r="K101" s="37" t="str">
        <f aca="false">IF(AND(ISNUMBER(B101),ISNUMBER(H101)),H101-B101,"")</f>
        <v/>
      </c>
      <c r="L101" s="27" t="str">
        <f aca="false">IF(K101="","",IF(K101&gt;=0.5,"עלייה",IF(K101&lt;=-0.5,"ירידה","יציב")))</f>
        <v/>
      </c>
    </row>
    <row r="102" customFormat="false" ht="15" hidden="false" customHeight="false" outlineLevel="0" collapsed="false">
      <c r="A102" s="29"/>
      <c r="B102" s="36" t="str">
        <f aca="false">IF($A102="","",IFERROR(AVERAGEIFS('רווחה - קליטה'!$AQ$5:$AQ$204,'רווחה - קליטה'!$A$5:$A$204,$A102,'רווחה - קליטה'!$C$5:$C$204,"תחילת שנה"),""))</f>
        <v/>
      </c>
      <c r="C102" s="28" t="str">
        <f aca="false">IF($A102="","",IFERROR(AVERAGEIFS('רווחה - קליטה'!$AK$5:$AK$204,'רווחה - קליטה'!$A$5:$A$204,$A102,'רווחה - קליטה'!$C$5:$C$204,"תחילת שנה"),""))</f>
        <v/>
      </c>
      <c r="D102" s="27" t="str">
        <f aca="false">IF($A102="","",IFERROR(INDEX('רווחה - קליטה'!$AS$5:$AS$204,MATCH($A102&amp;"|תחילת שנה",'רווחה - קליטה'!$AE$5:$AE$204,0)),""))</f>
        <v/>
      </c>
      <c r="E102" s="36" t="str">
        <f aca="false">IF($A102="","",IFERROR(AVERAGEIFS('רווחה - קליטה'!$AQ$5:$AQ$204,'רווחה - קליטה'!$A$5:$A$204,$A102,'רווחה - קליטה'!$C$5:$C$204,"אמצע שנה"),""))</f>
        <v/>
      </c>
      <c r="F102" s="28" t="str">
        <f aca="false">IF($A102="","",IFERROR(AVERAGEIFS('רווחה - קליטה'!$AK$5:$AK$204,'רווחה - קליטה'!$A$5:$A$204,$A102,'רווחה - קליטה'!$C$5:$C$204,"אמצע שנה"),""))</f>
        <v/>
      </c>
      <c r="G102" s="27" t="str">
        <f aca="false">IF($A102="","",IFERROR(INDEX('רווחה - קליטה'!$AS$5:$AS$204,MATCH($A102&amp;"|אמצע שנה",'רווחה - קליטה'!$AE$5:$AE$204,0)),""))</f>
        <v/>
      </c>
      <c r="H102" s="36" t="str">
        <f aca="false">IF($A102="","",IFERROR(AVERAGEIFS('רווחה - קליטה'!$AQ$5:$AQ$204,'רווחה - קליטה'!$A$5:$A$204,$A102,'רווחה - קליטה'!$C$5:$C$204,"סוף שנה"),""))</f>
        <v/>
      </c>
      <c r="I102" s="28" t="str">
        <f aca="false">IF($A102="","",IFERROR(AVERAGEIFS('רווחה - קליטה'!$AK$5:$AK$204,'רווחה - קליטה'!$A$5:$A$204,$A102,'רווחה - קליטה'!$C$5:$C$204,"סוף שנה"),""))</f>
        <v/>
      </c>
      <c r="J102" s="27" t="str">
        <f aca="false">IF($A102="","",IFERROR(INDEX('רווחה - קליטה'!$AS$5:$AS$204,MATCH($A102&amp;"|סוף שנה",'רווחה - קליטה'!$AE$5:$AE$204,0)),""))</f>
        <v/>
      </c>
      <c r="K102" s="37" t="str">
        <f aca="false">IF(AND(ISNUMBER(B102),ISNUMBER(H102)),H102-B102,"")</f>
        <v/>
      </c>
      <c r="L102" s="27" t="str">
        <f aca="false">IF(K102="","",IF(K102&gt;=0.5,"עלייה",IF(K102&lt;=-0.5,"ירידה","יציב")))</f>
        <v/>
      </c>
    </row>
    <row r="103" customFormat="false" ht="15" hidden="false" customHeight="false" outlineLevel="0" collapsed="false">
      <c r="A103" s="29"/>
      <c r="B103" s="36" t="str">
        <f aca="false">IF($A103="","",IFERROR(AVERAGEIFS('רווחה - קליטה'!$AQ$5:$AQ$204,'רווחה - קליטה'!$A$5:$A$204,$A103,'רווחה - קליטה'!$C$5:$C$204,"תחילת שנה"),""))</f>
        <v/>
      </c>
      <c r="C103" s="28" t="str">
        <f aca="false">IF($A103="","",IFERROR(AVERAGEIFS('רווחה - קליטה'!$AK$5:$AK$204,'רווחה - קליטה'!$A$5:$A$204,$A103,'רווחה - קליטה'!$C$5:$C$204,"תחילת שנה"),""))</f>
        <v/>
      </c>
      <c r="D103" s="27" t="str">
        <f aca="false">IF($A103="","",IFERROR(INDEX('רווחה - קליטה'!$AS$5:$AS$204,MATCH($A103&amp;"|תחילת שנה",'רווחה - קליטה'!$AE$5:$AE$204,0)),""))</f>
        <v/>
      </c>
      <c r="E103" s="36" t="str">
        <f aca="false">IF($A103="","",IFERROR(AVERAGEIFS('רווחה - קליטה'!$AQ$5:$AQ$204,'רווחה - קליטה'!$A$5:$A$204,$A103,'רווחה - קליטה'!$C$5:$C$204,"אמצע שנה"),""))</f>
        <v/>
      </c>
      <c r="F103" s="28" t="str">
        <f aca="false">IF($A103="","",IFERROR(AVERAGEIFS('רווחה - קליטה'!$AK$5:$AK$204,'רווחה - קליטה'!$A$5:$A$204,$A103,'רווחה - קליטה'!$C$5:$C$204,"אמצע שנה"),""))</f>
        <v/>
      </c>
      <c r="G103" s="27" t="str">
        <f aca="false">IF($A103="","",IFERROR(INDEX('רווחה - קליטה'!$AS$5:$AS$204,MATCH($A103&amp;"|אמצע שנה",'רווחה - קליטה'!$AE$5:$AE$204,0)),""))</f>
        <v/>
      </c>
      <c r="H103" s="36" t="str">
        <f aca="false">IF($A103="","",IFERROR(AVERAGEIFS('רווחה - קליטה'!$AQ$5:$AQ$204,'רווחה - קליטה'!$A$5:$A$204,$A103,'רווחה - קליטה'!$C$5:$C$204,"סוף שנה"),""))</f>
        <v/>
      </c>
      <c r="I103" s="28" t="str">
        <f aca="false">IF($A103="","",IFERROR(AVERAGEIFS('רווחה - קליטה'!$AK$5:$AK$204,'רווחה - קליטה'!$A$5:$A$204,$A103,'רווחה - קליטה'!$C$5:$C$204,"סוף שנה"),""))</f>
        <v/>
      </c>
      <c r="J103" s="27" t="str">
        <f aca="false">IF($A103="","",IFERROR(INDEX('רווחה - קליטה'!$AS$5:$AS$204,MATCH($A103&amp;"|סוף שנה",'רווחה - קליטה'!$AE$5:$AE$204,0)),""))</f>
        <v/>
      </c>
      <c r="K103" s="37" t="str">
        <f aca="false">IF(AND(ISNUMBER(B103),ISNUMBER(H103)),H103-B103,"")</f>
        <v/>
      </c>
      <c r="L103" s="27" t="str">
        <f aca="false">IF(K103="","",IF(K103&gt;=0.5,"עלייה",IF(K103&lt;=-0.5,"ירידה","יציב")))</f>
        <v/>
      </c>
    </row>
    <row r="104" customFormat="false" ht="15" hidden="false" customHeight="false" outlineLevel="0" collapsed="false">
      <c r="A104" s="29"/>
      <c r="B104" s="36" t="str">
        <f aca="false">IF($A104="","",IFERROR(AVERAGEIFS('רווחה - קליטה'!$AQ$5:$AQ$204,'רווחה - קליטה'!$A$5:$A$204,$A104,'רווחה - קליטה'!$C$5:$C$204,"תחילת שנה"),""))</f>
        <v/>
      </c>
      <c r="C104" s="28" t="str">
        <f aca="false">IF($A104="","",IFERROR(AVERAGEIFS('רווחה - קליטה'!$AK$5:$AK$204,'רווחה - קליטה'!$A$5:$A$204,$A104,'רווחה - קליטה'!$C$5:$C$204,"תחילת שנה"),""))</f>
        <v/>
      </c>
      <c r="D104" s="27" t="str">
        <f aca="false">IF($A104="","",IFERROR(INDEX('רווחה - קליטה'!$AS$5:$AS$204,MATCH($A104&amp;"|תחילת שנה",'רווחה - קליטה'!$AE$5:$AE$204,0)),""))</f>
        <v/>
      </c>
      <c r="E104" s="36" t="str">
        <f aca="false">IF($A104="","",IFERROR(AVERAGEIFS('רווחה - קליטה'!$AQ$5:$AQ$204,'רווחה - קליטה'!$A$5:$A$204,$A104,'רווחה - קליטה'!$C$5:$C$204,"אמצע שנה"),""))</f>
        <v/>
      </c>
      <c r="F104" s="28" t="str">
        <f aca="false">IF($A104="","",IFERROR(AVERAGEIFS('רווחה - קליטה'!$AK$5:$AK$204,'רווחה - קליטה'!$A$5:$A$204,$A104,'רווחה - קליטה'!$C$5:$C$204,"אמצע שנה"),""))</f>
        <v/>
      </c>
      <c r="G104" s="27" t="str">
        <f aca="false">IF($A104="","",IFERROR(INDEX('רווחה - קליטה'!$AS$5:$AS$204,MATCH($A104&amp;"|אמצע שנה",'רווחה - קליטה'!$AE$5:$AE$204,0)),""))</f>
        <v/>
      </c>
      <c r="H104" s="36" t="str">
        <f aca="false">IF($A104="","",IFERROR(AVERAGEIFS('רווחה - קליטה'!$AQ$5:$AQ$204,'רווחה - קליטה'!$A$5:$A$204,$A104,'רווחה - קליטה'!$C$5:$C$204,"סוף שנה"),""))</f>
        <v/>
      </c>
      <c r="I104" s="28" t="str">
        <f aca="false">IF($A104="","",IFERROR(AVERAGEIFS('רווחה - קליטה'!$AK$5:$AK$204,'רווחה - קליטה'!$A$5:$A$204,$A104,'רווחה - קליטה'!$C$5:$C$204,"סוף שנה"),""))</f>
        <v/>
      </c>
      <c r="J104" s="27" t="str">
        <f aca="false">IF($A104="","",IFERROR(INDEX('רווחה - קליטה'!$AS$5:$AS$204,MATCH($A104&amp;"|סוף שנה",'רווחה - קליטה'!$AE$5:$AE$204,0)),""))</f>
        <v/>
      </c>
      <c r="K104" s="37" t="str">
        <f aca="false">IF(AND(ISNUMBER(B104),ISNUMBER(H104)),H104-B104,"")</f>
        <v/>
      </c>
      <c r="L104" s="27" t="str">
        <f aca="false">IF(K104="","",IF(K104&gt;=0.5,"עלייה",IF(K104&lt;=-0.5,"ירידה","יציב")))</f>
        <v/>
      </c>
    </row>
    <row r="105" customFormat="false" ht="15" hidden="false" customHeight="false" outlineLevel="0" collapsed="false">
      <c r="A105" s="29"/>
      <c r="B105" s="36" t="str">
        <f aca="false">IF($A105="","",IFERROR(AVERAGEIFS('רווחה - קליטה'!$AQ$5:$AQ$204,'רווחה - קליטה'!$A$5:$A$204,$A105,'רווחה - קליטה'!$C$5:$C$204,"תחילת שנה"),""))</f>
        <v/>
      </c>
      <c r="C105" s="28" t="str">
        <f aca="false">IF($A105="","",IFERROR(AVERAGEIFS('רווחה - קליטה'!$AK$5:$AK$204,'רווחה - קליטה'!$A$5:$A$204,$A105,'רווחה - קליטה'!$C$5:$C$204,"תחילת שנה"),""))</f>
        <v/>
      </c>
      <c r="D105" s="27" t="str">
        <f aca="false">IF($A105="","",IFERROR(INDEX('רווחה - קליטה'!$AS$5:$AS$204,MATCH($A105&amp;"|תחילת שנה",'רווחה - קליטה'!$AE$5:$AE$204,0)),""))</f>
        <v/>
      </c>
      <c r="E105" s="36" t="str">
        <f aca="false">IF($A105="","",IFERROR(AVERAGEIFS('רווחה - קליטה'!$AQ$5:$AQ$204,'רווחה - קליטה'!$A$5:$A$204,$A105,'רווחה - קליטה'!$C$5:$C$204,"אמצע שנה"),""))</f>
        <v/>
      </c>
      <c r="F105" s="28" t="str">
        <f aca="false">IF($A105="","",IFERROR(AVERAGEIFS('רווחה - קליטה'!$AK$5:$AK$204,'רווחה - קליטה'!$A$5:$A$204,$A105,'רווחה - קליטה'!$C$5:$C$204,"אמצע שנה"),""))</f>
        <v/>
      </c>
      <c r="G105" s="27" t="str">
        <f aca="false">IF($A105="","",IFERROR(INDEX('רווחה - קליטה'!$AS$5:$AS$204,MATCH($A105&amp;"|אמצע שנה",'רווחה - קליטה'!$AE$5:$AE$204,0)),""))</f>
        <v/>
      </c>
      <c r="H105" s="36" t="str">
        <f aca="false">IF($A105="","",IFERROR(AVERAGEIFS('רווחה - קליטה'!$AQ$5:$AQ$204,'רווחה - קליטה'!$A$5:$A$204,$A105,'רווחה - קליטה'!$C$5:$C$204,"סוף שנה"),""))</f>
        <v/>
      </c>
      <c r="I105" s="28" t="str">
        <f aca="false">IF($A105="","",IFERROR(AVERAGEIFS('רווחה - קליטה'!$AK$5:$AK$204,'רווחה - קליטה'!$A$5:$A$204,$A105,'רווחה - קליטה'!$C$5:$C$204,"סוף שנה"),""))</f>
        <v/>
      </c>
      <c r="J105" s="27" t="str">
        <f aca="false">IF($A105="","",IFERROR(INDEX('רווחה - קליטה'!$AS$5:$AS$204,MATCH($A105&amp;"|סוף שנה",'רווחה - קליטה'!$AE$5:$AE$204,0)),""))</f>
        <v/>
      </c>
      <c r="K105" s="37" t="str">
        <f aca="false">IF(AND(ISNUMBER(B105),ISNUMBER(H105)),H105-B105,"")</f>
        <v/>
      </c>
      <c r="L105" s="27" t="str">
        <f aca="false">IF(K105="","",IF(K105&gt;=0.5,"עלייה",IF(K105&lt;=-0.5,"ירידה","יציב")))</f>
        <v/>
      </c>
    </row>
    <row r="106" customFormat="false" ht="15" hidden="false" customHeight="false" outlineLevel="0" collapsed="false">
      <c r="A106" s="29"/>
      <c r="B106" s="36" t="str">
        <f aca="false">IF($A106="","",IFERROR(AVERAGEIFS('רווחה - קליטה'!$AQ$5:$AQ$204,'רווחה - קליטה'!$A$5:$A$204,$A106,'רווחה - קליטה'!$C$5:$C$204,"תחילת שנה"),""))</f>
        <v/>
      </c>
      <c r="C106" s="28" t="str">
        <f aca="false">IF($A106="","",IFERROR(AVERAGEIFS('רווחה - קליטה'!$AK$5:$AK$204,'רווחה - קליטה'!$A$5:$A$204,$A106,'רווחה - קליטה'!$C$5:$C$204,"תחילת שנה"),""))</f>
        <v/>
      </c>
      <c r="D106" s="27" t="str">
        <f aca="false">IF($A106="","",IFERROR(INDEX('רווחה - קליטה'!$AS$5:$AS$204,MATCH($A106&amp;"|תחילת שנה",'רווחה - קליטה'!$AE$5:$AE$204,0)),""))</f>
        <v/>
      </c>
      <c r="E106" s="36" t="str">
        <f aca="false">IF($A106="","",IFERROR(AVERAGEIFS('רווחה - קליטה'!$AQ$5:$AQ$204,'רווחה - קליטה'!$A$5:$A$204,$A106,'רווחה - קליטה'!$C$5:$C$204,"אמצע שנה"),""))</f>
        <v/>
      </c>
      <c r="F106" s="28" t="str">
        <f aca="false">IF($A106="","",IFERROR(AVERAGEIFS('רווחה - קליטה'!$AK$5:$AK$204,'רווחה - קליטה'!$A$5:$A$204,$A106,'רווחה - קליטה'!$C$5:$C$204,"אמצע שנה"),""))</f>
        <v/>
      </c>
      <c r="G106" s="27" t="str">
        <f aca="false">IF($A106="","",IFERROR(INDEX('רווחה - קליטה'!$AS$5:$AS$204,MATCH($A106&amp;"|אמצע שנה",'רווחה - קליטה'!$AE$5:$AE$204,0)),""))</f>
        <v/>
      </c>
      <c r="H106" s="36" t="str">
        <f aca="false">IF($A106="","",IFERROR(AVERAGEIFS('רווחה - קליטה'!$AQ$5:$AQ$204,'רווחה - קליטה'!$A$5:$A$204,$A106,'רווחה - קליטה'!$C$5:$C$204,"סוף שנה"),""))</f>
        <v/>
      </c>
      <c r="I106" s="28" t="str">
        <f aca="false">IF($A106="","",IFERROR(AVERAGEIFS('רווחה - קליטה'!$AK$5:$AK$204,'רווחה - קליטה'!$A$5:$A$204,$A106,'רווחה - קליטה'!$C$5:$C$204,"סוף שנה"),""))</f>
        <v/>
      </c>
      <c r="J106" s="27" t="str">
        <f aca="false">IF($A106="","",IFERROR(INDEX('רווחה - קליטה'!$AS$5:$AS$204,MATCH($A106&amp;"|סוף שנה",'רווחה - קליטה'!$AE$5:$AE$204,0)),""))</f>
        <v/>
      </c>
      <c r="K106" s="37" t="str">
        <f aca="false">IF(AND(ISNUMBER(B106),ISNUMBER(H106)),H106-B106,"")</f>
        <v/>
      </c>
      <c r="L106" s="27" t="str">
        <f aca="false">IF(K106="","",IF(K106&gt;=0.5,"עלייה",IF(K106&lt;=-0.5,"ירידה","יציב")))</f>
        <v/>
      </c>
    </row>
    <row r="107" customFormat="false" ht="15" hidden="false" customHeight="false" outlineLevel="0" collapsed="false">
      <c r="A107" s="29"/>
      <c r="B107" s="36" t="str">
        <f aca="false">IF($A107="","",IFERROR(AVERAGEIFS('רווחה - קליטה'!$AQ$5:$AQ$204,'רווחה - קליטה'!$A$5:$A$204,$A107,'רווחה - קליטה'!$C$5:$C$204,"תחילת שנה"),""))</f>
        <v/>
      </c>
      <c r="C107" s="28" t="str">
        <f aca="false">IF($A107="","",IFERROR(AVERAGEIFS('רווחה - קליטה'!$AK$5:$AK$204,'רווחה - קליטה'!$A$5:$A$204,$A107,'רווחה - קליטה'!$C$5:$C$204,"תחילת שנה"),""))</f>
        <v/>
      </c>
      <c r="D107" s="27" t="str">
        <f aca="false">IF($A107="","",IFERROR(INDEX('רווחה - קליטה'!$AS$5:$AS$204,MATCH($A107&amp;"|תחילת שנה",'רווחה - קליטה'!$AE$5:$AE$204,0)),""))</f>
        <v/>
      </c>
      <c r="E107" s="36" t="str">
        <f aca="false">IF($A107="","",IFERROR(AVERAGEIFS('רווחה - קליטה'!$AQ$5:$AQ$204,'רווחה - קליטה'!$A$5:$A$204,$A107,'רווחה - קליטה'!$C$5:$C$204,"אמצע שנה"),""))</f>
        <v/>
      </c>
      <c r="F107" s="28" t="str">
        <f aca="false">IF($A107="","",IFERROR(AVERAGEIFS('רווחה - קליטה'!$AK$5:$AK$204,'רווחה - קליטה'!$A$5:$A$204,$A107,'רווחה - קליטה'!$C$5:$C$204,"אמצע שנה"),""))</f>
        <v/>
      </c>
      <c r="G107" s="27" t="str">
        <f aca="false">IF($A107="","",IFERROR(INDEX('רווחה - קליטה'!$AS$5:$AS$204,MATCH($A107&amp;"|אמצע שנה",'רווחה - קליטה'!$AE$5:$AE$204,0)),""))</f>
        <v/>
      </c>
      <c r="H107" s="36" t="str">
        <f aca="false">IF($A107="","",IFERROR(AVERAGEIFS('רווחה - קליטה'!$AQ$5:$AQ$204,'רווחה - קליטה'!$A$5:$A$204,$A107,'רווחה - קליטה'!$C$5:$C$204,"סוף שנה"),""))</f>
        <v/>
      </c>
      <c r="I107" s="28" t="str">
        <f aca="false">IF($A107="","",IFERROR(AVERAGEIFS('רווחה - קליטה'!$AK$5:$AK$204,'רווחה - קליטה'!$A$5:$A$204,$A107,'רווחה - קליטה'!$C$5:$C$204,"סוף שנה"),""))</f>
        <v/>
      </c>
      <c r="J107" s="27" t="str">
        <f aca="false">IF($A107="","",IFERROR(INDEX('רווחה - קליטה'!$AS$5:$AS$204,MATCH($A107&amp;"|סוף שנה",'רווחה - קליטה'!$AE$5:$AE$204,0)),""))</f>
        <v/>
      </c>
      <c r="K107" s="37" t="str">
        <f aca="false">IF(AND(ISNUMBER(B107),ISNUMBER(H107)),H107-B107,"")</f>
        <v/>
      </c>
      <c r="L107" s="27" t="str">
        <f aca="false">IF(K107="","",IF(K107&gt;=0.5,"עלייה",IF(K107&lt;=-0.5,"ירידה","יציב")))</f>
        <v/>
      </c>
    </row>
    <row r="108" customFormat="false" ht="15" hidden="false" customHeight="false" outlineLevel="0" collapsed="false">
      <c r="A108" s="29"/>
      <c r="B108" s="36" t="str">
        <f aca="false">IF($A108="","",IFERROR(AVERAGEIFS('רווחה - קליטה'!$AQ$5:$AQ$204,'רווחה - קליטה'!$A$5:$A$204,$A108,'רווחה - קליטה'!$C$5:$C$204,"תחילת שנה"),""))</f>
        <v/>
      </c>
      <c r="C108" s="28" t="str">
        <f aca="false">IF($A108="","",IFERROR(AVERAGEIFS('רווחה - קליטה'!$AK$5:$AK$204,'רווחה - קליטה'!$A$5:$A$204,$A108,'רווחה - קליטה'!$C$5:$C$204,"תחילת שנה"),""))</f>
        <v/>
      </c>
      <c r="D108" s="27" t="str">
        <f aca="false">IF($A108="","",IFERROR(INDEX('רווחה - קליטה'!$AS$5:$AS$204,MATCH($A108&amp;"|תחילת שנה",'רווחה - קליטה'!$AE$5:$AE$204,0)),""))</f>
        <v/>
      </c>
      <c r="E108" s="36" t="str">
        <f aca="false">IF($A108="","",IFERROR(AVERAGEIFS('רווחה - קליטה'!$AQ$5:$AQ$204,'רווחה - קליטה'!$A$5:$A$204,$A108,'רווחה - קליטה'!$C$5:$C$204,"אמצע שנה"),""))</f>
        <v/>
      </c>
      <c r="F108" s="28" t="str">
        <f aca="false">IF($A108="","",IFERROR(AVERAGEIFS('רווחה - קליטה'!$AK$5:$AK$204,'רווחה - קליטה'!$A$5:$A$204,$A108,'רווחה - קליטה'!$C$5:$C$204,"אמצע שנה"),""))</f>
        <v/>
      </c>
      <c r="G108" s="27" t="str">
        <f aca="false">IF($A108="","",IFERROR(INDEX('רווחה - קליטה'!$AS$5:$AS$204,MATCH($A108&amp;"|אמצע שנה",'רווחה - קליטה'!$AE$5:$AE$204,0)),""))</f>
        <v/>
      </c>
      <c r="H108" s="36" t="str">
        <f aca="false">IF($A108="","",IFERROR(AVERAGEIFS('רווחה - קליטה'!$AQ$5:$AQ$204,'רווחה - קליטה'!$A$5:$A$204,$A108,'רווחה - קליטה'!$C$5:$C$204,"סוף שנה"),""))</f>
        <v/>
      </c>
      <c r="I108" s="28" t="str">
        <f aca="false">IF($A108="","",IFERROR(AVERAGEIFS('רווחה - קליטה'!$AK$5:$AK$204,'רווחה - קליטה'!$A$5:$A$204,$A108,'רווחה - קליטה'!$C$5:$C$204,"סוף שנה"),""))</f>
        <v/>
      </c>
      <c r="J108" s="27" t="str">
        <f aca="false">IF($A108="","",IFERROR(INDEX('רווחה - קליטה'!$AS$5:$AS$204,MATCH($A108&amp;"|סוף שנה",'רווחה - קליטה'!$AE$5:$AE$204,0)),""))</f>
        <v/>
      </c>
      <c r="K108" s="37" t="str">
        <f aca="false">IF(AND(ISNUMBER(B108),ISNUMBER(H108)),H108-B108,"")</f>
        <v/>
      </c>
      <c r="L108" s="27" t="str">
        <f aca="false">IF(K108="","",IF(K108&gt;=0.5,"עלייה",IF(K108&lt;=-0.5,"ירידה","יציב")))</f>
        <v/>
      </c>
    </row>
    <row r="109" customFormat="false" ht="15" hidden="false" customHeight="false" outlineLevel="0" collapsed="false">
      <c r="A109" s="29"/>
      <c r="B109" s="36" t="str">
        <f aca="false">IF($A109="","",IFERROR(AVERAGEIFS('רווחה - קליטה'!$AQ$5:$AQ$204,'רווחה - קליטה'!$A$5:$A$204,$A109,'רווחה - קליטה'!$C$5:$C$204,"תחילת שנה"),""))</f>
        <v/>
      </c>
      <c r="C109" s="28" t="str">
        <f aca="false">IF($A109="","",IFERROR(AVERAGEIFS('רווחה - קליטה'!$AK$5:$AK$204,'רווחה - קליטה'!$A$5:$A$204,$A109,'רווחה - קליטה'!$C$5:$C$204,"תחילת שנה"),""))</f>
        <v/>
      </c>
      <c r="D109" s="27" t="str">
        <f aca="false">IF($A109="","",IFERROR(INDEX('רווחה - קליטה'!$AS$5:$AS$204,MATCH($A109&amp;"|תחילת שנה",'רווחה - קליטה'!$AE$5:$AE$204,0)),""))</f>
        <v/>
      </c>
      <c r="E109" s="36" t="str">
        <f aca="false">IF($A109="","",IFERROR(AVERAGEIFS('רווחה - קליטה'!$AQ$5:$AQ$204,'רווחה - קליטה'!$A$5:$A$204,$A109,'רווחה - קליטה'!$C$5:$C$204,"אמצע שנה"),""))</f>
        <v/>
      </c>
      <c r="F109" s="28" t="str">
        <f aca="false">IF($A109="","",IFERROR(AVERAGEIFS('רווחה - קליטה'!$AK$5:$AK$204,'רווחה - קליטה'!$A$5:$A$204,$A109,'רווחה - קליטה'!$C$5:$C$204,"אמצע שנה"),""))</f>
        <v/>
      </c>
      <c r="G109" s="27" t="str">
        <f aca="false">IF($A109="","",IFERROR(INDEX('רווחה - קליטה'!$AS$5:$AS$204,MATCH($A109&amp;"|אמצע שנה",'רווחה - קליטה'!$AE$5:$AE$204,0)),""))</f>
        <v/>
      </c>
      <c r="H109" s="36" t="str">
        <f aca="false">IF($A109="","",IFERROR(AVERAGEIFS('רווחה - קליטה'!$AQ$5:$AQ$204,'רווחה - קליטה'!$A$5:$A$204,$A109,'רווחה - קליטה'!$C$5:$C$204,"סוף שנה"),""))</f>
        <v/>
      </c>
      <c r="I109" s="28" t="str">
        <f aca="false">IF($A109="","",IFERROR(AVERAGEIFS('רווחה - קליטה'!$AK$5:$AK$204,'רווחה - קליטה'!$A$5:$A$204,$A109,'רווחה - קליטה'!$C$5:$C$204,"סוף שנה"),""))</f>
        <v/>
      </c>
      <c r="J109" s="27" t="str">
        <f aca="false">IF($A109="","",IFERROR(INDEX('רווחה - קליטה'!$AS$5:$AS$204,MATCH($A109&amp;"|סוף שנה",'רווחה - קליטה'!$AE$5:$AE$204,0)),""))</f>
        <v/>
      </c>
      <c r="K109" s="37" t="str">
        <f aca="false">IF(AND(ISNUMBER(B109),ISNUMBER(H109)),H109-B109,"")</f>
        <v/>
      </c>
      <c r="L109" s="27" t="str">
        <f aca="false">IF(K109="","",IF(K109&gt;=0.5,"עלייה",IF(K109&lt;=-0.5,"ירידה","יציב")))</f>
        <v/>
      </c>
    </row>
    <row r="110" customFormat="false" ht="15" hidden="false" customHeight="false" outlineLevel="0" collapsed="false">
      <c r="A110" s="29"/>
      <c r="B110" s="36" t="str">
        <f aca="false">IF($A110="","",IFERROR(AVERAGEIFS('רווחה - קליטה'!$AQ$5:$AQ$204,'רווחה - קליטה'!$A$5:$A$204,$A110,'רווחה - קליטה'!$C$5:$C$204,"תחילת שנה"),""))</f>
        <v/>
      </c>
      <c r="C110" s="28" t="str">
        <f aca="false">IF($A110="","",IFERROR(AVERAGEIFS('רווחה - קליטה'!$AK$5:$AK$204,'רווחה - קליטה'!$A$5:$A$204,$A110,'רווחה - קליטה'!$C$5:$C$204,"תחילת שנה"),""))</f>
        <v/>
      </c>
      <c r="D110" s="27" t="str">
        <f aca="false">IF($A110="","",IFERROR(INDEX('רווחה - קליטה'!$AS$5:$AS$204,MATCH($A110&amp;"|תחילת שנה",'רווחה - קליטה'!$AE$5:$AE$204,0)),""))</f>
        <v/>
      </c>
      <c r="E110" s="36" t="str">
        <f aca="false">IF($A110="","",IFERROR(AVERAGEIFS('רווחה - קליטה'!$AQ$5:$AQ$204,'רווחה - קליטה'!$A$5:$A$204,$A110,'רווחה - קליטה'!$C$5:$C$204,"אמצע שנה"),""))</f>
        <v/>
      </c>
      <c r="F110" s="28" t="str">
        <f aca="false">IF($A110="","",IFERROR(AVERAGEIFS('רווחה - קליטה'!$AK$5:$AK$204,'רווחה - קליטה'!$A$5:$A$204,$A110,'רווחה - קליטה'!$C$5:$C$204,"אמצע שנה"),""))</f>
        <v/>
      </c>
      <c r="G110" s="27" t="str">
        <f aca="false">IF($A110="","",IFERROR(INDEX('רווחה - קליטה'!$AS$5:$AS$204,MATCH($A110&amp;"|אמצע שנה",'רווחה - קליטה'!$AE$5:$AE$204,0)),""))</f>
        <v/>
      </c>
      <c r="H110" s="36" t="str">
        <f aca="false">IF($A110="","",IFERROR(AVERAGEIFS('רווחה - קליטה'!$AQ$5:$AQ$204,'רווחה - קליטה'!$A$5:$A$204,$A110,'רווחה - קליטה'!$C$5:$C$204,"סוף שנה"),""))</f>
        <v/>
      </c>
      <c r="I110" s="28" t="str">
        <f aca="false">IF($A110="","",IFERROR(AVERAGEIFS('רווחה - קליטה'!$AK$5:$AK$204,'רווחה - קליטה'!$A$5:$A$204,$A110,'רווחה - קליטה'!$C$5:$C$204,"סוף שנה"),""))</f>
        <v/>
      </c>
      <c r="J110" s="27" t="str">
        <f aca="false">IF($A110="","",IFERROR(INDEX('רווחה - קליטה'!$AS$5:$AS$204,MATCH($A110&amp;"|סוף שנה",'רווחה - קליטה'!$AE$5:$AE$204,0)),""))</f>
        <v/>
      </c>
      <c r="K110" s="37" t="str">
        <f aca="false">IF(AND(ISNUMBER(B110),ISNUMBER(H110)),H110-B110,"")</f>
        <v/>
      </c>
      <c r="L110" s="27" t="str">
        <f aca="false">IF(K110="","",IF(K110&gt;=0.5,"עלייה",IF(K110&lt;=-0.5,"ירידה","יציב")))</f>
        <v/>
      </c>
    </row>
    <row r="111" customFormat="false" ht="15" hidden="false" customHeight="false" outlineLevel="0" collapsed="false">
      <c r="A111" s="29"/>
      <c r="B111" s="36" t="str">
        <f aca="false">IF($A111="","",IFERROR(AVERAGEIFS('רווחה - קליטה'!$AQ$5:$AQ$204,'רווחה - קליטה'!$A$5:$A$204,$A111,'רווחה - קליטה'!$C$5:$C$204,"תחילת שנה"),""))</f>
        <v/>
      </c>
      <c r="C111" s="28" t="str">
        <f aca="false">IF($A111="","",IFERROR(AVERAGEIFS('רווחה - קליטה'!$AK$5:$AK$204,'רווחה - קליטה'!$A$5:$A$204,$A111,'רווחה - קליטה'!$C$5:$C$204,"תחילת שנה"),""))</f>
        <v/>
      </c>
      <c r="D111" s="27" t="str">
        <f aca="false">IF($A111="","",IFERROR(INDEX('רווחה - קליטה'!$AS$5:$AS$204,MATCH($A111&amp;"|תחילת שנה",'רווחה - קליטה'!$AE$5:$AE$204,0)),""))</f>
        <v/>
      </c>
      <c r="E111" s="36" t="str">
        <f aca="false">IF($A111="","",IFERROR(AVERAGEIFS('רווחה - קליטה'!$AQ$5:$AQ$204,'רווחה - קליטה'!$A$5:$A$204,$A111,'רווחה - קליטה'!$C$5:$C$204,"אמצע שנה"),""))</f>
        <v/>
      </c>
      <c r="F111" s="28" t="str">
        <f aca="false">IF($A111="","",IFERROR(AVERAGEIFS('רווחה - קליטה'!$AK$5:$AK$204,'רווחה - קליטה'!$A$5:$A$204,$A111,'רווחה - קליטה'!$C$5:$C$204,"אמצע שנה"),""))</f>
        <v/>
      </c>
      <c r="G111" s="27" t="str">
        <f aca="false">IF($A111="","",IFERROR(INDEX('רווחה - קליטה'!$AS$5:$AS$204,MATCH($A111&amp;"|אמצע שנה",'רווחה - קליטה'!$AE$5:$AE$204,0)),""))</f>
        <v/>
      </c>
      <c r="H111" s="36" t="str">
        <f aca="false">IF($A111="","",IFERROR(AVERAGEIFS('רווחה - קליטה'!$AQ$5:$AQ$204,'רווחה - קליטה'!$A$5:$A$204,$A111,'רווחה - קליטה'!$C$5:$C$204,"סוף שנה"),""))</f>
        <v/>
      </c>
      <c r="I111" s="28" t="str">
        <f aca="false">IF($A111="","",IFERROR(AVERAGEIFS('רווחה - קליטה'!$AK$5:$AK$204,'רווחה - קליטה'!$A$5:$A$204,$A111,'רווחה - קליטה'!$C$5:$C$204,"סוף שנה"),""))</f>
        <v/>
      </c>
      <c r="J111" s="27" t="str">
        <f aca="false">IF($A111="","",IFERROR(INDEX('רווחה - קליטה'!$AS$5:$AS$204,MATCH($A111&amp;"|סוף שנה",'רווחה - קליטה'!$AE$5:$AE$204,0)),""))</f>
        <v/>
      </c>
      <c r="K111" s="37" t="str">
        <f aca="false">IF(AND(ISNUMBER(B111),ISNUMBER(H111)),H111-B111,"")</f>
        <v/>
      </c>
      <c r="L111" s="27" t="str">
        <f aca="false">IF(K111="","",IF(K111&gt;=0.5,"עלייה",IF(K111&lt;=-0.5,"ירידה","יציב")))</f>
        <v/>
      </c>
    </row>
    <row r="112" customFormat="false" ht="15" hidden="false" customHeight="false" outlineLevel="0" collapsed="false">
      <c r="A112" s="29"/>
      <c r="B112" s="36" t="str">
        <f aca="false">IF($A112="","",IFERROR(AVERAGEIFS('רווחה - קליטה'!$AQ$5:$AQ$204,'רווחה - קליטה'!$A$5:$A$204,$A112,'רווחה - קליטה'!$C$5:$C$204,"תחילת שנה"),""))</f>
        <v/>
      </c>
      <c r="C112" s="28" t="str">
        <f aca="false">IF($A112="","",IFERROR(AVERAGEIFS('רווחה - קליטה'!$AK$5:$AK$204,'רווחה - קליטה'!$A$5:$A$204,$A112,'רווחה - קליטה'!$C$5:$C$204,"תחילת שנה"),""))</f>
        <v/>
      </c>
      <c r="D112" s="27" t="str">
        <f aca="false">IF($A112="","",IFERROR(INDEX('רווחה - קליטה'!$AS$5:$AS$204,MATCH($A112&amp;"|תחילת שנה",'רווחה - קליטה'!$AE$5:$AE$204,0)),""))</f>
        <v/>
      </c>
      <c r="E112" s="36" t="str">
        <f aca="false">IF($A112="","",IFERROR(AVERAGEIFS('רווחה - קליטה'!$AQ$5:$AQ$204,'רווחה - קליטה'!$A$5:$A$204,$A112,'רווחה - קליטה'!$C$5:$C$204,"אמצע שנה"),""))</f>
        <v/>
      </c>
      <c r="F112" s="28" t="str">
        <f aca="false">IF($A112="","",IFERROR(AVERAGEIFS('רווחה - קליטה'!$AK$5:$AK$204,'רווחה - קליטה'!$A$5:$A$204,$A112,'רווחה - קליטה'!$C$5:$C$204,"אמצע שנה"),""))</f>
        <v/>
      </c>
      <c r="G112" s="27" t="str">
        <f aca="false">IF($A112="","",IFERROR(INDEX('רווחה - קליטה'!$AS$5:$AS$204,MATCH($A112&amp;"|אמצע שנה",'רווחה - קליטה'!$AE$5:$AE$204,0)),""))</f>
        <v/>
      </c>
      <c r="H112" s="36" t="str">
        <f aca="false">IF($A112="","",IFERROR(AVERAGEIFS('רווחה - קליטה'!$AQ$5:$AQ$204,'רווחה - קליטה'!$A$5:$A$204,$A112,'רווחה - קליטה'!$C$5:$C$204,"סוף שנה"),""))</f>
        <v/>
      </c>
      <c r="I112" s="28" t="str">
        <f aca="false">IF($A112="","",IFERROR(AVERAGEIFS('רווחה - קליטה'!$AK$5:$AK$204,'רווחה - קליטה'!$A$5:$A$204,$A112,'רווחה - קליטה'!$C$5:$C$204,"סוף שנה"),""))</f>
        <v/>
      </c>
      <c r="J112" s="27" t="str">
        <f aca="false">IF($A112="","",IFERROR(INDEX('רווחה - קליטה'!$AS$5:$AS$204,MATCH($A112&amp;"|סוף שנה",'רווחה - קליטה'!$AE$5:$AE$204,0)),""))</f>
        <v/>
      </c>
      <c r="K112" s="37" t="str">
        <f aca="false">IF(AND(ISNUMBER(B112),ISNUMBER(H112)),H112-B112,"")</f>
        <v/>
      </c>
      <c r="L112" s="27" t="str">
        <f aca="false">IF(K112="","",IF(K112&gt;=0.5,"עלייה",IF(K112&lt;=-0.5,"ירידה","יציב")))</f>
        <v/>
      </c>
    </row>
    <row r="113" customFormat="false" ht="15" hidden="false" customHeight="false" outlineLevel="0" collapsed="false">
      <c r="A113" s="29"/>
      <c r="B113" s="36" t="str">
        <f aca="false">IF($A113="","",IFERROR(AVERAGEIFS('רווחה - קליטה'!$AQ$5:$AQ$204,'רווחה - קליטה'!$A$5:$A$204,$A113,'רווחה - קליטה'!$C$5:$C$204,"תחילת שנה"),""))</f>
        <v/>
      </c>
      <c r="C113" s="28" t="str">
        <f aca="false">IF($A113="","",IFERROR(AVERAGEIFS('רווחה - קליטה'!$AK$5:$AK$204,'רווחה - קליטה'!$A$5:$A$204,$A113,'רווחה - קליטה'!$C$5:$C$204,"תחילת שנה"),""))</f>
        <v/>
      </c>
      <c r="D113" s="27" t="str">
        <f aca="false">IF($A113="","",IFERROR(INDEX('רווחה - קליטה'!$AS$5:$AS$204,MATCH($A113&amp;"|תחילת שנה",'רווחה - קליטה'!$AE$5:$AE$204,0)),""))</f>
        <v/>
      </c>
      <c r="E113" s="36" t="str">
        <f aca="false">IF($A113="","",IFERROR(AVERAGEIFS('רווחה - קליטה'!$AQ$5:$AQ$204,'רווחה - קליטה'!$A$5:$A$204,$A113,'רווחה - קליטה'!$C$5:$C$204,"אמצע שנה"),""))</f>
        <v/>
      </c>
      <c r="F113" s="28" t="str">
        <f aca="false">IF($A113="","",IFERROR(AVERAGEIFS('רווחה - קליטה'!$AK$5:$AK$204,'רווחה - קליטה'!$A$5:$A$204,$A113,'רווחה - קליטה'!$C$5:$C$204,"אמצע שנה"),""))</f>
        <v/>
      </c>
      <c r="G113" s="27" t="str">
        <f aca="false">IF($A113="","",IFERROR(INDEX('רווחה - קליטה'!$AS$5:$AS$204,MATCH($A113&amp;"|אמצע שנה",'רווחה - קליטה'!$AE$5:$AE$204,0)),""))</f>
        <v/>
      </c>
      <c r="H113" s="36" t="str">
        <f aca="false">IF($A113="","",IFERROR(AVERAGEIFS('רווחה - קליטה'!$AQ$5:$AQ$204,'רווחה - קליטה'!$A$5:$A$204,$A113,'רווחה - קליטה'!$C$5:$C$204,"סוף שנה"),""))</f>
        <v/>
      </c>
      <c r="I113" s="28" t="str">
        <f aca="false">IF($A113="","",IFERROR(AVERAGEIFS('רווחה - קליטה'!$AK$5:$AK$204,'רווחה - קליטה'!$A$5:$A$204,$A113,'רווחה - קליטה'!$C$5:$C$204,"סוף שנה"),""))</f>
        <v/>
      </c>
      <c r="J113" s="27" t="str">
        <f aca="false">IF($A113="","",IFERROR(INDEX('רווחה - קליטה'!$AS$5:$AS$204,MATCH($A113&amp;"|סוף שנה",'רווחה - קליטה'!$AE$5:$AE$204,0)),""))</f>
        <v/>
      </c>
      <c r="K113" s="37" t="str">
        <f aca="false">IF(AND(ISNUMBER(B113),ISNUMBER(H113)),H113-B113,"")</f>
        <v/>
      </c>
      <c r="L113" s="27" t="str">
        <f aca="false">IF(K113="","",IF(K113&gt;=0.5,"עלייה",IF(K113&lt;=-0.5,"ירידה","יציב")))</f>
        <v/>
      </c>
    </row>
    <row r="114" customFormat="false" ht="15" hidden="false" customHeight="false" outlineLevel="0" collapsed="false">
      <c r="A114" s="29"/>
      <c r="B114" s="36" t="str">
        <f aca="false">IF($A114="","",IFERROR(AVERAGEIFS('רווחה - קליטה'!$AQ$5:$AQ$204,'רווחה - קליטה'!$A$5:$A$204,$A114,'רווחה - קליטה'!$C$5:$C$204,"תחילת שנה"),""))</f>
        <v/>
      </c>
      <c r="C114" s="28" t="str">
        <f aca="false">IF($A114="","",IFERROR(AVERAGEIFS('רווחה - קליטה'!$AK$5:$AK$204,'רווחה - קליטה'!$A$5:$A$204,$A114,'רווחה - קליטה'!$C$5:$C$204,"תחילת שנה"),""))</f>
        <v/>
      </c>
      <c r="D114" s="27" t="str">
        <f aca="false">IF($A114="","",IFERROR(INDEX('רווחה - קליטה'!$AS$5:$AS$204,MATCH($A114&amp;"|תחילת שנה",'רווחה - קליטה'!$AE$5:$AE$204,0)),""))</f>
        <v/>
      </c>
      <c r="E114" s="36" t="str">
        <f aca="false">IF($A114="","",IFERROR(AVERAGEIFS('רווחה - קליטה'!$AQ$5:$AQ$204,'רווחה - קליטה'!$A$5:$A$204,$A114,'רווחה - קליטה'!$C$5:$C$204,"אמצע שנה"),""))</f>
        <v/>
      </c>
      <c r="F114" s="28" t="str">
        <f aca="false">IF($A114="","",IFERROR(AVERAGEIFS('רווחה - קליטה'!$AK$5:$AK$204,'רווחה - קליטה'!$A$5:$A$204,$A114,'רווחה - קליטה'!$C$5:$C$204,"אמצע שנה"),""))</f>
        <v/>
      </c>
      <c r="G114" s="27" t="str">
        <f aca="false">IF($A114="","",IFERROR(INDEX('רווחה - קליטה'!$AS$5:$AS$204,MATCH($A114&amp;"|אמצע שנה",'רווחה - קליטה'!$AE$5:$AE$204,0)),""))</f>
        <v/>
      </c>
      <c r="H114" s="36" t="str">
        <f aca="false">IF($A114="","",IFERROR(AVERAGEIFS('רווחה - קליטה'!$AQ$5:$AQ$204,'רווחה - קליטה'!$A$5:$A$204,$A114,'רווחה - קליטה'!$C$5:$C$204,"סוף שנה"),""))</f>
        <v/>
      </c>
      <c r="I114" s="28" t="str">
        <f aca="false">IF($A114="","",IFERROR(AVERAGEIFS('רווחה - קליטה'!$AK$5:$AK$204,'רווחה - קליטה'!$A$5:$A$204,$A114,'רווחה - קליטה'!$C$5:$C$204,"סוף שנה"),""))</f>
        <v/>
      </c>
      <c r="J114" s="27" t="str">
        <f aca="false">IF($A114="","",IFERROR(INDEX('רווחה - קליטה'!$AS$5:$AS$204,MATCH($A114&amp;"|סוף שנה",'רווחה - קליטה'!$AE$5:$AE$204,0)),""))</f>
        <v/>
      </c>
      <c r="K114" s="37" t="str">
        <f aca="false">IF(AND(ISNUMBER(B114),ISNUMBER(H114)),H114-B114,"")</f>
        <v/>
      </c>
      <c r="L114" s="27" t="str">
        <f aca="false">IF(K114="","",IF(K114&gt;=0.5,"עלייה",IF(K114&lt;=-0.5,"ירידה","יציב")))</f>
        <v/>
      </c>
    </row>
    <row r="115" customFormat="false" ht="15" hidden="false" customHeight="false" outlineLevel="0" collapsed="false">
      <c r="A115" s="29"/>
      <c r="B115" s="36" t="str">
        <f aca="false">IF($A115="","",IFERROR(AVERAGEIFS('רווחה - קליטה'!$AQ$5:$AQ$204,'רווחה - קליטה'!$A$5:$A$204,$A115,'רווחה - קליטה'!$C$5:$C$204,"תחילת שנה"),""))</f>
        <v/>
      </c>
      <c r="C115" s="28" t="str">
        <f aca="false">IF($A115="","",IFERROR(AVERAGEIFS('רווחה - קליטה'!$AK$5:$AK$204,'רווחה - קליטה'!$A$5:$A$204,$A115,'רווחה - קליטה'!$C$5:$C$204,"תחילת שנה"),""))</f>
        <v/>
      </c>
      <c r="D115" s="27" t="str">
        <f aca="false">IF($A115="","",IFERROR(INDEX('רווחה - קליטה'!$AS$5:$AS$204,MATCH($A115&amp;"|תחילת שנה",'רווחה - קליטה'!$AE$5:$AE$204,0)),""))</f>
        <v/>
      </c>
      <c r="E115" s="36" t="str">
        <f aca="false">IF($A115="","",IFERROR(AVERAGEIFS('רווחה - קליטה'!$AQ$5:$AQ$204,'רווחה - קליטה'!$A$5:$A$204,$A115,'רווחה - קליטה'!$C$5:$C$204,"אמצע שנה"),""))</f>
        <v/>
      </c>
      <c r="F115" s="28" t="str">
        <f aca="false">IF($A115="","",IFERROR(AVERAGEIFS('רווחה - קליטה'!$AK$5:$AK$204,'רווחה - קליטה'!$A$5:$A$204,$A115,'רווחה - קליטה'!$C$5:$C$204,"אמצע שנה"),""))</f>
        <v/>
      </c>
      <c r="G115" s="27" t="str">
        <f aca="false">IF($A115="","",IFERROR(INDEX('רווחה - קליטה'!$AS$5:$AS$204,MATCH($A115&amp;"|אמצע שנה",'רווחה - קליטה'!$AE$5:$AE$204,0)),""))</f>
        <v/>
      </c>
      <c r="H115" s="36" t="str">
        <f aca="false">IF($A115="","",IFERROR(AVERAGEIFS('רווחה - קליטה'!$AQ$5:$AQ$204,'רווחה - קליטה'!$A$5:$A$204,$A115,'רווחה - קליטה'!$C$5:$C$204,"סוף שנה"),""))</f>
        <v/>
      </c>
      <c r="I115" s="28" t="str">
        <f aca="false">IF($A115="","",IFERROR(AVERAGEIFS('רווחה - קליטה'!$AK$5:$AK$204,'רווחה - קליטה'!$A$5:$A$204,$A115,'רווחה - קליטה'!$C$5:$C$204,"סוף שנה"),""))</f>
        <v/>
      </c>
      <c r="J115" s="27" t="str">
        <f aca="false">IF($A115="","",IFERROR(INDEX('רווחה - קליטה'!$AS$5:$AS$204,MATCH($A115&amp;"|סוף שנה",'רווחה - קליטה'!$AE$5:$AE$204,0)),""))</f>
        <v/>
      </c>
      <c r="K115" s="37" t="str">
        <f aca="false">IF(AND(ISNUMBER(B115),ISNUMBER(H115)),H115-B115,"")</f>
        <v/>
      </c>
      <c r="L115" s="27" t="str">
        <f aca="false">IF(K115="","",IF(K115&gt;=0.5,"עלייה",IF(K115&lt;=-0.5,"ירידה","יציב")))</f>
        <v/>
      </c>
    </row>
    <row r="116" customFormat="false" ht="15" hidden="false" customHeight="false" outlineLevel="0" collapsed="false">
      <c r="A116" s="29"/>
      <c r="B116" s="36" t="str">
        <f aca="false">IF($A116="","",IFERROR(AVERAGEIFS('רווחה - קליטה'!$AQ$5:$AQ$204,'רווחה - קליטה'!$A$5:$A$204,$A116,'רווחה - קליטה'!$C$5:$C$204,"תחילת שנה"),""))</f>
        <v/>
      </c>
      <c r="C116" s="28" t="str">
        <f aca="false">IF($A116="","",IFERROR(AVERAGEIFS('רווחה - קליטה'!$AK$5:$AK$204,'רווחה - קליטה'!$A$5:$A$204,$A116,'רווחה - קליטה'!$C$5:$C$204,"תחילת שנה"),""))</f>
        <v/>
      </c>
      <c r="D116" s="27" t="str">
        <f aca="false">IF($A116="","",IFERROR(INDEX('רווחה - קליטה'!$AS$5:$AS$204,MATCH($A116&amp;"|תחילת שנה",'רווחה - קליטה'!$AE$5:$AE$204,0)),""))</f>
        <v/>
      </c>
      <c r="E116" s="36" t="str">
        <f aca="false">IF($A116="","",IFERROR(AVERAGEIFS('רווחה - קליטה'!$AQ$5:$AQ$204,'רווחה - קליטה'!$A$5:$A$204,$A116,'רווחה - קליטה'!$C$5:$C$204,"אמצע שנה"),""))</f>
        <v/>
      </c>
      <c r="F116" s="28" t="str">
        <f aca="false">IF($A116="","",IFERROR(AVERAGEIFS('רווחה - קליטה'!$AK$5:$AK$204,'רווחה - קליטה'!$A$5:$A$204,$A116,'רווחה - קליטה'!$C$5:$C$204,"אמצע שנה"),""))</f>
        <v/>
      </c>
      <c r="G116" s="27" t="str">
        <f aca="false">IF($A116="","",IFERROR(INDEX('רווחה - קליטה'!$AS$5:$AS$204,MATCH($A116&amp;"|אמצע שנה",'רווחה - קליטה'!$AE$5:$AE$204,0)),""))</f>
        <v/>
      </c>
      <c r="H116" s="36" t="str">
        <f aca="false">IF($A116="","",IFERROR(AVERAGEIFS('רווחה - קליטה'!$AQ$5:$AQ$204,'רווחה - קליטה'!$A$5:$A$204,$A116,'רווחה - קליטה'!$C$5:$C$204,"סוף שנה"),""))</f>
        <v/>
      </c>
      <c r="I116" s="28" t="str">
        <f aca="false">IF($A116="","",IFERROR(AVERAGEIFS('רווחה - קליטה'!$AK$5:$AK$204,'רווחה - קליטה'!$A$5:$A$204,$A116,'רווחה - קליטה'!$C$5:$C$204,"סוף שנה"),""))</f>
        <v/>
      </c>
      <c r="J116" s="27" t="str">
        <f aca="false">IF($A116="","",IFERROR(INDEX('רווחה - קליטה'!$AS$5:$AS$204,MATCH($A116&amp;"|סוף שנה",'רווחה - קליטה'!$AE$5:$AE$204,0)),""))</f>
        <v/>
      </c>
      <c r="K116" s="37" t="str">
        <f aca="false">IF(AND(ISNUMBER(B116),ISNUMBER(H116)),H116-B116,"")</f>
        <v/>
      </c>
      <c r="L116" s="27" t="str">
        <f aca="false">IF(K116="","",IF(K116&gt;=0.5,"עלייה",IF(K116&lt;=-0.5,"ירידה","יציב")))</f>
        <v/>
      </c>
    </row>
    <row r="117" customFormat="false" ht="15" hidden="false" customHeight="false" outlineLevel="0" collapsed="false">
      <c r="A117" s="29"/>
      <c r="B117" s="36" t="str">
        <f aca="false">IF($A117="","",IFERROR(AVERAGEIFS('רווחה - קליטה'!$AQ$5:$AQ$204,'רווחה - קליטה'!$A$5:$A$204,$A117,'רווחה - קליטה'!$C$5:$C$204,"תחילת שנה"),""))</f>
        <v/>
      </c>
      <c r="C117" s="28" t="str">
        <f aca="false">IF($A117="","",IFERROR(AVERAGEIFS('רווחה - קליטה'!$AK$5:$AK$204,'רווחה - קליטה'!$A$5:$A$204,$A117,'רווחה - קליטה'!$C$5:$C$204,"תחילת שנה"),""))</f>
        <v/>
      </c>
      <c r="D117" s="27" t="str">
        <f aca="false">IF($A117="","",IFERROR(INDEX('רווחה - קליטה'!$AS$5:$AS$204,MATCH($A117&amp;"|תחילת שנה",'רווחה - קליטה'!$AE$5:$AE$204,0)),""))</f>
        <v/>
      </c>
      <c r="E117" s="36" t="str">
        <f aca="false">IF($A117="","",IFERROR(AVERAGEIFS('רווחה - קליטה'!$AQ$5:$AQ$204,'רווחה - קליטה'!$A$5:$A$204,$A117,'רווחה - קליטה'!$C$5:$C$204,"אמצע שנה"),""))</f>
        <v/>
      </c>
      <c r="F117" s="28" t="str">
        <f aca="false">IF($A117="","",IFERROR(AVERAGEIFS('רווחה - קליטה'!$AK$5:$AK$204,'רווחה - קליטה'!$A$5:$A$204,$A117,'רווחה - קליטה'!$C$5:$C$204,"אמצע שנה"),""))</f>
        <v/>
      </c>
      <c r="G117" s="27" t="str">
        <f aca="false">IF($A117="","",IFERROR(INDEX('רווחה - קליטה'!$AS$5:$AS$204,MATCH($A117&amp;"|אמצע שנה",'רווחה - קליטה'!$AE$5:$AE$204,0)),""))</f>
        <v/>
      </c>
      <c r="H117" s="36" t="str">
        <f aca="false">IF($A117="","",IFERROR(AVERAGEIFS('רווחה - קליטה'!$AQ$5:$AQ$204,'רווחה - קליטה'!$A$5:$A$204,$A117,'רווחה - קליטה'!$C$5:$C$204,"סוף שנה"),""))</f>
        <v/>
      </c>
      <c r="I117" s="28" t="str">
        <f aca="false">IF($A117="","",IFERROR(AVERAGEIFS('רווחה - קליטה'!$AK$5:$AK$204,'רווחה - קליטה'!$A$5:$A$204,$A117,'רווחה - קליטה'!$C$5:$C$204,"סוף שנה"),""))</f>
        <v/>
      </c>
      <c r="J117" s="27" t="str">
        <f aca="false">IF($A117="","",IFERROR(INDEX('רווחה - קליטה'!$AS$5:$AS$204,MATCH($A117&amp;"|סוף שנה",'רווחה - קליטה'!$AE$5:$AE$204,0)),""))</f>
        <v/>
      </c>
      <c r="K117" s="37" t="str">
        <f aca="false">IF(AND(ISNUMBER(B117),ISNUMBER(H117)),H117-B117,"")</f>
        <v/>
      </c>
      <c r="L117" s="27" t="str">
        <f aca="false">IF(K117="","",IF(K117&gt;=0.5,"עלייה",IF(K117&lt;=-0.5,"ירידה","יציב")))</f>
        <v/>
      </c>
    </row>
    <row r="118" customFormat="false" ht="15" hidden="false" customHeight="false" outlineLevel="0" collapsed="false">
      <c r="A118" s="29"/>
      <c r="B118" s="36" t="str">
        <f aca="false">IF($A118="","",IFERROR(AVERAGEIFS('רווחה - קליטה'!$AQ$5:$AQ$204,'רווחה - קליטה'!$A$5:$A$204,$A118,'רווחה - קליטה'!$C$5:$C$204,"תחילת שנה"),""))</f>
        <v/>
      </c>
      <c r="C118" s="28" t="str">
        <f aca="false">IF($A118="","",IFERROR(AVERAGEIFS('רווחה - קליטה'!$AK$5:$AK$204,'רווחה - קליטה'!$A$5:$A$204,$A118,'רווחה - קליטה'!$C$5:$C$204,"תחילת שנה"),""))</f>
        <v/>
      </c>
      <c r="D118" s="27" t="str">
        <f aca="false">IF($A118="","",IFERROR(INDEX('רווחה - קליטה'!$AS$5:$AS$204,MATCH($A118&amp;"|תחילת שנה",'רווחה - קליטה'!$AE$5:$AE$204,0)),""))</f>
        <v/>
      </c>
      <c r="E118" s="36" t="str">
        <f aca="false">IF($A118="","",IFERROR(AVERAGEIFS('רווחה - קליטה'!$AQ$5:$AQ$204,'רווחה - קליטה'!$A$5:$A$204,$A118,'רווחה - קליטה'!$C$5:$C$204,"אמצע שנה"),""))</f>
        <v/>
      </c>
      <c r="F118" s="28" t="str">
        <f aca="false">IF($A118="","",IFERROR(AVERAGEIFS('רווחה - קליטה'!$AK$5:$AK$204,'רווחה - קליטה'!$A$5:$A$204,$A118,'רווחה - קליטה'!$C$5:$C$204,"אמצע שנה"),""))</f>
        <v/>
      </c>
      <c r="G118" s="27" t="str">
        <f aca="false">IF($A118="","",IFERROR(INDEX('רווחה - קליטה'!$AS$5:$AS$204,MATCH($A118&amp;"|אמצע שנה",'רווחה - קליטה'!$AE$5:$AE$204,0)),""))</f>
        <v/>
      </c>
      <c r="H118" s="36" t="str">
        <f aca="false">IF($A118="","",IFERROR(AVERAGEIFS('רווחה - קליטה'!$AQ$5:$AQ$204,'רווחה - קליטה'!$A$5:$A$204,$A118,'רווחה - קליטה'!$C$5:$C$204,"סוף שנה"),""))</f>
        <v/>
      </c>
      <c r="I118" s="28" t="str">
        <f aca="false">IF($A118="","",IFERROR(AVERAGEIFS('רווחה - קליטה'!$AK$5:$AK$204,'רווחה - קליטה'!$A$5:$A$204,$A118,'רווחה - קליטה'!$C$5:$C$204,"סוף שנה"),""))</f>
        <v/>
      </c>
      <c r="J118" s="27" t="str">
        <f aca="false">IF($A118="","",IFERROR(INDEX('רווחה - קליטה'!$AS$5:$AS$204,MATCH($A118&amp;"|סוף שנה",'רווחה - קליטה'!$AE$5:$AE$204,0)),""))</f>
        <v/>
      </c>
      <c r="K118" s="37" t="str">
        <f aca="false">IF(AND(ISNUMBER(B118),ISNUMBER(H118)),H118-B118,"")</f>
        <v/>
      </c>
      <c r="L118" s="27" t="str">
        <f aca="false">IF(K118="","",IF(K118&gt;=0.5,"עלייה",IF(K118&lt;=-0.5,"ירידה","יציב")))</f>
        <v/>
      </c>
    </row>
    <row r="119" customFormat="false" ht="15" hidden="false" customHeight="false" outlineLevel="0" collapsed="false">
      <c r="A119" s="29"/>
      <c r="B119" s="36" t="str">
        <f aca="false">IF($A119="","",IFERROR(AVERAGEIFS('רווחה - קליטה'!$AQ$5:$AQ$204,'רווחה - קליטה'!$A$5:$A$204,$A119,'רווחה - קליטה'!$C$5:$C$204,"תחילת שנה"),""))</f>
        <v/>
      </c>
      <c r="C119" s="28" t="str">
        <f aca="false">IF($A119="","",IFERROR(AVERAGEIFS('רווחה - קליטה'!$AK$5:$AK$204,'רווחה - קליטה'!$A$5:$A$204,$A119,'רווחה - קליטה'!$C$5:$C$204,"תחילת שנה"),""))</f>
        <v/>
      </c>
      <c r="D119" s="27" t="str">
        <f aca="false">IF($A119="","",IFERROR(INDEX('רווחה - קליטה'!$AS$5:$AS$204,MATCH($A119&amp;"|תחילת שנה",'רווחה - קליטה'!$AE$5:$AE$204,0)),""))</f>
        <v/>
      </c>
      <c r="E119" s="36" t="str">
        <f aca="false">IF($A119="","",IFERROR(AVERAGEIFS('רווחה - קליטה'!$AQ$5:$AQ$204,'רווחה - קליטה'!$A$5:$A$204,$A119,'רווחה - קליטה'!$C$5:$C$204,"אמצע שנה"),""))</f>
        <v/>
      </c>
      <c r="F119" s="28" t="str">
        <f aca="false">IF($A119="","",IFERROR(AVERAGEIFS('רווחה - קליטה'!$AK$5:$AK$204,'רווחה - קליטה'!$A$5:$A$204,$A119,'רווחה - קליטה'!$C$5:$C$204,"אמצע שנה"),""))</f>
        <v/>
      </c>
      <c r="G119" s="27" t="str">
        <f aca="false">IF($A119="","",IFERROR(INDEX('רווחה - קליטה'!$AS$5:$AS$204,MATCH($A119&amp;"|אמצע שנה",'רווחה - קליטה'!$AE$5:$AE$204,0)),""))</f>
        <v/>
      </c>
      <c r="H119" s="36" t="str">
        <f aca="false">IF($A119="","",IFERROR(AVERAGEIFS('רווחה - קליטה'!$AQ$5:$AQ$204,'רווחה - קליטה'!$A$5:$A$204,$A119,'רווחה - קליטה'!$C$5:$C$204,"סוף שנה"),""))</f>
        <v/>
      </c>
      <c r="I119" s="28" t="str">
        <f aca="false">IF($A119="","",IFERROR(AVERAGEIFS('רווחה - קליטה'!$AK$5:$AK$204,'רווחה - קליטה'!$A$5:$A$204,$A119,'רווחה - קליטה'!$C$5:$C$204,"סוף שנה"),""))</f>
        <v/>
      </c>
      <c r="J119" s="27" t="str">
        <f aca="false">IF($A119="","",IFERROR(INDEX('רווחה - קליטה'!$AS$5:$AS$204,MATCH($A119&amp;"|סוף שנה",'רווחה - קליטה'!$AE$5:$AE$204,0)),""))</f>
        <v/>
      </c>
      <c r="K119" s="37" t="str">
        <f aca="false">IF(AND(ISNUMBER(B119),ISNUMBER(H119)),H119-B119,"")</f>
        <v/>
      </c>
      <c r="L119" s="27" t="str">
        <f aca="false">IF(K119="","",IF(K119&gt;=0.5,"עלייה",IF(K119&lt;=-0.5,"ירידה","יציב")))</f>
        <v/>
      </c>
    </row>
    <row r="120" customFormat="false" ht="15" hidden="false" customHeight="false" outlineLevel="0" collapsed="false">
      <c r="A120" s="29"/>
      <c r="B120" s="36" t="str">
        <f aca="false">IF($A120="","",IFERROR(AVERAGEIFS('רווחה - קליטה'!$AQ$5:$AQ$204,'רווחה - קליטה'!$A$5:$A$204,$A120,'רווחה - קליטה'!$C$5:$C$204,"תחילת שנה"),""))</f>
        <v/>
      </c>
      <c r="C120" s="28" t="str">
        <f aca="false">IF($A120="","",IFERROR(AVERAGEIFS('רווחה - קליטה'!$AK$5:$AK$204,'רווחה - קליטה'!$A$5:$A$204,$A120,'רווחה - קליטה'!$C$5:$C$204,"תחילת שנה"),""))</f>
        <v/>
      </c>
      <c r="D120" s="27" t="str">
        <f aca="false">IF($A120="","",IFERROR(INDEX('רווחה - קליטה'!$AS$5:$AS$204,MATCH($A120&amp;"|תחילת שנה",'רווחה - קליטה'!$AE$5:$AE$204,0)),""))</f>
        <v/>
      </c>
      <c r="E120" s="36" t="str">
        <f aca="false">IF($A120="","",IFERROR(AVERAGEIFS('רווחה - קליטה'!$AQ$5:$AQ$204,'רווחה - קליטה'!$A$5:$A$204,$A120,'רווחה - קליטה'!$C$5:$C$204,"אמצע שנה"),""))</f>
        <v/>
      </c>
      <c r="F120" s="28" t="str">
        <f aca="false">IF($A120="","",IFERROR(AVERAGEIFS('רווחה - קליטה'!$AK$5:$AK$204,'רווחה - קליטה'!$A$5:$A$204,$A120,'רווחה - קליטה'!$C$5:$C$204,"אמצע שנה"),""))</f>
        <v/>
      </c>
      <c r="G120" s="27" t="str">
        <f aca="false">IF($A120="","",IFERROR(INDEX('רווחה - קליטה'!$AS$5:$AS$204,MATCH($A120&amp;"|אמצע שנה",'רווחה - קליטה'!$AE$5:$AE$204,0)),""))</f>
        <v/>
      </c>
      <c r="H120" s="36" t="str">
        <f aca="false">IF($A120="","",IFERROR(AVERAGEIFS('רווחה - קליטה'!$AQ$5:$AQ$204,'רווחה - קליטה'!$A$5:$A$204,$A120,'רווחה - קליטה'!$C$5:$C$204,"סוף שנה"),""))</f>
        <v/>
      </c>
      <c r="I120" s="28" t="str">
        <f aca="false">IF($A120="","",IFERROR(AVERAGEIFS('רווחה - קליטה'!$AK$5:$AK$204,'רווחה - קליטה'!$A$5:$A$204,$A120,'רווחה - קליטה'!$C$5:$C$204,"סוף שנה"),""))</f>
        <v/>
      </c>
      <c r="J120" s="27" t="str">
        <f aca="false">IF($A120="","",IFERROR(INDEX('רווחה - קליטה'!$AS$5:$AS$204,MATCH($A120&amp;"|סוף שנה",'רווחה - קליטה'!$AE$5:$AE$204,0)),""))</f>
        <v/>
      </c>
      <c r="K120" s="37" t="str">
        <f aca="false">IF(AND(ISNUMBER(B120),ISNUMBER(H120)),H120-B120,"")</f>
        <v/>
      </c>
      <c r="L120" s="27" t="str">
        <f aca="false">IF(K120="","",IF(K120&gt;=0.5,"עלייה",IF(K120&lt;=-0.5,"ירידה","יציב")))</f>
        <v/>
      </c>
    </row>
    <row r="121" customFormat="false" ht="15" hidden="false" customHeight="false" outlineLevel="0" collapsed="false">
      <c r="A121" s="29"/>
      <c r="B121" s="36" t="str">
        <f aca="false">IF($A121="","",IFERROR(AVERAGEIFS('רווחה - קליטה'!$AQ$5:$AQ$204,'רווחה - קליטה'!$A$5:$A$204,$A121,'רווחה - קליטה'!$C$5:$C$204,"תחילת שנה"),""))</f>
        <v/>
      </c>
      <c r="C121" s="28" t="str">
        <f aca="false">IF($A121="","",IFERROR(AVERAGEIFS('רווחה - קליטה'!$AK$5:$AK$204,'רווחה - קליטה'!$A$5:$A$204,$A121,'רווחה - קליטה'!$C$5:$C$204,"תחילת שנה"),""))</f>
        <v/>
      </c>
      <c r="D121" s="27" t="str">
        <f aca="false">IF($A121="","",IFERROR(INDEX('רווחה - קליטה'!$AS$5:$AS$204,MATCH($A121&amp;"|תחילת שנה",'רווחה - קליטה'!$AE$5:$AE$204,0)),""))</f>
        <v/>
      </c>
      <c r="E121" s="36" t="str">
        <f aca="false">IF($A121="","",IFERROR(AVERAGEIFS('רווחה - קליטה'!$AQ$5:$AQ$204,'רווחה - קליטה'!$A$5:$A$204,$A121,'רווחה - קליטה'!$C$5:$C$204,"אמצע שנה"),""))</f>
        <v/>
      </c>
      <c r="F121" s="28" t="str">
        <f aca="false">IF($A121="","",IFERROR(AVERAGEIFS('רווחה - קליטה'!$AK$5:$AK$204,'רווחה - קליטה'!$A$5:$A$204,$A121,'רווחה - קליטה'!$C$5:$C$204,"אמצע שנה"),""))</f>
        <v/>
      </c>
      <c r="G121" s="27" t="str">
        <f aca="false">IF($A121="","",IFERROR(INDEX('רווחה - קליטה'!$AS$5:$AS$204,MATCH($A121&amp;"|אמצע שנה",'רווחה - קליטה'!$AE$5:$AE$204,0)),""))</f>
        <v/>
      </c>
      <c r="H121" s="36" t="str">
        <f aca="false">IF($A121="","",IFERROR(AVERAGEIFS('רווחה - קליטה'!$AQ$5:$AQ$204,'רווחה - קליטה'!$A$5:$A$204,$A121,'רווחה - קליטה'!$C$5:$C$204,"סוף שנה"),""))</f>
        <v/>
      </c>
      <c r="I121" s="28" t="str">
        <f aca="false">IF($A121="","",IFERROR(AVERAGEIFS('רווחה - קליטה'!$AK$5:$AK$204,'רווחה - קליטה'!$A$5:$A$204,$A121,'רווחה - קליטה'!$C$5:$C$204,"סוף שנה"),""))</f>
        <v/>
      </c>
      <c r="J121" s="27" t="str">
        <f aca="false">IF($A121="","",IFERROR(INDEX('רווחה - קליטה'!$AS$5:$AS$204,MATCH($A121&amp;"|סוף שנה",'רווחה - קליטה'!$AE$5:$AE$204,0)),""))</f>
        <v/>
      </c>
      <c r="K121" s="37" t="str">
        <f aca="false">IF(AND(ISNUMBER(B121),ISNUMBER(H121)),H121-B121,"")</f>
        <v/>
      </c>
      <c r="L121" s="27" t="str">
        <f aca="false">IF(K121="","",IF(K121&gt;=0.5,"עלייה",IF(K121&lt;=-0.5,"ירידה","יציב")))</f>
        <v/>
      </c>
    </row>
    <row r="122" customFormat="false" ht="15" hidden="false" customHeight="false" outlineLevel="0" collapsed="false">
      <c r="A122" s="29"/>
      <c r="B122" s="36" t="str">
        <f aca="false">IF($A122="","",IFERROR(AVERAGEIFS('רווחה - קליטה'!$AQ$5:$AQ$204,'רווחה - קליטה'!$A$5:$A$204,$A122,'רווחה - קליטה'!$C$5:$C$204,"תחילת שנה"),""))</f>
        <v/>
      </c>
      <c r="C122" s="28" t="str">
        <f aca="false">IF($A122="","",IFERROR(AVERAGEIFS('רווחה - קליטה'!$AK$5:$AK$204,'רווחה - קליטה'!$A$5:$A$204,$A122,'רווחה - קליטה'!$C$5:$C$204,"תחילת שנה"),""))</f>
        <v/>
      </c>
      <c r="D122" s="27" t="str">
        <f aca="false">IF($A122="","",IFERROR(INDEX('רווחה - קליטה'!$AS$5:$AS$204,MATCH($A122&amp;"|תחילת שנה",'רווחה - קליטה'!$AE$5:$AE$204,0)),""))</f>
        <v/>
      </c>
      <c r="E122" s="36" t="str">
        <f aca="false">IF($A122="","",IFERROR(AVERAGEIFS('רווחה - קליטה'!$AQ$5:$AQ$204,'רווחה - קליטה'!$A$5:$A$204,$A122,'רווחה - קליטה'!$C$5:$C$204,"אמצע שנה"),""))</f>
        <v/>
      </c>
      <c r="F122" s="28" t="str">
        <f aca="false">IF($A122="","",IFERROR(AVERAGEIFS('רווחה - קליטה'!$AK$5:$AK$204,'רווחה - קליטה'!$A$5:$A$204,$A122,'רווחה - קליטה'!$C$5:$C$204,"אמצע שנה"),""))</f>
        <v/>
      </c>
      <c r="G122" s="27" t="str">
        <f aca="false">IF($A122="","",IFERROR(INDEX('רווחה - קליטה'!$AS$5:$AS$204,MATCH($A122&amp;"|אמצע שנה",'רווחה - קליטה'!$AE$5:$AE$204,0)),""))</f>
        <v/>
      </c>
      <c r="H122" s="36" t="str">
        <f aca="false">IF($A122="","",IFERROR(AVERAGEIFS('רווחה - קליטה'!$AQ$5:$AQ$204,'רווחה - קליטה'!$A$5:$A$204,$A122,'רווחה - קליטה'!$C$5:$C$204,"סוף שנה"),""))</f>
        <v/>
      </c>
      <c r="I122" s="28" t="str">
        <f aca="false">IF($A122="","",IFERROR(AVERAGEIFS('רווחה - קליטה'!$AK$5:$AK$204,'רווחה - קליטה'!$A$5:$A$204,$A122,'רווחה - קליטה'!$C$5:$C$204,"סוף שנה"),""))</f>
        <v/>
      </c>
      <c r="J122" s="27" t="str">
        <f aca="false">IF($A122="","",IFERROR(INDEX('רווחה - קליטה'!$AS$5:$AS$204,MATCH($A122&amp;"|סוף שנה",'רווחה - קליטה'!$AE$5:$AE$204,0)),""))</f>
        <v/>
      </c>
      <c r="K122" s="37" t="str">
        <f aca="false">IF(AND(ISNUMBER(B122),ISNUMBER(H122)),H122-B122,"")</f>
        <v/>
      </c>
      <c r="L122" s="27" t="str">
        <f aca="false">IF(K122="","",IF(K122&gt;=0.5,"עלייה",IF(K122&lt;=-0.5,"ירידה","יציב")))</f>
        <v/>
      </c>
    </row>
    <row r="123" customFormat="false" ht="15" hidden="false" customHeight="false" outlineLevel="0" collapsed="false">
      <c r="A123" s="29"/>
      <c r="B123" s="36" t="str">
        <f aca="false">IF($A123="","",IFERROR(AVERAGEIFS('רווחה - קליטה'!$AQ$5:$AQ$204,'רווחה - קליטה'!$A$5:$A$204,$A123,'רווחה - קליטה'!$C$5:$C$204,"תחילת שנה"),""))</f>
        <v/>
      </c>
      <c r="C123" s="28" t="str">
        <f aca="false">IF($A123="","",IFERROR(AVERAGEIFS('רווחה - קליטה'!$AK$5:$AK$204,'רווחה - קליטה'!$A$5:$A$204,$A123,'רווחה - קליטה'!$C$5:$C$204,"תחילת שנה"),""))</f>
        <v/>
      </c>
      <c r="D123" s="27" t="str">
        <f aca="false">IF($A123="","",IFERROR(INDEX('רווחה - קליטה'!$AS$5:$AS$204,MATCH($A123&amp;"|תחילת שנה",'רווחה - קליטה'!$AE$5:$AE$204,0)),""))</f>
        <v/>
      </c>
      <c r="E123" s="36" t="str">
        <f aca="false">IF($A123="","",IFERROR(AVERAGEIFS('רווחה - קליטה'!$AQ$5:$AQ$204,'רווחה - קליטה'!$A$5:$A$204,$A123,'רווחה - קליטה'!$C$5:$C$204,"אמצע שנה"),""))</f>
        <v/>
      </c>
      <c r="F123" s="28" t="str">
        <f aca="false">IF($A123="","",IFERROR(AVERAGEIFS('רווחה - קליטה'!$AK$5:$AK$204,'רווחה - קליטה'!$A$5:$A$204,$A123,'רווחה - קליטה'!$C$5:$C$204,"אמצע שנה"),""))</f>
        <v/>
      </c>
      <c r="G123" s="27" t="str">
        <f aca="false">IF($A123="","",IFERROR(INDEX('רווחה - קליטה'!$AS$5:$AS$204,MATCH($A123&amp;"|אמצע שנה",'רווחה - קליטה'!$AE$5:$AE$204,0)),""))</f>
        <v/>
      </c>
      <c r="H123" s="36" t="str">
        <f aca="false">IF($A123="","",IFERROR(AVERAGEIFS('רווחה - קליטה'!$AQ$5:$AQ$204,'רווחה - קליטה'!$A$5:$A$204,$A123,'רווחה - קליטה'!$C$5:$C$204,"סוף שנה"),""))</f>
        <v/>
      </c>
      <c r="I123" s="28" t="str">
        <f aca="false">IF($A123="","",IFERROR(AVERAGEIFS('רווחה - קליטה'!$AK$5:$AK$204,'רווחה - קליטה'!$A$5:$A$204,$A123,'רווחה - קליטה'!$C$5:$C$204,"סוף שנה"),""))</f>
        <v/>
      </c>
      <c r="J123" s="27" t="str">
        <f aca="false">IF($A123="","",IFERROR(INDEX('רווחה - קליטה'!$AS$5:$AS$204,MATCH($A123&amp;"|סוף שנה",'רווחה - קליטה'!$AE$5:$AE$204,0)),""))</f>
        <v/>
      </c>
      <c r="K123" s="37" t="str">
        <f aca="false">IF(AND(ISNUMBER(B123),ISNUMBER(H123)),H123-B123,"")</f>
        <v/>
      </c>
      <c r="L123" s="27" t="str">
        <f aca="false">IF(K123="","",IF(K123&gt;=0.5,"עלייה",IF(K123&lt;=-0.5,"ירידה","יציב")))</f>
        <v/>
      </c>
    </row>
    <row r="124" customFormat="false" ht="15" hidden="false" customHeight="false" outlineLevel="0" collapsed="false">
      <c r="A124" s="29"/>
      <c r="B124" s="36" t="str">
        <f aca="false">IF($A124="","",IFERROR(AVERAGEIFS('רווחה - קליטה'!$AQ$5:$AQ$204,'רווחה - קליטה'!$A$5:$A$204,$A124,'רווחה - קליטה'!$C$5:$C$204,"תחילת שנה"),""))</f>
        <v/>
      </c>
      <c r="C124" s="28" t="str">
        <f aca="false">IF($A124="","",IFERROR(AVERAGEIFS('רווחה - קליטה'!$AK$5:$AK$204,'רווחה - קליטה'!$A$5:$A$204,$A124,'רווחה - קליטה'!$C$5:$C$204,"תחילת שנה"),""))</f>
        <v/>
      </c>
      <c r="D124" s="27" t="str">
        <f aca="false">IF($A124="","",IFERROR(INDEX('רווחה - קליטה'!$AS$5:$AS$204,MATCH($A124&amp;"|תחילת שנה",'רווחה - קליטה'!$AE$5:$AE$204,0)),""))</f>
        <v/>
      </c>
      <c r="E124" s="36" t="str">
        <f aca="false">IF($A124="","",IFERROR(AVERAGEIFS('רווחה - קליטה'!$AQ$5:$AQ$204,'רווחה - קליטה'!$A$5:$A$204,$A124,'רווחה - קליטה'!$C$5:$C$204,"אמצע שנה"),""))</f>
        <v/>
      </c>
      <c r="F124" s="28" t="str">
        <f aca="false">IF($A124="","",IFERROR(AVERAGEIFS('רווחה - קליטה'!$AK$5:$AK$204,'רווחה - קליטה'!$A$5:$A$204,$A124,'רווחה - קליטה'!$C$5:$C$204,"אמצע שנה"),""))</f>
        <v/>
      </c>
      <c r="G124" s="27" t="str">
        <f aca="false">IF($A124="","",IFERROR(INDEX('רווחה - קליטה'!$AS$5:$AS$204,MATCH($A124&amp;"|אמצע שנה",'רווחה - קליטה'!$AE$5:$AE$204,0)),""))</f>
        <v/>
      </c>
      <c r="H124" s="36" t="str">
        <f aca="false">IF($A124="","",IFERROR(AVERAGEIFS('רווחה - קליטה'!$AQ$5:$AQ$204,'רווחה - קליטה'!$A$5:$A$204,$A124,'רווחה - קליטה'!$C$5:$C$204,"סוף שנה"),""))</f>
        <v/>
      </c>
      <c r="I124" s="28" t="str">
        <f aca="false">IF($A124="","",IFERROR(AVERAGEIFS('רווחה - קליטה'!$AK$5:$AK$204,'רווחה - קליטה'!$A$5:$A$204,$A124,'רווחה - קליטה'!$C$5:$C$204,"סוף שנה"),""))</f>
        <v/>
      </c>
      <c r="J124" s="27" t="str">
        <f aca="false">IF($A124="","",IFERROR(INDEX('רווחה - קליטה'!$AS$5:$AS$204,MATCH($A124&amp;"|סוף שנה",'רווחה - קליטה'!$AE$5:$AE$204,0)),""))</f>
        <v/>
      </c>
      <c r="K124" s="37" t="str">
        <f aca="false">IF(AND(ISNUMBER(B124),ISNUMBER(H124)),H124-B124,"")</f>
        <v/>
      </c>
      <c r="L124" s="27" t="str">
        <f aca="false">IF(K124="","",IF(K124&gt;=0.5,"עלייה",IF(K124&lt;=-0.5,"ירידה","יציב")))</f>
        <v/>
      </c>
    </row>
    <row r="125" customFormat="false" ht="15" hidden="false" customHeight="false" outlineLevel="0" collapsed="false">
      <c r="A125" s="29"/>
      <c r="B125" s="36" t="str">
        <f aca="false">IF($A125="","",IFERROR(AVERAGEIFS('רווחה - קליטה'!$AQ$5:$AQ$204,'רווחה - קליטה'!$A$5:$A$204,$A125,'רווחה - קליטה'!$C$5:$C$204,"תחילת שנה"),""))</f>
        <v/>
      </c>
      <c r="C125" s="28" t="str">
        <f aca="false">IF($A125="","",IFERROR(AVERAGEIFS('רווחה - קליטה'!$AK$5:$AK$204,'רווחה - קליטה'!$A$5:$A$204,$A125,'רווחה - קליטה'!$C$5:$C$204,"תחילת שנה"),""))</f>
        <v/>
      </c>
      <c r="D125" s="27" t="str">
        <f aca="false">IF($A125="","",IFERROR(INDEX('רווחה - קליטה'!$AS$5:$AS$204,MATCH($A125&amp;"|תחילת שנה",'רווחה - קליטה'!$AE$5:$AE$204,0)),""))</f>
        <v/>
      </c>
      <c r="E125" s="36" t="str">
        <f aca="false">IF($A125="","",IFERROR(AVERAGEIFS('רווחה - קליטה'!$AQ$5:$AQ$204,'רווחה - קליטה'!$A$5:$A$204,$A125,'רווחה - קליטה'!$C$5:$C$204,"אמצע שנה"),""))</f>
        <v/>
      </c>
      <c r="F125" s="28" t="str">
        <f aca="false">IF($A125="","",IFERROR(AVERAGEIFS('רווחה - קליטה'!$AK$5:$AK$204,'רווחה - קליטה'!$A$5:$A$204,$A125,'רווחה - קליטה'!$C$5:$C$204,"אמצע שנה"),""))</f>
        <v/>
      </c>
      <c r="G125" s="27" t="str">
        <f aca="false">IF($A125="","",IFERROR(INDEX('רווחה - קליטה'!$AS$5:$AS$204,MATCH($A125&amp;"|אמצע שנה",'רווחה - קליטה'!$AE$5:$AE$204,0)),""))</f>
        <v/>
      </c>
      <c r="H125" s="36" t="str">
        <f aca="false">IF($A125="","",IFERROR(AVERAGEIFS('רווחה - קליטה'!$AQ$5:$AQ$204,'רווחה - קליטה'!$A$5:$A$204,$A125,'רווחה - קליטה'!$C$5:$C$204,"סוף שנה"),""))</f>
        <v/>
      </c>
      <c r="I125" s="28" t="str">
        <f aca="false">IF($A125="","",IFERROR(AVERAGEIFS('רווחה - קליטה'!$AK$5:$AK$204,'רווחה - קליטה'!$A$5:$A$204,$A125,'רווחה - קליטה'!$C$5:$C$204,"סוף שנה"),""))</f>
        <v/>
      </c>
      <c r="J125" s="27" t="str">
        <f aca="false">IF($A125="","",IFERROR(INDEX('רווחה - קליטה'!$AS$5:$AS$204,MATCH($A125&amp;"|סוף שנה",'רווחה - קליטה'!$AE$5:$AE$204,0)),""))</f>
        <v/>
      </c>
      <c r="K125" s="37" t="str">
        <f aca="false">IF(AND(ISNUMBER(B125),ISNUMBER(H125)),H125-B125,"")</f>
        <v/>
      </c>
      <c r="L125" s="27" t="str">
        <f aca="false">IF(K125="","",IF(K125&gt;=0.5,"עלייה",IF(K125&lt;=-0.5,"ירידה","יציב")))</f>
        <v/>
      </c>
    </row>
    <row r="126" customFormat="false" ht="15" hidden="false" customHeight="false" outlineLevel="0" collapsed="false">
      <c r="A126" s="29"/>
      <c r="B126" s="36" t="str">
        <f aca="false">IF($A126="","",IFERROR(AVERAGEIFS('רווחה - קליטה'!$AQ$5:$AQ$204,'רווחה - קליטה'!$A$5:$A$204,$A126,'רווחה - קליטה'!$C$5:$C$204,"תחילת שנה"),""))</f>
        <v/>
      </c>
      <c r="C126" s="28" t="str">
        <f aca="false">IF($A126="","",IFERROR(AVERAGEIFS('רווחה - קליטה'!$AK$5:$AK$204,'רווחה - קליטה'!$A$5:$A$204,$A126,'רווחה - קליטה'!$C$5:$C$204,"תחילת שנה"),""))</f>
        <v/>
      </c>
      <c r="D126" s="27" t="str">
        <f aca="false">IF($A126="","",IFERROR(INDEX('רווחה - קליטה'!$AS$5:$AS$204,MATCH($A126&amp;"|תחילת שנה",'רווחה - קליטה'!$AE$5:$AE$204,0)),""))</f>
        <v/>
      </c>
      <c r="E126" s="36" t="str">
        <f aca="false">IF($A126="","",IFERROR(AVERAGEIFS('רווחה - קליטה'!$AQ$5:$AQ$204,'רווחה - קליטה'!$A$5:$A$204,$A126,'רווחה - קליטה'!$C$5:$C$204,"אמצע שנה"),""))</f>
        <v/>
      </c>
      <c r="F126" s="28" t="str">
        <f aca="false">IF($A126="","",IFERROR(AVERAGEIFS('רווחה - קליטה'!$AK$5:$AK$204,'רווחה - קליטה'!$A$5:$A$204,$A126,'רווחה - קליטה'!$C$5:$C$204,"אמצע שנה"),""))</f>
        <v/>
      </c>
      <c r="G126" s="27" t="str">
        <f aca="false">IF($A126="","",IFERROR(INDEX('רווחה - קליטה'!$AS$5:$AS$204,MATCH($A126&amp;"|אמצע שנה",'רווחה - קליטה'!$AE$5:$AE$204,0)),""))</f>
        <v/>
      </c>
      <c r="H126" s="36" t="str">
        <f aca="false">IF($A126="","",IFERROR(AVERAGEIFS('רווחה - קליטה'!$AQ$5:$AQ$204,'רווחה - קליטה'!$A$5:$A$204,$A126,'רווחה - קליטה'!$C$5:$C$204,"סוף שנה"),""))</f>
        <v/>
      </c>
      <c r="I126" s="28" t="str">
        <f aca="false">IF($A126="","",IFERROR(AVERAGEIFS('רווחה - קליטה'!$AK$5:$AK$204,'רווחה - קליטה'!$A$5:$A$204,$A126,'רווחה - קליטה'!$C$5:$C$204,"סוף שנה"),""))</f>
        <v/>
      </c>
      <c r="J126" s="27" t="str">
        <f aca="false">IF($A126="","",IFERROR(INDEX('רווחה - קליטה'!$AS$5:$AS$204,MATCH($A126&amp;"|סוף שנה",'רווחה - קליטה'!$AE$5:$AE$204,0)),""))</f>
        <v/>
      </c>
      <c r="K126" s="37" t="str">
        <f aca="false">IF(AND(ISNUMBER(B126),ISNUMBER(H126)),H126-B126,"")</f>
        <v/>
      </c>
      <c r="L126" s="27" t="str">
        <f aca="false">IF(K126="","",IF(K126&gt;=0.5,"עלייה",IF(K126&lt;=-0.5,"ירידה","יציב")))</f>
        <v/>
      </c>
    </row>
    <row r="127" customFormat="false" ht="15" hidden="false" customHeight="false" outlineLevel="0" collapsed="false">
      <c r="A127" s="29"/>
      <c r="B127" s="36" t="str">
        <f aca="false">IF($A127="","",IFERROR(AVERAGEIFS('רווחה - קליטה'!$AQ$5:$AQ$204,'רווחה - קליטה'!$A$5:$A$204,$A127,'רווחה - קליטה'!$C$5:$C$204,"תחילת שנה"),""))</f>
        <v/>
      </c>
      <c r="C127" s="28" t="str">
        <f aca="false">IF($A127="","",IFERROR(AVERAGEIFS('רווחה - קליטה'!$AK$5:$AK$204,'רווחה - קליטה'!$A$5:$A$204,$A127,'רווחה - קליטה'!$C$5:$C$204,"תחילת שנה"),""))</f>
        <v/>
      </c>
      <c r="D127" s="27" t="str">
        <f aca="false">IF($A127="","",IFERROR(INDEX('רווחה - קליטה'!$AS$5:$AS$204,MATCH($A127&amp;"|תחילת שנה",'רווחה - קליטה'!$AE$5:$AE$204,0)),""))</f>
        <v/>
      </c>
      <c r="E127" s="36" t="str">
        <f aca="false">IF($A127="","",IFERROR(AVERAGEIFS('רווחה - קליטה'!$AQ$5:$AQ$204,'רווחה - קליטה'!$A$5:$A$204,$A127,'רווחה - קליטה'!$C$5:$C$204,"אמצע שנה"),""))</f>
        <v/>
      </c>
      <c r="F127" s="28" t="str">
        <f aca="false">IF($A127="","",IFERROR(AVERAGEIFS('רווחה - קליטה'!$AK$5:$AK$204,'רווחה - קליטה'!$A$5:$A$204,$A127,'רווחה - קליטה'!$C$5:$C$204,"אמצע שנה"),""))</f>
        <v/>
      </c>
      <c r="G127" s="27" t="str">
        <f aca="false">IF($A127="","",IFERROR(INDEX('רווחה - קליטה'!$AS$5:$AS$204,MATCH($A127&amp;"|אמצע שנה",'רווחה - קליטה'!$AE$5:$AE$204,0)),""))</f>
        <v/>
      </c>
      <c r="H127" s="36" t="str">
        <f aca="false">IF($A127="","",IFERROR(AVERAGEIFS('רווחה - קליטה'!$AQ$5:$AQ$204,'רווחה - קליטה'!$A$5:$A$204,$A127,'רווחה - קליטה'!$C$5:$C$204,"סוף שנה"),""))</f>
        <v/>
      </c>
      <c r="I127" s="28" t="str">
        <f aca="false">IF($A127="","",IFERROR(AVERAGEIFS('רווחה - קליטה'!$AK$5:$AK$204,'רווחה - קליטה'!$A$5:$A$204,$A127,'רווחה - קליטה'!$C$5:$C$204,"סוף שנה"),""))</f>
        <v/>
      </c>
      <c r="J127" s="27" t="str">
        <f aca="false">IF($A127="","",IFERROR(INDEX('רווחה - קליטה'!$AS$5:$AS$204,MATCH($A127&amp;"|סוף שנה",'רווחה - קליטה'!$AE$5:$AE$204,0)),""))</f>
        <v/>
      </c>
      <c r="K127" s="37" t="str">
        <f aca="false">IF(AND(ISNUMBER(B127),ISNUMBER(H127)),H127-B127,"")</f>
        <v/>
      </c>
      <c r="L127" s="27" t="str">
        <f aca="false">IF(K127="","",IF(K127&gt;=0.5,"עלייה",IF(K127&lt;=-0.5,"ירידה","יציב")))</f>
        <v/>
      </c>
    </row>
    <row r="128" customFormat="false" ht="15" hidden="false" customHeight="false" outlineLevel="0" collapsed="false">
      <c r="A128" s="29"/>
      <c r="B128" s="36" t="str">
        <f aca="false">IF($A128="","",IFERROR(AVERAGEIFS('רווחה - קליטה'!$AQ$5:$AQ$204,'רווחה - קליטה'!$A$5:$A$204,$A128,'רווחה - קליטה'!$C$5:$C$204,"תחילת שנה"),""))</f>
        <v/>
      </c>
      <c r="C128" s="28" t="str">
        <f aca="false">IF($A128="","",IFERROR(AVERAGEIFS('רווחה - קליטה'!$AK$5:$AK$204,'רווחה - קליטה'!$A$5:$A$204,$A128,'רווחה - קליטה'!$C$5:$C$204,"תחילת שנה"),""))</f>
        <v/>
      </c>
      <c r="D128" s="27" t="str">
        <f aca="false">IF($A128="","",IFERROR(INDEX('רווחה - קליטה'!$AS$5:$AS$204,MATCH($A128&amp;"|תחילת שנה",'רווחה - קליטה'!$AE$5:$AE$204,0)),""))</f>
        <v/>
      </c>
      <c r="E128" s="36" t="str">
        <f aca="false">IF($A128="","",IFERROR(AVERAGEIFS('רווחה - קליטה'!$AQ$5:$AQ$204,'רווחה - קליטה'!$A$5:$A$204,$A128,'רווחה - קליטה'!$C$5:$C$204,"אמצע שנה"),""))</f>
        <v/>
      </c>
      <c r="F128" s="28" t="str">
        <f aca="false">IF($A128="","",IFERROR(AVERAGEIFS('רווחה - קליטה'!$AK$5:$AK$204,'רווחה - קליטה'!$A$5:$A$204,$A128,'רווחה - קליטה'!$C$5:$C$204,"אמצע שנה"),""))</f>
        <v/>
      </c>
      <c r="G128" s="27" t="str">
        <f aca="false">IF($A128="","",IFERROR(INDEX('רווחה - קליטה'!$AS$5:$AS$204,MATCH($A128&amp;"|אמצע שנה",'רווחה - קליטה'!$AE$5:$AE$204,0)),""))</f>
        <v/>
      </c>
      <c r="H128" s="36" t="str">
        <f aca="false">IF($A128="","",IFERROR(AVERAGEIFS('רווחה - קליטה'!$AQ$5:$AQ$204,'רווחה - קליטה'!$A$5:$A$204,$A128,'רווחה - קליטה'!$C$5:$C$204,"סוף שנה"),""))</f>
        <v/>
      </c>
      <c r="I128" s="28" t="str">
        <f aca="false">IF($A128="","",IFERROR(AVERAGEIFS('רווחה - קליטה'!$AK$5:$AK$204,'רווחה - קליטה'!$A$5:$A$204,$A128,'רווחה - קליטה'!$C$5:$C$204,"סוף שנה"),""))</f>
        <v/>
      </c>
      <c r="J128" s="27" t="str">
        <f aca="false">IF($A128="","",IFERROR(INDEX('רווחה - קליטה'!$AS$5:$AS$204,MATCH($A128&amp;"|סוף שנה",'רווחה - קליטה'!$AE$5:$AE$204,0)),""))</f>
        <v/>
      </c>
      <c r="K128" s="37" t="str">
        <f aca="false">IF(AND(ISNUMBER(B128),ISNUMBER(H128)),H128-B128,"")</f>
        <v/>
      </c>
      <c r="L128" s="27" t="str">
        <f aca="false">IF(K128="","",IF(K128&gt;=0.5,"עלייה",IF(K128&lt;=-0.5,"ירידה","יציב")))</f>
        <v/>
      </c>
    </row>
    <row r="129" customFormat="false" ht="15" hidden="false" customHeight="false" outlineLevel="0" collapsed="false">
      <c r="A129" s="29"/>
      <c r="B129" s="36" t="str">
        <f aca="false">IF($A129="","",IFERROR(AVERAGEIFS('רווחה - קליטה'!$AQ$5:$AQ$204,'רווחה - קליטה'!$A$5:$A$204,$A129,'רווחה - קליטה'!$C$5:$C$204,"תחילת שנה"),""))</f>
        <v/>
      </c>
      <c r="C129" s="28" t="str">
        <f aca="false">IF($A129="","",IFERROR(AVERAGEIFS('רווחה - קליטה'!$AK$5:$AK$204,'רווחה - קליטה'!$A$5:$A$204,$A129,'רווחה - קליטה'!$C$5:$C$204,"תחילת שנה"),""))</f>
        <v/>
      </c>
      <c r="D129" s="27" t="str">
        <f aca="false">IF($A129="","",IFERROR(INDEX('רווחה - קליטה'!$AS$5:$AS$204,MATCH($A129&amp;"|תחילת שנה",'רווחה - קליטה'!$AE$5:$AE$204,0)),""))</f>
        <v/>
      </c>
      <c r="E129" s="36" t="str">
        <f aca="false">IF($A129="","",IFERROR(AVERAGEIFS('רווחה - קליטה'!$AQ$5:$AQ$204,'רווחה - קליטה'!$A$5:$A$204,$A129,'רווחה - קליטה'!$C$5:$C$204,"אמצע שנה"),""))</f>
        <v/>
      </c>
      <c r="F129" s="28" t="str">
        <f aca="false">IF($A129="","",IFERROR(AVERAGEIFS('רווחה - קליטה'!$AK$5:$AK$204,'רווחה - קליטה'!$A$5:$A$204,$A129,'רווחה - קליטה'!$C$5:$C$204,"אמצע שנה"),""))</f>
        <v/>
      </c>
      <c r="G129" s="27" t="str">
        <f aca="false">IF($A129="","",IFERROR(INDEX('רווחה - קליטה'!$AS$5:$AS$204,MATCH($A129&amp;"|אמצע שנה",'רווחה - קליטה'!$AE$5:$AE$204,0)),""))</f>
        <v/>
      </c>
      <c r="H129" s="36" t="str">
        <f aca="false">IF($A129="","",IFERROR(AVERAGEIFS('רווחה - קליטה'!$AQ$5:$AQ$204,'רווחה - קליטה'!$A$5:$A$204,$A129,'רווחה - קליטה'!$C$5:$C$204,"סוף שנה"),""))</f>
        <v/>
      </c>
      <c r="I129" s="28" t="str">
        <f aca="false">IF($A129="","",IFERROR(AVERAGEIFS('רווחה - קליטה'!$AK$5:$AK$204,'רווחה - קליטה'!$A$5:$A$204,$A129,'רווחה - קליטה'!$C$5:$C$204,"סוף שנה"),""))</f>
        <v/>
      </c>
      <c r="J129" s="27" t="str">
        <f aca="false">IF($A129="","",IFERROR(INDEX('רווחה - קליטה'!$AS$5:$AS$204,MATCH($A129&amp;"|סוף שנה",'רווחה - קליטה'!$AE$5:$AE$204,0)),""))</f>
        <v/>
      </c>
      <c r="K129" s="37" t="str">
        <f aca="false">IF(AND(ISNUMBER(B129),ISNUMBER(H129)),H129-B129,"")</f>
        <v/>
      </c>
      <c r="L129" s="27" t="str">
        <f aca="false">IF(K129="","",IF(K129&gt;=0.5,"עלייה",IF(K129&lt;=-0.5,"ירידה","יציב")))</f>
        <v/>
      </c>
    </row>
    <row r="130" customFormat="false" ht="15" hidden="false" customHeight="false" outlineLevel="0" collapsed="false">
      <c r="A130" s="29"/>
      <c r="B130" s="36" t="str">
        <f aca="false">IF($A130="","",IFERROR(AVERAGEIFS('רווחה - קליטה'!$AQ$5:$AQ$204,'רווחה - קליטה'!$A$5:$A$204,$A130,'רווחה - קליטה'!$C$5:$C$204,"תחילת שנה"),""))</f>
        <v/>
      </c>
      <c r="C130" s="28" t="str">
        <f aca="false">IF($A130="","",IFERROR(AVERAGEIFS('רווחה - קליטה'!$AK$5:$AK$204,'רווחה - קליטה'!$A$5:$A$204,$A130,'רווחה - קליטה'!$C$5:$C$204,"תחילת שנה"),""))</f>
        <v/>
      </c>
      <c r="D130" s="27" t="str">
        <f aca="false">IF($A130="","",IFERROR(INDEX('רווחה - קליטה'!$AS$5:$AS$204,MATCH($A130&amp;"|תחילת שנה",'רווחה - קליטה'!$AE$5:$AE$204,0)),""))</f>
        <v/>
      </c>
      <c r="E130" s="36" t="str">
        <f aca="false">IF($A130="","",IFERROR(AVERAGEIFS('רווחה - קליטה'!$AQ$5:$AQ$204,'רווחה - קליטה'!$A$5:$A$204,$A130,'רווחה - קליטה'!$C$5:$C$204,"אמצע שנה"),""))</f>
        <v/>
      </c>
      <c r="F130" s="28" t="str">
        <f aca="false">IF($A130="","",IFERROR(AVERAGEIFS('רווחה - קליטה'!$AK$5:$AK$204,'רווחה - קליטה'!$A$5:$A$204,$A130,'רווחה - קליטה'!$C$5:$C$204,"אמצע שנה"),""))</f>
        <v/>
      </c>
      <c r="G130" s="27" t="str">
        <f aca="false">IF($A130="","",IFERROR(INDEX('רווחה - קליטה'!$AS$5:$AS$204,MATCH($A130&amp;"|אמצע שנה",'רווחה - קליטה'!$AE$5:$AE$204,0)),""))</f>
        <v/>
      </c>
      <c r="H130" s="36" t="str">
        <f aca="false">IF($A130="","",IFERROR(AVERAGEIFS('רווחה - קליטה'!$AQ$5:$AQ$204,'רווחה - קליטה'!$A$5:$A$204,$A130,'רווחה - קליטה'!$C$5:$C$204,"סוף שנה"),""))</f>
        <v/>
      </c>
      <c r="I130" s="28" t="str">
        <f aca="false">IF($A130="","",IFERROR(AVERAGEIFS('רווחה - קליטה'!$AK$5:$AK$204,'רווחה - קליטה'!$A$5:$A$204,$A130,'רווחה - קליטה'!$C$5:$C$204,"סוף שנה"),""))</f>
        <v/>
      </c>
      <c r="J130" s="27" t="str">
        <f aca="false">IF($A130="","",IFERROR(INDEX('רווחה - קליטה'!$AS$5:$AS$204,MATCH($A130&amp;"|סוף שנה",'רווחה - קליטה'!$AE$5:$AE$204,0)),""))</f>
        <v/>
      </c>
      <c r="K130" s="37" t="str">
        <f aca="false">IF(AND(ISNUMBER(B130),ISNUMBER(H130)),H130-B130,"")</f>
        <v/>
      </c>
      <c r="L130" s="27" t="str">
        <f aca="false">IF(K130="","",IF(K130&gt;=0.5,"עלייה",IF(K130&lt;=-0.5,"ירידה","יציב")))</f>
        <v/>
      </c>
    </row>
    <row r="131" customFormat="false" ht="15" hidden="false" customHeight="false" outlineLevel="0" collapsed="false">
      <c r="A131" s="29"/>
      <c r="B131" s="36" t="str">
        <f aca="false">IF($A131="","",IFERROR(AVERAGEIFS('רווחה - קליטה'!$AQ$5:$AQ$204,'רווחה - קליטה'!$A$5:$A$204,$A131,'רווחה - קליטה'!$C$5:$C$204,"תחילת שנה"),""))</f>
        <v/>
      </c>
      <c r="C131" s="28" t="str">
        <f aca="false">IF($A131="","",IFERROR(AVERAGEIFS('רווחה - קליטה'!$AK$5:$AK$204,'רווחה - קליטה'!$A$5:$A$204,$A131,'רווחה - קליטה'!$C$5:$C$204,"תחילת שנה"),""))</f>
        <v/>
      </c>
      <c r="D131" s="27" t="str">
        <f aca="false">IF($A131="","",IFERROR(INDEX('רווחה - קליטה'!$AS$5:$AS$204,MATCH($A131&amp;"|תחילת שנה",'רווחה - קליטה'!$AE$5:$AE$204,0)),""))</f>
        <v/>
      </c>
      <c r="E131" s="36" t="str">
        <f aca="false">IF($A131="","",IFERROR(AVERAGEIFS('רווחה - קליטה'!$AQ$5:$AQ$204,'רווחה - קליטה'!$A$5:$A$204,$A131,'רווחה - קליטה'!$C$5:$C$204,"אמצע שנה"),""))</f>
        <v/>
      </c>
      <c r="F131" s="28" t="str">
        <f aca="false">IF($A131="","",IFERROR(AVERAGEIFS('רווחה - קליטה'!$AK$5:$AK$204,'רווחה - קליטה'!$A$5:$A$204,$A131,'רווחה - קליטה'!$C$5:$C$204,"אמצע שנה"),""))</f>
        <v/>
      </c>
      <c r="G131" s="27" t="str">
        <f aca="false">IF($A131="","",IFERROR(INDEX('רווחה - קליטה'!$AS$5:$AS$204,MATCH($A131&amp;"|אמצע שנה",'רווחה - קליטה'!$AE$5:$AE$204,0)),""))</f>
        <v/>
      </c>
      <c r="H131" s="36" t="str">
        <f aca="false">IF($A131="","",IFERROR(AVERAGEIFS('רווחה - קליטה'!$AQ$5:$AQ$204,'רווחה - קליטה'!$A$5:$A$204,$A131,'רווחה - קליטה'!$C$5:$C$204,"סוף שנה"),""))</f>
        <v/>
      </c>
      <c r="I131" s="28" t="str">
        <f aca="false">IF($A131="","",IFERROR(AVERAGEIFS('רווחה - קליטה'!$AK$5:$AK$204,'רווחה - קליטה'!$A$5:$A$204,$A131,'רווחה - קליטה'!$C$5:$C$204,"סוף שנה"),""))</f>
        <v/>
      </c>
      <c r="J131" s="27" t="str">
        <f aca="false">IF($A131="","",IFERROR(INDEX('רווחה - קליטה'!$AS$5:$AS$204,MATCH($A131&amp;"|סוף שנה",'רווחה - קליטה'!$AE$5:$AE$204,0)),""))</f>
        <v/>
      </c>
      <c r="K131" s="37" t="str">
        <f aca="false">IF(AND(ISNUMBER(B131),ISNUMBER(H131)),H131-B131,"")</f>
        <v/>
      </c>
      <c r="L131" s="27" t="str">
        <f aca="false">IF(K131="","",IF(K131&gt;=0.5,"עלייה",IF(K131&lt;=-0.5,"ירידה","יציב")))</f>
        <v/>
      </c>
    </row>
    <row r="132" customFormat="false" ht="15" hidden="false" customHeight="false" outlineLevel="0" collapsed="false">
      <c r="A132" s="29"/>
      <c r="B132" s="36" t="str">
        <f aca="false">IF($A132="","",IFERROR(AVERAGEIFS('רווחה - קליטה'!$AQ$5:$AQ$204,'רווחה - קליטה'!$A$5:$A$204,$A132,'רווחה - קליטה'!$C$5:$C$204,"תחילת שנה"),""))</f>
        <v/>
      </c>
      <c r="C132" s="28" t="str">
        <f aca="false">IF($A132="","",IFERROR(AVERAGEIFS('רווחה - קליטה'!$AK$5:$AK$204,'רווחה - קליטה'!$A$5:$A$204,$A132,'רווחה - קליטה'!$C$5:$C$204,"תחילת שנה"),""))</f>
        <v/>
      </c>
      <c r="D132" s="27" t="str">
        <f aca="false">IF($A132="","",IFERROR(INDEX('רווחה - קליטה'!$AS$5:$AS$204,MATCH($A132&amp;"|תחילת שנה",'רווחה - קליטה'!$AE$5:$AE$204,0)),""))</f>
        <v/>
      </c>
      <c r="E132" s="36" t="str">
        <f aca="false">IF($A132="","",IFERROR(AVERAGEIFS('רווחה - קליטה'!$AQ$5:$AQ$204,'רווחה - קליטה'!$A$5:$A$204,$A132,'רווחה - קליטה'!$C$5:$C$204,"אמצע שנה"),""))</f>
        <v/>
      </c>
      <c r="F132" s="28" t="str">
        <f aca="false">IF($A132="","",IFERROR(AVERAGEIFS('רווחה - קליטה'!$AK$5:$AK$204,'רווחה - קליטה'!$A$5:$A$204,$A132,'רווחה - קליטה'!$C$5:$C$204,"אמצע שנה"),""))</f>
        <v/>
      </c>
      <c r="G132" s="27" t="str">
        <f aca="false">IF($A132="","",IFERROR(INDEX('רווחה - קליטה'!$AS$5:$AS$204,MATCH($A132&amp;"|אמצע שנה",'רווחה - קליטה'!$AE$5:$AE$204,0)),""))</f>
        <v/>
      </c>
      <c r="H132" s="36" t="str">
        <f aca="false">IF($A132="","",IFERROR(AVERAGEIFS('רווחה - קליטה'!$AQ$5:$AQ$204,'רווחה - קליטה'!$A$5:$A$204,$A132,'רווחה - קליטה'!$C$5:$C$204,"סוף שנה"),""))</f>
        <v/>
      </c>
      <c r="I132" s="28" t="str">
        <f aca="false">IF($A132="","",IFERROR(AVERAGEIFS('רווחה - קליטה'!$AK$5:$AK$204,'רווחה - קליטה'!$A$5:$A$204,$A132,'רווחה - קליטה'!$C$5:$C$204,"סוף שנה"),""))</f>
        <v/>
      </c>
      <c r="J132" s="27" t="str">
        <f aca="false">IF($A132="","",IFERROR(INDEX('רווחה - קליטה'!$AS$5:$AS$204,MATCH($A132&amp;"|סוף שנה",'רווחה - קליטה'!$AE$5:$AE$204,0)),""))</f>
        <v/>
      </c>
      <c r="K132" s="37" t="str">
        <f aca="false">IF(AND(ISNUMBER(B132),ISNUMBER(H132)),H132-B132,"")</f>
        <v/>
      </c>
      <c r="L132" s="27" t="str">
        <f aca="false">IF(K132="","",IF(K132&gt;=0.5,"עלייה",IF(K132&lt;=-0.5,"ירידה","יציב")))</f>
        <v/>
      </c>
    </row>
    <row r="133" customFormat="false" ht="15" hidden="false" customHeight="false" outlineLevel="0" collapsed="false">
      <c r="A133" s="29"/>
      <c r="B133" s="36" t="str">
        <f aca="false">IF($A133="","",IFERROR(AVERAGEIFS('רווחה - קליטה'!$AQ$5:$AQ$204,'רווחה - קליטה'!$A$5:$A$204,$A133,'רווחה - קליטה'!$C$5:$C$204,"תחילת שנה"),""))</f>
        <v/>
      </c>
      <c r="C133" s="28" t="str">
        <f aca="false">IF($A133="","",IFERROR(AVERAGEIFS('רווחה - קליטה'!$AK$5:$AK$204,'רווחה - קליטה'!$A$5:$A$204,$A133,'רווחה - קליטה'!$C$5:$C$204,"תחילת שנה"),""))</f>
        <v/>
      </c>
      <c r="D133" s="27" t="str">
        <f aca="false">IF($A133="","",IFERROR(INDEX('רווחה - קליטה'!$AS$5:$AS$204,MATCH($A133&amp;"|תחילת שנה",'רווחה - קליטה'!$AE$5:$AE$204,0)),""))</f>
        <v/>
      </c>
      <c r="E133" s="36" t="str">
        <f aca="false">IF($A133="","",IFERROR(AVERAGEIFS('רווחה - קליטה'!$AQ$5:$AQ$204,'רווחה - קליטה'!$A$5:$A$204,$A133,'רווחה - קליטה'!$C$5:$C$204,"אמצע שנה"),""))</f>
        <v/>
      </c>
      <c r="F133" s="28" t="str">
        <f aca="false">IF($A133="","",IFERROR(AVERAGEIFS('רווחה - קליטה'!$AK$5:$AK$204,'רווחה - קליטה'!$A$5:$A$204,$A133,'רווחה - קליטה'!$C$5:$C$204,"אמצע שנה"),""))</f>
        <v/>
      </c>
      <c r="G133" s="27" t="str">
        <f aca="false">IF($A133="","",IFERROR(INDEX('רווחה - קליטה'!$AS$5:$AS$204,MATCH($A133&amp;"|אמצע שנה",'רווחה - קליטה'!$AE$5:$AE$204,0)),""))</f>
        <v/>
      </c>
      <c r="H133" s="36" t="str">
        <f aca="false">IF($A133="","",IFERROR(AVERAGEIFS('רווחה - קליטה'!$AQ$5:$AQ$204,'רווחה - קליטה'!$A$5:$A$204,$A133,'רווחה - קליטה'!$C$5:$C$204,"סוף שנה"),""))</f>
        <v/>
      </c>
      <c r="I133" s="28" t="str">
        <f aca="false">IF($A133="","",IFERROR(AVERAGEIFS('רווחה - קליטה'!$AK$5:$AK$204,'רווחה - קליטה'!$A$5:$A$204,$A133,'רווחה - קליטה'!$C$5:$C$204,"סוף שנה"),""))</f>
        <v/>
      </c>
      <c r="J133" s="27" t="str">
        <f aca="false">IF($A133="","",IFERROR(INDEX('רווחה - קליטה'!$AS$5:$AS$204,MATCH($A133&amp;"|סוף שנה",'רווחה - קליטה'!$AE$5:$AE$204,0)),""))</f>
        <v/>
      </c>
      <c r="K133" s="37" t="str">
        <f aca="false">IF(AND(ISNUMBER(B133),ISNUMBER(H133)),H133-B133,"")</f>
        <v/>
      </c>
      <c r="L133" s="27" t="str">
        <f aca="false">IF(K133="","",IF(K133&gt;=0.5,"עלייה",IF(K133&lt;=-0.5,"ירידה","יציב")))</f>
        <v/>
      </c>
    </row>
    <row r="134" customFormat="false" ht="15" hidden="false" customHeight="false" outlineLevel="0" collapsed="false">
      <c r="A134" s="29"/>
      <c r="B134" s="36" t="str">
        <f aca="false">IF($A134="","",IFERROR(AVERAGEIFS('רווחה - קליטה'!$AQ$5:$AQ$204,'רווחה - קליטה'!$A$5:$A$204,$A134,'רווחה - קליטה'!$C$5:$C$204,"תחילת שנה"),""))</f>
        <v/>
      </c>
      <c r="C134" s="28" t="str">
        <f aca="false">IF($A134="","",IFERROR(AVERAGEIFS('רווחה - קליטה'!$AK$5:$AK$204,'רווחה - קליטה'!$A$5:$A$204,$A134,'רווחה - קליטה'!$C$5:$C$204,"תחילת שנה"),""))</f>
        <v/>
      </c>
      <c r="D134" s="27" t="str">
        <f aca="false">IF($A134="","",IFERROR(INDEX('רווחה - קליטה'!$AS$5:$AS$204,MATCH($A134&amp;"|תחילת שנה",'רווחה - קליטה'!$AE$5:$AE$204,0)),""))</f>
        <v/>
      </c>
      <c r="E134" s="36" t="str">
        <f aca="false">IF($A134="","",IFERROR(AVERAGEIFS('רווחה - קליטה'!$AQ$5:$AQ$204,'רווחה - קליטה'!$A$5:$A$204,$A134,'רווחה - קליטה'!$C$5:$C$204,"אמצע שנה"),""))</f>
        <v/>
      </c>
      <c r="F134" s="28" t="str">
        <f aca="false">IF($A134="","",IFERROR(AVERAGEIFS('רווחה - קליטה'!$AK$5:$AK$204,'רווחה - קליטה'!$A$5:$A$204,$A134,'רווחה - קליטה'!$C$5:$C$204,"אמצע שנה"),""))</f>
        <v/>
      </c>
      <c r="G134" s="27" t="str">
        <f aca="false">IF($A134="","",IFERROR(INDEX('רווחה - קליטה'!$AS$5:$AS$204,MATCH($A134&amp;"|אמצע שנה",'רווחה - קליטה'!$AE$5:$AE$204,0)),""))</f>
        <v/>
      </c>
      <c r="H134" s="36" t="str">
        <f aca="false">IF($A134="","",IFERROR(AVERAGEIFS('רווחה - קליטה'!$AQ$5:$AQ$204,'רווחה - קליטה'!$A$5:$A$204,$A134,'רווחה - קליטה'!$C$5:$C$204,"סוף שנה"),""))</f>
        <v/>
      </c>
      <c r="I134" s="28" t="str">
        <f aca="false">IF($A134="","",IFERROR(AVERAGEIFS('רווחה - קליטה'!$AK$5:$AK$204,'רווחה - קליטה'!$A$5:$A$204,$A134,'רווחה - קליטה'!$C$5:$C$204,"סוף שנה"),""))</f>
        <v/>
      </c>
      <c r="J134" s="27" t="str">
        <f aca="false">IF($A134="","",IFERROR(INDEX('רווחה - קליטה'!$AS$5:$AS$204,MATCH($A134&amp;"|סוף שנה",'רווחה - קליטה'!$AE$5:$AE$204,0)),""))</f>
        <v/>
      </c>
      <c r="K134" s="37" t="str">
        <f aca="false">IF(AND(ISNUMBER(B134),ISNUMBER(H134)),H134-B134,"")</f>
        <v/>
      </c>
      <c r="L134" s="27" t="str">
        <f aca="false">IF(K134="","",IF(K134&gt;=0.5,"עלייה",IF(K134&lt;=-0.5,"ירידה","יציב")))</f>
        <v/>
      </c>
    </row>
    <row r="135" customFormat="false" ht="15" hidden="false" customHeight="false" outlineLevel="0" collapsed="false">
      <c r="A135" s="29"/>
      <c r="B135" s="36" t="str">
        <f aca="false">IF($A135="","",IFERROR(AVERAGEIFS('רווחה - קליטה'!$AQ$5:$AQ$204,'רווחה - קליטה'!$A$5:$A$204,$A135,'רווחה - קליטה'!$C$5:$C$204,"תחילת שנה"),""))</f>
        <v/>
      </c>
      <c r="C135" s="28" t="str">
        <f aca="false">IF($A135="","",IFERROR(AVERAGEIFS('רווחה - קליטה'!$AK$5:$AK$204,'רווחה - קליטה'!$A$5:$A$204,$A135,'רווחה - קליטה'!$C$5:$C$204,"תחילת שנה"),""))</f>
        <v/>
      </c>
      <c r="D135" s="27" t="str">
        <f aca="false">IF($A135="","",IFERROR(INDEX('רווחה - קליטה'!$AS$5:$AS$204,MATCH($A135&amp;"|תחילת שנה",'רווחה - קליטה'!$AE$5:$AE$204,0)),""))</f>
        <v/>
      </c>
      <c r="E135" s="36" t="str">
        <f aca="false">IF($A135="","",IFERROR(AVERAGEIFS('רווחה - קליטה'!$AQ$5:$AQ$204,'רווחה - קליטה'!$A$5:$A$204,$A135,'רווחה - קליטה'!$C$5:$C$204,"אמצע שנה"),""))</f>
        <v/>
      </c>
      <c r="F135" s="28" t="str">
        <f aca="false">IF($A135="","",IFERROR(AVERAGEIFS('רווחה - קליטה'!$AK$5:$AK$204,'רווחה - קליטה'!$A$5:$A$204,$A135,'רווחה - קליטה'!$C$5:$C$204,"אמצע שנה"),""))</f>
        <v/>
      </c>
      <c r="G135" s="27" t="str">
        <f aca="false">IF($A135="","",IFERROR(INDEX('רווחה - קליטה'!$AS$5:$AS$204,MATCH($A135&amp;"|אמצע שנה",'רווחה - קליטה'!$AE$5:$AE$204,0)),""))</f>
        <v/>
      </c>
      <c r="H135" s="36" t="str">
        <f aca="false">IF($A135="","",IFERROR(AVERAGEIFS('רווחה - קליטה'!$AQ$5:$AQ$204,'רווחה - קליטה'!$A$5:$A$204,$A135,'רווחה - קליטה'!$C$5:$C$204,"סוף שנה"),""))</f>
        <v/>
      </c>
      <c r="I135" s="28" t="str">
        <f aca="false">IF($A135="","",IFERROR(AVERAGEIFS('רווחה - קליטה'!$AK$5:$AK$204,'רווחה - קליטה'!$A$5:$A$204,$A135,'רווחה - קליטה'!$C$5:$C$204,"סוף שנה"),""))</f>
        <v/>
      </c>
      <c r="J135" s="27" t="str">
        <f aca="false">IF($A135="","",IFERROR(INDEX('רווחה - קליטה'!$AS$5:$AS$204,MATCH($A135&amp;"|סוף שנה",'רווחה - קליטה'!$AE$5:$AE$204,0)),""))</f>
        <v/>
      </c>
      <c r="K135" s="37" t="str">
        <f aca="false">IF(AND(ISNUMBER(B135),ISNUMBER(H135)),H135-B135,"")</f>
        <v/>
      </c>
      <c r="L135" s="27" t="str">
        <f aca="false">IF(K135="","",IF(K135&gt;=0.5,"עלייה",IF(K135&lt;=-0.5,"ירידה","יציב")))</f>
        <v/>
      </c>
    </row>
    <row r="136" customFormat="false" ht="15" hidden="false" customHeight="false" outlineLevel="0" collapsed="false">
      <c r="A136" s="29"/>
      <c r="B136" s="36" t="str">
        <f aca="false">IF($A136="","",IFERROR(AVERAGEIFS('רווחה - קליטה'!$AQ$5:$AQ$204,'רווחה - קליטה'!$A$5:$A$204,$A136,'רווחה - קליטה'!$C$5:$C$204,"תחילת שנה"),""))</f>
        <v/>
      </c>
      <c r="C136" s="28" t="str">
        <f aca="false">IF($A136="","",IFERROR(AVERAGEIFS('רווחה - קליטה'!$AK$5:$AK$204,'רווחה - קליטה'!$A$5:$A$204,$A136,'רווחה - קליטה'!$C$5:$C$204,"תחילת שנה"),""))</f>
        <v/>
      </c>
      <c r="D136" s="27" t="str">
        <f aca="false">IF($A136="","",IFERROR(INDEX('רווחה - קליטה'!$AS$5:$AS$204,MATCH($A136&amp;"|תחילת שנה",'רווחה - קליטה'!$AE$5:$AE$204,0)),""))</f>
        <v/>
      </c>
      <c r="E136" s="36" t="str">
        <f aca="false">IF($A136="","",IFERROR(AVERAGEIFS('רווחה - קליטה'!$AQ$5:$AQ$204,'רווחה - קליטה'!$A$5:$A$204,$A136,'רווחה - קליטה'!$C$5:$C$204,"אמצע שנה"),""))</f>
        <v/>
      </c>
      <c r="F136" s="28" t="str">
        <f aca="false">IF($A136="","",IFERROR(AVERAGEIFS('רווחה - קליטה'!$AK$5:$AK$204,'רווחה - קליטה'!$A$5:$A$204,$A136,'רווחה - קליטה'!$C$5:$C$204,"אמצע שנה"),""))</f>
        <v/>
      </c>
      <c r="G136" s="27" t="str">
        <f aca="false">IF($A136="","",IFERROR(INDEX('רווחה - קליטה'!$AS$5:$AS$204,MATCH($A136&amp;"|אמצע שנה",'רווחה - קליטה'!$AE$5:$AE$204,0)),""))</f>
        <v/>
      </c>
      <c r="H136" s="36" t="str">
        <f aca="false">IF($A136="","",IFERROR(AVERAGEIFS('רווחה - קליטה'!$AQ$5:$AQ$204,'רווחה - קליטה'!$A$5:$A$204,$A136,'רווחה - קליטה'!$C$5:$C$204,"סוף שנה"),""))</f>
        <v/>
      </c>
      <c r="I136" s="28" t="str">
        <f aca="false">IF($A136="","",IFERROR(AVERAGEIFS('רווחה - קליטה'!$AK$5:$AK$204,'רווחה - קליטה'!$A$5:$A$204,$A136,'רווחה - קליטה'!$C$5:$C$204,"סוף שנה"),""))</f>
        <v/>
      </c>
      <c r="J136" s="27" t="str">
        <f aca="false">IF($A136="","",IFERROR(INDEX('רווחה - קליטה'!$AS$5:$AS$204,MATCH($A136&amp;"|סוף שנה",'רווחה - קליטה'!$AE$5:$AE$204,0)),""))</f>
        <v/>
      </c>
      <c r="K136" s="37" t="str">
        <f aca="false">IF(AND(ISNUMBER(B136),ISNUMBER(H136)),H136-B136,"")</f>
        <v/>
      </c>
      <c r="L136" s="27" t="str">
        <f aca="false">IF(K136="","",IF(K136&gt;=0.5,"עלייה",IF(K136&lt;=-0.5,"ירידה","יציב")))</f>
        <v/>
      </c>
    </row>
    <row r="137" customFormat="false" ht="15" hidden="false" customHeight="false" outlineLevel="0" collapsed="false">
      <c r="A137" s="29"/>
      <c r="B137" s="36" t="str">
        <f aca="false">IF($A137="","",IFERROR(AVERAGEIFS('רווחה - קליטה'!$AQ$5:$AQ$204,'רווחה - קליטה'!$A$5:$A$204,$A137,'רווחה - קליטה'!$C$5:$C$204,"תחילת שנה"),""))</f>
        <v/>
      </c>
      <c r="C137" s="28" t="str">
        <f aca="false">IF($A137="","",IFERROR(AVERAGEIFS('רווחה - קליטה'!$AK$5:$AK$204,'רווחה - קליטה'!$A$5:$A$204,$A137,'רווחה - קליטה'!$C$5:$C$204,"תחילת שנה"),""))</f>
        <v/>
      </c>
      <c r="D137" s="27" t="str">
        <f aca="false">IF($A137="","",IFERROR(INDEX('רווחה - קליטה'!$AS$5:$AS$204,MATCH($A137&amp;"|תחילת שנה",'רווחה - קליטה'!$AE$5:$AE$204,0)),""))</f>
        <v/>
      </c>
      <c r="E137" s="36" t="str">
        <f aca="false">IF($A137="","",IFERROR(AVERAGEIFS('רווחה - קליטה'!$AQ$5:$AQ$204,'רווחה - קליטה'!$A$5:$A$204,$A137,'רווחה - קליטה'!$C$5:$C$204,"אמצע שנה"),""))</f>
        <v/>
      </c>
      <c r="F137" s="28" t="str">
        <f aca="false">IF($A137="","",IFERROR(AVERAGEIFS('רווחה - קליטה'!$AK$5:$AK$204,'רווחה - קליטה'!$A$5:$A$204,$A137,'רווחה - קליטה'!$C$5:$C$204,"אמצע שנה"),""))</f>
        <v/>
      </c>
      <c r="G137" s="27" t="str">
        <f aca="false">IF($A137="","",IFERROR(INDEX('רווחה - קליטה'!$AS$5:$AS$204,MATCH($A137&amp;"|אמצע שנה",'רווחה - קליטה'!$AE$5:$AE$204,0)),""))</f>
        <v/>
      </c>
      <c r="H137" s="36" t="str">
        <f aca="false">IF($A137="","",IFERROR(AVERAGEIFS('רווחה - קליטה'!$AQ$5:$AQ$204,'רווחה - קליטה'!$A$5:$A$204,$A137,'רווחה - קליטה'!$C$5:$C$204,"סוף שנה"),""))</f>
        <v/>
      </c>
      <c r="I137" s="28" t="str">
        <f aca="false">IF($A137="","",IFERROR(AVERAGEIFS('רווחה - קליטה'!$AK$5:$AK$204,'רווחה - קליטה'!$A$5:$A$204,$A137,'רווחה - קליטה'!$C$5:$C$204,"סוף שנה"),""))</f>
        <v/>
      </c>
      <c r="J137" s="27" t="str">
        <f aca="false">IF($A137="","",IFERROR(INDEX('רווחה - קליטה'!$AS$5:$AS$204,MATCH($A137&amp;"|סוף שנה",'רווחה - קליטה'!$AE$5:$AE$204,0)),""))</f>
        <v/>
      </c>
      <c r="K137" s="37" t="str">
        <f aca="false">IF(AND(ISNUMBER(B137),ISNUMBER(H137)),H137-B137,"")</f>
        <v/>
      </c>
      <c r="L137" s="27" t="str">
        <f aca="false">IF(K137="","",IF(K137&gt;=0.5,"עלייה",IF(K137&lt;=-0.5,"ירידה","יציב")))</f>
        <v/>
      </c>
    </row>
    <row r="138" customFormat="false" ht="15" hidden="false" customHeight="false" outlineLevel="0" collapsed="false">
      <c r="A138" s="29"/>
      <c r="B138" s="36" t="str">
        <f aca="false">IF($A138="","",IFERROR(AVERAGEIFS('רווחה - קליטה'!$AQ$5:$AQ$204,'רווחה - קליטה'!$A$5:$A$204,$A138,'רווחה - קליטה'!$C$5:$C$204,"תחילת שנה"),""))</f>
        <v/>
      </c>
      <c r="C138" s="28" t="str">
        <f aca="false">IF($A138="","",IFERROR(AVERAGEIFS('רווחה - קליטה'!$AK$5:$AK$204,'רווחה - קליטה'!$A$5:$A$204,$A138,'רווחה - קליטה'!$C$5:$C$204,"תחילת שנה"),""))</f>
        <v/>
      </c>
      <c r="D138" s="27" t="str">
        <f aca="false">IF($A138="","",IFERROR(INDEX('רווחה - קליטה'!$AS$5:$AS$204,MATCH($A138&amp;"|תחילת שנה",'רווחה - קליטה'!$AE$5:$AE$204,0)),""))</f>
        <v/>
      </c>
      <c r="E138" s="36" t="str">
        <f aca="false">IF($A138="","",IFERROR(AVERAGEIFS('רווחה - קליטה'!$AQ$5:$AQ$204,'רווחה - קליטה'!$A$5:$A$204,$A138,'רווחה - קליטה'!$C$5:$C$204,"אמצע שנה"),""))</f>
        <v/>
      </c>
      <c r="F138" s="28" t="str">
        <f aca="false">IF($A138="","",IFERROR(AVERAGEIFS('רווחה - קליטה'!$AK$5:$AK$204,'רווחה - קליטה'!$A$5:$A$204,$A138,'רווחה - קליטה'!$C$5:$C$204,"אמצע שנה"),""))</f>
        <v/>
      </c>
      <c r="G138" s="27" t="str">
        <f aca="false">IF($A138="","",IFERROR(INDEX('רווחה - קליטה'!$AS$5:$AS$204,MATCH($A138&amp;"|אמצע שנה",'רווחה - קליטה'!$AE$5:$AE$204,0)),""))</f>
        <v/>
      </c>
      <c r="H138" s="36" t="str">
        <f aca="false">IF($A138="","",IFERROR(AVERAGEIFS('רווחה - קליטה'!$AQ$5:$AQ$204,'רווחה - קליטה'!$A$5:$A$204,$A138,'רווחה - קליטה'!$C$5:$C$204,"סוף שנה"),""))</f>
        <v/>
      </c>
      <c r="I138" s="28" t="str">
        <f aca="false">IF($A138="","",IFERROR(AVERAGEIFS('רווחה - קליטה'!$AK$5:$AK$204,'רווחה - קליטה'!$A$5:$A$204,$A138,'רווחה - קליטה'!$C$5:$C$204,"סוף שנה"),""))</f>
        <v/>
      </c>
      <c r="J138" s="27" t="str">
        <f aca="false">IF($A138="","",IFERROR(INDEX('רווחה - קליטה'!$AS$5:$AS$204,MATCH($A138&amp;"|סוף שנה",'רווחה - קליטה'!$AE$5:$AE$204,0)),""))</f>
        <v/>
      </c>
      <c r="K138" s="37" t="str">
        <f aca="false">IF(AND(ISNUMBER(B138),ISNUMBER(H138)),H138-B138,"")</f>
        <v/>
      </c>
      <c r="L138" s="27" t="str">
        <f aca="false">IF(K138="","",IF(K138&gt;=0.5,"עלייה",IF(K138&lt;=-0.5,"ירידה","יציב")))</f>
        <v/>
      </c>
    </row>
    <row r="139" customFormat="false" ht="15" hidden="false" customHeight="false" outlineLevel="0" collapsed="false">
      <c r="A139" s="29"/>
      <c r="B139" s="36" t="str">
        <f aca="false">IF($A139="","",IFERROR(AVERAGEIFS('רווחה - קליטה'!$AQ$5:$AQ$204,'רווחה - קליטה'!$A$5:$A$204,$A139,'רווחה - קליטה'!$C$5:$C$204,"תחילת שנה"),""))</f>
        <v/>
      </c>
      <c r="C139" s="28" t="str">
        <f aca="false">IF($A139="","",IFERROR(AVERAGEIFS('רווחה - קליטה'!$AK$5:$AK$204,'רווחה - קליטה'!$A$5:$A$204,$A139,'רווחה - קליטה'!$C$5:$C$204,"תחילת שנה"),""))</f>
        <v/>
      </c>
      <c r="D139" s="27" t="str">
        <f aca="false">IF($A139="","",IFERROR(INDEX('רווחה - קליטה'!$AS$5:$AS$204,MATCH($A139&amp;"|תחילת שנה",'רווחה - קליטה'!$AE$5:$AE$204,0)),""))</f>
        <v/>
      </c>
      <c r="E139" s="36" t="str">
        <f aca="false">IF($A139="","",IFERROR(AVERAGEIFS('רווחה - קליטה'!$AQ$5:$AQ$204,'רווחה - קליטה'!$A$5:$A$204,$A139,'רווחה - קליטה'!$C$5:$C$204,"אמצע שנה"),""))</f>
        <v/>
      </c>
      <c r="F139" s="28" t="str">
        <f aca="false">IF($A139="","",IFERROR(AVERAGEIFS('רווחה - קליטה'!$AK$5:$AK$204,'רווחה - קליטה'!$A$5:$A$204,$A139,'רווחה - קליטה'!$C$5:$C$204,"אמצע שנה"),""))</f>
        <v/>
      </c>
      <c r="G139" s="27" t="str">
        <f aca="false">IF($A139="","",IFERROR(INDEX('רווחה - קליטה'!$AS$5:$AS$204,MATCH($A139&amp;"|אמצע שנה",'רווחה - קליטה'!$AE$5:$AE$204,0)),""))</f>
        <v/>
      </c>
      <c r="H139" s="36" t="str">
        <f aca="false">IF($A139="","",IFERROR(AVERAGEIFS('רווחה - קליטה'!$AQ$5:$AQ$204,'רווחה - קליטה'!$A$5:$A$204,$A139,'רווחה - קליטה'!$C$5:$C$204,"סוף שנה"),""))</f>
        <v/>
      </c>
      <c r="I139" s="28" t="str">
        <f aca="false">IF($A139="","",IFERROR(AVERAGEIFS('רווחה - קליטה'!$AK$5:$AK$204,'רווחה - קליטה'!$A$5:$A$204,$A139,'רווחה - קליטה'!$C$5:$C$204,"סוף שנה"),""))</f>
        <v/>
      </c>
      <c r="J139" s="27" t="str">
        <f aca="false">IF($A139="","",IFERROR(INDEX('רווחה - קליטה'!$AS$5:$AS$204,MATCH($A139&amp;"|סוף שנה",'רווחה - קליטה'!$AE$5:$AE$204,0)),""))</f>
        <v/>
      </c>
      <c r="K139" s="37" t="str">
        <f aca="false">IF(AND(ISNUMBER(B139),ISNUMBER(H139)),H139-B139,"")</f>
        <v/>
      </c>
      <c r="L139" s="27" t="str">
        <f aca="false">IF(K139="","",IF(K139&gt;=0.5,"עלייה",IF(K139&lt;=-0.5,"ירידה","יציב")))</f>
        <v/>
      </c>
    </row>
    <row r="140" customFormat="false" ht="15" hidden="false" customHeight="false" outlineLevel="0" collapsed="false">
      <c r="A140" s="29"/>
      <c r="B140" s="36" t="str">
        <f aca="false">IF($A140="","",IFERROR(AVERAGEIFS('רווחה - קליטה'!$AQ$5:$AQ$204,'רווחה - קליטה'!$A$5:$A$204,$A140,'רווחה - קליטה'!$C$5:$C$204,"תחילת שנה"),""))</f>
        <v/>
      </c>
      <c r="C140" s="28" t="str">
        <f aca="false">IF($A140="","",IFERROR(AVERAGEIFS('רווחה - קליטה'!$AK$5:$AK$204,'רווחה - קליטה'!$A$5:$A$204,$A140,'רווחה - קליטה'!$C$5:$C$204,"תחילת שנה"),""))</f>
        <v/>
      </c>
      <c r="D140" s="27" t="str">
        <f aca="false">IF($A140="","",IFERROR(INDEX('רווחה - קליטה'!$AS$5:$AS$204,MATCH($A140&amp;"|תחילת שנה",'רווחה - קליטה'!$AE$5:$AE$204,0)),""))</f>
        <v/>
      </c>
      <c r="E140" s="36" t="str">
        <f aca="false">IF($A140="","",IFERROR(AVERAGEIFS('רווחה - קליטה'!$AQ$5:$AQ$204,'רווחה - קליטה'!$A$5:$A$204,$A140,'רווחה - קליטה'!$C$5:$C$204,"אמצע שנה"),""))</f>
        <v/>
      </c>
      <c r="F140" s="28" t="str">
        <f aca="false">IF($A140="","",IFERROR(AVERAGEIFS('רווחה - קליטה'!$AK$5:$AK$204,'רווחה - קליטה'!$A$5:$A$204,$A140,'רווחה - קליטה'!$C$5:$C$204,"אמצע שנה"),""))</f>
        <v/>
      </c>
      <c r="G140" s="27" t="str">
        <f aca="false">IF($A140="","",IFERROR(INDEX('רווחה - קליטה'!$AS$5:$AS$204,MATCH($A140&amp;"|אמצע שנה",'רווחה - קליטה'!$AE$5:$AE$204,0)),""))</f>
        <v/>
      </c>
      <c r="H140" s="36" t="str">
        <f aca="false">IF($A140="","",IFERROR(AVERAGEIFS('רווחה - קליטה'!$AQ$5:$AQ$204,'רווחה - קליטה'!$A$5:$A$204,$A140,'רווחה - קליטה'!$C$5:$C$204,"סוף שנה"),""))</f>
        <v/>
      </c>
      <c r="I140" s="28" t="str">
        <f aca="false">IF($A140="","",IFERROR(AVERAGEIFS('רווחה - קליטה'!$AK$5:$AK$204,'רווחה - קליטה'!$A$5:$A$204,$A140,'רווחה - קליטה'!$C$5:$C$204,"סוף שנה"),""))</f>
        <v/>
      </c>
      <c r="J140" s="27" t="str">
        <f aca="false">IF($A140="","",IFERROR(INDEX('רווחה - קליטה'!$AS$5:$AS$204,MATCH($A140&amp;"|סוף שנה",'רווחה - קליטה'!$AE$5:$AE$204,0)),""))</f>
        <v/>
      </c>
      <c r="K140" s="37" t="str">
        <f aca="false">IF(AND(ISNUMBER(B140),ISNUMBER(H140)),H140-B140,"")</f>
        <v/>
      </c>
      <c r="L140" s="27" t="str">
        <f aca="false">IF(K140="","",IF(K140&gt;=0.5,"עלייה",IF(K140&lt;=-0.5,"ירידה","יציב")))</f>
        <v/>
      </c>
    </row>
    <row r="141" customFormat="false" ht="15" hidden="false" customHeight="false" outlineLevel="0" collapsed="false">
      <c r="A141" s="29"/>
      <c r="B141" s="36" t="str">
        <f aca="false">IF($A141="","",IFERROR(AVERAGEIFS('רווחה - קליטה'!$AQ$5:$AQ$204,'רווחה - קליטה'!$A$5:$A$204,$A141,'רווחה - קליטה'!$C$5:$C$204,"תחילת שנה"),""))</f>
        <v/>
      </c>
      <c r="C141" s="28" t="str">
        <f aca="false">IF($A141="","",IFERROR(AVERAGEIFS('רווחה - קליטה'!$AK$5:$AK$204,'רווחה - קליטה'!$A$5:$A$204,$A141,'רווחה - קליטה'!$C$5:$C$204,"תחילת שנה"),""))</f>
        <v/>
      </c>
      <c r="D141" s="27" t="str">
        <f aca="false">IF($A141="","",IFERROR(INDEX('רווחה - קליטה'!$AS$5:$AS$204,MATCH($A141&amp;"|תחילת שנה",'רווחה - קליטה'!$AE$5:$AE$204,0)),""))</f>
        <v/>
      </c>
      <c r="E141" s="36" t="str">
        <f aca="false">IF($A141="","",IFERROR(AVERAGEIFS('רווחה - קליטה'!$AQ$5:$AQ$204,'רווחה - קליטה'!$A$5:$A$204,$A141,'רווחה - קליטה'!$C$5:$C$204,"אמצע שנה"),""))</f>
        <v/>
      </c>
      <c r="F141" s="28" t="str">
        <f aca="false">IF($A141="","",IFERROR(AVERAGEIFS('רווחה - קליטה'!$AK$5:$AK$204,'רווחה - קליטה'!$A$5:$A$204,$A141,'רווחה - קליטה'!$C$5:$C$204,"אמצע שנה"),""))</f>
        <v/>
      </c>
      <c r="G141" s="27" t="str">
        <f aca="false">IF($A141="","",IFERROR(INDEX('רווחה - קליטה'!$AS$5:$AS$204,MATCH($A141&amp;"|אמצע שנה",'רווחה - קליטה'!$AE$5:$AE$204,0)),""))</f>
        <v/>
      </c>
      <c r="H141" s="36" t="str">
        <f aca="false">IF($A141="","",IFERROR(AVERAGEIFS('רווחה - קליטה'!$AQ$5:$AQ$204,'רווחה - קליטה'!$A$5:$A$204,$A141,'רווחה - קליטה'!$C$5:$C$204,"סוף שנה"),""))</f>
        <v/>
      </c>
      <c r="I141" s="28" t="str">
        <f aca="false">IF($A141="","",IFERROR(AVERAGEIFS('רווחה - קליטה'!$AK$5:$AK$204,'רווחה - קליטה'!$A$5:$A$204,$A141,'רווחה - קליטה'!$C$5:$C$204,"סוף שנה"),""))</f>
        <v/>
      </c>
      <c r="J141" s="27" t="str">
        <f aca="false">IF($A141="","",IFERROR(INDEX('רווחה - קליטה'!$AS$5:$AS$204,MATCH($A141&amp;"|סוף שנה",'רווחה - קליטה'!$AE$5:$AE$204,0)),""))</f>
        <v/>
      </c>
      <c r="K141" s="37" t="str">
        <f aca="false">IF(AND(ISNUMBER(B141),ISNUMBER(H141)),H141-B141,"")</f>
        <v/>
      </c>
      <c r="L141" s="27" t="str">
        <f aca="false">IF(K141="","",IF(K141&gt;=0.5,"עלייה",IF(K141&lt;=-0.5,"ירידה","יציב")))</f>
        <v/>
      </c>
    </row>
    <row r="142" customFormat="false" ht="15" hidden="false" customHeight="false" outlineLevel="0" collapsed="false">
      <c r="A142" s="29"/>
      <c r="B142" s="36" t="str">
        <f aca="false">IF($A142="","",IFERROR(AVERAGEIFS('רווחה - קליטה'!$AQ$5:$AQ$204,'רווחה - קליטה'!$A$5:$A$204,$A142,'רווחה - קליטה'!$C$5:$C$204,"תחילת שנה"),""))</f>
        <v/>
      </c>
      <c r="C142" s="28" t="str">
        <f aca="false">IF($A142="","",IFERROR(AVERAGEIFS('רווחה - קליטה'!$AK$5:$AK$204,'רווחה - קליטה'!$A$5:$A$204,$A142,'רווחה - קליטה'!$C$5:$C$204,"תחילת שנה"),""))</f>
        <v/>
      </c>
      <c r="D142" s="27" t="str">
        <f aca="false">IF($A142="","",IFERROR(INDEX('רווחה - קליטה'!$AS$5:$AS$204,MATCH($A142&amp;"|תחילת שנה",'רווחה - קליטה'!$AE$5:$AE$204,0)),""))</f>
        <v/>
      </c>
      <c r="E142" s="36" t="str">
        <f aca="false">IF($A142="","",IFERROR(AVERAGEIFS('רווחה - קליטה'!$AQ$5:$AQ$204,'רווחה - קליטה'!$A$5:$A$204,$A142,'רווחה - קליטה'!$C$5:$C$204,"אמצע שנה"),""))</f>
        <v/>
      </c>
      <c r="F142" s="28" t="str">
        <f aca="false">IF($A142="","",IFERROR(AVERAGEIFS('רווחה - קליטה'!$AK$5:$AK$204,'רווחה - קליטה'!$A$5:$A$204,$A142,'רווחה - קליטה'!$C$5:$C$204,"אמצע שנה"),""))</f>
        <v/>
      </c>
      <c r="G142" s="27" t="str">
        <f aca="false">IF($A142="","",IFERROR(INDEX('רווחה - קליטה'!$AS$5:$AS$204,MATCH($A142&amp;"|אמצע שנה",'רווחה - קליטה'!$AE$5:$AE$204,0)),""))</f>
        <v/>
      </c>
      <c r="H142" s="36" t="str">
        <f aca="false">IF($A142="","",IFERROR(AVERAGEIFS('רווחה - קליטה'!$AQ$5:$AQ$204,'רווחה - קליטה'!$A$5:$A$204,$A142,'רווחה - קליטה'!$C$5:$C$204,"סוף שנה"),""))</f>
        <v/>
      </c>
      <c r="I142" s="28" t="str">
        <f aca="false">IF($A142="","",IFERROR(AVERAGEIFS('רווחה - קליטה'!$AK$5:$AK$204,'רווחה - קליטה'!$A$5:$A$204,$A142,'רווחה - קליטה'!$C$5:$C$204,"סוף שנה"),""))</f>
        <v/>
      </c>
      <c r="J142" s="27" t="str">
        <f aca="false">IF($A142="","",IFERROR(INDEX('רווחה - קליטה'!$AS$5:$AS$204,MATCH($A142&amp;"|סוף שנה",'רווחה - קליטה'!$AE$5:$AE$204,0)),""))</f>
        <v/>
      </c>
      <c r="K142" s="37" t="str">
        <f aca="false">IF(AND(ISNUMBER(B142),ISNUMBER(H142)),H142-B142,"")</f>
        <v/>
      </c>
      <c r="L142" s="27" t="str">
        <f aca="false">IF(K142="","",IF(K142&gt;=0.5,"עלייה",IF(K142&lt;=-0.5,"ירידה","יציב")))</f>
        <v/>
      </c>
    </row>
    <row r="143" customFormat="false" ht="15" hidden="false" customHeight="false" outlineLevel="0" collapsed="false">
      <c r="A143" s="29"/>
      <c r="B143" s="36" t="str">
        <f aca="false">IF($A143="","",IFERROR(AVERAGEIFS('רווחה - קליטה'!$AQ$5:$AQ$204,'רווחה - קליטה'!$A$5:$A$204,$A143,'רווחה - קליטה'!$C$5:$C$204,"תחילת שנה"),""))</f>
        <v/>
      </c>
      <c r="C143" s="28" t="str">
        <f aca="false">IF($A143="","",IFERROR(AVERAGEIFS('רווחה - קליטה'!$AK$5:$AK$204,'רווחה - קליטה'!$A$5:$A$204,$A143,'רווחה - קליטה'!$C$5:$C$204,"תחילת שנה"),""))</f>
        <v/>
      </c>
      <c r="D143" s="27" t="str">
        <f aca="false">IF($A143="","",IFERROR(INDEX('רווחה - קליטה'!$AS$5:$AS$204,MATCH($A143&amp;"|תחילת שנה",'רווחה - קליטה'!$AE$5:$AE$204,0)),""))</f>
        <v/>
      </c>
      <c r="E143" s="36" t="str">
        <f aca="false">IF($A143="","",IFERROR(AVERAGEIFS('רווחה - קליטה'!$AQ$5:$AQ$204,'רווחה - קליטה'!$A$5:$A$204,$A143,'רווחה - קליטה'!$C$5:$C$204,"אמצע שנה"),""))</f>
        <v/>
      </c>
      <c r="F143" s="28" t="str">
        <f aca="false">IF($A143="","",IFERROR(AVERAGEIFS('רווחה - קליטה'!$AK$5:$AK$204,'רווחה - קליטה'!$A$5:$A$204,$A143,'רווחה - קליטה'!$C$5:$C$204,"אמצע שנה"),""))</f>
        <v/>
      </c>
      <c r="G143" s="27" t="str">
        <f aca="false">IF($A143="","",IFERROR(INDEX('רווחה - קליטה'!$AS$5:$AS$204,MATCH($A143&amp;"|אמצע שנה",'רווחה - קליטה'!$AE$5:$AE$204,0)),""))</f>
        <v/>
      </c>
      <c r="H143" s="36" t="str">
        <f aca="false">IF($A143="","",IFERROR(AVERAGEIFS('רווחה - קליטה'!$AQ$5:$AQ$204,'רווחה - קליטה'!$A$5:$A$204,$A143,'רווחה - קליטה'!$C$5:$C$204,"סוף שנה"),""))</f>
        <v/>
      </c>
      <c r="I143" s="28" t="str">
        <f aca="false">IF($A143="","",IFERROR(AVERAGEIFS('רווחה - קליטה'!$AK$5:$AK$204,'רווחה - קליטה'!$A$5:$A$204,$A143,'רווחה - קליטה'!$C$5:$C$204,"סוף שנה"),""))</f>
        <v/>
      </c>
      <c r="J143" s="27" t="str">
        <f aca="false">IF($A143="","",IFERROR(INDEX('רווחה - קליטה'!$AS$5:$AS$204,MATCH($A143&amp;"|סוף שנה",'רווחה - קליטה'!$AE$5:$AE$204,0)),""))</f>
        <v/>
      </c>
      <c r="K143" s="37" t="str">
        <f aca="false">IF(AND(ISNUMBER(B143),ISNUMBER(H143)),H143-B143,"")</f>
        <v/>
      </c>
      <c r="L143" s="27" t="str">
        <f aca="false">IF(K143="","",IF(K143&gt;=0.5,"עלייה",IF(K143&lt;=-0.5,"ירידה","יציב")))</f>
        <v/>
      </c>
    </row>
    <row r="144" customFormat="false" ht="15" hidden="false" customHeight="false" outlineLevel="0" collapsed="false">
      <c r="A144" s="29"/>
      <c r="B144" s="36" t="str">
        <f aca="false">IF($A144="","",IFERROR(AVERAGEIFS('רווחה - קליטה'!$AQ$5:$AQ$204,'רווחה - קליטה'!$A$5:$A$204,$A144,'רווחה - קליטה'!$C$5:$C$204,"תחילת שנה"),""))</f>
        <v/>
      </c>
      <c r="C144" s="28" t="str">
        <f aca="false">IF($A144="","",IFERROR(AVERAGEIFS('רווחה - קליטה'!$AK$5:$AK$204,'רווחה - קליטה'!$A$5:$A$204,$A144,'רווחה - קליטה'!$C$5:$C$204,"תחילת שנה"),""))</f>
        <v/>
      </c>
      <c r="D144" s="27" t="str">
        <f aca="false">IF($A144="","",IFERROR(INDEX('רווחה - קליטה'!$AS$5:$AS$204,MATCH($A144&amp;"|תחילת שנה",'רווחה - קליטה'!$AE$5:$AE$204,0)),""))</f>
        <v/>
      </c>
      <c r="E144" s="36" t="str">
        <f aca="false">IF($A144="","",IFERROR(AVERAGEIFS('רווחה - קליטה'!$AQ$5:$AQ$204,'רווחה - קליטה'!$A$5:$A$204,$A144,'רווחה - קליטה'!$C$5:$C$204,"אמצע שנה"),""))</f>
        <v/>
      </c>
      <c r="F144" s="28" t="str">
        <f aca="false">IF($A144="","",IFERROR(AVERAGEIFS('רווחה - קליטה'!$AK$5:$AK$204,'רווחה - קליטה'!$A$5:$A$204,$A144,'רווחה - קליטה'!$C$5:$C$204,"אמצע שנה"),""))</f>
        <v/>
      </c>
      <c r="G144" s="27" t="str">
        <f aca="false">IF($A144="","",IFERROR(INDEX('רווחה - קליטה'!$AS$5:$AS$204,MATCH($A144&amp;"|אמצע שנה",'רווחה - קליטה'!$AE$5:$AE$204,0)),""))</f>
        <v/>
      </c>
      <c r="H144" s="36" t="str">
        <f aca="false">IF($A144="","",IFERROR(AVERAGEIFS('רווחה - קליטה'!$AQ$5:$AQ$204,'רווחה - קליטה'!$A$5:$A$204,$A144,'רווחה - קליטה'!$C$5:$C$204,"סוף שנה"),""))</f>
        <v/>
      </c>
      <c r="I144" s="28" t="str">
        <f aca="false">IF($A144="","",IFERROR(AVERAGEIFS('רווחה - קליטה'!$AK$5:$AK$204,'רווחה - קליטה'!$A$5:$A$204,$A144,'רווחה - קליטה'!$C$5:$C$204,"סוף שנה"),""))</f>
        <v/>
      </c>
      <c r="J144" s="27" t="str">
        <f aca="false">IF($A144="","",IFERROR(INDEX('רווחה - קליטה'!$AS$5:$AS$204,MATCH($A144&amp;"|סוף שנה",'רווחה - קליטה'!$AE$5:$AE$204,0)),""))</f>
        <v/>
      </c>
      <c r="K144" s="37" t="str">
        <f aca="false">IF(AND(ISNUMBER(B144),ISNUMBER(H144)),H144-B144,"")</f>
        <v/>
      </c>
      <c r="L144" s="27" t="str">
        <f aca="false">IF(K144="","",IF(K144&gt;=0.5,"עלייה",IF(K144&lt;=-0.5,"ירידה","יציב")))</f>
        <v/>
      </c>
    </row>
    <row r="145" customFormat="false" ht="15" hidden="false" customHeight="false" outlineLevel="0" collapsed="false">
      <c r="A145" s="29"/>
      <c r="B145" s="36" t="str">
        <f aca="false">IF($A145="","",IFERROR(AVERAGEIFS('רווחה - קליטה'!$AQ$5:$AQ$204,'רווחה - קליטה'!$A$5:$A$204,$A145,'רווחה - קליטה'!$C$5:$C$204,"תחילת שנה"),""))</f>
        <v/>
      </c>
      <c r="C145" s="28" t="str">
        <f aca="false">IF($A145="","",IFERROR(AVERAGEIFS('רווחה - קליטה'!$AK$5:$AK$204,'רווחה - קליטה'!$A$5:$A$204,$A145,'רווחה - קליטה'!$C$5:$C$204,"תחילת שנה"),""))</f>
        <v/>
      </c>
      <c r="D145" s="27" t="str">
        <f aca="false">IF($A145="","",IFERROR(INDEX('רווחה - קליטה'!$AS$5:$AS$204,MATCH($A145&amp;"|תחילת שנה",'רווחה - קליטה'!$AE$5:$AE$204,0)),""))</f>
        <v/>
      </c>
      <c r="E145" s="36" t="str">
        <f aca="false">IF($A145="","",IFERROR(AVERAGEIFS('רווחה - קליטה'!$AQ$5:$AQ$204,'רווחה - קליטה'!$A$5:$A$204,$A145,'רווחה - קליטה'!$C$5:$C$204,"אמצע שנה"),""))</f>
        <v/>
      </c>
      <c r="F145" s="28" t="str">
        <f aca="false">IF($A145="","",IFERROR(AVERAGEIFS('רווחה - קליטה'!$AK$5:$AK$204,'רווחה - קליטה'!$A$5:$A$204,$A145,'רווחה - קליטה'!$C$5:$C$204,"אמצע שנה"),""))</f>
        <v/>
      </c>
      <c r="G145" s="27" t="str">
        <f aca="false">IF($A145="","",IFERROR(INDEX('רווחה - קליטה'!$AS$5:$AS$204,MATCH($A145&amp;"|אמצע שנה",'רווחה - קליטה'!$AE$5:$AE$204,0)),""))</f>
        <v/>
      </c>
      <c r="H145" s="36" t="str">
        <f aca="false">IF($A145="","",IFERROR(AVERAGEIFS('רווחה - קליטה'!$AQ$5:$AQ$204,'רווחה - קליטה'!$A$5:$A$204,$A145,'רווחה - קליטה'!$C$5:$C$204,"סוף שנה"),""))</f>
        <v/>
      </c>
      <c r="I145" s="28" t="str">
        <f aca="false">IF($A145="","",IFERROR(AVERAGEIFS('רווחה - קליטה'!$AK$5:$AK$204,'רווחה - קליטה'!$A$5:$A$204,$A145,'רווחה - קליטה'!$C$5:$C$204,"סוף שנה"),""))</f>
        <v/>
      </c>
      <c r="J145" s="27" t="str">
        <f aca="false">IF($A145="","",IFERROR(INDEX('רווחה - קליטה'!$AS$5:$AS$204,MATCH($A145&amp;"|סוף שנה",'רווחה - קליטה'!$AE$5:$AE$204,0)),""))</f>
        <v/>
      </c>
      <c r="K145" s="37" t="str">
        <f aca="false">IF(AND(ISNUMBER(B145),ISNUMBER(H145)),H145-B145,"")</f>
        <v/>
      </c>
      <c r="L145" s="27" t="str">
        <f aca="false">IF(K145="","",IF(K145&gt;=0.5,"עלייה",IF(K145&lt;=-0.5,"ירידה","יציב")))</f>
        <v/>
      </c>
    </row>
    <row r="146" customFormat="false" ht="15" hidden="false" customHeight="false" outlineLevel="0" collapsed="false">
      <c r="A146" s="29"/>
      <c r="B146" s="36" t="str">
        <f aca="false">IF($A146="","",IFERROR(AVERAGEIFS('רווחה - קליטה'!$AQ$5:$AQ$204,'רווחה - קליטה'!$A$5:$A$204,$A146,'רווחה - קליטה'!$C$5:$C$204,"תחילת שנה"),""))</f>
        <v/>
      </c>
      <c r="C146" s="28" t="str">
        <f aca="false">IF($A146="","",IFERROR(AVERAGEIFS('רווחה - קליטה'!$AK$5:$AK$204,'רווחה - קליטה'!$A$5:$A$204,$A146,'רווחה - קליטה'!$C$5:$C$204,"תחילת שנה"),""))</f>
        <v/>
      </c>
      <c r="D146" s="27" t="str">
        <f aca="false">IF($A146="","",IFERROR(INDEX('רווחה - קליטה'!$AS$5:$AS$204,MATCH($A146&amp;"|תחילת שנה",'רווחה - קליטה'!$AE$5:$AE$204,0)),""))</f>
        <v/>
      </c>
      <c r="E146" s="36" t="str">
        <f aca="false">IF($A146="","",IFERROR(AVERAGEIFS('רווחה - קליטה'!$AQ$5:$AQ$204,'רווחה - קליטה'!$A$5:$A$204,$A146,'רווחה - קליטה'!$C$5:$C$204,"אמצע שנה"),""))</f>
        <v/>
      </c>
      <c r="F146" s="28" t="str">
        <f aca="false">IF($A146="","",IFERROR(AVERAGEIFS('רווחה - קליטה'!$AK$5:$AK$204,'רווחה - קליטה'!$A$5:$A$204,$A146,'רווחה - קליטה'!$C$5:$C$204,"אמצע שנה"),""))</f>
        <v/>
      </c>
      <c r="G146" s="27" t="str">
        <f aca="false">IF($A146="","",IFERROR(INDEX('רווחה - קליטה'!$AS$5:$AS$204,MATCH($A146&amp;"|אמצע שנה",'רווחה - קליטה'!$AE$5:$AE$204,0)),""))</f>
        <v/>
      </c>
      <c r="H146" s="36" t="str">
        <f aca="false">IF($A146="","",IFERROR(AVERAGEIFS('רווחה - קליטה'!$AQ$5:$AQ$204,'רווחה - קליטה'!$A$5:$A$204,$A146,'רווחה - קליטה'!$C$5:$C$204,"סוף שנה"),""))</f>
        <v/>
      </c>
      <c r="I146" s="28" t="str">
        <f aca="false">IF($A146="","",IFERROR(AVERAGEIFS('רווחה - קליטה'!$AK$5:$AK$204,'רווחה - קליטה'!$A$5:$A$204,$A146,'רווחה - קליטה'!$C$5:$C$204,"סוף שנה"),""))</f>
        <v/>
      </c>
      <c r="J146" s="27" t="str">
        <f aca="false">IF($A146="","",IFERROR(INDEX('רווחה - קליטה'!$AS$5:$AS$204,MATCH($A146&amp;"|סוף שנה",'רווחה - קליטה'!$AE$5:$AE$204,0)),""))</f>
        <v/>
      </c>
      <c r="K146" s="37" t="str">
        <f aca="false">IF(AND(ISNUMBER(B146),ISNUMBER(H146)),H146-B146,"")</f>
        <v/>
      </c>
      <c r="L146" s="27" t="str">
        <f aca="false">IF(K146="","",IF(K146&gt;=0.5,"עלייה",IF(K146&lt;=-0.5,"ירידה","יציב")))</f>
        <v/>
      </c>
    </row>
    <row r="147" customFormat="false" ht="15" hidden="false" customHeight="false" outlineLevel="0" collapsed="false">
      <c r="A147" s="29"/>
      <c r="B147" s="36" t="str">
        <f aca="false">IF($A147="","",IFERROR(AVERAGEIFS('רווחה - קליטה'!$AQ$5:$AQ$204,'רווחה - קליטה'!$A$5:$A$204,$A147,'רווחה - קליטה'!$C$5:$C$204,"תחילת שנה"),""))</f>
        <v/>
      </c>
      <c r="C147" s="28" t="str">
        <f aca="false">IF($A147="","",IFERROR(AVERAGEIFS('רווחה - קליטה'!$AK$5:$AK$204,'רווחה - קליטה'!$A$5:$A$204,$A147,'רווחה - קליטה'!$C$5:$C$204,"תחילת שנה"),""))</f>
        <v/>
      </c>
      <c r="D147" s="27" t="str">
        <f aca="false">IF($A147="","",IFERROR(INDEX('רווחה - קליטה'!$AS$5:$AS$204,MATCH($A147&amp;"|תחילת שנה",'רווחה - קליטה'!$AE$5:$AE$204,0)),""))</f>
        <v/>
      </c>
      <c r="E147" s="36" t="str">
        <f aca="false">IF($A147="","",IFERROR(AVERAGEIFS('רווחה - קליטה'!$AQ$5:$AQ$204,'רווחה - קליטה'!$A$5:$A$204,$A147,'רווחה - קליטה'!$C$5:$C$204,"אמצע שנה"),""))</f>
        <v/>
      </c>
      <c r="F147" s="28" t="str">
        <f aca="false">IF($A147="","",IFERROR(AVERAGEIFS('רווחה - קליטה'!$AK$5:$AK$204,'רווחה - קליטה'!$A$5:$A$204,$A147,'רווחה - קליטה'!$C$5:$C$204,"אמצע שנה"),""))</f>
        <v/>
      </c>
      <c r="G147" s="27" t="str">
        <f aca="false">IF($A147="","",IFERROR(INDEX('רווחה - קליטה'!$AS$5:$AS$204,MATCH($A147&amp;"|אמצע שנה",'רווחה - קליטה'!$AE$5:$AE$204,0)),""))</f>
        <v/>
      </c>
      <c r="H147" s="36" t="str">
        <f aca="false">IF($A147="","",IFERROR(AVERAGEIFS('רווחה - קליטה'!$AQ$5:$AQ$204,'רווחה - קליטה'!$A$5:$A$204,$A147,'רווחה - קליטה'!$C$5:$C$204,"סוף שנה"),""))</f>
        <v/>
      </c>
      <c r="I147" s="28" t="str">
        <f aca="false">IF($A147="","",IFERROR(AVERAGEIFS('רווחה - קליטה'!$AK$5:$AK$204,'רווחה - קליטה'!$A$5:$A$204,$A147,'רווחה - קליטה'!$C$5:$C$204,"סוף שנה"),""))</f>
        <v/>
      </c>
      <c r="J147" s="27" t="str">
        <f aca="false">IF($A147="","",IFERROR(INDEX('רווחה - קליטה'!$AS$5:$AS$204,MATCH($A147&amp;"|סוף שנה",'רווחה - קליטה'!$AE$5:$AE$204,0)),""))</f>
        <v/>
      </c>
      <c r="K147" s="37" t="str">
        <f aca="false">IF(AND(ISNUMBER(B147),ISNUMBER(H147)),H147-B147,"")</f>
        <v/>
      </c>
      <c r="L147" s="27" t="str">
        <f aca="false">IF(K147="","",IF(K147&gt;=0.5,"עלייה",IF(K147&lt;=-0.5,"ירידה","יציב")))</f>
        <v/>
      </c>
    </row>
    <row r="148" customFormat="false" ht="15" hidden="false" customHeight="false" outlineLevel="0" collapsed="false">
      <c r="A148" s="29"/>
      <c r="B148" s="36" t="str">
        <f aca="false">IF($A148="","",IFERROR(AVERAGEIFS('רווחה - קליטה'!$AQ$5:$AQ$204,'רווחה - קליטה'!$A$5:$A$204,$A148,'רווחה - קליטה'!$C$5:$C$204,"תחילת שנה"),""))</f>
        <v/>
      </c>
      <c r="C148" s="28" t="str">
        <f aca="false">IF($A148="","",IFERROR(AVERAGEIFS('רווחה - קליטה'!$AK$5:$AK$204,'רווחה - קליטה'!$A$5:$A$204,$A148,'רווחה - קליטה'!$C$5:$C$204,"תחילת שנה"),""))</f>
        <v/>
      </c>
      <c r="D148" s="27" t="str">
        <f aca="false">IF($A148="","",IFERROR(INDEX('רווחה - קליטה'!$AS$5:$AS$204,MATCH($A148&amp;"|תחילת שנה",'רווחה - קליטה'!$AE$5:$AE$204,0)),""))</f>
        <v/>
      </c>
      <c r="E148" s="36" t="str">
        <f aca="false">IF($A148="","",IFERROR(AVERAGEIFS('רווחה - קליטה'!$AQ$5:$AQ$204,'רווחה - קליטה'!$A$5:$A$204,$A148,'רווחה - קליטה'!$C$5:$C$204,"אמצע שנה"),""))</f>
        <v/>
      </c>
      <c r="F148" s="28" t="str">
        <f aca="false">IF($A148="","",IFERROR(AVERAGEIFS('רווחה - קליטה'!$AK$5:$AK$204,'רווחה - קליטה'!$A$5:$A$204,$A148,'רווחה - קליטה'!$C$5:$C$204,"אמצע שנה"),""))</f>
        <v/>
      </c>
      <c r="G148" s="27" t="str">
        <f aca="false">IF($A148="","",IFERROR(INDEX('רווחה - קליטה'!$AS$5:$AS$204,MATCH($A148&amp;"|אמצע שנה",'רווחה - קליטה'!$AE$5:$AE$204,0)),""))</f>
        <v/>
      </c>
      <c r="H148" s="36" t="str">
        <f aca="false">IF($A148="","",IFERROR(AVERAGEIFS('רווחה - קליטה'!$AQ$5:$AQ$204,'רווחה - קליטה'!$A$5:$A$204,$A148,'רווחה - קליטה'!$C$5:$C$204,"סוף שנה"),""))</f>
        <v/>
      </c>
      <c r="I148" s="28" t="str">
        <f aca="false">IF($A148="","",IFERROR(AVERAGEIFS('רווחה - קליטה'!$AK$5:$AK$204,'רווחה - קליטה'!$A$5:$A$204,$A148,'רווחה - קליטה'!$C$5:$C$204,"סוף שנה"),""))</f>
        <v/>
      </c>
      <c r="J148" s="27" t="str">
        <f aca="false">IF($A148="","",IFERROR(INDEX('רווחה - קליטה'!$AS$5:$AS$204,MATCH($A148&amp;"|סוף שנה",'רווחה - קליטה'!$AE$5:$AE$204,0)),""))</f>
        <v/>
      </c>
      <c r="K148" s="37" t="str">
        <f aca="false">IF(AND(ISNUMBER(B148),ISNUMBER(H148)),H148-B148,"")</f>
        <v/>
      </c>
      <c r="L148" s="27" t="str">
        <f aca="false">IF(K148="","",IF(K148&gt;=0.5,"עלייה",IF(K148&lt;=-0.5,"ירידה","יציב")))</f>
        <v/>
      </c>
    </row>
    <row r="149" customFormat="false" ht="15" hidden="false" customHeight="false" outlineLevel="0" collapsed="false">
      <c r="A149" s="29"/>
      <c r="B149" s="36" t="str">
        <f aca="false">IF($A149="","",IFERROR(AVERAGEIFS('רווחה - קליטה'!$AQ$5:$AQ$204,'רווחה - קליטה'!$A$5:$A$204,$A149,'רווחה - קליטה'!$C$5:$C$204,"תחילת שנה"),""))</f>
        <v/>
      </c>
      <c r="C149" s="28" t="str">
        <f aca="false">IF($A149="","",IFERROR(AVERAGEIFS('רווחה - קליטה'!$AK$5:$AK$204,'רווחה - קליטה'!$A$5:$A$204,$A149,'רווחה - קליטה'!$C$5:$C$204,"תחילת שנה"),""))</f>
        <v/>
      </c>
      <c r="D149" s="27" t="str">
        <f aca="false">IF($A149="","",IFERROR(INDEX('רווחה - קליטה'!$AS$5:$AS$204,MATCH($A149&amp;"|תחילת שנה",'רווחה - קליטה'!$AE$5:$AE$204,0)),""))</f>
        <v/>
      </c>
      <c r="E149" s="36" t="str">
        <f aca="false">IF($A149="","",IFERROR(AVERAGEIFS('רווחה - קליטה'!$AQ$5:$AQ$204,'רווחה - קליטה'!$A$5:$A$204,$A149,'רווחה - קליטה'!$C$5:$C$204,"אמצע שנה"),""))</f>
        <v/>
      </c>
      <c r="F149" s="28" t="str">
        <f aca="false">IF($A149="","",IFERROR(AVERAGEIFS('רווחה - קליטה'!$AK$5:$AK$204,'רווחה - קליטה'!$A$5:$A$204,$A149,'רווחה - קליטה'!$C$5:$C$204,"אמצע שנה"),""))</f>
        <v/>
      </c>
      <c r="G149" s="27" t="str">
        <f aca="false">IF($A149="","",IFERROR(INDEX('רווחה - קליטה'!$AS$5:$AS$204,MATCH($A149&amp;"|אמצע שנה",'רווחה - קליטה'!$AE$5:$AE$204,0)),""))</f>
        <v/>
      </c>
      <c r="H149" s="36" t="str">
        <f aca="false">IF($A149="","",IFERROR(AVERAGEIFS('רווחה - קליטה'!$AQ$5:$AQ$204,'רווחה - קליטה'!$A$5:$A$204,$A149,'רווחה - קליטה'!$C$5:$C$204,"סוף שנה"),""))</f>
        <v/>
      </c>
      <c r="I149" s="28" t="str">
        <f aca="false">IF($A149="","",IFERROR(AVERAGEIFS('רווחה - קליטה'!$AK$5:$AK$204,'רווחה - קליטה'!$A$5:$A$204,$A149,'רווחה - קליטה'!$C$5:$C$204,"סוף שנה"),""))</f>
        <v/>
      </c>
      <c r="J149" s="27" t="str">
        <f aca="false">IF($A149="","",IFERROR(INDEX('רווחה - קליטה'!$AS$5:$AS$204,MATCH($A149&amp;"|סוף שנה",'רווחה - קליטה'!$AE$5:$AE$204,0)),""))</f>
        <v/>
      </c>
      <c r="K149" s="37" t="str">
        <f aca="false">IF(AND(ISNUMBER(B149),ISNUMBER(H149)),H149-B149,"")</f>
        <v/>
      </c>
      <c r="L149" s="27" t="str">
        <f aca="false">IF(K149="","",IF(K149&gt;=0.5,"עלייה",IF(K149&lt;=-0.5,"ירידה","יציב")))</f>
        <v/>
      </c>
    </row>
    <row r="150" customFormat="false" ht="15" hidden="false" customHeight="false" outlineLevel="0" collapsed="false">
      <c r="A150" s="29"/>
      <c r="B150" s="36" t="str">
        <f aca="false">IF($A150="","",IFERROR(AVERAGEIFS('רווחה - קליטה'!$AQ$5:$AQ$204,'רווחה - קליטה'!$A$5:$A$204,$A150,'רווחה - קליטה'!$C$5:$C$204,"תחילת שנה"),""))</f>
        <v/>
      </c>
      <c r="C150" s="28" t="str">
        <f aca="false">IF($A150="","",IFERROR(AVERAGEIFS('רווחה - קליטה'!$AK$5:$AK$204,'רווחה - קליטה'!$A$5:$A$204,$A150,'רווחה - קליטה'!$C$5:$C$204,"תחילת שנה"),""))</f>
        <v/>
      </c>
      <c r="D150" s="27" t="str">
        <f aca="false">IF($A150="","",IFERROR(INDEX('רווחה - קליטה'!$AS$5:$AS$204,MATCH($A150&amp;"|תחילת שנה",'רווחה - קליטה'!$AE$5:$AE$204,0)),""))</f>
        <v/>
      </c>
      <c r="E150" s="36" t="str">
        <f aca="false">IF($A150="","",IFERROR(AVERAGEIFS('רווחה - קליטה'!$AQ$5:$AQ$204,'רווחה - קליטה'!$A$5:$A$204,$A150,'רווחה - קליטה'!$C$5:$C$204,"אמצע שנה"),""))</f>
        <v/>
      </c>
      <c r="F150" s="28" t="str">
        <f aca="false">IF($A150="","",IFERROR(AVERAGEIFS('רווחה - קליטה'!$AK$5:$AK$204,'רווחה - קליטה'!$A$5:$A$204,$A150,'רווחה - קליטה'!$C$5:$C$204,"אמצע שנה"),""))</f>
        <v/>
      </c>
      <c r="G150" s="27" t="str">
        <f aca="false">IF($A150="","",IFERROR(INDEX('רווחה - קליטה'!$AS$5:$AS$204,MATCH($A150&amp;"|אמצע שנה",'רווחה - קליטה'!$AE$5:$AE$204,0)),""))</f>
        <v/>
      </c>
      <c r="H150" s="36" t="str">
        <f aca="false">IF($A150="","",IFERROR(AVERAGEIFS('רווחה - קליטה'!$AQ$5:$AQ$204,'רווחה - קליטה'!$A$5:$A$204,$A150,'רווחה - קליטה'!$C$5:$C$204,"סוף שנה"),""))</f>
        <v/>
      </c>
      <c r="I150" s="28" t="str">
        <f aca="false">IF($A150="","",IFERROR(AVERAGEIFS('רווחה - קליטה'!$AK$5:$AK$204,'רווחה - קליטה'!$A$5:$A$204,$A150,'רווחה - קליטה'!$C$5:$C$204,"סוף שנה"),""))</f>
        <v/>
      </c>
      <c r="J150" s="27" t="str">
        <f aca="false">IF($A150="","",IFERROR(INDEX('רווחה - קליטה'!$AS$5:$AS$204,MATCH($A150&amp;"|סוף שנה",'רווחה - קליטה'!$AE$5:$AE$204,0)),""))</f>
        <v/>
      </c>
      <c r="K150" s="37" t="str">
        <f aca="false">IF(AND(ISNUMBER(B150),ISNUMBER(H150)),H150-B150,"")</f>
        <v/>
      </c>
      <c r="L150" s="27" t="str">
        <f aca="false">IF(K150="","",IF(K150&gt;=0.5,"עלייה",IF(K150&lt;=-0.5,"ירידה","יציב")))</f>
        <v/>
      </c>
    </row>
    <row r="151" customFormat="false" ht="15" hidden="false" customHeight="false" outlineLevel="0" collapsed="false">
      <c r="A151" s="29"/>
      <c r="B151" s="36" t="str">
        <f aca="false">IF($A151="","",IFERROR(AVERAGEIFS('רווחה - קליטה'!$AQ$5:$AQ$204,'רווחה - קליטה'!$A$5:$A$204,$A151,'רווחה - קליטה'!$C$5:$C$204,"תחילת שנה"),""))</f>
        <v/>
      </c>
      <c r="C151" s="28" t="str">
        <f aca="false">IF($A151="","",IFERROR(AVERAGEIFS('רווחה - קליטה'!$AK$5:$AK$204,'רווחה - קליטה'!$A$5:$A$204,$A151,'רווחה - קליטה'!$C$5:$C$204,"תחילת שנה"),""))</f>
        <v/>
      </c>
      <c r="D151" s="27" t="str">
        <f aca="false">IF($A151="","",IFERROR(INDEX('רווחה - קליטה'!$AS$5:$AS$204,MATCH($A151&amp;"|תחילת שנה",'רווחה - קליטה'!$AE$5:$AE$204,0)),""))</f>
        <v/>
      </c>
      <c r="E151" s="36" t="str">
        <f aca="false">IF($A151="","",IFERROR(AVERAGEIFS('רווחה - קליטה'!$AQ$5:$AQ$204,'רווחה - קליטה'!$A$5:$A$204,$A151,'רווחה - קליטה'!$C$5:$C$204,"אמצע שנה"),""))</f>
        <v/>
      </c>
      <c r="F151" s="28" t="str">
        <f aca="false">IF($A151="","",IFERROR(AVERAGEIFS('רווחה - קליטה'!$AK$5:$AK$204,'רווחה - קליטה'!$A$5:$A$204,$A151,'רווחה - קליטה'!$C$5:$C$204,"אמצע שנה"),""))</f>
        <v/>
      </c>
      <c r="G151" s="27" t="str">
        <f aca="false">IF($A151="","",IFERROR(INDEX('רווחה - קליטה'!$AS$5:$AS$204,MATCH($A151&amp;"|אמצע שנה",'רווחה - קליטה'!$AE$5:$AE$204,0)),""))</f>
        <v/>
      </c>
      <c r="H151" s="36" t="str">
        <f aca="false">IF($A151="","",IFERROR(AVERAGEIFS('רווחה - קליטה'!$AQ$5:$AQ$204,'רווחה - קליטה'!$A$5:$A$204,$A151,'רווחה - קליטה'!$C$5:$C$204,"סוף שנה"),""))</f>
        <v/>
      </c>
      <c r="I151" s="28" t="str">
        <f aca="false">IF($A151="","",IFERROR(AVERAGEIFS('רווחה - קליטה'!$AK$5:$AK$204,'רווחה - קליטה'!$A$5:$A$204,$A151,'רווחה - קליטה'!$C$5:$C$204,"סוף שנה"),""))</f>
        <v/>
      </c>
      <c r="J151" s="27" t="str">
        <f aca="false">IF($A151="","",IFERROR(INDEX('רווחה - קליטה'!$AS$5:$AS$204,MATCH($A151&amp;"|סוף שנה",'רווחה - קליטה'!$AE$5:$AE$204,0)),""))</f>
        <v/>
      </c>
      <c r="K151" s="37" t="str">
        <f aca="false">IF(AND(ISNUMBER(B151),ISNUMBER(H151)),H151-B151,"")</f>
        <v/>
      </c>
      <c r="L151" s="27" t="str">
        <f aca="false">IF(K151="","",IF(K151&gt;=0.5,"עלייה",IF(K151&lt;=-0.5,"ירידה","יציב")))</f>
        <v/>
      </c>
    </row>
    <row r="152" customFormat="false" ht="15" hidden="false" customHeight="false" outlineLevel="0" collapsed="false">
      <c r="A152" s="29"/>
      <c r="B152" s="36" t="str">
        <f aca="false">IF($A152="","",IFERROR(AVERAGEIFS('רווחה - קליטה'!$AQ$5:$AQ$204,'רווחה - קליטה'!$A$5:$A$204,$A152,'רווחה - קליטה'!$C$5:$C$204,"תחילת שנה"),""))</f>
        <v/>
      </c>
      <c r="C152" s="28" t="str">
        <f aca="false">IF($A152="","",IFERROR(AVERAGEIFS('רווחה - קליטה'!$AK$5:$AK$204,'רווחה - קליטה'!$A$5:$A$204,$A152,'רווחה - קליטה'!$C$5:$C$204,"תחילת שנה"),""))</f>
        <v/>
      </c>
      <c r="D152" s="27" t="str">
        <f aca="false">IF($A152="","",IFERROR(INDEX('רווחה - קליטה'!$AS$5:$AS$204,MATCH($A152&amp;"|תחילת שנה",'רווחה - קליטה'!$AE$5:$AE$204,0)),""))</f>
        <v/>
      </c>
      <c r="E152" s="36" t="str">
        <f aca="false">IF($A152="","",IFERROR(AVERAGEIFS('רווחה - קליטה'!$AQ$5:$AQ$204,'רווחה - קליטה'!$A$5:$A$204,$A152,'רווחה - קליטה'!$C$5:$C$204,"אמצע שנה"),""))</f>
        <v/>
      </c>
      <c r="F152" s="28" t="str">
        <f aca="false">IF($A152="","",IFERROR(AVERAGEIFS('רווחה - קליטה'!$AK$5:$AK$204,'רווחה - קליטה'!$A$5:$A$204,$A152,'רווחה - קליטה'!$C$5:$C$204,"אמצע שנה"),""))</f>
        <v/>
      </c>
      <c r="G152" s="27" t="str">
        <f aca="false">IF($A152="","",IFERROR(INDEX('רווחה - קליטה'!$AS$5:$AS$204,MATCH($A152&amp;"|אמצע שנה",'רווחה - קליטה'!$AE$5:$AE$204,0)),""))</f>
        <v/>
      </c>
      <c r="H152" s="36" t="str">
        <f aca="false">IF($A152="","",IFERROR(AVERAGEIFS('רווחה - קליטה'!$AQ$5:$AQ$204,'רווחה - קליטה'!$A$5:$A$204,$A152,'רווחה - קליטה'!$C$5:$C$204,"סוף שנה"),""))</f>
        <v/>
      </c>
      <c r="I152" s="28" t="str">
        <f aca="false">IF($A152="","",IFERROR(AVERAGEIFS('רווחה - קליטה'!$AK$5:$AK$204,'רווחה - קליטה'!$A$5:$A$204,$A152,'רווחה - קליטה'!$C$5:$C$204,"סוף שנה"),""))</f>
        <v/>
      </c>
      <c r="J152" s="27" t="str">
        <f aca="false">IF($A152="","",IFERROR(INDEX('רווחה - קליטה'!$AS$5:$AS$204,MATCH($A152&amp;"|סוף שנה",'רווחה - קליטה'!$AE$5:$AE$204,0)),""))</f>
        <v/>
      </c>
      <c r="K152" s="37" t="str">
        <f aca="false">IF(AND(ISNUMBER(B152),ISNUMBER(H152)),H152-B152,"")</f>
        <v/>
      </c>
      <c r="L152" s="27" t="str">
        <f aca="false">IF(K152="","",IF(K152&gt;=0.5,"עלייה",IF(K152&lt;=-0.5,"ירידה","יציב")))</f>
        <v/>
      </c>
    </row>
    <row r="153" customFormat="false" ht="15" hidden="false" customHeight="false" outlineLevel="0" collapsed="false">
      <c r="A153" s="29"/>
      <c r="B153" s="36" t="str">
        <f aca="false">IF($A153="","",IFERROR(AVERAGEIFS('רווחה - קליטה'!$AQ$5:$AQ$204,'רווחה - קליטה'!$A$5:$A$204,$A153,'רווחה - קליטה'!$C$5:$C$204,"תחילת שנה"),""))</f>
        <v/>
      </c>
      <c r="C153" s="28" t="str">
        <f aca="false">IF($A153="","",IFERROR(AVERAGEIFS('רווחה - קליטה'!$AK$5:$AK$204,'רווחה - קליטה'!$A$5:$A$204,$A153,'רווחה - קליטה'!$C$5:$C$204,"תחילת שנה"),""))</f>
        <v/>
      </c>
      <c r="D153" s="27" t="str">
        <f aca="false">IF($A153="","",IFERROR(INDEX('רווחה - קליטה'!$AS$5:$AS$204,MATCH($A153&amp;"|תחילת שנה",'רווחה - קליטה'!$AE$5:$AE$204,0)),""))</f>
        <v/>
      </c>
      <c r="E153" s="36" t="str">
        <f aca="false">IF($A153="","",IFERROR(AVERAGEIFS('רווחה - קליטה'!$AQ$5:$AQ$204,'רווחה - קליטה'!$A$5:$A$204,$A153,'רווחה - קליטה'!$C$5:$C$204,"אמצע שנה"),""))</f>
        <v/>
      </c>
      <c r="F153" s="28" t="str">
        <f aca="false">IF($A153="","",IFERROR(AVERAGEIFS('רווחה - קליטה'!$AK$5:$AK$204,'רווחה - קליטה'!$A$5:$A$204,$A153,'רווחה - קליטה'!$C$5:$C$204,"אמצע שנה"),""))</f>
        <v/>
      </c>
      <c r="G153" s="27" t="str">
        <f aca="false">IF($A153="","",IFERROR(INDEX('רווחה - קליטה'!$AS$5:$AS$204,MATCH($A153&amp;"|אמצע שנה",'רווחה - קליטה'!$AE$5:$AE$204,0)),""))</f>
        <v/>
      </c>
      <c r="H153" s="36" t="str">
        <f aca="false">IF($A153="","",IFERROR(AVERAGEIFS('רווחה - קליטה'!$AQ$5:$AQ$204,'רווחה - קליטה'!$A$5:$A$204,$A153,'רווחה - קליטה'!$C$5:$C$204,"סוף שנה"),""))</f>
        <v/>
      </c>
      <c r="I153" s="28" t="str">
        <f aca="false">IF($A153="","",IFERROR(AVERAGEIFS('רווחה - קליטה'!$AK$5:$AK$204,'רווחה - קליטה'!$A$5:$A$204,$A153,'רווחה - קליטה'!$C$5:$C$204,"סוף שנה"),""))</f>
        <v/>
      </c>
      <c r="J153" s="27" t="str">
        <f aca="false">IF($A153="","",IFERROR(INDEX('רווחה - קליטה'!$AS$5:$AS$204,MATCH($A153&amp;"|סוף שנה",'רווחה - קליטה'!$AE$5:$AE$204,0)),""))</f>
        <v/>
      </c>
      <c r="K153" s="37" t="str">
        <f aca="false">IF(AND(ISNUMBER(B153),ISNUMBER(H153)),H153-B153,"")</f>
        <v/>
      </c>
      <c r="L153" s="27" t="str">
        <f aca="false">IF(K153="","",IF(K153&gt;=0.5,"עלייה",IF(K153&lt;=-0.5,"ירידה","יציב")))</f>
        <v/>
      </c>
    </row>
    <row r="154" customFormat="false" ht="15" hidden="false" customHeight="false" outlineLevel="0" collapsed="false">
      <c r="A154" s="29"/>
      <c r="B154" s="36" t="str">
        <f aca="false">IF($A154="","",IFERROR(AVERAGEIFS('רווחה - קליטה'!$AQ$5:$AQ$204,'רווחה - קליטה'!$A$5:$A$204,$A154,'רווחה - קליטה'!$C$5:$C$204,"תחילת שנה"),""))</f>
        <v/>
      </c>
      <c r="C154" s="28" t="str">
        <f aca="false">IF($A154="","",IFERROR(AVERAGEIFS('רווחה - קליטה'!$AK$5:$AK$204,'רווחה - קליטה'!$A$5:$A$204,$A154,'רווחה - קליטה'!$C$5:$C$204,"תחילת שנה"),""))</f>
        <v/>
      </c>
      <c r="D154" s="27" t="str">
        <f aca="false">IF($A154="","",IFERROR(INDEX('רווחה - קליטה'!$AS$5:$AS$204,MATCH($A154&amp;"|תחילת שנה",'רווחה - קליטה'!$AE$5:$AE$204,0)),""))</f>
        <v/>
      </c>
      <c r="E154" s="36" t="str">
        <f aca="false">IF($A154="","",IFERROR(AVERAGEIFS('רווחה - קליטה'!$AQ$5:$AQ$204,'רווחה - קליטה'!$A$5:$A$204,$A154,'רווחה - קליטה'!$C$5:$C$204,"אמצע שנה"),""))</f>
        <v/>
      </c>
      <c r="F154" s="28" t="str">
        <f aca="false">IF($A154="","",IFERROR(AVERAGEIFS('רווחה - קליטה'!$AK$5:$AK$204,'רווחה - קליטה'!$A$5:$A$204,$A154,'רווחה - קליטה'!$C$5:$C$204,"אמצע שנה"),""))</f>
        <v/>
      </c>
      <c r="G154" s="27" t="str">
        <f aca="false">IF($A154="","",IFERROR(INDEX('רווחה - קליטה'!$AS$5:$AS$204,MATCH($A154&amp;"|אמצע שנה",'רווחה - קליטה'!$AE$5:$AE$204,0)),""))</f>
        <v/>
      </c>
      <c r="H154" s="36" t="str">
        <f aca="false">IF($A154="","",IFERROR(AVERAGEIFS('רווחה - קליטה'!$AQ$5:$AQ$204,'רווחה - קליטה'!$A$5:$A$204,$A154,'רווחה - קליטה'!$C$5:$C$204,"סוף שנה"),""))</f>
        <v/>
      </c>
      <c r="I154" s="28" t="str">
        <f aca="false">IF($A154="","",IFERROR(AVERAGEIFS('רווחה - קליטה'!$AK$5:$AK$204,'רווחה - קליטה'!$A$5:$A$204,$A154,'רווחה - קליטה'!$C$5:$C$204,"סוף שנה"),""))</f>
        <v/>
      </c>
      <c r="J154" s="27" t="str">
        <f aca="false">IF($A154="","",IFERROR(INDEX('רווחה - קליטה'!$AS$5:$AS$204,MATCH($A154&amp;"|סוף שנה",'רווחה - קליטה'!$AE$5:$AE$204,0)),""))</f>
        <v/>
      </c>
      <c r="K154" s="37" t="str">
        <f aca="false">IF(AND(ISNUMBER(B154),ISNUMBER(H154)),H154-B154,"")</f>
        <v/>
      </c>
      <c r="L154" s="27" t="str">
        <f aca="false">IF(K154="","",IF(K154&gt;=0.5,"עלייה",IF(K154&lt;=-0.5,"ירידה","יציב")))</f>
        <v/>
      </c>
    </row>
    <row r="155" customFormat="false" ht="15" hidden="false" customHeight="false" outlineLevel="0" collapsed="false">
      <c r="A155" s="29"/>
      <c r="B155" s="36" t="str">
        <f aca="false">IF($A155="","",IFERROR(AVERAGEIFS('רווחה - קליטה'!$AQ$5:$AQ$204,'רווחה - קליטה'!$A$5:$A$204,$A155,'רווחה - קליטה'!$C$5:$C$204,"תחילת שנה"),""))</f>
        <v/>
      </c>
      <c r="C155" s="28" t="str">
        <f aca="false">IF($A155="","",IFERROR(AVERAGEIFS('רווחה - קליטה'!$AK$5:$AK$204,'רווחה - קליטה'!$A$5:$A$204,$A155,'רווחה - קליטה'!$C$5:$C$204,"תחילת שנה"),""))</f>
        <v/>
      </c>
      <c r="D155" s="27" t="str">
        <f aca="false">IF($A155="","",IFERROR(INDEX('רווחה - קליטה'!$AS$5:$AS$204,MATCH($A155&amp;"|תחילת שנה",'רווחה - קליטה'!$AE$5:$AE$204,0)),""))</f>
        <v/>
      </c>
      <c r="E155" s="36" t="str">
        <f aca="false">IF($A155="","",IFERROR(AVERAGEIFS('רווחה - קליטה'!$AQ$5:$AQ$204,'רווחה - קליטה'!$A$5:$A$204,$A155,'רווחה - קליטה'!$C$5:$C$204,"אמצע שנה"),""))</f>
        <v/>
      </c>
      <c r="F155" s="28" t="str">
        <f aca="false">IF($A155="","",IFERROR(AVERAGEIFS('רווחה - קליטה'!$AK$5:$AK$204,'רווחה - קליטה'!$A$5:$A$204,$A155,'רווחה - קליטה'!$C$5:$C$204,"אמצע שנה"),""))</f>
        <v/>
      </c>
      <c r="G155" s="27" t="str">
        <f aca="false">IF($A155="","",IFERROR(INDEX('רווחה - קליטה'!$AS$5:$AS$204,MATCH($A155&amp;"|אמצע שנה",'רווחה - קליטה'!$AE$5:$AE$204,0)),""))</f>
        <v/>
      </c>
      <c r="H155" s="36" t="str">
        <f aca="false">IF($A155="","",IFERROR(AVERAGEIFS('רווחה - קליטה'!$AQ$5:$AQ$204,'רווחה - קליטה'!$A$5:$A$204,$A155,'רווחה - קליטה'!$C$5:$C$204,"סוף שנה"),""))</f>
        <v/>
      </c>
      <c r="I155" s="28" t="str">
        <f aca="false">IF($A155="","",IFERROR(AVERAGEIFS('רווחה - קליטה'!$AK$5:$AK$204,'רווחה - קליטה'!$A$5:$A$204,$A155,'רווחה - קליטה'!$C$5:$C$204,"סוף שנה"),""))</f>
        <v/>
      </c>
      <c r="J155" s="27" t="str">
        <f aca="false">IF($A155="","",IFERROR(INDEX('רווחה - קליטה'!$AS$5:$AS$204,MATCH($A155&amp;"|סוף שנה",'רווחה - קליטה'!$AE$5:$AE$204,0)),""))</f>
        <v/>
      </c>
      <c r="K155" s="37" t="str">
        <f aca="false">IF(AND(ISNUMBER(B155),ISNUMBER(H155)),H155-B155,"")</f>
        <v/>
      </c>
      <c r="L155" s="27" t="str">
        <f aca="false">IF(K155="","",IF(K155&gt;=0.5,"עלייה",IF(K155&lt;=-0.5,"ירידה","יציב")))</f>
        <v/>
      </c>
    </row>
    <row r="156" customFormat="false" ht="15" hidden="false" customHeight="false" outlineLevel="0" collapsed="false">
      <c r="A156" s="29"/>
      <c r="B156" s="36" t="str">
        <f aca="false">IF($A156="","",IFERROR(AVERAGEIFS('רווחה - קליטה'!$AQ$5:$AQ$204,'רווחה - קליטה'!$A$5:$A$204,$A156,'רווחה - קליטה'!$C$5:$C$204,"תחילת שנה"),""))</f>
        <v/>
      </c>
      <c r="C156" s="28" t="str">
        <f aca="false">IF($A156="","",IFERROR(AVERAGEIFS('רווחה - קליטה'!$AK$5:$AK$204,'רווחה - קליטה'!$A$5:$A$204,$A156,'רווחה - קליטה'!$C$5:$C$204,"תחילת שנה"),""))</f>
        <v/>
      </c>
      <c r="D156" s="27" t="str">
        <f aca="false">IF($A156="","",IFERROR(INDEX('רווחה - קליטה'!$AS$5:$AS$204,MATCH($A156&amp;"|תחילת שנה",'רווחה - קליטה'!$AE$5:$AE$204,0)),""))</f>
        <v/>
      </c>
      <c r="E156" s="36" t="str">
        <f aca="false">IF($A156="","",IFERROR(AVERAGEIFS('רווחה - קליטה'!$AQ$5:$AQ$204,'רווחה - קליטה'!$A$5:$A$204,$A156,'רווחה - קליטה'!$C$5:$C$204,"אמצע שנה"),""))</f>
        <v/>
      </c>
      <c r="F156" s="28" t="str">
        <f aca="false">IF($A156="","",IFERROR(AVERAGEIFS('רווחה - קליטה'!$AK$5:$AK$204,'רווחה - קליטה'!$A$5:$A$204,$A156,'רווחה - קליטה'!$C$5:$C$204,"אמצע שנה"),""))</f>
        <v/>
      </c>
      <c r="G156" s="27" t="str">
        <f aca="false">IF($A156="","",IFERROR(INDEX('רווחה - קליטה'!$AS$5:$AS$204,MATCH($A156&amp;"|אמצע שנה",'רווחה - קליטה'!$AE$5:$AE$204,0)),""))</f>
        <v/>
      </c>
      <c r="H156" s="36" t="str">
        <f aca="false">IF($A156="","",IFERROR(AVERAGEIFS('רווחה - קליטה'!$AQ$5:$AQ$204,'רווחה - קליטה'!$A$5:$A$204,$A156,'רווחה - קליטה'!$C$5:$C$204,"סוף שנה"),""))</f>
        <v/>
      </c>
      <c r="I156" s="28" t="str">
        <f aca="false">IF($A156="","",IFERROR(AVERAGEIFS('רווחה - קליטה'!$AK$5:$AK$204,'רווחה - קליטה'!$A$5:$A$204,$A156,'רווחה - קליטה'!$C$5:$C$204,"סוף שנה"),""))</f>
        <v/>
      </c>
      <c r="J156" s="27" t="str">
        <f aca="false">IF($A156="","",IFERROR(INDEX('רווחה - קליטה'!$AS$5:$AS$204,MATCH($A156&amp;"|סוף שנה",'רווחה - קליטה'!$AE$5:$AE$204,0)),""))</f>
        <v/>
      </c>
      <c r="K156" s="37" t="str">
        <f aca="false">IF(AND(ISNUMBER(B156),ISNUMBER(H156)),H156-B156,"")</f>
        <v/>
      </c>
      <c r="L156" s="27" t="str">
        <f aca="false">IF(K156="","",IF(K156&gt;=0.5,"עלייה",IF(K156&lt;=-0.5,"ירידה","יציב")))</f>
        <v/>
      </c>
    </row>
    <row r="157" customFormat="false" ht="15" hidden="false" customHeight="false" outlineLevel="0" collapsed="false">
      <c r="A157" s="29"/>
      <c r="B157" s="36" t="str">
        <f aca="false">IF($A157="","",IFERROR(AVERAGEIFS('רווחה - קליטה'!$AQ$5:$AQ$204,'רווחה - קליטה'!$A$5:$A$204,$A157,'רווחה - קליטה'!$C$5:$C$204,"תחילת שנה"),""))</f>
        <v/>
      </c>
      <c r="C157" s="28" t="str">
        <f aca="false">IF($A157="","",IFERROR(AVERAGEIFS('רווחה - קליטה'!$AK$5:$AK$204,'רווחה - קליטה'!$A$5:$A$204,$A157,'רווחה - קליטה'!$C$5:$C$204,"תחילת שנה"),""))</f>
        <v/>
      </c>
      <c r="D157" s="27" t="str">
        <f aca="false">IF($A157="","",IFERROR(INDEX('רווחה - קליטה'!$AS$5:$AS$204,MATCH($A157&amp;"|תחילת שנה",'רווחה - קליטה'!$AE$5:$AE$204,0)),""))</f>
        <v/>
      </c>
      <c r="E157" s="36" t="str">
        <f aca="false">IF($A157="","",IFERROR(AVERAGEIFS('רווחה - קליטה'!$AQ$5:$AQ$204,'רווחה - קליטה'!$A$5:$A$204,$A157,'רווחה - קליטה'!$C$5:$C$204,"אמצע שנה"),""))</f>
        <v/>
      </c>
      <c r="F157" s="28" t="str">
        <f aca="false">IF($A157="","",IFERROR(AVERAGEIFS('רווחה - קליטה'!$AK$5:$AK$204,'רווחה - קליטה'!$A$5:$A$204,$A157,'רווחה - קליטה'!$C$5:$C$204,"אמצע שנה"),""))</f>
        <v/>
      </c>
      <c r="G157" s="27" t="str">
        <f aca="false">IF($A157="","",IFERROR(INDEX('רווחה - קליטה'!$AS$5:$AS$204,MATCH($A157&amp;"|אמצע שנה",'רווחה - קליטה'!$AE$5:$AE$204,0)),""))</f>
        <v/>
      </c>
      <c r="H157" s="36" t="str">
        <f aca="false">IF($A157="","",IFERROR(AVERAGEIFS('רווחה - קליטה'!$AQ$5:$AQ$204,'רווחה - קליטה'!$A$5:$A$204,$A157,'רווחה - קליטה'!$C$5:$C$204,"סוף שנה"),""))</f>
        <v/>
      </c>
      <c r="I157" s="28" t="str">
        <f aca="false">IF($A157="","",IFERROR(AVERAGEIFS('רווחה - קליטה'!$AK$5:$AK$204,'רווחה - קליטה'!$A$5:$A$204,$A157,'רווחה - קליטה'!$C$5:$C$204,"סוף שנה"),""))</f>
        <v/>
      </c>
      <c r="J157" s="27" t="str">
        <f aca="false">IF($A157="","",IFERROR(INDEX('רווחה - קליטה'!$AS$5:$AS$204,MATCH($A157&amp;"|סוף שנה",'רווחה - קליטה'!$AE$5:$AE$204,0)),""))</f>
        <v/>
      </c>
      <c r="K157" s="37" t="str">
        <f aca="false">IF(AND(ISNUMBER(B157),ISNUMBER(H157)),H157-B157,"")</f>
        <v/>
      </c>
      <c r="L157" s="27" t="str">
        <f aca="false">IF(K157="","",IF(K157&gt;=0.5,"עלייה",IF(K157&lt;=-0.5,"ירידה","יציב")))</f>
        <v/>
      </c>
    </row>
    <row r="158" customFormat="false" ht="15" hidden="false" customHeight="false" outlineLevel="0" collapsed="false">
      <c r="A158" s="29"/>
      <c r="B158" s="36" t="str">
        <f aca="false">IF($A158="","",IFERROR(AVERAGEIFS('רווחה - קליטה'!$AQ$5:$AQ$204,'רווחה - קליטה'!$A$5:$A$204,$A158,'רווחה - קליטה'!$C$5:$C$204,"תחילת שנה"),""))</f>
        <v/>
      </c>
      <c r="C158" s="28" t="str">
        <f aca="false">IF($A158="","",IFERROR(AVERAGEIFS('רווחה - קליטה'!$AK$5:$AK$204,'רווחה - קליטה'!$A$5:$A$204,$A158,'רווחה - קליטה'!$C$5:$C$204,"תחילת שנה"),""))</f>
        <v/>
      </c>
      <c r="D158" s="27" t="str">
        <f aca="false">IF($A158="","",IFERROR(INDEX('רווחה - קליטה'!$AS$5:$AS$204,MATCH($A158&amp;"|תחילת שנה",'רווחה - קליטה'!$AE$5:$AE$204,0)),""))</f>
        <v/>
      </c>
      <c r="E158" s="36" t="str">
        <f aca="false">IF($A158="","",IFERROR(AVERAGEIFS('רווחה - קליטה'!$AQ$5:$AQ$204,'רווחה - קליטה'!$A$5:$A$204,$A158,'רווחה - קליטה'!$C$5:$C$204,"אמצע שנה"),""))</f>
        <v/>
      </c>
      <c r="F158" s="28" t="str">
        <f aca="false">IF($A158="","",IFERROR(AVERAGEIFS('רווחה - קליטה'!$AK$5:$AK$204,'רווחה - קליטה'!$A$5:$A$204,$A158,'רווחה - קליטה'!$C$5:$C$204,"אמצע שנה"),""))</f>
        <v/>
      </c>
      <c r="G158" s="27" t="str">
        <f aca="false">IF($A158="","",IFERROR(INDEX('רווחה - קליטה'!$AS$5:$AS$204,MATCH($A158&amp;"|אמצע שנה",'רווחה - קליטה'!$AE$5:$AE$204,0)),""))</f>
        <v/>
      </c>
      <c r="H158" s="36" t="str">
        <f aca="false">IF($A158="","",IFERROR(AVERAGEIFS('רווחה - קליטה'!$AQ$5:$AQ$204,'רווחה - קליטה'!$A$5:$A$204,$A158,'רווחה - קליטה'!$C$5:$C$204,"סוף שנה"),""))</f>
        <v/>
      </c>
      <c r="I158" s="28" t="str">
        <f aca="false">IF($A158="","",IFERROR(AVERAGEIFS('רווחה - קליטה'!$AK$5:$AK$204,'רווחה - קליטה'!$A$5:$A$204,$A158,'רווחה - קליטה'!$C$5:$C$204,"סוף שנה"),""))</f>
        <v/>
      </c>
      <c r="J158" s="27" t="str">
        <f aca="false">IF($A158="","",IFERROR(INDEX('רווחה - קליטה'!$AS$5:$AS$204,MATCH($A158&amp;"|סוף שנה",'רווחה - קליטה'!$AE$5:$AE$204,0)),""))</f>
        <v/>
      </c>
      <c r="K158" s="37" t="str">
        <f aca="false">IF(AND(ISNUMBER(B158),ISNUMBER(H158)),H158-B158,"")</f>
        <v/>
      </c>
      <c r="L158" s="27" t="str">
        <f aca="false">IF(K158="","",IF(K158&gt;=0.5,"עלייה",IF(K158&lt;=-0.5,"ירידה","יציב")))</f>
        <v/>
      </c>
    </row>
    <row r="159" customFormat="false" ht="15" hidden="false" customHeight="false" outlineLevel="0" collapsed="false">
      <c r="A159" s="29"/>
      <c r="B159" s="36" t="str">
        <f aca="false">IF($A159="","",IFERROR(AVERAGEIFS('רווחה - קליטה'!$AQ$5:$AQ$204,'רווחה - קליטה'!$A$5:$A$204,$A159,'רווחה - קליטה'!$C$5:$C$204,"תחילת שנה"),""))</f>
        <v/>
      </c>
      <c r="C159" s="28" t="str">
        <f aca="false">IF($A159="","",IFERROR(AVERAGEIFS('רווחה - קליטה'!$AK$5:$AK$204,'רווחה - קליטה'!$A$5:$A$204,$A159,'רווחה - קליטה'!$C$5:$C$204,"תחילת שנה"),""))</f>
        <v/>
      </c>
      <c r="D159" s="27" t="str">
        <f aca="false">IF($A159="","",IFERROR(INDEX('רווחה - קליטה'!$AS$5:$AS$204,MATCH($A159&amp;"|תחילת שנה",'רווחה - קליטה'!$AE$5:$AE$204,0)),""))</f>
        <v/>
      </c>
      <c r="E159" s="36" t="str">
        <f aca="false">IF($A159="","",IFERROR(AVERAGEIFS('רווחה - קליטה'!$AQ$5:$AQ$204,'רווחה - קליטה'!$A$5:$A$204,$A159,'רווחה - קליטה'!$C$5:$C$204,"אמצע שנה"),""))</f>
        <v/>
      </c>
      <c r="F159" s="28" t="str">
        <f aca="false">IF($A159="","",IFERROR(AVERAGEIFS('רווחה - קליטה'!$AK$5:$AK$204,'רווחה - קליטה'!$A$5:$A$204,$A159,'רווחה - קליטה'!$C$5:$C$204,"אמצע שנה"),""))</f>
        <v/>
      </c>
      <c r="G159" s="27" t="str">
        <f aca="false">IF($A159="","",IFERROR(INDEX('רווחה - קליטה'!$AS$5:$AS$204,MATCH($A159&amp;"|אמצע שנה",'רווחה - קליטה'!$AE$5:$AE$204,0)),""))</f>
        <v/>
      </c>
      <c r="H159" s="36" t="str">
        <f aca="false">IF($A159="","",IFERROR(AVERAGEIFS('רווחה - קליטה'!$AQ$5:$AQ$204,'רווחה - קליטה'!$A$5:$A$204,$A159,'רווחה - קליטה'!$C$5:$C$204,"סוף שנה"),""))</f>
        <v/>
      </c>
      <c r="I159" s="28" t="str">
        <f aca="false">IF($A159="","",IFERROR(AVERAGEIFS('רווחה - קליטה'!$AK$5:$AK$204,'רווחה - קליטה'!$A$5:$A$204,$A159,'רווחה - קליטה'!$C$5:$C$204,"סוף שנה"),""))</f>
        <v/>
      </c>
      <c r="J159" s="27" t="str">
        <f aca="false">IF($A159="","",IFERROR(INDEX('רווחה - קליטה'!$AS$5:$AS$204,MATCH($A159&amp;"|סוף שנה",'רווחה - קליטה'!$AE$5:$AE$204,0)),""))</f>
        <v/>
      </c>
      <c r="K159" s="37" t="str">
        <f aca="false">IF(AND(ISNUMBER(B159),ISNUMBER(H159)),H159-B159,"")</f>
        <v/>
      </c>
      <c r="L159" s="27" t="str">
        <f aca="false">IF(K159="","",IF(K159&gt;=0.5,"עלייה",IF(K159&lt;=-0.5,"ירידה","יציב")))</f>
        <v/>
      </c>
    </row>
    <row r="160" customFormat="false" ht="15" hidden="false" customHeight="false" outlineLevel="0" collapsed="false">
      <c r="A160" s="29"/>
      <c r="B160" s="36" t="str">
        <f aca="false">IF($A160="","",IFERROR(AVERAGEIFS('רווחה - קליטה'!$AQ$5:$AQ$204,'רווחה - קליטה'!$A$5:$A$204,$A160,'רווחה - קליטה'!$C$5:$C$204,"תחילת שנה"),""))</f>
        <v/>
      </c>
      <c r="C160" s="28" t="str">
        <f aca="false">IF($A160="","",IFERROR(AVERAGEIFS('רווחה - קליטה'!$AK$5:$AK$204,'רווחה - קליטה'!$A$5:$A$204,$A160,'רווחה - קליטה'!$C$5:$C$204,"תחילת שנה"),""))</f>
        <v/>
      </c>
      <c r="D160" s="27" t="str">
        <f aca="false">IF($A160="","",IFERROR(INDEX('רווחה - קליטה'!$AS$5:$AS$204,MATCH($A160&amp;"|תחילת שנה",'רווחה - קליטה'!$AE$5:$AE$204,0)),""))</f>
        <v/>
      </c>
      <c r="E160" s="36" t="str">
        <f aca="false">IF($A160="","",IFERROR(AVERAGEIFS('רווחה - קליטה'!$AQ$5:$AQ$204,'רווחה - קליטה'!$A$5:$A$204,$A160,'רווחה - קליטה'!$C$5:$C$204,"אמצע שנה"),""))</f>
        <v/>
      </c>
      <c r="F160" s="28" t="str">
        <f aca="false">IF($A160="","",IFERROR(AVERAGEIFS('רווחה - קליטה'!$AK$5:$AK$204,'רווחה - קליטה'!$A$5:$A$204,$A160,'רווחה - קליטה'!$C$5:$C$204,"אמצע שנה"),""))</f>
        <v/>
      </c>
      <c r="G160" s="27" t="str">
        <f aca="false">IF($A160="","",IFERROR(INDEX('רווחה - קליטה'!$AS$5:$AS$204,MATCH($A160&amp;"|אמצע שנה",'רווחה - קליטה'!$AE$5:$AE$204,0)),""))</f>
        <v/>
      </c>
      <c r="H160" s="36" t="str">
        <f aca="false">IF($A160="","",IFERROR(AVERAGEIFS('רווחה - קליטה'!$AQ$5:$AQ$204,'רווחה - קליטה'!$A$5:$A$204,$A160,'רווחה - קליטה'!$C$5:$C$204,"סוף שנה"),""))</f>
        <v/>
      </c>
      <c r="I160" s="28" t="str">
        <f aca="false">IF($A160="","",IFERROR(AVERAGEIFS('רווחה - קליטה'!$AK$5:$AK$204,'רווחה - קליטה'!$A$5:$A$204,$A160,'רווחה - קליטה'!$C$5:$C$204,"סוף שנה"),""))</f>
        <v/>
      </c>
      <c r="J160" s="27" t="str">
        <f aca="false">IF($A160="","",IFERROR(INDEX('רווחה - קליטה'!$AS$5:$AS$204,MATCH($A160&amp;"|סוף שנה",'רווחה - קליטה'!$AE$5:$AE$204,0)),""))</f>
        <v/>
      </c>
      <c r="K160" s="37" t="str">
        <f aca="false">IF(AND(ISNUMBER(B160),ISNUMBER(H160)),H160-B160,"")</f>
        <v/>
      </c>
      <c r="L160" s="27" t="str">
        <f aca="false">IF(K160="","",IF(K160&gt;=0.5,"עלייה",IF(K160&lt;=-0.5,"ירידה","יציב")))</f>
        <v/>
      </c>
    </row>
    <row r="161" customFormat="false" ht="15" hidden="false" customHeight="false" outlineLevel="0" collapsed="false">
      <c r="A161" s="29"/>
      <c r="B161" s="36" t="str">
        <f aca="false">IF($A161="","",IFERROR(AVERAGEIFS('רווחה - קליטה'!$AQ$5:$AQ$204,'רווחה - קליטה'!$A$5:$A$204,$A161,'רווחה - קליטה'!$C$5:$C$204,"תחילת שנה"),""))</f>
        <v/>
      </c>
      <c r="C161" s="28" t="str">
        <f aca="false">IF($A161="","",IFERROR(AVERAGEIFS('רווחה - קליטה'!$AK$5:$AK$204,'רווחה - קליטה'!$A$5:$A$204,$A161,'רווחה - קליטה'!$C$5:$C$204,"תחילת שנה"),""))</f>
        <v/>
      </c>
      <c r="D161" s="27" t="str">
        <f aca="false">IF($A161="","",IFERROR(INDEX('רווחה - קליטה'!$AS$5:$AS$204,MATCH($A161&amp;"|תחילת שנה",'רווחה - קליטה'!$AE$5:$AE$204,0)),""))</f>
        <v/>
      </c>
      <c r="E161" s="36" t="str">
        <f aca="false">IF($A161="","",IFERROR(AVERAGEIFS('רווחה - קליטה'!$AQ$5:$AQ$204,'רווחה - קליטה'!$A$5:$A$204,$A161,'רווחה - קליטה'!$C$5:$C$204,"אמצע שנה"),""))</f>
        <v/>
      </c>
      <c r="F161" s="28" t="str">
        <f aca="false">IF($A161="","",IFERROR(AVERAGEIFS('רווחה - קליטה'!$AK$5:$AK$204,'רווחה - קליטה'!$A$5:$A$204,$A161,'רווחה - קליטה'!$C$5:$C$204,"אמצע שנה"),""))</f>
        <v/>
      </c>
      <c r="G161" s="27" t="str">
        <f aca="false">IF($A161="","",IFERROR(INDEX('רווחה - קליטה'!$AS$5:$AS$204,MATCH($A161&amp;"|אמצע שנה",'רווחה - קליטה'!$AE$5:$AE$204,0)),""))</f>
        <v/>
      </c>
      <c r="H161" s="36" t="str">
        <f aca="false">IF($A161="","",IFERROR(AVERAGEIFS('רווחה - קליטה'!$AQ$5:$AQ$204,'רווחה - קליטה'!$A$5:$A$204,$A161,'רווחה - קליטה'!$C$5:$C$204,"סוף שנה"),""))</f>
        <v/>
      </c>
      <c r="I161" s="28" t="str">
        <f aca="false">IF($A161="","",IFERROR(AVERAGEIFS('רווחה - קליטה'!$AK$5:$AK$204,'רווחה - קליטה'!$A$5:$A$204,$A161,'רווחה - קליטה'!$C$5:$C$204,"סוף שנה"),""))</f>
        <v/>
      </c>
      <c r="J161" s="27" t="str">
        <f aca="false">IF($A161="","",IFERROR(INDEX('רווחה - קליטה'!$AS$5:$AS$204,MATCH($A161&amp;"|סוף שנה",'רווחה - קליטה'!$AE$5:$AE$204,0)),""))</f>
        <v/>
      </c>
      <c r="K161" s="37" t="str">
        <f aca="false">IF(AND(ISNUMBER(B161),ISNUMBER(H161)),H161-B161,"")</f>
        <v/>
      </c>
      <c r="L161" s="27" t="str">
        <f aca="false">IF(K161="","",IF(K161&gt;=0.5,"עלייה",IF(K161&lt;=-0.5,"ירידה","יציב")))</f>
        <v/>
      </c>
    </row>
    <row r="162" customFormat="false" ht="15" hidden="false" customHeight="false" outlineLevel="0" collapsed="false">
      <c r="A162" s="29"/>
      <c r="B162" s="36" t="str">
        <f aca="false">IF($A162="","",IFERROR(AVERAGEIFS('רווחה - קליטה'!$AQ$5:$AQ$204,'רווחה - קליטה'!$A$5:$A$204,$A162,'רווחה - קליטה'!$C$5:$C$204,"תחילת שנה"),""))</f>
        <v/>
      </c>
      <c r="C162" s="28" t="str">
        <f aca="false">IF($A162="","",IFERROR(AVERAGEIFS('רווחה - קליטה'!$AK$5:$AK$204,'רווחה - קליטה'!$A$5:$A$204,$A162,'רווחה - קליטה'!$C$5:$C$204,"תחילת שנה"),""))</f>
        <v/>
      </c>
      <c r="D162" s="27" t="str">
        <f aca="false">IF($A162="","",IFERROR(INDEX('רווחה - קליטה'!$AS$5:$AS$204,MATCH($A162&amp;"|תחילת שנה",'רווחה - קליטה'!$AE$5:$AE$204,0)),""))</f>
        <v/>
      </c>
      <c r="E162" s="36" t="str">
        <f aca="false">IF($A162="","",IFERROR(AVERAGEIFS('רווחה - קליטה'!$AQ$5:$AQ$204,'רווחה - קליטה'!$A$5:$A$204,$A162,'רווחה - קליטה'!$C$5:$C$204,"אמצע שנה"),""))</f>
        <v/>
      </c>
      <c r="F162" s="28" t="str">
        <f aca="false">IF($A162="","",IFERROR(AVERAGEIFS('רווחה - קליטה'!$AK$5:$AK$204,'רווחה - קליטה'!$A$5:$A$204,$A162,'רווחה - קליטה'!$C$5:$C$204,"אמצע שנה"),""))</f>
        <v/>
      </c>
      <c r="G162" s="27" t="str">
        <f aca="false">IF($A162="","",IFERROR(INDEX('רווחה - קליטה'!$AS$5:$AS$204,MATCH($A162&amp;"|אמצע שנה",'רווחה - קליטה'!$AE$5:$AE$204,0)),""))</f>
        <v/>
      </c>
      <c r="H162" s="36" t="str">
        <f aca="false">IF($A162="","",IFERROR(AVERAGEIFS('רווחה - קליטה'!$AQ$5:$AQ$204,'רווחה - קליטה'!$A$5:$A$204,$A162,'רווחה - קליטה'!$C$5:$C$204,"סוף שנה"),""))</f>
        <v/>
      </c>
      <c r="I162" s="28" t="str">
        <f aca="false">IF($A162="","",IFERROR(AVERAGEIFS('רווחה - קליטה'!$AK$5:$AK$204,'רווחה - קליטה'!$A$5:$A$204,$A162,'רווחה - קליטה'!$C$5:$C$204,"סוף שנה"),""))</f>
        <v/>
      </c>
      <c r="J162" s="27" t="str">
        <f aca="false">IF($A162="","",IFERROR(INDEX('רווחה - קליטה'!$AS$5:$AS$204,MATCH($A162&amp;"|סוף שנה",'רווחה - קליטה'!$AE$5:$AE$204,0)),""))</f>
        <v/>
      </c>
      <c r="K162" s="37" t="str">
        <f aca="false">IF(AND(ISNUMBER(B162),ISNUMBER(H162)),H162-B162,"")</f>
        <v/>
      </c>
      <c r="L162" s="27" t="str">
        <f aca="false">IF(K162="","",IF(K162&gt;=0.5,"עלייה",IF(K162&lt;=-0.5,"ירידה","יציב")))</f>
        <v/>
      </c>
    </row>
    <row r="163" customFormat="false" ht="15" hidden="false" customHeight="false" outlineLevel="0" collapsed="false">
      <c r="A163" s="29"/>
      <c r="B163" s="36" t="str">
        <f aca="false">IF($A163="","",IFERROR(AVERAGEIFS('רווחה - קליטה'!$AQ$5:$AQ$204,'רווחה - קליטה'!$A$5:$A$204,$A163,'רווחה - קליטה'!$C$5:$C$204,"תחילת שנה"),""))</f>
        <v/>
      </c>
      <c r="C163" s="28" t="str">
        <f aca="false">IF($A163="","",IFERROR(AVERAGEIFS('רווחה - קליטה'!$AK$5:$AK$204,'רווחה - קליטה'!$A$5:$A$204,$A163,'רווחה - קליטה'!$C$5:$C$204,"תחילת שנה"),""))</f>
        <v/>
      </c>
      <c r="D163" s="27" t="str">
        <f aca="false">IF($A163="","",IFERROR(INDEX('רווחה - קליטה'!$AS$5:$AS$204,MATCH($A163&amp;"|תחילת שנה",'רווחה - קליטה'!$AE$5:$AE$204,0)),""))</f>
        <v/>
      </c>
      <c r="E163" s="36" t="str">
        <f aca="false">IF($A163="","",IFERROR(AVERAGEIFS('רווחה - קליטה'!$AQ$5:$AQ$204,'רווחה - קליטה'!$A$5:$A$204,$A163,'רווחה - קליטה'!$C$5:$C$204,"אמצע שנה"),""))</f>
        <v/>
      </c>
      <c r="F163" s="28" t="str">
        <f aca="false">IF($A163="","",IFERROR(AVERAGEIFS('רווחה - קליטה'!$AK$5:$AK$204,'רווחה - קליטה'!$A$5:$A$204,$A163,'רווחה - קליטה'!$C$5:$C$204,"אמצע שנה"),""))</f>
        <v/>
      </c>
      <c r="G163" s="27" t="str">
        <f aca="false">IF($A163="","",IFERROR(INDEX('רווחה - קליטה'!$AS$5:$AS$204,MATCH($A163&amp;"|אמצע שנה",'רווחה - קליטה'!$AE$5:$AE$204,0)),""))</f>
        <v/>
      </c>
      <c r="H163" s="36" t="str">
        <f aca="false">IF($A163="","",IFERROR(AVERAGEIFS('רווחה - קליטה'!$AQ$5:$AQ$204,'רווחה - קליטה'!$A$5:$A$204,$A163,'רווחה - קליטה'!$C$5:$C$204,"סוף שנה"),""))</f>
        <v/>
      </c>
      <c r="I163" s="28" t="str">
        <f aca="false">IF($A163="","",IFERROR(AVERAGEIFS('רווחה - קליטה'!$AK$5:$AK$204,'רווחה - קליטה'!$A$5:$A$204,$A163,'רווחה - קליטה'!$C$5:$C$204,"סוף שנה"),""))</f>
        <v/>
      </c>
      <c r="J163" s="27" t="str">
        <f aca="false">IF($A163="","",IFERROR(INDEX('רווחה - קליטה'!$AS$5:$AS$204,MATCH($A163&amp;"|סוף שנה",'רווחה - קליטה'!$AE$5:$AE$204,0)),""))</f>
        <v/>
      </c>
      <c r="K163" s="37" t="str">
        <f aca="false">IF(AND(ISNUMBER(B163),ISNUMBER(H163)),H163-B163,"")</f>
        <v/>
      </c>
      <c r="L163" s="27" t="str">
        <f aca="false">IF(K163="","",IF(K163&gt;=0.5,"עלייה",IF(K163&lt;=-0.5,"ירידה","יציב")))</f>
        <v/>
      </c>
    </row>
    <row r="164" customFormat="false" ht="15" hidden="false" customHeight="false" outlineLevel="0" collapsed="false">
      <c r="A164" s="29"/>
      <c r="B164" s="36" t="str">
        <f aca="false">IF($A164="","",IFERROR(AVERAGEIFS('רווחה - קליטה'!$AQ$5:$AQ$204,'רווחה - קליטה'!$A$5:$A$204,$A164,'רווחה - קליטה'!$C$5:$C$204,"תחילת שנה"),""))</f>
        <v/>
      </c>
      <c r="C164" s="28" t="str">
        <f aca="false">IF($A164="","",IFERROR(AVERAGEIFS('רווחה - קליטה'!$AK$5:$AK$204,'רווחה - קליטה'!$A$5:$A$204,$A164,'רווחה - קליטה'!$C$5:$C$204,"תחילת שנה"),""))</f>
        <v/>
      </c>
      <c r="D164" s="27" t="str">
        <f aca="false">IF($A164="","",IFERROR(INDEX('רווחה - קליטה'!$AS$5:$AS$204,MATCH($A164&amp;"|תחילת שנה",'רווחה - קליטה'!$AE$5:$AE$204,0)),""))</f>
        <v/>
      </c>
      <c r="E164" s="36" t="str">
        <f aca="false">IF($A164="","",IFERROR(AVERAGEIFS('רווחה - קליטה'!$AQ$5:$AQ$204,'רווחה - קליטה'!$A$5:$A$204,$A164,'רווחה - קליטה'!$C$5:$C$204,"אמצע שנה"),""))</f>
        <v/>
      </c>
      <c r="F164" s="28" t="str">
        <f aca="false">IF($A164="","",IFERROR(AVERAGEIFS('רווחה - קליטה'!$AK$5:$AK$204,'רווחה - קליטה'!$A$5:$A$204,$A164,'רווחה - קליטה'!$C$5:$C$204,"אמצע שנה"),""))</f>
        <v/>
      </c>
      <c r="G164" s="27" t="str">
        <f aca="false">IF($A164="","",IFERROR(INDEX('רווחה - קליטה'!$AS$5:$AS$204,MATCH($A164&amp;"|אמצע שנה",'רווחה - קליטה'!$AE$5:$AE$204,0)),""))</f>
        <v/>
      </c>
      <c r="H164" s="36" t="str">
        <f aca="false">IF($A164="","",IFERROR(AVERAGEIFS('רווחה - קליטה'!$AQ$5:$AQ$204,'רווחה - קליטה'!$A$5:$A$204,$A164,'רווחה - קליטה'!$C$5:$C$204,"סוף שנה"),""))</f>
        <v/>
      </c>
      <c r="I164" s="28" t="str">
        <f aca="false">IF($A164="","",IFERROR(AVERAGEIFS('רווחה - קליטה'!$AK$5:$AK$204,'רווחה - קליטה'!$A$5:$A$204,$A164,'רווחה - קליטה'!$C$5:$C$204,"סוף שנה"),""))</f>
        <v/>
      </c>
      <c r="J164" s="27" t="str">
        <f aca="false">IF($A164="","",IFERROR(INDEX('רווחה - קליטה'!$AS$5:$AS$204,MATCH($A164&amp;"|סוף שנה",'רווחה - קליטה'!$AE$5:$AE$204,0)),""))</f>
        <v/>
      </c>
      <c r="K164" s="37" t="str">
        <f aca="false">IF(AND(ISNUMBER(B164),ISNUMBER(H164)),H164-B164,"")</f>
        <v/>
      </c>
      <c r="L164" s="27" t="str">
        <f aca="false">IF(K164="","",IF(K164&gt;=0.5,"עלייה",IF(K164&lt;=-0.5,"ירידה","יציב")))</f>
        <v/>
      </c>
    </row>
    <row r="165" customFormat="false" ht="15" hidden="false" customHeight="false" outlineLevel="0" collapsed="false">
      <c r="A165" s="29"/>
      <c r="B165" s="36" t="str">
        <f aca="false">IF($A165="","",IFERROR(AVERAGEIFS('רווחה - קליטה'!$AQ$5:$AQ$204,'רווחה - קליטה'!$A$5:$A$204,$A165,'רווחה - קליטה'!$C$5:$C$204,"תחילת שנה"),""))</f>
        <v/>
      </c>
      <c r="C165" s="28" t="str">
        <f aca="false">IF($A165="","",IFERROR(AVERAGEIFS('רווחה - קליטה'!$AK$5:$AK$204,'רווחה - קליטה'!$A$5:$A$204,$A165,'רווחה - קליטה'!$C$5:$C$204,"תחילת שנה"),""))</f>
        <v/>
      </c>
      <c r="D165" s="27" t="str">
        <f aca="false">IF($A165="","",IFERROR(INDEX('רווחה - קליטה'!$AS$5:$AS$204,MATCH($A165&amp;"|תחילת שנה",'רווחה - קליטה'!$AE$5:$AE$204,0)),""))</f>
        <v/>
      </c>
      <c r="E165" s="36" t="str">
        <f aca="false">IF($A165="","",IFERROR(AVERAGEIFS('רווחה - קליטה'!$AQ$5:$AQ$204,'רווחה - קליטה'!$A$5:$A$204,$A165,'רווחה - קליטה'!$C$5:$C$204,"אמצע שנה"),""))</f>
        <v/>
      </c>
      <c r="F165" s="28" t="str">
        <f aca="false">IF($A165="","",IFERROR(AVERAGEIFS('רווחה - קליטה'!$AK$5:$AK$204,'רווחה - קליטה'!$A$5:$A$204,$A165,'רווחה - קליטה'!$C$5:$C$204,"אמצע שנה"),""))</f>
        <v/>
      </c>
      <c r="G165" s="27" t="str">
        <f aca="false">IF($A165="","",IFERROR(INDEX('רווחה - קליטה'!$AS$5:$AS$204,MATCH($A165&amp;"|אמצע שנה",'רווחה - קליטה'!$AE$5:$AE$204,0)),""))</f>
        <v/>
      </c>
      <c r="H165" s="36" t="str">
        <f aca="false">IF($A165="","",IFERROR(AVERAGEIFS('רווחה - קליטה'!$AQ$5:$AQ$204,'רווחה - קליטה'!$A$5:$A$204,$A165,'רווחה - קליטה'!$C$5:$C$204,"סוף שנה"),""))</f>
        <v/>
      </c>
      <c r="I165" s="28" t="str">
        <f aca="false">IF($A165="","",IFERROR(AVERAGEIFS('רווחה - קליטה'!$AK$5:$AK$204,'רווחה - קליטה'!$A$5:$A$204,$A165,'רווחה - קליטה'!$C$5:$C$204,"סוף שנה"),""))</f>
        <v/>
      </c>
      <c r="J165" s="27" t="str">
        <f aca="false">IF($A165="","",IFERROR(INDEX('רווחה - קליטה'!$AS$5:$AS$204,MATCH($A165&amp;"|סוף שנה",'רווחה - קליטה'!$AE$5:$AE$204,0)),""))</f>
        <v/>
      </c>
      <c r="K165" s="37" t="str">
        <f aca="false">IF(AND(ISNUMBER(B165),ISNUMBER(H165)),H165-B165,"")</f>
        <v/>
      </c>
      <c r="L165" s="27" t="str">
        <f aca="false">IF(K165="","",IF(K165&gt;=0.5,"עלייה",IF(K165&lt;=-0.5,"ירידה","יציב")))</f>
        <v/>
      </c>
    </row>
    <row r="166" customFormat="false" ht="15" hidden="false" customHeight="false" outlineLevel="0" collapsed="false">
      <c r="A166" s="29"/>
      <c r="B166" s="36" t="str">
        <f aca="false">IF($A166="","",IFERROR(AVERAGEIFS('רווחה - קליטה'!$AQ$5:$AQ$204,'רווחה - קליטה'!$A$5:$A$204,$A166,'רווחה - קליטה'!$C$5:$C$204,"תחילת שנה"),""))</f>
        <v/>
      </c>
      <c r="C166" s="28" t="str">
        <f aca="false">IF($A166="","",IFERROR(AVERAGEIFS('רווחה - קליטה'!$AK$5:$AK$204,'רווחה - קליטה'!$A$5:$A$204,$A166,'רווחה - קליטה'!$C$5:$C$204,"תחילת שנה"),""))</f>
        <v/>
      </c>
      <c r="D166" s="27" t="str">
        <f aca="false">IF($A166="","",IFERROR(INDEX('רווחה - קליטה'!$AS$5:$AS$204,MATCH($A166&amp;"|תחילת שנה",'רווחה - קליטה'!$AE$5:$AE$204,0)),""))</f>
        <v/>
      </c>
      <c r="E166" s="36" t="str">
        <f aca="false">IF($A166="","",IFERROR(AVERAGEIFS('רווחה - קליטה'!$AQ$5:$AQ$204,'רווחה - קליטה'!$A$5:$A$204,$A166,'רווחה - קליטה'!$C$5:$C$204,"אמצע שנה"),""))</f>
        <v/>
      </c>
      <c r="F166" s="28" t="str">
        <f aca="false">IF($A166="","",IFERROR(AVERAGEIFS('רווחה - קליטה'!$AK$5:$AK$204,'רווחה - קליטה'!$A$5:$A$204,$A166,'רווחה - קליטה'!$C$5:$C$204,"אמצע שנה"),""))</f>
        <v/>
      </c>
      <c r="G166" s="27" t="str">
        <f aca="false">IF($A166="","",IFERROR(INDEX('רווחה - קליטה'!$AS$5:$AS$204,MATCH($A166&amp;"|אמצע שנה",'רווחה - קליטה'!$AE$5:$AE$204,0)),""))</f>
        <v/>
      </c>
      <c r="H166" s="36" t="str">
        <f aca="false">IF($A166="","",IFERROR(AVERAGEIFS('רווחה - קליטה'!$AQ$5:$AQ$204,'רווחה - קליטה'!$A$5:$A$204,$A166,'רווחה - קליטה'!$C$5:$C$204,"סוף שנה"),""))</f>
        <v/>
      </c>
      <c r="I166" s="28" t="str">
        <f aca="false">IF($A166="","",IFERROR(AVERAGEIFS('רווחה - קליטה'!$AK$5:$AK$204,'רווחה - קליטה'!$A$5:$A$204,$A166,'רווחה - קליטה'!$C$5:$C$204,"סוף שנה"),""))</f>
        <v/>
      </c>
      <c r="J166" s="27" t="str">
        <f aca="false">IF($A166="","",IFERROR(INDEX('רווחה - קליטה'!$AS$5:$AS$204,MATCH($A166&amp;"|סוף שנה",'רווחה - קליטה'!$AE$5:$AE$204,0)),""))</f>
        <v/>
      </c>
      <c r="K166" s="37" t="str">
        <f aca="false">IF(AND(ISNUMBER(B166),ISNUMBER(H166)),H166-B166,"")</f>
        <v/>
      </c>
      <c r="L166" s="27" t="str">
        <f aca="false">IF(K166="","",IF(K166&gt;=0.5,"עלייה",IF(K166&lt;=-0.5,"ירידה","יציב")))</f>
        <v/>
      </c>
    </row>
    <row r="167" customFormat="false" ht="15" hidden="false" customHeight="false" outlineLevel="0" collapsed="false">
      <c r="A167" s="29"/>
      <c r="B167" s="36" t="str">
        <f aca="false">IF($A167="","",IFERROR(AVERAGEIFS('רווחה - קליטה'!$AQ$5:$AQ$204,'רווחה - קליטה'!$A$5:$A$204,$A167,'רווחה - קליטה'!$C$5:$C$204,"תחילת שנה"),""))</f>
        <v/>
      </c>
      <c r="C167" s="28" t="str">
        <f aca="false">IF($A167="","",IFERROR(AVERAGEIFS('רווחה - קליטה'!$AK$5:$AK$204,'רווחה - קליטה'!$A$5:$A$204,$A167,'רווחה - קליטה'!$C$5:$C$204,"תחילת שנה"),""))</f>
        <v/>
      </c>
      <c r="D167" s="27" t="str">
        <f aca="false">IF($A167="","",IFERROR(INDEX('רווחה - קליטה'!$AS$5:$AS$204,MATCH($A167&amp;"|תחילת שנה",'רווחה - קליטה'!$AE$5:$AE$204,0)),""))</f>
        <v/>
      </c>
      <c r="E167" s="36" t="str">
        <f aca="false">IF($A167="","",IFERROR(AVERAGEIFS('רווחה - קליטה'!$AQ$5:$AQ$204,'רווחה - קליטה'!$A$5:$A$204,$A167,'רווחה - קליטה'!$C$5:$C$204,"אמצע שנה"),""))</f>
        <v/>
      </c>
      <c r="F167" s="28" t="str">
        <f aca="false">IF($A167="","",IFERROR(AVERAGEIFS('רווחה - קליטה'!$AK$5:$AK$204,'רווחה - קליטה'!$A$5:$A$204,$A167,'רווחה - קליטה'!$C$5:$C$204,"אמצע שנה"),""))</f>
        <v/>
      </c>
      <c r="G167" s="27" t="str">
        <f aca="false">IF($A167="","",IFERROR(INDEX('רווחה - קליטה'!$AS$5:$AS$204,MATCH($A167&amp;"|אמצע שנה",'רווחה - קליטה'!$AE$5:$AE$204,0)),""))</f>
        <v/>
      </c>
      <c r="H167" s="36" t="str">
        <f aca="false">IF($A167="","",IFERROR(AVERAGEIFS('רווחה - קליטה'!$AQ$5:$AQ$204,'רווחה - קליטה'!$A$5:$A$204,$A167,'רווחה - קליטה'!$C$5:$C$204,"סוף שנה"),""))</f>
        <v/>
      </c>
      <c r="I167" s="28" t="str">
        <f aca="false">IF($A167="","",IFERROR(AVERAGEIFS('רווחה - קליטה'!$AK$5:$AK$204,'רווחה - קליטה'!$A$5:$A$204,$A167,'רווחה - קליטה'!$C$5:$C$204,"סוף שנה"),""))</f>
        <v/>
      </c>
      <c r="J167" s="27" t="str">
        <f aca="false">IF($A167="","",IFERROR(INDEX('רווחה - קליטה'!$AS$5:$AS$204,MATCH($A167&amp;"|סוף שנה",'רווחה - קליטה'!$AE$5:$AE$204,0)),""))</f>
        <v/>
      </c>
      <c r="K167" s="37" t="str">
        <f aca="false">IF(AND(ISNUMBER(B167),ISNUMBER(H167)),H167-B167,"")</f>
        <v/>
      </c>
      <c r="L167" s="27" t="str">
        <f aca="false">IF(K167="","",IF(K167&gt;=0.5,"עלייה",IF(K167&lt;=-0.5,"ירידה","יציב")))</f>
        <v/>
      </c>
    </row>
    <row r="168" customFormat="false" ht="15" hidden="false" customHeight="false" outlineLevel="0" collapsed="false">
      <c r="A168" s="29"/>
      <c r="B168" s="36" t="str">
        <f aca="false">IF($A168="","",IFERROR(AVERAGEIFS('רווחה - קליטה'!$AQ$5:$AQ$204,'רווחה - קליטה'!$A$5:$A$204,$A168,'רווחה - קליטה'!$C$5:$C$204,"תחילת שנה"),""))</f>
        <v/>
      </c>
      <c r="C168" s="28" t="str">
        <f aca="false">IF($A168="","",IFERROR(AVERAGEIFS('רווחה - קליטה'!$AK$5:$AK$204,'רווחה - קליטה'!$A$5:$A$204,$A168,'רווחה - קליטה'!$C$5:$C$204,"תחילת שנה"),""))</f>
        <v/>
      </c>
      <c r="D168" s="27" t="str">
        <f aca="false">IF($A168="","",IFERROR(INDEX('רווחה - קליטה'!$AS$5:$AS$204,MATCH($A168&amp;"|תחילת שנה",'רווחה - קליטה'!$AE$5:$AE$204,0)),""))</f>
        <v/>
      </c>
      <c r="E168" s="36" t="str">
        <f aca="false">IF($A168="","",IFERROR(AVERAGEIFS('רווחה - קליטה'!$AQ$5:$AQ$204,'רווחה - קליטה'!$A$5:$A$204,$A168,'רווחה - קליטה'!$C$5:$C$204,"אמצע שנה"),""))</f>
        <v/>
      </c>
      <c r="F168" s="28" t="str">
        <f aca="false">IF($A168="","",IFERROR(AVERAGEIFS('רווחה - קליטה'!$AK$5:$AK$204,'רווחה - קליטה'!$A$5:$A$204,$A168,'רווחה - קליטה'!$C$5:$C$204,"אמצע שנה"),""))</f>
        <v/>
      </c>
      <c r="G168" s="27" t="str">
        <f aca="false">IF($A168="","",IFERROR(INDEX('רווחה - קליטה'!$AS$5:$AS$204,MATCH($A168&amp;"|אמצע שנה",'רווחה - קליטה'!$AE$5:$AE$204,0)),""))</f>
        <v/>
      </c>
      <c r="H168" s="36" t="str">
        <f aca="false">IF($A168="","",IFERROR(AVERAGEIFS('רווחה - קליטה'!$AQ$5:$AQ$204,'רווחה - קליטה'!$A$5:$A$204,$A168,'רווחה - קליטה'!$C$5:$C$204,"סוף שנה"),""))</f>
        <v/>
      </c>
      <c r="I168" s="28" t="str">
        <f aca="false">IF($A168="","",IFERROR(AVERAGEIFS('רווחה - קליטה'!$AK$5:$AK$204,'רווחה - קליטה'!$A$5:$A$204,$A168,'רווחה - קליטה'!$C$5:$C$204,"סוף שנה"),""))</f>
        <v/>
      </c>
      <c r="J168" s="27" t="str">
        <f aca="false">IF($A168="","",IFERROR(INDEX('רווחה - קליטה'!$AS$5:$AS$204,MATCH($A168&amp;"|סוף שנה",'רווחה - קליטה'!$AE$5:$AE$204,0)),""))</f>
        <v/>
      </c>
      <c r="K168" s="37" t="str">
        <f aca="false">IF(AND(ISNUMBER(B168),ISNUMBER(H168)),H168-B168,"")</f>
        <v/>
      </c>
      <c r="L168" s="27" t="str">
        <f aca="false">IF(K168="","",IF(K168&gt;=0.5,"עלייה",IF(K168&lt;=-0.5,"ירידה","יציב")))</f>
        <v/>
      </c>
    </row>
    <row r="169" customFormat="false" ht="15" hidden="false" customHeight="false" outlineLevel="0" collapsed="false">
      <c r="A169" s="29"/>
      <c r="B169" s="36" t="str">
        <f aca="false">IF($A169="","",IFERROR(AVERAGEIFS('רווחה - קליטה'!$AQ$5:$AQ$204,'רווחה - קליטה'!$A$5:$A$204,$A169,'רווחה - קליטה'!$C$5:$C$204,"תחילת שנה"),""))</f>
        <v/>
      </c>
      <c r="C169" s="28" t="str">
        <f aca="false">IF($A169="","",IFERROR(AVERAGEIFS('רווחה - קליטה'!$AK$5:$AK$204,'רווחה - קליטה'!$A$5:$A$204,$A169,'רווחה - קליטה'!$C$5:$C$204,"תחילת שנה"),""))</f>
        <v/>
      </c>
      <c r="D169" s="27" t="str">
        <f aca="false">IF($A169="","",IFERROR(INDEX('רווחה - קליטה'!$AS$5:$AS$204,MATCH($A169&amp;"|תחילת שנה",'רווחה - קליטה'!$AE$5:$AE$204,0)),""))</f>
        <v/>
      </c>
      <c r="E169" s="36" t="str">
        <f aca="false">IF($A169="","",IFERROR(AVERAGEIFS('רווחה - קליטה'!$AQ$5:$AQ$204,'רווחה - קליטה'!$A$5:$A$204,$A169,'רווחה - קליטה'!$C$5:$C$204,"אמצע שנה"),""))</f>
        <v/>
      </c>
      <c r="F169" s="28" t="str">
        <f aca="false">IF($A169="","",IFERROR(AVERAGEIFS('רווחה - קליטה'!$AK$5:$AK$204,'רווחה - קליטה'!$A$5:$A$204,$A169,'רווחה - קליטה'!$C$5:$C$204,"אמצע שנה"),""))</f>
        <v/>
      </c>
      <c r="G169" s="27" t="str">
        <f aca="false">IF($A169="","",IFERROR(INDEX('רווחה - קליטה'!$AS$5:$AS$204,MATCH($A169&amp;"|אמצע שנה",'רווחה - קליטה'!$AE$5:$AE$204,0)),""))</f>
        <v/>
      </c>
      <c r="H169" s="36" t="str">
        <f aca="false">IF($A169="","",IFERROR(AVERAGEIFS('רווחה - קליטה'!$AQ$5:$AQ$204,'רווחה - קליטה'!$A$5:$A$204,$A169,'רווחה - קליטה'!$C$5:$C$204,"סוף שנה"),""))</f>
        <v/>
      </c>
      <c r="I169" s="28" t="str">
        <f aca="false">IF($A169="","",IFERROR(AVERAGEIFS('רווחה - קליטה'!$AK$5:$AK$204,'רווחה - קליטה'!$A$5:$A$204,$A169,'רווחה - קליטה'!$C$5:$C$204,"סוף שנה"),""))</f>
        <v/>
      </c>
      <c r="J169" s="27" t="str">
        <f aca="false">IF($A169="","",IFERROR(INDEX('רווחה - קליטה'!$AS$5:$AS$204,MATCH($A169&amp;"|סוף שנה",'רווחה - קליטה'!$AE$5:$AE$204,0)),""))</f>
        <v/>
      </c>
      <c r="K169" s="37" t="str">
        <f aca="false">IF(AND(ISNUMBER(B169),ISNUMBER(H169)),H169-B169,"")</f>
        <v/>
      </c>
      <c r="L169" s="27" t="str">
        <f aca="false">IF(K169="","",IF(K169&gt;=0.5,"עלייה",IF(K169&lt;=-0.5,"ירידה","יציב")))</f>
        <v/>
      </c>
    </row>
    <row r="170" customFormat="false" ht="15" hidden="false" customHeight="false" outlineLevel="0" collapsed="false">
      <c r="A170" s="29"/>
      <c r="B170" s="36" t="str">
        <f aca="false">IF($A170="","",IFERROR(AVERAGEIFS('רווחה - קליטה'!$AQ$5:$AQ$204,'רווחה - קליטה'!$A$5:$A$204,$A170,'רווחה - קליטה'!$C$5:$C$204,"תחילת שנה"),""))</f>
        <v/>
      </c>
      <c r="C170" s="28" t="str">
        <f aca="false">IF($A170="","",IFERROR(AVERAGEIFS('רווחה - קליטה'!$AK$5:$AK$204,'רווחה - קליטה'!$A$5:$A$204,$A170,'רווחה - קליטה'!$C$5:$C$204,"תחילת שנה"),""))</f>
        <v/>
      </c>
      <c r="D170" s="27" t="str">
        <f aca="false">IF($A170="","",IFERROR(INDEX('רווחה - קליטה'!$AS$5:$AS$204,MATCH($A170&amp;"|תחילת שנה",'רווחה - קליטה'!$AE$5:$AE$204,0)),""))</f>
        <v/>
      </c>
      <c r="E170" s="36" t="str">
        <f aca="false">IF($A170="","",IFERROR(AVERAGEIFS('רווחה - קליטה'!$AQ$5:$AQ$204,'רווחה - קליטה'!$A$5:$A$204,$A170,'רווחה - קליטה'!$C$5:$C$204,"אמצע שנה"),""))</f>
        <v/>
      </c>
      <c r="F170" s="28" t="str">
        <f aca="false">IF($A170="","",IFERROR(AVERAGEIFS('רווחה - קליטה'!$AK$5:$AK$204,'רווחה - קליטה'!$A$5:$A$204,$A170,'רווחה - קליטה'!$C$5:$C$204,"אמצע שנה"),""))</f>
        <v/>
      </c>
      <c r="G170" s="27" t="str">
        <f aca="false">IF($A170="","",IFERROR(INDEX('רווחה - קליטה'!$AS$5:$AS$204,MATCH($A170&amp;"|אמצע שנה",'רווחה - קליטה'!$AE$5:$AE$204,0)),""))</f>
        <v/>
      </c>
      <c r="H170" s="36" t="str">
        <f aca="false">IF($A170="","",IFERROR(AVERAGEIFS('רווחה - קליטה'!$AQ$5:$AQ$204,'רווחה - קליטה'!$A$5:$A$204,$A170,'רווחה - קליטה'!$C$5:$C$204,"סוף שנה"),""))</f>
        <v/>
      </c>
      <c r="I170" s="28" t="str">
        <f aca="false">IF($A170="","",IFERROR(AVERAGEIFS('רווחה - קליטה'!$AK$5:$AK$204,'רווחה - קליטה'!$A$5:$A$204,$A170,'רווחה - קליטה'!$C$5:$C$204,"סוף שנה"),""))</f>
        <v/>
      </c>
      <c r="J170" s="27" t="str">
        <f aca="false">IF($A170="","",IFERROR(INDEX('רווחה - קליטה'!$AS$5:$AS$204,MATCH($A170&amp;"|סוף שנה",'רווחה - קליטה'!$AE$5:$AE$204,0)),""))</f>
        <v/>
      </c>
      <c r="K170" s="37" t="str">
        <f aca="false">IF(AND(ISNUMBER(B170),ISNUMBER(H170)),H170-B170,"")</f>
        <v/>
      </c>
      <c r="L170" s="27" t="str">
        <f aca="false">IF(K170="","",IF(K170&gt;=0.5,"עלייה",IF(K170&lt;=-0.5,"ירידה","יציב")))</f>
        <v/>
      </c>
    </row>
    <row r="171" customFormat="false" ht="15" hidden="false" customHeight="false" outlineLevel="0" collapsed="false">
      <c r="A171" s="29"/>
      <c r="B171" s="36" t="str">
        <f aca="false">IF($A171="","",IFERROR(AVERAGEIFS('רווחה - קליטה'!$AQ$5:$AQ$204,'רווחה - קליטה'!$A$5:$A$204,$A171,'רווחה - קליטה'!$C$5:$C$204,"תחילת שנה"),""))</f>
        <v/>
      </c>
      <c r="C171" s="28" t="str">
        <f aca="false">IF($A171="","",IFERROR(AVERAGEIFS('רווחה - קליטה'!$AK$5:$AK$204,'רווחה - קליטה'!$A$5:$A$204,$A171,'רווחה - קליטה'!$C$5:$C$204,"תחילת שנה"),""))</f>
        <v/>
      </c>
      <c r="D171" s="27" t="str">
        <f aca="false">IF($A171="","",IFERROR(INDEX('רווחה - קליטה'!$AS$5:$AS$204,MATCH($A171&amp;"|תחילת שנה",'רווחה - קליטה'!$AE$5:$AE$204,0)),""))</f>
        <v/>
      </c>
      <c r="E171" s="36" t="str">
        <f aca="false">IF($A171="","",IFERROR(AVERAGEIFS('רווחה - קליטה'!$AQ$5:$AQ$204,'רווחה - קליטה'!$A$5:$A$204,$A171,'רווחה - קליטה'!$C$5:$C$204,"אמצע שנה"),""))</f>
        <v/>
      </c>
      <c r="F171" s="28" t="str">
        <f aca="false">IF($A171="","",IFERROR(AVERAGEIFS('רווחה - קליטה'!$AK$5:$AK$204,'רווחה - קליטה'!$A$5:$A$204,$A171,'רווחה - קליטה'!$C$5:$C$204,"אמצע שנה"),""))</f>
        <v/>
      </c>
      <c r="G171" s="27" t="str">
        <f aca="false">IF($A171="","",IFERROR(INDEX('רווחה - קליטה'!$AS$5:$AS$204,MATCH($A171&amp;"|אמצע שנה",'רווחה - קליטה'!$AE$5:$AE$204,0)),""))</f>
        <v/>
      </c>
      <c r="H171" s="36" t="str">
        <f aca="false">IF($A171="","",IFERROR(AVERAGEIFS('רווחה - קליטה'!$AQ$5:$AQ$204,'רווחה - קליטה'!$A$5:$A$204,$A171,'רווחה - קליטה'!$C$5:$C$204,"סוף שנה"),""))</f>
        <v/>
      </c>
      <c r="I171" s="28" t="str">
        <f aca="false">IF($A171="","",IFERROR(AVERAGEIFS('רווחה - קליטה'!$AK$5:$AK$204,'רווחה - קליטה'!$A$5:$A$204,$A171,'רווחה - קליטה'!$C$5:$C$204,"סוף שנה"),""))</f>
        <v/>
      </c>
      <c r="J171" s="27" t="str">
        <f aca="false">IF($A171="","",IFERROR(INDEX('רווחה - קליטה'!$AS$5:$AS$204,MATCH($A171&amp;"|סוף שנה",'רווחה - קליטה'!$AE$5:$AE$204,0)),""))</f>
        <v/>
      </c>
      <c r="K171" s="37" t="str">
        <f aca="false">IF(AND(ISNUMBER(B171),ISNUMBER(H171)),H171-B171,"")</f>
        <v/>
      </c>
      <c r="L171" s="27" t="str">
        <f aca="false">IF(K171="","",IF(K171&gt;=0.5,"עלייה",IF(K171&lt;=-0.5,"ירידה","יציב")))</f>
        <v/>
      </c>
    </row>
    <row r="172" customFormat="false" ht="15" hidden="false" customHeight="false" outlineLevel="0" collapsed="false">
      <c r="A172" s="29"/>
      <c r="B172" s="36" t="str">
        <f aca="false">IF($A172="","",IFERROR(AVERAGEIFS('רווחה - קליטה'!$AQ$5:$AQ$204,'רווחה - קליטה'!$A$5:$A$204,$A172,'רווחה - קליטה'!$C$5:$C$204,"תחילת שנה"),""))</f>
        <v/>
      </c>
      <c r="C172" s="28" t="str">
        <f aca="false">IF($A172="","",IFERROR(AVERAGEIFS('רווחה - קליטה'!$AK$5:$AK$204,'רווחה - קליטה'!$A$5:$A$204,$A172,'רווחה - קליטה'!$C$5:$C$204,"תחילת שנה"),""))</f>
        <v/>
      </c>
      <c r="D172" s="27" t="str">
        <f aca="false">IF($A172="","",IFERROR(INDEX('רווחה - קליטה'!$AS$5:$AS$204,MATCH($A172&amp;"|תחילת שנה",'רווחה - קליטה'!$AE$5:$AE$204,0)),""))</f>
        <v/>
      </c>
      <c r="E172" s="36" t="str">
        <f aca="false">IF($A172="","",IFERROR(AVERAGEIFS('רווחה - קליטה'!$AQ$5:$AQ$204,'רווחה - קליטה'!$A$5:$A$204,$A172,'רווחה - קליטה'!$C$5:$C$204,"אמצע שנה"),""))</f>
        <v/>
      </c>
      <c r="F172" s="28" t="str">
        <f aca="false">IF($A172="","",IFERROR(AVERAGEIFS('רווחה - קליטה'!$AK$5:$AK$204,'רווחה - קליטה'!$A$5:$A$204,$A172,'רווחה - קליטה'!$C$5:$C$204,"אמצע שנה"),""))</f>
        <v/>
      </c>
      <c r="G172" s="27" t="str">
        <f aca="false">IF($A172="","",IFERROR(INDEX('רווחה - קליטה'!$AS$5:$AS$204,MATCH($A172&amp;"|אמצע שנה",'רווחה - קליטה'!$AE$5:$AE$204,0)),""))</f>
        <v/>
      </c>
      <c r="H172" s="36" t="str">
        <f aca="false">IF($A172="","",IFERROR(AVERAGEIFS('רווחה - קליטה'!$AQ$5:$AQ$204,'רווחה - קליטה'!$A$5:$A$204,$A172,'רווחה - קליטה'!$C$5:$C$204,"סוף שנה"),""))</f>
        <v/>
      </c>
      <c r="I172" s="28" t="str">
        <f aca="false">IF($A172="","",IFERROR(AVERAGEIFS('רווחה - קליטה'!$AK$5:$AK$204,'רווחה - קליטה'!$A$5:$A$204,$A172,'רווחה - קליטה'!$C$5:$C$204,"סוף שנה"),""))</f>
        <v/>
      </c>
      <c r="J172" s="27" t="str">
        <f aca="false">IF($A172="","",IFERROR(INDEX('רווחה - קליטה'!$AS$5:$AS$204,MATCH($A172&amp;"|סוף שנה",'רווחה - קליטה'!$AE$5:$AE$204,0)),""))</f>
        <v/>
      </c>
      <c r="K172" s="37" t="str">
        <f aca="false">IF(AND(ISNUMBER(B172),ISNUMBER(H172)),H172-B172,"")</f>
        <v/>
      </c>
      <c r="L172" s="27" t="str">
        <f aca="false">IF(K172="","",IF(K172&gt;=0.5,"עלייה",IF(K172&lt;=-0.5,"ירידה","יציב")))</f>
        <v/>
      </c>
    </row>
    <row r="173" customFormat="false" ht="15" hidden="false" customHeight="false" outlineLevel="0" collapsed="false">
      <c r="A173" s="29"/>
      <c r="B173" s="36" t="str">
        <f aca="false">IF($A173="","",IFERROR(AVERAGEIFS('רווחה - קליטה'!$AQ$5:$AQ$204,'רווחה - קליטה'!$A$5:$A$204,$A173,'רווחה - קליטה'!$C$5:$C$204,"תחילת שנה"),""))</f>
        <v/>
      </c>
      <c r="C173" s="28" t="str">
        <f aca="false">IF($A173="","",IFERROR(AVERAGEIFS('רווחה - קליטה'!$AK$5:$AK$204,'רווחה - קליטה'!$A$5:$A$204,$A173,'רווחה - קליטה'!$C$5:$C$204,"תחילת שנה"),""))</f>
        <v/>
      </c>
      <c r="D173" s="27" t="str">
        <f aca="false">IF($A173="","",IFERROR(INDEX('רווחה - קליטה'!$AS$5:$AS$204,MATCH($A173&amp;"|תחילת שנה",'רווחה - קליטה'!$AE$5:$AE$204,0)),""))</f>
        <v/>
      </c>
      <c r="E173" s="36" t="str">
        <f aca="false">IF($A173="","",IFERROR(AVERAGEIFS('רווחה - קליטה'!$AQ$5:$AQ$204,'רווחה - קליטה'!$A$5:$A$204,$A173,'רווחה - קליטה'!$C$5:$C$204,"אמצע שנה"),""))</f>
        <v/>
      </c>
      <c r="F173" s="28" t="str">
        <f aca="false">IF($A173="","",IFERROR(AVERAGEIFS('רווחה - קליטה'!$AK$5:$AK$204,'רווחה - קליטה'!$A$5:$A$204,$A173,'רווחה - קליטה'!$C$5:$C$204,"אמצע שנה"),""))</f>
        <v/>
      </c>
      <c r="G173" s="27" t="str">
        <f aca="false">IF($A173="","",IFERROR(INDEX('רווחה - קליטה'!$AS$5:$AS$204,MATCH($A173&amp;"|אמצע שנה",'רווחה - קליטה'!$AE$5:$AE$204,0)),""))</f>
        <v/>
      </c>
      <c r="H173" s="36" t="str">
        <f aca="false">IF($A173="","",IFERROR(AVERAGEIFS('רווחה - קליטה'!$AQ$5:$AQ$204,'רווחה - קליטה'!$A$5:$A$204,$A173,'רווחה - קליטה'!$C$5:$C$204,"סוף שנה"),""))</f>
        <v/>
      </c>
      <c r="I173" s="28" t="str">
        <f aca="false">IF($A173="","",IFERROR(AVERAGEIFS('רווחה - קליטה'!$AK$5:$AK$204,'רווחה - קליטה'!$A$5:$A$204,$A173,'רווחה - קליטה'!$C$5:$C$204,"סוף שנה"),""))</f>
        <v/>
      </c>
      <c r="J173" s="27" t="str">
        <f aca="false">IF($A173="","",IFERROR(INDEX('רווחה - קליטה'!$AS$5:$AS$204,MATCH($A173&amp;"|סוף שנה",'רווחה - קליטה'!$AE$5:$AE$204,0)),""))</f>
        <v/>
      </c>
      <c r="K173" s="37" t="str">
        <f aca="false">IF(AND(ISNUMBER(B173),ISNUMBER(H173)),H173-B173,"")</f>
        <v/>
      </c>
      <c r="L173" s="27" t="str">
        <f aca="false">IF(K173="","",IF(K173&gt;=0.5,"עלייה",IF(K173&lt;=-0.5,"ירידה","יציב")))</f>
        <v/>
      </c>
    </row>
    <row r="174" customFormat="false" ht="15" hidden="false" customHeight="false" outlineLevel="0" collapsed="false">
      <c r="A174" s="29"/>
      <c r="B174" s="36" t="str">
        <f aca="false">IF($A174="","",IFERROR(AVERAGEIFS('רווחה - קליטה'!$AQ$5:$AQ$204,'רווחה - קליטה'!$A$5:$A$204,$A174,'רווחה - קליטה'!$C$5:$C$204,"תחילת שנה"),""))</f>
        <v/>
      </c>
      <c r="C174" s="28" t="str">
        <f aca="false">IF($A174="","",IFERROR(AVERAGEIFS('רווחה - קליטה'!$AK$5:$AK$204,'רווחה - קליטה'!$A$5:$A$204,$A174,'רווחה - קליטה'!$C$5:$C$204,"תחילת שנה"),""))</f>
        <v/>
      </c>
      <c r="D174" s="27" t="str">
        <f aca="false">IF($A174="","",IFERROR(INDEX('רווחה - קליטה'!$AS$5:$AS$204,MATCH($A174&amp;"|תחילת שנה",'רווחה - קליטה'!$AE$5:$AE$204,0)),""))</f>
        <v/>
      </c>
      <c r="E174" s="36" t="str">
        <f aca="false">IF($A174="","",IFERROR(AVERAGEIFS('רווחה - קליטה'!$AQ$5:$AQ$204,'רווחה - קליטה'!$A$5:$A$204,$A174,'רווחה - קליטה'!$C$5:$C$204,"אמצע שנה"),""))</f>
        <v/>
      </c>
      <c r="F174" s="28" t="str">
        <f aca="false">IF($A174="","",IFERROR(AVERAGEIFS('רווחה - קליטה'!$AK$5:$AK$204,'רווחה - קליטה'!$A$5:$A$204,$A174,'רווחה - קליטה'!$C$5:$C$204,"אמצע שנה"),""))</f>
        <v/>
      </c>
      <c r="G174" s="27" t="str">
        <f aca="false">IF($A174="","",IFERROR(INDEX('רווחה - קליטה'!$AS$5:$AS$204,MATCH($A174&amp;"|אמצע שנה",'רווחה - קליטה'!$AE$5:$AE$204,0)),""))</f>
        <v/>
      </c>
      <c r="H174" s="36" t="str">
        <f aca="false">IF($A174="","",IFERROR(AVERAGEIFS('רווחה - קליטה'!$AQ$5:$AQ$204,'רווחה - קליטה'!$A$5:$A$204,$A174,'רווחה - קליטה'!$C$5:$C$204,"סוף שנה"),""))</f>
        <v/>
      </c>
      <c r="I174" s="28" t="str">
        <f aca="false">IF($A174="","",IFERROR(AVERAGEIFS('רווחה - קליטה'!$AK$5:$AK$204,'רווחה - קליטה'!$A$5:$A$204,$A174,'רווחה - קליטה'!$C$5:$C$204,"סוף שנה"),""))</f>
        <v/>
      </c>
      <c r="J174" s="27" t="str">
        <f aca="false">IF($A174="","",IFERROR(INDEX('רווחה - קליטה'!$AS$5:$AS$204,MATCH($A174&amp;"|סוף שנה",'רווחה - קליטה'!$AE$5:$AE$204,0)),""))</f>
        <v/>
      </c>
      <c r="K174" s="37" t="str">
        <f aca="false">IF(AND(ISNUMBER(B174),ISNUMBER(H174)),H174-B174,"")</f>
        <v/>
      </c>
      <c r="L174" s="27" t="str">
        <f aca="false">IF(K174="","",IF(K174&gt;=0.5,"עלייה",IF(K174&lt;=-0.5,"ירידה","יציב")))</f>
        <v/>
      </c>
    </row>
    <row r="175" customFormat="false" ht="15" hidden="false" customHeight="false" outlineLevel="0" collapsed="false">
      <c r="A175" s="29"/>
      <c r="B175" s="36" t="str">
        <f aca="false">IF($A175="","",IFERROR(AVERAGEIFS('רווחה - קליטה'!$AQ$5:$AQ$204,'רווחה - קליטה'!$A$5:$A$204,$A175,'רווחה - קליטה'!$C$5:$C$204,"תחילת שנה"),""))</f>
        <v/>
      </c>
      <c r="C175" s="28" t="str">
        <f aca="false">IF($A175="","",IFERROR(AVERAGEIFS('רווחה - קליטה'!$AK$5:$AK$204,'רווחה - קליטה'!$A$5:$A$204,$A175,'רווחה - קליטה'!$C$5:$C$204,"תחילת שנה"),""))</f>
        <v/>
      </c>
      <c r="D175" s="27" t="str">
        <f aca="false">IF($A175="","",IFERROR(INDEX('רווחה - קליטה'!$AS$5:$AS$204,MATCH($A175&amp;"|תחילת שנה",'רווחה - קליטה'!$AE$5:$AE$204,0)),""))</f>
        <v/>
      </c>
      <c r="E175" s="36" t="str">
        <f aca="false">IF($A175="","",IFERROR(AVERAGEIFS('רווחה - קליטה'!$AQ$5:$AQ$204,'רווחה - קליטה'!$A$5:$A$204,$A175,'רווחה - קליטה'!$C$5:$C$204,"אמצע שנה"),""))</f>
        <v/>
      </c>
      <c r="F175" s="28" t="str">
        <f aca="false">IF($A175="","",IFERROR(AVERAGEIFS('רווחה - קליטה'!$AK$5:$AK$204,'רווחה - קליטה'!$A$5:$A$204,$A175,'רווחה - קליטה'!$C$5:$C$204,"אמצע שנה"),""))</f>
        <v/>
      </c>
      <c r="G175" s="27" t="str">
        <f aca="false">IF($A175="","",IFERROR(INDEX('רווחה - קליטה'!$AS$5:$AS$204,MATCH($A175&amp;"|אמצע שנה",'רווחה - קליטה'!$AE$5:$AE$204,0)),""))</f>
        <v/>
      </c>
      <c r="H175" s="36" t="str">
        <f aca="false">IF($A175="","",IFERROR(AVERAGEIFS('רווחה - קליטה'!$AQ$5:$AQ$204,'רווחה - קליטה'!$A$5:$A$204,$A175,'רווחה - קליטה'!$C$5:$C$204,"סוף שנה"),""))</f>
        <v/>
      </c>
      <c r="I175" s="28" t="str">
        <f aca="false">IF($A175="","",IFERROR(AVERAGEIFS('רווחה - קליטה'!$AK$5:$AK$204,'רווחה - קליטה'!$A$5:$A$204,$A175,'רווחה - קליטה'!$C$5:$C$204,"סוף שנה"),""))</f>
        <v/>
      </c>
      <c r="J175" s="27" t="str">
        <f aca="false">IF($A175="","",IFERROR(INDEX('רווחה - קליטה'!$AS$5:$AS$204,MATCH($A175&amp;"|סוף שנה",'רווחה - קליטה'!$AE$5:$AE$204,0)),""))</f>
        <v/>
      </c>
      <c r="K175" s="37" t="str">
        <f aca="false">IF(AND(ISNUMBER(B175),ISNUMBER(H175)),H175-B175,"")</f>
        <v/>
      </c>
      <c r="L175" s="27" t="str">
        <f aca="false">IF(K175="","",IF(K175&gt;=0.5,"עלייה",IF(K175&lt;=-0.5,"ירידה","יציב")))</f>
        <v/>
      </c>
    </row>
    <row r="176" customFormat="false" ht="15" hidden="false" customHeight="false" outlineLevel="0" collapsed="false">
      <c r="A176" s="29"/>
      <c r="B176" s="36" t="str">
        <f aca="false">IF($A176="","",IFERROR(AVERAGEIFS('רווחה - קליטה'!$AQ$5:$AQ$204,'רווחה - קליטה'!$A$5:$A$204,$A176,'רווחה - קליטה'!$C$5:$C$204,"תחילת שנה"),""))</f>
        <v/>
      </c>
      <c r="C176" s="28" t="str">
        <f aca="false">IF($A176="","",IFERROR(AVERAGEIFS('רווחה - קליטה'!$AK$5:$AK$204,'רווחה - קליטה'!$A$5:$A$204,$A176,'רווחה - קליטה'!$C$5:$C$204,"תחילת שנה"),""))</f>
        <v/>
      </c>
      <c r="D176" s="27" t="str">
        <f aca="false">IF($A176="","",IFERROR(INDEX('רווחה - קליטה'!$AS$5:$AS$204,MATCH($A176&amp;"|תחילת שנה",'רווחה - קליטה'!$AE$5:$AE$204,0)),""))</f>
        <v/>
      </c>
      <c r="E176" s="36" t="str">
        <f aca="false">IF($A176="","",IFERROR(AVERAGEIFS('רווחה - קליטה'!$AQ$5:$AQ$204,'רווחה - קליטה'!$A$5:$A$204,$A176,'רווחה - קליטה'!$C$5:$C$204,"אמצע שנה"),""))</f>
        <v/>
      </c>
      <c r="F176" s="28" t="str">
        <f aca="false">IF($A176="","",IFERROR(AVERAGEIFS('רווחה - קליטה'!$AK$5:$AK$204,'רווחה - קליטה'!$A$5:$A$204,$A176,'רווחה - קליטה'!$C$5:$C$204,"אמצע שנה"),""))</f>
        <v/>
      </c>
      <c r="G176" s="27" t="str">
        <f aca="false">IF($A176="","",IFERROR(INDEX('רווחה - קליטה'!$AS$5:$AS$204,MATCH($A176&amp;"|אמצע שנה",'רווחה - קליטה'!$AE$5:$AE$204,0)),""))</f>
        <v/>
      </c>
      <c r="H176" s="36" t="str">
        <f aca="false">IF($A176="","",IFERROR(AVERAGEIFS('רווחה - קליטה'!$AQ$5:$AQ$204,'רווחה - קליטה'!$A$5:$A$204,$A176,'רווחה - קליטה'!$C$5:$C$204,"סוף שנה"),""))</f>
        <v/>
      </c>
      <c r="I176" s="28" t="str">
        <f aca="false">IF($A176="","",IFERROR(AVERAGEIFS('רווחה - קליטה'!$AK$5:$AK$204,'רווחה - קליטה'!$A$5:$A$204,$A176,'רווחה - קליטה'!$C$5:$C$204,"סוף שנה"),""))</f>
        <v/>
      </c>
      <c r="J176" s="27" t="str">
        <f aca="false">IF($A176="","",IFERROR(INDEX('רווחה - קליטה'!$AS$5:$AS$204,MATCH($A176&amp;"|סוף שנה",'רווחה - קליטה'!$AE$5:$AE$204,0)),""))</f>
        <v/>
      </c>
      <c r="K176" s="37" t="str">
        <f aca="false">IF(AND(ISNUMBER(B176),ISNUMBER(H176)),H176-B176,"")</f>
        <v/>
      </c>
      <c r="L176" s="27" t="str">
        <f aca="false">IF(K176="","",IF(K176&gt;=0.5,"עלייה",IF(K176&lt;=-0.5,"ירידה","יציב")))</f>
        <v/>
      </c>
    </row>
    <row r="177" customFormat="false" ht="15" hidden="false" customHeight="false" outlineLevel="0" collapsed="false">
      <c r="A177" s="29"/>
      <c r="B177" s="36" t="str">
        <f aca="false">IF($A177="","",IFERROR(AVERAGEIFS('רווחה - קליטה'!$AQ$5:$AQ$204,'רווחה - קליטה'!$A$5:$A$204,$A177,'רווחה - קליטה'!$C$5:$C$204,"תחילת שנה"),""))</f>
        <v/>
      </c>
      <c r="C177" s="28" t="str">
        <f aca="false">IF($A177="","",IFERROR(AVERAGEIFS('רווחה - קליטה'!$AK$5:$AK$204,'רווחה - קליטה'!$A$5:$A$204,$A177,'רווחה - קליטה'!$C$5:$C$204,"תחילת שנה"),""))</f>
        <v/>
      </c>
      <c r="D177" s="27" t="str">
        <f aca="false">IF($A177="","",IFERROR(INDEX('רווחה - קליטה'!$AS$5:$AS$204,MATCH($A177&amp;"|תחילת שנה",'רווחה - קליטה'!$AE$5:$AE$204,0)),""))</f>
        <v/>
      </c>
      <c r="E177" s="36" t="str">
        <f aca="false">IF($A177="","",IFERROR(AVERAGEIFS('רווחה - קליטה'!$AQ$5:$AQ$204,'רווחה - קליטה'!$A$5:$A$204,$A177,'רווחה - קליטה'!$C$5:$C$204,"אמצע שנה"),""))</f>
        <v/>
      </c>
      <c r="F177" s="28" t="str">
        <f aca="false">IF($A177="","",IFERROR(AVERAGEIFS('רווחה - קליטה'!$AK$5:$AK$204,'רווחה - קליטה'!$A$5:$A$204,$A177,'רווחה - קליטה'!$C$5:$C$204,"אמצע שנה"),""))</f>
        <v/>
      </c>
      <c r="G177" s="27" t="str">
        <f aca="false">IF($A177="","",IFERROR(INDEX('רווחה - קליטה'!$AS$5:$AS$204,MATCH($A177&amp;"|אמצע שנה",'רווחה - קליטה'!$AE$5:$AE$204,0)),""))</f>
        <v/>
      </c>
      <c r="H177" s="36" t="str">
        <f aca="false">IF($A177="","",IFERROR(AVERAGEIFS('רווחה - קליטה'!$AQ$5:$AQ$204,'רווחה - קליטה'!$A$5:$A$204,$A177,'רווחה - קליטה'!$C$5:$C$204,"סוף שנה"),""))</f>
        <v/>
      </c>
      <c r="I177" s="28" t="str">
        <f aca="false">IF($A177="","",IFERROR(AVERAGEIFS('רווחה - קליטה'!$AK$5:$AK$204,'רווחה - קליטה'!$A$5:$A$204,$A177,'רווחה - קליטה'!$C$5:$C$204,"סוף שנה"),""))</f>
        <v/>
      </c>
      <c r="J177" s="27" t="str">
        <f aca="false">IF($A177="","",IFERROR(INDEX('רווחה - קליטה'!$AS$5:$AS$204,MATCH($A177&amp;"|סוף שנה",'רווחה - קליטה'!$AE$5:$AE$204,0)),""))</f>
        <v/>
      </c>
      <c r="K177" s="37" t="str">
        <f aca="false">IF(AND(ISNUMBER(B177),ISNUMBER(H177)),H177-B177,"")</f>
        <v/>
      </c>
      <c r="L177" s="27" t="str">
        <f aca="false">IF(K177="","",IF(K177&gt;=0.5,"עלייה",IF(K177&lt;=-0.5,"ירידה","יציב")))</f>
        <v/>
      </c>
    </row>
    <row r="178" customFormat="false" ht="15" hidden="false" customHeight="false" outlineLevel="0" collapsed="false">
      <c r="A178" s="29"/>
      <c r="B178" s="36" t="str">
        <f aca="false">IF($A178="","",IFERROR(AVERAGEIFS('רווחה - קליטה'!$AQ$5:$AQ$204,'רווחה - קליטה'!$A$5:$A$204,$A178,'רווחה - קליטה'!$C$5:$C$204,"תחילת שנה"),""))</f>
        <v/>
      </c>
      <c r="C178" s="28" t="str">
        <f aca="false">IF($A178="","",IFERROR(AVERAGEIFS('רווחה - קליטה'!$AK$5:$AK$204,'רווחה - קליטה'!$A$5:$A$204,$A178,'רווחה - קליטה'!$C$5:$C$204,"תחילת שנה"),""))</f>
        <v/>
      </c>
      <c r="D178" s="27" t="str">
        <f aca="false">IF($A178="","",IFERROR(INDEX('רווחה - קליטה'!$AS$5:$AS$204,MATCH($A178&amp;"|תחילת שנה",'רווחה - קליטה'!$AE$5:$AE$204,0)),""))</f>
        <v/>
      </c>
      <c r="E178" s="36" t="str">
        <f aca="false">IF($A178="","",IFERROR(AVERAGEIFS('רווחה - קליטה'!$AQ$5:$AQ$204,'רווחה - קליטה'!$A$5:$A$204,$A178,'רווחה - קליטה'!$C$5:$C$204,"אמצע שנה"),""))</f>
        <v/>
      </c>
      <c r="F178" s="28" t="str">
        <f aca="false">IF($A178="","",IFERROR(AVERAGEIFS('רווחה - קליטה'!$AK$5:$AK$204,'רווחה - קליטה'!$A$5:$A$204,$A178,'רווחה - קליטה'!$C$5:$C$204,"אמצע שנה"),""))</f>
        <v/>
      </c>
      <c r="G178" s="27" t="str">
        <f aca="false">IF($A178="","",IFERROR(INDEX('רווחה - קליטה'!$AS$5:$AS$204,MATCH($A178&amp;"|אמצע שנה",'רווחה - קליטה'!$AE$5:$AE$204,0)),""))</f>
        <v/>
      </c>
      <c r="H178" s="36" t="str">
        <f aca="false">IF($A178="","",IFERROR(AVERAGEIFS('רווחה - קליטה'!$AQ$5:$AQ$204,'רווחה - קליטה'!$A$5:$A$204,$A178,'רווחה - קליטה'!$C$5:$C$204,"סוף שנה"),""))</f>
        <v/>
      </c>
      <c r="I178" s="28" t="str">
        <f aca="false">IF($A178="","",IFERROR(AVERAGEIFS('רווחה - קליטה'!$AK$5:$AK$204,'רווחה - קליטה'!$A$5:$A$204,$A178,'רווחה - קליטה'!$C$5:$C$204,"סוף שנה"),""))</f>
        <v/>
      </c>
      <c r="J178" s="27" t="str">
        <f aca="false">IF($A178="","",IFERROR(INDEX('רווחה - קליטה'!$AS$5:$AS$204,MATCH($A178&amp;"|סוף שנה",'רווחה - קליטה'!$AE$5:$AE$204,0)),""))</f>
        <v/>
      </c>
      <c r="K178" s="37" t="str">
        <f aca="false">IF(AND(ISNUMBER(B178),ISNUMBER(H178)),H178-B178,"")</f>
        <v/>
      </c>
      <c r="L178" s="27" t="str">
        <f aca="false">IF(K178="","",IF(K178&gt;=0.5,"עלייה",IF(K178&lt;=-0.5,"ירידה","יציב")))</f>
        <v/>
      </c>
    </row>
    <row r="179" customFormat="false" ht="15" hidden="false" customHeight="false" outlineLevel="0" collapsed="false">
      <c r="A179" s="29"/>
      <c r="B179" s="36" t="str">
        <f aca="false">IF($A179="","",IFERROR(AVERAGEIFS('רווחה - קליטה'!$AQ$5:$AQ$204,'רווחה - קליטה'!$A$5:$A$204,$A179,'רווחה - קליטה'!$C$5:$C$204,"תחילת שנה"),""))</f>
        <v/>
      </c>
      <c r="C179" s="28" t="str">
        <f aca="false">IF($A179="","",IFERROR(AVERAGEIFS('רווחה - קליטה'!$AK$5:$AK$204,'רווחה - קליטה'!$A$5:$A$204,$A179,'רווחה - קליטה'!$C$5:$C$204,"תחילת שנה"),""))</f>
        <v/>
      </c>
      <c r="D179" s="27" t="str">
        <f aca="false">IF($A179="","",IFERROR(INDEX('רווחה - קליטה'!$AS$5:$AS$204,MATCH($A179&amp;"|תחילת שנה",'רווחה - קליטה'!$AE$5:$AE$204,0)),""))</f>
        <v/>
      </c>
      <c r="E179" s="36" t="str">
        <f aca="false">IF($A179="","",IFERROR(AVERAGEIFS('רווחה - קליטה'!$AQ$5:$AQ$204,'רווחה - קליטה'!$A$5:$A$204,$A179,'רווחה - קליטה'!$C$5:$C$204,"אמצע שנה"),""))</f>
        <v/>
      </c>
      <c r="F179" s="28" t="str">
        <f aca="false">IF($A179="","",IFERROR(AVERAGEIFS('רווחה - קליטה'!$AK$5:$AK$204,'רווחה - קליטה'!$A$5:$A$204,$A179,'רווחה - קליטה'!$C$5:$C$204,"אמצע שנה"),""))</f>
        <v/>
      </c>
      <c r="G179" s="27" t="str">
        <f aca="false">IF($A179="","",IFERROR(INDEX('רווחה - קליטה'!$AS$5:$AS$204,MATCH($A179&amp;"|אמצע שנה",'רווחה - קליטה'!$AE$5:$AE$204,0)),""))</f>
        <v/>
      </c>
      <c r="H179" s="36" t="str">
        <f aca="false">IF($A179="","",IFERROR(AVERAGEIFS('רווחה - קליטה'!$AQ$5:$AQ$204,'רווחה - קליטה'!$A$5:$A$204,$A179,'רווחה - קליטה'!$C$5:$C$204,"סוף שנה"),""))</f>
        <v/>
      </c>
      <c r="I179" s="28" t="str">
        <f aca="false">IF($A179="","",IFERROR(AVERAGEIFS('רווחה - קליטה'!$AK$5:$AK$204,'רווחה - קליטה'!$A$5:$A$204,$A179,'רווחה - קליטה'!$C$5:$C$204,"סוף שנה"),""))</f>
        <v/>
      </c>
      <c r="J179" s="27" t="str">
        <f aca="false">IF($A179="","",IFERROR(INDEX('רווחה - קליטה'!$AS$5:$AS$204,MATCH($A179&amp;"|סוף שנה",'רווחה - קליטה'!$AE$5:$AE$204,0)),""))</f>
        <v/>
      </c>
      <c r="K179" s="37" t="str">
        <f aca="false">IF(AND(ISNUMBER(B179),ISNUMBER(H179)),H179-B179,"")</f>
        <v/>
      </c>
      <c r="L179" s="27" t="str">
        <f aca="false">IF(K179="","",IF(K179&gt;=0.5,"עלייה",IF(K179&lt;=-0.5,"ירידה","יציב")))</f>
        <v/>
      </c>
    </row>
    <row r="180" customFormat="false" ht="15" hidden="false" customHeight="false" outlineLevel="0" collapsed="false">
      <c r="A180" s="29"/>
      <c r="B180" s="36" t="str">
        <f aca="false">IF($A180="","",IFERROR(AVERAGEIFS('רווחה - קליטה'!$AQ$5:$AQ$204,'רווחה - קליטה'!$A$5:$A$204,$A180,'רווחה - קליטה'!$C$5:$C$204,"תחילת שנה"),""))</f>
        <v/>
      </c>
      <c r="C180" s="28" t="str">
        <f aca="false">IF($A180="","",IFERROR(AVERAGEIFS('רווחה - קליטה'!$AK$5:$AK$204,'רווחה - קליטה'!$A$5:$A$204,$A180,'רווחה - קליטה'!$C$5:$C$204,"תחילת שנה"),""))</f>
        <v/>
      </c>
      <c r="D180" s="27" t="str">
        <f aca="false">IF($A180="","",IFERROR(INDEX('רווחה - קליטה'!$AS$5:$AS$204,MATCH($A180&amp;"|תחילת שנה",'רווחה - קליטה'!$AE$5:$AE$204,0)),""))</f>
        <v/>
      </c>
      <c r="E180" s="36" t="str">
        <f aca="false">IF($A180="","",IFERROR(AVERAGEIFS('רווחה - קליטה'!$AQ$5:$AQ$204,'רווחה - קליטה'!$A$5:$A$204,$A180,'רווחה - קליטה'!$C$5:$C$204,"אמצע שנה"),""))</f>
        <v/>
      </c>
      <c r="F180" s="28" t="str">
        <f aca="false">IF($A180="","",IFERROR(AVERAGEIFS('רווחה - קליטה'!$AK$5:$AK$204,'רווחה - קליטה'!$A$5:$A$204,$A180,'רווחה - קליטה'!$C$5:$C$204,"אמצע שנה"),""))</f>
        <v/>
      </c>
      <c r="G180" s="27" t="str">
        <f aca="false">IF($A180="","",IFERROR(INDEX('רווחה - קליטה'!$AS$5:$AS$204,MATCH($A180&amp;"|אמצע שנה",'רווחה - קליטה'!$AE$5:$AE$204,0)),""))</f>
        <v/>
      </c>
      <c r="H180" s="36" t="str">
        <f aca="false">IF($A180="","",IFERROR(AVERAGEIFS('רווחה - קליטה'!$AQ$5:$AQ$204,'רווחה - קליטה'!$A$5:$A$204,$A180,'רווחה - קליטה'!$C$5:$C$204,"סוף שנה"),""))</f>
        <v/>
      </c>
      <c r="I180" s="28" t="str">
        <f aca="false">IF($A180="","",IFERROR(AVERAGEIFS('רווחה - קליטה'!$AK$5:$AK$204,'רווחה - קליטה'!$A$5:$A$204,$A180,'רווחה - קליטה'!$C$5:$C$204,"סוף שנה"),""))</f>
        <v/>
      </c>
      <c r="J180" s="27" t="str">
        <f aca="false">IF($A180="","",IFERROR(INDEX('רווחה - קליטה'!$AS$5:$AS$204,MATCH($A180&amp;"|סוף שנה",'רווחה - קליטה'!$AE$5:$AE$204,0)),""))</f>
        <v/>
      </c>
      <c r="K180" s="37" t="str">
        <f aca="false">IF(AND(ISNUMBER(B180),ISNUMBER(H180)),H180-B180,"")</f>
        <v/>
      </c>
      <c r="L180" s="27" t="str">
        <f aca="false">IF(K180="","",IF(K180&gt;=0.5,"עלייה",IF(K180&lt;=-0.5,"ירידה","יציב")))</f>
        <v/>
      </c>
    </row>
    <row r="181" customFormat="false" ht="15" hidden="false" customHeight="false" outlineLevel="0" collapsed="false">
      <c r="A181" s="29"/>
      <c r="B181" s="36" t="str">
        <f aca="false">IF($A181="","",IFERROR(AVERAGEIFS('רווחה - קליטה'!$AQ$5:$AQ$204,'רווחה - קליטה'!$A$5:$A$204,$A181,'רווחה - קליטה'!$C$5:$C$204,"תחילת שנה"),""))</f>
        <v/>
      </c>
      <c r="C181" s="28" t="str">
        <f aca="false">IF($A181="","",IFERROR(AVERAGEIFS('רווחה - קליטה'!$AK$5:$AK$204,'רווחה - קליטה'!$A$5:$A$204,$A181,'רווחה - קליטה'!$C$5:$C$204,"תחילת שנה"),""))</f>
        <v/>
      </c>
      <c r="D181" s="27" t="str">
        <f aca="false">IF($A181="","",IFERROR(INDEX('רווחה - קליטה'!$AS$5:$AS$204,MATCH($A181&amp;"|תחילת שנה",'רווחה - קליטה'!$AE$5:$AE$204,0)),""))</f>
        <v/>
      </c>
      <c r="E181" s="36" t="str">
        <f aca="false">IF($A181="","",IFERROR(AVERAGEIFS('רווחה - קליטה'!$AQ$5:$AQ$204,'רווחה - קליטה'!$A$5:$A$204,$A181,'רווחה - קליטה'!$C$5:$C$204,"אמצע שנה"),""))</f>
        <v/>
      </c>
      <c r="F181" s="28" t="str">
        <f aca="false">IF($A181="","",IFERROR(AVERAGEIFS('רווחה - קליטה'!$AK$5:$AK$204,'רווחה - קליטה'!$A$5:$A$204,$A181,'רווחה - קליטה'!$C$5:$C$204,"אמצע שנה"),""))</f>
        <v/>
      </c>
      <c r="G181" s="27" t="str">
        <f aca="false">IF($A181="","",IFERROR(INDEX('רווחה - קליטה'!$AS$5:$AS$204,MATCH($A181&amp;"|אמצע שנה",'רווחה - קליטה'!$AE$5:$AE$204,0)),""))</f>
        <v/>
      </c>
      <c r="H181" s="36" t="str">
        <f aca="false">IF($A181="","",IFERROR(AVERAGEIFS('רווחה - קליטה'!$AQ$5:$AQ$204,'רווחה - קליטה'!$A$5:$A$204,$A181,'רווחה - קליטה'!$C$5:$C$204,"סוף שנה"),""))</f>
        <v/>
      </c>
      <c r="I181" s="28" t="str">
        <f aca="false">IF($A181="","",IFERROR(AVERAGEIFS('רווחה - קליטה'!$AK$5:$AK$204,'רווחה - קליטה'!$A$5:$A$204,$A181,'רווחה - קליטה'!$C$5:$C$204,"סוף שנה"),""))</f>
        <v/>
      </c>
      <c r="J181" s="27" t="str">
        <f aca="false">IF($A181="","",IFERROR(INDEX('רווחה - קליטה'!$AS$5:$AS$204,MATCH($A181&amp;"|סוף שנה",'רווחה - קליטה'!$AE$5:$AE$204,0)),""))</f>
        <v/>
      </c>
      <c r="K181" s="37" t="str">
        <f aca="false">IF(AND(ISNUMBER(B181),ISNUMBER(H181)),H181-B181,"")</f>
        <v/>
      </c>
      <c r="L181" s="27" t="str">
        <f aca="false">IF(K181="","",IF(K181&gt;=0.5,"עלייה",IF(K181&lt;=-0.5,"ירידה","יציב")))</f>
        <v/>
      </c>
    </row>
    <row r="182" customFormat="false" ht="15" hidden="false" customHeight="false" outlineLevel="0" collapsed="false">
      <c r="A182" s="29"/>
      <c r="B182" s="36" t="str">
        <f aca="false">IF($A182="","",IFERROR(AVERAGEIFS('רווחה - קליטה'!$AQ$5:$AQ$204,'רווחה - קליטה'!$A$5:$A$204,$A182,'רווחה - קליטה'!$C$5:$C$204,"תחילת שנה"),""))</f>
        <v/>
      </c>
      <c r="C182" s="28" t="str">
        <f aca="false">IF($A182="","",IFERROR(AVERAGEIFS('רווחה - קליטה'!$AK$5:$AK$204,'רווחה - קליטה'!$A$5:$A$204,$A182,'רווחה - קליטה'!$C$5:$C$204,"תחילת שנה"),""))</f>
        <v/>
      </c>
      <c r="D182" s="27" t="str">
        <f aca="false">IF($A182="","",IFERROR(INDEX('רווחה - קליטה'!$AS$5:$AS$204,MATCH($A182&amp;"|תחילת שנה",'רווחה - קליטה'!$AE$5:$AE$204,0)),""))</f>
        <v/>
      </c>
      <c r="E182" s="36" t="str">
        <f aca="false">IF($A182="","",IFERROR(AVERAGEIFS('רווחה - קליטה'!$AQ$5:$AQ$204,'רווחה - קליטה'!$A$5:$A$204,$A182,'רווחה - קליטה'!$C$5:$C$204,"אמצע שנה"),""))</f>
        <v/>
      </c>
      <c r="F182" s="28" t="str">
        <f aca="false">IF($A182="","",IFERROR(AVERAGEIFS('רווחה - קליטה'!$AK$5:$AK$204,'רווחה - קליטה'!$A$5:$A$204,$A182,'רווחה - קליטה'!$C$5:$C$204,"אמצע שנה"),""))</f>
        <v/>
      </c>
      <c r="G182" s="27" t="str">
        <f aca="false">IF($A182="","",IFERROR(INDEX('רווחה - קליטה'!$AS$5:$AS$204,MATCH($A182&amp;"|אמצע שנה",'רווחה - קליטה'!$AE$5:$AE$204,0)),""))</f>
        <v/>
      </c>
      <c r="H182" s="36" t="str">
        <f aca="false">IF($A182="","",IFERROR(AVERAGEIFS('רווחה - קליטה'!$AQ$5:$AQ$204,'רווחה - קליטה'!$A$5:$A$204,$A182,'רווחה - קליטה'!$C$5:$C$204,"סוף שנה"),""))</f>
        <v/>
      </c>
      <c r="I182" s="28" t="str">
        <f aca="false">IF($A182="","",IFERROR(AVERAGEIFS('רווחה - קליטה'!$AK$5:$AK$204,'רווחה - קליטה'!$A$5:$A$204,$A182,'רווחה - קליטה'!$C$5:$C$204,"סוף שנה"),""))</f>
        <v/>
      </c>
      <c r="J182" s="27" t="str">
        <f aca="false">IF($A182="","",IFERROR(INDEX('רווחה - קליטה'!$AS$5:$AS$204,MATCH($A182&amp;"|סוף שנה",'רווחה - קליטה'!$AE$5:$AE$204,0)),""))</f>
        <v/>
      </c>
      <c r="K182" s="37" t="str">
        <f aca="false">IF(AND(ISNUMBER(B182),ISNUMBER(H182)),H182-B182,"")</f>
        <v/>
      </c>
      <c r="L182" s="27" t="str">
        <f aca="false">IF(K182="","",IF(K182&gt;=0.5,"עלייה",IF(K182&lt;=-0.5,"ירידה","יציב")))</f>
        <v/>
      </c>
    </row>
    <row r="183" customFormat="false" ht="15" hidden="false" customHeight="false" outlineLevel="0" collapsed="false">
      <c r="A183" s="29"/>
      <c r="B183" s="36" t="str">
        <f aca="false">IF($A183="","",IFERROR(AVERAGEIFS('רווחה - קליטה'!$AQ$5:$AQ$204,'רווחה - קליטה'!$A$5:$A$204,$A183,'רווחה - קליטה'!$C$5:$C$204,"תחילת שנה"),""))</f>
        <v/>
      </c>
      <c r="C183" s="28" t="str">
        <f aca="false">IF($A183="","",IFERROR(AVERAGEIFS('רווחה - קליטה'!$AK$5:$AK$204,'רווחה - קליטה'!$A$5:$A$204,$A183,'רווחה - קליטה'!$C$5:$C$204,"תחילת שנה"),""))</f>
        <v/>
      </c>
      <c r="D183" s="27" t="str">
        <f aca="false">IF($A183="","",IFERROR(INDEX('רווחה - קליטה'!$AS$5:$AS$204,MATCH($A183&amp;"|תחילת שנה",'רווחה - קליטה'!$AE$5:$AE$204,0)),""))</f>
        <v/>
      </c>
      <c r="E183" s="36" t="str">
        <f aca="false">IF($A183="","",IFERROR(AVERAGEIFS('רווחה - קליטה'!$AQ$5:$AQ$204,'רווחה - קליטה'!$A$5:$A$204,$A183,'רווחה - קליטה'!$C$5:$C$204,"אמצע שנה"),""))</f>
        <v/>
      </c>
      <c r="F183" s="28" t="str">
        <f aca="false">IF($A183="","",IFERROR(AVERAGEIFS('רווחה - קליטה'!$AK$5:$AK$204,'רווחה - קליטה'!$A$5:$A$204,$A183,'רווחה - קליטה'!$C$5:$C$204,"אמצע שנה"),""))</f>
        <v/>
      </c>
      <c r="G183" s="27" t="str">
        <f aca="false">IF($A183="","",IFERROR(INDEX('רווחה - קליטה'!$AS$5:$AS$204,MATCH($A183&amp;"|אמצע שנה",'רווחה - קליטה'!$AE$5:$AE$204,0)),""))</f>
        <v/>
      </c>
      <c r="H183" s="36" t="str">
        <f aca="false">IF($A183="","",IFERROR(AVERAGEIFS('רווחה - קליטה'!$AQ$5:$AQ$204,'רווחה - קליטה'!$A$5:$A$204,$A183,'רווחה - קליטה'!$C$5:$C$204,"סוף שנה"),""))</f>
        <v/>
      </c>
      <c r="I183" s="28" t="str">
        <f aca="false">IF($A183="","",IFERROR(AVERAGEIFS('רווחה - קליטה'!$AK$5:$AK$204,'רווחה - קליטה'!$A$5:$A$204,$A183,'רווחה - קליטה'!$C$5:$C$204,"סוף שנה"),""))</f>
        <v/>
      </c>
      <c r="J183" s="27" t="str">
        <f aca="false">IF($A183="","",IFERROR(INDEX('רווחה - קליטה'!$AS$5:$AS$204,MATCH($A183&amp;"|סוף שנה",'רווחה - קליטה'!$AE$5:$AE$204,0)),""))</f>
        <v/>
      </c>
      <c r="K183" s="37" t="str">
        <f aca="false">IF(AND(ISNUMBER(B183),ISNUMBER(H183)),H183-B183,"")</f>
        <v/>
      </c>
      <c r="L183" s="27" t="str">
        <f aca="false">IF(K183="","",IF(K183&gt;=0.5,"עלייה",IF(K183&lt;=-0.5,"ירידה","יציב")))</f>
        <v/>
      </c>
    </row>
    <row r="184" customFormat="false" ht="15" hidden="false" customHeight="false" outlineLevel="0" collapsed="false">
      <c r="A184" s="29"/>
      <c r="B184" s="36" t="str">
        <f aca="false">IF($A184="","",IFERROR(AVERAGEIFS('רווחה - קליטה'!$AQ$5:$AQ$204,'רווחה - קליטה'!$A$5:$A$204,$A184,'רווחה - קליטה'!$C$5:$C$204,"תחילת שנה"),""))</f>
        <v/>
      </c>
      <c r="C184" s="28" t="str">
        <f aca="false">IF($A184="","",IFERROR(AVERAGEIFS('רווחה - קליטה'!$AK$5:$AK$204,'רווחה - קליטה'!$A$5:$A$204,$A184,'רווחה - קליטה'!$C$5:$C$204,"תחילת שנה"),""))</f>
        <v/>
      </c>
      <c r="D184" s="27" t="str">
        <f aca="false">IF($A184="","",IFERROR(INDEX('רווחה - קליטה'!$AS$5:$AS$204,MATCH($A184&amp;"|תחילת שנה",'רווחה - קליטה'!$AE$5:$AE$204,0)),""))</f>
        <v/>
      </c>
      <c r="E184" s="36" t="str">
        <f aca="false">IF($A184="","",IFERROR(AVERAGEIFS('רווחה - קליטה'!$AQ$5:$AQ$204,'רווחה - קליטה'!$A$5:$A$204,$A184,'רווחה - קליטה'!$C$5:$C$204,"אמצע שנה"),""))</f>
        <v/>
      </c>
      <c r="F184" s="28" t="str">
        <f aca="false">IF($A184="","",IFERROR(AVERAGEIFS('רווחה - קליטה'!$AK$5:$AK$204,'רווחה - קליטה'!$A$5:$A$204,$A184,'רווחה - קליטה'!$C$5:$C$204,"אמצע שנה"),""))</f>
        <v/>
      </c>
      <c r="G184" s="27" t="str">
        <f aca="false">IF($A184="","",IFERROR(INDEX('רווחה - קליטה'!$AS$5:$AS$204,MATCH($A184&amp;"|אמצע שנה",'רווחה - קליטה'!$AE$5:$AE$204,0)),""))</f>
        <v/>
      </c>
      <c r="H184" s="36" t="str">
        <f aca="false">IF($A184="","",IFERROR(AVERAGEIFS('רווחה - קליטה'!$AQ$5:$AQ$204,'רווחה - קליטה'!$A$5:$A$204,$A184,'רווחה - קליטה'!$C$5:$C$204,"סוף שנה"),""))</f>
        <v/>
      </c>
      <c r="I184" s="28" t="str">
        <f aca="false">IF($A184="","",IFERROR(AVERAGEIFS('רווחה - קליטה'!$AK$5:$AK$204,'רווחה - קליטה'!$A$5:$A$204,$A184,'רווחה - קליטה'!$C$5:$C$204,"סוף שנה"),""))</f>
        <v/>
      </c>
      <c r="J184" s="27" t="str">
        <f aca="false">IF($A184="","",IFERROR(INDEX('רווחה - קליטה'!$AS$5:$AS$204,MATCH($A184&amp;"|סוף שנה",'רווחה - קליטה'!$AE$5:$AE$204,0)),""))</f>
        <v/>
      </c>
      <c r="K184" s="37" t="str">
        <f aca="false">IF(AND(ISNUMBER(B184),ISNUMBER(H184)),H184-B184,"")</f>
        <v/>
      </c>
      <c r="L184" s="27" t="str">
        <f aca="false">IF(K184="","",IF(K184&gt;=0.5,"עלייה",IF(K184&lt;=-0.5,"ירידה","יציב")))</f>
        <v/>
      </c>
    </row>
    <row r="185" customFormat="false" ht="15" hidden="false" customHeight="false" outlineLevel="0" collapsed="false">
      <c r="A185" s="29"/>
      <c r="B185" s="36" t="str">
        <f aca="false">IF($A185="","",IFERROR(AVERAGEIFS('רווחה - קליטה'!$AQ$5:$AQ$204,'רווחה - קליטה'!$A$5:$A$204,$A185,'רווחה - קליטה'!$C$5:$C$204,"תחילת שנה"),""))</f>
        <v/>
      </c>
      <c r="C185" s="28" t="str">
        <f aca="false">IF($A185="","",IFERROR(AVERAGEIFS('רווחה - קליטה'!$AK$5:$AK$204,'רווחה - קליטה'!$A$5:$A$204,$A185,'רווחה - קליטה'!$C$5:$C$204,"תחילת שנה"),""))</f>
        <v/>
      </c>
      <c r="D185" s="27" t="str">
        <f aca="false">IF($A185="","",IFERROR(INDEX('רווחה - קליטה'!$AS$5:$AS$204,MATCH($A185&amp;"|תחילת שנה",'רווחה - קליטה'!$AE$5:$AE$204,0)),""))</f>
        <v/>
      </c>
      <c r="E185" s="36" t="str">
        <f aca="false">IF($A185="","",IFERROR(AVERAGEIFS('רווחה - קליטה'!$AQ$5:$AQ$204,'רווחה - קליטה'!$A$5:$A$204,$A185,'רווחה - קליטה'!$C$5:$C$204,"אמצע שנה"),""))</f>
        <v/>
      </c>
      <c r="F185" s="28" t="str">
        <f aca="false">IF($A185="","",IFERROR(AVERAGEIFS('רווחה - קליטה'!$AK$5:$AK$204,'רווחה - קליטה'!$A$5:$A$204,$A185,'רווחה - קליטה'!$C$5:$C$204,"אמצע שנה"),""))</f>
        <v/>
      </c>
      <c r="G185" s="27" t="str">
        <f aca="false">IF($A185="","",IFERROR(INDEX('רווחה - קליטה'!$AS$5:$AS$204,MATCH($A185&amp;"|אמצע שנה",'רווחה - קליטה'!$AE$5:$AE$204,0)),""))</f>
        <v/>
      </c>
      <c r="H185" s="36" t="str">
        <f aca="false">IF($A185="","",IFERROR(AVERAGEIFS('רווחה - קליטה'!$AQ$5:$AQ$204,'רווחה - קליטה'!$A$5:$A$204,$A185,'רווחה - קליטה'!$C$5:$C$204,"סוף שנה"),""))</f>
        <v/>
      </c>
      <c r="I185" s="28" t="str">
        <f aca="false">IF($A185="","",IFERROR(AVERAGEIFS('רווחה - קליטה'!$AK$5:$AK$204,'רווחה - קליטה'!$A$5:$A$204,$A185,'רווחה - קליטה'!$C$5:$C$204,"סוף שנה"),""))</f>
        <v/>
      </c>
      <c r="J185" s="27" t="str">
        <f aca="false">IF($A185="","",IFERROR(INDEX('רווחה - קליטה'!$AS$5:$AS$204,MATCH($A185&amp;"|סוף שנה",'רווחה - קליטה'!$AE$5:$AE$204,0)),""))</f>
        <v/>
      </c>
      <c r="K185" s="37" t="str">
        <f aca="false">IF(AND(ISNUMBER(B185),ISNUMBER(H185)),H185-B185,"")</f>
        <v/>
      </c>
      <c r="L185" s="27" t="str">
        <f aca="false">IF(K185="","",IF(K185&gt;=0.5,"עלייה",IF(K185&lt;=-0.5,"ירידה","יציב")))</f>
        <v/>
      </c>
    </row>
    <row r="186" customFormat="false" ht="15" hidden="false" customHeight="false" outlineLevel="0" collapsed="false">
      <c r="A186" s="29"/>
      <c r="B186" s="36" t="str">
        <f aca="false">IF($A186="","",IFERROR(AVERAGEIFS('רווחה - קליטה'!$AQ$5:$AQ$204,'רווחה - קליטה'!$A$5:$A$204,$A186,'רווחה - קליטה'!$C$5:$C$204,"תחילת שנה"),""))</f>
        <v/>
      </c>
      <c r="C186" s="28" t="str">
        <f aca="false">IF($A186="","",IFERROR(AVERAGEIFS('רווחה - קליטה'!$AK$5:$AK$204,'רווחה - קליטה'!$A$5:$A$204,$A186,'רווחה - קליטה'!$C$5:$C$204,"תחילת שנה"),""))</f>
        <v/>
      </c>
      <c r="D186" s="27" t="str">
        <f aca="false">IF($A186="","",IFERROR(INDEX('רווחה - קליטה'!$AS$5:$AS$204,MATCH($A186&amp;"|תחילת שנה",'רווחה - קליטה'!$AE$5:$AE$204,0)),""))</f>
        <v/>
      </c>
      <c r="E186" s="36" t="str">
        <f aca="false">IF($A186="","",IFERROR(AVERAGEIFS('רווחה - קליטה'!$AQ$5:$AQ$204,'רווחה - קליטה'!$A$5:$A$204,$A186,'רווחה - קליטה'!$C$5:$C$204,"אמצע שנה"),""))</f>
        <v/>
      </c>
      <c r="F186" s="28" t="str">
        <f aca="false">IF($A186="","",IFERROR(AVERAGEIFS('רווחה - קליטה'!$AK$5:$AK$204,'רווחה - קליטה'!$A$5:$A$204,$A186,'רווחה - קליטה'!$C$5:$C$204,"אמצע שנה"),""))</f>
        <v/>
      </c>
      <c r="G186" s="27" t="str">
        <f aca="false">IF($A186="","",IFERROR(INDEX('רווחה - קליטה'!$AS$5:$AS$204,MATCH($A186&amp;"|אמצע שנה",'רווחה - קליטה'!$AE$5:$AE$204,0)),""))</f>
        <v/>
      </c>
      <c r="H186" s="36" t="str">
        <f aca="false">IF($A186="","",IFERROR(AVERAGEIFS('רווחה - קליטה'!$AQ$5:$AQ$204,'רווחה - קליטה'!$A$5:$A$204,$A186,'רווחה - קליטה'!$C$5:$C$204,"סוף שנה"),""))</f>
        <v/>
      </c>
      <c r="I186" s="28" t="str">
        <f aca="false">IF($A186="","",IFERROR(AVERAGEIFS('רווחה - קליטה'!$AK$5:$AK$204,'רווחה - קליטה'!$A$5:$A$204,$A186,'רווחה - קליטה'!$C$5:$C$204,"סוף שנה"),""))</f>
        <v/>
      </c>
      <c r="J186" s="27" t="str">
        <f aca="false">IF($A186="","",IFERROR(INDEX('רווחה - קליטה'!$AS$5:$AS$204,MATCH($A186&amp;"|סוף שנה",'רווחה - קליטה'!$AE$5:$AE$204,0)),""))</f>
        <v/>
      </c>
      <c r="K186" s="37" t="str">
        <f aca="false">IF(AND(ISNUMBER(B186),ISNUMBER(H186)),H186-B186,"")</f>
        <v/>
      </c>
      <c r="L186" s="27" t="str">
        <f aca="false">IF(K186="","",IF(K186&gt;=0.5,"עלייה",IF(K186&lt;=-0.5,"ירידה","יציב")))</f>
        <v/>
      </c>
    </row>
    <row r="187" customFormat="false" ht="15" hidden="false" customHeight="false" outlineLevel="0" collapsed="false">
      <c r="A187" s="29"/>
      <c r="B187" s="36" t="str">
        <f aca="false">IF($A187="","",IFERROR(AVERAGEIFS('רווחה - קליטה'!$AQ$5:$AQ$204,'רווחה - קליטה'!$A$5:$A$204,$A187,'רווחה - קליטה'!$C$5:$C$204,"תחילת שנה"),""))</f>
        <v/>
      </c>
      <c r="C187" s="28" t="str">
        <f aca="false">IF($A187="","",IFERROR(AVERAGEIFS('רווחה - קליטה'!$AK$5:$AK$204,'רווחה - קליטה'!$A$5:$A$204,$A187,'רווחה - קליטה'!$C$5:$C$204,"תחילת שנה"),""))</f>
        <v/>
      </c>
      <c r="D187" s="27" t="str">
        <f aca="false">IF($A187="","",IFERROR(INDEX('רווחה - קליטה'!$AS$5:$AS$204,MATCH($A187&amp;"|תחילת שנה",'רווחה - קליטה'!$AE$5:$AE$204,0)),""))</f>
        <v/>
      </c>
      <c r="E187" s="36" t="str">
        <f aca="false">IF($A187="","",IFERROR(AVERAGEIFS('רווחה - קליטה'!$AQ$5:$AQ$204,'רווחה - קליטה'!$A$5:$A$204,$A187,'רווחה - קליטה'!$C$5:$C$204,"אמצע שנה"),""))</f>
        <v/>
      </c>
      <c r="F187" s="28" t="str">
        <f aca="false">IF($A187="","",IFERROR(AVERAGEIFS('רווחה - קליטה'!$AK$5:$AK$204,'רווחה - קליטה'!$A$5:$A$204,$A187,'רווחה - קליטה'!$C$5:$C$204,"אמצע שנה"),""))</f>
        <v/>
      </c>
      <c r="G187" s="27" t="str">
        <f aca="false">IF($A187="","",IFERROR(INDEX('רווחה - קליטה'!$AS$5:$AS$204,MATCH($A187&amp;"|אמצע שנה",'רווחה - קליטה'!$AE$5:$AE$204,0)),""))</f>
        <v/>
      </c>
      <c r="H187" s="36" t="str">
        <f aca="false">IF($A187="","",IFERROR(AVERAGEIFS('רווחה - קליטה'!$AQ$5:$AQ$204,'רווחה - קליטה'!$A$5:$A$204,$A187,'רווחה - קליטה'!$C$5:$C$204,"סוף שנה"),""))</f>
        <v/>
      </c>
      <c r="I187" s="28" t="str">
        <f aca="false">IF($A187="","",IFERROR(AVERAGEIFS('רווחה - קליטה'!$AK$5:$AK$204,'רווחה - קליטה'!$A$5:$A$204,$A187,'רווחה - קליטה'!$C$5:$C$204,"סוף שנה"),""))</f>
        <v/>
      </c>
      <c r="J187" s="27" t="str">
        <f aca="false">IF($A187="","",IFERROR(INDEX('רווחה - קליטה'!$AS$5:$AS$204,MATCH($A187&amp;"|סוף שנה",'רווחה - קליטה'!$AE$5:$AE$204,0)),""))</f>
        <v/>
      </c>
      <c r="K187" s="37" t="str">
        <f aca="false">IF(AND(ISNUMBER(B187),ISNUMBER(H187)),H187-B187,"")</f>
        <v/>
      </c>
      <c r="L187" s="27" t="str">
        <f aca="false">IF(K187="","",IF(K187&gt;=0.5,"עלייה",IF(K187&lt;=-0.5,"ירידה","יציב")))</f>
        <v/>
      </c>
    </row>
    <row r="188" customFormat="false" ht="15" hidden="false" customHeight="false" outlineLevel="0" collapsed="false">
      <c r="A188" s="29"/>
      <c r="B188" s="36" t="str">
        <f aca="false">IF($A188="","",IFERROR(AVERAGEIFS('רווחה - קליטה'!$AQ$5:$AQ$204,'רווחה - קליטה'!$A$5:$A$204,$A188,'רווחה - קליטה'!$C$5:$C$204,"תחילת שנה"),""))</f>
        <v/>
      </c>
      <c r="C188" s="28" t="str">
        <f aca="false">IF($A188="","",IFERROR(AVERAGEIFS('רווחה - קליטה'!$AK$5:$AK$204,'רווחה - קליטה'!$A$5:$A$204,$A188,'רווחה - קליטה'!$C$5:$C$204,"תחילת שנה"),""))</f>
        <v/>
      </c>
      <c r="D188" s="27" t="str">
        <f aca="false">IF($A188="","",IFERROR(INDEX('רווחה - קליטה'!$AS$5:$AS$204,MATCH($A188&amp;"|תחילת שנה",'רווחה - קליטה'!$AE$5:$AE$204,0)),""))</f>
        <v/>
      </c>
      <c r="E188" s="36" t="str">
        <f aca="false">IF($A188="","",IFERROR(AVERAGEIFS('רווחה - קליטה'!$AQ$5:$AQ$204,'רווחה - קליטה'!$A$5:$A$204,$A188,'רווחה - קליטה'!$C$5:$C$204,"אמצע שנה"),""))</f>
        <v/>
      </c>
      <c r="F188" s="28" t="str">
        <f aca="false">IF($A188="","",IFERROR(AVERAGEIFS('רווחה - קליטה'!$AK$5:$AK$204,'רווחה - קליטה'!$A$5:$A$204,$A188,'רווחה - קליטה'!$C$5:$C$204,"אמצע שנה"),""))</f>
        <v/>
      </c>
      <c r="G188" s="27" t="str">
        <f aca="false">IF($A188="","",IFERROR(INDEX('רווחה - קליטה'!$AS$5:$AS$204,MATCH($A188&amp;"|אמצע שנה",'רווחה - קליטה'!$AE$5:$AE$204,0)),""))</f>
        <v/>
      </c>
      <c r="H188" s="36" t="str">
        <f aca="false">IF($A188="","",IFERROR(AVERAGEIFS('רווחה - קליטה'!$AQ$5:$AQ$204,'רווחה - קליטה'!$A$5:$A$204,$A188,'רווחה - קליטה'!$C$5:$C$204,"סוף שנה"),""))</f>
        <v/>
      </c>
      <c r="I188" s="28" t="str">
        <f aca="false">IF($A188="","",IFERROR(AVERAGEIFS('רווחה - קליטה'!$AK$5:$AK$204,'רווחה - קליטה'!$A$5:$A$204,$A188,'רווחה - קליטה'!$C$5:$C$204,"סוף שנה"),""))</f>
        <v/>
      </c>
      <c r="J188" s="27" t="str">
        <f aca="false">IF($A188="","",IFERROR(INDEX('רווחה - קליטה'!$AS$5:$AS$204,MATCH($A188&amp;"|סוף שנה",'רווחה - קליטה'!$AE$5:$AE$204,0)),""))</f>
        <v/>
      </c>
      <c r="K188" s="37" t="str">
        <f aca="false">IF(AND(ISNUMBER(B188),ISNUMBER(H188)),H188-B188,"")</f>
        <v/>
      </c>
      <c r="L188" s="27" t="str">
        <f aca="false">IF(K188="","",IF(K188&gt;=0.5,"עלייה",IF(K188&lt;=-0.5,"ירידה","יציב")))</f>
        <v/>
      </c>
    </row>
    <row r="189" customFormat="false" ht="15" hidden="false" customHeight="false" outlineLevel="0" collapsed="false">
      <c r="A189" s="29"/>
      <c r="B189" s="36" t="str">
        <f aca="false">IF($A189="","",IFERROR(AVERAGEIFS('רווחה - קליטה'!$AQ$5:$AQ$204,'רווחה - קליטה'!$A$5:$A$204,$A189,'רווחה - קליטה'!$C$5:$C$204,"תחילת שנה"),""))</f>
        <v/>
      </c>
      <c r="C189" s="28" t="str">
        <f aca="false">IF($A189="","",IFERROR(AVERAGEIFS('רווחה - קליטה'!$AK$5:$AK$204,'רווחה - קליטה'!$A$5:$A$204,$A189,'רווחה - קליטה'!$C$5:$C$204,"תחילת שנה"),""))</f>
        <v/>
      </c>
      <c r="D189" s="27" t="str">
        <f aca="false">IF($A189="","",IFERROR(INDEX('רווחה - קליטה'!$AS$5:$AS$204,MATCH($A189&amp;"|תחילת שנה",'רווחה - קליטה'!$AE$5:$AE$204,0)),""))</f>
        <v/>
      </c>
      <c r="E189" s="36" t="str">
        <f aca="false">IF($A189="","",IFERROR(AVERAGEIFS('רווחה - קליטה'!$AQ$5:$AQ$204,'רווחה - קליטה'!$A$5:$A$204,$A189,'רווחה - קליטה'!$C$5:$C$204,"אמצע שנה"),""))</f>
        <v/>
      </c>
      <c r="F189" s="28" t="str">
        <f aca="false">IF($A189="","",IFERROR(AVERAGEIFS('רווחה - קליטה'!$AK$5:$AK$204,'רווחה - קליטה'!$A$5:$A$204,$A189,'רווחה - קליטה'!$C$5:$C$204,"אמצע שנה"),""))</f>
        <v/>
      </c>
      <c r="G189" s="27" t="str">
        <f aca="false">IF($A189="","",IFERROR(INDEX('רווחה - קליטה'!$AS$5:$AS$204,MATCH($A189&amp;"|אמצע שנה",'רווחה - קליטה'!$AE$5:$AE$204,0)),""))</f>
        <v/>
      </c>
      <c r="H189" s="36" t="str">
        <f aca="false">IF($A189="","",IFERROR(AVERAGEIFS('רווחה - קליטה'!$AQ$5:$AQ$204,'רווחה - קליטה'!$A$5:$A$204,$A189,'רווחה - קליטה'!$C$5:$C$204,"סוף שנה"),""))</f>
        <v/>
      </c>
      <c r="I189" s="28" t="str">
        <f aca="false">IF($A189="","",IFERROR(AVERAGEIFS('רווחה - קליטה'!$AK$5:$AK$204,'רווחה - קליטה'!$A$5:$A$204,$A189,'רווחה - קליטה'!$C$5:$C$204,"סוף שנה"),""))</f>
        <v/>
      </c>
      <c r="J189" s="27" t="str">
        <f aca="false">IF($A189="","",IFERROR(INDEX('רווחה - קליטה'!$AS$5:$AS$204,MATCH($A189&amp;"|סוף שנה",'רווחה - קליטה'!$AE$5:$AE$204,0)),""))</f>
        <v/>
      </c>
      <c r="K189" s="37" t="str">
        <f aca="false">IF(AND(ISNUMBER(B189),ISNUMBER(H189)),H189-B189,"")</f>
        <v/>
      </c>
      <c r="L189" s="27" t="str">
        <f aca="false">IF(K189="","",IF(K189&gt;=0.5,"עלייה",IF(K189&lt;=-0.5,"ירידה","יציב")))</f>
        <v/>
      </c>
    </row>
    <row r="190" customFormat="false" ht="15" hidden="false" customHeight="false" outlineLevel="0" collapsed="false">
      <c r="A190" s="29"/>
      <c r="B190" s="36" t="str">
        <f aca="false">IF($A190="","",IFERROR(AVERAGEIFS('רווחה - קליטה'!$AQ$5:$AQ$204,'רווחה - קליטה'!$A$5:$A$204,$A190,'רווחה - קליטה'!$C$5:$C$204,"תחילת שנה"),""))</f>
        <v/>
      </c>
      <c r="C190" s="28" t="str">
        <f aca="false">IF($A190="","",IFERROR(AVERAGEIFS('רווחה - קליטה'!$AK$5:$AK$204,'רווחה - קליטה'!$A$5:$A$204,$A190,'רווחה - קליטה'!$C$5:$C$204,"תחילת שנה"),""))</f>
        <v/>
      </c>
      <c r="D190" s="27" t="str">
        <f aca="false">IF($A190="","",IFERROR(INDEX('רווחה - קליטה'!$AS$5:$AS$204,MATCH($A190&amp;"|תחילת שנה",'רווחה - קליטה'!$AE$5:$AE$204,0)),""))</f>
        <v/>
      </c>
      <c r="E190" s="36" t="str">
        <f aca="false">IF($A190="","",IFERROR(AVERAGEIFS('רווחה - קליטה'!$AQ$5:$AQ$204,'רווחה - קליטה'!$A$5:$A$204,$A190,'רווחה - קליטה'!$C$5:$C$204,"אמצע שנה"),""))</f>
        <v/>
      </c>
      <c r="F190" s="28" t="str">
        <f aca="false">IF($A190="","",IFERROR(AVERAGEIFS('רווחה - קליטה'!$AK$5:$AK$204,'רווחה - קליטה'!$A$5:$A$204,$A190,'רווחה - קליטה'!$C$5:$C$204,"אמצע שנה"),""))</f>
        <v/>
      </c>
      <c r="G190" s="27" t="str">
        <f aca="false">IF($A190="","",IFERROR(INDEX('רווחה - קליטה'!$AS$5:$AS$204,MATCH($A190&amp;"|אמצע שנה",'רווחה - קליטה'!$AE$5:$AE$204,0)),""))</f>
        <v/>
      </c>
      <c r="H190" s="36" t="str">
        <f aca="false">IF($A190="","",IFERROR(AVERAGEIFS('רווחה - קליטה'!$AQ$5:$AQ$204,'רווחה - קליטה'!$A$5:$A$204,$A190,'רווחה - קליטה'!$C$5:$C$204,"סוף שנה"),""))</f>
        <v/>
      </c>
      <c r="I190" s="28" t="str">
        <f aca="false">IF($A190="","",IFERROR(AVERAGEIFS('רווחה - קליטה'!$AK$5:$AK$204,'רווחה - קליטה'!$A$5:$A$204,$A190,'רווחה - קליטה'!$C$5:$C$204,"סוף שנה"),""))</f>
        <v/>
      </c>
      <c r="J190" s="27" t="str">
        <f aca="false">IF($A190="","",IFERROR(INDEX('רווחה - קליטה'!$AS$5:$AS$204,MATCH($A190&amp;"|סוף שנה",'רווחה - קליטה'!$AE$5:$AE$204,0)),""))</f>
        <v/>
      </c>
      <c r="K190" s="37" t="str">
        <f aca="false">IF(AND(ISNUMBER(B190),ISNUMBER(H190)),H190-B190,"")</f>
        <v/>
      </c>
      <c r="L190" s="27" t="str">
        <f aca="false">IF(K190="","",IF(K190&gt;=0.5,"עלייה",IF(K190&lt;=-0.5,"ירידה","יציב")))</f>
        <v/>
      </c>
    </row>
    <row r="191" customFormat="false" ht="15" hidden="false" customHeight="false" outlineLevel="0" collapsed="false">
      <c r="A191" s="29"/>
      <c r="B191" s="36" t="str">
        <f aca="false">IF($A191="","",IFERROR(AVERAGEIFS('רווחה - קליטה'!$AQ$5:$AQ$204,'רווחה - קליטה'!$A$5:$A$204,$A191,'רווחה - קליטה'!$C$5:$C$204,"תחילת שנה"),""))</f>
        <v/>
      </c>
      <c r="C191" s="28" t="str">
        <f aca="false">IF($A191="","",IFERROR(AVERAGEIFS('רווחה - קליטה'!$AK$5:$AK$204,'רווחה - קליטה'!$A$5:$A$204,$A191,'רווחה - קליטה'!$C$5:$C$204,"תחילת שנה"),""))</f>
        <v/>
      </c>
      <c r="D191" s="27" t="str">
        <f aca="false">IF($A191="","",IFERROR(INDEX('רווחה - קליטה'!$AS$5:$AS$204,MATCH($A191&amp;"|תחילת שנה",'רווחה - קליטה'!$AE$5:$AE$204,0)),""))</f>
        <v/>
      </c>
      <c r="E191" s="36" t="str">
        <f aca="false">IF($A191="","",IFERROR(AVERAGEIFS('רווחה - קליטה'!$AQ$5:$AQ$204,'רווחה - קליטה'!$A$5:$A$204,$A191,'רווחה - קליטה'!$C$5:$C$204,"אמצע שנה"),""))</f>
        <v/>
      </c>
      <c r="F191" s="28" t="str">
        <f aca="false">IF($A191="","",IFERROR(AVERAGEIFS('רווחה - קליטה'!$AK$5:$AK$204,'רווחה - קליטה'!$A$5:$A$204,$A191,'רווחה - קליטה'!$C$5:$C$204,"אמצע שנה"),""))</f>
        <v/>
      </c>
      <c r="G191" s="27" t="str">
        <f aca="false">IF($A191="","",IFERROR(INDEX('רווחה - קליטה'!$AS$5:$AS$204,MATCH($A191&amp;"|אמצע שנה",'רווחה - קליטה'!$AE$5:$AE$204,0)),""))</f>
        <v/>
      </c>
      <c r="H191" s="36" t="str">
        <f aca="false">IF($A191="","",IFERROR(AVERAGEIFS('רווחה - קליטה'!$AQ$5:$AQ$204,'רווחה - קליטה'!$A$5:$A$204,$A191,'רווחה - קליטה'!$C$5:$C$204,"סוף שנה"),""))</f>
        <v/>
      </c>
      <c r="I191" s="28" t="str">
        <f aca="false">IF($A191="","",IFERROR(AVERAGEIFS('רווחה - קליטה'!$AK$5:$AK$204,'רווחה - קליטה'!$A$5:$A$204,$A191,'רווחה - קליטה'!$C$5:$C$204,"סוף שנה"),""))</f>
        <v/>
      </c>
      <c r="J191" s="27" t="str">
        <f aca="false">IF($A191="","",IFERROR(INDEX('רווחה - קליטה'!$AS$5:$AS$204,MATCH($A191&amp;"|סוף שנה",'רווחה - קליטה'!$AE$5:$AE$204,0)),""))</f>
        <v/>
      </c>
      <c r="K191" s="37" t="str">
        <f aca="false">IF(AND(ISNUMBER(B191),ISNUMBER(H191)),H191-B191,"")</f>
        <v/>
      </c>
      <c r="L191" s="27" t="str">
        <f aca="false">IF(K191="","",IF(K191&gt;=0.5,"עלייה",IF(K191&lt;=-0.5,"ירידה","יציב")))</f>
        <v/>
      </c>
    </row>
    <row r="192" customFormat="false" ht="15" hidden="false" customHeight="false" outlineLevel="0" collapsed="false">
      <c r="A192" s="29"/>
      <c r="B192" s="36" t="str">
        <f aca="false">IF($A192="","",IFERROR(AVERAGEIFS('רווחה - קליטה'!$AQ$5:$AQ$204,'רווחה - קליטה'!$A$5:$A$204,$A192,'רווחה - קליטה'!$C$5:$C$204,"תחילת שנה"),""))</f>
        <v/>
      </c>
      <c r="C192" s="28" t="str">
        <f aca="false">IF($A192="","",IFERROR(AVERAGEIFS('רווחה - קליטה'!$AK$5:$AK$204,'רווחה - קליטה'!$A$5:$A$204,$A192,'רווחה - קליטה'!$C$5:$C$204,"תחילת שנה"),""))</f>
        <v/>
      </c>
      <c r="D192" s="27" t="str">
        <f aca="false">IF($A192="","",IFERROR(INDEX('רווחה - קליטה'!$AS$5:$AS$204,MATCH($A192&amp;"|תחילת שנה",'רווחה - קליטה'!$AE$5:$AE$204,0)),""))</f>
        <v/>
      </c>
      <c r="E192" s="36" t="str">
        <f aca="false">IF($A192="","",IFERROR(AVERAGEIFS('רווחה - קליטה'!$AQ$5:$AQ$204,'רווחה - קליטה'!$A$5:$A$204,$A192,'רווחה - קליטה'!$C$5:$C$204,"אמצע שנה"),""))</f>
        <v/>
      </c>
      <c r="F192" s="28" t="str">
        <f aca="false">IF($A192="","",IFERROR(AVERAGEIFS('רווחה - קליטה'!$AK$5:$AK$204,'רווחה - קליטה'!$A$5:$A$204,$A192,'רווחה - קליטה'!$C$5:$C$204,"אמצע שנה"),""))</f>
        <v/>
      </c>
      <c r="G192" s="27" t="str">
        <f aca="false">IF($A192="","",IFERROR(INDEX('רווחה - קליטה'!$AS$5:$AS$204,MATCH($A192&amp;"|אמצע שנה",'רווחה - קליטה'!$AE$5:$AE$204,0)),""))</f>
        <v/>
      </c>
      <c r="H192" s="36" t="str">
        <f aca="false">IF($A192="","",IFERROR(AVERAGEIFS('רווחה - קליטה'!$AQ$5:$AQ$204,'רווחה - קליטה'!$A$5:$A$204,$A192,'רווחה - קליטה'!$C$5:$C$204,"סוף שנה"),""))</f>
        <v/>
      </c>
      <c r="I192" s="28" t="str">
        <f aca="false">IF($A192="","",IFERROR(AVERAGEIFS('רווחה - קליטה'!$AK$5:$AK$204,'רווחה - קליטה'!$A$5:$A$204,$A192,'רווחה - קליטה'!$C$5:$C$204,"סוף שנה"),""))</f>
        <v/>
      </c>
      <c r="J192" s="27" t="str">
        <f aca="false">IF($A192="","",IFERROR(INDEX('רווחה - קליטה'!$AS$5:$AS$204,MATCH($A192&amp;"|סוף שנה",'רווחה - קליטה'!$AE$5:$AE$204,0)),""))</f>
        <v/>
      </c>
      <c r="K192" s="37" t="str">
        <f aca="false">IF(AND(ISNUMBER(B192),ISNUMBER(H192)),H192-B192,"")</f>
        <v/>
      </c>
      <c r="L192" s="27" t="str">
        <f aca="false">IF(K192="","",IF(K192&gt;=0.5,"עלייה",IF(K192&lt;=-0.5,"ירידה","יציב")))</f>
        <v/>
      </c>
    </row>
    <row r="193" customFormat="false" ht="15" hidden="false" customHeight="false" outlineLevel="0" collapsed="false">
      <c r="A193" s="29"/>
      <c r="B193" s="36" t="str">
        <f aca="false">IF($A193="","",IFERROR(AVERAGEIFS('רווחה - קליטה'!$AQ$5:$AQ$204,'רווחה - קליטה'!$A$5:$A$204,$A193,'רווחה - קליטה'!$C$5:$C$204,"תחילת שנה"),""))</f>
        <v/>
      </c>
      <c r="C193" s="28" t="str">
        <f aca="false">IF($A193="","",IFERROR(AVERAGEIFS('רווחה - קליטה'!$AK$5:$AK$204,'רווחה - קליטה'!$A$5:$A$204,$A193,'רווחה - קליטה'!$C$5:$C$204,"תחילת שנה"),""))</f>
        <v/>
      </c>
      <c r="D193" s="27" t="str">
        <f aca="false">IF($A193="","",IFERROR(INDEX('רווחה - קליטה'!$AS$5:$AS$204,MATCH($A193&amp;"|תחילת שנה",'רווחה - קליטה'!$AE$5:$AE$204,0)),""))</f>
        <v/>
      </c>
      <c r="E193" s="36" t="str">
        <f aca="false">IF($A193="","",IFERROR(AVERAGEIFS('רווחה - קליטה'!$AQ$5:$AQ$204,'רווחה - קליטה'!$A$5:$A$204,$A193,'רווחה - קליטה'!$C$5:$C$204,"אמצע שנה"),""))</f>
        <v/>
      </c>
      <c r="F193" s="28" t="str">
        <f aca="false">IF($A193="","",IFERROR(AVERAGEIFS('רווחה - קליטה'!$AK$5:$AK$204,'רווחה - קליטה'!$A$5:$A$204,$A193,'רווחה - קליטה'!$C$5:$C$204,"אמצע שנה"),""))</f>
        <v/>
      </c>
      <c r="G193" s="27" t="str">
        <f aca="false">IF($A193="","",IFERROR(INDEX('רווחה - קליטה'!$AS$5:$AS$204,MATCH($A193&amp;"|אמצע שנה",'רווחה - קליטה'!$AE$5:$AE$204,0)),""))</f>
        <v/>
      </c>
      <c r="H193" s="36" t="str">
        <f aca="false">IF($A193="","",IFERROR(AVERAGEIFS('רווחה - קליטה'!$AQ$5:$AQ$204,'רווחה - קליטה'!$A$5:$A$204,$A193,'רווחה - קליטה'!$C$5:$C$204,"סוף שנה"),""))</f>
        <v/>
      </c>
      <c r="I193" s="28" t="str">
        <f aca="false">IF($A193="","",IFERROR(AVERAGEIFS('רווחה - קליטה'!$AK$5:$AK$204,'רווחה - קליטה'!$A$5:$A$204,$A193,'רווחה - קליטה'!$C$5:$C$204,"סוף שנה"),""))</f>
        <v/>
      </c>
      <c r="J193" s="27" t="str">
        <f aca="false">IF($A193="","",IFERROR(INDEX('רווחה - קליטה'!$AS$5:$AS$204,MATCH($A193&amp;"|סוף שנה",'רווחה - קליטה'!$AE$5:$AE$204,0)),""))</f>
        <v/>
      </c>
      <c r="K193" s="37" t="str">
        <f aca="false">IF(AND(ISNUMBER(B193),ISNUMBER(H193)),H193-B193,"")</f>
        <v/>
      </c>
      <c r="L193" s="27" t="str">
        <f aca="false">IF(K193="","",IF(K193&gt;=0.5,"עלייה",IF(K193&lt;=-0.5,"ירידה","יציב")))</f>
        <v/>
      </c>
    </row>
    <row r="194" customFormat="false" ht="15" hidden="false" customHeight="false" outlineLevel="0" collapsed="false">
      <c r="A194" s="29"/>
      <c r="B194" s="36" t="str">
        <f aca="false">IF($A194="","",IFERROR(AVERAGEIFS('רווחה - קליטה'!$AQ$5:$AQ$204,'רווחה - קליטה'!$A$5:$A$204,$A194,'רווחה - קליטה'!$C$5:$C$204,"תחילת שנה"),""))</f>
        <v/>
      </c>
      <c r="C194" s="28" t="str">
        <f aca="false">IF($A194="","",IFERROR(AVERAGEIFS('רווחה - קליטה'!$AK$5:$AK$204,'רווחה - קליטה'!$A$5:$A$204,$A194,'רווחה - קליטה'!$C$5:$C$204,"תחילת שנה"),""))</f>
        <v/>
      </c>
      <c r="D194" s="27" t="str">
        <f aca="false">IF($A194="","",IFERROR(INDEX('רווחה - קליטה'!$AS$5:$AS$204,MATCH($A194&amp;"|תחילת שנה",'רווחה - קליטה'!$AE$5:$AE$204,0)),""))</f>
        <v/>
      </c>
      <c r="E194" s="36" t="str">
        <f aca="false">IF($A194="","",IFERROR(AVERAGEIFS('רווחה - קליטה'!$AQ$5:$AQ$204,'רווחה - קליטה'!$A$5:$A$204,$A194,'רווחה - קליטה'!$C$5:$C$204,"אמצע שנה"),""))</f>
        <v/>
      </c>
      <c r="F194" s="28" t="str">
        <f aca="false">IF($A194="","",IFERROR(AVERAGEIFS('רווחה - קליטה'!$AK$5:$AK$204,'רווחה - קליטה'!$A$5:$A$204,$A194,'רווחה - קליטה'!$C$5:$C$204,"אמצע שנה"),""))</f>
        <v/>
      </c>
      <c r="G194" s="27" t="str">
        <f aca="false">IF($A194="","",IFERROR(INDEX('רווחה - קליטה'!$AS$5:$AS$204,MATCH($A194&amp;"|אמצע שנה",'רווחה - קליטה'!$AE$5:$AE$204,0)),""))</f>
        <v/>
      </c>
      <c r="H194" s="36" t="str">
        <f aca="false">IF($A194="","",IFERROR(AVERAGEIFS('רווחה - קליטה'!$AQ$5:$AQ$204,'רווחה - קליטה'!$A$5:$A$204,$A194,'רווחה - קליטה'!$C$5:$C$204,"סוף שנה"),""))</f>
        <v/>
      </c>
      <c r="I194" s="28" t="str">
        <f aca="false">IF($A194="","",IFERROR(AVERAGEIFS('רווחה - קליטה'!$AK$5:$AK$204,'רווחה - קליטה'!$A$5:$A$204,$A194,'רווחה - קליטה'!$C$5:$C$204,"סוף שנה"),""))</f>
        <v/>
      </c>
      <c r="J194" s="27" t="str">
        <f aca="false">IF($A194="","",IFERROR(INDEX('רווחה - קליטה'!$AS$5:$AS$204,MATCH($A194&amp;"|סוף שנה",'רווחה - קליטה'!$AE$5:$AE$204,0)),""))</f>
        <v/>
      </c>
      <c r="K194" s="37" t="str">
        <f aca="false">IF(AND(ISNUMBER(B194),ISNUMBER(H194)),H194-B194,"")</f>
        <v/>
      </c>
      <c r="L194" s="27" t="str">
        <f aca="false">IF(K194="","",IF(K194&gt;=0.5,"עלייה",IF(K194&lt;=-0.5,"ירידה","יציב")))</f>
        <v/>
      </c>
    </row>
    <row r="195" customFormat="false" ht="15" hidden="false" customHeight="false" outlineLevel="0" collapsed="false">
      <c r="A195" s="29"/>
      <c r="B195" s="36" t="str">
        <f aca="false">IF($A195="","",IFERROR(AVERAGEIFS('רווחה - קליטה'!$AQ$5:$AQ$204,'רווחה - קליטה'!$A$5:$A$204,$A195,'רווחה - קליטה'!$C$5:$C$204,"תחילת שנה"),""))</f>
        <v/>
      </c>
      <c r="C195" s="28" t="str">
        <f aca="false">IF($A195="","",IFERROR(AVERAGEIFS('רווחה - קליטה'!$AK$5:$AK$204,'רווחה - קליטה'!$A$5:$A$204,$A195,'רווחה - קליטה'!$C$5:$C$204,"תחילת שנה"),""))</f>
        <v/>
      </c>
      <c r="D195" s="27" t="str">
        <f aca="false">IF($A195="","",IFERROR(INDEX('רווחה - קליטה'!$AS$5:$AS$204,MATCH($A195&amp;"|תחילת שנה",'רווחה - קליטה'!$AE$5:$AE$204,0)),""))</f>
        <v/>
      </c>
      <c r="E195" s="36" t="str">
        <f aca="false">IF($A195="","",IFERROR(AVERAGEIFS('רווחה - קליטה'!$AQ$5:$AQ$204,'רווחה - קליטה'!$A$5:$A$204,$A195,'רווחה - קליטה'!$C$5:$C$204,"אמצע שנה"),""))</f>
        <v/>
      </c>
      <c r="F195" s="28" t="str">
        <f aca="false">IF($A195="","",IFERROR(AVERAGEIFS('רווחה - קליטה'!$AK$5:$AK$204,'רווחה - קליטה'!$A$5:$A$204,$A195,'רווחה - קליטה'!$C$5:$C$204,"אמצע שנה"),""))</f>
        <v/>
      </c>
      <c r="G195" s="27" t="str">
        <f aca="false">IF($A195="","",IFERROR(INDEX('רווחה - קליטה'!$AS$5:$AS$204,MATCH($A195&amp;"|אמצע שנה",'רווחה - קליטה'!$AE$5:$AE$204,0)),""))</f>
        <v/>
      </c>
      <c r="H195" s="36" t="str">
        <f aca="false">IF($A195="","",IFERROR(AVERAGEIFS('רווחה - קליטה'!$AQ$5:$AQ$204,'רווחה - קליטה'!$A$5:$A$204,$A195,'רווחה - קליטה'!$C$5:$C$204,"סוף שנה"),""))</f>
        <v/>
      </c>
      <c r="I195" s="28" t="str">
        <f aca="false">IF($A195="","",IFERROR(AVERAGEIFS('רווחה - קליטה'!$AK$5:$AK$204,'רווחה - קליטה'!$A$5:$A$204,$A195,'רווחה - קליטה'!$C$5:$C$204,"סוף שנה"),""))</f>
        <v/>
      </c>
      <c r="J195" s="27" t="str">
        <f aca="false">IF($A195="","",IFERROR(INDEX('רווחה - קליטה'!$AS$5:$AS$204,MATCH($A195&amp;"|סוף שנה",'רווחה - קליטה'!$AE$5:$AE$204,0)),""))</f>
        <v/>
      </c>
      <c r="K195" s="37" t="str">
        <f aca="false">IF(AND(ISNUMBER(B195),ISNUMBER(H195)),H195-B195,"")</f>
        <v/>
      </c>
      <c r="L195" s="27" t="str">
        <f aca="false">IF(K195="","",IF(K195&gt;=0.5,"עלייה",IF(K195&lt;=-0.5,"ירידה","יציב")))</f>
        <v/>
      </c>
    </row>
    <row r="196" customFormat="false" ht="15" hidden="false" customHeight="false" outlineLevel="0" collapsed="false">
      <c r="A196" s="29"/>
      <c r="B196" s="36" t="str">
        <f aca="false">IF($A196="","",IFERROR(AVERAGEIFS('רווחה - קליטה'!$AQ$5:$AQ$204,'רווחה - קליטה'!$A$5:$A$204,$A196,'רווחה - קליטה'!$C$5:$C$204,"תחילת שנה"),""))</f>
        <v/>
      </c>
      <c r="C196" s="28" t="str">
        <f aca="false">IF($A196="","",IFERROR(AVERAGEIFS('רווחה - קליטה'!$AK$5:$AK$204,'רווחה - קליטה'!$A$5:$A$204,$A196,'רווחה - קליטה'!$C$5:$C$204,"תחילת שנה"),""))</f>
        <v/>
      </c>
      <c r="D196" s="27" t="str">
        <f aca="false">IF($A196="","",IFERROR(INDEX('רווחה - קליטה'!$AS$5:$AS$204,MATCH($A196&amp;"|תחילת שנה",'רווחה - קליטה'!$AE$5:$AE$204,0)),""))</f>
        <v/>
      </c>
      <c r="E196" s="36" t="str">
        <f aca="false">IF($A196="","",IFERROR(AVERAGEIFS('רווחה - קליטה'!$AQ$5:$AQ$204,'רווחה - קליטה'!$A$5:$A$204,$A196,'רווחה - קליטה'!$C$5:$C$204,"אמצע שנה"),""))</f>
        <v/>
      </c>
      <c r="F196" s="28" t="str">
        <f aca="false">IF($A196="","",IFERROR(AVERAGEIFS('רווחה - קליטה'!$AK$5:$AK$204,'רווחה - קליטה'!$A$5:$A$204,$A196,'רווחה - קליטה'!$C$5:$C$204,"אמצע שנה"),""))</f>
        <v/>
      </c>
      <c r="G196" s="27" t="str">
        <f aca="false">IF($A196="","",IFERROR(INDEX('רווחה - קליטה'!$AS$5:$AS$204,MATCH($A196&amp;"|אמצע שנה",'רווחה - קליטה'!$AE$5:$AE$204,0)),""))</f>
        <v/>
      </c>
      <c r="H196" s="36" t="str">
        <f aca="false">IF($A196="","",IFERROR(AVERAGEIFS('רווחה - קליטה'!$AQ$5:$AQ$204,'רווחה - קליטה'!$A$5:$A$204,$A196,'רווחה - קליטה'!$C$5:$C$204,"סוף שנה"),""))</f>
        <v/>
      </c>
      <c r="I196" s="28" t="str">
        <f aca="false">IF($A196="","",IFERROR(AVERAGEIFS('רווחה - קליטה'!$AK$5:$AK$204,'רווחה - קליטה'!$A$5:$A$204,$A196,'רווחה - קליטה'!$C$5:$C$204,"סוף שנה"),""))</f>
        <v/>
      </c>
      <c r="J196" s="27" t="str">
        <f aca="false">IF($A196="","",IFERROR(INDEX('רווחה - קליטה'!$AS$5:$AS$204,MATCH($A196&amp;"|סוף שנה",'רווחה - קליטה'!$AE$5:$AE$204,0)),""))</f>
        <v/>
      </c>
      <c r="K196" s="37" t="str">
        <f aca="false">IF(AND(ISNUMBER(B196),ISNUMBER(H196)),H196-B196,"")</f>
        <v/>
      </c>
      <c r="L196" s="27" t="str">
        <f aca="false">IF(K196="","",IF(K196&gt;=0.5,"עלייה",IF(K196&lt;=-0.5,"ירידה","יציב")))</f>
        <v/>
      </c>
    </row>
    <row r="197" customFormat="false" ht="15" hidden="false" customHeight="false" outlineLevel="0" collapsed="false">
      <c r="A197" s="29"/>
      <c r="B197" s="36" t="str">
        <f aca="false">IF($A197="","",IFERROR(AVERAGEIFS('רווחה - קליטה'!$AQ$5:$AQ$204,'רווחה - קליטה'!$A$5:$A$204,$A197,'רווחה - קליטה'!$C$5:$C$204,"תחילת שנה"),""))</f>
        <v/>
      </c>
      <c r="C197" s="28" t="str">
        <f aca="false">IF($A197="","",IFERROR(AVERAGEIFS('רווחה - קליטה'!$AK$5:$AK$204,'רווחה - קליטה'!$A$5:$A$204,$A197,'רווחה - קליטה'!$C$5:$C$204,"תחילת שנה"),""))</f>
        <v/>
      </c>
      <c r="D197" s="27" t="str">
        <f aca="false">IF($A197="","",IFERROR(INDEX('רווחה - קליטה'!$AS$5:$AS$204,MATCH($A197&amp;"|תחילת שנה",'רווחה - קליטה'!$AE$5:$AE$204,0)),""))</f>
        <v/>
      </c>
      <c r="E197" s="36" t="str">
        <f aca="false">IF($A197="","",IFERROR(AVERAGEIFS('רווחה - קליטה'!$AQ$5:$AQ$204,'רווחה - קליטה'!$A$5:$A$204,$A197,'רווחה - קליטה'!$C$5:$C$204,"אמצע שנה"),""))</f>
        <v/>
      </c>
      <c r="F197" s="28" t="str">
        <f aca="false">IF($A197="","",IFERROR(AVERAGEIFS('רווחה - קליטה'!$AK$5:$AK$204,'רווחה - קליטה'!$A$5:$A$204,$A197,'רווחה - קליטה'!$C$5:$C$204,"אמצע שנה"),""))</f>
        <v/>
      </c>
      <c r="G197" s="27" t="str">
        <f aca="false">IF($A197="","",IFERROR(INDEX('רווחה - קליטה'!$AS$5:$AS$204,MATCH($A197&amp;"|אמצע שנה",'רווחה - קליטה'!$AE$5:$AE$204,0)),""))</f>
        <v/>
      </c>
      <c r="H197" s="36" t="str">
        <f aca="false">IF($A197="","",IFERROR(AVERAGEIFS('רווחה - קליטה'!$AQ$5:$AQ$204,'רווחה - קליטה'!$A$5:$A$204,$A197,'רווחה - קליטה'!$C$5:$C$204,"סוף שנה"),""))</f>
        <v/>
      </c>
      <c r="I197" s="28" t="str">
        <f aca="false">IF($A197="","",IFERROR(AVERAGEIFS('רווחה - קליטה'!$AK$5:$AK$204,'רווחה - קליטה'!$A$5:$A$204,$A197,'רווחה - קליטה'!$C$5:$C$204,"סוף שנה"),""))</f>
        <v/>
      </c>
      <c r="J197" s="27" t="str">
        <f aca="false">IF($A197="","",IFERROR(INDEX('רווחה - קליטה'!$AS$5:$AS$204,MATCH($A197&amp;"|סוף שנה",'רווחה - קליטה'!$AE$5:$AE$204,0)),""))</f>
        <v/>
      </c>
      <c r="K197" s="37" t="str">
        <f aca="false">IF(AND(ISNUMBER(B197),ISNUMBER(H197)),H197-B197,"")</f>
        <v/>
      </c>
      <c r="L197" s="27" t="str">
        <f aca="false">IF(K197="","",IF(K197&gt;=0.5,"עלייה",IF(K197&lt;=-0.5,"ירידה","יציב")))</f>
        <v/>
      </c>
    </row>
    <row r="198" customFormat="false" ht="15" hidden="false" customHeight="false" outlineLevel="0" collapsed="false">
      <c r="A198" s="29"/>
      <c r="B198" s="36" t="str">
        <f aca="false">IF($A198="","",IFERROR(AVERAGEIFS('רווחה - קליטה'!$AQ$5:$AQ$204,'רווחה - קליטה'!$A$5:$A$204,$A198,'רווחה - קליטה'!$C$5:$C$204,"תחילת שנה"),""))</f>
        <v/>
      </c>
      <c r="C198" s="28" t="str">
        <f aca="false">IF($A198="","",IFERROR(AVERAGEIFS('רווחה - קליטה'!$AK$5:$AK$204,'רווחה - קליטה'!$A$5:$A$204,$A198,'רווחה - קליטה'!$C$5:$C$204,"תחילת שנה"),""))</f>
        <v/>
      </c>
      <c r="D198" s="27" t="str">
        <f aca="false">IF($A198="","",IFERROR(INDEX('רווחה - קליטה'!$AS$5:$AS$204,MATCH($A198&amp;"|תחילת שנה",'רווחה - קליטה'!$AE$5:$AE$204,0)),""))</f>
        <v/>
      </c>
      <c r="E198" s="36" t="str">
        <f aca="false">IF($A198="","",IFERROR(AVERAGEIFS('רווחה - קליטה'!$AQ$5:$AQ$204,'רווחה - קליטה'!$A$5:$A$204,$A198,'רווחה - קליטה'!$C$5:$C$204,"אמצע שנה"),""))</f>
        <v/>
      </c>
      <c r="F198" s="28" t="str">
        <f aca="false">IF($A198="","",IFERROR(AVERAGEIFS('רווחה - קליטה'!$AK$5:$AK$204,'רווחה - קליטה'!$A$5:$A$204,$A198,'רווחה - קליטה'!$C$5:$C$204,"אמצע שנה"),""))</f>
        <v/>
      </c>
      <c r="G198" s="27" t="str">
        <f aca="false">IF($A198="","",IFERROR(INDEX('רווחה - קליטה'!$AS$5:$AS$204,MATCH($A198&amp;"|אמצע שנה",'רווחה - קליטה'!$AE$5:$AE$204,0)),""))</f>
        <v/>
      </c>
      <c r="H198" s="36" t="str">
        <f aca="false">IF($A198="","",IFERROR(AVERAGEIFS('רווחה - קליטה'!$AQ$5:$AQ$204,'רווחה - קליטה'!$A$5:$A$204,$A198,'רווחה - קליטה'!$C$5:$C$204,"סוף שנה"),""))</f>
        <v/>
      </c>
      <c r="I198" s="28" t="str">
        <f aca="false">IF($A198="","",IFERROR(AVERAGEIFS('רווחה - קליטה'!$AK$5:$AK$204,'רווחה - קליטה'!$A$5:$A$204,$A198,'רווחה - קליטה'!$C$5:$C$204,"סוף שנה"),""))</f>
        <v/>
      </c>
      <c r="J198" s="27" t="str">
        <f aca="false">IF($A198="","",IFERROR(INDEX('רווחה - קליטה'!$AS$5:$AS$204,MATCH($A198&amp;"|סוף שנה",'רווחה - קליטה'!$AE$5:$AE$204,0)),""))</f>
        <v/>
      </c>
      <c r="K198" s="37" t="str">
        <f aca="false">IF(AND(ISNUMBER(B198),ISNUMBER(H198)),H198-B198,"")</f>
        <v/>
      </c>
      <c r="L198" s="27" t="str">
        <f aca="false">IF(K198="","",IF(K198&gt;=0.5,"עלייה",IF(K198&lt;=-0.5,"ירידה","יציב")))</f>
        <v/>
      </c>
    </row>
    <row r="199" customFormat="false" ht="15" hidden="false" customHeight="false" outlineLevel="0" collapsed="false">
      <c r="A199" s="29"/>
      <c r="B199" s="36" t="str">
        <f aca="false">IF($A199="","",IFERROR(AVERAGEIFS('רווחה - קליטה'!$AQ$5:$AQ$204,'רווחה - קליטה'!$A$5:$A$204,$A199,'רווחה - קליטה'!$C$5:$C$204,"תחילת שנה"),""))</f>
        <v/>
      </c>
      <c r="C199" s="28" t="str">
        <f aca="false">IF($A199="","",IFERROR(AVERAGEIFS('רווחה - קליטה'!$AK$5:$AK$204,'רווחה - קליטה'!$A$5:$A$204,$A199,'רווחה - קליטה'!$C$5:$C$204,"תחילת שנה"),""))</f>
        <v/>
      </c>
      <c r="D199" s="27" t="str">
        <f aca="false">IF($A199="","",IFERROR(INDEX('רווחה - קליטה'!$AS$5:$AS$204,MATCH($A199&amp;"|תחילת שנה",'רווחה - קליטה'!$AE$5:$AE$204,0)),""))</f>
        <v/>
      </c>
      <c r="E199" s="36" t="str">
        <f aca="false">IF($A199="","",IFERROR(AVERAGEIFS('רווחה - קליטה'!$AQ$5:$AQ$204,'רווחה - קליטה'!$A$5:$A$204,$A199,'רווחה - קליטה'!$C$5:$C$204,"אמצע שנה"),""))</f>
        <v/>
      </c>
      <c r="F199" s="28" t="str">
        <f aca="false">IF($A199="","",IFERROR(AVERAGEIFS('רווחה - קליטה'!$AK$5:$AK$204,'רווחה - קליטה'!$A$5:$A$204,$A199,'רווחה - קליטה'!$C$5:$C$204,"אמצע שנה"),""))</f>
        <v/>
      </c>
      <c r="G199" s="27" t="str">
        <f aca="false">IF($A199="","",IFERROR(INDEX('רווחה - קליטה'!$AS$5:$AS$204,MATCH($A199&amp;"|אמצע שנה",'רווחה - קליטה'!$AE$5:$AE$204,0)),""))</f>
        <v/>
      </c>
      <c r="H199" s="36" t="str">
        <f aca="false">IF($A199="","",IFERROR(AVERAGEIFS('רווחה - קליטה'!$AQ$5:$AQ$204,'רווחה - קליטה'!$A$5:$A$204,$A199,'רווחה - קליטה'!$C$5:$C$204,"סוף שנה"),""))</f>
        <v/>
      </c>
      <c r="I199" s="28" t="str">
        <f aca="false">IF($A199="","",IFERROR(AVERAGEIFS('רווחה - קליטה'!$AK$5:$AK$204,'רווחה - קליטה'!$A$5:$A$204,$A199,'רווחה - קליטה'!$C$5:$C$204,"סוף שנה"),""))</f>
        <v/>
      </c>
      <c r="J199" s="27" t="str">
        <f aca="false">IF($A199="","",IFERROR(INDEX('רווחה - קליטה'!$AS$5:$AS$204,MATCH($A199&amp;"|סוף שנה",'רווחה - קליטה'!$AE$5:$AE$204,0)),""))</f>
        <v/>
      </c>
      <c r="K199" s="37" t="str">
        <f aca="false">IF(AND(ISNUMBER(B199),ISNUMBER(H199)),H199-B199,"")</f>
        <v/>
      </c>
      <c r="L199" s="27" t="str">
        <f aca="false">IF(K199="","",IF(K199&gt;=0.5,"עלייה",IF(K199&lt;=-0.5,"ירידה","יציב")))</f>
        <v/>
      </c>
    </row>
    <row r="200" customFormat="false" ht="15" hidden="false" customHeight="false" outlineLevel="0" collapsed="false">
      <c r="A200" s="29"/>
      <c r="B200" s="36" t="str">
        <f aca="false">IF($A200="","",IFERROR(AVERAGEIFS('רווחה - קליטה'!$AQ$5:$AQ$204,'רווחה - קליטה'!$A$5:$A$204,$A200,'רווחה - קליטה'!$C$5:$C$204,"תחילת שנה"),""))</f>
        <v/>
      </c>
      <c r="C200" s="28" t="str">
        <f aca="false">IF($A200="","",IFERROR(AVERAGEIFS('רווחה - קליטה'!$AK$5:$AK$204,'רווחה - קליטה'!$A$5:$A$204,$A200,'רווחה - קליטה'!$C$5:$C$204,"תחילת שנה"),""))</f>
        <v/>
      </c>
      <c r="D200" s="27" t="str">
        <f aca="false">IF($A200="","",IFERROR(INDEX('רווחה - קליטה'!$AS$5:$AS$204,MATCH($A200&amp;"|תחילת שנה",'רווחה - קליטה'!$AE$5:$AE$204,0)),""))</f>
        <v/>
      </c>
      <c r="E200" s="36" t="str">
        <f aca="false">IF($A200="","",IFERROR(AVERAGEIFS('רווחה - קליטה'!$AQ$5:$AQ$204,'רווחה - קליטה'!$A$5:$A$204,$A200,'רווחה - קליטה'!$C$5:$C$204,"אמצע שנה"),""))</f>
        <v/>
      </c>
      <c r="F200" s="28" t="str">
        <f aca="false">IF($A200="","",IFERROR(AVERAGEIFS('רווחה - קליטה'!$AK$5:$AK$204,'רווחה - קליטה'!$A$5:$A$204,$A200,'רווחה - קליטה'!$C$5:$C$204,"אמצע שנה"),""))</f>
        <v/>
      </c>
      <c r="G200" s="27" t="str">
        <f aca="false">IF($A200="","",IFERROR(INDEX('רווחה - קליטה'!$AS$5:$AS$204,MATCH($A200&amp;"|אמצע שנה",'רווחה - קליטה'!$AE$5:$AE$204,0)),""))</f>
        <v/>
      </c>
      <c r="H200" s="36" t="str">
        <f aca="false">IF($A200="","",IFERROR(AVERAGEIFS('רווחה - קליטה'!$AQ$5:$AQ$204,'רווחה - קליטה'!$A$5:$A$204,$A200,'רווחה - קליטה'!$C$5:$C$204,"סוף שנה"),""))</f>
        <v/>
      </c>
      <c r="I200" s="28" t="str">
        <f aca="false">IF($A200="","",IFERROR(AVERAGEIFS('רווחה - קליטה'!$AK$5:$AK$204,'רווחה - קליטה'!$A$5:$A$204,$A200,'רווחה - קליטה'!$C$5:$C$204,"סוף שנה"),""))</f>
        <v/>
      </c>
      <c r="J200" s="27" t="str">
        <f aca="false">IF($A200="","",IFERROR(INDEX('רווחה - קליטה'!$AS$5:$AS$204,MATCH($A200&amp;"|סוף שנה",'רווחה - קליטה'!$AE$5:$AE$204,0)),""))</f>
        <v/>
      </c>
      <c r="K200" s="37" t="str">
        <f aca="false">IF(AND(ISNUMBER(B200),ISNUMBER(H200)),H200-B200,"")</f>
        <v/>
      </c>
      <c r="L200" s="27" t="str">
        <f aca="false">IF(K200="","",IF(K200&gt;=0.5,"עלייה",IF(K200&lt;=-0.5,"ירידה","יציב")))</f>
        <v/>
      </c>
    </row>
    <row r="201" customFormat="false" ht="15" hidden="false" customHeight="false" outlineLevel="0" collapsed="false">
      <c r="A201" s="29"/>
      <c r="B201" s="36" t="str">
        <f aca="false">IF($A201="","",IFERROR(AVERAGEIFS('רווחה - קליטה'!$AQ$5:$AQ$204,'רווחה - קליטה'!$A$5:$A$204,$A201,'רווחה - קליטה'!$C$5:$C$204,"תחילת שנה"),""))</f>
        <v/>
      </c>
      <c r="C201" s="28" t="str">
        <f aca="false">IF($A201="","",IFERROR(AVERAGEIFS('רווחה - קליטה'!$AK$5:$AK$204,'רווחה - קליטה'!$A$5:$A$204,$A201,'רווחה - קליטה'!$C$5:$C$204,"תחילת שנה"),""))</f>
        <v/>
      </c>
      <c r="D201" s="27" t="str">
        <f aca="false">IF($A201="","",IFERROR(INDEX('רווחה - קליטה'!$AS$5:$AS$204,MATCH($A201&amp;"|תחילת שנה",'רווחה - קליטה'!$AE$5:$AE$204,0)),""))</f>
        <v/>
      </c>
      <c r="E201" s="36" t="str">
        <f aca="false">IF($A201="","",IFERROR(AVERAGEIFS('רווחה - קליטה'!$AQ$5:$AQ$204,'רווחה - קליטה'!$A$5:$A$204,$A201,'רווחה - קליטה'!$C$5:$C$204,"אמצע שנה"),""))</f>
        <v/>
      </c>
      <c r="F201" s="28" t="str">
        <f aca="false">IF($A201="","",IFERROR(AVERAGEIFS('רווחה - קליטה'!$AK$5:$AK$204,'רווחה - קליטה'!$A$5:$A$204,$A201,'רווחה - קליטה'!$C$5:$C$204,"אמצע שנה"),""))</f>
        <v/>
      </c>
      <c r="G201" s="27" t="str">
        <f aca="false">IF($A201="","",IFERROR(INDEX('רווחה - קליטה'!$AS$5:$AS$204,MATCH($A201&amp;"|אמצע שנה",'רווחה - קליטה'!$AE$5:$AE$204,0)),""))</f>
        <v/>
      </c>
      <c r="H201" s="36" t="str">
        <f aca="false">IF($A201="","",IFERROR(AVERAGEIFS('רווחה - קליטה'!$AQ$5:$AQ$204,'רווחה - קליטה'!$A$5:$A$204,$A201,'רווחה - קליטה'!$C$5:$C$204,"סוף שנה"),""))</f>
        <v/>
      </c>
      <c r="I201" s="28" t="str">
        <f aca="false">IF($A201="","",IFERROR(AVERAGEIFS('רווחה - קליטה'!$AK$5:$AK$204,'רווחה - קליטה'!$A$5:$A$204,$A201,'רווחה - קליטה'!$C$5:$C$204,"סוף שנה"),""))</f>
        <v/>
      </c>
      <c r="J201" s="27" t="str">
        <f aca="false">IF($A201="","",IFERROR(INDEX('רווחה - קליטה'!$AS$5:$AS$204,MATCH($A201&amp;"|סוף שנה",'רווחה - קליטה'!$AE$5:$AE$204,0)),""))</f>
        <v/>
      </c>
      <c r="K201" s="37" t="str">
        <f aca="false">IF(AND(ISNUMBER(B201),ISNUMBER(H201)),H201-B201,"")</f>
        <v/>
      </c>
      <c r="L201" s="27" t="str">
        <f aca="false">IF(K201="","",IF(K201&gt;=0.5,"עלייה",IF(K201&lt;=-0.5,"ירידה","יציב")))</f>
        <v/>
      </c>
    </row>
    <row r="202" customFormat="false" ht="15" hidden="false" customHeight="false" outlineLevel="0" collapsed="false">
      <c r="A202" s="29"/>
      <c r="B202" s="36" t="str">
        <f aca="false">IF($A202="","",IFERROR(AVERAGEIFS('רווחה - קליטה'!$AQ$5:$AQ$204,'רווחה - קליטה'!$A$5:$A$204,$A202,'רווחה - קליטה'!$C$5:$C$204,"תחילת שנה"),""))</f>
        <v/>
      </c>
      <c r="C202" s="28" t="str">
        <f aca="false">IF($A202="","",IFERROR(AVERAGEIFS('רווחה - קליטה'!$AK$5:$AK$204,'רווחה - קליטה'!$A$5:$A$204,$A202,'רווחה - קליטה'!$C$5:$C$204,"תחילת שנה"),""))</f>
        <v/>
      </c>
      <c r="D202" s="27" t="str">
        <f aca="false">IF($A202="","",IFERROR(INDEX('רווחה - קליטה'!$AS$5:$AS$204,MATCH($A202&amp;"|תחילת שנה",'רווחה - קליטה'!$AE$5:$AE$204,0)),""))</f>
        <v/>
      </c>
      <c r="E202" s="36" t="str">
        <f aca="false">IF($A202="","",IFERROR(AVERAGEIFS('רווחה - קליטה'!$AQ$5:$AQ$204,'רווחה - קליטה'!$A$5:$A$204,$A202,'רווחה - קליטה'!$C$5:$C$204,"אמצע שנה"),""))</f>
        <v/>
      </c>
      <c r="F202" s="28" t="str">
        <f aca="false">IF($A202="","",IFERROR(AVERAGEIFS('רווחה - קליטה'!$AK$5:$AK$204,'רווחה - קליטה'!$A$5:$A$204,$A202,'רווחה - קליטה'!$C$5:$C$204,"אמצע שנה"),""))</f>
        <v/>
      </c>
      <c r="G202" s="27" t="str">
        <f aca="false">IF($A202="","",IFERROR(INDEX('רווחה - קליטה'!$AS$5:$AS$204,MATCH($A202&amp;"|אמצע שנה",'רווחה - קליטה'!$AE$5:$AE$204,0)),""))</f>
        <v/>
      </c>
      <c r="H202" s="36" t="str">
        <f aca="false">IF($A202="","",IFERROR(AVERAGEIFS('רווחה - קליטה'!$AQ$5:$AQ$204,'רווחה - קליטה'!$A$5:$A$204,$A202,'רווחה - קליטה'!$C$5:$C$204,"סוף שנה"),""))</f>
        <v/>
      </c>
      <c r="I202" s="28" t="str">
        <f aca="false">IF($A202="","",IFERROR(AVERAGEIFS('רווחה - קליטה'!$AK$5:$AK$204,'רווחה - קליטה'!$A$5:$A$204,$A202,'רווחה - קליטה'!$C$5:$C$204,"סוף שנה"),""))</f>
        <v/>
      </c>
      <c r="J202" s="27" t="str">
        <f aca="false">IF($A202="","",IFERROR(INDEX('רווחה - קליטה'!$AS$5:$AS$204,MATCH($A202&amp;"|סוף שנה",'רווחה - קליטה'!$AE$5:$AE$204,0)),""))</f>
        <v/>
      </c>
      <c r="K202" s="37" t="str">
        <f aca="false">IF(AND(ISNUMBER(B202),ISNUMBER(H202)),H202-B202,"")</f>
        <v/>
      </c>
      <c r="L202" s="27" t="str">
        <f aca="false">IF(K202="","",IF(K202&gt;=0.5,"עלייה",IF(K202&lt;=-0.5,"ירידה","יציב")))</f>
        <v/>
      </c>
    </row>
    <row r="203" customFormat="false" ht="15" hidden="false" customHeight="false" outlineLevel="0" collapsed="false">
      <c r="A203" s="29"/>
      <c r="B203" s="36" t="str">
        <f aca="false">IF($A203="","",IFERROR(AVERAGEIFS('רווחה - קליטה'!$AQ$5:$AQ$204,'רווחה - קליטה'!$A$5:$A$204,$A203,'רווחה - קליטה'!$C$5:$C$204,"תחילת שנה"),""))</f>
        <v/>
      </c>
      <c r="C203" s="28" t="str">
        <f aca="false">IF($A203="","",IFERROR(AVERAGEIFS('רווחה - קליטה'!$AK$5:$AK$204,'רווחה - קליטה'!$A$5:$A$204,$A203,'רווחה - קליטה'!$C$5:$C$204,"תחילת שנה"),""))</f>
        <v/>
      </c>
      <c r="D203" s="27" t="str">
        <f aca="false">IF($A203="","",IFERROR(INDEX('רווחה - קליטה'!$AS$5:$AS$204,MATCH($A203&amp;"|תחילת שנה",'רווחה - קליטה'!$AE$5:$AE$204,0)),""))</f>
        <v/>
      </c>
      <c r="E203" s="36" t="str">
        <f aca="false">IF($A203="","",IFERROR(AVERAGEIFS('רווחה - קליטה'!$AQ$5:$AQ$204,'רווחה - קליטה'!$A$5:$A$204,$A203,'רווחה - קליטה'!$C$5:$C$204,"אמצע שנה"),""))</f>
        <v/>
      </c>
      <c r="F203" s="28" t="str">
        <f aca="false">IF($A203="","",IFERROR(AVERAGEIFS('רווחה - קליטה'!$AK$5:$AK$204,'רווחה - קליטה'!$A$5:$A$204,$A203,'רווחה - קליטה'!$C$5:$C$204,"אמצע שנה"),""))</f>
        <v/>
      </c>
      <c r="G203" s="27" t="str">
        <f aca="false">IF($A203="","",IFERROR(INDEX('רווחה - קליטה'!$AS$5:$AS$204,MATCH($A203&amp;"|אמצע שנה",'רווחה - קליטה'!$AE$5:$AE$204,0)),""))</f>
        <v/>
      </c>
      <c r="H203" s="36" t="str">
        <f aca="false">IF($A203="","",IFERROR(AVERAGEIFS('רווחה - קליטה'!$AQ$5:$AQ$204,'רווחה - קליטה'!$A$5:$A$204,$A203,'רווחה - קליטה'!$C$5:$C$204,"סוף שנה"),""))</f>
        <v/>
      </c>
      <c r="I203" s="28" t="str">
        <f aca="false">IF($A203="","",IFERROR(AVERAGEIFS('רווחה - קליטה'!$AK$5:$AK$204,'רווחה - קליטה'!$A$5:$A$204,$A203,'רווחה - קליטה'!$C$5:$C$204,"סוף שנה"),""))</f>
        <v/>
      </c>
      <c r="J203" s="27" t="str">
        <f aca="false">IF($A203="","",IFERROR(INDEX('רווחה - קליטה'!$AS$5:$AS$204,MATCH($A203&amp;"|סוף שנה",'רווחה - קליטה'!$AE$5:$AE$204,0)),""))</f>
        <v/>
      </c>
      <c r="K203" s="37" t="str">
        <f aca="false">IF(AND(ISNUMBER(B203),ISNUMBER(H203)),H203-B203,"")</f>
        <v/>
      </c>
      <c r="L203" s="27" t="str">
        <f aca="false">IF(K203="","",IF(K203&gt;=0.5,"עלייה",IF(K203&lt;=-0.5,"ירידה","יציב")))</f>
        <v/>
      </c>
    </row>
    <row r="204" customFormat="false" ht="15" hidden="false" customHeight="false" outlineLevel="0" collapsed="false">
      <c r="A204" s="29"/>
      <c r="B204" s="36" t="str">
        <f aca="false">IF($A204="","",IFERROR(AVERAGEIFS('רווחה - קליטה'!$AQ$5:$AQ$204,'רווחה - קליטה'!$A$5:$A$204,$A204,'רווחה - קליטה'!$C$5:$C$204,"תחילת שנה"),""))</f>
        <v/>
      </c>
      <c r="C204" s="28" t="str">
        <f aca="false">IF($A204="","",IFERROR(AVERAGEIFS('רווחה - קליטה'!$AK$5:$AK$204,'רווחה - קליטה'!$A$5:$A$204,$A204,'רווחה - קליטה'!$C$5:$C$204,"תחילת שנה"),""))</f>
        <v/>
      </c>
      <c r="D204" s="27" t="str">
        <f aca="false">IF($A204="","",IFERROR(INDEX('רווחה - קליטה'!$AS$5:$AS$204,MATCH($A204&amp;"|תחילת שנה",'רווחה - קליטה'!$AE$5:$AE$204,0)),""))</f>
        <v/>
      </c>
      <c r="E204" s="36" t="str">
        <f aca="false">IF($A204="","",IFERROR(AVERAGEIFS('רווחה - קליטה'!$AQ$5:$AQ$204,'רווחה - קליטה'!$A$5:$A$204,$A204,'רווחה - קליטה'!$C$5:$C$204,"אמצע שנה"),""))</f>
        <v/>
      </c>
      <c r="F204" s="28" t="str">
        <f aca="false">IF($A204="","",IFERROR(AVERAGEIFS('רווחה - קליטה'!$AK$5:$AK$204,'רווחה - קליטה'!$A$5:$A$204,$A204,'רווחה - קליטה'!$C$5:$C$204,"אמצע שנה"),""))</f>
        <v/>
      </c>
      <c r="G204" s="27" t="str">
        <f aca="false">IF($A204="","",IFERROR(INDEX('רווחה - קליטה'!$AS$5:$AS$204,MATCH($A204&amp;"|אמצע שנה",'רווחה - קליטה'!$AE$5:$AE$204,0)),""))</f>
        <v/>
      </c>
      <c r="H204" s="36" t="str">
        <f aca="false">IF($A204="","",IFERROR(AVERAGEIFS('רווחה - קליטה'!$AQ$5:$AQ$204,'רווחה - קליטה'!$A$5:$A$204,$A204,'רווחה - קליטה'!$C$5:$C$204,"סוף שנה"),""))</f>
        <v/>
      </c>
      <c r="I204" s="28" t="str">
        <f aca="false">IF($A204="","",IFERROR(AVERAGEIFS('רווחה - קליטה'!$AK$5:$AK$204,'רווחה - קליטה'!$A$5:$A$204,$A204,'רווחה - קליטה'!$C$5:$C$204,"סוף שנה"),""))</f>
        <v/>
      </c>
      <c r="J204" s="27" t="str">
        <f aca="false">IF($A204="","",IFERROR(INDEX('רווחה - קליטה'!$AS$5:$AS$204,MATCH($A204&amp;"|סוף שנה",'רווחה - קליטה'!$AE$5:$AE$204,0)),""))</f>
        <v/>
      </c>
      <c r="K204" s="37" t="str">
        <f aca="false">IF(AND(ISNUMBER(B204),ISNUMBER(H204)),H204-B204,"")</f>
        <v/>
      </c>
      <c r="L204" s="27" t="str">
        <f aca="false">IF(K204="","",IF(K204&gt;=0.5,"עלייה",IF(K204&lt;=-0.5,"ירידה","יציב")))</f>
        <v/>
      </c>
    </row>
  </sheetData>
  <mergeCells count="4">
    <mergeCell ref="B3:D3"/>
    <mergeCell ref="E3:G3"/>
    <mergeCell ref="H3:J3"/>
    <mergeCell ref="K3:L3"/>
  </mergeCells>
  <conditionalFormatting sqref="L5:L204">
    <cfRule type="cellIs" priority="2" operator="equal" aboveAverage="0" equalAverage="0" bottom="0" percent="0" rank="0" text="" dxfId="0">
      <formula>"עלייה"</formula>
    </cfRule>
    <cfRule type="cellIs" priority="3" operator="equal" aboveAverage="0" equalAverage="0" bottom="0" percent="0" rank="0" text="" dxfId="1">
      <formula>"ירידה"</formula>
    </cfRule>
  </conditionalFormatting>
  <conditionalFormatting sqref="B5:B204">
    <cfRule type="colorScale" priority="4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E5:E204">
    <cfRule type="colorScale" priority="5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H5:H204">
    <cfRule type="colorScale" priority="6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B8"/>
    <pageSetUpPr fitToPage="false"/>
  </sheetPr>
  <dimension ref="A1:S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9" min="2" style="0" width="12"/>
  </cols>
  <sheetData>
    <row r="1" customFormat="false" ht="19.7" hidden="false" customHeight="false" outlineLevel="0" collapsed="false">
      <c r="A1" s="10" t="s">
        <v>161</v>
      </c>
    </row>
    <row r="2" customFormat="false" ht="15" hidden="false" customHeight="false" outlineLevel="0" collapsed="false">
      <c r="A2" s="11" t="s">
        <v>162</v>
      </c>
    </row>
    <row r="3" customFormat="false" ht="15" hidden="false" customHeight="false" outlineLevel="0" collapsed="false">
      <c r="B3" s="30" t="s">
        <v>88</v>
      </c>
      <c r="C3" s="30"/>
      <c r="D3" s="30"/>
      <c r="E3" s="30"/>
      <c r="F3" s="30"/>
      <c r="G3" s="30"/>
      <c r="H3" s="14" t="s">
        <v>105</v>
      </c>
      <c r="I3" s="14"/>
      <c r="J3" s="14"/>
      <c r="K3" s="14"/>
      <c r="L3" s="14"/>
      <c r="M3" s="14"/>
      <c r="N3" s="31" t="s">
        <v>106</v>
      </c>
      <c r="O3" s="31"/>
      <c r="P3" s="31"/>
      <c r="Q3" s="31"/>
      <c r="R3" s="31"/>
      <c r="S3" s="31"/>
    </row>
    <row r="4" customFormat="false" ht="57.75" hidden="false" customHeight="true" outlineLevel="0" collapsed="false">
      <c r="A4" s="18" t="s">
        <v>48</v>
      </c>
      <c r="B4" s="20" t="s">
        <v>163</v>
      </c>
      <c r="C4" s="20" t="s">
        <v>164</v>
      </c>
      <c r="D4" s="20" t="s">
        <v>165</v>
      </c>
      <c r="E4" s="20" t="s">
        <v>166</v>
      </c>
      <c r="F4" s="20" t="s">
        <v>167</v>
      </c>
      <c r="G4" s="20" t="s">
        <v>168</v>
      </c>
      <c r="H4" s="21" t="s">
        <v>163</v>
      </c>
      <c r="I4" s="21" t="s">
        <v>164</v>
      </c>
      <c r="J4" s="21" t="s">
        <v>165</v>
      </c>
      <c r="K4" s="21" t="s">
        <v>166</v>
      </c>
      <c r="L4" s="21" t="s">
        <v>167</v>
      </c>
      <c r="M4" s="21" t="s">
        <v>168</v>
      </c>
      <c r="N4" s="23" t="s">
        <v>163</v>
      </c>
      <c r="O4" s="23" t="s">
        <v>164</v>
      </c>
      <c r="P4" s="23" t="s">
        <v>165</v>
      </c>
      <c r="Q4" s="23" t="s">
        <v>166</v>
      </c>
      <c r="R4" s="23" t="s">
        <v>167</v>
      </c>
      <c r="S4" s="23" t="s">
        <v>168</v>
      </c>
    </row>
    <row r="5" customFormat="false" ht="15" hidden="false" customHeight="false" outlineLevel="0" collapsed="false">
      <c r="A5" s="26" t="s">
        <v>87</v>
      </c>
      <c r="B5" s="38" t="n">
        <f aca="false">IF($A5="","",COUNTIFS('זה אני - קליטה'!$B$5:$B$204,$A5,'זה אני - קליטה'!$C$5:$C$204,"תחילת שנה"))</f>
        <v>1</v>
      </c>
      <c r="C5" s="28" t="n">
        <f aca="false">IF($A5="","",IFERROR(AVERAGEIFS('זה אני - קליטה'!$AL$5:$AL$204,'זה אני - קליטה'!$B$5:$B$204,$A5,'זה אני - קליטה'!$C$5:$C$204,"תחילת שנה"),""))</f>
        <v>0.714285714285714</v>
      </c>
      <c r="D5" s="28" t="n">
        <f aca="false">IF($A5="","",IFERROR(AVERAGEIFS('זה אני - קליטה'!$AN$5:$AN$204,'זה אני - קליטה'!$B$5:$B$204,$A5,'זה אני - קליטה'!$C$5:$C$204,"תחילת שנה"),""))</f>
        <v>0.785714285714286</v>
      </c>
      <c r="E5" s="38" t="n">
        <f aca="false">IF($A5="","",COUNTIFS('רווחה - קליטה'!$B$5:$B$204,$A5,'רווחה - קליטה'!$C$5:$C$204,"תחילת שנה"))</f>
        <v>1</v>
      </c>
      <c r="F5" s="36" t="n">
        <f aca="false">IF($A5="","",IFERROR(AVERAGEIFS('רווחה - קליטה'!$AQ$5:$AQ$204,'רווחה - קליטה'!$B$5:$B$204,$A5,'רווחה - קליטה'!$C$5:$C$204,"תחילת שנה"),""))</f>
        <v>2.11111111111111</v>
      </c>
      <c r="G5" s="28" t="n">
        <f aca="false">IF($A5="","",IFERROR(COUNTIFS('רווחה - קליטה'!$B$5:$B$204,$A5,'רווחה - קליטה'!$C$5:$C$204,"תחילת שנה",'רווחה - קליטה'!$AS$5:$AS$204,"אמין")/COUNTIFS('רווחה - קליטה'!$B$5:$B$204,$A5,'רווחה - קליטה'!$C$5:$C$204,"תחילת שנה"),""))</f>
        <v>1</v>
      </c>
      <c r="H5" s="38" t="n">
        <f aca="false">IF($A5="","",COUNTIFS('זה אני - קליטה'!$B$5:$B$204,$A5,'זה אני - קליטה'!$C$5:$C$204,"אמצע שנה"))</f>
        <v>0</v>
      </c>
      <c r="I5" s="28" t="str">
        <f aca="false">IF($A5="","",IFERROR(AVERAGEIFS('זה אני - קליטה'!$AL$5:$AL$204,'זה אני - קליטה'!$B$5:$B$204,$A5,'זה אני - קליטה'!$C$5:$C$204,"אמצע שנה"),""))</f>
        <v/>
      </c>
      <c r="J5" s="28" t="str">
        <f aca="false">IF($A5="","",IFERROR(AVERAGEIFS('זה אני - קליטה'!$AN$5:$AN$204,'זה אני - קליטה'!$B$5:$B$204,$A5,'זה אני - קליטה'!$C$5:$C$204,"אמצע שנה"),""))</f>
        <v/>
      </c>
      <c r="K5" s="38" t="n">
        <f aca="false">IF($A5="","",COUNTIFS('רווחה - קליטה'!$B$5:$B$204,$A5,'רווחה - קליטה'!$C$5:$C$204,"אמצע שנה"))</f>
        <v>0</v>
      </c>
      <c r="L5" s="36" t="str">
        <f aca="false">IF($A5="","",IFERROR(AVERAGEIFS('רווחה - קליטה'!$AQ$5:$AQ$204,'רווחה - קליטה'!$B$5:$B$204,$A5,'רווחה - קליטה'!$C$5:$C$204,"אמצע שנה"),""))</f>
        <v/>
      </c>
      <c r="M5" s="28" t="str">
        <f aca="false">IF($A5="","",IFERROR(COUNTIFS('רווחה - קליטה'!$B$5:$B$204,$A5,'רווחה - קליטה'!$C$5:$C$204,"אמצע שנה",'רווחה - קליטה'!$AS$5:$AS$204,"אמין")/COUNTIFS('רווחה - קליטה'!$B$5:$B$204,$A5,'רווחה - קליטה'!$C$5:$C$204,"אמצע שנה"),""))</f>
        <v/>
      </c>
      <c r="N5" s="38" t="n">
        <f aca="false">IF($A5="","",COUNTIFS('זה אני - קליטה'!$B$5:$B$204,$A5,'זה אני - קליטה'!$C$5:$C$204,"סוף שנה"))</f>
        <v>0</v>
      </c>
      <c r="O5" s="28" t="str">
        <f aca="false">IF($A5="","",IFERROR(AVERAGEIFS('זה אני - קליטה'!$AL$5:$AL$204,'זה אני - קליטה'!$B$5:$B$204,$A5,'זה אני - קליטה'!$C$5:$C$204,"סוף שנה"),""))</f>
        <v/>
      </c>
      <c r="P5" s="28" t="str">
        <f aca="false">IF($A5="","",IFERROR(AVERAGEIFS('זה אני - קליטה'!$AN$5:$AN$204,'זה אני - קליטה'!$B$5:$B$204,$A5,'זה אני - קליטה'!$C$5:$C$204,"סוף שנה"),""))</f>
        <v/>
      </c>
      <c r="Q5" s="38" t="n">
        <f aca="false">IF($A5="","",COUNTIFS('רווחה - קליטה'!$B$5:$B$204,$A5,'רווחה - קליטה'!$C$5:$C$204,"סוף שנה"))</f>
        <v>0</v>
      </c>
      <c r="R5" s="36" t="str">
        <f aca="false">IF($A5="","",IFERROR(AVERAGEIFS('רווחה - קליטה'!$AQ$5:$AQ$204,'רווחה - קליטה'!$B$5:$B$204,$A5,'רווחה - קליטה'!$C$5:$C$204,"סוף שנה"),""))</f>
        <v/>
      </c>
      <c r="S5" s="28" t="str">
        <f aca="false">IF($A5="","",IFERROR(COUNTIFS('רווחה - קליטה'!$B$5:$B$204,$A5,'רווחה - קליטה'!$C$5:$C$204,"סוף שנה",'רווחה - קליטה'!$AS$5:$AS$204,"אמין")/COUNTIFS('רווחה - קליטה'!$B$5:$B$204,$A5,'רווחה - קליטה'!$C$5:$C$204,"סוף שנה"),""))</f>
        <v/>
      </c>
    </row>
    <row r="6" customFormat="false" ht="15" hidden="false" customHeight="false" outlineLevel="0" collapsed="false">
      <c r="A6" s="29"/>
      <c r="B6" s="38" t="str">
        <f aca="false">IF($A6="","",COUNTIFS('זה אני - קליטה'!$B$5:$B$204,$A6,'זה אני - קליטה'!$C$5:$C$204,"תחילת שנה"))</f>
        <v/>
      </c>
      <c r="C6" s="28" t="str">
        <f aca="false">IF($A6="","",IFERROR(AVERAGEIFS('זה אני - קליטה'!$AL$5:$AL$204,'זה אני - קליטה'!$B$5:$B$204,$A6,'זה אני - קליטה'!$C$5:$C$204,"תחילת שנה"),""))</f>
        <v/>
      </c>
      <c r="D6" s="28" t="str">
        <f aca="false">IF($A6="","",IFERROR(AVERAGEIFS('זה אני - קליטה'!$AN$5:$AN$204,'זה אני - קליטה'!$B$5:$B$204,$A6,'זה אני - קליטה'!$C$5:$C$204,"תחילת שנה"),""))</f>
        <v/>
      </c>
      <c r="E6" s="38" t="str">
        <f aca="false">IF($A6="","",COUNTIFS('רווחה - קליטה'!$B$5:$B$204,$A6,'רווחה - קליטה'!$C$5:$C$204,"תחילת שנה"))</f>
        <v/>
      </c>
      <c r="F6" s="36" t="str">
        <f aca="false">IF($A6="","",IFERROR(AVERAGEIFS('רווחה - קליטה'!$AQ$5:$AQ$204,'רווחה - קליטה'!$B$5:$B$204,$A6,'רווחה - קליטה'!$C$5:$C$204,"תחילת שנה"),""))</f>
        <v/>
      </c>
      <c r="G6" s="28" t="str">
        <f aca="false">IF($A6="","",IFERROR(COUNTIFS('רווחה - קליטה'!$B$5:$B$204,$A6,'רווחה - קליטה'!$C$5:$C$204,"תחילת שנה",'רווחה - קליטה'!$AS$5:$AS$204,"אמין")/COUNTIFS('רווחה - קליטה'!$B$5:$B$204,$A6,'רווחה - קליטה'!$C$5:$C$204,"תחילת שנה"),""))</f>
        <v/>
      </c>
      <c r="H6" s="38" t="str">
        <f aca="false">IF($A6="","",COUNTIFS('זה אני - קליטה'!$B$5:$B$204,$A6,'זה אני - קליטה'!$C$5:$C$204,"אמצע שנה"))</f>
        <v/>
      </c>
      <c r="I6" s="28" t="str">
        <f aca="false">IF($A6="","",IFERROR(AVERAGEIFS('זה אני - קליטה'!$AL$5:$AL$204,'זה אני - קליטה'!$B$5:$B$204,$A6,'זה אני - קליטה'!$C$5:$C$204,"אמצע שנה"),""))</f>
        <v/>
      </c>
      <c r="J6" s="28" t="str">
        <f aca="false">IF($A6="","",IFERROR(AVERAGEIFS('זה אני - קליטה'!$AN$5:$AN$204,'זה אני - קליטה'!$B$5:$B$204,$A6,'זה אני - קליטה'!$C$5:$C$204,"אמצע שנה"),""))</f>
        <v/>
      </c>
      <c r="K6" s="38" t="str">
        <f aca="false">IF($A6="","",COUNTIFS('רווחה - קליטה'!$B$5:$B$204,$A6,'רווחה - קליטה'!$C$5:$C$204,"אמצע שנה"))</f>
        <v/>
      </c>
      <c r="L6" s="36" t="str">
        <f aca="false">IF($A6="","",IFERROR(AVERAGEIFS('רווחה - קליטה'!$AQ$5:$AQ$204,'רווחה - קליטה'!$B$5:$B$204,$A6,'רווחה - קליטה'!$C$5:$C$204,"אמצע שנה"),""))</f>
        <v/>
      </c>
      <c r="M6" s="28" t="str">
        <f aca="false">IF($A6="","",IFERROR(COUNTIFS('רווחה - קליטה'!$B$5:$B$204,$A6,'רווחה - קליטה'!$C$5:$C$204,"אמצע שנה",'רווחה - קליטה'!$AS$5:$AS$204,"אמין")/COUNTIFS('רווחה - קליטה'!$B$5:$B$204,$A6,'רווחה - קליטה'!$C$5:$C$204,"אמצע שנה"),""))</f>
        <v/>
      </c>
      <c r="N6" s="38" t="str">
        <f aca="false">IF($A6="","",COUNTIFS('זה אני - קליטה'!$B$5:$B$204,$A6,'זה אני - קליטה'!$C$5:$C$204,"סוף שנה"))</f>
        <v/>
      </c>
      <c r="O6" s="28" t="str">
        <f aca="false">IF($A6="","",IFERROR(AVERAGEIFS('זה אני - קליטה'!$AL$5:$AL$204,'זה אני - קליטה'!$B$5:$B$204,$A6,'זה אני - קליטה'!$C$5:$C$204,"סוף שנה"),""))</f>
        <v/>
      </c>
      <c r="P6" s="28" t="str">
        <f aca="false">IF($A6="","",IFERROR(AVERAGEIFS('זה אני - קליטה'!$AN$5:$AN$204,'זה אני - קליטה'!$B$5:$B$204,$A6,'זה אני - קליטה'!$C$5:$C$204,"סוף שנה"),""))</f>
        <v/>
      </c>
      <c r="Q6" s="38" t="str">
        <f aca="false">IF($A6="","",COUNTIFS('רווחה - קליטה'!$B$5:$B$204,$A6,'רווחה - קליטה'!$C$5:$C$204,"סוף שנה"))</f>
        <v/>
      </c>
      <c r="R6" s="36" t="str">
        <f aca="false">IF($A6="","",IFERROR(AVERAGEIFS('רווחה - קליטה'!$AQ$5:$AQ$204,'רווחה - קליטה'!$B$5:$B$204,$A6,'רווחה - קליטה'!$C$5:$C$204,"סוף שנה"),""))</f>
        <v/>
      </c>
      <c r="S6" s="28" t="str">
        <f aca="false">IF($A6="","",IFERROR(COUNTIFS('רווחה - קליטה'!$B$5:$B$204,$A6,'רווחה - קליטה'!$C$5:$C$204,"סוף שנה",'רווחה - קליטה'!$AS$5:$AS$204,"אמין")/COUNTIFS('רווחה - קליטה'!$B$5:$B$204,$A6,'רווחה - קליטה'!$C$5:$C$204,"סוף שנה"),""))</f>
        <v/>
      </c>
    </row>
    <row r="7" customFormat="false" ht="15" hidden="false" customHeight="false" outlineLevel="0" collapsed="false">
      <c r="A7" s="29"/>
      <c r="B7" s="38" t="str">
        <f aca="false">IF($A7="","",COUNTIFS('זה אני - קליטה'!$B$5:$B$204,$A7,'זה אני - קליטה'!$C$5:$C$204,"תחילת שנה"))</f>
        <v/>
      </c>
      <c r="C7" s="28" t="str">
        <f aca="false">IF($A7="","",IFERROR(AVERAGEIFS('זה אני - קליטה'!$AL$5:$AL$204,'זה אני - קליטה'!$B$5:$B$204,$A7,'זה אני - קליטה'!$C$5:$C$204,"תחילת שנה"),""))</f>
        <v/>
      </c>
      <c r="D7" s="28" t="str">
        <f aca="false">IF($A7="","",IFERROR(AVERAGEIFS('זה אני - קליטה'!$AN$5:$AN$204,'זה אני - קליטה'!$B$5:$B$204,$A7,'זה אני - קליטה'!$C$5:$C$204,"תחילת שנה"),""))</f>
        <v/>
      </c>
      <c r="E7" s="38" t="str">
        <f aca="false">IF($A7="","",COUNTIFS('רווחה - קליטה'!$B$5:$B$204,$A7,'רווחה - קליטה'!$C$5:$C$204,"תחילת שנה"))</f>
        <v/>
      </c>
      <c r="F7" s="36" t="str">
        <f aca="false">IF($A7="","",IFERROR(AVERAGEIFS('רווחה - קליטה'!$AQ$5:$AQ$204,'רווחה - קליטה'!$B$5:$B$204,$A7,'רווחה - קליטה'!$C$5:$C$204,"תחילת שנה"),""))</f>
        <v/>
      </c>
      <c r="G7" s="28" t="str">
        <f aca="false">IF($A7="","",IFERROR(COUNTIFS('רווחה - קליטה'!$B$5:$B$204,$A7,'רווחה - קליטה'!$C$5:$C$204,"תחילת שנה",'רווחה - קליטה'!$AS$5:$AS$204,"אמין")/COUNTIFS('רווחה - קליטה'!$B$5:$B$204,$A7,'רווחה - קליטה'!$C$5:$C$204,"תחילת שנה"),""))</f>
        <v/>
      </c>
      <c r="H7" s="38" t="str">
        <f aca="false">IF($A7="","",COUNTIFS('זה אני - קליטה'!$B$5:$B$204,$A7,'זה אני - קליטה'!$C$5:$C$204,"אמצע שנה"))</f>
        <v/>
      </c>
      <c r="I7" s="28" t="str">
        <f aca="false">IF($A7="","",IFERROR(AVERAGEIFS('זה אני - קליטה'!$AL$5:$AL$204,'זה אני - קליטה'!$B$5:$B$204,$A7,'זה אני - קליטה'!$C$5:$C$204,"אמצע שנה"),""))</f>
        <v/>
      </c>
      <c r="J7" s="28" t="str">
        <f aca="false">IF($A7="","",IFERROR(AVERAGEIFS('זה אני - קליטה'!$AN$5:$AN$204,'זה אני - קליטה'!$B$5:$B$204,$A7,'זה אני - קליטה'!$C$5:$C$204,"אמצע שנה"),""))</f>
        <v/>
      </c>
      <c r="K7" s="38" t="str">
        <f aca="false">IF($A7="","",COUNTIFS('רווחה - קליטה'!$B$5:$B$204,$A7,'רווחה - קליטה'!$C$5:$C$204,"אמצע שנה"))</f>
        <v/>
      </c>
      <c r="L7" s="36" t="str">
        <f aca="false">IF($A7="","",IFERROR(AVERAGEIFS('רווחה - קליטה'!$AQ$5:$AQ$204,'רווחה - קליטה'!$B$5:$B$204,$A7,'רווחה - קליטה'!$C$5:$C$204,"אמצע שנה"),""))</f>
        <v/>
      </c>
      <c r="M7" s="28" t="str">
        <f aca="false">IF($A7="","",IFERROR(COUNTIFS('רווחה - קליטה'!$B$5:$B$204,$A7,'רווחה - קליטה'!$C$5:$C$204,"אמצע שנה",'רווחה - קליטה'!$AS$5:$AS$204,"אמין")/COUNTIFS('רווחה - קליטה'!$B$5:$B$204,$A7,'רווחה - קליטה'!$C$5:$C$204,"אמצע שנה"),""))</f>
        <v/>
      </c>
      <c r="N7" s="38" t="str">
        <f aca="false">IF($A7="","",COUNTIFS('זה אני - קליטה'!$B$5:$B$204,$A7,'זה אני - קליטה'!$C$5:$C$204,"סוף שנה"))</f>
        <v/>
      </c>
      <c r="O7" s="28" t="str">
        <f aca="false">IF($A7="","",IFERROR(AVERAGEIFS('זה אני - קליטה'!$AL$5:$AL$204,'זה אני - קליטה'!$B$5:$B$204,$A7,'זה אני - קליטה'!$C$5:$C$204,"סוף שנה"),""))</f>
        <v/>
      </c>
      <c r="P7" s="28" t="str">
        <f aca="false">IF($A7="","",IFERROR(AVERAGEIFS('זה אני - קליטה'!$AN$5:$AN$204,'זה אני - קליטה'!$B$5:$B$204,$A7,'זה אני - קליטה'!$C$5:$C$204,"סוף שנה"),""))</f>
        <v/>
      </c>
      <c r="Q7" s="38" t="str">
        <f aca="false">IF($A7="","",COUNTIFS('רווחה - קליטה'!$B$5:$B$204,$A7,'רווחה - קליטה'!$C$5:$C$204,"סוף שנה"))</f>
        <v/>
      </c>
      <c r="R7" s="36" t="str">
        <f aca="false">IF($A7="","",IFERROR(AVERAGEIFS('רווחה - קליטה'!$AQ$5:$AQ$204,'רווחה - קליטה'!$B$5:$B$204,$A7,'רווחה - קליטה'!$C$5:$C$204,"סוף שנה"),""))</f>
        <v/>
      </c>
      <c r="S7" s="28" t="str">
        <f aca="false">IF($A7="","",IFERROR(COUNTIFS('רווחה - קליטה'!$B$5:$B$204,$A7,'רווחה - קליטה'!$C$5:$C$204,"סוף שנה",'רווחה - קליטה'!$AS$5:$AS$204,"אמין")/COUNTIFS('רווחה - קליטה'!$B$5:$B$204,$A7,'רווחה - קליטה'!$C$5:$C$204,"סוף שנה"),""))</f>
        <v/>
      </c>
    </row>
    <row r="8" customFormat="false" ht="15" hidden="false" customHeight="false" outlineLevel="0" collapsed="false">
      <c r="A8" s="29"/>
      <c r="B8" s="38" t="str">
        <f aca="false">IF($A8="","",COUNTIFS('זה אני - קליטה'!$B$5:$B$204,$A8,'זה אני - קליטה'!$C$5:$C$204,"תחילת שנה"))</f>
        <v/>
      </c>
      <c r="C8" s="28" t="str">
        <f aca="false">IF($A8="","",IFERROR(AVERAGEIFS('זה אני - קליטה'!$AL$5:$AL$204,'זה אני - קליטה'!$B$5:$B$204,$A8,'זה אני - קליטה'!$C$5:$C$204,"תחילת שנה"),""))</f>
        <v/>
      </c>
      <c r="D8" s="28" t="str">
        <f aca="false">IF($A8="","",IFERROR(AVERAGEIFS('זה אני - קליטה'!$AN$5:$AN$204,'זה אני - קליטה'!$B$5:$B$204,$A8,'זה אני - קליטה'!$C$5:$C$204,"תחילת שנה"),""))</f>
        <v/>
      </c>
      <c r="E8" s="38" t="str">
        <f aca="false">IF($A8="","",COUNTIFS('רווחה - קליטה'!$B$5:$B$204,$A8,'רווחה - קליטה'!$C$5:$C$204,"תחילת שנה"))</f>
        <v/>
      </c>
      <c r="F8" s="36" t="str">
        <f aca="false">IF($A8="","",IFERROR(AVERAGEIFS('רווחה - קליטה'!$AQ$5:$AQ$204,'רווחה - קליטה'!$B$5:$B$204,$A8,'רווחה - קליטה'!$C$5:$C$204,"תחילת שנה"),""))</f>
        <v/>
      </c>
      <c r="G8" s="28" t="str">
        <f aca="false">IF($A8="","",IFERROR(COUNTIFS('רווחה - קליטה'!$B$5:$B$204,$A8,'רווחה - קליטה'!$C$5:$C$204,"תחילת שנה",'רווחה - קליטה'!$AS$5:$AS$204,"אמין")/COUNTIFS('רווחה - קליטה'!$B$5:$B$204,$A8,'רווחה - קליטה'!$C$5:$C$204,"תחילת שנה"),""))</f>
        <v/>
      </c>
      <c r="H8" s="38" t="str">
        <f aca="false">IF($A8="","",COUNTIFS('זה אני - קליטה'!$B$5:$B$204,$A8,'זה אני - קליטה'!$C$5:$C$204,"אמצע שנה"))</f>
        <v/>
      </c>
      <c r="I8" s="28" t="str">
        <f aca="false">IF($A8="","",IFERROR(AVERAGEIFS('זה אני - קליטה'!$AL$5:$AL$204,'זה אני - קליטה'!$B$5:$B$204,$A8,'זה אני - קליטה'!$C$5:$C$204,"אמצע שנה"),""))</f>
        <v/>
      </c>
      <c r="J8" s="28" t="str">
        <f aca="false">IF($A8="","",IFERROR(AVERAGEIFS('זה אני - קליטה'!$AN$5:$AN$204,'זה אני - קליטה'!$B$5:$B$204,$A8,'זה אני - קליטה'!$C$5:$C$204,"אמצע שנה"),""))</f>
        <v/>
      </c>
      <c r="K8" s="38" t="str">
        <f aca="false">IF($A8="","",COUNTIFS('רווחה - קליטה'!$B$5:$B$204,$A8,'רווחה - קליטה'!$C$5:$C$204,"אמצע שנה"))</f>
        <v/>
      </c>
      <c r="L8" s="36" t="str">
        <f aca="false">IF($A8="","",IFERROR(AVERAGEIFS('רווחה - קליטה'!$AQ$5:$AQ$204,'רווחה - קליטה'!$B$5:$B$204,$A8,'רווחה - קליטה'!$C$5:$C$204,"אמצע שנה"),""))</f>
        <v/>
      </c>
      <c r="M8" s="28" t="str">
        <f aca="false">IF($A8="","",IFERROR(COUNTIFS('רווחה - קליטה'!$B$5:$B$204,$A8,'רווחה - קליטה'!$C$5:$C$204,"אמצע שנה",'רווחה - קליטה'!$AS$5:$AS$204,"אמין")/COUNTIFS('רווחה - קליטה'!$B$5:$B$204,$A8,'רווחה - קליטה'!$C$5:$C$204,"אמצע שנה"),""))</f>
        <v/>
      </c>
      <c r="N8" s="38" t="str">
        <f aca="false">IF($A8="","",COUNTIFS('זה אני - קליטה'!$B$5:$B$204,$A8,'זה אני - קליטה'!$C$5:$C$204,"סוף שנה"))</f>
        <v/>
      </c>
      <c r="O8" s="28" t="str">
        <f aca="false">IF($A8="","",IFERROR(AVERAGEIFS('זה אני - קליטה'!$AL$5:$AL$204,'זה אני - קליטה'!$B$5:$B$204,$A8,'זה אני - קליטה'!$C$5:$C$204,"סוף שנה"),""))</f>
        <v/>
      </c>
      <c r="P8" s="28" t="str">
        <f aca="false">IF($A8="","",IFERROR(AVERAGEIFS('זה אני - קליטה'!$AN$5:$AN$204,'זה אני - קליטה'!$B$5:$B$204,$A8,'זה אני - קליטה'!$C$5:$C$204,"סוף שנה"),""))</f>
        <v/>
      </c>
      <c r="Q8" s="38" t="str">
        <f aca="false">IF($A8="","",COUNTIFS('רווחה - קליטה'!$B$5:$B$204,$A8,'רווחה - קליטה'!$C$5:$C$204,"סוף שנה"))</f>
        <v/>
      </c>
      <c r="R8" s="36" t="str">
        <f aca="false">IF($A8="","",IFERROR(AVERAGEIFS('רווחה - קליטה'!$AQ$5:$AQ$204,'רווחה - קליטה'!$B$5:$B$204,$A8,'רווחה - קליטה'!$C$5:$C$204,"סוף שנה"),""))</f>
        <v/>
      </c>
      <c r="S8" s="28" t="str">
        <f aca="false">IF($A8="","",IFERROR(COUNTIFS('רווחה - קליטה'!$B$5:$B$204,$A8,'רווחה - קליטה'!$C$5:$C$204,"סוף שנה",'רווחה - קליטה'!$AS$5:$AS$204,"אמין")/COUNTIFS('רווחה - קליטה'!$B$5:$B$204,$A8,'רווחה - קליטה'!$C$5:$C$204,"סוף שנה"),""))</f>
        <v/>
      </c>
    </row>
    <row r="9" customFormat="false" ht="15" hidden="false" customHeight="false" outlineLevel="0" collapsed="false">
      <c r="A9" s="29"/>
      <c r="B9" s="38" t="str">
        <f aca="false">IF($A9="","",COUNTIFS('זה אני - קליטה'!$B$5:$B$204,$A9,'זה אני - קליטה'!$C$5:$C$204,"תחילת שנה"))</f>
        <v/>
      </c>
      <c r="C9" s="28" t="str">
        <f aca="false">IF($A9="","",IFERROR(AVERAGEIFS('זה אני - קליטה'!$AL$5:$AL$204,'זה אני - קליטה'!$B$5:$B$204,$A9,'זה אני - קליטה'!$C$5:$C$204,"תחילת שנה"),""))</f>
        <v/>
      </c>
      <c r="D9" s="28" t="str">
        <f aca="false">IF($A9="","",IFERROR(AVERAGEIFS('זה אני - קליטה'!$AN$5:$AN$204,'זה אני - קליטה'!$B$5:$B$204,$A9,'זה אני - קליטה'!$C$5:$C$204,"תחילת שנה"),""))</f>
        <v/>
      </c>
      <c r="E9" s="38" t="str">
        <f aca="false">IF($A9="","",COUNTIFS('רווחה - קליטה'!$B$5:$B$204,$A9,'רווחה - קליטה'!$C$5:$C$204,"תחילת שנה"))</f>
        <v/>
      </c>
      <c r="F9" s="36" t="str">
        <f aca="false">IF($A9="","",IFERROR(AVERAGEIFS('רווחה - קליטה'!$AQ$5:$AQ$204,'רווחה - קליטה'!$B$5:$B$204,$A9,'רווחה - קליטה'!$C$5:$C$204,"תחילת שנה"),""))</f>
        <v/>
      </c>
      <c r="G9" s="28" t="str">
        <f aca="false">IF($A9="","",IFERROR(COUNTIFS('רווחה - קליטה'!$B$5:$B$204,$A9,'רווחה - קליטה'!$C$5:$C$204,"תחילת שנה",'רווחה - קליטה'!$AS$5:$AS$204,"אמין")/COUNTIFS('רווחה - קליטה'!$B$5:$B$204,$A9,'רווחה - קליטה'!$C$5:$C$204,"תחילת שנה"),""))</f>
        <v/>
      </c>
      <c r="H9" s="38" t="str">
        <f aca="false">IF($A9="","",COUNTIFS('זה אני - קליטה'!$B$5:$B$204,$A9,'זה אני - קליטה'!$C$5:$C$204,"אמצע שנה"))</f>
        <v/>
      </c>
      <c r="I9" s="28" t="str">
        <f aca="false">IF($A9="","",IFERROR(AVERAGEIFS('זה אני - קליטה'!$AL$5:$AL$204,'זה אני - קליטה'!$B$5:$B$204,$A9,'זה אני - קליטה'!$C$5:$C$204,"אמצע שנה"),""))</f>
        <v/>
      </c>
      <c r="J9" s="28" t="str">
        <f aca="false">IF($A9="","",IFERROR(AVERAGEIFS('זה אני - קליטה'!$AN$5:$AN$204,'זה אני - קליטה'!$B$5:$B$204,$A9,'זה אני - קליטה'!$C$5:$C$204,"אמצע שנה"),""))</f>
        <v/>
      </c>
      <c r="K9" s="38" t="str">
        <f aca="false">IF($A9="","",COUNTIFS('רווחה - קליטה'!$B$5:$B$204,$A9,'רווחה - קליטה'!$C$5:$C$204,"אמצע שנה"))</f>
        <v/>
      </c>
      <c r="L9" s="36" t="str">
        <f aca="false">IF($A9="","",IFERROR(AVERAGEIFS('רווחה - קליטה'!$AQ$5:$AQ$204,'רווחה - קליטה'!$B$5:$B$204,$A9,'רווחה - קליטה'!$C$5:$C$204,"אמצע שנה"),""))</f>
        <v/>
      </c>
      <c r="M9" s="28" t="str">
        <f aca="false">IF($A9="","",IFERROR(COUNTIFS('רווחה - קליטה'!$B$5:$B$204,$A9,'רווחה - קליטה'!$C$5:$C$204,"אמצע שנה",'רווחה - קליטה'!$AS$5:$AS$204,"אמין")/COUNTIFS('רווחה - קליטה'!$B$5:$B$204,$A9,'רווחה - קליטה'!$C$5:$C$204,"אמצע שנה"),""))</f>
        <v/>
      </c>
      <c r="N9" s="38" t="str">
        <f aca="false">IF($A9="","",COUNTIFS('זה אני - קליטה'!$B$5:$B$204,$A9,'זה אני - קליטה'!$C$5:$C$204,"סוף שנה"))</f>
        <v/>
      </c>
      <c r="O9" s="28" t="str">
        <f aca="false">IF($A9="","",IFERROR(AVERAGEIFS('זה אני - קליטה'!$AL$5:$AL$204,'זה אני - קליטה'!$B$5:$B$204,$A9,'זה אני - קליטה'!$C$5:$C$204,"סוף שנה"),""))</f>
        <v/>
      </c>
      <c r="P9" s="28" t="str">
        <f aca="false">IF($A9="","",IFERROR(AVERAGEIFS('זה אני - קליטה'!$AN$5:$AN$204,'זה אני - קליטה'!$B$5:$B$204,$A9,'זה אני - קליטה'!$C$5:$C$204,"סוף שנה"),""))</f>
        <v/>
      </c>
      <c r="Q9" s="38" t="str">
        <f aca="false">IF($A9="","",COUNTIFS('רווחה - קליטה'!$B$5:$B$204,$A9,'רווחה - קליטה'!$C$5:$C$204,"סוף שנה"))</f>
        <v/>
      </c>
      <c r="R9" s="36" t="str">
        <f aca="false">IF($A9="","",IFERROR(AVERAGEIFS('רווחה - קליטה'!$AQ$5:$AQ$204,'רווחה - קליטה'!$B$5:$B$204,$A9,'רווחה - קליטה'!$C$5:$C$204,"סוף שנה"),""))</f>
        <v/>
      </c>
      <c r="S9" s="28" t="str">
        <f aca="false">IF($A9="","",IFERROR(COUNTIFS('רווחה - קליטה'!$B$5:$B$204,$A9,'רווחה - קליטה'!$C$5:$C$204,"סוף שנה",'רווחה - קליטה'!$AS$5:$AS$204,"אמין")/COUNTIFS('רווחה - קליטה'!$B$5:$B$204,$A9,'רווחה - קליטה'!$C$5:$C$204,"סוף שנה"),""))</f>
        <v/>
      </c>
    </row>
    <row r="10" customFormat="false" ht="15" hidden="false" customHeight="false" outlineLevel="0" collapsed="false">
      <c r="A10" s="29"/>
      <c r="B10" s="38" t="str">
        <f aca="false">IF($A10="","",COUNTIFS('זה אני - קליטה'!$B$5:$B$204,$A10,'זה אני - קליטה'!$C$5:$C$204,"תחילת שנה"))</f>
        <v/>
      </c>
      <c r="C10" s="28" t="str">
        <f aca="false">IF($A10="","",IFERROR(AVERAGEIFS('זה אני - קליטה'!$AL$5:$AL$204,'זה אני - קליטה'!$B$5:$B$204,$A10,'זה אני - קליטה'!$C$5:$C$204,"תחילת שנה"),""))</f>
        <v/>
      </c>
      <c r="D10" s="28" t="str">
        <f aca="false">IF($A10="","",IFERROR(AVERAGEIFS('זה אני - קליטה'!$AN$5:$AN$204,'זה אני - קליטה'!$B$5:$B$204,$A10,'זה אני - קליטה'!$C$5:$C$204,"תחילת שנה"),""))</f>
        <v/>
      </c>
      <c r="E10" s="38" t="str">
        <f aca="false">IF($A10="","",COUNTIFS('רווחה - קליטה'!$B$5:$B$204,$A10,'רווחה - קליטה'!$C$5:$C$204,"תחילת שנה"))</f>
        <v/>
      </c>
      <c r="F10" s="36" t="str">
        <f aca="false">IF($A10="","",IFERROR(AVERAGEIFS('רווחה - קליטה'!$AQ$5:$AQ$204,'רווחה - קליטה'!$B$5:$B$204,$A10,'רווחה - קליטה'!$C$5:$C$204,"תחילת שנה"),""))</f>
        <v/>
      </c>
      <c r="G10" s="28" t="str">
        <f aca="false">IF($A10="","",IFERROR(COUNTIFS('רווחה - קליטה'!$B$5:$B$204,$A10,'רווחה - קליטה'!$C$5:$C$204,"תחילת שנה",'רווחה - קליטה'!$AS$5:$AS$204,"אמין")/COUNTIFS('רווחה - קליטה'!$B$5:$B$204,$A10,'רווחה - קליטה'!$C$5:$C$204,"תחילת שנה"),""))</f>
        <v/>
      </c>
      <c r="H10" s="38" t="str">
        <f aca="false">IF($A10="","",COUNTIFS('זה אני - קליטה'!$B$5:$B$204,$A10,'זה אני - קליטה'!$C$5:$C$204,"אמצע שנה"))</f>
        <v/>
      </c>
      <c r="I10" s="28" t="str">
        <f aca="false">IF($A10="","",IFERROR(AVERAGEIFS('זה אני - קליטה'!$AL$5:$AL$204,'זה אני - קליטה'!$B$5:$B$204,$A10,'זה אני - קליטה'!$C$5:$C$204,"אמצע שנה"),""))</f>
        <v/>
      </c>
      <c r="J10" s="28" t="str">
        <f aca="false">IF($A10="","",IFERROR(AVERAGEIFS('זה אני - קליטה'!$AN$5:$AN$204,'זה אני - קליטה'!$B$5:$B$204,$A10,'זה אני - קליטה'!$C$5:$C$204,"אמצע שנה"),""))</f>
        <v/>
      </c>
      <c r="K10" s="38" t="str">
        <f aca="false">IF($A10="","",COUNTIFS('רווחה - קליטה'!$B$5:$B$204,$A10,'רווחה - קליטה'!$C$5:$C$204,"אמצע שנה"))</f>
        <v/>
      </c>
      <c r="L10" s="36" t="str">
        <f aca="false">IF($A10="","",IFERROR(AVERAGEIFS('רווחה - קליטה'!$AQ$5:$AQ$204,'רווחה - קליטה'!$B$5:$B$204,$A10,'רווחה - קליטה'!$C$5:$C$204,"אמצע שנה"),""))</f>
        <v/>
      </c>
      <c r="M10" s="28" t="str">
        <f aca="false">IF($A10="","",IFERROR(COUNTIFS('רווחה - קליטה'!$B$5:$B$204,$A10,'רווחה - קליטה'!$C$5:$C$204,"אמצע שנה",'רווחה - קליטה'!$AS$5:$AS$204,"אמין")/COUNTIFS('רווחה - קליטה'!$B$5:$B$204,$A10,'רווחה - קליטה'!$C$5:$C$204,"אמצע שנה"),""))</f>
        <v/>
      </c>
      <c r="N10" s="38" t="str">
        <f aca="false">IF($A10="","",COUNTIFS('זה אני - קליטה'!$B$5:$B$204,$A10,'זה אני - קליטה'!$C$5:$C$204,"סוף שנה"))</f>
        <v/>
      </c>
      <c r="O10" s="28" t="str">
        <f aca="false">IF($A10="","",IFERROR(AVERAGEIFS('זה אני - קליטה'!$AL$5:$AL$204,'זה אני - קליטה'!$B$5:$B$204,$A10,'זה אני - קליטה'!$C$5:$C$204,"סוף שנה"),""))</f>
        <v/>
      </c>
      <c r="P10" s="28" t="str">
        <f aca="false">IF($A10="","",IFERROR(AVERAGEIFS('זה אני - קליטה'!$AN$5:$AN$204,'זה אני - קליטה'!$B$5:$B$204,$A10,'זה אני - קליטה'!$C$5:$C$204,"סוף שנה"),""))</f>
        <v/>
      </c>
      <c r="Q10" s="38" t="str">
        <f aca="false">IF($A10="","",COUNTIFS('רווחה - קליטה'!$B$5:$B$204,$A10,'רווחה - קליטה'!$C$5:$C$204,"סוף שנה"))</f>
        <v/>
      </c>
      <c r="R10" s="36" t="str">
        <f aca="false">IF($A10="","",IFERROR(AVERAGEIFS('רווחה - קליטה'!$AQ$5:$AQ$204,'רווחה - קליטה'!$B$5:$B$204,$A10,'רווחה - קליטה'!$C$5:$C$204,"סוף שנה"),""))</f>
        <v/>
      </c>
      <c r="S10" s="28" t="str">
        <f aca="false">IF($A10="","",IFERROR(COUNTIFS('רווחה - קליטה'!$B$5:$B$204,$A10,'רווחה - קליטה'!$C$5:$C$204,"סוף שנה",'רווחה - קליטה'!$AS$5:$AS$204,"אמין")/COUNTIFS('רווחה - קליטה'!$B$5:$B$204,$A10,'רווחה - קליטה'!$C$5:$C$204,"סוף שנה"),""))</f>
        <v/>
      </c>
    </row>
    <row r="11" customFormat="false" ht="15" hidden="false" customHeight="false" outlineLevel="0" collapsed="false">
      <c r="A11" s="29"/>
      <c r="B11" s="38" t="str">
        <f aca="false">IF($A11="","",COUNTIFS('זה אני - קליטה'!$B$5:$B$204,$A11,'זה אני - קליטה'!$C$5:$C$204,"תחילת שנה"))</f>
        <v/>
      </c>
      <c r="C11" s="28" t="str">
        <f aca="false">IF($A11="","",IFERROR(AVERAGEIFS('זה אני - קליטה'!$AL$5:$AL$204,'זה אני - קליטה'!$B$5:$B$204,$A11,'זה אני - קליטה'!$C$5:$C$204,"תחילת שנה"),""))</f>
        <v/>
      </c>
      <c r="D11" s="28" t="str">
        <f aca="false">IF($A11="","",IFERROR(AVERAGEIFS('זה אני - קליטה'!$AN$5:$AN$204,'זה אני - קליטה'!$B$5:$B$204,$A11,'זה אני - קליטה'!$C$5:$C$204,"תחילת שנה"),""))</f>
        <v/>
      </c>
      <c r="E11" s="38" t="str">
        <f aca="false">IF($A11="","",COUNTIFS('רווחה - קליטה'!$B$5:$B$204,$A11,'רווחה - קליטה'!$C$5:$C$204,"תחילת שנה"))</f>
        <v/>
      </c>
      <c r="F11" s="36" t="str">
        <f aca="false">IF($A11="","",IFERROR(AVERAGEIFS('רווחה - קליטה'!$AQ$5:$AQ$204,'רווחה - קליטה'!$B$5:$B$204,$A11,'רווחה - קליטה'!$C$5:$C$204,"תחילת שנה"),""))</f>
        <v/>
      </c>
      <c r="G11" s="28" t="str">
        <f aca="false">IF($A11="","",IFERROR(COUNTIFS('רווחה - קליטה'!$B$5:$B$204,$A11,'רווחה - קליטה'!$C$5:$C$204,"תחילת שנה",'רווחה - קליטה'!$AS$5:$AS$204,"אמין")/COUNTIFS('רווחה - קליטה'!$B$5:$B$204,$A11,'רווחה - קליטה'!$C$5:$C$204,"תחילת שנה"),""))</f>
        <v/>
      </c>
      <c r="H11" s="38" t="str">
        <f aca="false">IF($A11="","",COUNTIFS('זה אני - קליטה'!$B$5:$B$204,$A11,'זה אני - קליטה'!$C$5:$C$204,"אמצע שנה"))</f>
        <v/>
      </c>
      <c r="I11" s="28" t="str">
        <f aca="false">IF($A11="","",IFERROR(AVERAGEIFS('זה אני - קליטה'!$AL$5:$AL$204,'זה אני - קליטה'!$B$5:$B$204,$A11,'זה אני - קליטה'!$C$5:$C$204,"אמצע שנה"),""))</f>
        <v/>
      </c>
      <c r="J11" s="28" t="str">
        <f aca="false">IF($A11="","",IFERROR(AVERAGEIFS('זה אני - קליטה'!$AN$5:$AN$204,'זה אני - קליטה'!$B$5:$B$204,$A11,'זה אני - קליטה'!$C$5:$C$204,"אמצע שנה"),""))</f>
        <v/>
      </c>
      <c r="K11" s="38" t="str">
        <f aca="false">IF($A11="","",COUNTIFS('רווחה - קליטה'!$B$5:$B$204,$A11,'רווחה - קליטה'!$C$5:$C$204,"אמצע שנה"))</f>
        <v/>
      </c>
      <c r="L11" s="36" t="str">
        <f aca="false">IF($A11="","",IFERROR(AVERAGEIFS('רווחה - קליטה'!$AQ$5:$AQ$204,'רווחה - קליטה'!$B$5:$B$204,$A11,'רווחה - קליטה'!$C$5:$C$204,"אמצע שנה"),""))</f>
        <v/>
      </c>
      <c r="M11" s="28" t="str">
        <f aca="false">IF($A11="","",IFERROR(COUNTIFS('רווחה - קליטה'!$B$5:$B$204,$A11,'רווחה - קליטה'!$C$5:$C$204,"אמצע שנה",'רווחה - קליטה'!$AS$5:$AS$204,"אמין")/COUNTIFS('רווחה - קליטה'!$B$5:$B$204,$A11,'רווחה - קליטה'!$C$5:$C$204,"אמצע שנה"),""))</f>
        <v/>
      </c>
      <c r="N11" s="38" t="str">
        <f aca="false">IF($A11="","",COUNTIFS('זה אני - קליטה'!$B$5:$B$204,$A11,'זה אני - קליטה'!$C$5:$C$204,"סוף שנה"))</f>
        <v/>
      </c>
      <c r="O11" s="28" t="str">
        <f aca="false">IF($A11="","",IFERROR(AVERAGEIFS('זה אני - קליטה'!$AL$5:$AL$204,'זה אני - קליטה'!$B$5:$B$204,$A11,'זה אני - קליטה'!$C$5:$C$204,"סוף שנה"),""))</f>
        <v/>
      </c>
      <c r="P11" s="28" t="str">
        <f aca="false">IF($A11="","",IFERROR(AVERAGEIFS('זה אני - קליטה'!$AN$5:$AN$204,'זה אני - קליטה'!$B$5:$B$204,$A11,'זה אני - קליטה'!$C$5:$C$204,"סוף שנה"),""))</f>
        <v/>
      </c>
      <c r="Q11" s="38" t="str">
        <f aca="false">IF($A11="","",COUNTIFS('רווחה - קליטה'!$B$5:$B$204,$A11,'רווחה - קליטה'!$C$5:$C$204,"סוף שנה"))</f>
        <v/>
      </c>
      <c r="R11" s="36" t="str">
        <f aca="false">IF($A11="","",IFERROR(AVERAGEIFS('רווחה - קליטה'!$AQ$5:$AQ$204,'רווחה - קליטה'!$B$5:$B$204,$A11,'רווחה - קליטה'!$C$5:$C$204,"סוף שנה"),""))</f>
        <v/>
      </c>
      <c r="S11" s="28" t="str">
        <f aca="false">IF($A11="","",IFERROR(COUNTIFS('רווחה - קליטה'!$B$5:$B$204,$A11,'רווחה - קליטה'!$C$5:$C$204,"סוף שנה",'רווחה - קליטה'!$AS$5:$AS$204,"אמין")/COUNTIFS('רווחה - קליטה'!$B$5:$B$204,$A11,'רווחה - קליטה'!$C$5:$C$204,"סוף שנה"),""))</f>
        <v/>
      </c>
    </row>
    <row r="12" customFormat="false" ht="15" hidden="false" customHeight="false" outlineLevel="0" collapsed="false">
      <c r="A12" s="29"/>
      <c r="B12" s="38" t="str">
        <f aca="false">IF($A12="","",COUNTIFS('זה אני - קליטה'!$B$5:$B$204,$A12,'זה אני - קליטה'!$C$5:$C$204,"תחילת שנה"))</f>
        <v/>
      </c>
      <c r="C12" s="28" t="str">
        <f aca="false">IF($A12="","",IFERROR(AVERAGEIFS('זה אני - קליטה'!$AL$5:$AL$204,'זה אני - קליטה'!$B$5:$B$204,$A12,'זה אני - קליטה'!$C$5:$C$204,"תחילת שנה"),""))</f>
        <v/>
      </c>
      <c r="D12" s="28" t="str">
        <f aca="false">IF($A12="","",IFERROR(AVERAGEIFS('זה אני - קליטה'!$AN$5:$AN$204,'זה אני - קליטה'!$B$5:$B$204,$A12,'זה אני - קליטה'!$C$5:$C$204,"תחילת שנה"),""))</f>
        <v/>
      </c>
      <c r="E12" s="38" t="str">
        <f aca="false">IF($A12="","",COUNTIFS('רווחה - קליטה'!$B$5:$B$204,$A12,'רווחה - קליטה'!$C$5:$C$204,"תחילת שנה"))</f>
        <v/>
      </c>
      <c r="F12" s="36" t="str">
        <f aca="false">IF($A12="","",IFERROR(AVERAGEIFS('רווחה - קליטה'!$AQ$5:$AQ$204,'רווחה - קליטה'!$B$5:$B$204,$A12,'רווחה - קליטה'!$C$5:$C$204,"תחילת שנה"),""))</f>
        <v/>
      </c>
      <c r="G12" s="28" t="str">
        <f aca="false">IF($A12="","",IFERROR(COUNTIFS('רווחה - קליטה'!$B$5:$B$204,$A12,'רווחה - קליטה'!$C$5:$C$204,"תחילת שנה",'רווחה - קליטה'!$AS$5:$AS$204,"אמין")/COUNTIFS('רווחה - קליטה'!$B$5:$B$204,$A12,'רווחה - קליטה'!$C$5:$C$204,"תחילת שנה"),""))</f>
        <v/>
      </c>
      <c r="H12" s="38" t="str">
        <f aca="false">IF($A12="","",COUNTIFS('זה אני - קליטה'!$B$5:$B$204,$A12,'זה אני - קליטה'!$C$5:$C$204,"אמצע שנה"))</f>
        <v/>
      </c>
      <c r="I12" s="28" t="str">
        <f aca="false">IF($A12="","",IFERROR(AVERAGEIFS('זה אני - קליטה'!$AL$5:$AL$204,'זה אני - קליטה'!$B$5:$B$204,$A12,'זה אני - קליטה'!$C$5:$C$204,"אמצע שנה"),""))</f>
        <v/>
      </c>
      <c r="J12" s="28" t="str">
        <f aca="false">IF($A12="","",IFERROR(AVERAGEIFS('זה אני - קליטה'!$AN$5:$AN$204,'זה אני - קליטה'!$B$5:$B$204,$A12,'זה אני - קליטה'!$C$5:$C$204,"אמצע שנה"),""))</f>
        <v/>
      </c>
      <c r="K12" s="38" t="str">
        <f aca="false">IF($A12="","",COUNTIFS('רווחה - קליטה'!$B$5:$B$204,$A12,'רווחה - קליטה'!$C$5:$C$204,"אמצע שנה"))</f>
        <v/>
      </c>
      <c r="L12" s="36" t="str">
        <f aca="false">IF($A12="","",IFERROR(AVERAGEIFS('רווחה - קליטה'!$AQ$5:$AQ$204,'רווחה - קליטה'!$B$5:$B$204,$A12,'רווחה - קליטה'!$C$5:$C$204,"אמצע שנה"),""))</f>
        <v/>
      </c>
      <c r="M12" s="28" t="str">
        <f aca="false">IF($A12="","",IFERROR(COUNTIFS('רווחה - קליטה'!$B$5:$B$204,$A12,'רווחה - קליטה'!$C$5:$C$204,"אמצע שנה",'רווחה - קליטה'!$AS$5:$AS$204,"אמין")/COUNTIFS('רווחה - קליטה'!$B$5:$B$204,$A12,'רווחה - קליטה'!$C$5:$C$204,"אמצע שנה"),""))</f>
        <v/>
      </c>
      <c r="N12" s="38" t="str">
        <f aca="false">IF($A12="","",COUNTIFS('זה אני - קליטה'!$B$5:$B$204,$A12,'זה אני - קליטה'!$C$5:$C$204,"סוף שנה"))</f>
        <v/>
      </c>
      <c r="O12" s="28" t="str">
        <f aca="false">IF($A12="","",IFERROR(AVERAGEIFS('זה אני - קליטה'!$AL$5:$AL$204,'זה אני - קליטה'!$B$5:$B$204,$A12,'זה אני - קליטה'!$C$5:$C$204,"סוף שנה"),""))</f>
        <v/>
      </c>
      <c r="P12" s="28" t="str">
        <f aca="false">IF($A12="","",IFERROR(AVERAGEIFS('זה אני - קליטה'!$AN$5:$AN$204,'זה אני - קליטה'!$B$5:$B$204,$A12,'זה אני - קליטה'!$C$5:$C$204,"סוף שנה"),""))</f>
        <v/>
      </c>
      <c r="Q12" s="38" t="str">
        <f aca="false">IF($A12="","",COUNTIFS('רווחה - קליטה'!$B$5:$B$204,$A12,'רווחה - קליטה'!$C$5:$C$204,"סוף שנה"))</f>
        <v/>
      </c>
      <c r="R12" s="36" t="str">
        <f aca="false">IF($A12="","",IFERROR(AVERAGEIFS('רווחה - קליטה'!$AQ$5:$AQ$204,'רווחה - קליטה'!$B$5:$B$204,$A12,'רווחה - קליטה'!$C$5:$C$204,"סוף שנה"),""))</f>
        <v/>
      </c>
      <c r="S12" s="28" t="str">
        <f aca="false">IF($A12="","",IFERROR(COUNTIFS('רווחה - קליטה'!$B$5:$B$204,$A12,'רווחה - קליטה'!$C$5:$C$204,"סוף שנה",'רווחה - קליטה'!$AS$5:$AS$204,"אמין")/COUNTIFS('רווחה - קליטה'!$B$5:$B$204,$A12,'רווחה - קליטה'!$C$5:$C$204,"סוף שנה"),""))</f>
        <v/>
      </c>
    </row>
    <row r="13" customFormat="false" ht="15" hidden="false" customHeight="false" outlineLevel="0" collapsed="false">
      <c r="A13" s="29"/>
      <c r="B13" s="38" t="str">
        <f aca="false">IF($A13="","",COUNTIFS('זה אני - קליטה'!$B$5:$B$204,$A13,'זה אני - קליטה'!$C$5:$C$204,"תחילת שנה"))</f>
        <v/>
      </c>
      <c r="C13" s="28" t="str">
        <f aca="false">IF($A13="","",IFERROR(AVERAGEIFS('זה אני - קליטה'!$AL$5:$AL$204,'זה אני - קליטה'!$B$5:$B$204,$A13,'זה אני - קליטה'!$C$5:$C$204,"תחילת שנה"),""))</f>
        <v/>
      </c>
      <c r="D13" s="28" t="str">
        <f aca="false">IF($A13="","",IFERROR(AVERAGEIFS('זה אני - קליטה'!$AN$5:$AN$204,'זה אני - קליטה'!$B$5:$B$204,$A13,'זה אני - קליטה'!$C$5:$C$204,"תחילת שנה"),""))</f>
        <v/>
      </c>
      <c r="E13" s="38" t="str">
        <f aca="false">IF($A13="","",COUNTIFS('רווחה - קליטה'!$B$5:$B$204,$A13,'רווחה - קליטה'!$C$5:$C$204,"תחילת שנה"))</f>
        <v/>
      </c>
      <c r="F13" s="36" t="str">
        <f aca="false">IF($A13="","",IFERROR(AVERAGEIFS('רווחה - קליטה'!$AQ$5:$AQ$204,'רווחה - קליטה'!$B$5:$B$204,$A13,'רווחה - קליטה'!$C$5:$C$204,"תחילת שנה"),""))</f>
        <v/>
      </c>
      <c r="G13" s="28" t="str">
        <f aca="false">IF($A13="","",IFERROR(COUNTIFS('רווחה - קליטה'!$B$5:$B$204,$A13,'רווחה - קליטה'!$C$5:$C$204,"תחילת שנה",'רווחה - קליטה'!$AS$5:$AS$204,"אמין")/COUNTIFS('רווחה - קליטה'!$B$5:$B$204,$A13,'רווחה - קליטה'!$C$5:$C$204,"תחילת שנה"),""))</f>
        <v/>
      </c>
      <c r="H13" s="38" t="str">
        <f aca="false">IF($A13="","",COUNTIFS('זה אני - קליטה'!$B$5:$B$204,$A13,'זה אני - קליטה'!$C$5:$C$204,"אמצע שנה"))</f>
        <v/>
      </c>
      <c r="I13" s="28" t="str">
        <f aca="false">IF($A13="","",IFERROR(AVERAGEIFS('זה אני - קליטה'!$AL$5:$AL$204,'זה אני - קליטה'!$B$5:$B$204,$A13,'זה אני - קליטה'!$C$5:$C$204,"אמצע שנה"),""))</f>
        <v/>
      </c>
      <c r="J13" s="28" t="str">
        <f aca="false">IF($A13="","",IFERROR(AVERAGEIFS('זה אני - קליטה'!$AN$5:$AN$204,'זה אני - קליטה'!$B$5:$B$204,$A13,'זה אני - קליטה'!$C$5:$C$204,"אמצע שנה"),""))</f>
        <v/>
      </c>
      <c r="K13" s="38" t="str">
        <f aca="false">IF($A13="","",COUNTIFS('רווחה - קליטה'!$B$5:$B$204,$A13,'רווחה - קליטה'!$C$5:$C$204,"אמצע שנה"))</f>
        <v/>
      </c>
      <c r="L13" s="36" t="str">
        <f aca="false">IF($A13="","",IFERROR(AVERAGEIFS('רווחה - קליטה'!$AQ$5:$AQ$204,'רווחה - קליטה'!$B$5:$B$204,$A13,'רווחה - קליטה'!$C$5:$C$204,"אמצע שנה"),""))</f>
        <v/>
      </c>
      <c r="M13" s="28" t="str">
        <f aca="false">IF($A13="","",IFERROR(COUNTIFS('רווחה - קליטה'!$B$5:$B$204,$A13,'רווחה - קליטה'!$C$5:$C$204,"אמצע שנה",'רווחה - קליטה'!$AS$5:$AS$204,"אמין")/COUNTIFS('רווחה - קליטה'!$B$5:$B$204,$A13,'רווחה - קליטה'!$C$5:$C$204,"אמצע שנה"),""))</f>
        <v/>
      </c>
      <c r="N13" s="38" t="str">
        <f aca="false">IF($A13="","",COUNTIFS('זה אני - קליטה'!$B$5:$B$204,$A13,'זה אני - קליטה'!$C$5:$C$204,"סוף שנה"))</f>
        <v/>
      </c>
      <c r="O13" s="28" t="str">
        <f aca="false">IF($A13="","",IFERROR(AVERAGEIFS('זה אני - קליטה'!$AL$5:$AL$204,'זה אני - קליטה'!$B$5:$B$204,$A13,'זה אני - קליטה'!$C$5:$C$204,"סוף שנה"),""))</f>
        <v/>
      </c>
      <c r="P13" s="28" t="str">
        <f aca="false">IF($A13="","",IFERROR(AVERAGEIFS('זה אני - קליטה'!$AN$5:$AN$204,'זה אני - קליטה'!$B$5:$B$204,$A13,'זה אני - קליטה'!$C$5:$C$204,"סוף שנה"),""))</f>
        <v/>
      </c>
      <c r="Q13" s="38" t="str">
        <f aca="false">IF($A13="","",COUNTIFS('רווחה - קליטה'!$B$5:$B$204,$A13,'רווחה - קליטה'!$C$5:$C$204,"סוף שנה"))</f>
        <v/>
      </c>
      <c r="R13" s="36" t="str">
        <f aca="false">IF($A13="","",IFERROR(AVERAGEIFS('רווחה - קליטה'!$AQ$5:$AQ$204,'רווחה - קליטה'!$B$5:$B$204,$A13,'רווחה - קליטה'!$C$5:$C$204,"סוף שנה"),""))</f>
        <v/>
      </c>
      <c r="S13" s="28" t="str">
        <f aca="false">IF($A13="","",IFERROR(COUNTIFS('רווחה - קליטה'!$B$5:$B$204,$A13,'רווחה - קליטה'!$C$5:$C$204,"סוף שנה",'רווחה - קליטה'!$AS$5:$AS$204,"אמין")/COUNTIFS('רווחה - קליטה'!$B$5:$B$204,$A13,'רווחה - קליטה'!$C$5:$C$204,"סוף שנה"),""))</f>
        <v/>
      </c>
    </row>
    <row r="14" customFormat="false" ht="15" hidden="false" customHeight="false" outlineLevel="0" collapsed="false">
      <c r="A14" s="29"/>
      <c r="B14" s="38" t="str">
        <f aca="false">IF($A14="","",COUNTIFS('זה אני - קליטה'!$B$5:$B$204,$A14,'זה אני - קליטה'!$C$5:$C$204,"תחילת שנה"))</f>
        <v/>
      </c>
      <c r="C14" s="28" t="str">
        <f aca="false">IF($A14="","",IFERROR(AVERAGEIFS('זה אני - קליטה'!$AL$5:$AL$204,'זה אני - קליטה'!$B$5:$B$204,$A14,'זה אני - קליטה'!$C$5:$C$204,"תחילת שנה"),""))</f>
        <v/>
      </c>
      <c r="D14" s="28" t="str">
        <f aca="false">IF($A14="","",IFERROR(AVERAGEIFS('זה אני - קליטה'!$AN$5:$AN$204,'זה אני - קליטה'!$B$5:$B$204,$A14,'זה אני - קליטה'!$C$5:$C$204,"תחילת שנה"),""))</f>
        <v/>
      </c>
      <c r="E14" s="38" t="str">
        <f aca="false">IF($A14="","",COUNTIFS('רווחה - קליטה'!$B$5:$B$204,$A14,'רווחה - קליטה'!$C$5:$C$204,"תחילת שנה"))</f>
        <v/>
      </c>
      <c r="F14" s="36" t="str">
        <f aca="false">IF($A14="","",IFERROR(AVERAGEIFS('רווחה - קליטה'!$AQ$5:$AQ$204,'רווחה - קליטה'!$B$5:$B$204,$A14,'רווחה - קליטה'!$C$5:$C$204,"תחילת שנה"),""))</f>
        <v/>
      </c>
      <c r="G14" s="28" t="str">
        <f aca="false">IF($A14="","",IFERROR(COUNTIFS('רווחה - קליטה'!$B$5:$B$204,$A14,'רווחה - קליטה'!$C$5:$C$204,"תחילת שנה",'רווחה - קליטה'!$AS$5:$AS$204,"אמין")/COUNTIFS('רווחה - קליטה'!$B$5:$B$204,$A14,'רווחה - קליטה'!$C$5:$C$204,"תחילת שנה"),""))</f>
        <v/>
      </c>
      <c r="H14" s="38" t="str">
        <f aca="false">IF($A14="","",COUNTIFS('זה אני - קליטה'!$B$5:$B$204,$A14,'זה אני - קליטה'!$C$5:$C$204,"אמצע שנה"))</f>
        <v/>
      </c>
      <c r="I14" s="28" t="str">
        <f aca="false">IF($A14="","",IFERROR(AVERAGEIFS('זה אני - קליטה'!$AL$5:$AL$204,'זה אני - קליטה'!$B$5:$B$204,$A14,'זה אני - קליטה'!$C$5:$C$204,"אמצע שנה"),""))</f>
        <v/>
      </c>
      <c r="J14" s="28" t="str">
        <f aca="false">IF($A14="","",IFERROR(AVERAGEIFS('זה אני - קליטה'!$AN$5:$AN$204,'זה אני - קליטה'!$B$5:$B$204,$A14,'זה אני - קליטה'!$C$5:$C$204,"אמצע שנה"),""))</f>
        <v/>
      </c>
      <c r="K14" s="38" t="str">
        <f aca="false">IF($A14="","",COUNTIFS('רווחה - קליטה'!$B$5:$B$204,$A14,'רווחה - קליטה'!$C$5:$C$204,"אמצע שנה"))</f>
        <v/>
      </c>
      <c r="L14" s="36" t="str">
        <f aca="false">IF($A14="","",IFERROR(AVERAGEIFS('רווחה - קליטה'!$AQ$5:$AQ$204,'רווחה - קליטה'!$B$5:$B$204,$A14,'רווחה - קליטה'!$C$5:$C$204,"אמצע שנה"),""))</f>
        <v/>
      </c>
      <c r="M14" s="28" t="str">
        <f aca="false">IF($A14="","",IFERROR(COUNTIFS('רווחה - קליטה'!$B$5:$B$204,$A14,'רווחה - קליטה'!$C$5:$C$204,"אמצע שנה",'רווחה - קליטה'!$AS$5:$AS$204,"אמין")/COUNTIFS('רווחה - קליטה'!$B$5:$B$204,$A14,'רווחה - קליטה'!$C$5:$C$204,"אמצע שנה"),""))</f>
        <v/>
      </c>
      <c r="N14" s="38" t="str">
        <f aca="false">IF($A14="","",COUNTIFS('זה אני - קליטה'!$B$5:$B$204,$A14,'זה אני - קליטה'!$C$5:$C$204,"סוף שנה"))</f>
        <v/>
      </c>
      <c r="O14" s="28" t="str">
        <f aca="false">IF($A14="","",IFERROR(AVERAGEIFS('זה אני - קליטה'!$AL$5:$AL$204,'זה אני - קליטה'!$B$5:$B$204,$A14,'זה אני - קליטה'!$C$5:$C$204,"סוף שנה"),""))</f>
        <v/>
      </c>
      <c r="P14" s="28" t="str">
        <f aca="false">IF($A14="","",IFERROR(AVERAGEIFS('זה אני - קליטה'!$AN$5:$AN$204,'זה אני - קליטה'!$B$5:$B$204,$A14,'זה אני - קליטה'!$C$5:$C$204,"סוף שנה"),""))</f>
        <v/>
      </c>
      <c r="Q14" s="38" t="str">
        <f aca="false">IF($A14="","",COUNTIFS('רווחה - קליטה'!$B$5:$B$204,$A14,'רווחה - קליטה'!$C$5:$C$204,"סוף שנה"))</f>
        <v/>
      </c>
      <c r="R14" s="36" t="str">
        <f aca="false">IF($A14="","",IFERROR(AVERAGEIFS('רווחה - קליטה'!$AQ$5:$AQ$204,'רווחה - קליטה'!$B$5:$B$204,$A14,'רווחה - קליטה'!$C$5:$C$204,"סוף שנה"),""))</f>
        <v/>
      </c>
      <c r="S14" s="28" t="str">
        <f aca="false">IF($A14="","",IFERROR(COUNTIFS('רווחה - קליטה'!$B$5:$B$204,$A14,'רווחה - קליטה'!$C$5:$C$204,"סוף שנה",'רווחה - קליטה'!$AS$5:$AS$204,"אמין")/COUNTIFS('רווחה - קליטה'!$B$5:$B$204,$A14,'רווחה - קליטה'!$C$5:$C$204,"סוף שנה"),""))</f>
        <v/>
      </c>
    </row>
    <row r="15" customFormat="false" ht="15" hidden="false" customHeight="false" outlineLevel="0" collapsed="false">
      <c r="A15" s="29"/>
      <c r="B15" s="38" t="str">
        <f aca="false">IF($A15="","",COUNTIFS('זה אני - קליטה'!$B$5:$B$204,$A15,'זה אני - קליטה'!$C$5:$C$204,"תחילת שנה"))</f>
        <v/>
      </c>
      <c r="C15" s="28" t="str">
        <f aca="false">IF($A15="","",IFERROR(AVERAGEIFS('זה אני - קליטה'!$AL$5:$AL$204,'זה אני - קליטה'!$B$5:$B$204,$A15,'זה אני - קליטה'!$C$5:$C$204,"תחילת שנה"),""))</f>
        <v/>
      </c>
      <c r="D15" s="28" t="str">
        <f aca="false">IF($A15="","",IFERROR(AVERAGEIFS('זה אני - קליטה'!$AN$5:$AN$204,'זה אני - קליטה'!$B$5:$B$204,$A15,'זה אני - קליטה'!$C$5:$C$204,"תחילת שנה"),""))</f>
        <v/>
      </c>
      <c r="E15" s="38" t="str">
        <f aca="false">IF($A15="","",COUNTIFS('רווחה - קליטה'!$B$5:$B$204,$A15,'רווחה - קליטה'!$C$5:$C$204,"תחילת שנה"))</f>
        <v/>
      </c>
      <c r="F15" s="36" t="str">
        <f aca="false">IF($A15="","",IFERROR(AVERAGEIFS('רווחה - קליטה'!$AQ$5:$AQ$204,'רווחה - קליטה'!$B$5:$B$204,$A15,'רווחה - קליטה'!$C$5:$C$204,"תחילת שנה"),""))</f>
        <v/>
      </c>
      <c r="G15" s="28" t="str">
        <f aca="false">IF($A15="","",IFERROR(COUNTIFS('רווחה - קליטה'!$B$5:$B$204,$A15,'רווחה - קליטה'!$C$5:$C$204,"תחילת שנה",'רווחה - קליטה'!$AS$5:$AS$204,"אמין")/COUNTIFS('רווחה - קליטה'!$B$5:$B$204,$A15,'רווחה - קליטה'!$C$5:$C$204,"תחילת שנה"),""))</f>
        <v/>
      </c>
      <c r="H15" s="38" t="str">
        <f aca="false">IF($A15="","",COUNTIFS('זה אני - קליטה'!$B$5:$B$204,$A15,'זה אני - קליטה'!$C$5:$C$204,"אמצע שנה"))</f>
        <v/>
      </c>
      <c r="I15" s="28" t="str">
        <f aca="false">IF($A15="","",IFERROR(AVERAGEIFS('זה אני - קליטה'!$AL$5:$AL$204,'זה אני - קליטה'!$B$5:$B$204,$A15,'זה אני - קליטה'!$C$5:$C$204,"אמצע שנה"),""))</f>
        <v/>
      </c>
      <c r="J15" s="28" t="str">
        <f aca="false">IF($A15="","",IFERROR(AVERAGEIFS('זה אני - קליטה'!$AN$5:$AN$204,'זה אני - קליטה'!$B$5:$B$204,$A15,'זה אני - קליטה'!$C$5:$C$204,"אמצע שנה"),""))</f>
        <v/>
      </c>
      <c r="K15" s="38" t="str">
        <f aca="false">IF($A15="","",COUNTIFS('רווחה - קליטה'!$B$5:$B$204,$A15,'רווחה - קליטה'!$C$5:$C$204,"אמצע שנה"))</f>
        <v/>
      </c>
      <c r="L15" s="36" t="str">
        <f aca="false">IF($A15="","",IFERROR(AVERAGEIFS('רווחה - קליטה'!$AQ$5:$AQ$204,'רווחה - קליטה'!$B$5:$B$204,$A15,'רווחה - קליטה'!$C$5:$C$204,"אמצע שנה"),""))</f>
        <v/>
      </c>
      <c r="M15" s="28" t="str">
        <f aca="false">IF($A15="","",IFERROR(COUNTIFS('רווחה - קליטה'!$B$5:$B$204,$A15,'רווחה - קליטה'!$C$5:$C$204,"אמצע שנה",'רווחה - קליטה'!$AS$5:$AS$204,"אמין")/COUNTIFS('רווחה - קליטה'!$B$5:$B$204,$A15,'רווחה - קליטה'!$C$5:$C$204,"אמצע שנה"),""))</f>
        <v/>
      </c>
      <c r="N15" s="38" t="str">
        <f aca="false">IF($A15="","",COUNTIFS('זה אני - קליטה'!$B$5:$B$204,$A15,'זה אני - קליטה'!$C$5:$C$204,"סוף שנה"))</f>
        <v/>
      </c>
      <c r="O15" s="28" t="str">
        <f aca="false">IF($A15="","",IFERROR(AVERAGEIFS('זה אני - קליטה'!$AL$5:$AL$204,'זה אני - קליטה'!$B$5:$B$204,$A15,'זה אני - קליטה'!$C$5:$C$204,"סוף שנה"),""))</f>
        <v/>
      </c>
      <c r="P15" s="28" t="str">
        <f aca="false">IF($A15="","",IFERROR(AVERAGEIFS('זה אני - קליטה'!$AN$5:$AN$204,'זה אני - קליטה'!$B$5:$B$204,$A15,'זה אני - קליטה'!$C$5:$C$204,"סוף שנה"),""))</f>
        <v/>
      </c>
      <c r="Q15" s="38" t="str">
        <f aca="false">IF($A15="","",COUNTIFS('רווחה - קליטה'!$B$5:$B$204,$A15,'רווחה - קליטה'!$C$5:$C$204,"סוף שנה"))</f>
        <v/>
      </c>
      <c r="R15" s="36" t="str">
        <f aca="false">IF($A15="","",IFERROR(AVERAGEIFS('רווחה - קליטה'!$AQ$5:$AQ$204,'רווחה - קליטה'!$B$5:$B$204,$A15,'רווחה - קליטה'!$C$5:$C$204,"סוף שנה"),""))</f>
        <v/>
      </c>
      <c r="S15" s="28" t="str">
        <f aca="false">IF($A15="","",IFERROR(COUNTIFS('רווחה - קליטה'!$B$5:$B$204,$A15,'רווחה - קליטה'!$C$5:$C$204,"סוף שנה",'רווחה - קליטה'!$AS$5:$AS$204,"אמין")/COUNTIFS('רווחה - קליטה'!$B$5:$B$204,$A15,'רווחה - קליטה'!$C$5:$C$204,"סוף שנה"),""))</f>
        <v/>
      </c>
    </row>
    <row r="16" customFormat="false" ht="15" hidden="false" customHeight="false" outlineLevel="0" collapsed="false">
      <c r="A16" s="29"/>
      <c r="B16" s="38" t="str">
        <f aca="false">IF($A16="","",COUNTIFS('זה אני - קליטה'!$B$5:$B$204,$A16,'זה אני - קליטה'!$C$5:$C$204,"תחילת שנה"))</f>
        <v/>
      </c>
      <c r="C16" s="28" t="str">
        <f aca="false">IF($A16="","",IFERROR(AVERAGEIFS('זה אני - קליטה'!$AL$5:$AL$204,'זה אני - קליטה'!$B$5:$B$204,$A16,'זה אני - קליטה'!$C$5:$C$204,"תחילת שנה"),""))</f>
        <v/>
      </c>
      <c r="D16" s="28" t="str">
        <f aca="false">IF($A16="","",IFERROR(AVERAGEIFS('זה אני - קליטה'!$AN$5:$AN$204,'זה אני - קליטה'!$B$5:$B$204,$A16,'זה אני - קליטה'!$C$5:$C$204,"תחילת שנה"),""))</f>
        <v/>
      </c>
      <c r="E16" s="38" t="str">
        <f aca="false">IF($A16="","",COUNTIFS('רווחה - קליטה'!$B$5:$B$204,$A16,'רווחה - קליטה'!$C$5:$C$204,"תחילת שנה"))</f>
        <v/>
      </c>
      <c r="F16" s="36" t="str">
        <f aca="false">IF($A16="","",IFERROR(AVERAGEIFS('רווחה - קליטה'!$AQ$5:$AQ$204,'רווחה - קליטה'!$B$5:$B$204,$A16,'רווחה - קליטה'!$C$5:$C$204,"תחילת שנה"),""))</f>
        <v/>
      </c>
      <c r="G16" s="28" t="str">
        <f aca="false">IF($A16="","",IFERROR(COUNTIFS('רווחה - קליטה'!$B$5:$B$204,$A16,'רווחה - קליטה'!$C$5:$C$204,"תחילת שנה",'רווחה - קליטה'!$AS$5:$AS$204,"אמין")/COUNTIFS('רווחה - קליטה'!$B$5:$B$204,$A16,'רווחה - קליטה'!$C$5:$C$204,"תחילת שנה"),""))</f>
        <v/>
      </c>
      <c r="H16" s="38" t="str">
        <f aca="false">IF($A16="","",COUNTIFS('זה אני - קליטה'!$B$5:$B$204,$A16,'זה אני - קליטה'!$C$5:$C$204,"אמצע שנה"))</f>
        <v/>
      </c>
      <c r="I16" s="28" t="str">
        <f aca="false">IF($A16="","",IFERROR(AVERAGEIFS('זה אני - קליטה'!$AL$5:$AL$204,'זה אני - קליטה'!$B$5:$B$204,$A16,'זה אני - קליטה'!$C$5:$C$204,"אמצע שנה"),""))</f>
        <v/>
      </c>
      <c r="J16" s="28" t="str">
        <f aca="false">IF($A16="","",IFERROR(AVERAGEIFS('זה אני - קליטה'!$AN$5:$AN$204,'זה אני - קליטה'!$B$5:$B$204,$A16,'זה אני - קליטה'!$C$5:$C$204,"אמצע שנה"),""))</f>
        <v/>
      </c>
      <c r="K16" s="38" t="str">
        <f aca="false">IF($A16="","",COUNTIFS('רווחה - קליטה'!$B$5:$B$204,$A16,'רווחה - קליטה'!$C$5:$C$204,"אמצע שנה"))</f>
        <v/>
      </c>
      <c r="L16" s="36" t="str">
        <f aca="false">IF($A16="","",IFERROR(AVERAGEIFS('רווחה - קליטה'!$AQ$5:$AQ$204,'רווחה - קליטה'!$B$5:$B$204,$A16,'רווחה - קליטה'!$C$5:$C$204,"אמצע שנה"),""))</f>
        <v/>
      </c>
      <c r="M16" s="28" t="str">
        <f aca="false">IF($A16="","",IFERROR(COUNTIFS('רווחה - קליטה'!$B$5:$B$204,$A16,'רווחה - קליטה'!$C$5:$C$204,"אמצע שנה",'רווחה - קליטה'!$AS$5:$AS$204,"אמין")/COUNTIFS('רווחה - קליטה'!$B$5:$B$204,$A16,'רווחה - קליטה'!$C$5:$C$204,"אמצע שנה"),""))</f>
        <v/>
      </c>
      <c r="N16" s="38" t="str">
        <f aca="false">IF($A16="","",COUNTIFS('זה אני - קליטה'!$B$5:$B$204,$A16,'זה אני - קליטה'!$C$5:$C$204,"סוף שנה"))</f>
        <v/>
      </c>
      <c r="O16" s="28" t="str">
        <f aca="false">IF($A16="","",IFERROR(AVERAGEIFS('זה אני - קליטה'!$AL$5:$AL$204,'זה אני - קליטה'!$B$5:$B$204,$A16,'זה אני - קליטה'!$C$5:$C$204,"סוף שנה"),""))</f>
        <v/>
      </c>
      <c r="P16" s="28" t="str">
        <f aca="false">IF($A16="","",IFERROR(AVERAGEIFS('זה אני - קליטה'!$AN$5:$AN$204,'זה אני - קליטה'!$B$5:$B$204,$A16,'זה אני - קליטה'!$C$5:$C$204,"סוף שנה"),""))</f>
        <v/>
      </c>
      <c r="Q16" s="38" t="str">
        <f aca="false">IF($A16="","",COUNTIFS('רווחה - קליטה'!$B$5:$B$204,$A16,'רווחה - קליטה'!$C$5:$C$204,"סוף שנה"))</f>
        <v/>
      </c>
      <c r="R16" s="36" t="str">
        <f aca="false">IF($A16="","",IFERROR(AVERAGEIFS('רווחה - קליטה'!$AQ$5:$AQ$204,'רווחה - קליטה'!$B$5:$B$204,$A16,'רווחה - קליטה'!$C$5:$C$204,"סוף שנה"),""))</f>
        <v/>
      </c>
      <c r="S16" s="28" t="str">
        <f aca="false">IF($A16="","",IFERROR(COUNTIFS('רווחה - קליטה'!$B$5:$B$204,$A16,'רווחה - קליטה'!$C$5:$C$204,"סוף שנה",'רווחה - קליטה'!$AS$5:$AS$204,"אמין")/COUNTIFS('רווחה - קליטה'!$B$5:$B$204,$A16,'רווחה - קליטה'!$C$5:$C$204,"סוף שנה"),""))</f>
        <v/>
      </c>
    </row>
    <row r="17" customFormat="false" ht="15" hidden="false" customHeight="false" outlineLevel="0" collapsed="false">
      <c r="A17" s="29"/>
      <c r="B17" s="38" t="str">
        <f aca="false">IF($A17="","",COUNTIFS('זה אני - קליטה'!$B$5:$B$204,$A17,'זה אני - קליטה'!$C$5:$C$204,"תחילת שנה"))</f>
        <v/>
      </c>
      <c r="C17" s="28" t="str">
        <f aca="false">IF($A17="","",IFERROR(AVERAGEIFS('זה אני - קליטה'!$AL$5:$AL$204,'זה אני - קליטה'!$B$5:$B$204,$A17,'זה אני - קליטה'!$C$5:$C$204,"תחילת שנה"),""))</f>
        <v/>
      </c>
      <c r="D17" s="28" t="str">
        <f aca="false">IF($A17="","",IFERROR(AVERAGEIFS('זה אני - קליטה'!$AN$5:$AN$204,'זה אני - קליטה'!$B$5:$B$204,$A17,'זה אני - קליטה'!$C$5:$C$204,"תחילת שנה"),""))</f>
        <v/>
      </c>
      <c r="E17" s="38" t="str">
        <f aca="false">IF($A17="","",COUNTIFS('רווחה - קליטה'!$B$5:$B$204,$A17,'רווחה - קליטה'!$C$5:$C$204,"תחילת שנה"))</f>
        <v/>
      </c>
      <c r="F17" s="36" t="str">
        <f aca="false">IF($A17="","",IFERROR(AVERAGEIFS('רווחה - קליטה'!$AQ$5:$AQ$204,'רווחה - קליטה'!$B$5:$B$204,$A17,'רווחה - קליטה'!$C$5:$C$204,"תחילת שנה"),""))</f>
        <v/>
      </c>
      <c r="G17" s="28" t="str">
        <f aca="false">IF($A17="","",IFERROR(COUNTIFS('רווחה - קליטה'!$B$5:$B$204,$A17,'רווחה - קליטה'!$C$5:$C$204,"תחילת שנה",'רווחה - קליטה'!$AS$5:$AS$204,"אמין")/COUNTIFS('רווחה - קליטה'!$B$5:$B$204,$A17,'רווחה - קליטה'!$C$5:$C$204,"תחילת שנה"),""))</f>
        <v/>
      </c>
      <c r="H17" s="38" t="str">
        <f aca="false">IF($A17="","",COUNTIFS('זה אני - קליטה'!$B$5:$B$204,$A17,'זה אני - קליטה'!$C$5:$C$204,"אמצע שנה"))</f>
        <v/>
      </c>
      <c r="I17" s="28" t="str">
        <f aca="false">IF($A17="","",IFERROR(AVERAGEIFS('זה אני - קליטה'!$AL$5:$AL$204,'זה אני - קליטה'!$B$5:$B$204,$A17,'זה אני - קליטה'!$C$5:$C$204,"אמצע שנה"),""))</f>
        <v/>
      </c>
      <c r="J17" s="28" t="str">
        <f aca="false">IF($A17="","",IFERROR(AVERAGEIFS('זה אני - קליטה'!$AN$5:$AN$204,'זה אני - קליטה'!$B$5:$B$204,$A17,'זה אני - קליטה'!$C$5:$C$204,"אמצע שנה"),""))</f>
        <v/>
      </c>
      <c r="K17" s="38" t="str">
        <f aca="false">IF($A17="","",COUNTIFS('רווחה - קליטה'!$B$5:$B$204,$A17,'רווחה - קליטה'!$C$5:$C$204,"אמצע שנה"))</f>
        <v/>
      </c>
      <c r="L17" s="36" t="str">
        <f aca="false">IF($A17="","",IFERROR(AVERAGEIFS('רווחה - קליטה'!$AQ$5:$AQ$204,'רווחה - קליטה'!$B$5:$B$204,$A17,'רווחה - קליטה'!$C$5:$C$204,"אמצע שנה"),""))</f>
        <v/>
      </c>
      <c r="M17" s="28" t="str">
        <f aca="false">IF($A17="","",IFERROR(COUNTIFS('רווחה - קליטה'!$B$5:$B$204,$A17,'רווחה - קליטה'!$C$5:$C$204,"אמצע שנה",'רווחה - קליטה'!$AS$5:$AS$204,"אמין")/COUNTIFS('רווחה - קליטה'!$B$5:$B$204,$A17,'רווחה - קליטה'!$C$5:$C$204,"אמצע שנה"),""))</f>
        <v/>
      </c>
      <c r="N17" s="38" t="str">
        <f aca="false">IF($A17="","",COUNTIFS('זה אני - קליטה'!$B$5:$B$204,$A17,'זה אני - קליטה'!$C$5:$C$204,"סוף שנה"))</f>
        <v/>
      </c>
      <c r="O17" s="28" t="str">
        <f aca="false">IF($A17="","",IFERROR(AVERAGEIFS('זה אני - קליטה'!$AL$5:$AL$204,'זה אני - קליטה'!$B$5:$B$204,$A17,'זה אני - קליטה'!$C$5:$C$204,"סוף שנה"),""))</f>
        <v/>
      </c>
      <c r="P17" s="28" t="str">
        <f aca="false">IF($A17="","",IFERROR(AVERAGEIFS('זה אני - קליטה'!$AN$5:$AN$204,'זה אני - קליטה'!$B$5:$B$204,$A17,'זה אני - קליטה'!$C$5:$C$204,"סוף שנה"),""))</f>
        <v/>
      </c>
      <c r="Q17" s="38" t="str">
        <f aca="false">IF($A17="","",COUNTIFS('רווחה - קליטה'!$B$5:$B$204,$A17,'רווחה - קליטה'!$C$5:$C$204,"סוף שנה"))</f>
        <v/>
      </c>
      <c r="R17" s="36" t="str">
        <f aca="false">IF($A17="","",IFERROR(AVERAGEIFS('רווחה - קליטה'!$AQ$5:$AQ$204,'רווחה - קליטה'!$B$5:$B$204,$A17,'רווחה - קליטה'!$C$5:$C$204,"סוף שנה"),""))</f>
        <v/>
      </c>
      <c r="S17" s="28" t="str">
        <f aca="false">IF($A17="","",IFERROR(COUNTIFS('רווחה - קליטה'!$B$5:$B$204,$A17,'רווחה - קליטה'!$C$5:$C$204,"סוף שנה",'רווחה - קליטה'!$AS$5:$AS$204,"אמין")/COUNTIFS('רווחה - קליטה'!$B$5:$B$204,$A17,'רווחה - קליטה'!$C$5:$C$204,"סוף שנה"),""))</f>
        <v/>
      </c>
    </row>
    <row r="18" customFormat="false" ht="15" hidden="false" customHeight="false" outlineLevel="0" collapsed="false">
      <c r="A18" s="29"/>
      <c r="B18" s="38" t="str">
        <f aca="false">IF($A18="","",COUNTIFS('זה אני - קליטה'!$B$5:$B$204,$A18,'זה אני - קליטה'!$C$5:$C$204,"תחילת שנה"))</f>
        <v/>
      </c>
      <c r="C18" s="28" t="str">
        <f aca="false">IF($A18="","",IFERROR(AVERAGEIFS('זה אני - קליטה'!$AL$5:$AL$204,'זה אני - קליטה'!$B$5:$B$204,$A18,'זה אני - קליטה'!$C$5:$C$204,"תחילת שנה"),""))</f>
        <v/>
      </c>
      <c r="D18" s="28" t="str">
        <f aca="false">IF($A18="","",IFERROR(AVERAGEIFS('זה אני - קליטה'!$AN$5:$AN$204,'זה אני - קליטה'!$B$5:$B$204,$A18,'זה אני - קליטה'!$C$5:$C$204,"תחילת שנה"),""))</f>
        <v/>
      </c>
      <c r="E18" s="38" t="str">
        <f aca="false">IF($A18="","",COUNTIFS('רווחה - קליטה'!$B$5:$B$204,$A18,'רווחה - קליטה'!$C$5:$C$204,"תחילת שנה"))</f>
        <v/>
      </c>
      <c r="F18" s="36" t="str">
        <f aca="false">IF($A18="","",IFERROR(AVERAGEIFS('רווחה - קליטה'!$AQ$5:$AQ$204,'רווחה - קליטה'!$B$5:$B$204,$A18,'רווחה - קליטה'!$C$5:$C$204,"תחילת שנה"),""))</f>
        <v/>
      </c>
      <c r="G18" s="28" t="str">
        <f aca="false">IF($A18="","",IFERROR(COUNTIFS('רווחה - קליטה'!$B$5:$B$204,$A18,'רווחה - קליטה'!$C$5:$C$204,"תחילת שנה",'רווחה - קליטה'!$AS$5:$AS$204,"אמין")/COUNTIFS('רווחה - קליטה'!$B$5:$B$204,$A18,'רווחה - קליטה'!$C$5:$C$204,"תחילת שנה"),""))</f>
        <v/>
      </c>
      <c r="H18" s="38" t="str">
        <f aca="false">IF($A18="","",COUNTIFS('זה אני - קליטה'!$B$5:$B$204,$A18,'זה אני - קליטה'!$C$5:$C$204,"אמצע שנה"))</f>
        <v/>
      </c>
      <c r="I18" s="28" t="str">
        <f aca="false">IF($A18="","",IFERROR(AVERAGEIFS('זה אני - קליטה'!$AL$5:$AL$204,'זה אני - קליטה'!$B$5:$B$204,$A18,'זה אני - קליטה'!$C$5:$C$204,"אמצע שנה"),""))</f>
        <v/>
      </c>
      <c r="J18" s="28" t="str">
        <f aca="false">IF($A18="","",IFERROR(AVERAGEIFS('זה אני - קליטה'!$AN$5:$AN$204,'זה אני - קליטה'!$B$5:$B$204,$A18,'זה אני - קליטה'!$C$5:$C$204,"אמצע שנה"),""))</f>
        <v/>
      </c>
      <c r="K18" s="38" t="str">
        <f aca="false">IF($A18="","",COUNTIFS('רווחה - קליטה'!$B$5:$B$204,$A18,'רווחה - קליטה'!$C$5:$C$204,"אמצע שנה"))</f>
        <v/>
      </c>
      <c r="L18" s="36" t="str">
        <f aca="false">IF($A18="","",IFERROR(AVERAGEIFS('רווחה - קליטה'!$AQ$5:$AQ$204,'רווחה - קליטה'!$B$5:$B$204,$A18,'רווחה - קליטה'!$C$5:$C$204,"אמצע שנה"),""))</f>
        <v/>
      </c>
      <c r="M18" s="28" t="str">
        <f aca="false">IF($A18="","",IFERROR(COUNTIFS('רווחה - קליטה'!$B$5:$B$204,$A18,'רווחה - קליטה'!$C$5:$C$204,"אמצע שנה",'רווחה - קליטה'!$AS$5:$AS$204,"אמין")/COUNTIFS('רווחה - קליטה'!$B$5:$B$204,$A18,'רווחה - קליטה'!$C$5:$C$204,"אמצע שנה"),""))</f>
        <v/>
      </c>
      <c r="N18" s="38" t="str">
        <f aca="false">IF($A18="","",COUNTIFS('זה אני - קליטה'!$B$5:$B$204,$A18,'זה אני - קליטה'!$C$5:$C$204,"סוף שנה"))</f>
        <v/>
      </c>
      <c r="O18" s="28" t="str">
        <f aca="false">IF($A18="","",IFERROR(AVERAGEIFS('זה אני - קליטה'!$AL$5:$AL$204,'זה אני - קליטה'!$B$5:$B$204,$A18,'זה אני - קליטה'!$C$5:$C$204,"סוף שנה"),""))</f>
        <v/>
      </c>
      <c r="P18" s="28" t="str">
        <f aca="false">IF($A18="","",IFERROR(AVERAGEIFS('זה אני - קליטה'!$AN$5:$AN$204,'זה אני - קליטה'!$B$5:$B$204,$A18,'זה אני - קליטה'!$C$5:$C$204,"סוף שנה"),""))</f>
        <v/>
      </c>
      <c r="Q18" s="38" t="str">
        <f aca="false">IF($A18="","",COUNTIFS('רווחה - קליטה'!$B$5:$B$204,$A18,'רווחה - קליטה'!$C$5:$C$204,"סוף שנה"))</f>
        <v/>
      </c>
      <c r="R18" s="36" t="str">
        <f aca="false">IF($A18="","",IFERROR(AVERAGEIFS('רווחה - קליטה'!$AQ$5:$AQ$204,'רווחה - קליטה'!$B$5:$B$204,$A18,'רווחה - קליטה'!$C$5:$C$204,"סוף שנה"),""))</f>
        <v/>
      </c>
      <c r="S18" s="28" t="str">
        <f aca="false">IF($A18="","",IFERROR(COUNTIFS('רווחה - קליטה'!$B$5:$B$204,$A18,'רווחה - קליטה'!$C$5:$C$204,"סוף שנה",'רווחה - קליטה'!$AS$5:$AS$204,"אמין")/COUNTIFS('רווחה - קליטה'!$B$5:$B$204,$A18,'רווחה - קליטה'!$C$5:$C$204,"סוף שנה"),""))</f>
        <v/>
      </c>
    </row>
    <row r="19" customFormat="false" ht="15" hidden="false" customHeight="false" outlineLevel="0" collapsed="false">
      <c r="A19" s="29"/>
      <c r="B19" s="38" t="str">
        <f aca="false">IF($A19="","",COUNTIFS('זה אני - קליטה'!$B$5:$B$204,$A19,'זה אני - קליטה'!$C$5:$C$204,"תחילת שנה"))</f>
        <v/>
      </c>
      <c r="C19" s="28" t="str">
        <f aca="false">IF($A19="","",IFERROR(AVERAGEIFS('זה אני - קליטה'!$AL$5:$AL$204,'זה אני - קליטה'!$B$5:$B$204,$A19,'זה אני - קליטה'!$C$5:$C$204,"תחילת שנה"),""))</f>
        <v/>
      </c>
      <c r="D19" s="28" t="str">
        <f aca="false">IF($A19="","",IFERROR(AVERAGEIFS('זה אני - קליטה'!$AN$5:$AN$204,'זה אני - קליטה'!$B$5:$B$204,$A19,'זה אני - קליטה'!$C$5:$C$204,"תחילת שנה"),""))</f>
        <v/>
      </c>
      <c r="E19" s="38" t="str">
        <f aca="false">IF($A19="","",COUNTIFS('רווחה - קליטה'!$B$5:$B$204,$A19,'רווחה - קליטה'!$C$5:$C$204,"תחילת שנה"))</f>
        <v/>
      </c>
      <c r="F19" s="36" t="str">
        <f aca="false">IF($A19="","",IFERROR(AVERAGEIFS('רווחה - קליטה'!$AQ$5:$AQ$204,'רווחה - קליטה'!$B$5:$B$204,$A19,'רווחה - קליטה'!$C$5:$C$204,"תחילת שנה"),""))</f>
        <v/>
      </c>
      <c r="G19" s="28" t="str">
        <f aca="false">IF($A19="","",IFERROR(COUNTIFS('רווחה - קליטה'!$B$5:$B$204,$A19,'רווחה - קליטה'!$C$5:$C$204,"תחילת שנה",'רווחה - קליטה'!$AS$5:$AS$204,"אמין")/COUNTIFS('רווחה - קליטה'!$B$5:$B$204,$A19,'רווחה - קליטה'!$C$5:$C$204,"תחילת שנה"),""))</f>
        <v/>
      </c>
      <c r="H19" s="38" t="str">
        <f aca="false">IF($A19="","",COUNTIFS('זה אני - קליטה'!$B$5:$B$204,$A19,'זה אני - קליטה'!$C$5:$C$204,"אמצע שנה"))</f>
        <v/>
      </c>
      <c r="I19" s="28" t="str">
        <f aca="false">IF($A19="","",IFERROR(AVERAGEIFS('זה אני - קליטה'!$AL$5:$AL$204,'זה אני - קליטה'!$B$5:$B$204,$A19,'זה אני - קליטה'!$C$5:$C$204,"אמצע שנה"),""))</f>
        <v/>
      </c>
      <c r="J19" s="28" t="str">
        <f aca="false">IF($A19="","",IFERROR(AVERAGEIFS('זה אני - קליטה'!$AN$5:$AN$204,'זה אני - קליטה'!$B$5:$B$204,$A19,'זה אני - קליטה'!$C$5:$C$204,"אמצע שנה"),""))</f>
        <v/>
      </c>
      <c r="K19" s="38" t="str">
        <f aca="false">IF($A19="","",COUNTIFS('רווחה - קליטה'!$B$5:$B$204,$A19,'רווחה - קליטה'!$C$5:$C$204,"אמצע שנה"))</f>
        <v/>
      </c>
      <c r="L19" s="36" t="str">
        <f aca="false">IF($A19="","",IFERROR(AVERAGEIFS('רווחה - קליטה'!$AQ$5:$AQ$204,'רווחה - קליטה'!$B$5:$B$204,$A19,'רווחה - קליטה'!$C$5:$C$204,"אמצע שנה"),""))</f>
        <v/>
      </c>
      <c r="M19" s="28" t="str">
        <f aca="false">IF($A19="","",IFERROR(COUNTIFS('רווחה - קליטה'!$B$5:$B$204,$A19,'רווחה - קליטה'!$C$5:$C$204,"אמצע שנה",'רווחה - קליטה'!$AS$5:$AS$204,"אמין")/COUNTIFS('רווחה - קליטה'!$B$5:$B$204,$A19,'רווחה - קליטה'!$C$5:$C$204,"אמצע שנה"),""))</f>
        <v/>
      </c>
      <c r="N19" s="38" t="str">
        <f aca="false">IF($A19="","",COUNTIFS('זה אני - קליטה'!$B$5:$B$204,$A19,'זה אני - קליטה'!$C$5:$C$204,"סוף שנה"))</f>
        <v/>
      </c>
      <c r="O19" s="28" t="str">
        <f aca="false">IF($A19="","",IFERROR(AVERAGEIFS('זה אני - קליטה'!$AL$5:$AL$204,'זה אני - קליטה'!$B$5:$B$204,$A19,'זה אני - קליטה'!$C$5:$C$204,"סוף שנה"),""))</f>
        <v/>
      </c>
      <c r="P19" s="28" t="str">
        <f aca="false">IF($A19="","",IFERROR(AVERAGEIFS('זה אני - קליטה'!$AN$5:$AN$204,'זה אני - קליטה'!$B$5:$B$204,$A19,'זה אני - קליטה'!$C$5:$C$204,"סוף שנה"),""))</f>
        <v/>
      </c>
      <c r="Q19" s="38" t="str">
        <f aca="false">IF($A19="","",COUNTIFS('רווחה - קליטה'!$B$5:$B$204,$A19,'רווחה - קליטה'!$C$5:$C$204,"סוף שנה"))</f>
        <v/>
      </c>
      <c r="R19" s="36" t="str">
        <f aca="false">IF($A19="","",IFERROR(AVERAGEIFS('רווחה - קליטה'!$AQ$5:$AQ$204,'רווחה - קליטה'!$B$5:$B$204,$A19,'רווחה - קליטה'!$C$5:$C$204,"סוף שנה"),""))</f>
        <v/>
      </c>
      <c r="S19" s="28" t="str">
        <f aca="false">IF($A19="","",IFERROR(COUNTIFS('רווחה - קליטה'!$B$5:$B$204,$A19,'רווחה - קליטה'!$C$5:$C$204,"סוף שנה",'רווחה - קליטה'!$AS$5:$AS$204,"אמין")/COUNTIFS('רווחה - קליטה'!$B$5:$B$204,$A19,'רווחה - קליטה'!$C$5:$C$204,"סוף שנה"),""))</f>
        <v/>
      </c>
    </row>
    <row r="20" customFormat="false" ht="15" hidden="false" customHeight="false" outlineLevel="0" collapsed="false">
      <c r="A20" s="29"/>
      <c r="B20" s="38" t="str">
        <f aca="false">IF($A20="","",COUNTIFS('זה אני - קליטה'!$B$5:$B$204,$A20,'זה אני - קליטה'!$C$5:$C$204,"תחילת שנה"))</f>
        <v/>
      </c>
      <c r="C20" s="28" t="str">
        <f aca="false">IF($A20="","",IFERROR(AVERAGEIFS('זה אני - קליטה'!$AL$5:$AL$204,'זה אני - קליטה'!$B$5:$B$204,$A20,'זה אני - קליטה'!$C$5:$C$204,"תחילת שנה"),""))</f>
        <v/>
      </c>
      <c r="D20" s="28" t="str">
        <f aca="false">IF($A20="","",IFERROR(AVERAGEIFS('זה אני - קליטה'!$AN$5:$AN$204,'זה אני - קליטה'!$B$5:$B$204,$A20,'זה אני - קליטה'!$C$5:$C$204,"תחילת שנה"),""))</f>
        <v/>
      </c>
      <c r="E20" s="38" t="str">
        <f aca="false">IF($A20="","",COUNTIFS('רווחה - קליטה'!$B$5:$B$204,$A20,'רווחה - קליטה'!$C$5:$C$204,"תחילת שנה"))</f>
        <v/>
      </c>
      <c r="F20" s="36" t="str">
        <f aca="false">IF($A20="","",IFERROR(AVERAGEIFS('רווחה - קליטה'!$AQ$5:$AQ$204,'רווחה - קליטה'!$B$5:$B$204,$A20,'רווחה - קליטה'!$C$5:$C$204,"תחילת שנה"),""))</f>
        <v/>
      </c>
      <c r="G20" s="28" t="str">
        <f aca="false">IF($A20="","",IFERROR(COUNTIFS('רווחה - קליטה'!$B$5:$B$204,$A20,'רווחה - קליטה'!$C$5:$C$204,"תחילת שנה",'רווחה - קליטה'!$AS$5:$AS$204,"אמין")/COUNTIFS('רווחה - קליטה'!$B$5:$B$204,$A20,'רווחה - קליטה'!$C$5:$C$204,"תחילת שנה"),""))</f>
        <v/>
      </c>
      <c r="H20" s="38" t="str">
        <f aca="false">IF($A20="","",COUNTIFS('זה אני - קליטה'!$B$5:$B$204,$A20,'זה אני - קליטה'!$C$5:$C$204,"אמצע שנה"))</f>
        <v/>
      </c>
      <c r="I20" s="28" t="str">
        <f aca="false">IF($A20="","",IFERROR(AVERAGEIFS('זה אני - קליטה'!$AL$5:$AL$204,'זה אני - קליטה'!$B$5:$B$204,$A20,'זה אני - קליטה'!$C$5:$C$204,"אמצע שנה"),""))</f>
        <v/>
      </c>
      <c r="J20" s="28" t="str">
        <f aca="false">IF($A20="","",IFERROR(AVERAGEIFS('זה אני - קליטה'!$AN$5:$AN$204,'זה אני - קליטה'!$B$5:$B$204,$A20,'זה אני - קליטה'!$C$5:$C$204,"אמצע שנה"),""))</f>
        <v/>
      </c>
      <c r="K20" s="38" t="str">
        <f aca="false">IF($A20="","",COUNTIFS('רווחה - קליטה'!$B$5:$B$204,$A20,'רווחה - קליטה'!$C$5:$C$204,"אמצע שנה"))</f>
        <v/>
      </c>
      <c r="L20" s="36" t="str">
        <f aca="false">IF($A20="","",IFERROR(AVERAGEIFS('רווחה - קליטה'!$AQ$5:$AQ$204,'רווחה - קליטה'!$B$5:$B$204,$A20,'רווחה - קליטה'!$C$5:$C$204,"אמצע שנה"),""))</f>
        <v/>
      </c>
      <c r="M20" s="28" t="str">
        <f aca="false">IF($A20="","",IFERROR(COUNTIFS('רווחה - קליטה'!$B$5:$B$204,$A20,'רווחה - קליטה'!$C$5:$C$204,"אמצע שנה",'רווחה - קליטה'!$AS$5:$AS$204,"אמין")/COUNTIFS('רווחה - קליטה'!$B$5:$B$204,$A20,'רווחה - קליטה'!$C$5:$C$204,"אמצע שנה"),""))</f>
        <v/>
      </c>
      <c r="N20" s="38" t="str">
        <f aca="false">IF($A20="","",COUNTIFS('זה אני - קליטה'!$B$5:$B$204,$A20,'זה אני - קליטה'!$C$5:$C$204,"סוף שנה"))</f>
        <v/>
      </c>
      <c r="O20" s="28" t="str">
        <f aca="false">IF($A20="","",IFERROR(AVERAGEIFS('זה אני - קליטה'!$AL$5:$AL$204,'זה אני - קליטה'!$B$5:$B$204,$A20,'זה אני - קליטה'!$C$5:$C$204,"סוף שנה"),""))</f>
        <v/>
      </c>
      <c r="P20" s="28" t="str">
        <f aca="false">IF($A20="","",IFERROR(AVERAGEIFS('זה אני - קליטה'!$AN$5:$AN$204,'זה אני - קליטה'!$B$5:$B$204,$A20,'זה אני - קליטה'!$C$5:$C$204,"סוף שנה"),""))</f>
        <v/>
      </c>
      <c r="Q20" s="38" t="str">
        <f aca="false">IF($A20="","",COUNTIFS('רווחה - קליטה'!$B$5:$B$204,$A20,'רווחה - קליטה'!$C$5:$C$204,"סוף שנה"))</f>
        <v/>
      </c>
      <c r="R20" s="36" t="str">
        <f aca="false">IF($A20="","",IFERROR(AVERAGEIFS('רווחה - קליטה'!$AQ$5:$AQ$204,'רווחה - קליטה'!$B$5:$B$204,$A20,'רווחה - קליטה'!$C$5:$C$204,"סוף שנה"),""))</f>
        <v/>
      </c>
      <c r="S20" s="28" t="str">
        <f aca="false">IF($A20="","",IFERROR(COUNTIFS('רווחה - קליטה'!$B$5:$B$204,$A20,'רווחה - קליטה'!$C$5:$C$204,"סוף שנה",'רווחה - קליטה'!$AS$5:$AS$204,"אמין")/COUNTIFS('רווחה - קליטה'!$B$5:$B$204,$A20,'רווחה - קליטה'!$C$5:$C$204,"סוף שנה"),""))</f>
        <v/>
      </c>
    </row>
    <row r="21" customFormat="false" ht="15" hidden="false" customHeight="false" outlineLevel="0" collapsed="false">
      <c r="A21" s="29"/>
      <c r="B21" s="38" t="str">
        <f aca="false">IF($A21="","",COUNTIFS('זה אני - קליטה'!$B$5:$B$204,$A21,'זה אני - קליטה'!$C$5:$C$204,"תחילת שנה"))</f>
        <v/>
      </c>
      <c r="C21" s="28" t="str">
        <f aca="false">IF($A21="","",IFERROR(AVERAGEIFS('זה אני - קליטה'!$AL$5:$AL$204,'זה אני - קליטה'!$B$5:$B$204,$A21,'זה אני - קליטה'!$C$5:$C$204,"תחילת שנה"),""))</f>
        <v/>
      </c>
      <c r="D21" s="28" t="str">
        <f aca="false">IF($A21="","",IFERROR(AVERAGEIFS('זה אני - קליטה'!$AN$5:$AN$204,'זה אני - קליטה'!$B$5:$B$204,$A21,'זה אני - קליטה'!$C$5:$C$204,"תחילת שנה"),""))</f>
        <v/>
      </c>
      <c r="E21" s="38" t="str">
        <f aca="false">IF($A21="","",COUNTIFS('רווחה - קליטה'!$B$5:$B$204,$A21,'רווחה - קליטה'!$C$5:$C$204,"תחילת שנה"))</f>
        <v/>
      </c>
      <c r="F21" s="36" t="str">
        <f aca="false">IF($A21="","",IFERROR(AVERAGEIFS('רווחה - קליטה'!$AQ$5:$AQ$204,'רווחה - קליטה'!$B$5:$B$204,$A21,'רווחה - קליטה'!$C$5:$C$204,"תחילת שנה"),""))</f>
        <v/>
      </c>
      <c r="G21" s="28" t="str">
        <f aca="false">IF($A21="","",IFERROR(COUNTIFS('רווחה - קליטה'!$B$5:$B$204,$A21,'רווחה - קליטה'!$C$5:$C$204,"תחילת שנה",'רווחה - קליטה'!$AS$5:$AS$204,"אמין")/COUNTIFS('רווחה - קליטה'!$B$5:$B$204,$A21,'רווחה - קליטה'!$C$5:$C$204,"תחילת שנה"),""))</f>
        <v/>
      </c>
      <c r="H21" s="38" t="str">
        <f aca="false">IF($A21="","",COUNTIFS('זה אני - קליטה'!$B$5:$B$204,$A21,'זה אני - קליטה'!$C$5:$C$204,"אמצע שנה"))</f>
        <v/>
      </c>
      <c r="I21" s="28" t="str">
        <f aca="false">IF($A21="","",IFERROR(AVERAGEIFS('זה אני - קליטה'!$AL$5:$AL$204,'זה אני - קליטה'!$B$5:$B$204,$A21,'זה אני - קליטה'!$C$5:$C$204,"אמצע שנה"),""))</f>
        <v/>
      </c>
      <c r="J21" s="28" t="str">
        <f aca="false">IF($A21="","",IFERROR(AVERAGEIFS('זה אני - קליטה'!$AN$5:$AN$204,'זה אני - קליטה'!$B$5:$B$204,$A21,'זה אני - קליטה'!$C$5:$C$204,"אמצע שנה"),""))</f>
        <v/>
      </c>
      <c r="K21" s="38" t="str">
        <f aca="false">IF($A21="","",COUNTIFS('רווחה - קליטה'!$B$5:$B$204,$A21,'רווחה - קליטה'!$C$5:$C$204,"אמצע שנה"))</f>
        <v/>
      </c>
      <c r="L21" s="36" t="str">
        <f aca="false">IF($A21="","",IFERROR(AVERAGEIFS('רווחה - קליטה'!$AQ$5:$AQ$204,'רווחה - קליטה'!$B$5:$B$204,$A21,'רווחה - קליטה'!$C$5:$C$204,"אמצע שנה"),""))</f>
        <v/>
      </c>
      <c r="M21" s="28" t="str">
        <f aca="false">IF($A21="","",IFERROR(COUNTIFS('רווחה - קליטה'!$B$5:$B$204,$A21,'רווחה - קליטה'!$C$5:$C$204,"אמצע שנה",'רווחה - קליטה'!$AS$5:$AS$204,"אמין")/COUNTIFS('רווחה - קליטה'!$B$5:$B$204,$A21,'רווחה - קליטה'!$C$5:$C$204,"אמצע שנה"),""))</f>
        <v/>
      </c>
      <c r="N21" s="38" t="str">
        <f aca="false">IF($A21="","",COUNTIFS('זה אני - קליטה'!$B$5:$B$204,$A21,'זה אני - קליטה'!$C$5:$C$204,"סוף שנה"))</f>
        <v/>
      </c>
      <c r="O21" s="28" t="str">
        <f aca="false">IF($A21="","",IFERROR(AVERAGEIFS('זה אני - קליטה'!$AL$5:$AL$204,'זה אני - קליטה'!$B$5:$B$204,$A21,'זה אני - קליטה'!$C$5:$C$204,"סוף שנה"),""))</f>
        <v/>
      </c>
      <c r="P21" s="28" t="str">
        <f aca="false">IF($A21="","",IFERROR(AVERAGEIFS('זה אני - קליטה'!$AN$5:$AN$204,'זה אני - קליטה'!$B$5:$B$204,$A21,'זה אני - קליטה'!$C$5:$C$204,"סוף שנה"),""))</f>
        <v/>
      </c>
      <c r="Q21" s="38" t="str">
        <f aca="false">IF($A21="","",COUNTIFS('רווחה - קליטה'!$B$5:$B$204,$A21,'רווחה - קליטה'!$C$5:$C$204,"סוף שנה"))</f>
        <v/>
      </c>
      <c r="R21" s="36" t="str">
        <f aca="false">IF($A21="","",IFERROR(AVERAGEIFS('רווחה - קליטה'!$AQ$5:$AQ$204,'רווחה - קליטה'!$B$5:$B$204,$A21,'רווחה - קליטה'!$C$5:$C$204,"סוף שנה"),""))</f>
        <v/>
      </c>
      <c r="S21" s="28" t="str">
        <f aca="false">IF($A21="","",IFERROR(COUNTIFS('רווחה - קליטה'!$B$5:$B$204,$A21,'רווחה - קליטה'!$C$5:$C$204,"סוף שנה",'רווחה - קליטה'!$AS$5:$AS$204,"אמין")/COUNTIFS('רווחה - קליטה'!$B$5:$B$204,$A21,'רווחה - קליטה'!$C$5:$C$204,"סוף שנה"),""))</f>
        <v/>
      </c>
    </row>
    <row r="22" customFormat="false" ht="15" hidden="false" customHeight="false" outlineLevel="0" collapsed="false">
      <c r="A22" s="29"/>
      <c r="B22" s="38" t="str">
        <f aca="false">IF($A22="","",COUNTIFS('זה אני - קליטה'!$B$5:$B$204,$A22,'זה אני - קליטה'!$C$5:$C$204,"תחילת שנה"))</f>
        <v/>
      </c>
      <c r="C22" s="28" t="str">
        <f aca="false">IF($A22="","",IFERROR(AVERAGEIFS('זה אני - קליטה'!$AL$5:$AL$204,'זה אני - קליטה'!$B$5:$B$204,$A22,'זה אני - קליטה'!$C$5:$C$204,"תחילת שנה"),""))</f>
        <v/>
      </c>
      <c r="D22" s="28" t="str">
        <f aca="false">IF($A22="","",IFERROR(AVERAGEIFS('זה אני - קליטה'!$AN$5:$AN$204,'זה אני - קליטה'!$B$5:$B$204,$A22,'זה אני - קליטה'!$C$5:$C$204,"תחילת שנה"),""))</f>
        <v/>
      </c>
      <c r="E22" s="38" t="str">
        <f aca="false">IF($A22="","",COUNTIFS('רווחה - קליטה'!$B$5:$B$204,$A22,'רווחה - קליטה'!$C$5:$C$204,"תחילת שנה"))</f>
        <v/>
      </c>
      <c r="F22" s="36" t="str">
        <f aca="false">IF($A22="","",IFERROR(AVERAGEIFS('רווחה - קליטה'!$AQ$5:$AQ$204,'רווחה - קליטה'!$B$5:$B$204,$A22,'רווחה - קליטה'!$C$5:$C$204,"תחילת שנה"),""))</f>
        <v/>
      </c>
      <c r="G22" s="28" t="str">
        <f aca="false">IF($A22="","",IFERROR(COUNTIFS('רווחה - קליטה'!$B$5:$B$204,$A22,'רווחה - קליטה'!$C$5:$C$204,"תחילת שנה",'רווחה - קליטה'!$AS$5:$AS$204,"אמין")/COUNTIFS('רווחה - קליטה'!$B$5:$B$204,$A22,'רווחה - קליטה'!$C$5:$C$204,"תחילת שנה"),""))</f>
        <v/>
      </c>
      <c r="H22" s="38" t="str">
        <f aca="false">IF($A22="","",COUNTIFS('זה אני - קליטה'!$B$5:$B$204,$A22,'זה אני - קליטה'!$C$5:$C$204,"אמצע שנה"))</f>
        <v/>
      </c>
      <c r="I22" s="28" t="str">
        <f aca="false">IF($A22="","",IFERROR(AVERAGEIFS('זה אני - קליטה'!$AL$5:$AL$204,'זה אני - קליטה'!$B$5:$B$204,$A22,'זה אני - קליטה'!$C$5:$C$204,"אמצע שנה"),""))</f>
        <v/>
      </c>
      <c r="J22" s="28" t="str">
        <f aca="false">IF($A22="","",IFERROR(AVERAGEIFS('זה אני - קליטה'!$AN$5:$AN$204,'זה אני - קליטה'!$B$5:$B$204,$A22,'זה אני - קליטה'!$C$5:$C$204,"אמצע שנה"),""))</f>
        <v/>
      </c>
      <c r="K22" s="38" t="str">
        <f aca="false">IF($A22="","",COUNTIFS('רווחה - קליטה'!$B$5:$B$204,$A22,'רווחה - קליטה'!$C$5:$C$204,"אמצע שנה"))</f>
        <v/>
      </c>
      <c r="L22" s="36" t="str">
        <f aca="false">IF($A22="","",IFERROR(AVERAGEIFS('רווחה - קליטה'!$AQ$5:$AQ$204,'רווחה - קליטה'!$B$5:$B$204,$A22,'רווחה - קליטה'!$C$5:$C$204,"אמצע שנה"),""))</f>
        <v/>
      </c>
      <c r="M22" s="28" t="str">
        <f aca="false">IF($A22="","",IFERROR(COUNTIFS('רווחה - קליטה'!$B$5:$B$204,$A22,'רווחה - קליטה'!$C$5:$C$204,"אמצע שנה",'רווחה - קליטה'!$AS$5:$AS$204,"אמין")/COUNTIFS('רווחה - קליטה'!$B$5:$B$204,$A22,'רווחה - קליטה'!$C$5:$C$204,"אמצע שנה"),""))</f>
        <v/>
      </c>
      <c r="N22" s="38" t="str">
        <f aca="false">IF($A22="","",COUNTIFS('זה אני - קליטה'!$B$5:$B$204,$A22,'זה אני - קליטה'!$C$5:$C$204,"סוף שנה"))</f>
        <v/>
      </c>
      <c r="O22" s="28" t="str">
        <f aca="false">IF($A22="","",IFERROR(AVERAGEIFS('זה אני - קליטה'!$AL$5:$AL$204,'זה אני - קליטה'!$B$5:$B$204,$A22,'זה אני - קליטה'!$C$5:$C$204,"סוף שנה"),""))</f>
        <v/>
      </c>
      <c r="P22" s="28" t="str">
        <f aca="false">IF($A22="","",IFERROR(AVERAGEIFS('זה אני - קליטה'!$AN$5:$AN$204,'זה אני - קליטה'!$B$5:$B$204,$A22,'זה אני - קליטה'!$C$5:$C$204,"סוף שנה"),""))</f>
        <v/>
      </c>
      <c r="Q22" s="38" t="str">
        <f aca="false">IF($A22="","",COUNTIFS('רווחה - קליטה'!$B$5:$B$204,$A22,'רווחה - קליטה'!$C$5:$C$204,"סוף שנה"))</f>
        <v/>
      </c>
      <c r="R22" s="36" t="str">
        <f aca="false">IF($A22="","",IFERROR(AVERAGEIFS('רווחה - קליטה'!$AQ$5:$AQ$204,'רווחה - קליטה'!$B$5:$B$204,$A22,'רווחה - קליטה'!$C$5:$C$204,"סוף שנה"),""))</f>
        <v/>
      </c>
      <c r="S22" s="28" t="str">
        <f aca="false">IF($A22="","",IFERROR(COUNTIFS('רווחה - קליטה'!$B$5:$B$204,$A22,'רווחה - קליטה'!$C$5:$C$204,"סוף שנה",'רווחה - קליטה'!$AS$5:$AS$204,"אמין")/COUNTIFS('רווחה - קליטה'!$B$5:$B$204,$A22,'רווחה - קליטה'!$C$5:$C$204,"סוף שנה"),""))</f>
        <v/>
      </c>
    </row>
    <row r="23" customFormat="false" ht="15" hidden="false" customHeight="false" outlineLevel="0" collapsed="false">
      <c r="A23" s="29"/>
      <c r="B23" s="38" t="str">
        <f aca="false">IF($A23="","",COUNTIFS('זה אני - קליטה'!$B$5:$B$204,$A23,'זה אני - קליטה'!$C$5:$C$204,"תחילת שנה"))</f>
        <v/>
      </c>
      <c r="C23" s="28" t="str">
        <f aca="false">IF($A23="","",IFERROR(AVERAGEIFS('זה אני - קליטה'!$AL$5:$AL$204,'זה אני - קליטה'!$B$5:$B$204,$A23,'זה אני - קליטה'!$C$5:$C$204,"תחילת שנה"),""))</f>
        <v/>
      </c>
      <c r="D23" s="28" t="str">
        <f aca="false">IF($A23="","",IFERROR(AVERAGEIFS('זה אני - קליטה'!$AN$5:$AN$204,'זה אני - קליטה'!$B$5:$B$204,$A23,'זה אני - קליטה'!$C$5:$C$204,"תחילת שנה"),""))</f>
        <v/>
      </c>
      <c r="E23" s="38" t="str">
        <f aca="false">IF($A23="","",COUNTIFS('רווחה - קליטה'!$B$5:$B$204,$A23,'רווחה - קליטה'!$C$5:$C$204,"תחילת שנה"))</f>
        <v/>
      </c>
      <c r="F23" s="36" t="str">
        <f aca="false">IF($A23="","",IFERROR(AVERAGEIFS('רווחה - קליטה'!$AQ$5:$AQ$204,'רווחה - קליטה'!$B$5:$B$204,$A23,'רווחה - קליטה'!$C$5:$C$204,"תחילת שנה"),""))</f>
        <v/>
      </c>
      <c r="G23" s="28" t="str">
        <f aca="false">IF($A23="","",IFERROR(COUNTIFS('רווחה - קליטה'!$B$5:$B$204,$A23,'רווחה - קליטה'!$C$5:$C$204,"תחילת שנה",'רווחה - קליטה'!$AS$5:$AS$204,"אמין")/COUNTIFS('רווחה - קליטה'!$B$5:$B$204,$A23,'רווחה - קליטה'!$C$5:$C$204,"תחילת שנה"),""))</f>
        <v/>
      </c>
      <c r="H23" s="38" t="str">
        <f aca="false">IF($A23="","",COUNTIFS('זה אני - קליטה'!$B$5:$B$204,$A23,'זה אני - קליטה'!$C$5:$C$204,"אמצע שנה"))</f>
        <v/>
      </c>
      <c r="I23" s="28" t="str">
        <f aca="false">IF($A23="","",IFERROR(AVERAGEIFS('זה אני - קליטה'!$AL$5:$AL$204,'זה אני - קליטה'!$B$5:$B$204,$A23,'זה אני - קליטה'!$C$5:$C$204,"אמצע שנה"),""))</f>
        <v/>
      </c>
      <c r="J23" s="28" t="str">
        <f aca="false">IF($A23="","",IFERROR(AVERAGEIFS('זה אני - קליטה'!$AN$5:$AN$204,'זה אני - קליטה'!$B$5:$B$204,$A23,'זה אני - קליטה'!$C$5:$C$204,"אמצע שנה"),""))</f>
        <v/>
      </c>
      <c r="K23" s="38" t="str">
        <f aca="false">IF($A23="","",COUNTIFS('רווחה - קליטה'!$B$5:$B$204,$A23,'רווחה - קליטה'!$C$5:$C$204,"אמצע שנה"))</f>
        <v/>
      </c>
      <c r="L23" s="36" t="str">
        <f aca="false">IF($A23="","",IFERROR(AVERAGEIFS('רווחה - קליטה'!$AQ$5:$AQ$204,'רווחה - קליטה'!$B$5:$B$204,$A23,'רווחה - קליטה'!$C$5:$C$204,"אמצע שנה"),""))</f>
        <v/>
      </c>
      <c r="M23" s="28" t="str">
        <f aca="false">IF($A23="","",IFERROR(COUNTIFS('רווחה - קליטה'!$B$5:$B$204,$A23,'רווחה - קליטה'!$C$5:$C$204,"אמצע שנה",'רווחה - קליטה'!$AS$5:$AS$204,"אמין")/COUNTIFS('רווחה - קליטה'!$B$5:$B$204,$A23,'רווחה - קליטה'!$C$5:$C$204,"אמצע שנה"),""))</f>
        <v/>
      </c>
      <c r="N23" s="38" t="str">
        <f aca="false">IF($A23="","",COUNTIFS('זה אני - קליטה'!$B$5:$B$204,$A23,'זה אני - קליטה'!$C$5:$C$204,"סוף שנה"))</f>
        <v/>
      </c>
      <c r="O23" s="28" t="str">
        <f aca="false">IF($A23="","",IFERROR(AVERAGEIFS('זה אני - קליטה'!$AL$5:$AL$204,'זה אני - קליטה'!$B$5:$B$204,$A23,'זה אני - קליטה'!$C$5:$C$204,"סוף שנה"),""))</f>
        <v/>
      </c>
      <c r="P23" s="28" t="str">
        <f aca="false">IF($A23="","",IFERROR(AVERAGEIFS('זה אני - קליטה'!$AN$5:$AN$204,'זה אני - קליטה'!$B$5:$B$204,$A23,'זה אני - קליטה'!$C$5:$C$204,"סוף שנה"),""))</f>
        <v/>
      </c>
      <c r="Q23" s="38" t="str">
        <f aca="false">IF($A23="","",COUNTIFS('רווחה - קליטה'!$B$5:$B$204,$A23,'רווחה - קליטה'!$C$5:$C$204,"סוף שנה"))</f>
        <v/>
      </c>
      <c r="R23" s="36" t="str">
        <f aca="false">IF($A23="","",IFERROR(AVERAGEIFS('רווחה - קליטה'!$AQ$5:$AQ$204,'רווחה - קליטה'!$B$5:$B$204,$A23,'רווחה - קליטה'!$C$5:$C$204,"סוף שנה"),""))</f>
        <v/>
      </c>
      <c r="S23" s="28" t="str">
        <f aca="false">IF($A23="","",IFERROR(COUNTIFS('רווחה - קליטה'!$B$5:$B$204,$A23,'רווחה - קליטה'!$C$5:$C$204,"סוף שנה",'רווחה - קליטה'!$AS$5:$AS$204,"אמין")/COUNTIFS('רווחה - קליטה'!$B$5:$B$204,$A23,'רווחה - קליטה'!$C$5:$C$204,"סוף שנה"),""))</f>
        <v/>
      </c>
    </row>
    <row r="24" customFormat="false" ht="15" hidden="false" customHeight="false" outlineLevel="0" collapsed="false">
      <c r="A24" s="29"/>
      <c r="B24" s="38" t="str">
        <f aca="false">IF($A24="","",COUNTIFS('זה אני - קליטה'!$B$5:$B$204,$A24,'זה אני - קליטה'!$C$5:$C$204,"תחילת שנה"))</f>
        <v/>
      </c>
      <c r="C24" s="28" t="str">
        <f aca="false">IF($A24="","",IFERROR(AVERAGEIFS('זה אני - קליטה'!$AL$5:$AL$204,'זה אני - קליטה'!$B$5:$B$204,$A24,'זה אני - קליטה'!$C$5:$C$204,"תחילת שנה"),""))</f>
        <v/>
      </c>
      <c r="D24" s="28" t="str">
        <f aca="false">IF($A24="","",IFERROR(AVERAGEIFS('זה אני - קליטה'!$AN$5:$AN$204,'זה אני - קליטה'!$B$5:$B$204,$A24,'זה אני - קליטה'!$C$5:$C$204,"תחילת שנה"),""))</f>
        <v/>
      </c>
      <c r="E24" s="38" t="str">
        <f aca="false">IF($A24="","",COUNTIFS('רווחה - קליטה'!$B$5:$B$204,$A24,'רווחה - קליטה'!$C$5:$C$204,"תחילת שנה"))</f>
        <v/>
      </c>
      <c r="F24" s="36" t="str">
        <f aca="false">IF($A24="","",IFERROR(AVERAGEIFS('רווחה - קליטה'!$AQ$5:$AQ$204,'רווחה - קליטה'!$B$5:$B$204,$A24,'רווחה - קליטה'!$C$5:$C$204,"תחילת שנה"),""))</f>
        <v/>
      </c>
      <c r="G24" s="28" t="str">
        <f aca="false">IF($A24="","",IFERROR(COUNTIFS('רווחה - קליטה'!$B$5:$B$204,$A24,'רווחה - קליטה'!$C$5:$C$204,"תחילת שנה",'רווחה - קליטה'!$AS$5:$AS$204,"אמין")/COUNTIFS('רווחה - קליטה'!$B$5:$B$204,$A24,'רווחה - קליטה'!$C$5:$C$204,"תחילת שנה"),""))</f>
        <v/>
      </c>
      <c r="H24" s="38" t="str">
        <f aca="false">IF($A24="","",COUNTIFS('זה אני - קליטה'!$B$5:$B$204,$A24,'זה אני - קליטה'!$C$5:$C$204,"אמצע שנה"))</f>
        <v/>
      </c>
      <c r="I24" s="28" t="str">
        <f aca="false">IF($A24="","",IFERROR(AVERAGEIFS('זה אני - קליטה'!$AL$5:$AL$204,'זה אני - קליטה'!$B$5:$B$204,$A24,'זה אני - קליטה'!$C$5:$C$204,"אמצע שנה"),""))</f>
        <v/>
      </c>
      <c r="J24" s="28" t="str">
        <f aca="false">IF($A24="","",IFERROR(AVERAGEIFS('זה אני - קליטה'!$AN$5:$AN$204,'זה אני - קליטה'!$B$5:$B$204,$A24,'זה אני - קליטה'!$C$5:$C$204,"אמצע שנה"),""))</f>
        <v/>
      </c>
      <c r="K24" s="38" t="str">
        <f aca="false">IF($A24="","",COUNTIFS('רווחה - קליטה'!$B$5:$B$204,$A24,'רווחה - קליטה'!$C$5:$C$204,"אמצע שנה"))</f>
        <v/>
      </c>
      <c r="L24" s="36" t="str">
        <f aca="false">IF($A24="","",IFERROR(AVERAGEIFS('רווחה - קליטה'!$AQ$5:$AQ$204,'רווחה - קליטה'!$B$5:$B$204,$A24,'רווחה - קליטה'!$C$5:$C$204,"אמצע שנה"),""))</f>
        <v/>
      </c>
      <c r="M24" s="28" t="str">
        <f aca="false">IF($A24="","",IFERROR(COUNTIFS('רווחה - קליטה'!$B$5:$B$204,$A24,'רווחה - קליטה'!$C$5:$C$204,"אמצע שנה",'רווחה - קליטה'!$AS$5:$AS$204,"אמין")/COUNTIFS('רווחה - קליטה'!$B$5:$B$204,$A24,'רווחה - קליטה'!$C$5:$C$204,"אמצע שנה"),""))</f>
        <v/>
      </c>
      <c r="N24" s="38" t="str">
        <f aca="false">IF($A24="","",COUNTIFS('זה אני - קליטה'!$B$5:$B$204,$A24,'זה אני - קליטה'!$C$5:$C$204,"סוף שנה"))</f>
        <v/>
      </c>
      <c r="O24" s="28" t="str">
        <f aca="false">IF($A24="","",IFERROR(AVERAGEIFS('זה אני - קליטה'!$AL$5:$AL$204,'זה אני - קליטה'!$B$5:$B$204,$A24,'זה אני - קליטה'!$C$5:$C$204,"סוף שנה"),""))</f>
        <v/>
      </c>
      <c r="P24" s="28" t="str">
        <f aca="false">IF($A24="","",IFERROR(AVERAGEIFS('זה אני - קליטה'!$AN$5:$AN$204,'זה אני - קליטה'!$B$5:$B$204,$A24,'זה אני - קליטה'!$C$5:$C$204,"סוף שנה"),""))</f>
        <v/>
      </c>
      <c r="Q24" s="38" t="str">
        <f aca="false">IF($A24="","",COUNTIFS('רווחה - קליטה'!$B$5:$B$204,$A24,'רווחה - קליטה'!$C$5:$C$204,"סוף שנה"))</f>
        <v/>
      </c>
      <c r="R24" s="36" t="str">
        <f aca="false">IF($A24="","",IFERROR(AVERAGEIFS('רווחה - קליטה'!$AQ$5:$AQ$204,'רווחה - קליטה'!$B$5:$B$204,$A24,'רווחה - קליטה'!$C$5:$C$204,"סוף שנה"),""))</f>
        <v/>
      </c>
      <c r="S24" s="28" t="str">
        <f aca="false">IF($A24="","",IFERROR(COUNTIFS('רווחה - קליטה'!$B$5:$B$204,$A24,'רווחה - קליטה'!$C$5:$C$204,"סוף שנה",'רווחה - קליטה'!$AS$5:$AS$204,"אמין")/COUNTIFS('רווחה - קליטה'!$B$5:$B$204,$A24,'רווחה - קליטה'!$C$5:$C$204,"סוף שנה"),""))</f>
        <v/>
      </c>
    </row>
    <row r="25" customFormat="false" ht="15" hidden="false" customHeight="false" outlineLevel="0" collapsed="false">
      <c r="A25" s="29"/>
      <c r="B25" s="38" t="str">
        <f aca="false">IF($A25="","",COUNTIFS('זה אני - קליטה'!$B$5:$B$204,$A25,'זה אני - קליטה'!$C$5:$C$204,"תחילת שנה"))</f>
        <v/>
      </c>
      <c r="C25" s="28" t="str">
        <f aca="false">IF($A25="","",IFERROR(AVERAGEIFS('זה אני - קליטה'!$AL$5:$AL$204,'זה אני - קליטה'!$B$5:$B$204,$A25,'זה אני - קליטה'!$C$5:$C$204,"תחילת שנה"),""))</f>
        <v/>
      </c>
      <c r="D25" s="28" t="str">
        <f aca="false">IF($A25="","",IFERROR(AVERAGEIFS('זה אני - קליטה'!$AN$5:$AN$204,'זה אני - קליטה'!$B$5:$B$204,$A25,'זה אני - קליטה'!$C$5:$C$204,"תחילת שנה"),""))</f>
        <v/>
      </c>
      <c r="E25" s="38" t="str">
        <f aca="false">IF($A25="","",COUNTIFS('רווחה - קליטה'!$B$5:$B$204,$A25,'רווחה - קליטה'!$C$5:$C$204,"תחילת שנה"))</f>
        <v/>
      </c>
      <c r="F25" s="36" t="str">
        <f aca="false">IF($A25="","",IFERROR(AVERAGEIFS('רווחה - קליטה'!$AQ$5:$AQ$204,'רווחה - קליטה'!$B$5:$B$204,$A25,'רווחה - קליטה'!$C$5:$C$204,"תחילת שנה"),""))</f>
        <v/>
      </c>
      <c r="G25" s="28" t="str">
        <f aca="false">IF($A25="","",IFERROR(COUNTIFS('רווחה - קליטה'!$B$5:$B$204,$A25,'רווחה - קליטה'!$C$5:$C$204,"תחילת שנה",'רווחה - קליטה'!$AS$5:$AS$204,"אמין")/COUNTIFS('רווחה - קליטה'!$B$5:$B$204,$A25,'רווחה - קליטה'!$C$5:$C$204,"תחילת שנה"),""))</f>
        <v/>
      </c>
      <c r="H25" s="38" t="str">
        <f aca="false">IF($A25="","",COUNTIFS('זה אני - קליטה'!$B$5:$B$204,$A25,'זה אני - קליטה'!$C$5:$C$204,"אמצע שנה"))</f>
        <v/>
      </c>
      <c r="I25" s="28" t="str">
        <f aca="false">IF($A25="","",IFERROR(AVERAGEIFS('זה אני - קליטה'!$AL$5:$AL$204,'זה אני - קליטה'!$B$5:$B$204,$A25,'זה אני - קליטה'!$C$5:$C$204,"אמצע שנה"),""))</f>
        <v/>
      </c>
      <c r="J25" s="28" t="str">
        <f aca="false">IF($A25="","",IFERROR(AVERAGEIFS('זה אני - קליטה'!$AN$5:$AN$204,'זה אני - קליטה'!$B$5:$B$204,$A25,'זה אני - קליטה'!$C$5:$C$204,"אמצע שנה"),""))</f>
        <v/>
      </c>
      <c r="K25" s="38" t="str">
        <f aca="false">IF($A25="","",COUNTIFS('רווחה - קליטה'!$B$5:$B$204,$A25,'רווחה - קליטה'!$C$5:$C$204,"אמצע שנה"))</f>
        <v/>
      </c>
      <c r="L25" s="36" t="str">
        <f aca="false">IF($A25="","",IFERROR(AVERAGEIFS('רווחה - קליטה'!$AQ$5:$AQ$204,'רווחה - קליטה'!$B$5:$B$204,$A25,'רווחה - קליטה'!$C$5:$C$204,"אמצע שנה"),""))</f>
        <v/>
      </c>
      <c r="M25" s="28" t="str">
        <f aca="false">IF($A25="","",IFERROR(COUNTIFS('רווחה - קליטה'!$B$5:$B$204,$A25,'רווחה - קליטה'!$C$5:$C$204,"אמצע שנה",'רווחה - קליטה'!$AS$5:$AS$204,"אמין")/COUNTIFS('רווחה - קליטה'!$B$5:$B$204,$A25,'רווחה - קליטה'!$C$5:$C$204,"אמצע שנה"),""))</f>
        <v/>
      </c>
      <c r="N25" s="38" t="str">
        <f aca="false">IF($A25="","",COUNTIFS('זה אני - קליטה'!$B$5:$B$204,$A25,'זה אני - קליטה'!$C$5:$C$204,"סוף שנה"))</f>
        <v/>
      </c>
      <c r="O25" s="28" t="str">
        <f aca="false">IF($A25="","",IFERROR(AVERAGEIFS('זה אני - קליטה'!$AL$5:$AL$204,'זה אני - קליטה'!$B$5:$B$204,$A25,'זה אני - קליטה'!$C$5:$C$204,"סוף שנה"),""))</f>
        <v/>
      </c>
      <c r="P25" s="28" t="str">
        <f aca="false">IF($A25="","",IFERROR(AVERAGEIFS('זה אני - קליטה'!$AN$5:$AN$204,'זה אני - קליטה'!$B$5:$B$204,$A25,'זה אני - קליטה'!$C$5:$C$204,"סוף שנה"),""))</f>
        <v/>
      </c>
      <c r="Q25" s="38" t="str">
        <f aca="false">IF($A25="","",COUNTIFS('רווחה - קליטה'!$B$5:$B$204,$A25,'רווחה - קליטה'!$C$5:$C$204,"סוף שנה"))</f>
        <v/>
      </c>
      <c r="R25" s="36" t="str">
        <f aca="false">IF($A25="","",IFERROR(AVERAGEIFS('רווחה - קליטה'!$AQ$5:$AQ$204,'רווחה - קליטה'!$B$5:$B$204,$A25,'רווחה - קליטה'!$C$5:$C$204,"סוף שנה"),""))</f>
        <v/>
      </c>
      <c r="S25" s="28" t="str">
        <f aca="false">IF($A25="","",IFERROR(COUNTIFS('רווחה - קליטה'!$B$5:$B$204,$A25,'רווחה - קליטה'!$C$5:$C$204,"סוף שנה",'רווחה - קליטה'!$AS$5:$AS$204,"אמין")/COUNTIFS('רווחה - קליטה'!$B$5:$B$204,$A25,'רווחה - קליטה'!$C$5:$C$204,"סוף שנה"),""))</f>
        <v/>
      </c>
    </row>
    <row r="26" customFormat="false" ht="15" hidden="false" customHeight="false" outlineLevel="0" collapsed="false">
      <c r="A26" s="29"/>
      <c r="B26" s="38" t="str">
        <f aca="false">IF($A26="","",COUNTIFS('זה אני - קליטה'!$B$5:$B$204,$A26,'זה אני - קליטה'!$C$5:$C$204,"תחילת שנה"))</f>
        <v/>
      </c>
      <c r="C26" s="28" t="str">
        <f aca="false">IF($A26="","",IFERROR(AVERAGEIFS('זה אני - קליטה'!$AL$5:$AL$204,'זה אני - קליטה'!$B$5:$B$204,$A26,'זה אני - קליטה'!$C$5:$C$204,"תחילת שנה"),""))</f>
        <v/>
      </c>
      <c r="D26" s="28" t="str">
        <f aca="false">IF($A26="","",IFERROR(AVERAGEIFS('זה אני - קליטה'!$AN$5:$AN$204,'זה אני - קליטה'!$B$5:$B$204,$A26,'זה אני - קליטה'!$C$5:$C$204,"תחילת שנה"),""))</f>
        <v/>
      </c>
      <c r="E26" s="38" t="str">
        <f aca="false">IF($A26="","",COUNTIFS('רווחה - קליטה'!$B$5:$B$204,$A26,'רווחה - קליטה'!$C$5:$C$204,"תחילת שנה"))</f>
        <v/>
      </c>
      <c r="F26" s="36" t="str">
        <f aca="false">IF($A26="","",IFERROR(AVERAGEIFS('רווחה - קליטה'!$AQ$5:$AQ$204,'רווחה - קליטה'!$B$5:$B$204,$A26,'רווחה - קליטה'!$C$5:$C$204,"תחילת שנה"),""))</f>
        <v/>
      </c>
      <c r="G26" s="28" t="str">
        <f aca="false">IF($A26="","",IFERROR(COUNTIFS('רווחה - קליטה'!$B$5:$B$204,$A26,'רווחה - קליטה'!$C$5:$C$204,"תחילת שנה",'רווחה - קליטה'!$AS$5:$AS$204,"אמין")/COUNTIFS('רווחה - קליטה'!$B$5:$B$204,$A26,'רווחה - קליטה'!$C$5:$C$204,"תחילת שנה"),""))</f>
        <v/>
      </c>
      <c r="H26" s="38" t="str">
        <f aca="false">IF($A26="","",COUNTIFS('זה אני - קליטה'!$B$5:$B$204,$A26,'זה אני - קליטה'!$C$5:$C$204,"אמצע שנה"))</f>
        <v/>
      </c>
      <c r="I26" s="28" t="str">
        <f aca="false">IF($A26="","",IFERROR(AVERAGEIFS('זה אני - קליטה'!$AL$5:$AL$204,'זה אני - קליטה'!$B$5:$B$204,$A26,'זה אני - קליטה'!$C$5:$C$204,"אמצע שנה"),""))</f>
        <v/>
      </c>
      <c r="J26" s="28" t="str">
        <f aca="false">IF($A26="","",IFERROR(AVERAGEIFS('זה אני - קליטה'!$AN$5:$AN$204,'זה אני - קליטה'!$B$5:$B$204,$A26,'זה אני - קליטה'!$C$5:$C$204,"אמצע שנה"),""))</f>
        <v/>
      </c>
      <c r="K26" s="38" t="str">
        <f aca="false">IF($A26="","",COUNTIFS('רווחה - קליטה'!$B$5:$B$204,$A26,'רווחה - קליטה'!$C$5:$C$204,"אמצע שנה"))</f>
        <v/>
      </c>
      <c r="L26" s="36" t="str">
        <f aca="false">IF($A26="","",IFERROR(AVERAGEIFS('רווחה - קליטה'!$AQ$5:$AQ$204,'רווחה - קליטה'!$B$5:$B$204,$A26,'רווחה - קליטה'!$C$5:$C$204,"אמצע שנה"),""))</f>
        <v/>
      </c>
      <c r="M26" s="28" t="str">
        <f aca="false">IF($A26="","",IFERROR(COUNTIFS('רווחה - קליטה'!$B$5:$B$204,$A26,'רווחה - קליטה'!$C$5:$C$204,"אמצע שנה",'רווחה - קליטה'!$AS$5:$AS$204,"אמין")/COUNTIFS('רווחה - קליטה'!$B$5:$B$204,$A26,'רווחה - קליטה'!$C$5:$C$204,"אמצע שנה"),""))</f>
        <v/>
      </c>
      <c r="N26" s="38" t="str">
        <f aca="false">IF($A26="","",COUNTIFS('זה אני - קליטה'!$B$5:$B$204,$A26,'זה אני - קליטה'!$C$5:$C$204,"סוף שנה"))</f>
        <v/>
      </c>
      <c r="O26" s="28" t="str">
        <f aca="false">IF($A26="","",IFERROR(AVERAGEIFS('זה אני - קליטה'!$AL$5:$AL$204,'זה אני - קליטה'!$B$5:$B$204,$A26,'זה אני - קליטה'!$C$5:$C$204,"סוף שנה"),""))</f>
        <v/>
      </c>
      <c r="P26" s="28" t="str">
        <f aca="false">IF($A26="","",IFERROR(AVERAGEIFS('זה אני - קליטה'!$AN$5:$AN$204,'זה אני - קליטה'!$B$5:$B$204,$A26,'זה אני - קליטה'!$C$5:$C$204,"סוף שנה"),""))</f>
        <v/>
      </c>
      <c r="Q26" s="38" t="str">
        <f aca="false">IF($A26="","",COUNTIFS('רווחה - קליטה'!$B$5:$B$204,$A26,'רווחה - קליטה'!$C$5:$C$204,"סוף שנה"))</f>
        <v/>
      </c>
      <c r="R26" s="36" t="str">
        <f aca="false">IF($A26="","",IFERROR(AVERAGEIFS('רווחה - קליטה'!$AQ$5:$AQ$204,'רווחה - קליטה'!$B$5:$B$204,$A26,'רווחה - קליטה'!$C$5:$C$204,"סוף שנה"),""))</f>
        <v/>
      </c>
      <c r="S26" s="28" t="str">
        <f aca="false">IF($A26="","",IFERROR(COUNTIFS('רווחה - קליטה'!$B$5:$B$204,$A26,'רווחה - קליטה'!$C$5:$C$204,"סוף שנה",'רווחה - קליטה'!$AS$5:$AS$204,"אמין")/COUNTIFS('רווחה - קליטה'!$B$5:$B$204,$A26,'רווחה - קליטה'!$C$5:$C$204,"סוף שנה"),""))</f>
        <v/>
      </c>
    </row>
    <row r="27" customFormat="false" ht="15" hidden="false" customHeight="false" outlineLevel="0" collapsed="false">
      <c r="A27" s="29"/>
      <c r="B27" s="38" t="str">
        <f aca="false">IF($A27="","",COUNTIFS('זה אני - קליטה'!$B$5:$B$204,$A27,'זה אני - קליטה'!$C$5:$C$204,"תחילת שנה"))</f>
        <v/>
      </c>
      <c r="C27" s="28" t="str">
        <f aca="false">IF($A27="","",IFERROR(AVERAGEIFS('זה אני - קליטה'!$AL$5:$AL$204,'זה אני - קליטה'!$B$5:$B$204,$A27,'זה אני - קליטה'!$C$5:$C$204,"תחילת שנה"),""))</f>
        <v/>
      </c>
      <c r="D27" s="28" t="str">
        <f aca="false">IF($A27="","",IFERROR(AVERAGEIFS('זה אני - קליטה'!$AN$5:$AN$204,'זה אני - קליטה'!$B$5:$B$204,$A27,'זה אני - קליטה'!$C$5:$C$204,"תחילת שנה"),""))</f>
        <v/>
      </c>
      <c r="E27" s="38" t="str">
        <f aca="false">IF($A27="","",COUNTIFS('רווחה - קליטה'!$B$5:$B$204,$A27,'רווחה - קליטה'!$C$5:$C$204,"תחילת שנה"))</f>
        <v/>
      </c>
      <c r="F27" s="36" t="str">
        <f aca="false">IF($A27="","",IFERROR(AVERAGEIFS('רווחה - קליטה'!$AQ$5:$AQ$204,'רווחה - קליטה'!$B$5:$B$204,$A27,'רווחה - קליטה'!$C$5:$C$204,"תחילת שנה"),""))</f>
        <v/>
      </c>
      <c r="G27" s="28" t="str">
        <f aca="false">IF($A27="","",IFERROR(COUNTIFS('רווחה - קליטה'!$B$5:$B$204,$A27,'רווחה - קליטה'!$C$5:$C$204,"תחילת שנה",'רווחה - קליטה'!$AS$5:$AS$204,"אמין")/COUNTIFS('רווחה - קליטה'!$B$5:$B$204,$A27,'רווחה - קליטה'!$C$5:$C$204,"תחילת שנה"),""))</f>
        <v/>
      </c>
      <c r="H27" s="38" t="str">
        <f aca="false">IF($A27="","",COUNTIFS('זה אני - קליטה'!$B$5:$B$204,$A27,'זה אני - קליטה'!$C$5:$C$204,"אמצע שנה"))</f>
        <v/>
      </c>
      <c r="I27" s="28" t="str">
        <f aca="false">IF($A27="","",IFERROR(AVERAGEIFS('זה אני - קליטה'!$AL$5:$AL$204,'זה אני - קליטה'!$B$5:$B$204,$A27,'זה אני - קליטה'!$C$5:$C$204,"אמצע שנה"),""))</f>
        <v/>
      </c>
      <c r="J27" s="28" t="str">
        <f aca="false">IF($A27="","",IFERROR(AVERAGEIFS('זה אני - קליטה'!$AN$5:$AN$204,'זה אני - קליטה'!$B$5:$B$204,$A27,'זה אני - קליטה'!$C$5:$C$204,"אמצע שנה"),""))</f>
        <v/>
      </c>
      <c r="K27" s="38" t="str">
        <f aca="false">IF($A27="","",COUNTIFS('רווחה - קליטה'!$B$5:$B$204,$A27,'רווחה - קליטה'!$C$5:$C$204,"אמצע שנה"))</f>
        <v/>
      </c>
      <c r="L27" s="36" t="str">
        <f aca="false">IF($A27="","",IFERROR(AVERAGEIFS('רווחה - קליטה'!$AQ$5:$AQ$204,'רווחה - קליטה'!$B$5:$B$204,$A27,'רווחה - קליטה'!$C$5:$C$204,"אמצע שנה"),""))</f>
        <v/>
      </c>
      <c r="M27" s="28" t="str">
        <f aca="false">IF($A27="","",IFERROR(COUNTIFS('רווחה - קליטה'!$B$5:$B$204,$A27,'רווחה - קליטה'!$C$5:$C$204,"אמצע שנה",'רווחה - קליטה'!$AS$5:$AS$204,"אמין")/COUNTIFS('רווחה - קליטה'!$B$5:$B$204,$A27,'רווחה - קליטה'!$C$5:$C$204,"אמצע שנה"),""))</f>
        <v/>
      </c>
      <c r="N27" s="38" t="str">
        <f aca="false">IF($A27="","",COUNTIFS('זה אני - קליטה'!$B$5:$B$204,$A27,'זה אני - קליטה'!$C$5:$C$204,"סוף שנה"))</f>
        <v/>
      </c>
      <c r="O27" s="28" t="str">
        <f aca="false">IF($A27="","",IFERROR(AVERAGEIFS('זה אני - קליטה'!$AL$5:$AL$204,'זה אני - קליטה'!$B$5:$B$204,$A27,'זה אני - קליטה'!$C$5:$C$204,"סוף שנה"),""))</f>
        <v/>
      </c>
      <c r="P27" s="28" t="str">
        <f aca="false">IF($A27="","",IFERROR(AVERAGEIFS('זה אני - קליטה'!$AN$5:$AN$204,'זה אני - קליטה'!$B$5:$B$204,$A27,'זה אני - קליטה'!$C$5:$C$204,"סוף שנה"),""))</f>
        <v/>
      </c>
      <c r="Q27" s="38" t="str">
        <f aca="false">IF($A27="","",COUNTIFS('רווחה - קליטה'!$B$5:$B$204,$A27,'רווחה - קליטה'!$C$5:$C$204,"סוף שנה"))</f>
        <v/>
      </c>
      <c r="R27" s="36" t="str">
        <f aca="false">IF($A27="","",IFERROR(AVERAGEIFS('רווחה - קליטה'!$AQ$5:$AQ$204,'רווחה - קליטה'!$B$5:$B$204,$A27,'רווחה - קליטה'!$C$5:$C$204,"סוף שנה"),""))</f>
        <v/>
      </c>
      <c r="S27" s="28" t="str">
        <f aca="false">IF($A27="","",IFERROR(COUNTIFS('רווחה - קליטה'!$B$5:$B$204,$A27,'רווחה - קליטה'!$C$5:$C$204,"סוף שנה",'רווחה - קליטה'!$AS$5:$AS$204,"אמין")/COUNTIFS('רווחה - קליטה'!$B$5:$B$204,$A27,'רווחה - קליטה'!$C$5:$C$204,"סוף שנה"),""))</f>
        <v/>
      </c>
    </row>
    <row r="28" customFormat="false" ht="15" hidden="false" customHeight="false" outlineLevel="0" collapsed="false">
      <c r="A28" s="29"/>
      <c r="B28" s="38" t="str">
        <f aca="false">IF($A28="","",COUNTIFS('זה אני - קליטה'!$B$5:$B$204,$A28,'זה אני - קליטה'!$C$5:$C$204,"תחילת שנה"))</f>
        <v/>
      </c>
      <c r="C28" s="28" t="str">
        <f aca="false">IF($A28="","",IFERROR(AVERAGEIFS('זה אני - קליטה'!$AL$5:$AL$204,'זה אני - קליטה'!$B$5:$B$204,$A28,'זה אני - קליטה'!$C$5:$C$204,"תחילת שנה"),""))</f>
        <v/>
      </c>
      <c r="D28" s="28" t="str">
        <f aca="false">IF($A28="","",IFERROR(AVERAGEIFS('זה אני - קליטה'!$AN$5:$AN$204,'זה אני - קליטה'!$B$5:$B$204,$A28,'זה אני - קליטה'!$C$5:$C$204,"תחילת שנה"),""))</f>
        <v/>
      </c>
      <c r="E28" s="38" t="str">
        <f aca="false">IF($A28="","",COUNTIFS('רווחה - קליטה'!$B$5:$B$204,$A28,'רווחה - קליטה'!$C$5:$C$204,"תחילת שנה"))</f>
        <v/>
      </c>
      <c r="F28" s="36" t="str">
        <f aca="false">IF($A28="","",IFERROR(AVERAGEIFS('רווחה - קליטה'!$AQ$5:$AQ$204,'רווחה - קליטה'!$B$5:$B$204,$A28,'רווחה - קליטה'!$C$5:$C$204,"תחילת שנה"),""))</f>
        <v/>
      </c>
      <c r="G28" s="28" t="str">
        <f aca="false">IF($A28="","",IFERROR(COUNTIFS('רווחה - קליטה'!$B$5:$B$204,$A28,'רווחה - קליטה'!$C$5:$C$204,"תחילת שנה",'רווחה - קליטה'!$AS$5:$AS$204,"אמין")/COUNTIFS('רווחה - קליטה'!$B$5:$B$204,$A28,'רווחה - קליטה'!$C$5:$C$204,"תחילת שנה"),""))</f>
        <v/>
      </c>
      <c r="H28" s="38" t="str">
        <f aca="false">IF($A28="","",COUNTIFS('זה אני - קליטה'!$B$5:$B$204,$A28,'זה אני - קליטה'!$C$5:$C$204,"אמצע שנה"))</f>
        <v/>
      </c>
      <c r="I28" s="28" t="str">
        <f aca="false">IF($A28="","",IFERROR(AVERAGEIFS('זה אני - קליטה'!$AL$5:$AL$204,'זה אני - קליטה'!$B$5:$B$204,$A28,'זה אני - קליטה'!$C$5:$C$204,"אמצע שנה"),""))</f>
        <v/>
      </c>
      <c r="J28" s="28" t="str">
        <f aca="false">IF($A28="","",IFERROR(AVERAGEIFS('זה אני - קליטה'!$AN$5:$AN$204,'זה אני - קליטה'!$B$5:$B$204,$A28,'זה אני - קליטה'!$C$5:$C$204,"אמצע שנה"),""))</f>
        <v/>
      </c>
      <c r="K28" s="38" t="str">
        <f aca="false">IF($A28="","",COUNTIFS('רווחה - קליטה'!$B$5:$B$204,$A28,'רווחה - קליטה'!$C$5:$C$204,"אמצע שנה"))</f>
        <v/>
      </c>
      <c r="L28" s="36" t="str">
        <f aca="false">IF($A28="","",IFERROR(AVERAGEIFS('רווחה - קליטה'!$AQ$5:$AQ$204,'רווחה - קליטה'!$B$5:$B$204,$A28,'רווחה - קליטה'!$C$5:$C$204,"אמצע שנה"),""))</f>
        <v/>
      </c>
      <c r="M28" s="28" t="str">
        <f aca="false">IF($A28="","",IFERROR(COUNTIFS('רווחה - קליטה'!$B$5:$B$204,$A28,'רווחה - קליטה'!$C$5:$C$204,"אמצע שנה",'רווחה - קליטה'!$AS$5:$AS$204,"אמין")/COUNTIFS('רווחה - קליטה'!$B$5:$B$204,$A28,'רווחה - קליטה'!$C$5:$C$204,"אמצע שנה"),""))</f>
        <v/>
      </c>
      <c r="N28" s="38" t="str">
        <f aca="false">IF($A28="","",COUNTIFS('זה אני - קליטה'!$B$5:$B$204,$A28,'זה אני - קליטה'!$C$5:$C$204,"סוף שנה"))</f>
        <v/>
      </c>
      <c r="O28" s="28" t="str">
        <f aca="false">IF($A28="","",IFERROR(AVERAGEIFS('זה אני - קליטה'!$AL$5:$AL$204,'זה אני - קליטה'!$B$5:$B$204,$A28,'זה אני - קליטה'!$C$5:$C$204,"סוף שנה"),""))</f>
        <v/>
      </c>
      <c r="P28" s="28" t="str">
        <f aca="false">IF($A28="","",IFERROR(AVERAGEIFS('זה אני - קליטה'!$AN$5:$AN$204,'זה אני - קליטה'!$B$5:$B$204,$A28,'זה אני - קליטה'!$C$5:$C$204,"סוף שנה"),""))</f>
        <v/>
      </c>
      <c r="Q28" s="38" t="str">
        <f aca="false">IF($A28="","",COUNTIFS('רווחה - קליטה'!$B$5:$B$204,$A28,'רווחה - קליטה'!$C$5:$C$204,"סוף שנה"))</f>
        <v/>
      </c>
      <c r="R28" s="36" t="str">
        <f aca="false">IF($A28="","",IFERROR(AVERAGEIFS('רווחה - קליטה'!$AQ$5:$AQ$204,'רווחה - קליטה'!$B$5:$B$204,$A28,'רווחה - קליטה'!$C$5:$C$204,"סוף שנה"),""))</f>
        <v/>
      </c>
      <c r="S28" s="28" t="str">
        <f aca="false">IF($A28="","",IFERROR(COUNTIFS('רווחה - קליטה'!$B$5:$B$204,$A28,'רווחה - קליטה'!$C$5:$C$204,"סוף שנה",'רווחה - קליטה'!$AS$5:$AS$204,"אמין")/COUNTIFS('רווחה - קליטה'!$B$5:$B$204,$A28,'רווחה - קליטה'!$C$5:$C$204,"סוף שנה"),""))</f>
        <v/>
      </c>
    </row>
    <row r="29" customFormat="false" ht="15" hidden="false" customHeight="false" outlineLevel="0" collapsed="false">
      <c r="A29" s="29"/>
      <c r="B29" s="38" t="str">
        <f aca="false">IF($A29="","",COUNTIFS('זה אני - קליטה'!$B$5:$B$204,$A29,'זה אני - קליטה'!$C$5:$C$204,"תחילת שנה"))</f>
        <v/>
      </c>
      <c r="C29" s="28" t="str">
        <f aca="false">IF($A29="","",IFERROR(AVERAGEIFS('זה אני - קליטה'!$AL$5:$AL$204,'זה אני - קליטה'!$B$5:$B$204,$A29,'זה אני - קליטה'!$C$5:$C$204,"תחילת שנה"),""))</f>
        <v/>
      </c>
      <c r="D29" s="28" t="str">
        <f aca="false">IF($A29="","",IFERROR(AVERAGEIFS('זה אני - קליטה'!$AN$5:$AN$204,'זה אני - קליטה'!$B$5:$B$204,$A29,'זה אני - קליטה'!$C$5:$C$204,"תחילת שנה"),""))</f>
        <v/>
      </c>
      <c r="E29" s="38" t="str">
        <f aca="false">IF($A29="","",COUNTIFS('רווחה - קליטה'!$B$5:$B$204,$A29,'רווחה - קליטה'!$C$5:$C$204,"תחילת שנה"))</f>
        <v/>
      </c>
      <c r="F29" s="36" t="str">
        <f aca="false">IF($A29="","",IFERROR(AVERAGEIFS('רווחה - קליטה'!$AQ$5:$AQ$204,'רווחה - קליטה'!$B$5:$B$204,$A29,'רווחה - קליטה'!$C$5:$C$204,"תחילת שנה"),""))</f>
        <v/>
      </c>
      <c r="G29" s="28" t="str">
        <f aca="false">IF($A29="","",IFERROR(COUNTIFS('רווחה - קליטה'!$B$5:$B$204,$A29,'רווחה - קליטה'!$C$5:$C$204,"תחילת שנה",'רווחה - קליטה'!$AS$5:$AS$204,"אמין")/COUNTIFS('רווחה - קליטה'!$B$5:$B$204,$A29,'רווחה - קליטה'!$C$5:$C$204,"תחילת שנה"),""))</f>
        <v/>
      </c>
      <c r="H29" s="38" t="str">
        <f aca="false">IF($A29="","",COUNTIFS('זה אני - קליטה'!$B$5:$B$204,$A29,'זה אני - קליטה'!$C$5:$C$204,"אמצע שנה"))</f>
        <v/>
      </c>
      <c r="I29" s="28" t="str">
        <f aca="false">IF($A29="","",IFERROR(AVERAGEIFS('זה אני - קליטה'!$AL$5:$AL$204,'זה אני - קליטה'!$B$5:$B$204,$A29,'זה אני - קליטה'!$C$5:$C$204,"אמצע שנה"),""))</f>
        <v/>
      </c>
      <c r="J29" s="28" t="str">
        <f aca="false">IF($A29="","",IFERROR(AVERAGEIFS('זה אני - קליטה'!$AN$5:$AN$204,'זה אני - קליטה'!$B$5:$B$204,$A29,'זה אני - קליטה'!$C$5:$C$204,"אמצע שנה"),""))</f>
        <v/>
      </c>
      <c r="K29" s="38" t="str">
        <f aca="false">IF($A29="","",COUNTIFS('רווחה - קליטה'!$B$5:$B$204,$A29,'רווחה - קליטה'!$C$5:$C$204,"אמצע שנה"))</f>
        <v/>
      </c>
      <c r="L29" s="36" t="str">
        <f aca="false">IF($A29="","",IFERROR(AVERAGEIFS('רווחה - קליטה'!$AQ$5:$AQ$204,'רווחה - קליטה'!$B$5:$B$204,$A29,'רווחה - קליטה'!$C$5:$C$204,"אמצע שנה"),""))</f>
        <v/>
      </c>
      <c r="M29" s="28" t="str">
        <f aca="false">IF($A29="","",IFERROR(COUNTIFS('רווחה - קליטה'!$B$5:$B$204,$A29,'רווחה - קליטה'!$C$5:$C$204,"אמצע שנה",'רווחה - קליטה'!$AS$5:$AS$204,"אמין")/COUNTIFS('רווחה - קליטה'!$B$5:$B$204,$A29,'רווחה - קליטה'!$C$5:$C$204,"אמצע שנה"),""))</f>
        <v/>
      </c>
      <c r="N29" s="38" t="str">
        <f aca="false">IF($A29="","",COUNTIFS('זה אני - קליטה'!$B$5:$B$204,$A29,'זה אני - קליטה'!$C$5:$C$204,"סוף שנה"))</f>
        <v/>
      </c>
      <c r="O29" s="28" t="str">
        <f aca="false">IF($A29="","",IFERROR(AVERAGEIFS('זה אני - קליטה'!$AL$5:$AL$204,'זה אני - קליטה'!$B$5:$B$204,$A29,'זה אני - קליטה'!$C$5:$C$204,"סוף שנה"),""))</f>
        <v/>
      </c>
      <c r="P29" s="28" t="str">
        <f aca="false">IF($A29="","",IFERROR(AVERAGEIFS('זה אני - קליטה'!$AN$5:$AN$204,'זה אני - קליטה'!$B$5:$B$204,$A29,'זה אני - קליטה'!$C$5:$C$204,"סוף שנה"),""))</f>
        <v/>
      </c>
      <c r="Q29" s="38" t="str">
        <f aca="false">IF($A29="","",COUNTIFS('רווחה - קליטה'!$B$5:$B$204,$A29,'רווחה - קליטה'!$C$5:$C$204,"סוף שנה"))</f>
        <v/>
      </c>
      <c r="R29" s="36" t="str">
        <f aca="false">IF($A29="","",IFERROR(AVERAGEIFS('רווחה - קליטה'!$AQ$5:$AQ$204,'רווחה - קליטה'!$B$5:$B$204,$A29,'רווחה - קליטה'!$C$5:$C$204,"סוף שנה"),""))</f>
        <v/>
      </c>
      <c r="S29" s="28" t="str">
        <f aca="false">IF($A29="","",IFERROR(COUNTIFS('רווחה - קליטה'!$B$5:$B$204,$A29,'רווחה - קליטה'!$C$5:$C$204,"סוף שנה",'רווחה - קליטה'!$AS$5:$AS$204,"אמין")/COUNTIFS('רווחה - קליטה'!$B$5:$B$204,$A29,'רווחה - קליטה'!$C$5:$C$204,"סוף שנה"),""))</f>
        <v/>
      </c>
    </row>
    <row r="30" customFormat="false" ht="15" hidden="false" customHeight="false" outlineLevel="0" collapsed="false">
      <c r="A30" s="29"/>
      <c r="B30" s="38" t="str">
        <f aca="false">IF($A30="","",COUNTIFS('זה אני - קליטה'!$B$5:$B$204,$A30,'זה אני - קליטה'!$C$5:$C$204,"תחילת שנה"))</f>
        <v/>
      </c>
      <c r="C30" s="28" t="str">
        <f aca="false">IF($A30="","",IFERROR(AVERAGEIFS('זה אני - קליטה'!$AL$5:$AL$204,'זה אני - קליטה'!$B$5:$B$204,$A30,'זה אני - קליטה'!$C$5:$C$204,"תחילת שנה"),""))</f>
        <v/>
      </c>
      <c r="D30" s="28" t="str">
        <f aca="false">IF($A30="","",IFERROR(AVERAGEIFS('זה אני - קליטה'!$AN$5:$AN$204,'זה אני - קליטה'!$B$5:$B$204,$A30,'זה אני - קליטה'!$C$5:$C$204,"תחילת שנה"),""))</f>
        <v/>
      </c>
      <c r="E30" s="38" t="str">
        <f aca="false">IF($A30="","",COUNTIFS('רווחה - קליטה'!$B$5:$B$204,$A30,'רווחה - קליטה'!$C$5:$C$204,"תחילת שנה"))</f>
        <v/>
      </c>
      <c r="F30" s="36" t="str">
        <f aca="false">IF($A30="","",IFERROR(AVERAGEIFS('רווחה - קליטה'!$AQ$5:$AQ$204,'רווחה - קליטה'!$B$5:$B$204,$A30,'רווחה - קליטה'!$C$5:$C$204,"תחילת שנה"),""))</f>
        <v/>
      </c>
      <c r="G30" s="28" t="str">
        <f aca="false">IF($A30="","",IFERROR(COUNTIFS('רווחה - קליטה'!$B$5:$B$204,$A30,'רווחה - קליטה'!$C$5:$C$204,"תחילת שנה",'רווחה - קליטה'!$AS$5:$AS$204,"אמין")/COUNTIFS('רווחה - קליטה'!$B$5:$B$204,$A30,'רווחה - קליטה'!$C$5:$C$204,"תחילת שנה"),""))</f>
        <v/>
      </c>
      <c r="H30" s="38" t="str">
        <f aca="false">IF($A30="","",COUNTIFS('זה אני - קליטה'!$B$5:$B$204,$A30,'זה אני - קליטה'!$C$5:$C$204,"אמצע שנה"))</f>
        <v/>
      </c>
      <c r="I30" s="28" t="str">
        <f aca="false">IF($A30="","",IFERROR(AVERAGEIFS('זה אני - קליטה'!$AL$5:$AL$204,'זה אני - קליטה'!$B$5:$B$204,$A30,'זה אני - קליטה'!$C$5:$C$204,"אמצע שנה"),""))</f>
        <v/>
      </c>
      <c r="J30" s="28" t="str">
        <f aca="false">IF($A30="","",IFERROR(AVERAGEIFS('זה אני - קליטה'!$AN$5:$AN$204,'זה אני - קליטה'!$B$5:$B$204,$A30,'זה אני - קליטה'!$C$5:$C$204,"אמצע שנה"),""))</f>
        <v/>
      </c>
      <c r="K30" s="38" t="str">
        <f aca="false">IF($A30="","",COUNTIFS('רווחה - קליטה'!$B$5:$B$204,$A30,'רווחה - קליטה'!$C$5:$C$204,"אמצע שנה"))</f>
        <v/>
      </c>
      <c r="L30" s="36" t="str">
        <f aca="false">IF($A30="","",IFERROR(AVERAGEIFS('רווחה - קליטה'!$AQ$5:$AQ$204,'רווחה - קליטה'!$B$5:$B$204,$A30,'רווחה - קליטה'!$C$5:$C$204,"אמצע שנה"),""))</f>
        <v/>
      </c>
      <c r="M30" s="28" t="str">
        <f aca="false">IF($A30="","",IFERROR(COUNTIFS('רווחה - קליטה'!$B$5:$B$204,$A30,'רווחה - קליטה'!$C$5:$C$204,"אמצע שנה",'רווחה - קליטה'!$AS$5:$AS$204,"אמין")/COUNTIFS('רווחה - קליטה'!$B$5:$B$204,$A30,'רווחה - קליטה'!$C$5:$C$204,"אמצע שנה"),""))</f>
        <v/>
      </c>
      <c r="N30" s="38" t="str">
        <f aca="false">IF($A30="","",COUNTIFS('זה אני - קליטה'!$B$5:$B$204,$A30,'זה אני - קליטה'!$C$5:$C$204,"סוף שנה"))</f>
        <v/>
      </c>
      <c r="O30" s="28" t="str">
        <f aca="false">IF($A30="","",IFERROR(AVERAGEIFS('זה אני - קליטה'!$AL$5:$AL$204,'זה אני - קליטה'!$B$5:$B$204,$A30,'זה אני - קליטה'!$C$5:$C$204,"סוף שנה"),""))</f>
        <v/>
      </c>
      <c r="P30" s="28" t="str">
        <f aca="false">IF($A30="","",IFERROR(AVERAGEIFS('זה אני - קליטה'!$AN$5:$AN$204,'זה אני - קליטה'!$B$5:$B$204,$A30,'זה אני - קליטה'!$C$5:$C$204,"סוף שנה"),""))</f>
        <v/>
      </c>
      <c r="Q30" s="38" t="str">
        <f aca="false">IF($A30="","",COUNTIFS('רווחה - קליטה'!$B$5:$B$204,$A30,'רווחה - קליטה'!$C$5:$C$204,"סוף שנה"))</f>
        <v/>
      </c>
      <c r="R30" s="36" t="str">
        <f aca="false">IF($A30="","",IFERROR(AVERAGEIFS('רווחה - קליטה'!$AQ$5:$AQ$204,'רווחה - קליטה'!$B$5:$B$204,$A30,'רווחה - קליטה'!$C$5:$C$204,"סוף שנה"),""))</f>
        <v/>
      </c>
      <c r="S30" s="28" t="str">
        <f aca="false">IF($A30="","",IFERROR(COUNTIFS('רווחה - קליטה'!$B$5:$B$204,$A30,'רווחה - קליטה'!$C$5:$C$204,"סוף שנה",'רווחה - קליטה'!$AS$5:$AS$204,"אמין")/COUNTIFS('רווחה - קליטה'!$B$5:$B$204,$A30,'רווחה - קליטה'!$C$5:$C$204,"סוף שנה"),""))</f>
        <v/>
      </c>
    </row>
    <row r="31" customFormat="false" ht="15" hidden="false" customHeight="false" outlineLevel="0" collapsed="false">
      <c r="A31" s="29"/>
      <c r="B31" s="38" t="str">
        <f aca="false">IF($A31="","",COUNTIFS('זה אני - קליטה'!$B$5:$B$204,$A31,'זה אני - קליטה'!$C$5:$C$204,"תחילת שנה"))</f>
        <v/>
      </c>
      <c r="C31" s="28" t="str">
        <f aca="false">IF($A31="","",IFERROR(AVERAGEIFS('זה אני - קליטה'!$AL$5:$AL$204,'זה אני - קליטה'!$B$5:$B$204,$A31,'זה אני - קליטה'!$C$5:$C$204,"תחילת שנה"),""))</f>
        <v/>
      </c>
      <c r="D31" s="28" t="str">
        <f aca="false">IF($A31="","",IFERROR(AVERAGEIFS('זה אני - קליטה'!$AN$5:$AN$204,'זה אני - קליטה'!$B$5:$B$204,$A31,'זה אני - קליטה'!$C$5:$C$204,"תחילת שנה"),""))</f>
        <v/>
      </c>
      <c r="E31" s="38" t="str">
        <f aca="false">IF($A31="","",COUNTIFS('רווחה - קליטה'!$B$5:$B$204,$A31,'רווחה - קליטה'!$C$5:$C$204,"תחילת שנה"))</f>
        <v/>
      </c>
      <c r="F31" s="36" t="str">
        <f aca="false">IF($A31="","",IFERROR(AVERAGEIFS('רווחה - קליטה'!$AQ$5:$AQ$204,'רווחה - קליטה'!$B$5:$B$204,$A31,'רווחה - קליטה'!$C$5:$C$204,"תחילת שנה"),""))</f>
        <v/>
      </c>
      <c r="G31" s="28" t="str">
        <f aca="false">IF($A31="","",IFERROR(COUNTIFS('רווחה - קליטה'!$B$5:$B$204,$A31,'רווחה - קליטה'!$C$5:$C$204,"תחילת שנה",'רווחה - קליטה'!$AS$5:$AS$204,"אמין")/COUNTIFS('רווחה - קליטה'!$B$5:$B$204,$A31,'רווחה - קליטה'!$C$5:$C$204,"תחילת שנה"),""))</f>
        <v/>
      </c>
      <c r="H31" s="38" t="str">
        <f aca="false">IF($A31="","",COUNTIFS('זה אני - קליטה'!$B$5:$B$204,$A31,'זה אני - קליטה'!$C$5:$C$204,"אמצע שנה"))</f>
        <v/>
      </c>
      <c r="I31" s="28" t="str">
        <f aca="false">IF($A31="","",IFERROR(AVERAGEIFS('זה אני - קליטה'!$AL$5:$AL$204,'זה אני - קליטה'!$B$5:$B$204,$A31,'זה אני - קליטה'!$C$5:$C$204,"אמצע שנה"),""))</f>
        <v/>
      </c>
      <c r="J31" s="28" t="str">
        <f aca="false">IF($A31="","",IFERROR(AVERAGEIFS('זה אני - קליטה'!$AN$5:$AN$204,'זה אני - קליטה'!$B$5:$B$204,$A31,'זה אני - קליטה'!$C$5:$C$204,"אמצע שנה"),""))</f>
        <v/>
      </c>
      <c r="K31" s="38" t="str">
        <f aca="false">IF($A31="","",COUNTIFS('רווחה - קליטה'!$B$5:$B$204,$A31,'רווחה - קליטה'!$C$5:$C$204,"אמצע שנה"))</f>
        <v/>
      </c>
      <c r="L31" s="36" t="str">
        <f aca="false">IF($A31="","",IFERROR(AVERAGEIFS('רווחה - קליטה'!$AQ$5:$AQ$204,'רווחה - קליטה'!$B$5:$B$204,$A31,'רווחה - קליטה'!$C$5:$C$204,"אמצע שנה"),""))</f>
        <v/>
      </c>
      <c r="M31" s="28" t="str">
        <f aca="false">IF($A31="","",IFERROR(COUNTIFS('רווחה - קליטה'!$B$5:$B$204,$A31,'רווחה - קליטה'!$C$5:$C$204,"אמצע שנה",'רווחה - קליטה'!$AS$5:$AS$204,"אמין")/COUNTIFS('רווחה - קליטה'!$B$5:$B$204,$A31,'רווחה - קליטה'!$C$5:$C$204,"אמצע שנה"),""))</f>
        <v/>
      </c>
      <c r="N31" s="38" t="str">
        <f aca="false">IF($A31="","",COUNTIFS('זה אני - קליטה'!$B$5:$B$204,$A31,'זה אני - קליטה'!$C$5:$C$204,"סוף שנה"))</f>
        <v/>
      </c>
      <c r="O31" s="28" t="str">
        <f aca="false">IF($A31="","",IFERROR(AVERAGEIFS('זה אני - קליטה'!$AL$5:$AL$204,'זה אני - קליטה'!$B$5:$B$204,$A31,'זה אני - קליטה'!$C$5:$C$204,"סוף שנה"),""))</f>
        <v/>
      </c>
      <c r="P31" s="28" t="str">
        <f aca="false">IF($A31="","",IFERROR(AVERAGEIFS('זה אני - קליטה'!$AN$5:$AN$204,'זה אני - קליטה'!$B$5:$B$204,$A31,'זה אני - קליטה'!$C$5:$C$204,"סוף שנה"),""))</f>
        <v/>
      </c>
      <c r="Q31" s="38" t="str">
        <f aca="false">IF($A31="","",COUNTIFS('רווחה - קליטה'!$B$5:$B$204,$A31,'רווחה - קליטה'!$C$5:$C$204,"סוף שנה"))</f>
        <v/>
      </c>
      <c r="R31" s="36" t="str">
        <f aca="false">IF($A31="","",IFERROR(AVERAGEIFS('רווחה - קליטה'!$AQ$5:$AQ$204,'רווחה - קליטה'!$B$5:$B$204,$A31,'רווחה - קליטה'!$C$5:$C$204,"סוף שנה"),""))</f>
        <v/>
      </c>
      <c r="S31" s="28" t="str">
        <f aca="false">IF($A31="","",IFERROR(COUNTIFS('רווחה - קליטה'!$B$5:$B$204,$A31,'רווחה - קליטה'!$C$5:$C$204,"סוף שנה",'רווחה - קליטה'!$AS$5:$AS$204,"אמין")/COUNTIFS('רווחה - קליטה'!$B$5:$B$204,$A31,'רווחה - קליטה'!$C$5:$C$204,"סוף שנה"),""))</f>
        <v/>
      </c>
    </row>
    <row r="32" customFormat="false" ht="15" hidden="false" customHeight="false" outlineLevel="0" collapsed="false">
      <c r="A32" s="29"/>
      <c r="B32" s="38" t="str">
        <f aca="false">IF($A32="","",COUNTIFS('זה אני - קליטה'!$B$5:$B$204,$A32,'זה אני - קליטה'!$C$5:$C$204,"תחילת שנה"))</f>
        <v/>
      </c>
      <c r="C32" s="28" t="str">
        <f aca="false">IF($A32="","",IFERROR(AVERAGEIFS('זה אני - קליטה'!$AL$5:$AL$204,'זה אני - קליטה'!$B$5:$B$204,$A32,'זה אני - קליטה'!$C$5:$C$204,"תחילת שנה"),""))</f>
        <v/>
      </c>
      <c r="D32" s="28" t="str">
        <f aca="false">IF($A32="","",IFERROR(AVERAGEIFS('זה אני - קליטה'!$AN$5:$AN$204,'זה אני - קליטה'!$B$5:$B$204,$A32,'זה אני - קליטה'!$C$5:$C$204,"תחילת שנה"),""))</f>
        <v/>
      </c>
      <c r="E32" s="38" t="str">
        <f aca="false">IF($A32="","",COUNTIFS('רווחה - קליטה'!$B$5:$B$204,$A32,'רווחה - קליטה'!$C$5:$C$204,"תחילת שנה"))</f>
        <v/>
      </c>
      <c r="F32" s="36" t="str">
        <f aca="false">IF($A32="","",IFERROR(AVERAGEIFS('רווחה - קליטה'!$AQ$5:$AQ$204,'רווחה - קליטה'!$B$5:$B$204,$A32,'רווחה - קליטה'!$C$5:$C$204,"תחילת שנה"),""))</f>
        <v/>
      </c>
      <c r="G32" s="28" t="str">
        <f aca="false">IF($A32="","",IFERROR(COUNTIFS('רווחה - קליטה'!$B$5:$B$204,$A32,'רווחה - קליטה'!$C$5:$C$204,"תחילת שנה",'רווחה - קליטה'!$AS$5:$AS$204,"אמין")/COUNTIFS('רווחה - קליטה'!$B$5:$B$204,$A32,'רווחה - קליטה'!$C$5:$C$204,"תחילת שנה"),""))</f>
        <v/>
      </c>
      <c r="H32" s="38" t="str">
        <f aca="false">IF($A32="","",COUNTIFS('זה אני - קליטה'!$B$5:$B$204,$A32,'זה אני - קליטה'!$C$5:$C$204,"אמצע שנה"))</f>
        <v/>
      </c>
      <c r="I32" s="28" t="str">
        <f aca="false">IF($A32="","",IFERROR(AVERAGEIFS('זה אני - קליטה'!$AL$5:$AL$204,'זה אני - קליטה'!$B$5:$B$204,$A32,'זה אני - קליטה'!$C$5:$C$204,"אמצע שנה"),""))</f>
        <v/>
      </c>
      <c r="J32" s="28" t="str">
        <f aca="false">IF($A32="","",IFERROR(AVERAGEIFS('זה אני - קליטה'!$AN$5:$AN$204,'זה אני - קליטה'!$B$5:$B$204,$A32,'זה אני - קליטה'!$C$5:$C$204,"אמצע שנה"),""))</f>
        <v/>
      </c>
      <c r="K32" s="38" t="str">
        <f aca="false">IF($A32="","",COUNTIFS('רווחה - קליטה'!$B$5:$B$204,$A32,'רווחה - קליטה'!$C$5:$C$204,"אמצע שנה"))</f>
        <v/>
      </c>
      <c r="L32" s="36" t="str">
        <f aca="false">IF($A32="","",IFERROR(AVERAGEIFS('רווחה - קליטה'!$AQ$5:$AQ$204,'רווחה - קליטה'!$B$5:$B$204,$A32,'רווחה - קליטה'!$C$5:$C$204,"אמצע שנה"),""))</f>
        <v/>
      </c>
      <c r="M32" s="28" t="str">
        <f aca="false">IF($A32="","",IFERROR(COUNTIFS('רווחה - קליטה'!$B$5:$B$204,$A32,'רווחה - קליטה'!$C$5:$C$204,"אמצע שנה",'רווחה - קליטה'!$AS$5:$AS$204,"אמין")/COUNTIFS('רווחה - קליטה'!$B$5:$B$204,$A32,'רווחה - קליטה'!$C$5:$C$204,"אמצע שנה"),""))</f>
        <v/>
      </c>
      <c r="N32" s="38" t="str">
        <f aca="false">IF($A32="","",COUNTIFS('זה אני - קליטה'!$B$5:$B$204,$A32,'זה אני - קליטה'!$C$5:$C$204,"סוף שנה"))</f>
        <v/>
      </c>
      <c r="O32" s="28" t="str">
        <f aca="false">IF($A32="","",IFERROR(AVERAGEIFS('זה אני - קליטה'!$AL$5:$AL$204,'זה אני - קליטה'!$B$5:$B$204,$A32,'זה אני - קליטה'!$C$5:$C$204,"סוף שנה"),""))</f>
        <v/>
      </c>
      <c r="P32" s="28" t="str">
        <f aca="false">IF($A32="","",IFERROR(AVERAGEIFS('זה אני - קליטה'!$AN$5:$AN$204,'זה אני - קליטה'!$B$5:$B$204,$A32,'זה אני - קליטה'!$C$5:$C$204,"סוף שנה"),""))</f>
        <v/>
      </c>
      <c r="Q32" s="38" t="str">
        <f aca="false">IF($A32="","",COUNTIFS('רווחה - קליטה'!$B$5:$B$204,$A32,'רווחה - קליטה'!$C$5:$C$204,"סוף שנה"))</f>
        <v/>
      </c>
      <c r="R32" s="36" t="str">
        <f aca="false">IF($A32="","",IFERROR(AVERAGEIFS('רווחה - קליטה'!$AQ$5:$AQ$204,'רווחה - קליטה'!$B$5:$B$204,$A32,'רווחה - קליטה'!$C$5:$C$204,"סוף שנה"),""))</f>
        <v/>
      </c>
      <c r="S32" s="28" t="str">
        <f aca="false">IF($A32="","",IFERROR(COUNTIFS('רווחה - קליטה'!$B$5:$B$204,$A32,'רווחה - קליטה'!$C$5:$C$204,"סוף שנה",'רווחה - קליטה'!$AS$5:$AS$204,"אמין")/COUNTIFS('רווחה - קליטה'!$B$5:$B$204,$A32,'רווחה - קליטה'!$C$5:$C$204,"סוף שנה"),""))</f>
        <v/>
      </c>
    </row>
    <row r="33" customFormat="false" ht="15" hidden="false" customHeight="false" outlineLevel="0" collapsed="false">
      <c r="A33" s="29"/>
      <c r="B33" s="38" t="str">
        <f aca="false">IF($A33="","",COUNTIFS('זה אני - קליטה'!$B$5:$B$204,$A33,'זה אני - קליטה'!$C$5:$C$204,"תחילת שנה"))</f>
        <v/>
      </c>
      <c r="C33" s="28" t="str">
        <f aca="false">IF($A33="","",IFERROR(AVERAGEIFS('זה אני - קליטה'!$AL$5:$AL$204,'זה אני - קליטה'!$B$5:$B$204,$A33,'זה אני - קליטה'!$C$5:$C$204,"תחילת שנה"),""))</f>
        <v/>
      </c>
      <c r="D33" s="28" t="str">
        <f aca="false">IF($A33="","",IFERROR(AVERAGEIFS('זה אני - קליטה'!$AN$5:$AN$204,'זה אני - קליטה'!$B$5:$B$204,$A33,'זה אני - קליטה'!$C$5:$C$204,"תחילת שנה"),""))</f>
        <v/>
      </c>
      <c r="E33" s="38" t="str">
        <f aca="false">IF($A33="","",COUNTIFS('רווחה - קליטה'!$B$5:$B$204,$A33,'רווחה - קליטה'!$C$5:$C$204,"תחילת שנה"))</f>
        <v/>
      </c>
      <c r="F33" s="36" t="str">
        <f aca="false">IF($A33="","",IFERROR(AVERAGEIFS('רווחה - קליטה'!$AQ$5:$AQ$204,'רווחה - קליטה'!$B$5:$B$204,$A33,'רווחה - קליטה'!$C$5:$C$204,"תחילת שנה"),""))</f>
        <v/>
      </c>
      <c r="G33" s="28" t="str">
        <f aca="false">IF($A33="","",IFERROR(COUNTIFS('רווחה - קליטה'!$B$5:$B$204,$A33,'רווחה - קליטה'!$C$5:$C$204,"תחילת שנה",'רווחה - קליטה'!$AS$5:$AS$204,"אמין")/COUNTIFS('רווחה - קליטה'!$B$5:$B$204,$A33,'רווחה - קליטה'!$C$5:$C$204,"תחילת שנה"),""))</f>
        <v/>
      </c>
      <c r="H33" s="38" t="str">
        <f aca="false">IF($A33="","",COUNTIFS('זה אני - קליטה'!$B$5:$B$204,$A33,'זה אני - קליטה'!$C$5:$C$204,"אמצע שנה"))</f>
        <v/>
      </c>
      <c r="I33" s="28" t="str">
        <f aca="false">IF($A33="","",IFERROR(AVERAGEIFS('זה אני - קליטה'!$AL$5:$AL$204,'זה אני - קליטה'!$B$5:$B$204,$A33,'זה אני - קליטה'!$C$5:$C$204,"אמצע שנה"),""))</f>
        <v/>
      </c>
      <c r="J33" s="28" t="str">
        <f aca="false">IF($A33="","",IFERROR(AVERAGEIFS('זה אני - קליטה'!$AN$5:$AN$204,'זה אני - קליטה'!$B$5:$B$204,$A33,'זה אני - קליטה'!$C$5:$C$204,"אמצע שנה"),""))</f>
        <v/>
      </c>
      <c r="K33" s="38" t="str">
        <f aca="false">IF($A33="","",COUNTIFS('רווחה - קליטה'!$B$5:$B$204,$A33,'רווחה - קליטה'!$C$5:$C$204,"אמצע שנה"))</f>
        <v/>
      </c>
      <c r="L33" s="36" t="str">
        <f aca="false">IF($A33="","",IFERROR(AVERAGEIFS('רווחה - קליטה'!$AQ$5:$AQ$204,'רווחה - קליטה'!$B$5:$B$204,$A33,'רווחה - קליטה'!$C$5:$C$204,"אמצע שנה"),""))</f>
        <v/>
      </c>
      <c r="M33" s="28" t="str">
        <f aca="false">IF($A33="","",IFERROR(COUNTIFS('רווחה - קליטה'!$B$5:$B$204,$A33,'רווחה - קליטה'!$C$5:$C$204,"אמצע שנה",'רווחה - קליטה'!$AS$5:$AS$204,"אמין")/COUNTIFS('רווחה - קליטה'!$B$5:$B$204,$A33,'רווחה - קליטה'!$C$5:$C$204,"אמצע שנה"),""))</f>
        <v/>
      </c>
      <c r="N33" s="38" t="str">
        <f aca="false">IF($A33="","",COUNTIFS('זה אני - קליטה'!$B$5:$B$204,$A33,'זה אני - קליטה'!$C$5:$C$204,"סוף שנה"))</f>
        <v/>
      </c>
      <c r="O33" s="28" t="str">
        <f aca="false">IF($A33="","",IFERROR(AVERAGEIFS('זה אני - קליטה'!$AL$5:$AL$204,'זה אני - קליטה'!$B$5:$B$204,$A33,'זה אני - קליטה'!$C$5:$C$204,"סוף שנה"),""))</f>
        <v/>
      </c>
      <c r="P33" s="28" t="str">
        <f aca="false">IF($A33="","",IFERROR(AVERAGEIFS('זה אני - קליטה'!$AN$5:$AN$204,'זה אני - קליטה'!$B$5:$B$204,$A33,'זה אני - קליטה'!$C$5:$C$204,"סוף שנה"),""))</f>
        <v/>
      </c>
      <c r="Q33" s="38" t="str">
        <f aca="false">IF($A33="","",COUNTIFS('רווחה - קליטה'!$B$5:$B$204,$A33,'רווחה - קליטה'!$C$5:$C$204,"סוף שנה"))</f>
        <v/>
      </c>
      <c r="R33" s="36" t="str">
        <f aca="false">IF($A33="","",IFERROR(AVERAGEIFS('רווחה - קליטה'!$AQ$5:$AQ$204,'רווחה - קליטה'!$B$5:$B$204,$A33,'רווחה - קליטה'!$C$5:$C$204,"סוף שנה"),""))</f>
        <v/>
      </c>
      <c r="S33" s="28" t="str">
        <f aca="false">IF($A33="","",IFERROR(COUNTIFS('רווחה - קליטה'!$B$5:$B$204,$A33,'רווחה - קליטה'!$C$5:$C$204,"סוף שנה",'רווחה - קליטה'!$AS$5:$AS$204,"אמין")/COUNTIFS('רווחה - קליטה'!$B$5:$B$204,$A33,'רווחה - קליטה'!$C$5:$C$204,"סוף שנה"),""))</f>
        <v/>
      </c>
    </row>
    <row r="34" customFormat="false" ht="15" hidden="false" customHeight="false" outlineLevel="0" collapsed="false">
      <c r="A34" s="29"/>
      <c r="B34" s="38" t="str">
        <f aca="false">IF($A34="","",COUNTIFS('זה אני - קליטה'!$B$5:$B$204,$A34,'זה אני - קליטה'!$C$5:$C$204,"תחילת שנה"))</f>
        <v/>
      </c>
      <c r="C34" s="28" t="str">
        <f aca="false">IF($A34="","",IFERROR(AVERAGEIFS('זה אני - קליטה'!$AL$5:$AL$204,'זה אני - קליטה'!$B$5:$B$204,$A34,'זה אני - קליטה'!$C$5:$C$204,"תחילת שנה"),""))</f>
        <v/>
      </c>
      <c r="D34" s="28" t="str">
        <f aca="false">IF($A34="","",IFERROR(AVERAGEIFS('זה אני - קליטה'!$AN$5:$AN$204,'זה אני - קליטה'!$B$5:$B$204,$A34,'זה אני - קליטה'!$C$5:$C$204,"תחילת שנה"),""))</f>
        <v/>
      </c>
      <c r="E34" s="38" t="str">
        <f aca="false">IF($A34="","",COUNTIFS('רווחה - קליטה'!$B$5:$B$204,$A34,'רווחה - קליטה'!$C$5:$C$204,"תחילת שנה"))</f>
        <v/>
      </c>
      <c r="F34" s="36" t="str">
        <f aca="false">IF($A34="","",IFERROR(AVERAGEIFS('רווחה - קליטה'!$AQ$5:$AQ$204,'רווחה - קליטה'!$B$5:$B$204,$A34,'רווחה - קליטה'!$C$5:$C$204,"תחילת שנה"),""))</f>
        <v/>
      </c>
      <c r="G34" s="28" t="str">
        <f aca="false">IF($A34="","",IFERROR(COUNTIFS('רווחה - קליטה'!$B$5:$B$204,$A34,'רווחה - קליטה'!$C$5:$C$204,"תחילת שנה",'רווחה - קליטה'!$AS$5:$AS$204,"אמין")/COUNTIFS('רווחה - קליטה'!$B$5:$B$204,$A34,'רווחה - קליטה'!$C$5:$C$204,"תחילת שנה"),""))</f>
        <v/>
      </c>
      <c r="H34" s="38" t="str">
        <f aca="false">IF($A34="","",COUNTIFS('זה אני - קליטה'!$B$5:$B$204,$A34,'זה אני - קליטה'!$C$5:$C$204,"אמצע שנה"))</f>
        <v/>
      </c>
      <c r="I34" s="28" t="str">
        <f aca="false">IF($A34="","",IFERROR(AVERAGEIFS('זה אני - קליטה'!$AL$5:$AL$204,'זה אני - קליטה'!$B$5:$B$204,$A34,'זה אני - קליטה'!$C$5:$C$204,"אמצע שנה"),""))</f>
        <v/>
      </c>
      <c r="J34" s="28" t="str">
        <f aca="false">IF($A34="","",IFERROR(AVERAGEIFS('זה אני - קליטה'!$AN$5:$AN$204,'זה אני - קליטה'!$B$5:$B$204,$A34,'זה אני - קליטה'!$C$5:$C$204,"אמצע שנה"),""))</f>
        <v/>
      </c>
      <c r="K34" s="38" t="str">
        <f aca="false">IF($A34="","",COUNTIFS('רווחה - קליטה'!$B$5:$B$204,$A34,'רווחה - קליטה'!$C$5:$C$204,"אמצע שנה"))</f>
        <v/>
      </c>
      <c r="L34" s="36" t="str">
        <f aca="false">IF($A34="","",IFERROR(AVERAGEIFS('רווחה - קליטה'!$AQ$5:$AQ$204,'רווחה - קליטה'!$B$5:$B$204,$A34,'רווחה - קליטה'!$C$5:$C$204,"אמצע שנה"),""))</f>
        <v/>
      </c>
      <c r="M34" s="28" t="str">
        <f aca="false">IF($A34="","",IFERROR(COUNTIFS('רווחה - קליטה'!$B$5:$B$204,$A34,'רווחה - קליטה'!$C$5:$C$204,"אמצע שנה",'רווחה - קליטה'!$AS$5:$AS$204,"אמין")/COUNTIFS('רווחה - קליטה'!$B$5:$B$204,$A34,'רווחה - קליטה'!$C$5:$C$204,"אמצע שנה"),""))</f>
        <v/>
      </c>
      <c r="N34" s="38" t="str">
        <f aca="false">IF($A34="","",COUNTIFS('זה אני - קליטה'!$B$5:$B$204,$A34,'זה אני - קליטה'!$C$5:$C$204,"סוף שנה"))</f>
        <v/>
      </c>
      <c r="O34" s="28" t="str">
        <f aca="false">IF($A34="","",IFERROR(AVERAGEIFS('זה אני - קליטה'!$AL$5:$AL$204,'זה אני - קליטה'!$B$5:$B$204,$A34,'זה אני - קליטה'!$C$5:$C$204,"סוף שנה"),""))</f>
        <v/>
      </c>
      <c r="P34" s="28" t="str">
        <f aca="false">IF($A34="","",IFERROR(AVERAGEIFS('זה אני - קליטה'!$AN$5:$AN$204,'זה אני - קליטה'!$B$5:$B$204,$A34,'זה אני - קליטה'!$C$5:$C$204,"סוף שנה"),""))</f>
        <v/>
      </c>
      <c r="Q34" s="38" t="str">
        <f aca="false">IF($A34="","",COUNTIFS('רווחה - קליטה'!$B$5:$B$204,$A34,'רווחה - קליטה'!$C$5:$C$204,"סוף שנה"))</f>
        <v/>
      </c>
      <c r="R34" s="36" t="str">
        <f aca="false">IF($A34="","",IFERROR(AVERAGEIFS('רווחה - קליטה'!$AQ$5:$AQ$204,'רווחה - קליטה'!$B$5:$B$204,$A34,'רווחה - קליטה'!$C$5:$C$204,"סוף שנה"),""))</f>
        <v/>
      </c>
      <c r="S34" s="28" t="str">
        <f aca="false">IF($A34="","",IFERROR(COUNTIFS('רווחה - קליטה'!$B$5:$B$204,$A34,'רווחה - קליטה'!$C$5:$C$204,"סוף שנה",'רווחה - קליטה'!$AS$5:$AS$204,"אמין")/COUNTIFS('רווחה - קליטה'!$B$5:$B$204,$A34,'רווחה - קליטה'!$C$5:$C$204,"סוף שנה"),""))</f>
        <v/>
      </c>
    </row>
    <row r="35" customFormat="false" ht="15" hidden="false" customHeight="false" outlineLevel="0" collapsed="false">
      <c r="A35" s="29"/>
      <c r="B35" s="38" t="str">
        <f aca="false">IF($A35="","",COUNTIFS('זה אני - קליטה'!$B$5:$B$204,$A35,'זה אני - קליטה'!$C$5:$C$204,"תחילת שנה"))</f>
        <v/>
      </c>
      <c r="C35" s="28" t="str">
        <f aca="false">IF($A35="","",IFERROR(AVERAGEIFS('זה אני - קליטה'!$AL$5:$AL$204,'זה אני - קליטה'!$B$5:$B$204,$A35,'זה אני - קליטה'!$C$5:$C$204,"תחילת שנה"),""))</f>
        <v/>
      </c>
      <c r="D35" s="28" t="str">
        <f aca="false">IF($A35="","",IFERROR(AVERAGEIFS('זה אני - קליטה'!$AN$5:$AN$204,'זה אני - קליטה'!$B$5:$B$204,$A35,'זה אני - קליטה'!$C$5:$C$204,"תחילת שנה"),""))</f>
        <v/>
      </c>
      <c r="E35" s="38" t="str">
        <f aca="false">IF($A35="","",COUNTIFS('רווחה - קליטה'!$B$5:$B$204,$A35,'רווחה - קליטה'!$C$5:$C$204,"תחילת שנה"))</f>
        <v/>
      </c>
      <c r="F35" s="36" t="str">
        <f aca="false">IF($A35="","",IFERROR(AVERAGEIFS('רווחה - קליטה'!$AQ$5:$AQ$204,'רווחה - קליטה'!$B$5:$B$204,$A35,'רווחה - קליטה'!$C$5:$C$204,"תחילת שנה"),""))</f>
        <v/>
      </c>
      <c r="G35" s="28" t="str">
        <f aca="false">IF($A35="","",IFERROR(COUNTIFS('רווחה - קליטה'!$B$5:$B$204,$A35,'רווחה - קליטה'!$C$5:$C$204,"תחילת שנה",'רווחה - קליטה'!$AS$5:$AS$204,"אמין")/COUNTIFS('רווחה - קליטה'!$B$5:$B$204,$A35,'רווחה - קליטה'!$C$5:$C$204,"תחילת שנה"),""))</f>
        <v/>
      </c>
      <c r="H35" s="38" t="str">
        <f aca="false">IF($A35="","",COUNTIFS('זה אני - קליטה'!$B$5:$B$204,$A35,'זה אני - קליטה'!$C$5:$C$204,"אמצע שנה"))</f>
        <v/>
      </c>
      <c r="I35" s="28" t="str">
        <f aca="false">IF($A35="","",IFERROR(AVERAGEIFS('זה אני - קליטה'!$AL$5:$AL$204,'זה אני - קליטה'!$B$5:$B$204,$A35,'זה אני - קליטה'!$C$5:$C$204,"אמצע שנה"),""))</f>
        <v/>
      </c>
      <c r="J35" s="28" t="str">
        <f aca="false">IF($A35="","",IFERROR(AVERAGEIFS('זה אני - קליטה'!$AN$5:$AN$204,'זה אני - קליטה'!$B$5:$B$204,$A35,'זה אני - קליטה'!$C$5:$C$204,"אמצע שנה"),""))</f>
        <v/>
      </c>
      <c r="K35" s="38" t="str">
        <f aca="false">IF($A35="","",COUNTIFS('רווחה - קליטה'!$B$5:$B$204,$A35,'רווחה - קליטה'!$C$5:$C$204,"אמצע שנה"))</f>
        <v/>
      </c>
      <c r="L35" s="36" t="str">
        <f aca="false">IF($A35="","",IFERROR(AVERAGEIFS('רווחה - קליטה'!$AQ$5:$AQ$204,'רווחה - קליטה'!$B$5:$B$204,$A35,'רווחה - קליטה'!$C$5:$C$204,"אמצע שנה"),""))</f>
        <v/>
      </c>
      <c r="M35" s="28" t="str">
        <f aca="false">IF($A35="","",IFERROR(COUNTIFS('רווחה - קליטה'!$B$5:$B$204,$A35,'רווחה - קליטה'!$C$5:$C$204,"אמצע שנה",'רווחה - קליטה'!$AS$5:$AS$204,"אמין")/COUNTIFS('רווחה - קליטה'!$B$5:$B$204,$A35,'רווחה - קליטה'!$C$5:$C$204,"אמצע שנה"),""))</f>
        <v/>
      </c>
      <c r="N35" s="38" t="str">
        <f aca="false">IF($A35="","",COUNTIFS('זה אני - קליטה'!$B$5:$B$204,$A35,'זה אני - קליטה'!$C$5:$C$204,"סוף שנה"))</f>
        <v/>
      </c>
      <c r="O35" s="28" t="str">
        <f aca="false">IF($A35="","",IFERROR(AVERAGEIFS('זה אני - קליטה'!$AL$5:$AL$204,'זה אני - קליטה'!$B$5:$B$204,$A35,'זה אני - קליטה'!$C$5:$C$204,"סוף שנה"),""))</f>
        <v/>
      </c>
      <c r="P35" s="28" t="str">
        <f aca="false">IF($A35="","",IFERROR(AVERAGEIFS('זה אני - קליטה'!$AN$5:$AN$204,'זה אני - קליטה'!$B$5:$B$204,$A35,'זה אני - קליטה'!$C$5:$C$204,"סוף שנה"),""))</f>
        <v/>
      </c>
      <c r="Q35" s="38" t="str">
        <f aca="false">IF($A35="","",COUNTIFS('רווחה - קליטה'!$B$5:$B$204,$A35,'רווחה - קליטה'!$C$5:$C$204,"סוף שנה"))</f>
        <v/>
      </c>
      <c r="R35" s="36" t="str">
        <f aca="false">IF($A35="","",IFERROR(AVERAGEIFS('רווחה - קליטה'!$AQ$5:$AQ$204,'רווחה - קליטה'!$B$5:$B$204,$A35,'רווחה - קליטה'!$C$5:$C$204,"סוף שנה"),""))</f>
        <v/>
      </c>
      <c r="S35" s="28" t="str">
        <f aca="false">IF($A35="","",IFERROR(COUNTIFS('רווחה - קליטה'!$B$5:$B$204,$A35,'רווחה - קליטה'!$C$5:$C$204,"סוף שנה",'רווחה - קליטה'!$AS$5:$AS$204,"אמין")/COUNTIFS('רווחה - קליטה'!$B$5:$B$204,$A35,'רווחה - קליטה'!$C$5:$C$204,"סוף שנה"),""))</f>
        <v/>
      </c>
    </row>
    <row r="36" customFormat="false" ht="15" hidden="false" customHeight="false" outlineLevel="0" collapsed="false">
      <c r="A36" s="29"/>
      <c r="B36" s="38" t="str">
        <f aca="false">IF($A36="","",COUNTIFS('זה אני - קליטה'!$B$5:$B$204,$A36,'זה אני - קליטה'!$C$5:$C$204,"תחילת שנה"))</f>
        <v/>
      </c>
      <c r="C36" s="28" t="str">
        <f aca="false">IF($A36="","",IFERROR(AVERAGEIFS('זה אני - קליטה'!$AL$5:$AL$204,'זה אני - קליטה'!$B$5:$B$204,$A36,'זה אני - קליטה'!$C$5:$C$204,"תחילת שנה"),""))</f>
        <v/>
      </c>
      <c r="D36" s="28" t="str">
        <f aca="false">IF($A36="","",IFERROR(AVERAGEIFS('זה אני - קליטה'!$AN$5:$AN$204,'זה אני - קליטה'!$B$5:$B$204,$A36,'זה אני - קליטה'!$C$5:$C$204,"תחילת שנה"),""))</f>
        <v/>
      </c>
      <c r="E36" s="38" t="str">
        <f aca="false">IF($A36="","",COUNTIFS('רווחה - קליטה'!$B$5:$B$204,$A36,'רווחה - קליטה'!$C$5:$C$204,"תחילת שנה"))</f>
        <v/>
      </c>
      <c r="F36" s="36" t="str">
        <f aca="false">IF($A36="","",IFERROR(AVERAGEIFS('רווחה - קליטה'!$AQ$5:$AQ$204,'רווחה - קליטה'!$B$5:$B$204,$A36,'רווחה - קליטה'!$C$5:$C$204,"תחילת שנה"),""))</f>
        <v/>
      </c>
      <c r="G36" s="28" t="str">
        <f aca="false">IF($A36="","",IFERROR(COUNTIFS('רווחה - קליטה'!$B$5:$B$204,$A36,'רווחה - קליטה'!$C$5:$C$204,"תחילת שנה",'רווחה - קליטה'!$AS$5:$AS$204,"אמין")/COUNTIFS('רווחה - קליטה'!$B$5:$B$204,$A36,'רווחה - קליטה'!$C$5:$C$204,"תחילת שנה"),""))</f>
        <v/>
      </c>
      <c r="H36" s="38" t="str">
        <f aca="false">IF($A36="","",COUNTIFS('זה אני - קליטה'!$B$5:$B$204,$A36,'זה אני - קליטה'!$C$5:$C$204,"אמצע שנה"))</f>
        <v/>
      </c>
      <c r="I36" s="28" t="str">
        <f aca="false">IF($A36="","",IFERROR(AVERAGEIFS('זה אני - קליטה'!$AL$5:$AL$204,'זה אני - קליטה'!$B$5:$B$204,$A36,'זה אני - קליטה'!$C$5:$C$204,"אמצע שנה"),""))</f>
        <v/>
      </c>
      <c r="J36" s="28" t="str">
        <f aca="false">IF($A36="","",IFERROR(AVERAGEIFS('זה אני - קליטה'!$AN$5:$AN$204,'זה אני - קליטה'!$B$5:$B$204,$A36,'זה אני - קליטה'!$C$5:$C$204,"אמצע שנה"),""))</f>
        <v/>
      </c>
      <c r="K36" s="38" t="str">
        <f aca="false">IF($A36="","",COUNTIFS('רווחה - קליטה'!$B$5:$B$204,$A36,'רווחה - קליטה'!$C$5:$C$204,"אמצע שנה"))</f>
        <v/>
      </c>
      <c r="L36" s="36" t="str">
        <f aca="false">IF($A36="","",IFERROR(AVERAGEIFS('רווחה - קליטה'!$AQ$5:$AQ$204,'רווחה - קליטה'!$B$5:$B$204,$A36,'רווחה - קליטה'!$C$5:$C$204,"אמצע שנה"),""))</f>
        <v/>
      </c>
      <c r="M36" s="28" t="str">
        <f aca="false">IF($A36="","",IFERROR(COUNTIFS('רווחה - קליטה'!$B$5:$B$204,$A36,'רווחה - קליטה'!$C$5:$C$204,"אמצע שנה",'רווחה - קליטה'!$AS$5:$AS$204,"אמין")/COUNTIFS('רווחה - קליטה'!$B$5:$B$204,$A36,'רווחה - קליטה'!$C$5:$C$204,"אמצע שנה"),""))</f>
        <v/>
      </c>
      <c r="N36" s="38" t="str">
        <f aca="false">IF($A36="","",COUNTIFS('זה אני - קליטה'!$B$5:$B$204,$A36,'זה אני - קליטה'!$C$5:$C$204,"סוף שנה"))</f>
        <v/>
      </c>
      <c r="O36" s="28" t="str">
        <f aca="false">IF($A36="","",IFERROR(AVERAGEIFS('זה אני - קליטה'!$AL$5:$AL$204,'זה אני - קליטה'!$B$5:$B$204,$A36,'זה אני - קליטה'!$C$5:$C$204,"סוף שנה"),""))</f>
        <v/>
      </c>
      <c r="P36" s="28" t="str">
        <f aca="false">IF($A36="","",IFERROR(AVERAGEIFS('זה אני - קליטה'!$AN$5:$AN$204,'זה אני - קליטה'!$B$5:$B$204,$A36,'זה אני - קליטה'!$C$5:$C$204,"סוף שנה"),""))</f>
        <v/>
      </c>
      <c r="Q36" s="38" t="str">
        <f aca="false">IF($A36="","",COUNTIFS('רווחה - קליטה'!$B$5:$B$204,$A36,'רווחה - קליטה'!$C$5:$C$204,"סוף שנה"))</f>
        <v/>
      </c>
      <c r="R36" s="36" t="str">
        <f aca="false">IF($A36="","",IFERROR(AVERAGEIFS('רווחה - קליטה'!$AQ$5:$AQ$204,'רווחה - קליטה'!$B$5:$B$204,$A36,'רווחה - קליטה'!$C$5:$C$204,"סוף שנה"),""))</f>
        <v/>
      </c>
      <c r="S36" s="28" t="str">
        <f aca="false">IF($A36="","",IFERROR(COUNTIFS('רווחה - קליטה'!$B$5:$B$204,$A36,'רווחה - קליטה'!$C$5:$C$204,"סוף שנה",'רווחה - קליטה'!$AS$5:$AS$204,"אמין")/COUNTIFS('רווחה - קליטה'!$B$5:$B$204,$A36,'רווחה - קליטה'!$C$5:$C$204,"סוף שנה"),""))</f>
        <v/>
      </c>
    </row>
    <row r="37" customFormat="false" ht="15" hidden="false" customHeight="false" outlineLevel="0" collapsed="false">
      <c r="A37" s="29"/>
      <c r="B37" s="38" t="str">
        <f aca="false">IF($A37="","",COUNTIFS('זה אני - קליטה'!$B$5:$B$204,$A37,'זה אני - קליטה'!$C$5:$C$204,"תחילת שנה"))</f>
        <v/>
      </c>
      <c r="C37" s="28" t="str">
        <f aca="false">IF($A37="","",IFERROR(AVERAGEIFS('זה אני - קליטה'!$AL$5:$AL$204,'זה אני - קליטה'!$B$5:$B$204,$A37,'זה אני - קליטה'!$C$5:$C$204,"תחילת שנה"),""))</f>
        <v/>
      </c>
      <c r="D37" s="28" t="str">
        <f aca="false">IF($A37="","",IFERROR(AVERAGEIFS('זה אני - קליטה'!$AN$5:$AN$204,'זה אני - קליטה'!$B$5:$B$204,$A37,'זה אני - קליטה'!$C$5:$C$204,"תחילת שנה"),""))</f>
        <v/>
      </c>
      <c r="E37" s="38" t="str">
        <f aca="false">IF($A37="","",COUNTIFS('רווחה - קליטה'!$B$5:$B$204,$A37,'רווחה - קליטה'!$C$5:$C$204,"תחילת שנה"))</f>
        <v/>
      </c>
      <c r="F37" s="36" t="str">
        <f aca="false">IF($A37="","",IFERROR(AVERAGEIFS('רווחה - קליטה'!$AQ$5:$AQ$204,'רווחה - קליטה'!$B$5:$B$204,$A37,'רווחה - קליטה'!$C$5:$C$204,"תחילת שנה"),""))</f>
        <v/>
      </c>
      <c r="G37" s="28" t="str">
        <f aca="false">IF($A37="","",IFERROR(COUNTIFS('רווחה - קליטה'!$B$5:$B$204,$A37,'רווחה - קליטה'!$C$5:$C$204,"תחילת שנה",'רווחה - קליטה'!$AS$5:$AS$204,"אמין")/COUNTIFS('רווחה - קליטה'!$B$5:$B$204,$A37,'רווחה - קליטה'!$C$5:$C$204,"תחילת שנה"),""))</f>
        <v/>
      </c>
      <c r="H37" s="38" t="str">
        <f aca="false">IF($A37="","",COUNTIFS('זה אני - קליטה'!$B$5:$B$204,$A37,'זה אני - קליטה'!$C$5:$C$204,"אמצע שנה"))</f>
        <v/>
      </c>
      <c r="I37" s="28" t="str">
        <f aca="false">IF($A37="","",IFERROR(AVERAGEIFS('זה אני - קליטה'!$AL$5:$AL$204,'זה אני - קליטה'!$B$5:$B$204,$A37,'זה אני - קליטה'!$C$5:$C$204,"אמצע שנה"),""))</f>
        <v/>
      </c>
      <c r="J37" s="28" t="str">
        <f aca="false">IF($A37="","",IFERROR(AVERAGEIFS('זה אני - קליטה'!$AN$5:$AN$204,'זה אני - קליטה'!$B$5:$B$204,$A37,'זה אני - קליטה'!$C$5:$C$204,"אמצע שנה"),""))</f>
        <v/>
      </c>
      <c r="K37" s="38" t="str">
        <f aca="false">IF($A37="","",COUNTIFS('רווחה - קליטה'!$B$5:$B$204,$A37,'רווחה - קליטה'!$C$5:$C$204,"אמצע שנה"))</f>
        <v/>
      </c>
      <c r="L37" s="36" t="str">
        <f aca="false">IF($A37="","",IFERROR(AVERAGEIFS('רווחה - קליטה'!$AQ$5:$AQ$204,'רווחה - קליטה'!$B$5:$B$204,$A37,'רווחה - קליטה'!$C$5:$C$204,"אמצע שנה"),""))</f>
        <v/>
      </c>
      <c r="M37" s="28" t="str">
        <f aca="false">IF($A37="","",IFERROR(COUNTIFS('רווחה - קליטה'!$B$5:$B$204,$A37,'רווחה - קליטה'!$C$5:$C$204,"אמצע שנה",'רווחה - קליטה'!$AS$5:$AS$204,"אמין")/COUNTIFS('רווחה - קליטה'!$B$5:$B$204,$A37,'רווחה - קליטה'!$C$5:$C$204,"אמצע שנה"),""))</f>
        <v/>
      </c>
      <c r="N37" s="38" t="str">
        <f aca="false">IF($A37="","",COUNTIFS('זה אני - קליטה'!$B$5:$B$204,$A37,'זה אני - קליטה'!$C$5:$C$204,"סוף שנה"))</f>
        <v/>
      </c>
      <c r="O37" s="28" t="str">
        <f aca="false">IF($A37="","",IFERROR(AVERAGEIFS('זה אני - קליטה'!$AL$5:$AL$204,'זה אני - קליטה'!$B$5:$B$204,$A37,'זה אני - קליטה'!$C$5:$C$204,"סוף שנה"),""))</f>
        <v/>
      </c>
      <c r="P37" s="28" t="str">
        <f aca="false">IF($A37="","",IFERROR(AVERAGEIFS('זה אני - קליטה'!$AN$5:$AN$204,'זה אני - קליטה'!$B$5:$B$204,$A37,'זה אני - קליטה'!$C$5:$C$204,"סוף שנה"),""))</f>
        <v/>
      </c>
      <c r="Q37" s="38" t="str">
        <f aca="false">IF($A37="","",COUNTIFS('רווחה - קליטה'!$B$5:$B$204,$A37,'רווחה - קליטה'!$C$5:$C$204,"סוף שנה"))</f>
        <v/>
      </c>
      <c r="R37" s="36" t="str">
        <f aca="false">IF($A37="","",IFERROR(AVERAGEIFS('רווחה - קליטה'!$AQ$5:$AQ$204,'רווחה - קליטה'!$B$5:$B$204,$A37,'רווחה - קליטה'!$C$5:$C$204,"סוף שנה"),""))</f>
        <v/>
      </c>
      <c r="S37" s="28" t="str">
        <f aca="false">IF($A37="","",IFERROR(COUNTIFS('רווחה - קליטה'!$B$5:$B$204,$A37,'רווחה - קליטה'!$C$5:$C$204,"סוף שנה",'רווחה - קליטה'!$AS$5:$AS$204,"אמין")/COUNTIFS('רווחה - קליטה'!$B$5:$B$204,$A37,'רווחה - קליטה'!$C$5:$C$204,"סוף שנה"),""))</f>
        <v/>
      </c>
    </row>
    <row r="38" customFormat="false" ht="15" hidden="false" customHeight="false" outlineLevel="0" collapsed="false">
      <c r="A38" s="29"/>
      <c r="B38" s="38" t="str">
        <f aca="false">IF($A38="","",COUNTIFS('זה אני - קליטה'!$B$5:$B$204,$A38,'זה אני - קליטה'!$C$5:$C$204,"תחילת שנה"))</f>
        <v/>
      </c>
      <c r="C38" s="28" t="str">
        <f aca="false">IF($A38="","",IFERROR(AVERAGEIFS('זה אני - קליטה'!$AL$5:$AL$204,'זה אני - קליטה'!$B$5:$B$204,$A38,'זה אני - קליטה'!$C$5:$C$204,"תחילת שנה"),""))</f>
        <v/>
      </c>
      <c r="D38" s="28" t="str">
        <f aca="false">IF($A38="","",IFERROR(AVERAGEIFS('זה אני - קליטה'!$AN$5:$AN$204,'זה אני - קליטה'!$B$5:$B$204,$A38,'זה אני - קליטה'!$C$5:$C$204,"תחילת שנה"),""))</f>
        <v/>
      </c>
      <c r="E38" s="38" t="str">
        <f aca="false">IF($A38="","",COUNTIFS('רווחה - קליטה'!$B$5:$B$204,$A38,'רווחה - קליטה'!$C$5:$C$204,"תחילת שנה"))</f>
        <v/>
      </c>
      <c r="F38" s="36" t="str">
        <f aca="false">IF($A38="","",IFERROR(AVERAGEIFS('רווחה - קליטה'!$AQ$5:$AQ$204,'רווחה - קליטה'!$B$5:$B$204,$A38,'רווחה - קליטה'!$C$5:$C$204,"תחילת שנה"),""))</f>
        <v/>
      </c>
      <c r="G38" s="28" t="str">
        <f aca="false">IF($A38="","",IFERROR(COUNTIFS('רווחה - קליטה'!$B$5:$B$204,$A38,'רווחה - קליטה'!$C$5:$C$204,"תחילת שנה",'רווחה - קליטה'!$AS$5:$AS$204,"אמין")/COUNTIFS('רווחה - קליטה'!$B$5:$B$204,$A38,'רווחה - קליטה'!$C$5:$C$204,"תחילת שנה"),""))</f>
        <v/>
      </c>
      <c r="H38" s="38" t="str">
        <f aca="false">IF($A38="","",COUNTIFS('זה אני - קליטה'!$B$5:$B$204,$A38,'זה אני - קליטה'!$C$5:$C$204,"אמצע שנה"))</f>
        <v/>
      </c>
      <c r="I38" s="28" t="str">
        <f aca="false">IF($A38="","",IFERROR(AVERAGEIFS('זה אני - קליטה'!$AL$5:$AL$204,'זה אני - קליטה'!$B$5:$B$204,$A38,'זה אני - קליטה'!$C$5:$C$204,"אמצע שנה"),""))</f>
        <v/>
      </c>
      <c r="J38" s="28" t="str">
        <f aca="false">IF($A38="","",IFERROR(AVERAGEIFS('זה אני - קליטה'!$AN$5:$AN$204,'זה אני - קליטה'!$B$5:$B$204,$A38,'זה אני - קליטה'!$C$5:$C$204,"אמצע שנה"),""))</f>
        <v/>
      </c>
      <c r="K38" s="38" t="str">
        <f aca="false">IF($A38="","",COUNTIFS('רווחה - קליטה'!$B$5:$B$204,$A38,'רווחה - קליטה'!$C$5:$C$204,"אמצע שנה"))</f>
        <v/>
      </c>
      <c r="L38" s="36" t="str">
        <f aca="false">IF($A38="","",IFERROR(AVERAGEIFS('רווחה - קליטה'!$AQ$5:$AQ$204,'רווחה - קליטה'!$B$5:$B$204,$A38,'רווחה - קליטה'!$C$5:$C$204,"אמצע שנה"),""))</f>
        <v/>
      </c>
      <c r="M38" s="28" t="str">
        <f aca="false">IF($A38="","",IFERROR(COUNTIFS('רווחה - קליטה'!$B$5:$B$204,$A38,'רווחה - קליטה'!$C$5:$C$204,"אמצע שנה",'רווחה - קליטה'!$AS$5:$AS$204,"אמין")/COUNTIFS('רווחה - קליטה'!$B$5:$B$204,$A38,'רווחה - קליטה'!$C$5:$C$204,"אמצע שנה"),""))</f>
        <v/>
      </c>
      <c r="N38" s="38" t="str">
        <f aca="false">IF($A38="","",COUNTIFS('זה אני - קליטה'!$B$5:$B$204,$A38,'זה אני - קליטה'!$C$5:$C$204,"סוף שנה"))</f>
        <v/>
      </c>
      <c r="O38" s="28" t="str">
        <f aca="false">IF($A38="","",IFERROR(AVERAGEIFS('זה אני - קליטה'!$AL$5:$AL$204,'זה אני - קליטה'!$B$5:$B$204,$A38,'זה אני - קליטה'!$C$5:$C$204,"סוף שנה"),""))</f>
        <v/>
      </c>
      <c r="P38" s="28" t="str">
        <f aca="false">IF($A38="","",IFERROR(AVERAGEIFS('זה אני - קליטה'!$AN$5:$AN$204,'זה אני - קליטה'!$B$5:$B$204,$A38,'זה אני - קליטה'!$C$5:$C$204,"סוף שנה"),""))</f>
        <v/>
      </c>
      <c r="Q38" s="38" t="str">
        <f aca="false">IF($A38="","",COUNTIFS('רווחה - קליטה'!$B$5:$B$204,$A38,'רווחה - קליטה'!$C$5:$C$204,"סוף שנה"))</f>
        <v/>
      </c>
      <c r="R38" s="36" t="str">
        <f aca="false">IF($A38="","",IFERROR(AVERAGEIFS('רווחה - קליטה'!$AQ$5:$AQ$204,'רווחה - קליטה'!$B$5:$B$204,$A38,'רווחה - קליטה'!$C$5:$C$204,"סוף שנה"),""))</f>
        <v/>
      </c>
      <c r="S38" s="28" t="str">
        <f aca="false">IF($A38="","",IFERROR(COUNTIFS('רווחה - קליטה'!$B$5:$B$204,$A38,'רווחה - קליטה'!$C$5:$C$204,"סוף שנה",'רווחה - קליטה'!$AS$5:$AS$204,"אמין")/COUNTIFS('רווחה - קליטה'!$B$5:$B$204,$A38,'רווחה - קליטה'!$C$5:$C$204,"סוף שנה"),""))</f>
        <v/>
      </c>
    </row>
    <row r="39" customFormat="false" ht="15" hidden="false" customHeight="false" outlineLevel="0" collapsed="false">
      <c r="A39" s="29"/>
      <c r="B39" s="38" t="str">
        <f aca="false">IF($A39="","",COUNTIFS('זה אני - קליטה'!$B$5:$B$204,$A39,'זה אני - קליטה'!$C$5:$C$204,"תחילת שנה"))</f>
        <v/>
      </c>
      <c r="C39" s="28" t="str">
        <f aca="false">IF($A39="","",IFERROR(AVERAGEIFS('זה אני - קליטה'!$AL$5:$AL$204,'זה אני - קליטה'!$B$5:$B$204,$A39,'זה אני - קליטה'!$C$5:$C$204,"תחילת שנה"),""))</f>
        <v/>
      </c>
      <c r="D39" s="28" t="str">
        <f aca="false">IF($A39="","",IFERROR(AVERAGEIFS('זה אני - קליטה'!$AN$5:$AN$204,'זה אני - קליטה'!$B$5:$B$204,$A39,'זה אני - קליטה'!$C$5:$C$204,"תחילת שנה"),""))</f>
        <v/>
      </c>
      <c r="E39" s="38" t="str">
        <f aca="false">IF($A39="","",COUNTIFS('רווחה - קליטה'!$B$5:$B$204,$A39,'רווחה - קליטה'!$C$5:$C$204,"תחילת שנה"))</f>
        <v/>
      </c>
      <c r="F39" s="36" t="str">
        <f aca="false">IF($A39="","",IFERROR(AVERAGEIFS('רווחה - קליטה'!$AQ$5:$AQ$204,'רווחה - קליטה'!$B$5:$B$204,$A39,'רווחה - קליטה'!$C$5:$C$204,"תחילת שנה"),""))</f>
        <v/>
      </c>
      <c r="G39" s="28" t="str">
        <f aca="false">IF($A39="","",IFERROR(COUNTIFS('רווחה - קליטה'!$B$5:$B$204,$A39,'רווחה - קליטה'!$C$5:$C$204,"תחילת שנה",'רווחה - קליטה'!$AS$5:$AS$204,"אמין")/COUNTIFS('רווחה - קליטה'!$B$5:$B$204,$A39,'רווחה - קליטה'!$C$5:$C$204,"תחילת שנה"),""))</f>
        <v/>
      </c>
      <c r="H39" s="38" t="str">
        <f aca="false">IF($A39="","",COUNTIFS('זה אני - קליטה'!$B$5:$B$204,$A39,'זה אני - קליטה'!$C$5:$C$204,"אמצע שנה"))</f>
        <v/>
      </c>
      <c r="I39" s="28" t="str">
        <f aca="false">IF($A39="","",IFERROR(AVERAGEIFS('זה אני - קליטה'!$AL$5:$AL$204,'זה אני - קליטה'!$B$5:$B$204,$A39,'זה אני - קליטה'!$C$5:$C$204,"אמצע שנה"),""))</f>
        <v/>
      </c>
      <c r="J39" s="28" t="str">
        <f aca="false">IF($A39="","",IFERROR(AVERAGEIFS('זה אני - קליטה'!$AN$5:$AN$204,'זה אני - קליטה'!$B$5:$B$204,$A39,'זה אני - קליטה'!$C$5:$C$204,"אמצע שנה"),""))</f>
        <v/>
      </c>
      <c r="K39" s="38" t="str">
        <f aca="false">IF($A39="","",COUNTIFS('רווחה - קליטה'!$B$5:$B$204,$A39,'רווחה - קליטה'!$C$5:$C$204,"אמצע שנה"))</f>
        <v/>
      </c>
      <c r="L39" s="36" t="str">
        <f aca="false">IF($A39="","",IFERROR(AVERAGEIFS('רווחה - קליטה'!$AQ$5:$AQ$204,'רווחה - קליטה'!$B$5:$B$204,$A39,'רווחה - קליטה'!$C$5:$C$204,"אמצע שנה"),""))</f>
        <v/>
      </c>
      <c r="M39" s="28" t="str">
        <f aca="false">IF($A39="","",IFERROR(COUNTIFS('רווחה - קליטה'!$B$5:$B$204,$A39,'רווחה - קליטה'!$C$5:$C$204,"אמצע שנה",'רווחה - קליטה'!$AS$5:$AS$204,"אמין")/COUNTIFS('רווחה - קליטה'!$B$5:$B$204,$A39,'רווחה - קליטה'!$C$5:$C$204,"אמצע שנה"),""))</f>
        <v/>
      </c>
      <c r="N39" s="38" t="str">
        <f aca="false">IF($A39="","",COUNTIFS('זה אני - קליטה'!$B$5:$B$204,$A39,'זה אני - קליטה'!$C$5:$C$204,"סוף שנה"))</f>
        <v/>
      </c>
      <c r="O39" s="28" t="str">
        <f aca="false">IF($A39="","",IFERROR(AVERAGEIFS('זה אני - קליטה'!$AL$5:$AL$204,'זה אני - קליטה'!$B$5:$B$204,$A39,'זה אני - קליטה'!$C$5:$C$204,"סוף שנה"),""))</f>
        <v/>
      </c>
      <c r="P39" s="28" t="str">
        <f aca="false">IF($A39="","",IFERROR(AVERAGEIFS('זה אני - קליטה'!$AN$5:$AN$204,'זה אני - קליטה'!$B$5:$B$204,$A39,'זה אני - קליטה'!$C$5:$C$204,"סוף שנה"),""))</f>
        <v/>
      </c>
      <c r="Q39" s="38" t="str">
        <f aca="false">IF($A39="","",COUNTIFS('רווחה - קליטה'!$B$5:$B$204,$A39,'רווחה - קליטה'!$C$5:$C$204,"סוף שנה"))</f>
        <v/>
      </c>
      <c r="R39" s="36" t="str">
        <f aca="false">IF($A39="","",IFERROR(AVERAGEIFS('רווחה - קליטה'!$AQ$5:$AQ$204,'רווחה - קליטה'!$B$5:$B$204,$A39,'רווחה - קליטה'!$C$5:$C$204,"סוף שנה"),""))</f>
        <v/>
      </c>
      <c r="S39" s="28" t="str">
        <f aca="false">IF($A39="","",IFERROR(COUNTIFS('רווחה - קליטה'!$B$5:$B$204,$A39,'רווחה - קליטה'!$C$5:$C$204,"סוף שנה",'רווחה - קליטה'!$AS$5:$AS$204,"אמין")/COUNTIFS('רווחה - קליטה'!$B$5:$B$204,$A39,'רווחה - קליטה'!$C$5:$C$204,"סוף שנה"),""))</f>
        <v/>
      </c>
    </row>
    <row r="40" customFormat="false" ht="15" hidden="false" customHeight="false" outlineLevel="0" collapsed="false">
      <c r="A40" s="29"/>
      <c r="B40" s="38" t="str">
        <f aca="false">IF($A40="","",COUNTIFS('זה אני - קליטה'!$B$5:$B$204,$A40,'זה אני - קליטה'!$C$5:$C$204,"תחילת שנה"))</f>
        <v/>
      </c>
      <c r="C40" s="28" t="str">
        <f aca="false">IF($A40="","",IFERROR(AVERAGEIFS('זה אני - קליטה'!$AL$5:$AL$204,'זה אני - קליטה'!$B$5:$B$204,$A40,'זה אני - קליטה'!$C$5:$C$204,"תחילת שנה"),""))</f>
        <v/>
      </c>
      <c r="D40" s="28" t="str">
        <f aca="false">IF($A40="","",IFERROR(AVERAGEIFS('זה אני - קליטה'!$AN$5:$AN$204,'זה אני - קליטה'!$B$5:$B$204,$A40,'זה אני - קליטה'!$C$5:$C$204,"תחילת שנה"),""))</f>
        <v/>
      </c>
      <c r="E40" s="38" t="str">
        <f aca="false">IF($A40="","",COUNTIFS('רווחה - קליטה'!$B$5:$B$204,$A40,'רווחה - קליטה'!$C$5:$C$204,"תחילת שנה"))</f>
        <v/>
      </c>
      <c r="F40" s="36" t="str">
        <f aca="false">IF($A40="","",IFERROR(AVERAGEIFS('רווחה - קליטה'!$AQ$5:$AQ$204,'רווחה - קליטה'!$B$5:$B$204,$A40,'רווחה - קליטה'!$C$5:$C$204,"תחילת שנה"),""))</f>
        <v/>
      </c>
      <c r="G40" s="28" t="str">
        <f aca="false">IF($A40="","",IFERROR(COUNTIFS('רווחה - קליטה'!$B$5:$B$204,$A40,'רווחה - קליטה'!$C$5:$C$204,"תחילת שנה",'רווחה - קליטה'!$AS$5:$AS$204,"אמין")/COUNTIFS('רווחה - קליטה'!$B$5:$B$204,$A40,'רווחה - קליטה'!$C$5:$C$204,"תחילת שנה"),""))</f>
        <v/>
      </c>
      <c r="H40" s="38" t="str">
        <f aca="false">IF($A40="","",COUNTIFS('זה אני - קליטה'!$B$5:$B$204,$A40,'זה אני - קליטה'!$C$5:$C$204,"אמצע שנה"))</f>
        <v/>
      </c>
      <c r="I40" s="28" t="str">
        <f aca="false">IF($A40="","",IFERROR(AVERAGEIFS('זה אני - קליטה'!$AL$5:$AL$204,'זה אני - קליטה'!$B$5:$B$204,$A40,'זה אני - קליטה'!$C$5:$C$204,"אמצע שנה"),""))</f>
        <v/>
      </c>
      <c r="J40" s="28" t="str">
        <f aca="false">IF($A40="","",IFERROR(AVERAGEIFS('זה אני - קליטה'!$AN$5:$AN$204,'זה אני - קליטה'!$B$5:$B$204,$A40,'זה אני - קליטה'!$C$5:$C$204,"אמצע שנה"),""))</f>
        <v/>
      </c>
      <c r="K40" s="38" t="str">
        <f aca="false">IF($A40="","",COUNTIFS('רווחה - קליטה'!$B$5:$B$204,$A40,'רווחה - קליטה'!$C$5:$C$204,"אמצע שנה"))</f>
        <v/>
      </c>
      <c r="L40" s="36" t="str">
        <f aca="false">IF($A40="","",IFERROR(AVERAGEIFS('רווחה - קליטה'!$AQ$5:$AQ$204,'רווחה - קליטה'!$B$5:$B$204,$A40,'רווחה - קליטה'!$C$5:$C$204,"אמצע שנה"),""))</f>
        <v/>
      </c>
      <c r="M40" s="28" t="str">
        <f aca="false">IF($A40="","",IFERROR(COUNTIFS('רווחה - קליטה'!$B$5:$B$204,$A40,'רווחה - קליטה'!$C$5:$C$204,"אמצע שנה",'רווחה - קליטה'!$AS$5:$AS$204,"אמין")/COUNTIFS('רווחה - קליטה'!$B$5:$B$204,$A40,'רווחה - קליטה'!$C$5:$C$204,"אמצע שנה"),""))</f>
        <v/>
      </c>
      <c r="N40" s="38" t="str">
        <f aca="false">IF($A40="","",COUNTIFS('זה אני - קליטה'!$B$5:$B$204,$A40,'זה אני - קליטה'!$C$5:$C$204,"סוף שנה"))</f>
        <v/>
      </c>
      <c r="O40" s="28" t="str">
        <f aca="false">IF($A40="","",IFERROR(AVERAGEIFS('זה אני - קליטה'!$AL$5:$AL$204,'זה אני - קליטה'!$B$5:$B$204,$A40,'זה אני - קליטה'!$C$5:$C$204,"סוף שנה"),""))</f>
        <v/>
      </c>
      <c r="P40" s="28" t="str">
        <f aca="false">IF($A40="","",IFERROR(AVERAGEIFS('זה אני - קליטה'!$AN$5:$AN$204,'זה אני - קליטה'!$B$5:$B$204,$A40,'זה אני - קליטה'!$C$5:$C$204,"סוף שנה"),""))</f>
        <v/>
      </c>
      <c r="Q40" s="38" t="str">
        <f aca="false">IF($A40="","",COUNTIFS('רווחה - קליטה'!$B$5:$B$204,$A40,'רווחה - קליטה'!$C$5:$C$204,"סוף שנה"))</f>
        <v/>
      </c>
      <c r="R40" s="36" t="str">
        <f aca="false">IF($A40="","",IFERROR(AVERAGEIFS('רווחה - קליטה'!$AQ$5:$AQ$204,'רווחה - קליטה'!$B$5:$B$204,$A40,'רווחה - קליטה'!$C$5:$C$204,"סוף שנה"),""))</f>
        <v/>
      </c>
      <c r="S40" s="28" t="str">
        <f aca="false">IF($A40="","",IFERROR(COUNTIFS('רווחה - קליטה'!$B$5:$B$204,$A40,'רווחה - קליטה'!$C$5:$C$204,"סוף שנה",'רווחה - קליטה'!$AS$5:$AS$204,"אמין")/COUNTIFS('רווחה - קליטה'!$B$5:$B$204,$A40,'רווחה - קליטה'!$C$5:$C$204,"סוף שנה"),""))</f>
        <v/>
      </c>
    </row>
    <row r="41" customFormat="false" ht="15" hidden="false" customHeight="false" outlineLevel="0" collapsed="false">
      <c r="A41" s="29"/>
      <c r="B41" s="38" t="str">
        <f aca="false">IF($A41="","",COUNTIFS('זה אני - קליטה'!$B$5:$B$204,$A41,'זה אני - קליטה'!$C$5:$C$204,"תחילת שנה"))</f>
        <v/>
      </c>
      <c r="C41" s="28" t="str">
        <f aca="false">IF($A41="","",IFERROR(AVERAGEIFS('זה אני - קליטה'!$AL$5:$AL$204,'זה אני - קליטה'!$B$5:$B$204,$A41,'זה אני - קליטה'!$C$5:$C$204,"תחילת שנה"),""))</f>
        <v/>
      </c>
      <c r="D41" s="28" t="str">
        <f aca="false">IF($A41="","",IFERROR(AVERAGEIFS('זה אני - קליטה'!$AN$5:$AN$204,'זה אני - קליטה'!$B$5:$B$204,$A41,'זה אני - קליטה'!$C$5:$C$204,"תחילת שנה"),""))</f>
        <v/>
      </c>
      <c r="E41" s="38" t="str">
        <f aca="false">IF($A41="","",COUNTIFS('רווחה - קליטה'!$B$5:$B$204,$A41,'רווחה - קליטה'!$C$5:$C$204,"תחילת שנה"))</f>
        <v/>
      </c>
      <c r="F41" s="36" t="str">
        <f aca="false">IF($A41="","",IFERROR(AVERAGEIFS('רווחה - קליטה'!$AQ$5:$AQ$204,'רווחה - קליטה'!$B$5:$B$204,$A41,'רווחה - קליטה'!$C$5:$C$204,"תחילת שנה"),""))</f>
        <v/>
      </c>
      <c r="G41" s="28" t="str">
        <f aca="false">IF($A41="","",IFERROR(COUNTIFS('רווחה - קליטה'!$B$5:$B$204,$A41,'רווחה - קליטה'!$C$5:$C$204,"תחילת שנה",'רווחה - קליטה'!$AS$5:$AS$204,"אמין")/COUNTIFS('רווחה - קליטה'!$B$5:$B$204,$A41,'רווחה - קליטה'!$C$5:$C$204,"תחילת שנה"),""))</f>
        <v/>
      </c>
      <c r="H41" s="38" t="str">
        <f aca="false">IF($A41="","",COUNTIFS('זה אני - קליטה'!$B$5:$B$204,$A41,'זה אני - קליטה'!$C$5:$C$204,"אמצע שנה"))</f>
        <v/>
      </c>
      <c r="I41" s="28" t="str">
        <f aca="false">IF($A41="","",IFERROR(AVERAGEIFS('זה אני - קליטה'!$AL$5:$AL$204,'זה אני - קליטה'!$B$5:$B$204,$A41,'זה אני - קליטה'!$C$5:$C$204,"אמצע שנה"),""))</f>
        <v/>
      </c>
      <c r="J41" s="28" t="str">
        <f aca="false">IF($A41="","",IFERROR(AVERAGEIFS('זה אני - קליטה'!$AN$5:$AN$204,'זה אני - קליטה'!$B$5:$B$204,$A41,'זה אני - קליטה'!$C$5:$C$204,"אמצע שנה"),""))</f>
        <v/>
      </c>
      <c r="K41" s="38" t="str">
        <f aca="false">IF($A41="","",COUNTIFS('רווחה - קליטה'!$B$5:$B$204,$A41,'רווחה - קליטה'!$C$5:$C$204,"אמצע שנה"))</f>
        <v/>
      </c>
      <c r="L41" s="36" t="str">
        <f aca="false">IF($A41="","",IFERROR(AVERAGEIFS('רווחה - קליטה'!$AQ$5:$AQ$204,'רווחה - קליטה'!$B$5:$B$204,$A41,'רווחה - קליטה'!$C$5:$C$204,"אמצע שנה"),""))</f>
        <v/>
      </c>
      <c r="M41" s="28" t="str">
        <f aca="false">IF($A41="","",IFERROR(COUNTIFS('רווחה - קליטה'!$B$5:$B$204,$A41,'רווחה - קליטה'!$C$5:$C$204,"אמצע שנה",'רווחה - קליטה'!$AS$5:$AS$204,"אמין")/COUNTIFS('רווחה - קליטה'!$B$5:$B$204,$A41,'רווחה - קליטה'!$C$5:$C$204,"אמצע שנה"),""))</f>
        <v/>
      </c>
      <c r="N41" s="38" t="str">
        <f aca="false">IF($A41="","",COUNTIFS('זה אני - קליטה'!$B$5:$B$204,$A41,'זה אני - קליטה'!$C$5:$C$204,"סוף שנה"))</f>
        <v/>
      </c>
      <c r="O41" s="28" t="str">
        <f aca="false">IF($A41="","",IFERROR(AVERAGEIFS('זה אני - קליטה'!$AL$5:$AL$204,'זה אני - קליטה'!$B$5:$B$204,$A41,'זה אני - קליטה'!$C$5:$C$204,"סוף שנה"),""))</f>
        <v/>
      </c>
      <c r="P41" s="28" t="str">
        <f aca="false">IF($A41="","",IFERROR(AVERAGEIFS('זה אני - קליטה'!$AN$5:$AN$204,'זה אני - קליטה'!$B$5:$B$204,$A41,'זה אני - קליטה'!$C$5:$C$204,"סוף שנה"),""))</f>
        <v/>
      </c>
      <c r="Q41" s="38" t="str">
        <f aca="false">IF($A41="","",COUNTIFS('רווחה - קליטה'!$B$5:$B$204,$A41,'רווחה - קליטה'!$C$5:$C$204,"סוף שנה"))</f>
        <v/>
      </c>
      <c r="R41" s="36" t="str">
        <f aca="false">IF($A41="","",IFERROR(AVERAGEIFS('רווחה - קליטה'!$AQ$5:$AQ$204,'רווחה - קליטה'!$B$5:$B$204,$A41,'רווחה - קליטה'!$C$5:$C$204,"סוף שנה"),""))</f>
        <v/>
      </c>
      <c r="S41" s="28" t="str">
        <f aca="false">IF($A41="","",IFERROR(COUNTIFS('רווחה - קליטה'!$B$5:$B$204,$A41,'רווחה - קליטה'!$C$5:$C$204,"סוף שנה",'רווחה - קליטה'!$AS$5:$AS$204,"אמין")/COUNTIFS('רווחה - קליטה'!$B$5:$B$204,$A41,'רווחה - קליטה'!$C$5:$C$204,"סוף שנה"),""))</f>
        <v/>
      </c>
    </row>
    <row r="42" customFormat="false" ht="15" hidden="false" customHeight="false" outlineLevel="0" collapsed="false">
      <c r="A42" s="29"/>
      <c r="B42" s="38" t="str">
        <f aca="false">IF($A42="","",COUNTIFS('זה אני - קליטה'!$B$5:$B$204,$A42,'זה אני - קליטה'!$C$5:$C$204,"תחילת שנה"))</f>
        <v/>
      </c>
      <c r="C42" s="28" t="str">
        <f aca="false">IF($A42="","",IFERROR(AVERAGEIFS('זה אני - קליטה'!$AL$5:$AL$204,'זה אני - קליטה'!$B$5:$B$204,$A42,'זה אני - קליטה'!$C$5:$C$204,"תחילת שנה"),""))</f>
        <v/>
      </c>
      <c r="D42" s="28" t="str">
        <f aca="false">IF($A42="","",IFERROR(AVERAGEIFS('זה אני - קליטה'!$AN$5:$AN$204,'זה אני - קליטה'!$B$5:$B$204,$A42,'זה אני - קליטה'!$C$5:$C$204,"תחילת שנה"),""))</f>
        <v/>
      </c>
      <c r="E42" s="38" t="str">
        <f aca="false">IF($A42="","",COUNTIFS('רווחה - קליטה'!$B$5:$B$204,$A42,'רווחה - קליטה'!$C$5:$C$204,"תחילת שנה"))</f>
        <v/>
      </c>
      <c r="F42" s="36" t="str">
        <f aca="false">IF($A42="","",IFERROR(AVERAGEIFS('רווחה - קליטה'!$AQ$5:$AQ$204,'רווחה - קליטה'!$B$5:$B$204,$A42,'רווחה - קליטה'!$C$5:$C$204,"תחילת שנה"),""))</f>
        <v/>
      </c>
      <c r="G42" s="28" t="str">
        <f aca="false">IF($A42="","",IFERROR(COUNTIFS('רווחה - קליטה'!$B$5:$B$204,$A42,'רווחה - קליטה'!$C$5:$C$204,"תחילת שנה",'רווחה - קליטה'!$AS$5:$AS$204,"אמין")/COUNTIFS('רווחה - קליטה'!$B$5:$B$204,$A42,'רווחה - קליטה'!$C$5:$C$204,"תחילת שנה"),""))</f>
        <v/>
      </c>
      <c r="H42" s="38" t="str">
        <f aca="false">IF($A42="","",COUNTIFS('זה אני - קליטה'!$B$5:$B$204,$A42,'זה אני - קליטה'!$C$5:$C$204,"אמצע שנה"))</f>
        <v/>
      </c>
      <c r="I42" s="28" t="str">
        <f aca="false">IF($A42="","",IFERROR(AVERAGEIFS('זה אני - קליטה'!$AL$5:$AL$204,'זה אני - קליטה'!$B$5:$B$204,$A42,'זה אני - קליטה'!$C$5:$C$204,"אמצע שנה"),""))</f>
        <v/>
      </c>
      <c r="J42" s="28" t="str">
        <f aca="false">IF($A42="","",IFERROR(AVERAGEIFS('זה אני - קליטה'!$AN$5:$AN$204,'זה אני - קליטה'!$B$5:$B$204,$A42,'זה אני - קליטה'!$C$5:$C$204,"אמצע שנה"),""))</f>
        <v/>
      </c>
      <c r="K42" s="38" t="str">
        <f aca="false">IF($A42="","",COUNTIFS('רווחה - קליטה'!$B$5:$B$204,$A42,'רווחה - קליטה'!$C$5:$C$204,"אמצע שנה"))</f>
        <v/>
      </c>
      <c r="L42" s="36" t="str">
        <f aca="false">IF($A42="","",IFERROR(AVERAGEIFS('רווחה - קליטה'!$AQ$5:$AQ$204,'רווחה - קליטה'!$B$5:$B$204,$A42,'רווחה - קליטה'!$C$5:$C$204,"אמצע שנה"),""))</f>
        <v/>
      </c>
      <c r="M42" s="28" t="str">
        <f aca="false">IF($A42="","",IFERROR(COUNTIFS('רווחה - קליטה'!$B$5:$B$204,$A42,'רווחה - קליטה'!$C$5:$C$204,"אמצע שנה",'רווחה - קליטה'!$AS$5:$AS$204,"אמין")/COUNTIFS('רווחה - קליטה'!$B$5:$B$204,$A42,'רווחה - קליטה'!$C$5:$C$204,"אמצע שנה"),""))</f>
        <v/>
      </c>
      <c r="N42" s="38" t="str">
        <f aca="false">IF($A42="","",COUNTIFS('זה אני - קליטה'!$B$5:$B$204,$A42,'זה אני - קליטה'!$C$5:$C$204,"סוף שנה"))</f>
        <v/>
      </c>
      <c r="O42" s="28" t="str">
        <f aca="false">IF($A42="","",IFERROR(AVERAGEIFS('זה אני - קליטה'!$AL$5:$AL$204,'זה אני - קליטה'!$B$5:$B$204,$A42,'זה אני - קליטה'!$C$5:$C$204,"סוף שנה"),""))</f>
        <v/>
      </c>
      <c r="P42" s="28" t="str">
        <f aca="false">IF($A42="","",IFERROR(AVERAGEIFS('זה אני - קליטה'!$AN$5:$AN$204,'זה אני - קליטה'!$B$5:$B$204,$A42,'זה אני - קליטה'!$C$5:$C$204,"סוף שנה"),""))</f>
        <v/>
      </c>
      <c r="Q42" s="38" t="str">
        <f aca="false">IF($A42="","",COUNTIFS('רווחה - קליטה'!$B$5:$B$204,$A42,'רווחה - קליטה'!$C$5:$C$204,"סוף שנה"))</f>
        <v/>
      </c>
      <c r="R42" s="36" t="str">
        <f aca="false">IF($A42="","",IFERROR(AVERAGEIFS('רווחה - קליטה'!$AQ$5:$AQ$204,'רווחה - קליטה'!$B$5:$B$204,$A42,'רווחה - קליטה'!$C$5:$C$204,"סוף שנה"),""))</f>
        <v/>
      </c>
      <c r="S42" s="28" t="str">
        <f aca="false">IF($A42="","",IFERROR(COUNTIFS('רווחה - קליטה'!$B$5:$B$204,$A42,'רווחה - קליטה'!$C$5:$C$204,"סוף שנה",'רווחה - קליטה'!$AS$5:$AS$204,"אמין")/COUNTIFS('רווחה - קליטה'!$B$5:$B$204,$A42,'רווחה - קליטה'!$C$5:$C$204,"סוף שנה"),""))</f>
        <v/>
      </c>
    </row>
    <row r="43" customFormat="false" ht="15" hidden="false" customHeight="false" outlineLevel="0" collapsed="false">
      <c r="A43" s="29"/>
      <c r="B43" s="38" t="str">
        <f aca="false">IF($A43="","",COUNTIFS('זה אני - קליטה'!$B$5:$B$204,$A43,'זה אני - קליטה'!$C$5:$C$204,"תחילת שנה"))</f>
        <v/>
      </c>
      <c r="C43" s="28" t="str">
        <f aca="false">IF($A43="","",IFERROR(AVERAGEIFS('זה אני - קליטה'!$AL$5:$AL$204,'זה אני - קליטה'!$B$5:$B$204,$A43,'זה אני - קליטה'!$C$5:$C$204,"תחילת שנה"),""))</f>
        <v/>
      </c>
      <c r="D43" s="28" t="str">
        <f aca="false">IF($A43="","",IFERROR(AVERAGEIFS('זה אני - קליטה'!$AN$5:$AN$204,'זה אני - קליטה'!$B$5:$B$204,$A43,'זה אני - קליטה'!$C$5:$C$204,"תחילת שנה"),""))</f>
        <v/>
      </c>
      <c r="E43" s="38" t="str">
        <f aca="false">IF($A43="","",COUNTIFS('רווחה - קליטה'!$B$5:$B$204,$A43,'רווחה - קליטה'!$C$5:$C$204,"תחילת שנה"))</f>
        <v/>
      </c>
      <c r="F43" s="36" t="str">
        <f aca="false">IF($A43="","",IFERROR(AVERAGEIFS('רווחה - קליטה'!$AQ$5:$AQ$204,'רווחה - קליטה'!$B$5:$B$204,$A43,'רווחה - קליטה'!$C$5:$C$204,"תחילת שנה"),""))</f>
        <v/>
      </c>
      <c r="G43" s="28" t="str">
        <f aca="false">IF($A43="","",IFERROR(COUNTIFS('רווחה - קליטה'!$B$5:$B$204,$A43,'רווחה - קליטה'!$C$5:$C$204,"תחילת שנה",'רווחה - קליטה'!$AS$5:$AS$204,"אמין")/COUNTIFS('רווחה - קליטה'!$B$5:$B$204,$A43,'רווחה - קליטה'!$C$5:$C$204,"תחילת שנה"),""))</f>
        <v/>
      </c>
      <c r="H43" s="38" t="str">
        <f aca="false">IF($A43="","",COUNTIFS('זה אני - קליטה'!$B$5:$B$204,$A43,'זה אני - קליטה'!$C$5:$C$204,"אמצע שנה"))</f>
        <v/>
      </c>
      <c r="I43" s="28" t="str">
        <f aca="false">IF($A43="","",IFERROR(AVERAGEIFS('זה אני - קליטה'!$AL$5:$AL$204,'זה אני - קליטה'!$B$5:$B$204,$A43,'זה אני - קליטה'!$C$5:$C$204,"אמצע שנה"),""))</f>
        <v/>
      </c>
      <c r="J43" s="28" t="str">
        <f aca="false">IF($A43="","",IFERROR(AVERAGEIFS('זה אני - קליטה'!$AN$5:$AN$204,'זה אני - קליטה'!$B$5:$B$204,$A43,'זה אני - קליטה'!$C$5:$C$204,"אמצע שנה"),""))</f>
        <v/>
      </c>
      <c r="K43" s="38" t="str">
        <f aca="false">IF($A43="","",COUNTIFS('רווחה - קליטה'!$B$5:$B$204,$A43,'רווחה - קליטה'!$C$5:$C$204,"אמצע שנה"))</f>
        <v/>
      </c>
      <c r="L43" s="36" t="str">
        <f aca="false">IF($A43="","",IFERROR(AVERAGEIFS('רווחה - קליטה'!$AQ$5:$AQ$204,'רווחה - קליטה'!$B$5:$B$204,$A43,'רווחה - קליטה'!$C$5:$C$204,"אמצע שנה"),""))</f>
        <v/>
      </c>
      <c r="M43" s="28" t="str">
        <f aca="false">IF($A43="","",IFERROR(COUNTIFS('רווחה - קליטה'!$B$5:$B$204,$A43,'רווחה - קליטה'!$C$5:$C$204,"אמצע שנה",'רווחה - קליטה'!$AS$5:$AS$204,"אמין")/COUNTIFS('רווחה - קליטה'!$B$5:$B$204,$A43,'רווחה - קליטה'!$C$5:$C$204,"אמצע שנה"),""))</f>
        <v/>
      </c>
      <c r="N43" s="38" t="str">
        <f aca="false">IF($A43="","",COUNTIFS('זה אני - קליטה'!$B$5:$B$204,$A43,'זה אני - קליטה'!$C$5:$C$204,"סוף שנה"))</f>
        <v/>
      </c>
      <c r="O43" s="28" t="str">
        <f aca="false">IF($A43="","",IFERROR(AVERAGEIFS('זה אני - קליטה'!$AL$5:$AL$204,'זה אני - קליטה'!$B$5:$B$204,$A43,'זה אני - קליטה'!$C$5:$C$204,"סוף שנה"),""))</f>
        <v/>
      </c>
      <c r="P43" s="28" t="str">
        <f aca="false">IF($A43="","",IFERROR(AVERAGEIFS('זה אני - קליטה'!$AN$5:$AN$204,'זה אני - קליטה'!$B$5:$B$204,$A43,'זה אני - קליטה'!$C$5:$C$204,"סוף שנה"),""))</f>
        <v/>
      </c>
      <c r="Q43" s="38" t="str">
        <f aca="false">IF($A43="","",COUNTIFS('רווחה - קליטה'!$B$5:$B$204,$A43,'רווחה - קליטה'!$C$5:$C$204,"סוף שנה"))</f>
        <v/>
      </c>
      <c r="R43" s="36" t="str">
        <f aca="false">IF($A43="","",IFERROR(AVERAGEIFS('רווחה - קליטה'!$AQ$5:$AQ$204,'רווחה - קליטה'!$B$5:$B$204,$A43,'רווחה - קליטה'!$C$5:$C$204,"סוף שנה"),""))</f>
        <v/>
      </c>
      <c r="S43" s="28" t="str">
        <f aca="false">IF($A43="","",IFERROR(COUNTIFS('רווחה - קליטה'!$B$5:$B$204,$A43,'רווחה - קליטה'!$C$5:$C$204,"סוף שנה",'רווחה - קליטה'!$AS$5:$AS$204,"אמין")/COUNTIFS('רווחה - קליטה'!$B$5:$B$204,$A43,'רווחה - קליטה'!$C$5:$C$204,"סוף שנה"),""))</f>
        <v/>
      </c>
    </row>
    <row r="44" customFormat="false" ht="15" hidden="false" customHeight="false" outlineLevel="0" collapsed="false">
      <c r="A44" s="29"/>
      <c r="B44" s="38" t="str">
        <f aca="false">IF($A44="","",COUNTIFS('זה אני - קליטה'!$B$5:$B$204,$A44,'זה אני - קליטה'!$C$5:$C$204,"תחילת שנה"))</f>
        <v/>
      </c>
      <c r="C44" s="28" t="str">
        <f aca="false">IF($A44="","",IFERROR(AVERAGEIFS('זה אני - קליטה'!$AL$5:$AL$204,'זה אני - קליטה'!$B$5:$B$204,$A44,'זה אני - קליטה'!$C$5:$C$204,"תחילת שנה"),""))</f>
        <v/>
      </c>
      <c r="D44" s="28" t="str">
        <f aca="false">IF($A44="","",IFERROR(AVERAGEIFS('זה אני - קליטה'!$AN$5:$AN$204,'זה אני - קליטה'!$B$5:$B$204,$A44,'זה אני - קליטה'!$C$5:$C$204,"תחילת שנה"),""))</f>
        <v/>
      </c>
      <c r="E44" s="38" t="str">
        <f aca="false">IF($A44="","",COUNTIFS('רווחה - קליטה'!$B$5:$B$204,$A44,'רווחה - קליטה'!$C$5:$C$204,"תחילת שנה"))</f>
        <v/>
      </c>
      <c r="F44" s="36" t="str">
        <f aca="false">IF($A44="","",IFERROR(AVERAGEIFS('רווחה - קליטה'!$AQ$5:$AQ$204,'רווחה - קליטה'!$B$5:$B$204,$A44,'רווחה - קליטה'!$C$5:$C$204,"תחילת שנה"),""))</f>
        <v/>
      </c>
      <c r="G44" s="28" t="str">
        <f aca="false">IF($A44="","",IFERROR(COUNTIFS('רווחה - קליטה'!$B$5:$B$204,$A44,'רווחה - קליטה'!$C$5:$C$204,"תחילת שנה",'רווחה - קליטה'!$AS$5:$AS$204,"אמין")/COUNTIFS('רווחה - קליטה'!$B$5:$B$204,$A44,'רווחה - קליטה'!$C$5:$C$204,"תחילת שנה"),""))</f>
        <v/>
      </c>
      <c r="H44" s="38" t="str">
        <f aca="false">IF($A44="","",COUNTIFS('זה אני - קליטה'!$B$5:$B$204,$A44,'זה אני - קליטה'!$C$5:$C$204,"אמצע שנה"))</f>
        <v/>
      </c>
      <c r="I44" s="28" t="str">
        <f aca="false">IF($A44="","",IFERROR(AVERAGEIFS('זה אני - קליטה'!$AL$5:$AL$204,'זה אני - קליטה'!$B$5:$B$204,$A44,'זה אני - קליטה'!$C$5:$C$204,"אמצע שנה"),""))</f>
        <v/>
      </c>
      <c r="J44" s="28" t="str">
        <f aca="false">IF($A44="","",IFERROR(AVERAGEIFS('זה אני - קליטה'!$AN$5:$AN$204,'זה אני - קליטה'!$B$5:$B$204,$A44,'זה אני - קליטה'!$C$5:$C$204,"אמצע שנה"),""))</f>
        <v/>
      </c>
      <c r="K44" s="38" t="str">
        <f aca="false">IF($A44="","",COUNTIFS('רווחה - קליטה'!$B$5:$B$204,$A44,'רווחה - קליטה'!$C$5:$C$204,"אמצע שנה"))</f>
        <v/>
      </c>
      <c r="L44" s="36" t="str">
        <f aca="false">IF($A44="","",IFERROR(AVERAGEIFS('רווחה - קליטה'!$AQ$5:$AQ$204,'רווחה - קליטה'!$B$5:$B$204,$A44,'רווחה - קליטה'!$C$5:$C$204,"אמצע שנה"),""))</f>
        <v/>
      </c>
      <c r="M44" s="28" t="str">
        <f aca="false">IF($A44="","",IFERROR(COUNTIFS('רווחה - קליטה'!$B$5:$B$204,$A44,'רווחה - קליטה'!$C$5:$C$204,"אמצע שנה",'רווחה - קליטה'!$AS$5:$AS$204,"אמין")/COUNTIFS('רווחה - קליטה'!$B$5:$B$204,$A44,'רווחה - קליטה'!$C$5:$C$204,"אמצע שנה"),""))</f>
        <v/>
      </c>
      <c r="N44" s="38" t="str">
        <f aca="false">IF($A44="","",COUNTIFS('זה אני - קליטה'!$B$5:$B$204,$A44,'זה אני - קליטה'!$C$5:$C$204,"סוף שנה"))</f>
        <v/>
      </c>
      <c r="O44" s="28" t="str">
        <f aca="false">IF($A44="","",IFERROR(AVERAGEIFS('זה אני - קליטה'!$AL$5:$AL$204,'זה אני - קליטה'!$B$5:$B$204,$A44,'זה אני - קליטה'!$C$5:$C$204,"סוף שנה"),""))</f>
        <v/>
      </c>
      <c r="P44" s="28" t="str">
        <f aca="false">IF($A44="","",IFERROR(AVERAGEIFS('זה אני - קליטה'!$AN$5:$AN$204,'זה אני - קליטה'!$B$5:$B$204,$A44,'זה אני - קליטה'!$C$5:$C$204,"סוף שנה"),""))</f>
        <v/>
      </c>
      <c r="Q44" s="38" t="str">
        <f aca="false">IF($A44="","",COUNTIFS('רווחה - קליטה'!$B$5:$B$204,$A44,'רווחה - קליטה'!$C$5:$C$204,"סוף שנה"))</f>
        <v/>
      </c>
      <c r="R44" s="36" t="str">
        <f aca="false">IF($A44="","",IFERROR(AVERAGEIFS('רווחה - קליטה'!$AQ$5:$AQ$204,'רווחה - קליטה'!$B$5:$B$204,$A44,'רווחה - קליטה'!$C$5:$C$204,"סוף שנה"),""))</f>
        <v/>
      </c>
      <c r="S44" s="28" t="str">
        <f aca="false">IF($A44="","",IFERROR(COUNTIFS('רווחה - קליטה'!$B$5:$B$204,$A44,'רווחה - קליטה'!$C$5:$C$204,"סוף שנה",'רווחה - קליטה'!$AS$5:$AS$204,"אמין")/COUNTIFS('רווחה - קליטה'!$B$5:$B$204,$A44,'רווחה - קליטה'!$C$5:$C$204,"סוף שנה"),""))</f>
        <v/>
      </c>
    </row>
    <row r="45" customFormat="false" ht="15" hidden="false" customHeight="false" outlineLevel="0" collapsed="false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</row>
    <row r="46" customFormat="false" ht="15" hidden="false" customHeight="false" outlineLevel="0" collapsed="false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</row>
    <row r="47" customFormat="false" ht="15" hidden="false" customHeight="false" outlineLevel="0" collapsed="false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</row>
    <row r="48" customFormat="false" ht="15" hidden="false" customHeight="false" outlineLevel="0" collapsed="false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</row>
    <row r="49" customFormat="false" ht="15" hidden="false" customHeight="false" outlineLevel="0" collapsed="false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</row>
    <row r="50" customFormat="false" ht="15" hidden="false" customHeight="false" outlineLevel="0" collapsed="false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</row>
    <row r="51" customFormat="false" ht="15" hidden="false" customHeight="false" outlineLevel="0" collapsed="false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</row>
    <row r="52" customFormat="false" ht="15" hidden="false" customHeight="false" outlineLevel="0" collapsed="false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</row>
    <row r="53" customFormat="false" ht="15" hidden="false" customHeight="false" outlineLevel="0" collapsed="false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</row>
    <row r="54" customFormat="false" ht="15" hidden="false" customHeight="false" outlineLevel="0" collapsed="false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</row>
    <row r="55" customFormat="false" ht="15" hidden="false" customHeight="false" outlineLevel="0" collapsed="false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</row>
    <row r="56" customFormat="false" ht="15" hidden="false" customHeight="false" outlineLevel="0" collapsed="false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</row>
    <row r="57" customFormat="false" ht="15" hidden="false" customHeight="false" outlineLevel="0" collapsed="false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</row>
    <row r="58" customFormat="false" ht="15" hidden="false" customHeight="false" outlineLevel="0" collapsed="false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</row>
    <row r="59" customFormat="false" ht="15" hidden="false" customHeight="false" outlineLevel="0" collapsed="false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</row>
    <row r="60" customFormat="false" ht="15" hidden="false" customHeight="false" outlineLevel="0" collapsed="false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</row>
    <row r="61" customFormat="false" ht="15" hidden="false" customHeight="false" outlineLevel="0" collapsed="false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</row>
    <row r="62" customFormat="false" ht="15" hidden="false" customHeight="false" outlineLevel="0" collapsed="false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</row>
    <row r="63" customFormat="false" ht="15" hidden="false" customHeight="false" outlineLevel="0" collapsed="false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</row>
    <row r="64" customFormat="false" ht="15" hidden="false" customHeight="false" outlineLevel="0" collapsed="false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</row>
    <row r="65" customFormat="false" ht="15" hidden="false" customHeight="false" outlineLevel="0" collapsed="false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</row>
    <row r="66" customFormat="false" ht="15" hidden="false" customHeight="false" outlineLevel="0" collapsed="false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</row>
    <row r="67" customFormat="false" ht="15" hidden="false" customHeight="false" outlineLevel="0" collapsed="false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</row>
    <row r="68" customFormat="false" ht="15" hidden="false" customHeight="false" outlineLevel="0" collapsed="false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</row>
    <row r="69" customFormat="false" ht="15" hidden="false" customHeight="false" outlineLevel="0" collapsed="false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</row>
    <row r="70" customFormat="false" ht="15" hidden="false" customHeight="false" outlineLevel="0" collapsed="false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 customFormat="false" ht="15" hidden="false" customHeight="false" outlineLevel="0" collapsed="false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 customFormat="false" ht="15" hidden="false" customHeight="false" outlineLevel="0" collapsed="false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</row>
    <row r="73" customFormat="false" ht="15" hidden="false" customHeight="false" outlineLevel="0" collapsed="false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</row>
    <row r="74" customFormat="false" ht="15" hidden="false" customHeight="false" outlineLevel="0" collapsed="false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 customFormat="false" ht="15" hidden="false" customHeight="false" outlineLevel="0" collapsed="false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 customFormat="false" ht="15" hidden="false" customHeight="false" outlineLevel="0" collapsed="false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</row>
    <row r="77" customFormat="false" ht="15" hidden="false" customHeight="false" outlineLevel="0" collapsed="false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</row>
    <row r="78" customFormat="false" ht="15" hidden="false" customHeight="false" outlineLevel="0" collapsed="false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</row>
    <row r="79" customFormat="false" ht="15" hidden="false" customHeight="false" outlineLevel="0" collapsed="false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</row>
    <row r="80" customFormat="false" ht="15" hidden="false" customHeight="false" outlineLevel="0" collapsed="false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</row>
    <row r="81" customFormat="false" ht="15" hidden="false" customHeight="false" outlineLevel="0" collapsed="false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</row>
    <row r="82" customFormat="false" ht="15" hidden="false" customHeight="false" outlineLevel="0" collapsed="false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</row>
    <row r="83" customFormat="false" ht="15" hidden="false" customHeight="false" outlineLevel="0" collapsed="false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</row>
    <row r="84" customFormat="false" ht="15" hidden="false" customHeight="false" outlineLevel="0" collapsed="false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</row>
    <row r="85" customFormat="false" ht="15" hidden="false" customHeight="false" outlineLevel="0" collapsed="false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</row>
    <row r="86" customFormat="false" ht="15" hidden="false" customHeight="false" outlineLevel="0" collapsed="false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</row>
    <row r="87" customFormat="false" ht="15" hidden="false" customHeight="false" outlineLevel="0" collapsed="false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 customFormat="false" ht="15" hidden="false" customHeight="false" outlineLevel="0" collapsed="false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</row>
    <row r="89" customFormat="false" ht="15" hidden="false" customHeight="false" outlineLevel="0" collapsed="false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</row>
    <row r="90" customFormat="false" ht="15" hidden="false" customHeight="false" outlineLevel="0" collapsed="false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</row>
    <row r="91" customFormat="false" ht="15" hidden="false" customHeight="false" outlineLevel="0" collapsed="false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</row>
    <row r="92" customFormat="false" ht="15" hidden="false" customHeight="false" outlineLevel="0" collapsed="false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</row>
    <row r="93" customFormat="false" ht="15" hidden="false" customHeight="false" outlineLevel="0" collapsed="false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</row>
    <row r="94" customFormat="false" ht="15" hidden="false" customHeight="false" outlineLevel="0" collapsed="false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</row>
    <row r="95" customFormat="false" ht="15" hidden="false" customHeight="false" outlineLevel="0" collapsed="false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</row>
    <row r="96" customFormat="false" ht="15" hidden="false" customHeight="false" outlineLevel="0" collapsed="false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</row>
    <row r="97" customFormat="false" ht="15" hidden="false" customHeight="false" outlineLevel="0" collapsed="false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</row>
    <row r="98" customFormat="false" ht="15" hidden="false" customHeight="false" outlineLevel="0" collapsed="false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</row>
    <row r="99" customFormat="false" ht="15" hidden="false" customHeight="false" outlineLevel="0" collapsed="false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</row>
    <row r="100" customFormat="false" ht="15" hidden="false" customHeight="false" outlineLevel="0" collapsed="false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</row>
    <row r="101" customFormat="false" ht="15" hidden="false" customHeight="false" outlineLevel="0" collapsed="false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</row>
    <row r="102" customFormat="false" ht="15" hidden="false" customHeight="false" outlineLevel="0" collapsed="false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</row>
    <row r="103" customFormat="false" ht="15" hidden="false" customHeight="false" outlineLevel="0" collapsed="false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</row>
    <row r="104" customFormat="false" ht="15" hidden="false" customHeight="false" outlineLevel="0" collapsed="false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</row>
    <row r="105" customFormat="false" ht="15" hidden="false" customHeight="false" outlineLevel="0" collapsed="false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</row>
    <row r="106" customFormat="false" ht="15" hidden="false" customHeight="false" outlineLevel="0" collapsed="false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</row>
    <row r="107" customFormat="false" ht="15" hidden="false" customHeight="false" outlineLevel="0" collapsed="false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</row>
    <row r="108" customFormat="false" ht="15" hidden="false" customHeight="false" outlineLevel="0" collapsed="false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</row>
    <row r="109" customFormat="false" ht="15" hidden="false" customHeight="false" outlineLevel="0" collapsed="false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</row>
    <row r="110" customFormat="false" ht="15" hidden="false" customHeight="false" outlineLevel="0" collapsed="false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</row>
    <row r="111" customFormat="false" ht="15" hidden="false" customHeight="false" outlineLevel="0" collapsed="false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</row>
    <row r="112" customFormat="false" ht="15" hidden="false" customHeight="false" outlineLevel="0" collapsed="false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</row>
    <row r="113" customFormat="false" ht="15" hidden="false" customHeight="false" outlineLevel="0" collapsed="false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</row>
    <row r="114" customFormat="false" ht="15" hidden="false" customHeight="false" outlineLevel="0" collapsed="false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</row>
    <row r="115" customFormat="false" ht="15" hidden="false" customHeight="false" outlineLevel="0" collapsed="false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</row>
    <row r="116" customFormat="false" ht="15" hidden="false" customHeight="false" outlineLevel="0" collapsed="false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</row>
    <row r="117" customFormat="false" ht="15" hidden="false" customHeight="false" outlineLevel="0" collapsed="false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</row>
    <row r="118" customFormat="false" ht="15" hidden="false" customHeight="false" outlineLevel="0" collapsed="false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</row>
    <row r="119" customFormat="false" ht="15" hidden="false" customHeight="false" outlineLevel="0" collapsed="false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</row>
    <row r="120" customFormat="false" ht="15" hidden="false" customHeight="false" outlineLevel="0" collapsed="false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</row>
    <row r="121" customFormat="false" ht="15" hidden="false" customHeight="false" outlineLevel="0" collapsed="false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</row>
    <row r="122" customFormat="false" ht="15" hidden="false" customHeight="false" outlineLevel="0" collapsed="false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</row>
    <row r="123" customFormat="false" ht="15" hidden="false" customHeight="false" outlineLevel="0" collapsed="false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</row>
    <row r="124" customFormat="false" ht="15" hidden="false" customHeight="false" outlineLevel="0" collapsed="false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</row>
    <row r="125" customFormat="false" ht="15" hidden="false" customHeight="false" outlineLevel="0" collapsed="false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</row>
    <row r="126" customFormat="false" ht="15" hidden="false" customHeight="false" outlineLevel="0" collapsed="false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</row>
    <row r="127" customFormat="false" ht="15" hidden="false" customHeight="false" outlineLevel="0" collapsed="false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</row>
    <row r="128" customFormat="false" ht="15" hidden="false" customHeight="false" outlineLevel="0" collapsed="false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</row>
    <row r="129" customFormat="false" ht="15" hidden="false" customHeight="false" outlineLevel="0" collapsed="false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</row>
    <row r="130" customFormat="false" ht="15" hidden="false" customHeight="false" outlineLevel="0" collapsed="false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</row>
    <row r="131" customFormat="false" ht="15" hidden="false" customHeight="false" outlineLevel="0" collapsed="false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</row>
    <row r="132" customFormat="false" ht="15" hidden="false" customHeight="false" outlineLevel="0" collapsed="false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</row>
    <row r="133" customFormat="false" ht="15" hidden="false" customHeight="false" outlineLevel="0" collapsed="false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</row>
    <row r="134" customFormat="false" ht="15" hidden="false" customHeight="false" outlineLevel="0" collapsed="false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</row>
    <row r="135" customFormat="false" ht="15" hidden="false" customHeight="false" outlineLevel="0" collapsed="false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</row>
    <row r="136" customFormat="false" ht="15" hidden="false" customHeight="false" outlineLevel="0" collapsed="false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</row>
    <row r="137" customFormat="false" ht="15" hidden="false" customHeight="false" outlineLevel="0" collapsed="false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</row>
    <row r="138" customFormat="false" ht="15" hidden="false" customHeight="false" outlineLevel="0" collapsed="false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</row>
    <row r="139" customFormat="false" ht="15" hidden="false" customHeight="false" outlineLevel="0" collapsed="false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</row>
    <row r="140" customFormat="false" ht="15" hidden="false" customHeight="false" outlineLevel="0" collapsed="false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</row>
    <row r="141" customFormat="false" ht="15" hidden="false" customHeight="false" outlineLevel="0" collapsed="false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</row>
    <row r="142" customFormat="false" ht="15" hidden="false" customHeight="false" outlineLevel="0" collapsed="false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</row>
    <row r="143" customFormat="false" ht="15" hidden="false" customHeight="false" outlineLevel="0" collapsed="false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</row>
    <row r="144" customFormat="false" ht="15" hidden="false" customHeight="false" outlineLevel="0" collapsed="false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</row>
    <row r="145" customFormat="false" ht="15" hidden="false" customHeight="false" outlineLevel="0" collapsed="false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</row>
    <row r="146" customFormat="false" ht="15" hidden="false" customHeight="false" outlineLevel="0" collapsed="false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</row>
    <row r="147" customFormat="false" ht="15" hidden="false" customHeight="false" outlineLevel="0" collapsed="false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</row>
    <row r="148" customFormat="false" ht="15" hidden="false" customHeight="false" outlineLevel="0" collapsed="false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</row>
    <row r="149" customFormat="false" ht="15" hidden="false" customHeight="false" outlineLevel="0" collapsed="false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</row>
    <row r="150" customFormat="false" ht="15" hidden="false" customHeight="false" outlineLevel="0" collapsed="false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</row>
    <row r="151" customFormat="false" ht="15" hidden="false" customHeight="false" outlineLevel="0" collapsed="false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</row>
    <row r="152" customFormat="false" ht="15" hidden="false" customHeight="false" outlineLevel="0" collapsed="false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</row>
    <row r="153" customFormat="false" ht="15" hidden="false" customHeight="false" outlineLevel="0" collapsed="false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</row>
    <row r="154" customFormat="false" ht="15" hidden="false" customHeight="false" outlineLevel="0" collapsed="false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</row>
    <row r="155" customFormat="false" ht="15" hidden="false" customHeight="false" outlineLevel="0" collapsed="false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</row>
    <row r="156" customFormat="false" ht="15" hidden="false" customHeight="false" outlineLevel="0" collapsed="false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</row>
    <row r="157" customFormat="false" ht="15" hidden="false" customHeight="false" outlineLevel="0" collapsed="false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</row>
    <row r="158" customFormat="false" ht="15" hidden="false" customHeight="false" outlineLevel="0" collapsed="false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</row>
    <row r="159" customFormat="false" ht="15" hidden="false" customHeight="false" outlineLevel="0" collapsed="false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</row>
    <row r="160" customFormat="false" ht="15" hidden="false" customHeight="false" outlineLevel="0" collapsed="false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</row>
    <row r="161" customFormat="false" ht="15" hidden="false" customHeight="false" outlineLevel="0" collapsed="false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</row>
    <row r="162" customFormat="false" ht="15" hidden="false" customHeight="false" outlineLevel="0" collapsed="false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</row>
    <row r="163" customFormat="false" ht="15" hidden="false" customHeight="false" outlineLevel="0" collapsed="false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</row>
    <row r="164" customFormat="false" ht="15" hidden="false" customHeight="false" outlineLevel="0" collapsed="false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</row>
    <row r="165" customFormat="false" ht="15" hidden="false" customHeight="false" outlineLevel="0" collapsed="false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</row>
    <row r="166" customFormat="false" ht="15" hidden="false" customHeight="false" outlineLevel="0" collapsed="false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</row>
    <row r="167" customFormat="false" ht="15" hidden="false" customHeight="false" outlineLevel="0" collapsed="false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</row>
    <row r="168" customFormat="false" ht="15" hidden="false" customHeight="false" outlineLevel="0" collapsed="false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</row>
    <row r="169" customFormat="false" ht="15" hidden="false" customHeight="false" outlineLevel="0" collapsed="false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</row>
    <row r="170" customFormat="false" ht="15" hidden="false" customHeight="false" outlineLevel="0" collapsed="false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</row>
    <row r="171" customFormat="false" ht="15" hidden="false" customHeight="false" outlineLevel="0" collapsed="false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</row>
    <row r="172" customFormat="false" ht="15" hidden="false" customHeight="false" outlineLevel="0" collapsed="false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</row>
    <row r="173" customFormat="false" ht="15" hidden="false" customHeight="false" outlineLevel="0" collapsed="false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</row>
    <row r="174" customFormat="false" ht="15" hidden="false" customHeight="false" outlineLevel="0" collapsed="false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</row>
    <row r="175" customFormat="false" ht="15" hidden="false" customHeight="false" outlineLevel="0" collapsed="false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</row>
    <row r="176" customFormat="false" ht="15" hidden="false" customHeight="false" outlineLevel="0" collapsed="false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</row>
    <row r="177" customFormat="false" ht="15" hidden="false" customHeight="false" outlineLevel="0" collapsed="false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</row>
    <row r="178" customFormat="false" ht="15" hidden="false" customHeight="false" outlineLevel="0" collapsed="false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</row>
    <row r="179" customFormat="false" ht="15" hidden="false" customHeight="false" outlineLevel="0" collapsed="false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</row>
    <row r="180" customFormat="false" ht="15" hidden="false" customHeight="false" outlineLevel="0" collapsed="false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</row>
    <row r="181" customFormat="false" ht="15" hidden="false" customHeight="false" outlineLevel="0" collapsed="false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</row>
    <row r="182" customFormat="false" ht="15" hidden="false" customHeight="false" outlineLevel="0" collapsed="false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</row>
    <row r="183" customFormat="false" ht="15" hidden="false" customHeight="false" outlineLevel="0" collapsed="false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</row>
    <row r="184" customFormat="false" ht="15" hidden="false" customHeight="false" outlineLevel="0" collapsed="false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</row>
    <row r="185" customFormat="false" ht="15" hidden="false" customHeight="false" outlineLevel="0" collapsed="false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</row>
    <row r="186" customFormat="false" ht="15" hidden="false" customHeight="false" outlineLevel="0" collapsed="false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</row>
    <row r="187" customFormat="false" ht="15" hidden="false" customHeight="false" outlineLevel="0" collapsed="false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</row>
    <row r="188" customFormat="false" ht="15" hidden="false" customHeight="false" outlineLevel="0" collapsed="false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</row>
    <row r="189" customFormat="false" ht="15" hidden="false" customHeight="false" outlineLevel="0" collapsed="false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</row>
    <row r="190" customFormat="false" ht="15" hidden="false" customHeight="false" outlineLevel="0" collapsed="false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</row>
    <row r="191" customFormat="false" ht="15" hidden="false" customHeight="false" outlineLevel="0" collapsed="false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</row>
    <row r="192" customFormat="false" ht="15" hidden="false" customHeight="false" outlineLevel="0" collapsed="false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</row>
    <row r="193" customFormat="false" ht="15" hidden="false" customHeight="false" outlineLevel="0" collapsed="false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</row>
    <row r="194" customFormat="false" ht="15" hidden="false" customHeight="false" outlineLevel="0" collapsed="false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</row>
    <row r="195" customFormat="false" ht="15" hidden="false" customHeight="false" outlineLevel="0" collapsed="false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</row>
    <row r="196" customFormat="false" ht="15" hidden="false" customHeight="false" outlineLevel="0" collapsed="false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</row>
    <row r="197" customFormat="false" ht="15" hidden="false" customHeight="false" outlineLevel="0" collapsed="false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</row>
    <row r="198" customFormat="false" ht="15" hidden="false" customHeight="false" outlineLevel="0" collapsed="false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</row>
    <row r="199" customFormat="false" ht="15" hidden="false" customHeight="false" outlineLevel="0" collapsed="false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</row>
    <row r="200" customFormat="false" ht="15" hidden="false" customHeight="false" outlineLevel="0" collapsed="false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</row>
    <row r="201" customFormat="false" ht="15" hidden="false" customHeight="false" outlineLevel="0" collapsed="false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</row>
    <row r="202" customFormat="false" ht="15" hidden="false" customHeight="false" outlineLevel="0" collapsed="false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</row>
    <row r="203" customFormat="false" ht="15" hidden="false" customHeight="false" outlineLevel="0" collapsed="false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</row>
    <row r="204" customFormat="false" ht="15" hidden="false" customHeight="false" outlineLevel="0" collapsed="false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</row>
  </sheetData>
  <mergeCells count="3">
    <mergeCell ref="B3:G3"/>
    <mergeCell ref="H3:M3"/>
    <mergeCell ref="N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2026-10-18T12:27:34Z</dcterms:created>
  <dc:creator>openpyxl</dc:creator>
  <dc:description/>
  <dc:language>en-US</dc:language>
  <cp:lastModifiedBy/>
  <dcterms:modified xsi:type="dcterms:W3CDTF">2026-10-18T12:27:36Z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