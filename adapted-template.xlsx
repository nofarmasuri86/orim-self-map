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הסבר" sheetId="1" state="visible" r:id="rId1"/>
    <sheet xmlns:r="http://schemas.openxmlformats.org/officeDocument/2006/relationships" name="זה אני - קליטה" sheetId="2" state="visible" r:id="rId2"/>
    <sheet xmlns:r="http://schemas.openxmlformats.org/officeDocument/2006/relationships" name="זה אני - מעקב" sheetId="3" state="visible" r:id="rId3"/>
    <sheet xmlns:r="http://schemas.openxmlformats.org/officeDocument/2006/relationships" name="רווחה - קליטה" sheetId="4" state="visible" r:id="rId4"/>
    <sheet xmlns:r="http://schemas.openxmlformats.org/officeDocument/2006/relationships" name="רווחה - מעקב" sheetId="5" state="visible" r:id="rId5"/>
    <sheet xmlns:r="http://schemas.openxmlformats.org/officeDocument/2006/relationships" name="סיכום כיתתי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+0.0;-0.0;0"/>
    <numFmt numFmtId="166" formatCode="+0%;-0%;0%"/>
  </numFmts>
  <fonts count="17">
    <font>
      <name val="Calibri"/>
      <family val="2"/>
      <color theme="1"/>
      <sz val="11"/>
      <scheme val="minor"/>
    </font>
    <font>
      <name val="Arial"/>
      <b val="1"/>
      <color rgb="001E2A4F"/>
      <sz val="16"/>
    </font>
    <font>
      <name val="Arial"/>
      <sz val="10"/>
    </font>
    <font>
      <name val="Arial"/>
      <b val="1"/>
      <color rgb="001E2A4F"/>
      <sz val="10"/>
    </font>
    <font>
      <name val="Arial"/>
      <b val="1"/>
      <color rgb="0024448F"/>
      <sz val="12"/>
    </font>
    <font>
      <name val="Arial"/>
      <color rgb="0056607E"/>
      <sz val="10"/>
    </font>
    <font>
      <name val="Arial"/>
      <b val="1"/>
      <color rgb="00FFFFFF"/>
      <sz val="10"/>
    </font>
    <font>
      <name val="Arial"/>
      <b val="1"/>
      <color rgb="001E2A4F"/>
      <sz val="11"/>
    </font>
    <font>
      <name val="Arial"/>
      <b val="1"/>
      <color rgb="005B6584"/>
      <sz val="11"/>
    </font>
    <font>
      <name val="Arial"/>
      <b val="1"/>
      <color rgb="0024448F"/>
      <sz val="11"/>
    </font>
    <font>
      <name val="Arial"/>
      <b val="1"/>
      <color rgb="0017775A"/>
      <sz val="11"/>
    </font>
    <font>
      <name val="Arial"/>
      <b val="1"/>
      <color rgb="003A4466"/>
      <sz val="11"/>
    </font>
    <font>
      <name val="Arial"/>
      <i val="1"/>
      <color rgb="007A5B00"/>
      <sz val="10"/>
    </font>
    <font>
      <name val="Arial"/>
      <b val="1"/>
      <color rgb="00B4541A"/>
      <sz val="11"/>
    </font>
    <font>
      <name val="Arial"/>
      <b val="1"/>
      <color rgb="000F5E4A"/>
      <sz val="11"/>
    </font>
    <font>
      <name val="Arial"/>
      <b val="1"/>
      <color rgb="00C2295A"/>
      <sz val="11"/>
    </font>
    <font>
      <name val="Arial"/>
      <b val="1"/>
      <color rgb="005B3FB8"/>
      <sz val="11"/>
    </font>
  </fonts>
  <fills count="14">
    <fill>
      <patternFill/>
    </fill>
    <fill>
      <patternFill patternType="gray125"/>
    </fill>
    <fill>
      <patternFill patternType="solid">
        <fgColor rgb="00FFF7D1"/>
      </patternFill>
    </fill>
    <fill>
      <patternFill patternType="solid">
        <fgColor rgb="00EEF2F8"/>
      </patternFill>
    </fill>
    <fill>
      <patternFill patternType="solid">
        <fgColor rgb="001E2A4F"/>
      </patternFill>
    </fill>
    <fill>
      <patternFill patternType="solid">
        <fgColor rgb="005B6584"/>
      </patternFill>
    </fill>
    <fill>
      <patternFill patternType="solid">
        <fgColor rgb="0024448F"/>
      </patternFill>
    </fill>
    <fill>
      <patternFill patternType="solid">
        <fgColor rgb="0017775A"/>
      </patternFill>
    </fill>
    <fill>
      <patternFill patternType="solid">
        <fgColor rgb="00C2295A"/>
      </patternFill>
    </fill>
    <fill>
      <patternFill patternType="solid">
        <fgColor rgb="005B3FB8"/>
      </patternFill>
    </fill>
    <fill>
      <patternFill patternType="solid">
        <fgColor rgb="0013879A"/>
      </patternFill>
    </fill>
    <fill>
      <patternFill patternType="solid">
        <fgColor rgb="003A4466"/>
      </patternFill>
    </fill>
    <fill>
      <patternFill patternType="solid">
        <fgColor rgb="00B4541A"/>
      </patternFill>
    </fill>
    <fill>
      <patternFill patternType="solid">
        <fgColor rgb="000F5E4A"/>
      </patternFill>
    </fill>
  </fills>
  <borders count="12">
    <border>
      <left/>
      <right/>
      <top/>
      <bottom/>
      <diagonal/>
    </border>
    <border>
      <left style="thin">
        <color rgb="00C9D1E3"/>
      </left>
      <right style="thin">
        <color rgb="00C9D1E3"/>
      </right>
      <top style="thin">
        <color rgb="00C9D1E3"/>
      </top>
      <bottom style="thin">
        <color rgb="00C9D1E3"/>
      </bottom>
    </border>
    <border>
      <bottom style="medium">
        <color rgb="001E2A4F"/>
      </bottom>
    </border>
    <border>
      <bottom style="medium">
        <color rgb="005B6584"/>
      </bottom>
    </border>
    <border>
      <bottom style="medium">
        <color rgb="0024448F"/>
      </bottom>
    </border>
    <border>
      <bottom style="medium">
        <color rgb="0017775A"/>
      </bottom>
    </border>
    <border>
      <bottom style="medium">
        <color rgb="003A4466"/>
      </bottom>
    </border>
    <border>
      <bottom style="medium">
        <color rgb="00B4541A"/>
      </bottom>
    </border>
    <border>
      <bottom style="medium">
        <color rgb="000F5E4A"/>
      </bottom>
    </border>
    <border>
      <bottom style="medium">
        <color rgb="00C2295A"/>
      </bottom>
    </border>
    <border>
      <bottom style="medium">
        <color rgb="005B3FB8"/>
      </bottom>
    </border>
    <border/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4" fillId="0" borderId="0" pivotButton="0" quotePrefix="0" xfId="0"/>
    <xf numFmtId="0" fontId="2" fillId="2" borderId="1" pivotButton="0" quotePrefix="0" xfId="0"/>
    <xf numFmtId="0" fontId="2" fillId="0" borderId="0" pivotButton="0" quotePrefix="0" xfId="0"/>
    <xf numFmtId="0" fontId="2" fillId="3" borderId="1" pivotButton="0" quotePrefix="0" xfId="0"/>
    <xf numFmtId="0" fontId="1" fillId="0" borderId="0" pivotButton="0" quotePrefix="0" xfId="0"/>
    <xf numFmtId="0" fontId="5" fillId="0" borderId="0" pivotButton="0" quotePrefix="0" xfId="0"/>
    <xf numFmtId="0" fontId="7" fillId="0" borderId="2" applyAlignment="1" pivotButton="0" quotePrefix="0" xfId="0">
      <alignment horizontal="center"/>
    </xf>
    <xf numFmtId="0" fontId="0" fillId="0" borderId="2" pivotButton="0" quotePrefix="0" xfId="0"/>
    <xf numFmtId="0" fontId="13" fillId="0" borderId="7" applyAlignment="1" pivotButton="0" quotePrefix="0" xfId="0">
      <alignment horizontal="center"/>
    </xf>
    <xf numFmtId="0" fontId="0" fillId="0" borderId="7" pivotButton="0" quotePrefix="0" xfId="0"/>
    <xf numFmtId="0" fontId="10" fillId="0" borderId="5" applyAlignment="1" pivotButton="0" quotePrefix="0" xfId="0">
      <alignment horizontal="center"/>
    </xf>
    <xf numFmtId="0" fontId="0" fillId="0" borderId="5" pivotButton="0" quotePrefix="0" xfId="0"/>
    <xf numFmtId="0" fontId="14" fillId="0" borderId="8" applyAlignment="1" pivotButton="0" quotePrefix="0" xfId="0">
      <alignment horizontal="center"/>
    </xf>
    <xf numFmtId="0" fontId="0" fillId="0" borderId="8" pivotButton="0" quotePrefix="0" xfId="0"/>
    <xf numFmtId="0" fontId="15" fillId="0" borderId="9" applyAlignment="1" pivotButton="0" quotePrefix="0" xfId="0">
      <alignment horizontal="center"/>
    </xf>
    <xf numFmtId="0" fontId="0" fillId="0" borderId="9" pivotButton="0" quotePrefix="0" xfId="0"/>
    <xf numFmtId="0" fontId="11" fillId="0" borderId="6" applyAlignment="1" pivotButton="0" quotePrefix="0" xfId="0">
      <alignment horizontal="center"/>
    </xf>
    <xf numFmtId="0" fontId="0" fillId="0" borderId="6" pivotButton="0" quotePrefix="0" xfId="0"/>
    <xf numFmtId="0" fontId="8" fillId="0" borderId="3" applyAlignment="1" pivotButton="0" quotePrefix="0" xfId="0">
      <alignment horizontal="center"/>
    </xf>
    <xf numFmtId="0" fontId="0" fillId="0" borderId="3" pivotButton="0" quotePrefix="0" xfId="0"/>
    <xf numFmtId="0" fontId="6" fillId="4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12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9" fontId="2" fillId="3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9" fillId="0" borderId="4" applyAlignment="1" pivotButton="0" quotePrefix="0" xfId="0">
      <alignment horizontal="center"/>
    </xf>
    <xf numFmtId="0" fontId="0" fillId="0" borderId="4" pivotButton="0" quotePrefix="0" xfId="0"/>
    <xf numFmtId="0" fontId="16" fillId="0" borderId="10" applyAlignment="1" pivotButton="0" quotePrefix="0" xfId="0">
      <alignment horizontal="center"/>
    </xf>
    <xf numFmtId="0" fontId="0" fillId="0" borderId="10" pivotButton="0" quotePrefix="0" xfId="0"/>
    <xf numFmtId="166" fontId="2" fillId="3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center" vertical="center" wrapText="1"/>
    </xf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1" fontId="2" fillId="3" borderId="1" applyAlignment="1" pivotButton="0" quotePrefix="0" xfId="0">
      <alignment horizontal="center" vertical="center"/>
    </xf>
    <xf numFmtId="0" fontId="2" fillId="0" borderId="11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ont>
        <name val="Arial"/>
        <b val="1"/>
        <color rgb="009B1C24"/>
      </font>
      <fill>
        <patternFill patternType="solid">
          <fgColor rgb="00FDE2E3"/>
        </patternFill>
      </fill>
    </dxf>
    <dxf>
      <fill>
        <patternFill patternType="solid">
          <fgColor rgb="00FDE2E3"/>
        </patternFill>
      </fill>
    </dxf>
    <dxf>
      <font>
        <name val="Arial"/>
        <b val="1"/>
        <color rgb="0017775A"/>
      </font>
      <fill>
        <patternFill patternType="solid">
          <fgColor rgb="00D2EFE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2B705"/>
    <outlinePr summaryBelow="1" summaryRight="1"/>
    <pageSetUpPr/>
  </sheetPr>
  <dimension ref="A1:B30"/>
  <sheetViews>
    <sheetView rightToLeft="1" workbookViewId="0">
      <selection activeCell="A1" sqref="A1"/>
    </sheetView>
  </sheetViews>
  <sheetFormatPr baseColWidth="8" defaultRowHeight="15"/>
  <cols>
    <col width="30" customWidth="1" min="1" max="1"/>
    <col width="95" customWidth="1" min="2" max="2"/>
  </cols>
  <sheetData>
    <row r="1">
      <c r="A1" s="1" t="inlineStr">
        <is>
          <t>מיפוי מותאם – קליטה וניתוח</t>
        </is>
      </c>
      <c r="B1" s="2" t="n"/>
    </row>
    <row r="2">
      <c r="A2" s="3" t="inlineStr">
        <is>
          <t>בית ספר אורים · שאלונים לתלמידים בתפקוד סיעודי</t>
        </is>
      </c>
      <c r="B2" s="2" t="n"/>
    </row>
    <row r="3">
      <c r="A3" s="4" t="inlineStr"/>
      <c r="B3" s="2" t="n"/>
    </row>
    <row r="4">
      <c r="A4" s="5" t="inlineStr">
        <is>
          <t>איך עובדים עם הקובץ</t>
        </is>
      </c>
      <c r="B4" s="2" t="n"/>
    </row>
    <row r="5">
      <c r="A5" s="4" t="inlineStr">
        <is>
          <t>1. מה ממלאים</t>
        </is>
      </c>
      <c r="B5" s="2" t="inlineStr">
        <is>
          <t>רק את התאים הצהובים. התאים האפורים מחשבים לבד, לא כותבים בהם.</t>
        </is>
      </c>
    </row>
    <row r="6">
      <c r="A6" s="4" t="inlineStr">
        <is>
          <t>2. שורה אחת לכל מילוי</t>
        </is>
      </c>
      <c r="B6" s="2" t="inlineStr">
        <is>
          <t>כל מילוי = שורה בגיליון הקליטה של השאלון. שלושה מועדים = שלוש שורות לכל תלמיד/ה.</t>
        </is>
      </c>
    </row>
    <row r="7">
      <c r="A7" s="4" t="inlineStr">
        <is>
          <t>3. רשימות נפתחות</t>
        </is>
      </c>
      <c r="B7" s="2" t="inlineStr">
        <is>
          <t>״אני יכול/ה״: כן / לא. בדיקת הצוות: רוב הזמן / לפעמים / עדיין לא. תצפית: 3 = הרבה, 2 = לפעמים, 1 = כמעט לא.</t>
        </is>
      </c>
    </row>
    <row r="8">
      <c r="A8" s="4" t="inlineStr">
        <is>
          <t>4. שורת הדוגמה</t>
        </is>
      </c>
      <c r="B8" s="2" t="inlineStr">
        <is>
          <t>השורה הראשונה בכל גיליון היא דוגמה (״תלמיד לדוגמה״). בקובץ שיורד מהאתר היא כבר מוחלפת בנתונים.</t>
        </is>
      </c>
    </row>
    <row r="9">
      <c r="A9" s="4" t="inlineStr">
        <is>
          <t>5. גיליונות המעקב</t>
        </is>
      </c>
      <c r="B9" s="2" t="inlineStr">
        <is>
          <t>שם תלמיד/ה בעמודה הצהובה, בדיוק כמו בקליטה. הנתונים לכל מועד מתמלאים לבד.</t>
        </is>
      </c>
    </row>
    <row r="10">
      <c r="A10" s="4" t="inlineStr">
        <is>
          <t>6. סיכום כיתתי</t>
        </is>
      </c>
      <c r="B10" s="2" t="inlineStr">
        <is>
          <t>שם כיתה בעמודה הצהובה, והממוצעים מתמלאים לבד.</t>
        </is>
      </c>
    </row>
    <row r="11">
      <c r="A11" s="4" t="inlineStr"/>
      <c r="B11" s="2" t="n"/>
    </row>
    <row r="12">
      <c r="A12" s="5" t="inlineStr">
        <is>
          <t>״זה אני״: תפיסת מסוגלות (שאלון התלמיד)</t>
        </is>
      </c>
      <c r="B12" s="2" t="n"/>
    </row>
    <row r="13">
      <c r="A13" s="4" t="inlineStr">
        <is>
          <t>מסוגלות לפי תחום</t>
        </is>
      </c>
      <c r="B13" s="2" t="inlineStr">
        <is>
          <t>חברתי, למידה, רגשות, עצמאות: שתי שאלות ״אני יכול/ה״ בכל תחום. כן = 1, לא = 0. 100% = התלמיד/ה ענה/תה ״כן״ על כל השאלות בתחום.</t>
        </is>
      </c>
    </row>
    <row r="14">
      <c r="A14" s="4" t="inlineStr">
        <is>
          <t>מסוגלות כוללת</t>
        </is>
      </c>
      <c r="B14" s="2" t="inlineStr">
        <is>
          <t>ממוצע 8 שאלות ״אני יכול/ה״. זה המדד המרכזי לשינוי בתפיסה העצמית לאורך השנה.</t>
        </is>
      </c>
    </row>
    <row r="15">
      <c r="A15" s="4" t="inlineStr">
        <is>
          <t>מה הצוות רואה</t>
        </is>
      </c>
      <c r="B15" s="2" t="inlineStr">
        <is>
          <t>אותן 8 יכולות, לפי הצוות: רוב הזמן = 1, לפעמים = ½, עדיין לא = 0.</t>
        </is>
      </c>
    </row>
    <row r="16">
      <c r="A16" s="4" t="inlineStr">
        <is>
          <t>דיוק</t>
        </is>
      </c>
      <c r="B16" s="2" t="inlineStr">
        <is>
          <t>עד כמה התלמיד/ה מעריך/ה את עצמו/ה כמו שהצוות רואה. 100% = התאמה מלאה. דיוק שעולה = היכרות עצמית טובה יותר.</t>
        </is>
      </c>
    </row>
    <row r="17">
      <c r="A17" s="4" t="inlineStr">
        <is>
          <t>הערכת יתר / חסר</t>
        </is>
      </c>
      <c r="B17" s="2" t="inlineStr">
        <is>
          <t>יתר = התלמיד/ה העריך/ה את עצמו/ה גבוה מהצוות. חסר = נמוך מהצוות.</t>
        </is>
      </c>
    </row>
    <row r="18">
      <c r="A18" s="4" t="inlineStr">
        <is>
          <t>זיהוי עצמי</t>
        </is>
      </c>
      <c r="B18" s="2" t="inlineStr">
        <is>
          <t>מלא = בחר/ה בתמונה שלו/ה, ״כן״ על התמונה שלו/ה ו״לא״ על תמונה של ילד/ה אחר/ת. חלקי = חלק מזה.</t>
        </is>
      </c>
    </row>
    <row r="19">
      <c r="A19" s="4" t="inlineStr">
        <is>
          <t>שאלות בדיקה</t>
        </is>
      </c>
      <c r="B19" s="2" t="inlineStr">
        <is>
          <t>שתי שאלות שהצוות יודע מראש את התשובה עליהן (סיפור, רעש חזק). לא נספרות. ״לפרש בזהירות״ = תשובה שלא תאמה את הצפוי, או ״לא ברור״ בהבנה.</t>
        </is>
      </c>
    </row>
    <row r="20">
      <c r="A20" s="4" t="inlineStr">
        <is>
          <t>שינוי ומגמה</t>
        </is>
      </c>
      <c r="B20" s="2" t="inlineStr">
        <is>
          <t>ההפרש במסוגלות הכוללת בין סוף שנה לתחילת שנה. 25 נקודות אחוז ומעלה = ״עלייה״ או ״ירידה״ (כ־2 תשובות). כלל אצבע, לא סף סטטיסטי.</t>
        </is>
      </c>
    </row>
    <row r="21">
      <c r="A21" s="4" t="inlineStr"/>
      <c r="B21" s="2" t="n"/>
    </row>
    <row r="22">
      <c r="A22" s="5" t="inlineStr">
        <is>
          <t>״רווחה והשתתפות״ (תוספת לבחירה)</t>
        </is>
      </c>
      <c r="B22" s="2" t="n"/>
    </row>
    <row r="23">
      <c r="A23" s="4" t="inlineStr">
        <is>
          <t>מדד תצפית (1–3)</t>
        </is>
      </c>
      <c r="B23" s="2" t="inlineStr">
        <is>
          <t>ממוצע 9 שאלות התצפית של הצוות. מתאר רווחה והשתתפות, לא תפיסה עצמית.</t>
        </is>
      </c>
    </row>
    <row r="24">
      <c r="A24" s="4" t="inlineStr">
        <is>
          <t>התאמה בחימום / אמינות</t>
        </is>
      </c>
      <c r="B24" s="2" t="inlineStr">
        <is>
          <t>האם התלמיד/ה ענה/תה על שאלות החימום כמו שהצוות ציפה. ״לפרש בזהירות״ = לא תואם או ״לא ברור״.</t>
        </is>
      </c>
    </row>
    <row r="28">
      <c r="A28" s="6" t="inlineStr">
        <is>
          <t>מקרא צבעים</t>
        </is>
      </c>
    </row>
    <row r="29">
      <c r="A29" s="7" t="inlineStr">
        <is>
          <t>למילוי</t>
        </is>
      </c>
      <c r="B29" s="8" t="inlineStr">
        <is>
          <t>תא שממלאים</t>
        </is>
      </c>
    </row>
    <row r="30">
      <c r="A30" s="9" t="inlineStr">
        <is>
          <t>מחושב</t>
        </is>
      </c>
      <c r="B30" s="8" t="inlineStr">
        <is>
          <t>נוסחה, לא לגעת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B4541A"/>
    <outlinePr summaryBelow="1" summaryRight="1"/>
    <pageSetUpPr/>
  </sheetPr>
  <dimension ref="A1:AW204"/>
  <sheetViews>
    <sheetView rightToLeft="1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4" customWidth="1" min="8" max="8"/>
    <col width="14" customWidth="1" min="9" max="9"/>
    <col width="14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26" customWidth="1" min="31" max="31"/>
    <col width="18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1" customWidth="1" min="44" max="44"/>
    <col width="11" customWidth="1" min="45" max="45"/>
    <col width="11" customWidth="1" min="46" max="46"/>
    <col width="11" customWidth="1" min="47" max="47"/>
    <col width="12" customWidth="1" min="48" max="48"/>
    <col width="13" customWidth="1" min="49" max="49"/>
  </cols>
  <sheetData>
    <row r="1">
      <c r="A1" s="10" t="inlineStr">
        <is>
          <t>״זה אני״ – תפיסת מסוגלות – קליטה</t>
        </is>
      </c>
    </row>
    <row r="2">
      <c r="A2" s="11" t="inlineStr">
        <is>
          <t>שורה לכל מילוי. ממלאים רק תאים צהובים. השורה הראשונה היא דוגמה.</t>
        </is>
      </c>
    </row>
    <row r="3">
      <c r="A3" s="12" t="inlineStr">
        <is>
          <t>פרטי המילוי</t>
        </is>
      </c>
      <c r="B3" s="13" t="n"/>
      <c r="C3" s="13" t="n"/>
      <c r="D3" s="13" t="n"/>
      <c r="E3" s="13" t="n"/>
      <c r="F3" s="13" t="n"/>
      <c r="G3" s="13" t="n"/>
      <c r="H3" s="14" t="inlineStr">
        <is>
          <t>זיהוי עצמי</t>
        </is>
      </c>
      <c r="I3" s="15" t="n"/>
      <c r="J3" s="15" t="n"/>
      <c r="K3" s="16" t="inlineStr">
        <is>
          <t>אני יכול/ה – תשובת התלמיד/ה (כן · לא)</t>
        </is>
      </c>
      <c r="L3" s="17" t="n"/>
      <c r="M3" s="17" t="n"/>
      <c r="N3" s="17" t="n"/>
      <c r="O3" s="17" t="n"/>
      <c r="P3" s="17" t="n"/>
      <c r="Q3" s="17" t="n"/>
      <c r="R3" s="17" t="n"/>
      <c r="S3" s="18" t="inlineStr">
        <is>
          <t>מה הצוות רואה (רוב הזמן · לפעמים · עדיין לא)</t>
        </is>
      </c>
      <c r="T3" s="19" t="n"/>
      <c r="U3" s="19" t="n"/>
      <c r="V3" s="19" t="n"/>
      <c r="W3" s="19" t="n"/>
      <c r="X3" s="19" t="n"/>
      <c r="Y3" s="19" t="n"/>
      <c r="Z3" s="19" t="n"/>
      <c r="AA3" s="20" t="inlineStr">
        <is>
          <t>גאווה ושייכות</t>
        </is>
      </c>
      <c r="AB3" s="21" t="n"/>
      <c r="AC3" s="21" t="n"/>
      <c r="AD3" s="21" t="n"/>
      <c r="AF3" s="22" t="inlineStr">
        <is>
          <t>חישובים אוטומטיים</t>
        </is>
      </c>
      <c r="AG3" s="23" t="n"/>
      <c r="AH3" s="23" t="n"/>
      <c r="AI3" s="23" t="n"/>
      <c r="AJ3" s="23" t="n"/>
      <c r="AK3" s="23" t="n"/>
      <c r="AL3" s="23" t="n"/>
      <c r="AM3" s="23" t="n"/>
      <c r="AN3" s="23" t="n"/>
      <c r="AO3" s="23" t="n"/>
      <c r="AP3" s="23" t="n"/>
      <c r="AQ3" s="23" t="n"/>
      <c r="AR3" s="24" t="inlineStr">
        <is>
          <t>שאלות בדיקה (לא נספרות)</t>
        </is>
      </c>
      <c r="AS3" s="25" t="n"/>
      <c r="AT3" s="25" t="n"/>
      <c r="AU3" s="25" t="n"/>
      <c r="AV3" s="22" t="inlineStr">
        <is>
          <t>אמינות</t>
        </is>
      </c>
      <c r="AW3" s="23" t="n"/>
    </row>
    <row r="4" ht="58" customHeight="1">
      <c r="A4" s="26" t="inlineStr">
        <is>
          <t>שם התלמיד/ה</t>
        </is>
      </c>
      <c r="B4" s="26" t="inlineStr">
        <is>
          <t>כיתה</t>
        </is>
      </c>
      <c r="C4" s="26" t="inlineStr">
        <is>
          <t>מועד</t>
        </is>
      </c>
      <c r="D4" s="26" t="inlineStr">
        <is>
          <t>תאריך</t>
        </is>
      </c>
      <c r="E4" s="26" t="inlineStr">
        <is>
          <t>ממלא/ת</t>
        </is>
      </c>
      <c r="F4" s="26" t="inlineStr">
        <is>
          <t>אופן תשובה</t>
        </is>
      </c>
      <c r="G4" s="26" t="inlineStr">
        <is>
          <t>הבנת השאלות</t>
        </is>
      </c>
      <c r="H4" s="27" t="inlineStr">
        <is>
          <t>איפה אני? (בחירת תמונה)</t>
        </is>
      </c>
      <c r="I4" s="27" t="inlineStr">
        <is>
          <t>זה אני? (התמונה שלו/ה)</t>
        </is>
      </c>
      <c r="J4" s="27" t="inlineStr">
        <is>
          <t>זה אני? (תמונה אחרת)</t>
        </is>
      </c>
      <c r="K4" s="28" t="inlineStr">
        <is>
          <t>תלמיד/ה: להגיד שלום</t>
        </is>
      </c>
      <c r="L4" s="28" t="inlineStr">
        <is>
          <t>תלמיד/ה: לשחק עם חבר/ה</t>
        </is>
      </c>
      <c r="M4" s="29" t="inlineStr">
        <is>
          <t>תלמיד/ה: להפעיל מתג או מסך</t>
        </is>
      </c>
      <c r="N4" s="29" t="inlineStr">
        <is>
          <t>תלמיד/ה: להשתתף בפעילות</t>
        </is>
      </c>
      <c r="O4" s="30" t="inlineStr">
        <is>
          <t>תלמיד/ה: להראות שאני שמח/ה</t>
        </is>
      </c>
      <c r="P4" s="30" t="inlineStr">
        <is>
          <t>תלמיד/ה: להירגע כשעוזרים</t>
        </is>
      </c>
      <c r="Q4" s="31" t="inlineStr">
        <is>
          <t>תלמיד/ה: לבחור מה אני רוצה</t>
        </is>
      </c>
      <c r="R4" s="31" t="inlineStr">
        <is>
          <t>תלמיד/ה: לעזור באוכל או בלבוש</t>
        </is>
      </c>
      <c r="S4" s="32" t="inlineStr">
        <is>
          <t>צוות: להגיד שלום</t>
        </is>
      </c>
      <c r="T4" s="32" t="inlineStr">
        <is>
          <t>צוות: לשחק עם חבר/ה</t>
        </is>
      </c>
      <c r="U4" s="32" t="inlineStr">
        <is>
          <t>צוות: להפעיל מתג או מסך</t>
        </is>
      </c>
      <c r="V4" s="32" t="inlineStr">
        <is>
          <t>צוות: להשתתף בפעילות</t>
        </is>
      </c>
      <c r="W4" s="32" t="inlineStr">
        <is>
          <t>צוות: להראות שאני שמח/ה</t>
        </is>
      </c>
      <c r="X4" s="32" t="inlineStr">
        <is>
          <t>צוות: להירגע כשעוזרים</t>
        </is>
      </c>
      <c r="Y4" s="32" t="inlineStr">
        <is>
          <t>צוות: לבחור מה אני רוצה</t>
        </is>
      </c>
      <c r="Z4" s="32" t="inlineStr">
        <is>
          <t>צוות: לעזור באוכל או בלבוש</t>
        </is>
      </c>
      <c r="AA4" s="30" t="inlineStr">
        <is>
          <t>את זה אני עשיתי</t>
        </is>
      </c>
      <c r="AB4" s="30" t="inlineStr">
        <is>
          <t>עשיתי משהו יפה</t>
        </is>
      </c>
      <c r="AC4" s="30" t="inlineStr">
        <is>
          <t>זו הכיתה שלי</t>
        </is>
      </c>
      <c r="AD4" s="30" t="inlineStr">
        <is>
          <t>תצפית: מראה גאווה (3/2/1)</t>
        </is>
      </c>
      <c r="AE4" s="26" t="inlineStr">
        <is>
          <t>הערות</t>
        </is>
      </c>
      <c r="AF4" s="33" t="inlineStr">
        <is>
          <t>מפתח</t>
        </is>
      </c>
      <c r="AG4" s="33" t="inlineStr">
        <is>
          <t>זיהוי עצמי</t>
        </is>
      </c>
      <c r="AH4" s="33" t="inlineStr">
        <is>
          <t>מסוגלות: חברתי</t>
        </is>
      </c>
      <c r="AI4" s="33" t="inlineStr">
        <is>
          <t>מסוגלות: למידה</t>
        </is>
      </c>
      <c r="AJ4" s="33" t="inlineStr">
        <is>
          <t>מסוגלות: רגשות</t>
        </is>
      </c>
      <c r="AK4" s="33" t="inlineStr">
        <is>
          <t>מסוגלות: עצמאות</t>
        </is>
      </c>
      <c r="AL4" s="33" t="inlineStr">
        <is>
          <t>מסוגלות כוללת</t>
        </is>
      </c>
      <c r="AM4" s="33" t="inlineStr">
        <is>
          <t>מה הצוות רואה</t>
        </is>
      </c>
      <c r="AN4" s="33" t="inlineStr">
        <is>
          <t>דיוק</t>
        </is>
      </c>
      <c r="AO4" s="33" t="inlineStr">
        <is>
          <t>הערכת יתר</t>
        </is>
      </c>
      <c r="AP4" s="33" t="inlineStr">
        <is>
          <t>הערכת חסר</t>
        </is>
      </c>
      <c r="AQ4" s="33" t="inlineStr">
        <is>
          <t>גאווה – ״כן״</t>
        </is>
      </c>
      <c r="AR4" s="34" t="inlineStr">
        <is>
          <t>סיפור – צפוי</t>
        </is>
      </c>
      <c r="AS4" s="34" t="inlineStr">
        <is>
          <t>סיפור – תשובה</t>
        </is>
      </c>
      <c r="AT4" s="34" t="inlineStr">
        <is>
          <t>רעש חזק – צפוי</t>
        </is>
      </c>
      <c r="AU4" s="34" t="inlineStr">
        <is>
          <t>רעש חזק – תשובה</t>
        </is>
      </c>
      <c r="AV4" s="33" t="inlineStr">
        <is>
          <t>התאמה בבדיקה</t>
        </is>
      </c>
      <c r="AW4" s="33" t="inlineStr">
        <is>
          <t>אמינות המילוי</t>
        </is>
      </c>
    </row>
    <row r="5">
      <c r="A5" s="35" t="inlineStr">
        <is>
          <t>תלמיד לדוגמה</t>
        </is>
      </c>
      <c r="B5" s="35" t="inlineStr">
        <is>
          <t>כיתה לדוגמה</t>
        </is>
      </c>
      <c r="C5" s="35" t="inlineStr">
        <is>
          <t>תחילת שנה</t>
        </is>
      </c>
      <c r="D5" s="35" t="inlineStr">
        <is>
          <t>11/11/2026</t>
        </is>
      </c>
      <c r="E5" s="35" t="inlineStr">
        <is>
          <t>נופר</t>
        </is>
      </c>
      <c r="F5" s="35" t="inlineStr">
        <is>
          <t>מגע או לחיצה</t>
        </is>
      </c>
      <c r="G5" s="35" t="inlineStr">
        <is>
          <t>חלקית</t>
        </is>
      </c>
      <c r="H5" s="35" t="inlineStr">
        <is>
          <t>בחר/ה בעצמו/ה</t>
        </is>
      </c>
      <c r="I5" s="35" t="inlineStr">
        <is>
          <t>כן</t>
        </is>
      </c>
      <c r="J5" s="35" t="inlineStr">
        <is>
          <t>לא</t>
        </is>
      </c>
      <c r="K5" s="35" t="inlineStr">
        <is>
          <t>כן</t>
        </is>
      </c>
      <c r="L5" s="35" t="inlineStr">
        <is>
          <t>כן</t>
        </is>
      </c>
      <c r="M5" s="35" t="inlineStr">
        <is>
          <t>כן</t>
        </is>
      </c>
      <c r="N5" s="35" t="inlineStr">
        <is>
          <t>כן</t>
        </is>
      </c>
      <c r="O5" s="35" t="inlineStr">
        <is>
          <t>לא</t>
        </is>
      </c>
      <c r="P5" s="35" t="inlineStr">
        <is>
          <t>כן</t>
        </is>
      </c>
      <c r="Q5" s="35" t="inlineStr">
        <is>
          <t>כן</t>
        </is>
      </c>
      <c r="R5" s="35" t="inlineStr">
        <is>
          <t>לא ענה</t>
        </is>
      </c>
      <c r="S5" s="35" t="inlineStr">
        <is>
          <t>רוב הזמן</t>
        </is>
      </c>
      <c r="T5" s="35" t="inlineStr">
        <is>
          <t>לפעמים</t>
        </is>
      </c>
      <c r="U5" s="35" t="inlineStr">
        <is>
          <t>רוב הזמן</t>
        </is>
      </c>
      <c r="V5" s="35" t="inlineStr">
        <is>
          <t>לפעמים</t>
        </is>
      </c>
      <c r="W5" s="35" t="inlineStr">
        <is>
          <t>לפעמים</t>
        </is>
      </c>
      <c r="X5" s="35" t="inlineStr">
        <is>
          <t>עדיין לא</t>
        </is>
      </c>
      <c r="Y5" s="35" t="inlineStr">
        <is>
          <t>רוב הזמן</t>
        </is>
      </c>
      <c r="Z5" s="35" t="inlineStr">
        <is>
          <t>לפעמים</t>
        </is>
      </c>
      <c r="AA5" s="35" t="inlineStr">
        <is>
          <t>כן</t>
        </is>
      </c>
      <c r="AB5" s="35" t="inlineStr">
        <is>
          <t>כן</t>
        </is>
      </c>
      <c r="AC5" s="35" t="inlineStr">
        <is>
          <t>כן</t>
        </is>
      </c>
      <c r="AD5" s="35" t="n">
        <v>2</v>
      </c>
      <c r="AE5" s="35" t="inlineStr">
        <is>
          <t>דוגמה – למחוק</t>
        </is>
      </c>
      <c r="AF5" s="36">
        <f>IF($A5="","",$A5&amp;"|"&amp;$C5)</f>
        <v/>
      </c>
      <c r="AG5" s="36">
        <f>IF($A5="","",IF(OR(H5="לא נבדק",H5=""),"לא נבדק",IF(AND(H5="בחר/ה בעצמו/ה",I5="כן",J5="לא"),"מלא",IF(OR(H5="בחר/ה בעצמו/ה",I5="כן"),"חלקי","עדיין לא"))))</f>
        <v/>
      </c>
      <c r="AH5" s="37">
        <f>IF($A5="","",IFERROR(COUNTIF(K5:L5,"כן")/(COUNTIF(K5:L5,"כן")+COUNTIF(K5:L5,"לא")),""))</f>
        <v/>
      </c>
      <c r="AI5" s="37">
        <f>IF($A5="","",IFERROR(COUNTIF(M5:N5,"כן")/(COUNTIF(M5:N5,"כן")+COUNTIF(M5:N5,"לא")),""))</f>
        <v/>
      </c>
      <c r="AJ5" s="37">
        <f>IF($A5="","",IFERROR(COUNTIF(O5:P5,"כן")/(COUNTIF(O5:P5,"כן")+COUNTIF(O5:P5,"לא")),""))</f>
        <v/>
      </c>
      <c r="AK5" s="37">
        <f>IF($A5="","",IFERROR(COUNTIF(Q5:R5,"כן")/(COUNTIF(Q5:R5,"כן")+COUNTIF(Q5:R5,"לא")),""))</f>
        <v/>
      </c>
      <c r="AL5" s="37">
        <f>IF($A5="","",IFERROR(COUNTIF(K5:R5,"כן")/(COUNTIF(K5:R5,"כן")+COUNTIF(K5:R5,"לא")),""))</f>
        <v/>
      </c>
      <c r="AM5" s="37">
        <f>IF($A5="","",IFERROR((COUNTIF(S5:Z5,"רוב הזמן")+0.5*COUNTIF(S5:Z5,"לפעמים"))/(COUNTIF(S5:Z5,"רוב הזמן")+COUNTIF(S5:Z5,"לפעמים")+COUNTIF(S5:Z5,"עדיין לא")),""))</f>
        <v/>
      </c>
      <c r="AN5" s="37">
        <f>IF($A5="","",IFERROR(1-SUMPRODUCT(ABS((K5:R5="כן")-((S5:Z5="רוב הזמן")+0.5*(S5:Z5="לפעמים")))*(((K5:R5="כן")+(K5:R5="לא"))*((S5:Z5="רוב הזמן")+(S5:Z5="לפעמים")+(S5:Z5="עדיין לא"))))/SUMPRODUCT((((K5:R5="כן")+(K5:R5="לא"))*((S5:Z5="רוב הזמן")+(S5:Z5="לפעמים")+(S5:Z5="עדיין לא")))),""))</f>
        <v/>
      </c>
      <c r="AO5" s="36">
        <f>IF($A5="","",SUMPRODUCT((((K5:R5="כן")-((S5:Z5="רוב הזמן")+0.5*(S5:Z5="לפעמים")))&gt;0.01)*(((K5:R5="כן")+(K5:R5="לא"))*((S5:Z5="רוב הזמן")+(S5:Z5="לפעמים")+(S5:Z5="עדיין לא")))))</f>
        <v/>
      </c>
      <c r="AP5" s="36">
        <f>IF($A5="","",SUMPRODUCT(((((S5:Z5="רוב הזמן")+0.5*(S5:Z5="לפעמים"))-(K5:R5="כן"))&gt;0.01)*(((K5:R5="כן")+(K5:R5="לא"))*((S5:Z5="רוב הזמן")+(S5:Z5="לפעמים")+(S5:Z5="עדיין לא")))))</f>
        <v/>
      </c>
      <c r="AQ5" s="36">
        <f>IF($A5="","",COUNTIF(AA5:AC5,"כן"))</f>
        <v/>
      </c>
      <c r="AR5" s="35" t="inlineStr">
        <is>
          <t>כן</t>
        </is>
      </c>
      <c r="AS5" s="35" t="inlineStr">
        <is>
          <t>כן</t>
        </is>
      </c>
      <c r="AT5" s="35" t="inlineStr">
        <is>
          <t>לא</t>
        </is>
      </c>
      <c r="AU5" s="35" t="inlineStr">
        <is>
          <t>לא</t>
        </is>
      </c>
      <c r="AV5" s="36">
        <f>IF($A5="","",IF(AND(AR5="",AT5=""),"לא נבדק",IF(AND(OR(AR5="",AR5=AS5),OR(AT5="",AT5=AU5)),"תואם","לא תואם")))</f>
        <v/>
      </c>
      <c r="AW5" s="36">
        <f>IF($A5="","",IF(AND(AV5&lt;&gt;"לא תואם",G5&lt;&gt;"לא ברור"),"אמין","לפרש בזהירות"))</f>
        <v/>
      </c>
    </row>
    <row r="6">
      <c r="A6" s="38" t="n"/>
      <c r="B6" s="38" t="n"/>
      <c r="C6" s="38" t="n"/>
      <c r="D6" s="38" t="n"/>
      <c r="E6" s="38" t="n"/>
      <c r="F6" s="38" t="n"/>
      <c r="G6" s="38" t="n"/>
      <c r="H6" s="38" t="n"/>
      <c r="I6" s="38" t="n"/>
      <c r="J6" s="38" t="n"/>
      <c r="K6" s="38" t="n"/>
      <c r="L6" s="38" t="n"/>
      <c r="M6" s="38" t="n"/>
      <c r="N6" s="38" t="n"/>
      <c r="O6" s="38" t="n"/>
      <c r="P6" s="38" t="n"/>
      <c r="Q6" s="38" t="n"/>
      <c r="R6" s="38" t="n"/>
      <c r="S6" s="38" t="n"/>
      <c r="T6" s="38" t="n"/>
      <c r="U6" s="38" t="n"/>
      <c r="V6" s="38" t="n"/>
      <c r="W6" s="38" t="n"/>
      <c r="X6" s="38" t="n"/>
      <c r="Y6" s="38" t="n"/>
      <c r="Z6" s="38" t="n"/>
      <c r="AA6" s="38" t="n"/>
      <c r="AB6" s="38" t="n"/>
      <c r="AC6" s="38" t="n"/>
      <c r="AD6" s="38" t="n"/>
      <c r="AE6" s="38" t="n"/>
      <c r="AF6" s="36">
        <f>IF($A6="","",$A6&amp;"|"&amp;$C6)</f>
        <v/>
      </c>
      <c r="AG6" s="36">
        <f>IF($A6="","",IF(OR(H6="לא נבדק",H6=""),"לא נבדק",IF(AND(H6="בחר/ה בעצמו/ה",I6="כן",J6="לא"),"מלא",IF(OR(H6="בחר/ה בעצמו/ה",I6="כן"),"חלקי","עדיין לא"))))</f>
        <v/>
      </c>
      <c r="AH6" s="37">
        <f>IF($A6="","",IFERROR(COUNTIF(K6:L6,"כן")/(COUNTIF(K6:L6,"כן")+COUNTIF(K6:L6,"לא")),""))</f>
        <v/>
      </c>
      <c r="AI6" s="37">
        <f>IF($A6="","",IFERROR(COUNTIF(M6:N6,"כן")/(COUNTIF(M6:N6,"כן")+COUNTIF(M6:N6,"לא")),""))</f>
        <v/>
      </c>
      <c r="AJ6" s="37">
        <f>IF($A6="","",IFERROR(COUNTIF(O6:P6,"כן")/(COUNTIF(O6:P6,"כן")+COUNTIF(O6:P6,"לא")),""))</f>
        <v/>
      </c>
      <c r="AK6" s="37">
        <f>IF($A6="","",IFERROR(COUNTIF(Q6:R6,"כן")/(COUNTIF(Q6:R6,"כן")+COUNTIF(Q6:R6,"לא")),""))</f>
        <v/>
      </c>
      <c r="AL6" s="37">
        <f>IF($A6="","",IFERROR(COUNTIF(K6:R6,"כן")/(COUNTIF(K6:R6,"כן")+COUNTIF(K6:R6,"לא")),""))</f>
        <v/>
      </c>
      <c r="AM6" s="37">
        <f>IF($A6="","",IFERROR((COUNTIF(S6:Z6,"רוב הזמן")+0.5*COUNTIF(S6:Z6,"לפעמים"))/(COUNTIF(S6:Z6,"רוב הזמן")+COUNTIF(S6:Z6,"לפעמים")+COUNTIF(S6:Z6,"עדיין לא")),""))</f>
        <v/>
      </c>
      <c r="AN6" s="37">
        <f>IF($A6="","",IFERROR(1-SUMPRODUCT(ABS((K6:R6="כן")-((S6:Z6="רוב הזמן")+0.5*(S6:Z6="לפעמים")))*(((K6:R6="כן")+(K6:R6="לא"))*((S6:Z6="רוב הזמן")+(S6:Z6="לפעמים")+(S6:Z6="עדיין לא"))))/SUMPRODUCT((((K6:R6="כן")+(K6:R6="לא"))*((S6:Z6="רוב הזמן")+(S6:Z6="לפעמים")+(S6:Z6="עדיין לא")))),""))</f>
        <v/>
      </c>
      <c r="AO6" s="36">
        <f>IF($A6="","",SUMPRODUCT((((K6:R6="כן")-((S6:Z6="רוב הזמן")+0.5*(S6:Z6="לפעמים")))&gt;0.01)*(((K6:R6="כן")+(K6:R6="לא"))*((S6:Z6="רוב הזמן")+(S6:Z6="לפעמים")+(S6:Z6="עדיין לא")))))</f>
        <v/>
      </c>
      <c r="AP6" s="36">
        <f>IF($A6="","",SUMPRODUCT(((((S6:Z6="רוב הזמן")+0.5*(S6:Z6="לפעמים"))-(K6:R6="כן"))&gt;0.01)*(((K6:R6="כן")+(K6:R6="לא"))*((S6:Z6="רוב הזמן")+(S6:Z6="לפעמים")+(S6:Z6="עדיין לא")))))</f>
        <v/>
      </c>
      <c r="AQ6" s="36">
        <f>IF($A6="","",COUNTIF(AA6:AC6,"כן"))</f>
        <v/>
      </c>
      <c r="AR6" s="38" t="n"/>
      <c r="AS6" s="38" t="n"/>
      <c r="AT6" s="38" t="n"/>
      <c r="AU6" s="38" t="n"/>
      <c r="AV6" s="36">
        <f>IF($A6="","",IF(AND(AR6="",AT6=""),"לא נבדק",IF(AND(OR(AR6="",AR6=AS6),OR(AT6="",AT6=AU6)),"תואם","לא תואם")))</f>
        <v/>
      </c>
      <c r="AW6" s="36">
        <f>IF($A6="","",IF(AND(AV6&lt;&gt;"לא תואם",G6&lt;&gt;"לא ברור"),"אמין","לפרש בזהירות"))</f>
        <v/>
      </c>
    </row>
    <row r="7">
      <c r="A7" s="38" t="n"/>
      <c r="B7" s="38" t="n"/>
      <c r="C7" s="38" t="n"/>
      <c r="D7" s="38" t="n"/>
      <c r="E7" s="38" t="n"/>
      <c r="F7" s="38" t="n"/>
      <c r="G7" s="38" t="n"/>
      <c r="H7" s="38" t="n"/>
      <c r="I7" s="38" t="n"/>
      <c r="J7" s="38" t="n"/>
      <c r="K7" s="38" t="n"/>
      <c r="L7" s="38" t="n"/>
      <c r="M7" s="38" t="n"/>
      <c r="N7" s="38" t="n"/>
      <c r="O7" s="38" t="n"/>
      <c r="P7" s="38" t="n"/>
      <c r="Q7" s="38" t="n"/>
      <c r="R7" s="38" t="n"/>
      <c r="S7" s="38" t="n"/>
      <c r="T7" s="38" t="n"/>
      <c r="U7" s="38" t="n"/>
      <c r="V7" s="38" t="n"/>
      <c r="W7" s="38" t="n"/>
      <c r="X7" s="38" t="n"/>
      <c r="Y7" s="38" t="n"/>
      <c r="Z7" s="38" t="n"/>
      <c r="AA7" s="38" t="n"/>
      <c r="AB7" s="38" t="n"/>
      <c r="AC7" s="38" t="n"/>
      <c r="AD7" s="38" t="n"/>
      <c r="AE7" s="38" t="n"/>
      <c r="AF7" s="36">
        <f>IF($A7="","",$A7&amp;"|"&amp;$C7)</f>
        <v/>
      </c>
      <c r="AG7" s="36">
        <f>IF($A7="","",IF(OR(H7="לא נבדק",H7=""),"לא נבדק",IF(AND(H7="בחר/ה בעצמו/ה",I7="כן",J7="לא"),"מלא",IF(OR(H7="בחר/ה בעצמו/ה",I7="כן"),"חלקי","עדיין לא"))))</f>
        <v/>
      </c>
      <c r="AH7" s="37">
        <f>IF($A7="","",IFERROR(COUNTIF(K7:L7,"כן")/(COUNTIF(K7:L7,"כן")+COUNTIF(K7:L7,"לא")),""))</f>
        <v/>
      </c>
      <c r="AI7" s="37">
        <f>IF($A7="","",IFERROR(COUNTIF(M7:N7,"כן")/(COUNTIF(M7:N7,"כן")+COUNTIF(M7:N7,"לא")),""))</f>
        <v/>
      </c>
      <c r="AJ7" s="37">
        <f>IF($A7="","",IFERROR(COUNTIF(O7:P7,"כן")/(COUNTIF(O7:P7,"כן")+COUNTIF(O7:P7,"לא")),""))</f>
        <v/>
      </c>
      <c r="AK7" s="37">
        <f>IF($A7="","",IFERROR(COUNTIF(Q7:R7,"כן")/(COUNTIF(Q7:R7,"כן")+COUNTIF(Q7:R7,"לא")),""))</f>
        <v/>
      </c>
      <c r="AL7" s="37">
        <f>IF($A7="","",IFERROR(COUNTIF(K7:R7,"כן")/(COUNTIF(K7:R7,"כן")+COUNTIF(K7:R7,"לא")),""))</f>
        <v/>
      </c>
      <c r="AM7" s="37">
        <f>IF($A7="","",IFERROR((COUNTIF(S7:Z7,"רוב הזמן")+0.5*COUNTIF(S7:Z7,"לפעמים"))/(COUNTIF(S7:Z7,"רוב הזמן")+COUNTIF(S7:Z7,"לפעמים")+COUNTIF(S7:Z7,"עדיין לא")),""))</f>
        <v/>
      </c>
      <c r="AN7" s="37">
        <f>IF($A7="","",IFERROR(1-SUMPRODUCT(ABS((K7:R7="כן")-((S7:Z7="רוב הזמן")+0.5*(S7:Z7="לפעמים")))*(((K7:R7="כן")+(K7:R7="לא"))*((S7:Z7="רוב הזמן")+(S7:Z7="לפעמים")+(S7:Z7="עדיין לא"))))/SUMPRODUCT((((K7:R7="כן")+(K7:R7="לא"))*((S7:Z7="רוב הזמן")+(S7:Z7="לפעמים")+(S7:Z7="עדיין לא")))),""))</f>
        <v/>
      </c>
      <c r="AO7" s="36">
        <f>IF($A7="","",SUMPRODUCT((((K7:R7="כן")-((S7:Z7="רוב הזמן")+0.5*(S7:Z7="לפעמים")))&gt;0.01)*(((K7:R7="כן")+(K7:R7="לא"))*((S7:Z7="רוב הזמן")+(S7:Z7="לפעמים")+(S7:Z7="עדיין לא")))))</f>
        <v/>
      </c>
      <c r="AP7" s="36">
        <f>IF($A7="","",SUMPRODUCT(((((S7:Z7="רוב הזמן")+0.5*(S7:Z7="לפעמים"))-(K7:R7="כן"))&gt;0.01)*(((K7:R7="כן")+(K7:R7="לא"))*((S7:Z7="רוב הזמן")+(S7:Z7="לפעמים")+(S7:Z7="עדיין לא")))))</f>
        <v/>
      </c>
      <c r="AQ7" s="36">
        <f>IF($A7="","",COUNTIF(AA7:AC7,"כן"))</f>
        <v/>
      </c>
      <c r="AR7" s="38" t="n"/>
      <c r="AS7" s="38" t="n"/>
      <c r="AT7" s="38" t="n"/>
      <c r="AU7" s="38" t="n"/>
      <c r="AV7" s="36">
        <f>IF($A7="","",IF(AND(AR7="",AT7=""),"לא נבדק",IF(AND(OR(AR7="",AR7=AS7),OR(AT7="",AT7=AU7)),"תואם","לא תואם")))</f>
        <v/>
      </c>
      <c r="AW7" s="36">
        <f>IF($A7="","",IF(AND(AV7&lt;&gt;"לא תואם",G7&lt;&gt;"לא ברור"),"אמין","לפרש בזהירות"))</f>
        <v/>
      </c>
    </row>
    <row r="8">
      <c r="A8" s="38" t="n"/>
      <c r="B8" s="38" t="n"/>
      <c r="C8" s="38" t="n"/>
      <c r="D8" s="38" t="n"/>
      <c r="E8" s="38" t="n"/>
      <c r="F8" s="38" t="n"/>
      <c r="G8" s="38" t="n"/>
      <c r="H8" s="38" t="n"/>
      <c r="I8" s="38" t="n"/>
      <c r="J8" s="38" t="n"/>
      <c r="K8" s="38" t="n"/>
      <c r="L8" s="38" t="n"/>
      <c r="M8" s="38" t="n"/>
      <c r="N8" s="38" t="n"/>
      <c r="O8" s="38" t="n"/>
      <c r="P8" s="38" t="n"/>
      <c r="Q8" s="38" t="n"/>
      <c r="R8" s="38" t="n"/>
      <c r="S8" s="38" t="n"/>
      <c r="T8" s="38" t="n"/>
      <c r="U8" s="38" t="n"/>
      <c r="V8" s="38" t="n"/>
      <c r="W8" s="38" t="n"/>
      <c r="X8" s="38" t="n"/>
      <c r="Y8" s="38" t="n"/>
      <c r="Z8" s="38" t="n"/>
      <c r="AA8" s="38" t="n"/>
      <c r="AB8" s="38" t="n"/>
      <c r="AC8" s="38" t="n"/>
      <c r="AD8" s="38" t="n"/>
      <c r="AE8" s="38" t="n"/>
      <c r="AF8" s="36">
        <f>IF($A8="","",$A8&amp;"|"&amp;$C8)</f>
        <v/>
      </c>
      <c r="AG8" s="36">
        <f>IF($A8="","",IF(OR(H8="לא נבדק",H8=""),"לא נבדק",IF(AND(H8="בחר/ה בעצמו/ה",I8="כן",J8="לא"),"מלא",IF(OR(H8="בחר/ה בעצמו/ה",I8="כן"),"חלקי","עדיין לא"))))</f>
        <v/>
      </c>
      <c r="AH8" s="37">
        <f>IF($A8="","",IFERROR(COUNTIF(K8:L8,"כן")/(COUNTIF(K8:L8,"כן")+COUNTIF(K8:L8,"לא")),""))</f>
        <v/>
      </c>
      <c r="AI8" s="37">
        <f>IF($A8="","",IFERROR(COUNTIF(M8:N8,"כן")/(COUNTIF(M8:N8,"כן")+COUNTIF(M8:N8,"לא")),""))</f>
        <v/>
      </c>
      <c r="AJ8" s="37">
        <f>IF($A8="","",IFERROR(COUNTIF(O8:P8,"כן")/(COUNTIF(O8:P8,"כן")+COUNTIF(O8:P8,"לא")),""))</f>
        <v/>
      </c>
      <c r="AK8" s="37">
        <f>IF($A8="","",IFERROR(COUNTIF(Q8:R8,"כן")/(COUNTIF(Q8:R8,"כן")+COUNTIF(Q8:R8,"לא")),""))</f>
        <v/>
      </c>
      <c r="AL8" s="37">
        <f>IF($A8="","",IFERROR(COUNTIF(K8:R8,"כן")/(COUNTIF(K8:R8,"כן")+COUNTIF(K8:R8,"לא")),""))</f>
        <v/>
      </c>
      <c r="AM8" s="37">
        <f>IF($A8="","",IFERROR((COUNTIF(S8:Z8,"רוב הזמן")+0.5*COUNTIF(S8:Z8,"לפעמים"))/(COUNTIF(S8:Z8,"רוב הזמן")+COUNTIF(S8:Z8,"לפעמים")+COUNTIF(S8:Z8,"עדיין לא")),""))</f>
        <v/>
      </c>
      <c r="AN8" s="37">
        <f>IF($A8="","",IFERROR(1-SUMPRODUCT(ABS((K8:R8="כן")-((S8:Z8="רוב הזמן")+0.5*(S8:Z8="לפעמים")))*(((K8:R8="כן")+(K8:R8="לא"))*((S8:Z8="רוב הזמן")+(S8:Z8="לפעמים")+(S8:Z8="עדיין לא"))))/SUMPRODUCT((((K8:R8="כן")+(K8:R8="לא"))*((S8:Z8="רוב הזמן")+(S8:Z8="לפעמים")+(S8:Z8="עדיין לא")))),""))</f>
        <v/>
      </c>
      <c r="AO8" s="36">
        <f>IF($A8="","",SUMPRODUCT((((K8:R8="כן")-((S8:Z8="רוב הזמן")+0.5*(S8:Z8="לפעמים")))&gt;0.01)*(((K8:R8="כן")+(K8:R8="לא"))*((S8:Z8="רוב הזמן")+(S8:Z8="לפעמים")+(S8:Z8="עדיין לא")))))</f>
        <v/>
      </c>
      <c r="AP8" s="36">
        <f>IF($A8="","",SUMPRODUCT(((((S8:Z8="רוב הזמן")+0.5*(S8:Z8="לפעמים"))-(K8:R8="כן"))&gt;0.01)*(((K8:R8="כן")+(K8:R8="לא"))*((S8:Z8="רוב הזמן")+(S8:Z8="לפעמים")+(S8:Z8="עדיין לא")))))</f>
        <v/>
      </c>
      <c r="AQ8" s="36">
        <f>IF($A8="","",COUNTIF(AA8:AC8,"כן"))</f>
        <v/>
      </c>
      <c r="AR8" s="38" t="n"/>
      <c r="AS8" s="38" t="n"/>
      <c r="AT8" s="38" t="n"/>
      <c r="AU8" s="38" t="n"/>
      <c r="AV8" s="36">
        <f>IF($A8="","",IF(AND(AR8="",AT8=""),"לא נבדק",IF(AND(OR(AR8="",AR8=AS8),OR(AT8="",AT8=AU8)),"תואם","לא תואם")))</f>
        <v/>
      </c>
      <c r="AW8" s="36">
        <f>IF($A8="","",IF(AND(AV8&lt;&gt;"לא תואם",G8&lt;&gt;"לא ברור"),"אמין","לפרש בזהירות"))</f>
        <v/>
      </c>
    </row>
    <row r="9">
      <c r="A9" s="38" t="n"/>
      <c r="B9" s="38" t="n"/>
      <c r="C9" s="38" t="n"/>
      <c r="D9" s="38" t="n"/>
      <c r="E9" s="38" t="n"/>
      <c r="F9" s="38" t="n"/>
      <c r="G9" s="38" t="n"/>
      <c r="H9" s="38" t="n"/>
      <c r="I9" s="38" t="n"/>
      <c r="J9" s="38" t="n"/>
      <c r="K9" s="38" t="n"/>
      <c r="L9" s="38" t="n"/>
      <c r="M9" s="38" t="n"/>
      <c r="N9" s="38" t="n"/>
      <c r="O9" s="38" t="n"/>
      <c r="P9" s="38" t="n"/>
      <c r="Q9" s="38" t="n"/>
      <c r="R9" s="38" t="n"/>
      <c r="S9" s="38" t="n"/>
      <c r="T9" s="38" t="n"/>
      <c r="U9" s="38" t="n"/>
      <c r="V9" s="38" t="n"/>
      <c r="W9" s="38" t="n"/>
      <c r="X9" s="38" t="n"/>
      <c r="Y9" s="38" t="n"/>
      <c r="Z9" s="38" t="n"/>
      <c r="AA9" s="38" t="n"/>
      <c r="AB9" s="38" t="n"/>
      <c r="AC9" s="38" t="n"/>
      <c r="AD9" s="38" t="n"/>
      <c r="AE9" s="38" t="n"/>
      <c r="AF9" s="36">
        <f>IF($A9="","",$A9&amp;"|"&amp;$C9)</f>
        <v/>
      </c>
      <c r="AG9" s="36">
        <f>IF($A9="","",IF(OR(H9="לא נבדק",H9=""),"לא נבדק",IF(AND(H9="בחר/ה בעצמו/ה",I9="כן",J9="לא"),"מלא",IF(OR(H9="בחר/ה בעצמו/ה",I9="כן"),"חלקי","עדיין לא"))))</f>
        <v/>
      </c>
      <c r="AH9" s="37">
        <f>IF($A9="","",IFERROR(COUNTIF(K9:L9,"כן")/(COUNTIF(K9:L9,"כן")+COUNTIF(K9:L9,"לא")),""))</f>
        <v/>
      </c>
      <c r="AI9" s="37">
        <f>IF($A9="","",IFERROR(COUNTIF(M9:N9,"כן")/(COUNTIF(M9:N9,"כן")+COUNTIF(M9:N9,"לא")),""))</f>
        <v/>
      </c>
      <c r="AJ9" s="37">
        <f>IF($A9="","",IFERROR(COUNTIF(O9:P9,"כן")/(COUNTIF(O9:P9,"כן")+COUNTIF(O9:P9,"לא")),""))</f>
        <v/>
      </c>
      <c r="AK9" s="37">
        <f>IF($A9="","",IFERROR(COUNTIF(Q9:R9,"כן")/(COUNTIF(Q9:R9,"כן")+COUNTIF(Q9:R9,"לא")),""))</f>
        <v/>
      </c>
      <c r="AL9" s="37">
        <f>IF($A9="","",IFERROR(COUNTIF(K9:R9,"כן")/(COUNTIF(K9:R9,"כן")+COUNTIF(K9:R9,"לא")),""))</f>
        <v/>
      </c>
      <c r="AM9" s="37">
        <f>IF($A9="","",IFERROR((COUNTIF(S9:Z9,"רוב הזמן")+0.5*COUNTIF(S9:Z9,"לפעמים"))/(COUNTIF(S9:Z9,"רוב הזמן")+COUNTIF(S9:Z9,"לפעמים")+COUNTIF(S9:Z9,"עדיין לא")),""))</f>
        <v/>
      </c>
      <c r="AN9" s="37">
        <f>IF($A9="","",IFERROR(1-SUMPRODUCT(ABS((K9:R9="כן")-((S9:Z9="רוב הזמן")+0.5*(S9:Z9="לפעמים")))*(((K9:R9="כן")+(K9:R9="לא"))*((S9:Z9="רוב הזמן")+(S9:Z9="לפעמים")+(S9:Z9="עדיין לא"))))/SUMPRODUCT((((K9:R9="כן")+(K9:R9="לא"))*((S9:Z9="רוב הזמן")+(S9:Z9="לפעמים")+(S9:Z9="עדיין לא")))),""))</f>
        <v/>
      </c>
      <c r="AO9" s="36">
        <f>IF($A9="","",SUMPRODUCT((((K9:R9="כן")-((S9:Z9="רוב הזמן")+0.5*(S9:Z9="לפעמים")))&gt;0.01)*(((K9:R9="כן")+(K9:R9="לא"))*((S9:Z9="רוב הזמן")+(S9:Z9="לפעמים")+(S9:Z9="עדיין לא")))))</f>
        <v/>
      </c>
      <c r="AP9" s="36">
        <f>IF($A9="","",SUMPRODUCT(((((S9:Z9="רוב הזמן")+0.5*(S9:Z9="לפעמים"))-(K9:R9="כן"))&gt;0.01)*(((K9:R9="כן")+(K9:R9="לא"))*((S9:Z9="רוב הזמן")+(S9:Z9="לפעמים")+(S9:Z9="עדיין לא")))))</f>
        <v/>
      </c>
      <c r="AQ9" s="36">
        <f>IF($A9="","",COUNTIF(AA9:AC9,"כן"))</f>
        <v/>
      </c>
      <c r="AR9" s="38" t="n"/>
      <c r="AS9" s="38" t="n"/>
      <c r="AT9" s="38" t="n"/>
      <c r="AU9" s="38" t="n"/>
      <c r="AV9" s="36">
        <f>IF($A9="","",IF(AND(AR9="",AT9=""),"לא נבדק",IF(AND(OR(AR9="",AR9=AS9),OR(AT9="",AT9=AU9)),"תואם","לא תואם")))</f>
        <v/>
      </c>
      <c r="AW9" s="36">
        <f>IF($A9="","",IF(AND(AV9&lt;&gt;"לא תואם",G9&lt;&gt;"לא ברור"),"אמין","לפרש בזהירות"))</f>
        <v/>
      </c>
    </row>
    <row r="10">
      <c r="A10" s="38" t="n"/>
      <c r="B10" s="38" t="n"/>
      <c r="C10" s="38" t="n"/>
      <c r="D10" s="38" t="n"/>
      <c r="E10" s="38" t="n"/>
      <c r="F10" s="38" t="n"/>
      <c r="G10" s="38" t="n"/>
      <c r="H10" s="38" t="n"/>
      <c r="I10" s="38" t="n"/>
      <c r="J10" s="38" t="n"/>
      <c r="K10" s="38" t="n"/>
      <c r="L10" s="38" t="n"/>
      <c r="M10" s="38" t="n"/>
      <c r="N10" s="38" t="n"/>
      <c r="O10" s="38" t="n"/>
      <c r="P10" s="38" t="n"/>
      <c r="Q10" s="38" t="n"/>
      <c r="R10" s="38" t="n"/>
      <c r="S10" s="38" t="n"/>
      <c r="T10" s="38" t="n"/>
      <c r="U10" s="38" t="n"/>
      <c r="V10" s="38" t="n"/>
      <c r="W10" s="38" t="n"/>
      <c r="X10" s="38" t="n"/>
      <c r="Y10" s="38" t="n"/>
      <c r="Z10" s="38" t="n"/>
      <c r="AA10" s="38" t="n"/>
      <c r="AB10" s="38" t="n"/>
      <c r="AC10" s="38" t="n"/>
      <c r="AD10" s="38" t="n"/>
      <c r="AE10" s="38" t="n"/>
      <c r="AF10" s="36">
        <f>IF($A10="","",$A10&amp;"|"&amp;$C10)</f>
        <v/>
      </c>
      <c r="AG10" s="36">
        <f>IF($A10="","",IF(OR(H10="לא נבדק",H10=""),"לא נבדק",IF(AND(H10="בחר/ה בעצמו/ה",I10="כן",J10="לא"),"מלא",IF(OR(H10="בחר/ה בעצמו/ה",I10="כן"),"חלקי","עדיין לא"))))</f>
        <v/>
      </c>
      <c r="AH10" s="37">
        <f>IF($A10="","",IFERROR(COUNTIF(K10:L10,"כן")/(COUNTIF(K10:L10,"כן")+COUNTIF(K10:L10,"לא")),""))</f>
        <v/>
      </c>
      <c r="AI10" s="37">
        <f>IF($A10="","",IFERROR(COUNTIF(M10:N10,"כן")/(COUNTIF(M10:N10,"כן")+COUNTIF(M10:N10,"לא")),""))</f>
        <v/>
      </c>
      <c r="AJ10" s="37">
        <f>IF($A10="","",IFERROR(COUNTIF(O10:P10,"כן")/(COUNTIF(O10:P10,"כן")+COUNTIF(O10:P10,"לא")),""))</f>
        <v/>
      </c>
      <c r="AK10" s="37">
        <f>IF($A10="","",IFERROR(COUNTIF(Q10:R10,"כן")/(COUNTIF(Q10:R10,"כן")+COUNTIF(Q10:R10,"לא")),""))</f>
        <v/>
      </c>
      <c r="AL10" s="37">
        <f>IF($A10="","",IFERROR(COUNTIF(K10:R10,"כן")/(COUNTIF(K10:R10,"כן")+COUNTIF(K10:R10,"לא")),""))</f>
        <v/>
      </c>
      <c r="AM10" s="37">
        <f>IF($A10="","",IFERROR((COUNTIF(S10:Z10,"רוב הזמן")+0.5*COUNTIF(S10:Z10,"לפעמים"))/(COUNTIF(S10:Z10,"רוב הזמן")+COUNTIF(S10:Z10,"לפעמים")+COUNTIF(S10:Z10,"עדיין לא")),""))</f>
        <v/>
      </c>
      <c r="AN10" s="37">
        <f>IF($A10="","",IFERROR(1-SUMPRODUCT(ABS((K10:R10="כן")-((S10:Z10="רוב הזמן")+0.5*(S10:Z10="לפעמים")))*(((K10:R10="כן")+(K10:R10="לא"))*((S10:Z10="רוב הזמן")+(S10:Z10="לפעמים")+(S10:Z10="עדיין לא"))))/SUMPRODUCT((((K10:R10="כן")+(K10:R10="לא"))*((S10:Z10="רוב הזמן")+(S10:Z10="לפעמים")+(S10:Z10="עדיין לא")))),""))</f>
        <v/>
      </c>
      <c r="AO10" s="36">
        <f>IF($A10="","",SUMPRODUCT((((K10:R10="כן")-((S10:Z10="רוב הזמן")+0.5*(S10:Z10="לפעמים")))&gt;0.01)*(((K10:R10="כן")+(K10:R10="לא"))*((S10:Z10="רוב הזמן")+(S10:Z10="לפעמים")+(S10:Z10="עדיין לא")))))</f>
        <v/>
      </c>
      <c r="AP10" s="36">
        <f>IF($A10="","",SUMPRODUCT(((((S10:Z10="רוב הזמן")+0.5*(S10:Z10="לפעמים"))-(K10:R10="כן"))&gt;0.01)*(((K10:R10="כן")+(K10:R10="לא"))*((S10:Z10="רוב הזמן")+(S10:Z10="לפעמים")+(S10:Z10="עדיין לא")))))</f>
        <v/>
      </c>
      <c r="AQ10" s="36">
        <f>IF($A10="","",COUNTIF(AA10:AC10,"כן"))</f>
        <v/>
      </c>
      <c r="AR10" s="38" t="n"/>
      <c r="AS10" s="38" t="n"/>
      <c r="AT10" s="38" t="n"/>
      <c r="AU10" s="38" t="n"/>
      <c r="AV10" s="36">
        <f>IF($A10="","",IF(AND(AR10="",AT10=""),"לא נבדק",IF(AND(OR(AR10="",AR10=AS10),OR(AT10="",AT10=AU10)),"תואם","לא תואם")))</f>
        <v/>
      </c>
      <c r="AW10" s="36">
        <f>IF($A10="","",IF(AND(AV10&lt;&gt;"לא תואם",G10&lt;&gt;"לא ברור"),"אמין","לפרש בזהירות"))</f>
        <v/>
      </c>
    </row>
    <row r="11">
      <c r="A11" s="38" t="n"/>
      <c r="B11" s="38" t="n"/>
      <c r="C11" s="38" t="n"/>
      <c r="D11" s="38" t="n"/>
      <c r="E11" s="38" t="n"/>
      <c r="F11" s="38" t="n"/>
      <c r="G11" s="38" t="n"/>
      <c r="H11" s="38" t="n"/>
      <c r="I11" s="38" t="n"/>
      <c r="J11" s="38" t="n"/>
      <c r="K11" s="38" t="n"/>
      <c r="L11" s="38" t="n"/>
      <c r="M11" s="38" t="n"/>
      <c r="N11" s="38" t="n"/>
      <c r="O11" s="38" t="n"/>
      <c r="P11" s="38" t="n"/>
      <c r="Q11" s="38" t="n"/>
      <c r="R11" s="38" t="n"/>
      <c r="S11" s="38" t="n"/>
      <c r="T11" s="38" t="n"/>
      <c r="U11" s="38" t="n"/>
      <c r="V11" s="38" t="n"/>
      <c r="W11" s="38" t="n"/>
      <c r="X11" s="38" t="n"/>
      <c r="Y11" s="38" t="n"/>
      <c r="Z11" s="38" t="n"/>
      <c r="AA11" s="38" t="n"/>
      <c r="AB11" s="38" t="n"/>
      <c r="AC11" s="38" t="n"/>
      <c r="AD11" s="38" t="n"/>
      <c r="AE11" s="38" t="n"/>
      <c r="AF11" s="36">
        <f>IF($A11="","",$A11&amp;"|"&amp;$C11)</f>
        <v/>
      </c>
      <c r="AG11" s="36">
        <f>IF($A11="","",IF(OR(H11="לא נבדק",H11=""),"לא נבדק",IF(AND(H11="בחר/ה בעצמו/ה",I11="כן",J11="לא"),"מלא",IF(OR(H11="בחר/ה בעצמו/ה",I11="כן"),"חלקי","עדיין לא"))))</f>
        <v/>
      </c>
      <c r="AH11" s="37">
        <f>IF($A11="","",IFERROR(COUNTIF(K11:L11,"כן")/(COUNTIF(K11:L11,"כן")+COUNTIF(K11:L11,"לא")),""))</f>
        <v/>
      </c>
      <c r="AI11" s="37">
        <f>IF($A11="","",IFERROR(COUNTIF(M11:N11,"כן")/(COUNTIF(M11:N11,"כן")+COUNTIF(M11:N11,"לא")),""))</f>
        <v/>
      </c>
      <c r="AJ11" s="37">
        <f>IF($A11="","",IFERROR(COUNTIF(O11:P11,"כן")/(COUNTIF(O11:P11,"כן")+COUNTIF(O11:P11,"לא")),""))</f>
        <v/>
      </c>
      <c r="AK11" s="37">
        <f>IF($A11="","",IFERROR(COUNTIF(Q11:R11,"כן")/(COUNTIF(Q11:R11,"כן")+COUNTIF(Q11:R11,"לא")),""))</f>
        <v/>
      </c>
      <c r="AL11" s="37">
        <f>IF($A11="","",IFERROR(COUNTIF(K11:R11,"כן")/(COUNTIF(K11:R11,"כן")+COUNTIF(K11:R11,"לא")),""))</f>
        <v/>
      </c>
      <c r="AM11" s="37">
        <f>IF($A11="","",IFERROR((COUNTIF(S11:Z11,"רוב הזמן")+0.5*COUNTIF(S11:Z11,"לפעמים"))/(COUNTIF(S11:Z11,"רוב הזמן")+COUNTIF(S11:Z11,"לפעמים")+COUNTIF(S11:Z11,"עדיין לא")),""))</f>
        <v/>
      </c>
      <c r="AN11" s="37">
        <f>IF($A11="","",IFERROR(1-SUMPRODUCT(ABS((K11:R11="כן")-((S11:Z11="רוב הזמן")+0.5*(S11:Z11="לפעמים")))*(((K11:R11="כן")+(K11:R11="לא"))*((S11:Z11="רוב הזמן")+(S11:Z11="לפעמים")+(S11:Z11="עדיין לא"))))/SUMPRODUCT((((K11:R11="כן")+(K11:R11="לא"))*((S11:Z11="רוב הזמן")+(S11:Z11="לפעמים")+(S11:Z11="עדיין לא")))),""))</f>
        <v/>
      </c>
      <c r="AO11" s="36">
        <f>IF($A11="","",SUMPRODUCT((((K11:R11="כן")-((S11:Z11="רוב הזמן")+0.5*(S11:Z11="לפעמים")))&gt;0.01)*(((K11:R11="כן")+(K11:R11="לא"))*((S11:Z11="רוב הזמן")+(S11:Z11="לפעמים")+(S11:Z11="עדיין לא")))))</f>
        <v/>
      </c>
      <c r="AP11" s="36">
        <f>IF($A11="","",SUMPRODUCT(((((S11:Z11="רוב הזמן")+0.5*(S11:Z11="לפעמים"))-(K11:R11="כן"))&gt;0.01)*(((K11:R11="כן")+(K11:R11="לא"))*((S11:Z11="רוב הזמן")+(S11:Z11="לפעמים")+(S11:Z11="עדיין לא")))))</f>
        <v/>
      </c>
      <c r="AQ11" s="36">
        <f>IF($A11="","",COUNTIF(AA11:AC11,"כן"))</f>
        <v/>
      </c>
      <c r="AR11" s="38" t="n"/>
      <c r="AS11" s="38" t="n"/>
      <c r="AT11" s="38" t="n"/>
      <c r="AU11" s="38" t="n"/>
      <c r="AV11" s="36">
        <f>IF($A11="","",IF(AND(AR11="",AT11=""),"לא נבדק",IF(AND(OR(AR11="",AR11=AS11),OR(AT11="",AT11=AU11)),"תואם","לא תואם")))</f>
        <v/>
      </c>
      <c r="AW11" s="36">
        <f>IF($A11="","",IF(AND(AV11&lt;&gt;"לא תואם",G11&lt;&gt;"לא ברור"),"אמין","לפרש בזהירות"))</f>
        <v/>
      </c>
    </row>
    <row r="12">
      <c r="A12" s="38" t="n"/>
      <c r="B12" s="38" t="n"/>
      <c r="C12" s="38" t="n"/>
      <c r="D12" s="38" t="n"/>
      <c r="E12" s="38" t="n"/>
      <c r="F12" s="38" t="n"/>
      <c r="G12" s="38" t="n"/>
      <c r="H12" s="38" t="n"/>
      <c r="I12" s="38" t="n"/>
      <c r="J12" s="38" t="n"/>
      <c r="K12" s="38" t="n"/>
      <c r="L12" s="38" t="n"/>
      <c r="M12" s="38" t="n"/>
      <c r="N12" s="38" t="n"/>
      <c r="O12" s="38" t="n"/>
      <c r="P12" s="38" t="n"/>
      <c r="Q12" s="38" t="n"/>
      <c r="R12" s="38" t="n"/>
      <c r="S12" s="38" t="n"/>
      <c r="T12" s="38" t="n"/>
      <c r="U12" s="38" t="n"/>
      <c r="V12" s="38" t="n"/>
      <c r="W12" s="38" t="n"/>
      <c r="X12" s="38" t="n"/>
      <c r="Y12" s="38" t="n"/>
      <c r="Z12" s="38" t="n"/>
      <c r="AA12" s="38" t="n"/>
      <c r="AB12" s="38" t="n"/>
      <c r="AC12" s="38" t="n"/>
      <c r="AD12" s="38" t="n"/>
      <c r="AE12" s="38" t="n"/>
      <c r="AF12" s="36">
        <f>IF($A12="","",$A12&amp;"|"&amp;$C12)</f>
        <v/>
      </c>
      <c r="AG12" s="36">
        <f>IF($A12="","",IF(OR(H12="לא נבדק",H12=""),"לא נבדק",IF(AND(H12="בחר/ה בעצמו/ה",I12="כן",J12="לא"),"מלא",IF(OR(H12="בחר/ה בעצמו/ה",I12="כן"),"חלקי","עדיין לא"))))</f>
        <v/>
      </c>
      <c r="AH12" s="37">
        <f>IF($A12="","",IFERROR(COUNTIF(K12:L12,"כן")/(COUNTIF(K12:L12,"כן")+COUNTIF(K12:L12,"לא")),""))</f>
        <v/>
      </c>
      <c r="AI12" s="37">
        <f>IF($A12="","",IFERROR(COUNTIF(M12:N12,"כן")/(COUNTIF(M12:N12,"כן")+COUNTIF(M12:N12,"לא")),""))</f>
        <v/>
      </c>
      <c r="AJ12" s="37">
        <f>IF($A12="","",IFERROR(COUNTIF(O12:P12,"כן")/(COUNTIF(O12:P12,"כן")+COUNTIF(O12:P12,"לא")),""))</f>
        <v/>
      </c>
      <c r="AK12" s="37">
        <f>IF($A12="","",IFERROR(COUNTIF(Q12:R12,"כן")/(COUNTIF(Q12:R12,"כן")+COUNTIF(Q12:R12,"לא")),""))</f>
        <v/>
      </c>
      <c r="AL12" s="37">
        <f>IF($A12="","",IFERROR(COUNTIF(K12:R12,"כן")/(COUNTIF(K12:R12,"כן")+COUNTIF(K12:R12,"לא")),""))</f>
        <v/>
      </c>
      <c r="AM12" s="37">
        <f>IF($A12="","",IFERROR((COUNTIF(S12:Z12,"רוב הזמן")+0.5*COUNTIF(S12:Z12,"לפעמים"))/(COUNTIF(S12:Z12,"רוב הזמן")+COUNTIF(S12:Z12,"לפעמים")+COUNTIF(S12:Z12,"עדיין לא")),""))</f>
        <v/>
      </c>
      <c r="AN12" s="37">
        <f>IF($A12="","",IFERROR(1-SUMPRODUCT(ABS((K12:R12="כן")-((S12:Z12="רוב הזמן")+0.5*(S12:Z12="לפעמים")))*(((K12:R12="כן")+(K12:R12="לא"))*((S12:Z12="רוב הזמן")+(S12:Z12="לפעמים")+(S12:Z12="עדיין לא"))))/SUMPRODUCT((((K12:R12="כן")+(K12:R12="לא"))*((S12:Z12="רוב הזמן")+(S12:Z12="לפעמים")+(S12:Z12="עדיין לא")))),""))</f>
        <v/>
      </c>
      <c r="AO12" s="36">
        <f>IF($A12="","",SUMPRODUCT((((K12:R12="כן")-((S12:Z12="רוב הזמן")+0.5*(S12:Z12="לפעמים")))&gt;0.01)*(((K12:R12="כן")+(K12:R12="לא"))*((S12:Z12="רוב הזמן")+(S12:Z12="לפעמים")+(S12:Z12="עדיין לא")))))</f>
        <v/>
      </c>
      <c r="AP12" s="36">
        <f>IF($A12="","",SUMPRODUCT(((((S12:Z12="רוב הזמן")+0.5*(S12:Z12="לפעמים"))-(K12:R12="כן"))&gt;0.01)*(((K12:R12="כן")+(K12:R12="לא"))*((S12:Z12="רוב הזמן")+(S12:Z12="לפעמים")+(S12:Z12="עדיין לא")))))</f>
        <v/>
      </c>
      <c r="AQ12" s="36">
        <f>IF($A12="","",COUNTIF(AA12:AC12,"כן"))</f>
        <v/>
      </c>
      <c r="AR12" s="38" t="n"/>
      <c r="AS12" s="38" t="n"/>
      <c r="AT12" s="38" t="n"/>
      <c r="AU12" s="38" t="n"/>
      <c r="AV12" s="36">
        <f>IF($A12="","",IF(AND(AR12="",AT12=""),"לא נבדק",IF(AND(OR(AR12="",AR12=AS12),OR(AT12="",AT12=AU12)),"תואם","לא תואם")))</f>
        <v/>
      </c>
      <c r="AW12" s="36">
        <f>IF($A12="","",IF(AND(AV12&lt;&gt;"לא תואם",G12&lt;&gt;"לא ברור"),"אמין","לפרש בזהירות"))</f>
        <v/>
      </c>
    </row>
    <row r="13">
      <c r="A13" s="38" t="n"/>
      <c r="B13" s="38" t="n"/>
      <c r="C13" s="38" t="n"/>
      <c r="D13" s="38" t="n"/>
      <c r="E13" s="38" t="n"/>
      <c r="F13" s="38" t="n"/>
      <c r="G13" s="38" t="n"/>
      <c r="H13" s="38" t="n"/>
      <c r="I13" s="38" t="n"/>
      <c r="J13" s="38" t="n"/>
      <c r="K13" s="38" t="n"/>
      <c r="L13" s="38" t="n"/>
      <c r="M13" s="38" t="n"/>
      <c r="N13" s="38" t="n"/>
      <c r="O13" s="38" t="n"/>
      <c r="P13" s="38" t="n"/>
      <c r="Q13" s="38" t="n"/>
      <c r="R13" s="38" t="n"/>
      <c r="S13" s="38" t="n"/>
      <c r="T13" s="38" t="n"/>
      <c r="U13" s="38" t="n"/>
      <c r="V13" s="38" t="n"/>
      <c r="W13" s="38" t="n"/>
      <c r="X13" s="38" t="n"/>
      <c r="Y13" s="38" t="n"/>
      <c r="Z13" s="38" t="n"/>
      <c r="AA13" s="38" t="n"/>
      <c r="AB13" s="38" t="n"/>
      <c r="AC13" s="38" t="n"/>
      <c r="AD13" s="38" t="n"/>
      <c r="AE13" s="38" t="n"/>
      <c r="AF13" s="36">
        <f>IF($A13="","",$A13&amp;"|"&amp;$C13)</f>
        <v/>
      </c>
      <c r="AG13" s="36">
        <f>IF($A13="","",IF(OR(H13="לא נבדק",H13=""),"לא נבדק",IF(AND(H13="בחר/ה בעצמו/ה",I13="כן",J13="לא"),"מלא",IF(OR(H13="בחר/ה בעצמו/ה",I13="כן"),"חלקי","עדיין לא"))))</f>
        <v/>
      </c>
      <c r="AH13" s="37">
        <f>IF($A13="","",IFERROR(COUNTIF(K13:L13,"כן")/(COUNTIF(K13:L13,"כן")+COUNTIF(K13:L13,"לא")),""))</f>
        <v/>
      </c>
      <c r="AI13" s="37">
        <f>IF($A13="","",IFERROR(COUNTIF(M13:N13,"כן")/(COUNTIF(M13:N13,"כן")+COUNTIF(M13:N13,"לא")),""))</f>
        <v/>
      </c>
      <c r="AJ13" s="37">
        <f>IF($A13="","",IFERROR(COUNTIF(O13:P13,"כן")/(COUNTIF(O13:P13,"כן")+COUNTIF(O13:P13,"לא")),""))</f>
        <v/>
      </c>
      <c r="AK13" s="37">
        <f>IF($A13="","",IFERROR(COUNTIF(Q13:R13,"כן")/(COUNTIF(Q13:R13,"כן")+COUNTIF(Q13:R13,"לא")),""))</f>
        <v/>
      </c>
      <c r="AL13" s="37">
        <f>IF($A13="","",IFERROR(COUNTIF(K13:R13,"כן")/(COUNTIF(K13:R13,"כן")+COUNTIF(K13:R13,"לא")),""))</f>
        <v/>
      </c>
      <c r="AM13" s="37">
        <f>IF($A13="","",IFERROR((COUNTIF(S13:Z13,"רוב הזמן")+0.5*COUNTIF(S13:Z13,"לפעמים"))/(COUNTIF(S13:Z13,"רוב הזמן")+COUNTIF(S13:Z13,"לפעמים")+COUNTIF(S13:Z13,"עדיין לא")),""))</f>
        <v/>
      </c>
      <c r="AN13" s="37">
        <f>IF($A13="","",IFERROR(1-SUMPRODUCT(ABS((K13:R13="כן")-((S13:Z13="רוב הזמן")+0.5*(S13:Z13="לפעמים")))*(((K13:R13="כן")+(K13:R13="לא"))*((S13:Z13="רוב הזמן")+(S13:Z13="לפעמים")+(S13:Z13="עדיין לא"))))/SUMPRODUCT((((K13:R13="כן")+(K13:R13="לא"))*((S13:Z13="רוב הזמן")+(S13:Z13="לפעמים")+(S13:Z13="עדיין לא")))),""))</f>
        <v/>
      </c>
      <c r="AO13" s="36">
        <f>IF($A13="","",SUMPRODUCT((((K13:R13="כן")-((S13:Z13="רוב הזמן")+0.5*(S13:Z13="לפעמים")))&gt;0.01)*(((K13:R13="כן")+(K13:R13="לא"))*((S13:Z13="רוב הזמן")+(S13:Z13="לפעמים")+(S13:Z13="עדיין לא")))))</f>
        <v/>
      </c>
      <c r="AP13" s="36">
        <f>IF($A13="","",SUMPRODUCT(((((S13:Z13="רוב הזמן")+0.5*(S13:Z13="לפעמים"))-(K13:R13="כן"))&gt;0.01)*(((K13:R13="כן")+(K13:R13="לא"))*((S13:Z13="רוב הזמן")+(S13:Z13="לפעמים")+(S13:Z13="עדיין לא")))))</f>
        <v/>
      </c>
      <c r="AQ13" s="36">
        <f>IF($A13="","",COUNTIF(AA13:AC13,"כן"))</f>
        <v/>
      </c>
      <c r="AR13" s="38" t="n"/>
      <c r="AS13" s="38" t="n"/>
      <c r="AT13" s="38" t="n"/>
      <c r="AU13" s="38" t="n"/>
      <c r="AV13" s="36">
        <f>IF($A13="","",IF(AND(AR13="",AT13=""),"לא נבדק",IF(AND(OR(AR13="",AR13=AS13),OR(AT13="",AT13=AU13)),"תואם","לא תואם")))</f>
        <v/>
      </c>
      <c r="AW13" s="36">
        <f>IF($A13="","",IF(AND(AV13&lt;&gt;"לא תואם",G13&lt;&gt;"לא ברור"),"אמין","לפרש בזהירות"))</f>
        <v/>
      </c>
    </row>
    <row r="14">
      <c r="A14" s="38" t="n"/>
      <c r="B14" s="38" t="n"/>
      <c r="C14" s="38" t="n"/>
      <c r="D14" s="38" t="n"/>
      <c r="E14" s="38" t="n"/>
      <c r="F14" s="38" t="n"/>
      <c r="G14" s="38" t="n"/>
      <c r="H14" s="38" t="n"/>
      <c r="I14" s="38" t="n"/>
      <c r="J14" s="38" t="n"/>
      <c r="K14" s="38" t="n"/>
      <c r="L14" s="38" t="n"/>
      <c r="M14" s="38" t="n"/>
      <c r="N14" s="38" t="n"/>
      <c r="O14" s="38" t="n"/>
      <c r="P14" s="38" t="n"/>
      <c r="Q14" s="38" t="n"/>
      <c r="R14" s="38" t="n"/>
      <c r="S14" s="38" t="n"/>
      <c r="T14" s="38" t="n"/>
      <c r="U14" s="38" t="n"/>
      <c r="V14" s="38" t="n"/>
      <c r="W14" s="38" t="n"/>
      <c r="X14" s="38" t="n"/>
      <c r="Y14" s="38" t="n"/>
      <c r="Z14" s="38" t="n"/>
      <c r="AA14" s="38" t="n"/>
      <c r="AB14" s="38" t="n"/>
      <c r="AC14" s="38" t="n"/>
      <c r="AD14" s="38" t="n"/>
      <c r="AE14" s="38" t="n"/>
      <c r="AF14" s="36">
        <f>IF($A14="","",$A14&amp;"|"&amp;$C14)</f>
        <v/>
      </c>
      <c r="AG14" s="36">
        <f>IF($A14="","",IF(OR(H14="לא נבדק",H14=""),"לא נבדק",IF(AND(H14="בחר/ה בעצמו/ה",I14="כן",J14="לא"),"מלא",IF(OR(H14="בחר/ה בעצמו/ה",I14="כן"),"חלקי","עדיין לא"))))</f>
        <v/>
      </c>
      <c r="AH14" s="37">
        <f>IF($A14="","",IFERROR(COUNTIF(K14:L14,"כן")/(COUNTIF(K14:L14,"כן")+COUNTIF(K14:L14,"לא")),""))</f>
        <v/>
      </c>
      <c r="AI14" s="37">
        <f>IF($A14="","",IFERROR(COUNTIF(M14:N14,"כן")/(COUNTIF(M14:N14,"כן")+COUNTIF(M14:N14,"לא")),""))</f>
        <v/>
      </c>
      <c r="AJ14" s="37">
        <f>IF($A14="","",IFERROR(COUNTIF(O14:P14,"כן")/(COUNTIF(O14:P14,"כן")+COUNTIF(O14:P14,"לא")),""))</f>
        <v/>
      </c>
      <c r="AK14" s="37">
        <f>IF($A14="","",IFERROR(COUNTIF(Q14:R14,"כן")/(COUNTIF(Q14:R14,"כן")+COUNTIF(Q14:R14,"לא")),""))</f>
        <v/>
      </c>
      <c r="AL14" s="37">
        <f>IF($A14="","",IFERROR(COUNTIF(K14:R14,"כן")/(COUNTIF(K14:R14,"כן")+COUNTIF(K14:R14,"לא")),""))</f>
        <v/>
      </c>
      <c r="AM14" s="37">
        <f>IF($A14="","",IFERROR((COUNTIF(S14:Z14,"רוב הזמן")+0.5*COUNTIF(S14:Z14,"לפעמים"))/(COUNTIF(S14:Z14,"רוב הזמן")+COUNTIF(S14:Z14,"לפעמים")+COUNTIF(S14:Z14,"עדיין לא")),""))</f>
        <v/>
      </c>
      <c r="AN14" s="37">
        <f>IF($A14="","",IFERROR(1-SUMPRODUCT(ABS((K14:R14="כן")-((S14:Z14="רוב הזמן")+0.5*(S14:Z14="לפעמים")))*(((K14:R14="כן")+(K14:R14="לא"))*((S14:Z14="רוב הזמן")+(S14:Z14="לפעמים")+(S14:Z14="עדיין לא"))))/SUMPRODUCT((((K14:R14="כן")+(K14:R14="לא"))*((S14:Z14="רוב הזמן")+(S14:Z14="לפעמים")+(S14:Z14="עדיין לא")))),""))</f>
        <v/>
      </c>
      <c r="AO14" s="36">
        <f>IF($A14="","",SUMPRODUCT((((K14:R14="כן")-((S14:Z14="רוב הזמן")+0.5*(S14:Z14="לפעמים")))&gt;0.01)*(((K14:R14="כן")+(K14:R14="לא"))*((S14:Z14="רוב הזמן")+(S14:Z14="לפעמים")+(S14:Z14="עדיין לא")))))</f>
        <v/>
      </c>
      <c r="AP14" s="36">
        <f>IF($A14="","",SUMPRODUCT(((((S14:Z14="רוב הזמן")+0.5*(S14:Z14="לפעמים"))-(K14:R14="כן"))&gt;0.01)*(((K14:R14="כן")+(K14:R14="לא"))*((S14:Z14="רוב הזמן")+(S14:Z14="לפעמים")+(S14:Z14="עדיין לא")))))</f>
        <v/>
      </c>
      <c r="AQ14" s="36">
        <f>IF($A14="","",COUNTIF(AA14:AC14,"כן"))</f>
        <v/>
      </c>
      <c r="AR14" s="38" t="n"/>
      <c r="AS14" s="38" t="n"/>
      <c r="AT14" s="38" t="n"/>
      <c r="AU14" s="38" t="n"/>
      <c r="AV14" s="36">
        <f>IF($A14="","",IF(AND(AR14="",AT14=""),"לא נבדק",IF(AND(OR(AR14="",AR14=AS14),OR(AT14="",AT14=AU14)),"תואם","לא תואם")))</f>
        <v/>
      </c>
      <c r="AW14" s="36">
        <f>IF($A14="","",IF(AND(AV14&lt;&gt;"לא תואם",G14&lt;&gt;"לא ברור"),"אמין","לפרש בזהירות"))</f>
        <v/>
      </c>
    </row>
    <row r="15">
      <c r="A15" s="38" t="n"/>
      <c r="B15" s="38" t="n"/>
      <c r="C15" s="38" t="n"/>
      <c r="D15" s="38" t="n"/>
      <c r="E15" s="38" t="n"/>
      <c r="F15" s="38" t="n"/>
      <c r="G15" s="38" t="n"/>
      <c r="H15" s="38" t="n"/>
      <c r="I15" s="38" t="n"/>
      <c r="J15" s="38" t="n"/>
      <c r="K15" s="38" t="n"/>
      <c r="L15" s="38" t="n"/>
      <c r="M15" s="38" t="n"/>
      <c r="N15" s="38" t="n"/>
      <c r="O15" s="38" t="n"/>
      <c r="P15" s="38" t="n"/>
      <c r="Q15" s="38" t="n"/>
      <c r="R15" s="38" t="n"/>
      <c r="S15" s="38" t="n"/>
      <c r="T15" s="38" t="n"/>
      <c r="U15" s="38" t="n"/>
      <c r="V15" s="38" t="n"/>
      <c r="W15" s="38" t="n"/>
      <c r="X15" s="38" t="n"/>
      <c r="Y15" s="38" t="n"/>
      <c r="Z15" s="38" t="n"/>
      <c r="AA15" s="38" t="n"/>
      <c r="AB15" s="38" t="n"/>
      <c r="AC15" s="38" t="n"/>
      <c r="AD15" s="38" t="n"/>
      <c r="AE15" s="38" t="n"/>
      <c r="AF15" s="36">
        <f>IF($A15="","",$A15&amp;"|"&amp;$C15)</f>
        <v/>
      </c>
      <c r="AG15" s="36">
        <f>IF($A15="","",IF(OR(H15="לא נבדק",H15=""),"לא נבדק",IF(AND(H15="בחר/ה בעצמו/ה",I15="כן",J15="לא"),"מלא",IF(OR(H15="בחר/ה בעצמו/ה",I15="כן"),"חלקי","עדיין לא"))))</f>
        <v/>
      </c>
      <c r="AH15" s="37">
        <f>IF($A15="","",IFERROR(COUNTIF(K15:L15,"כן")/(COUNTIF(K15:L15,"כן")+COUNTIF(K15:L15,"לא")),""))</f>
        <v/>
      </c>
      <c r="AI15" s="37">
        <f>IF($A15="","",IFERROR(COUNTIF(M15:N15,"כן")/(COUNTIF(M15:N15,"כן")+COUNTIF(M15:N15,"לא")),""))</f>
        <v/>
      </c>
      <c r="AJ15" s="37">
        <f>IF($A15="","",IFERROR(COUNTIF(O15:P15,"כן")/(COUNTIF(O15:P15,"כן")+COUNTIF(O15:P15,"לא")),""))</f>
        <v/>
      </c>
      <c r="AK15" s="37">
        <f>IF($A15="","",IFERROR(COUNTIF(Q15:R15,"כן")/(COUNTIF(Q15:R15,"כן")+COUNTIF(Q15:R15,"לא")),""))</f>
        <v/>
      </c>
      <c r="AL15" s="37">
        <f>IF($A15="","",IFERROR(COUNTIF(K15:R15,"כן")/(COUNTIF(K15:R15,"כן")+COUNTIF(K15:R15,"לא")),""))</f>
        <v/>
      </c>
      <c r="AM15" s="37">
        <f>IF($A15="","",IFERROR((COUNTIF(S15:Z15,"רוב הזמן")+0.5*COUNTIF(S15:Z15,"לפעמים"))/(COUNTIF(S15:Z15,"רוב הזמן")+COUNTIF(S15:Z15,"לפעמים")+COUNTIF(S15:Z15,"עדיין לא")),""))</f>
        <v/>
      </c>
      <c r="AN15" s="37">
        <f>IF($A15="","",IFERROR(1-SUMPRODUCT(ABS((K15:R15="כן")-((S15:Z15="רוב הזמן")+0.5*(S15:Z15="לפעמים")))*(((K15:R15="כן")+(K15:R15="לא"))*((S15:Z15="רוב הזמן")+(S15:Z15="לפעמים")+(S15:Z15="עדיין לא"))))/SUMPRODUCT((((K15:R15="כן")+(K15:R15="לא"))*((S15:Z15="רוב הזמן")+(S15:Z15="לפעמים")+(S15:Z15="עדיין לא")))),""))</f>
        <v/>
      </c>
      <c r="AO15" s="36">
        <f>IF($A15="","",SUMPRODUCT((((K15:R15="כן")-((S15:Z15="רוב הזמן")+0.5*(S15:Z15="לפעמים")))&gt;0.01)*(((K15:R15="כן")+(K15:R15="לא"))*((S15:Z15="רוב הזמן")+(S15:Z15="לפעמים")+(S15:Z15="עדיין לא")))))</f>
        <v/>
      </c>
      <c r="AP15" s="36">
        <f>IF($A15="","",SUMPRODUCT(((((S15:Z15="רוב הזמן")+0.5*(S15:Z15="לפעמים"))-(K15:R15="כן"))&gt;0.01)*(((K15:R15="כן")+(K15:R15="לא"))*((S15:Z15="רוב הזמן")+(S15:Z15="לפעמים")+(S15:Z15="עדיין לא")))))</f>
        <v/>
      </c>
      <c r="AQ15" s="36">
        <f>IF($A15="","",COUNTIF(AA15:AC15,"כן"))</f>
        <v/>
      </c>
      <c r="AR15" s="38" t="n"/>
      <c r="AS15" s="38" t="n"/>
      <c r="AT15" s="38" t="n"/>
      <c r="AU15" s="38" t="n"/>
      <c r="AV15" s="36">
        <f>IF($A15="","",IF(AND(AR15="",AT15=""),"לא נבדק",IF(AND(OR(AR15="",AR15=AS15),OR(AT15="",AT15=AU15)),"תואם","לא תואם")))</f>
        <v/>
      </c>
      <c r="AW15" s="36">
        <f>IF($A15="","",IF(AND(AV15&lt;&gt;"לא תואם",G15&lt;&gt;"לא ברור"),"אמין","לפרש בזהירות"))</f>
        <v/>
      </c>
    </row>
    <row r="16">
      <c r="A16" s="38" t="n"/>
      <c r="B16" s="38" t="n"/>
      <c r="C16" s="38" t="n"/>
      <c r="D16" s="38" t="n"/>
      <c r="E16" s="38" t="n"/>
      <c r="F16" s="38" t="n"/>
      <c r="G16" s="38" t="n"/>
      <c r="H16" s="38" t="n"/>
      <c r="I16" s="38" t="n"/>
      <c r="J16" s="38" t="n"/>
      <c r="K16" s="38" t="n"/>
      <c r="L16" s="38" t="n"/>
      <c r="M16" s="38" t="n"/>
      <c r="N16" s="38" t="n"/>
      <c r="O16" s="38" t="n"/>
      <c r="P16" s="38" t="n"/>
      <c r="Q16" s="38" t="n"/>
      <c r="R16" s="38" t="n"/>
      <c r="S16" s="38" t="n"/>
      <c r="T16" s="38" t="n"/>
      <c r="U16" s="38" t="n"/>
      <c r="V16" s="38" t="n"/>
      <c r="W16" s="38" t="n"/>
      <c r="X16" s="38" t="n"/>
      <c r="Y16" s="38" t="n"/>
      <c r="Z16" s="38" t="n"/>
      <c r="AA16" s="38" t="n"/>
      <c r="AB16" s="38" t="n"/>
      <c r="AC16" s="38" t="n"/>
      <c r="AD16" s="38" t="n"/>
      <c r="AE16" s="38" t="n"/>
      <c r="AF16" s="36">
        <f>IF($A16="","",$A16&amp;"|"&amp;$C16)</f>
        <v/>
      </c>
      <c r="AG16" s="36">
        <f>IF($A16="","",IF(OR(H16="לא נבדק",H16=""),"לא נבדק",IF(AND(H16="בחר/ה בעצמו/ה",I16="כן",J16="לא"),"מלא",IF(OR(H16="בחר/ה בעצמו/ה",I16="כן"),"חלקי","עדיין לא"))))</f>
        <v/>
      </c>
      <c r="AH16" s="37">
        <f>IF($A16="","",IFERROR(COUNTIF(K16:L16,"כן")/(COUNTIF(K16:L16,"כן")+COUNTIF(K16:L16,"לא")),""))</f>
        <v/>
      </c>
      <c r="AI16" s="37">
        <f>IF($A16="","",IFERROR(COUNTIF(M16:N16,"כן")/(COUNTIF(M16:N16,"כן")+COUNTIF(M16:N16,"לא")),""))</f>
        <v/>
      </c>
      <c r="AJ16" s="37">
        <f>IF($A16="","",IFERROR(COUNTIF(O16:P16,"כן")/(COUNTIF(O16:P16,"כן")+COUNTIF(O16:P16,"לא")),""))</f>
        <v/>
      </c>
      <c r="AK16" s="37">
        <f>IF($A16="","",IFERROR(COUNTIF(Q16:R16,"כן")/(COUNTIF(Q16:R16,"כן")+COUNTIF(Q16:R16,"לא")),""))</f>
        <v/>
      </c>
      <c r="AL16" s="37">
        <f>IF($A16="","",IFERROR(COUNTIF(K16:R16,"כן")/(COUNTIF(K16:R16,"כן")+COUNTIF(K16:R16,"לא")),""))</f>
        <v/>
      </c>
      <c r="AM16" s="37">
        <f>IF($A16="","",IFERROR((COUNTIF(S16:Z16,"רוב הזמן")+0.5*COUNTIF(S16:Z16,"לפעמים"))/(COUNTIF(S16:Z16,"רוב הזמן")+COUNTIF(S16:Z16,"לפעמים")+COUNTIF(S16:Z16,"עדיין לא")),""))</f>
        <v/>
      </c>
      <c r="AN16" s="37">
        <f>IF($A16="","",IFERROR(1-SUMPRODUCT(ABS((K16:R16="כן")-((S16:Z16="רוב הזמן")+0.5*(S16:Z16="לפעמים")))*(((K16:R16="כן")+(K16:R16="לא"))*((S16:Z16="רוב הזמן")+(S16:Z16="לפעמים")+(S16:Z16="עדיין לא"))))/SUMPRODUCT((((K16:R16="כן")+(K16:R16="לא"))*((S16:Z16="רוב הזמן")+(S16:Z16="לפעמים")+(S16:Z16="עדיין לא")))),""))</f>
        <v/>
      </c>
      <c r="AO16" s="36">
        <f>IF($A16="","",SUMPRODUCT((((K16:R16="כן")-((S16:Z16="רוב הזמן")+0.5*(S16:Z16="לפעמים")))&gt;0.01)*(((K16:R16="כן")+(K16:R16="לא"))*((S16:Z16="רוב הזמן")+(S16:Z16="לפעמים")+(S16:Z16="עדיין לא")))))</f>
        <v/>
      </c>
      <c r="AP16" s="36">
        <f>IF($A16="","",SUMPRODUCT(((((S16:Z16="רוב הזמן")+0.5*(S16:Z16="לפעמים"))-(K16:R16="כן"))&gt;0.01)*(((K16:R16="כן")+(K16:R16="לא"))*((S16:Z16="רוב הזמן")+(S16:Z16="לפעמים")+(S16:Z16="עדיין לא")))))</f>
        <v/>
      </c>
      <c r="AQ16" s="36">
        <f>IF($A16="","",COUNTIF(AA16:AC16,"כן"))</f>
        <v/>
      </c>
      <c r="AR16" s="38" t="n"/>
      <c r="AS16" s="38" t="n"/>
      <c r="AT16" s="38" t="n"/>
      <c r="AU16" s="38" t="n"/>
      <c r="AV16" s="36">
        <f>IF($A16="","",IF(AND(AR16="",AT16=""),"לא נבדק",IF(AND(OR(AR16="",AR16=AS16),OR(AT16="",AT16=AU16)),"תואם","לא תואם")))</f>
        <v/>
      </c>
      <c r="AW16" s="36">
        <f>IF($A16="","",IF(AND(AV16&lt;&gt;"לא תואם",G16&lt;&gt;"לא ברור"),"אמין","לפרש בזהירות"))</f>
        <v/>
      </c>
    </row>
    <row r="17">
      <c r="A17" s="38" t="n"/>
      <c r="B17" s="38" t="n"/>
      <c r="C17" s="38" t="n"/>
      <c r="D17" s="38" t="n"/>
      <c r="E17" s="38" t="n"/>
      <c r="F17" s="38" t="n"/>
      <c r="G17" s="38" t="n"/>
      <c r="H17" s="38" t="n"/>
      <c r="I17" s="38" t="n"/>
      <c r="J17" s="38" t="n"/>
      <c r="K17" s="38" t="n"/>
      <c r="L17" s="38" t="n"/>
      <c r="M17" s="38" t="n"/>
      <c r="N17" s="38" t="n"/>
      <c r="O17" s="38" t="n"/>
      <c r="P17" s="38" t="n"/>
      <c r="Q17" s="38" t="n"/>
      <c r="R17" s="38" t="n"/>
      <c r="S17" s="38" t="n"/>
      <c r="T17" s="38" t="n"/>
      <c r="U17" s="38" t="n"/>
      <c r="V17" s="38" t="n"/>
      <c r="W17" s="38" t="n"/>
      <c r="X17" s="38" t="n"/>
      <c r="Y17" s="38" t="n"/>
      <c r="Z17" s="38" t="n"/>
      <c r="AA17" s="38" t="n"/>
      <c r="AB17" s="38" t="n"/>
      <c r="AC17" s="38" t="n"/>
      <c r="AD17" s="38" t="n"/>
      <c r="AE17" s="38" t="n"/>
      <c r="AF17" s="36">
        <f>IF($A17="","",$A17&amp;"|"&amp;$C17)</f>
        <v/>
      </c>
      <c r="AG17" s="36">
        <f>IF($A17="","",IF(OR(H17="לא נבדק",H17=""),"לא נבדק",IF(AND(H17="בחר/ה בעצמו/ה",I17="כן",J17="לא"),"מלא",IF(OR(H17="בחר/ה בעצמו/ה",I17="כן"),"חלקי","עדיין לא"))))</f>
        <v/>
      </c>
      <c r="AH17" s="37">
        <f>IF($A17="","",IFERROR(COUNTIF(K17:L17,"כן")/(COUNTIF(K17:L17,"כן")+COUNTIF(K17:L17,"לא")),""))</f>
        <v/>
      </c>
      <c r="AI17" s="37">
        <f>IF($A17="","",IFERROR(COUNTIF(M17:N17,"כן")/(COUNTIF(M17:N17,"כן")+COUNTIF(M17:N17,"לא")),""))</f>
        <v/>
      </c>
      <c r="AJ17" s="37">
        <f>IF($A17="","",IFERROR(COUNTIF(O17:P17,"כן")/(COUNTIF(O17:P17,"כן")+COUNTIF(O17:P17,"לא")),""))</f>
        <v/>
      </c>
      <c r="AK17" s="37">
        <f>IF($A17="","",IFERROR(COUNTIF(Q17:R17,"כן")/(COUNTIF(Q17:R17,"כן")+COUNTIF(Q17:R17,"לא")),""))</f>
        <v/>
      </c>
      <c r="AL17" s="37">
        <f>IF($A17="","",IFERROR(COUNTIF(K17:R17,"כן")/(COUNTIF(K17:R17,"כן")+COUNTIF(K17:R17,"לא")),""))</f>
        <v/>
      </c>
      <c r="AM17" s="37">
        <f>IF($A17="","",IFERROR((COUNTIF(S17:Z17,"רוב הזמן")+0.5*COUNTIF(S17:Z17,"לפעמים"))/(COUNTIF(S17:Z17,"רוב הזמן")+COUNTIF(S17:Z17,"לפעמים")+COUNTIF(S17:Z17,"עדיין לא")),""))</f>
        <v/>
      </c>
      <c r="AN17" s="37">
        <f>IF($A17="","",IFERROR(1-SUMPRODUCT(ABS((K17:R17="כן")-((S17:Z17="רוב הזמן")+0.5*(S17:Z17="לפעמים")))*(((K17:R17="כן")+(K17:R17="לא"))*((S17:Z17="רוב הזמן")+(S17:Z17="לפעמים")+(S17:Z17="עדיין לא"))))/SUMPRODUCT((((K17:R17="כן")+(K17:R17="לא"))*((S17:Z17="רוב הזמן")+(S17:Z17="לפעמים")+(S17:Z17="עדיין לא")))),""))</f>
        <v/>
      </c>
      <c r="AO17" s="36">
        <f>IF($A17="","",SUMPRODUCT((((K17:R17="כן")-((S17:Z17="רוב הזמן")+0.5*(S17:Z17="לפעמים")))&gt;0.01)*(((K17:R17="כן")+(K17:R17="לא"))*((S17:Z17="רוב הזמן")+(S17:Z17="לפעמים")+(S17:Z17="עדיין לא")))))</f>
        <v/>
      </c>
      <c r="AP17" s="36">
        <f>IF($A17="","",SUMPRODUCT(((((S17:Z17="רוב הזמן")+0.5*(S17:Z17="לפעמים"))-(K17:R17="כן"))&gt;0.01)*(((K17:R17="כן")+(K17:R17="לא"))*((S17:Z17="רוב הזמן")+(S17:Z17="לפעמים")+(S17:Z17="עדיין לא")))))</f>
        <v/>
      </c>
      <c r="AQ17" s="36">
        <f>IF($A17="","",COUNTIF(AA17:AC17,"כן"))</f>
        <v/>
      </c>
      <c r="AR17" s="38" t="n"/>
      <c r="AS17" s="38" t="n"/>
      <c r="AT17" s="38" t="n"/>
      <c r="AU17" s="38" t="n"/>
      <c r="AV17" s="36">
        <f>IF($A17="","",IF(AND(AR17="",AT17=""),"לא נבדק",IF(AND(OR(AR17="",AR17=AS17),OR(AT17="",AT17=AU17)),"תואם","לא תואם")))</f>
        <v/>
      </c>
      <c r="AW17" s="36">
        <f>IF($A17="","",IF(AND(AV17&lt;&gt;"לא תואם",G17&lt;&gt;"לא ברור"),"אמין","לפרש בזהירות"))</f>
        <v/>
      </c>
    </row>
    <row r="18">
      <c r="A18" s="38" t="n"/>
      <c r="B18" s="38" t="n"/>
      <c r="C18" s="38" t="n"/>
      <c r="D18" s="38" t="n"/>
      <c r="E18" s="38" t="n"/>
      <c r="F18" s="38" t="n"/>
      <c r="G18" s="38" t="n"/>
      <c r="H18" s="38" t="n"/>
      <c r="I18" s="38" t="n"/>
      <c r="J18" s="38" t="n"/>
      <c r="K18" s="38" t="n"/>
      <c r="L18" s="38" t="n"/>
      <c r="M18" s="38" t="n"/>
      <c r="N18" s="38" t="n"/>
      <c r="O18" s="38" t="n"/>
      <c r="P18" s="38" t="n"/>
      <c r="Q18" s="38" t="n"/>
      <c r="R18" s="38" t="n"/>
      <c r="S18" s="38" t="n"/>
      <c r="T18" s="38" t="n"/>
      <c r="U18" s="38" t="n"/>
      <c r="V18" s="38" t="n"/>
      <c r="W18" s="38" t="n"/>
      <c r="X18" s="38" t="n"/>
      <c r="Y18" s="38" t="n"/>
      <c r="Z18" s="38" t="n"/>
      <c r="AA18" s="38" t="n"/>
      <c r="AB18" s="38" t="n"/>
      <c r="AC18" s="38" t="n"/>
      <c r="AD18" s="38" t="n"/>
      <c r="AE18" s="38" t="n"/>
      <c r="AF18" s="36">
        <f>IF($A18="","",$A18&amp;"|"&amp;$C18)</f>
        <v/>
      </c>
      <c r="AG18" s="36">
        <f>IF($A18="","",IF(OR(H18="לא נבדק",H18=""),"לא נבדק",IF(AND(H18="בחר/ה בעצמו/ה",I18="כן",J18="לא"),"מלא",IF(OR(H18="בחר/ה בעצמו/ה",I18="כן"),"חלקי","עדיין לא"))))</f>
        <v/>
      </c>
      <c r="AH18" s="37">
        <f>IF($A18="","",IFERROR(COUNTIF(K18:L18,"כן")/(COUNTIF(K18:L18,"כן")+COUNTIF(K18:L18,"לא")),""))</f>
        <v/>
      </c>
      <c r="AI18" s="37">
        <f>IF($A18="","",IFERROR(COUNTIF(M18:N18,"כן")/(COUNTIF(M18:N18,"כן")+COUNTIF(M18:N18,"לא")),""))</f>
        <v/>
      </c>
      <c r="AJ18" s="37">
        <f>IF($A18="","",IFERROR(COUNTIF(O18:P18,"כן")/(COUNTIF(O18:P18,"כן")+COUNTIF(O18:P18,"לא")),""))</f>
        <v/>
      </c>
      <c r="AK18" s="37">
        <f>IF($A18="","",IFERROR(COUNTIF(Q18:R18,"כן")/(COUNTIF(Q18:R18,"כן")+COUNTIF(Q18:R18,"לא")),""))</f>
        <v/>
      </c>
      <c r="AL18" s="37">
        <f>IF($A18="","",IFERROR(COUNTIF(K18:R18,"כן")/(COUNTIF(K18:R18,"כן")+COUNTIF(K18:R18,"לא")),""))</f>
        <v/>
      </c>
      <c r="AM18" s="37">
        <f>IF($A18="","",IFERROR((COUNTIF(S18:Z18,"רוב הזמן")+0.5*COUNTIF(S18:Z18,"לפעמים"))/(COUNTIF(S18:Z18,"רוב הזמן")+COUNTIF(S18:Z18,"לפעמים")+COUNTIF(S18:Z18,"עדיין לא")),""))</f>
        <v/>
      </c>
      <c r="AN18" s="37">
        <f>IF($A18="","",IFERROR(1-SUMPRODUCT(ABS((K18:R18="כן")-((S18:Z18="רוב הזמן")+0.5*(S18:Z18="לפעמים")))*(((K18:R18="כן")+(K18:R18="לא"))*((S18:Z18="רוב הזמן")+(S18:Z18="לפעמים")+(S18:Z18="עדיין לא"))))/SUMPRODUCT((((K18:R18="כן")+(K18:R18="לא"))*((S18:Z18="רוב הזמן")+(S18:Z18="לפעמים")+(S18:Z18="עדיין לא")))),""))</f>
        <v/>
      </c>
      <c r="AO18" s="36">
        <f>IF($A18="","",SUMPRODUCT((((K18:R18="כן")-((S18:Z18="רוב הזמן")+0.5*(S18:Z18="לפעמים")))&gt;0.01)*(((K18:R18="כן")+(K18:R18="לא"))*((S18:Z18="רוב הזמן")+(S18:Z18="לפעמים")+(S18:Z18="עדיין לא")))))</f>
        <v/>
      </c>
      <c r="AP18" s="36">
        <f>IF($A18="","",SUMPRODUCT(((((S18:Z18="רוב הזמן")+0.5*(S18:Z18="לפעמים"))-(K18:R18="כן"))&gt;0.01)*(((K18:R18="כן")+(K18:R18="לא"))*((S18:Z18="רוב הזמן")+(S18:Z18="לפעמים")+(S18:Z18="עדיין לא")))))</f>
        <v/>
      </c>
      <c r="AQ18" s="36">
        <f>IF($A18="","",COUNTIF(AA18:AC18,"כן"))</f>
        <v/>
      </c>
      <c r="AR18" s="38" t="n"/>
      <c r="AS18" s="38" t="n"/>
      <c r="AT18" s="38" t="n"/>
      <c r="AU18" s="38" t="n"/>
      <c r="AV18" s="36">
        <f>IF($A18="","",IF(AND(AR18="",AT18=""),"לא נבדק",IF(AND(OR(AR18="",AR18=AS18),OR(AT18="",AT18=AU18)),"תואם","לא תואם")))</f>
        <v/>
      </c>
      <c r="AW18" s="36">
        <f>IF($A18="","",IF(AND(AV18&lt;&gt;"לא תואם",G18&lt;&gt;"לא ברור"),"אמין","לפרש בזהירות"))</f>
        <v/>
      </c>
    </row>
    <row r="19">
      <c r="A19" s="38" t="n"/>
      <c r="B19" s="38" t="n"/>
      <c r="C19" s="38" t="n"/>
      <c r="D19" s="38" t="n"/>
      <c r="E19" s="38" t="n"/>
      <c r="F19" s="38" t="n"/>
      <c r="G19" s="38" t="n"/>
      <c r="H19" s="38" t="n"/>
      <c r="I19" s="38" t="n"/>
      <c r="J19" s="38" t="n"/>
      <c r="K19" s="38" t="n"/>
      <c r="L19" s="38" t="n"/>
      <c r="M19" s="38" t="n"/>
      <c r="N19" s="38" t="n"/>
      <c r="O19" s="38" t="n"/>
      <c r="P19" s="38" t="n"/>
      <c r="Q19" s="38" t="n"/>
      <c r="R19" s="38" t="n"/>
      <c r="S19" s="38" t="n"/>
      <c r="T19" s="38" t="n"/>
      <c r="U19" s="38" t="n"/>
      <c r="V19" s="38" t="n"/>
      <c r="W19" s="38" t="n"/>
      <c r="X19" s="38" t="n"/>
      <c r="Y19" s="38" t="n"/>
      <c r="Z19" s="38" t="n"/>
      <c r="AA19" s="38" t="n"/>
      <c r="AB19" s="38" t="n"/>
      <c r="AC19" s="38" t="n"/>
      <c r="AD19" s="38" t="n"/>
      <c r="AE19" s="38" t="n"/>
      <c r="AF19" s="36">
        <f>IF($A19="","",$A19&amp;"|"&amp;$C19)</f>
        <v/>
      </c>
      <c r="AG19" s="36">
        <f>IF($A19="","",IF(OR(H19="לא נבדק",H19=""),"לא נבדק",IF(AND(H19="בחר/ה בעצמו/ה",I19="כן",J19="לא"),"מלא",IF(OR(H19="בחר/ה בעצמו/ה",I19="כן"),"חלקי","עדיין לא"))))</f>
        <v/>
      </c>
      <c r="AH19" s="37">
        <f>IF($A19="","",IFERROR(COUNTIF(K19:L19,"כן")/(COUNTIF(K19:L19,"כן")+COUNTIF(K19:L19,"לא")),""))</f>
        <v/>
      </c>
      <c r="AI19" s="37">
        <f>IF($A19="","",IFERROR(COUNTIF(M19:N19,"כן")/(COUNTIF(M19:N19,"כן")+COUNTIF(M19:N19,"לא")),""))</f>
        <v/>
      </c>
      <c r="AJ19" s="37">
        <f>IF($A19="","",IFERROR(COUNTIF(O19:P19,"כן")/(COUNTIF(O19:P19,"כן")+COUNTIF(O19:P19,"לא")),""))</f>
        <v/>
      </c>
      <c r="AK19" s="37">
        <f>IF($A19="","",IFERROR(COUNTIF(Q19:R19,"כן")/(COUNTIF(Q19:R19,"כן")+COUNTIF(Q19:R19,"לא")),""))</f>
        <v/>
      </c>
      <c r="AL19" s="37">
        <f>IF($A19="","",IFERROR(COUNTIF(K19:R19,"כן")/(COUNTIF(K19:R19,"כן")+COUNTIF(K19:R19,"לא")),""))</f>
        <v/>
      </c>
      <c r="AM19" s="37">
        <f>IF($A19="","",IFERROR((COUNTIF(S19:Z19,"רוב הזמן")+0.5*COUNTIF(S19:Z19,"לפעמים"))/(COUNTIF(S19:Z19,"רוב הזמן")+COUNTIF(S19:Z19,"לפעמים")+COUNTIF(S19:Z19,"עדיין לא")),""))</f>
        <v/>
      </c>
      <c r="AN19" s="37">
        <f>IF($A19="","",IFERROR(1-SUMPRODUCT(ABS((K19:R19="כן")-((S19:Z19="רוב הזמן")+0.5*(S19:Z19="לפעמים")))*(((K19:R19="כן")+(K19:R19="לא"))*((S19:Z19="רוב הזמן")+(S19:Z19="לפעמים")+(S19:Z19="עדיין לא"))))/SUMPRODUCT((((K19:R19="כן")+(K19:R19="לא"))*((S19:Z19="רוב הזמן")+(S19:Z19="לפעמים")+(S19:Z19="עדיין לא")))),""))</f>
        <v/>
      </c>
      <c r="AO19" s="36">
        <f>IF($A19="","",SUMPRODUCT((((K19:R19="כן")-((S19:Z19="רוב הזמן")+0.5*(S19:Z19="לפעמים")))&gt;0.01)*(((K19:R19="כן")+(K19:R19="לא"))*((S19:Z19="רוב הזמן")+(S19:Z19="לפעמים")+(S19:Z19="עדיין לא")))))</f>
        <v/>
      </c>
      <c r="AP19" s="36">
        <f>IF($A19="","",SUMPRODUCT(((((S19:Z19="רוב הזמן")+0.5*(S19:Z19="לפעמים"))-(K19:R19="כן"))&gt;0.01)*(((K19:R19="כן")+(K19:R19="לא"))*((S19:Z19="רוב הזמן")+(S19:Z19="לפעמים")+(S19:Z19="עדיין לא")))))</f>
        <v/>
      </c>
      <c r="AQ19" s="36">
        <f>IF($A19="","",COUNTIF(AA19:AC19,"כן"))</f>
        <v/>
      </c>
      <c r="AR19" s="38" t="n"/>
      <c r="AS19" s="38" t="n"/>
      <c r="AT19" s="38" t="n"/>
      <c r="AU19" s="38" t="n"/>
      <c r="AV19" s="36">
        <f>IF($A19="","",IF(AND(AR19="",AT19=""),"לא נבדק",IF(AND(OR(AR19="",AR19=AS19),OR(AT19="",AT19=AU19)),"תואם","לא תואם")))</f>
        <v/>
      </c>
      <c r="AW19" s="36">
        <f>IF($A19="","",IF(AND(AV19&lt;&gt;"לא תואם",G19&lt;&gt;"לא ברור"),"אמין","לפרש בזהירות"))</f>
        <v/>
      </c>
    </row>
    <row r="20">
      <c r="A20" s="38" t="n"/>
      <c r="B20" s="38" t="n"/>
      <c r="C20" s="38" t="n"/>
      <c r="D20" s="38" t="n"/>
      <c r="E20" s="38" t="n"/>
      <c r="F20" s="38" t="n"/>
      <c r="G20" s="38" t="n"/>
      <c r="H20" s="38" t="n"/>
      <c r="I20" s="38" t="n"/>
      <c r="J20" s="38" t="n"/>
      <c r="K20" s="38" t="n"/>
      <c r="L20" s="38" t="n"/>
      <c r="M20" s="38" t="n"/>
      <c r="N20" s="38" t="n"/>
      <c r="O20" s="38" t="n"/>
      <c r="P20" s="38" t="n"/>
      <c r="Q20" s="38" t="n"/>
      <c r="R20" s="38" t="n"/>
      <c r="S20" s="38" t="n"/>
      <c r="T20" s="38" t="n"/>
      <c r="U20" s="38" t="n"/>
      <c r="V20" s="38" t="n"/>
      <c r="W20" s="38" t="n"/>
      <c r="X20" s="38" t="n"/>
      <c r="Y20" s="38" t="n"/>
      <c r="Z20" s="38" t="n"/>
      <c r="AA20" s="38" t="n"/>
      <c r="AB20" s="38" t="n"/>
      <c r="AC20" s="38" t="n"/>
      <c r="AD20" s="38" t="n"/>
      <c r="AE20" s="38" t="n"/>
      <c r="AF20" s="36">
        <f>IF($A20="","",$A20&amp;"|"&amp;$C20)</f>
        <v/>
      </c>
      <c r="AG20" s="36">
        <f>IF($A20="","",IF(OR(H20="לא נבדק",H20=""),"לא נבדק",IF(AND(H20="בחר/ה בעצמו/ה",I20="כן",J20="לא"),"מלא",IF(OR(H20="בחר/ה בעצמו/ה",I20="כן"),"חלקי","עדיין לא"))))</f>
        <v/>
      </c>
      <c r="AH20" s="37">
        <f>IF($A20="","",IFERROR(COUNTIF(K20:L20,"כן")/(COUNTIF(K20:L20,"כן")+COUNTIF(K20:L20,"לא")),""))</f>
        <v/>
      </c>
      <c r="AI20" s="37">
        <f>IF($A20="","",IFERROR(COUNTIF(M20:N20,"כן")/(COUNTIF(M20:N20,"כן")+COUNTIF(M20:N20,"לא")),""))</f>
        <v/>
      </c>
      <c r="AJ20" s="37">
        <f>IF($A20="","",IFERROR(COUNTIF(O20:P20,"כן")/(COUNTIF(O20:P20,"כן")+COUNTIF(O20:P20,"לא")),""))</f>
        <v/>
      </c>
      <c r="AK20" s="37">
        <f>IF($A20="","",IFERROR(COUNTIF(Q20:R20,"כן")/(COUNTIF(Q20:R20,"כן")+COUNTIF(Q20:R20,"לא")),""))</f>
        <v/>
      </c>
      <c r="AL20" s="37">
        <f>IF($A20="","",IFERROR(COUNTIF(K20:R20,"כן")/(COUNTIF(K20:R20,"כן")+COUNTIF(K20:R20,"לא")),""))</f>
        <v/>
      </c>
      <c r="AM20" s="37">
        <f>IF($A20="","",IFERROR((COUNTIF(S20:Z20,"רוב הזמן")+0.5*COUNTIF(S20:Z20,"לפעמים"))/(COUNTIF(S20:Z20,"רוב הזמן")+COUNTIF(S20:Z20,"לפעמים")+COUNTIF(S20:Z20,"עדיין לא")),""))</f>
        <v/>
      </c>
      <c r="AN20" s="37">
        <f>IF($A20="","",IFERROR(1-SUMPRODUCT(ABS((K20:R20="כן")-((S20:Z20="רוב הזמן")+0.5*(S20:Z20="לפעמים")))*(((K20:R20="כן")+(K20:R20="לא"))*((S20:Z20="רוב הזמן")+(S20:Z20="לפעמים")+(S20:Z20="עדיין לא"))))/SUMPRODUCT((((K20:R20="כן")+(K20:R20="לא"))*((S20:Z20="רוב הזמן")+(S20:Z20="לפעמים")+(S20:Z20="עדיין לא")))),""))</f>
        <v/>
      </c>
      <c r="AO20" s="36">
        <f>IF($A20="","",SUMPRODUCT((((K20:R20="כן")-((S20:Z20="רוב הזמן")+0.5*(S20:Z20="לפעמים")))&gt;0.01)*(((K20:R20="כן")+(K20:R20="לא"))*((S20:Z20="רוב הזמן")+(S20:Z20="לפעמים")+(S20:Z20="עדיין לא")))))</f>
        <v/>
      </c>
      <c r="AP20" s="36">
        <f>IF($A20="","",SUMPRODUCT(((((S20:Z20="רוב הזמן")+0.5*(S20:Z20="לפעמים"))-(K20:R20="כן"))&gt;0.01)*(((K20:R20="כן")+(K20:R20="לא"))*((S20:Z20="רוב הזמן")+(S20:Z20="לפעמים")+(S20:Z20="עדיין לא")))))</f>
        <v/>
      </c>
      <c r="AQ20" s="36">
        <f>IF($A20="","",COUNTIF(AA20:AC20,"כן"))</f>
        <v/>
      </c>
      <c r="AR20" s="38" t="n"/>
      <c r="AS20" s="38" t="n"/>
      <c r="AT20" s="38" t="n"/>
      <c r="AU20" s="38" t="n"/>
      <c r="AV20" s="36">
        <f>IF($A20="","",IF(AND(AR20="",AT20=""),"לא נבדק",IF(AND(OR(AR20="",AR20=AS20),OR(AT20="",AT20=AU20)),"תואם","לא תואם")))</f>
        <v/>
      </c>
      <c r="AW20" s="36">
        <f>IF($A20="","",IF(AND(AV20&lt;&gt;"לא תואם",G20&lt;&gt;"לא ברור"),"אמין","לפרש בזהירות"))</f>
        <v/>
      </c>
    </row>
    <row r="21">
      <c r="A21" s="38" t="n"/>
      <c r="B21" s="38" t="n"/>
      <c r="C21" s="38" t="n"/>
      <c r="D21" s="38" t="n"/>
      <c r="E21" s="38" t="n"/>
      <c r="F21" s="38" t="n"/>
      <c r="G21" s="38" t="n"/>
      <c r="H21" s="38" t="n"/>
      <c r="I21" s="38" t="n"/>
      <c r="J21" s="38" t="n"/>
      <c r="K21" s="38" t="n"/>
      <c r="L21" s="38" t="n"/>
      <c r="M21" s="38" t="n"/>
      <c r="N21" s="38" t="n"/>
      <c r="O21" s="38" t="n"/>
      <c r="P21" s="38" t="n"/>
      <c r="Q21" s="38" t="n"/>
      <c r="R21" s="38" t="n"/>
      <c r="S21" s="38" t="n"/>
      <c r="T21" s="38" t="n"/>
      <c r="U21" s="38" t="n"/>
      <c r="V21" s="38" t="n"/>
      <c r="W21" s="38" t="n"/>
      <c r="X21" s="38" t="n"/>
      <c r="Y21" s="38" t="n"/>
      <c r="Z21" s="38" t="n"/>
      <c r="AA21" s="38" t="n"/>
      <c r="AB21" s="38" t="n"/>
      <c r="AC21" s="38" t="n"/>
      <c r="AD21" s="38" t="n"/>
      <c r="AE21" s="38" t="n"/>
      <c r="AF21" s="36">
        <f>IF($A21="","",$A21&amp;"|"&amp;$C21)</f>
        <v/>
      </c>
      <c r="AG21" s="36">
        <f>IF($A21="","",IF(OR(H21="לא נבדק",H21=""),"לא נבדק",IF(AND(H21="בחר/ה בעצמו/ה",I21="כן",J21="לא"),"מלא",IF(OR(H21="בחר/ה בעצמו/ה",I21="כן"),"חלקי","עדיין לא"))))</f>
        <v/>
      </c>
      <c r="AH21" s="37">
        <f>IF($A21="","",IFERROR(COUNTIF(K21:L21,"כן")/(COUNTIF(K21:L21,"כן")+COUNTIF(K21:L21,"לא")),""))</f>
        <v/>
      </c>
      <c r="AI21" s="37">
        <f>IF($A21="","",IFERROR(COUNTIF(M21:N21,"כן")/(COUNTIF(M21:N21,"כן")+COUNTIF(M21:N21,"לא")),""))</f>
        <v/>
      </c>
      <c r="AJ21" s="37">
        <f>IF($A21="","",IFERROR(COUNTIF(O21:P21,"כן")/(COUNTIF(O21:P21,"כן")+COUNTIF(O21:P21,"לא")),""))</f>
        <v/>
      </c>
      <c r="AK21" s="37">
        <f>IF($A21="","",IFERROR(COUNTIF(Q21:R21,"כן")/(COUNTIF(Q21:R21,"כן")+COUNTIF(Q21:R21,"לא")),""))</f>
        <v/>
      </c>
      <c r="AL21" s="37">
        <f>IF($A21="","",IFERROR(COUNTIF(K21:R21,"כן")/(COUNTIF(K21:R21,"כן")+COUNTIF(K21:R21,"לא")),""))</f>
        <v/>
      </c>
      <c r="AM21" s="37">
        <f>IF($A21="","",IFERROR((COUNTIF(S21:Z21,"רוב הזמן")+0.5*COUNTIF(S21:Z21,"לפעמים"))/(COUNTIF(S21:Z21,"רוב הזמן")+COUNTIF(S21:Z21,"לפעמים")+COUNTIF(S21:Z21,"עדיין לא")),""))</f>
        <v/>
      </c>
      <c r="AN21" s="37">
        <f>IF($A21="","",IFERROR(1-SUMPRODUCT(ABS((K21:R21="כן")-((S21:Z21="רוב הזמן")+0.5*(S21:Z21="לפעמים")))*(((K21:R21="כן")+(K21:R21="לא"))*((S21:Z21="רוב הזמן")+(S21:Z21="לפעמים")+(S21:Z21="עדיין לא"))))/SUMPRODUCT((((K21:R21="כן")+(K21:R21="לא"))*((S21:Z21="רוב הזמן")+(S21:Z21="לפעמים")+(S21:Z21="עדיין לא")))),""))</f>
        <v/>
      </c>
      <c r="AO21" s="36">
        <f>IF($A21="","",SUMPRODUCT((((K21:R21="כן")-((S21:Z21="רוב הזמן")+0.5*(S21:Z21="לפעמים")))&gt;0.01)*(((K21:R21="כן")+(K21:R21="לא"))*((S21:Z21="רוב הזמן")+(S21:Z21="לפעמים")+(S21:Z21="עדיין לא")))))</f>
        <v/>
      </c>
      <c r="AP21" s="36">
        <f>IF($A21="","",SUMPRODUCT(((((S21:Z21="רוב הזמן")+0.5*(S21:Z21="לפעמים"))-(K21:R21="כן"))&gt;0.01)*(((K21:R21="כן")+(K21:R21="לא"))*((S21:Z21="רוב הזמן")+(S21:Z21="לפעמים")+(S21:Z21="עדיין לא")))))</f>
        <v/>
      </c>
      <c r="AQ21" s="36">
        <f>IF($A21="","",COUNTIF(AA21:AC21,"כן"))</f>
        <v/>
      </c>
      <c r="AR21" s="38" t="n"/>
      <c r="AS21" s="38" t="n"/>
      <c r="AT21" s="38" t="n"/>
      <c r="AU21" s="38" t="n"/>
      <c r="AV21" s="36">
        <f>IF($A21="","",IF(AND(AR21="",AT21=""),"לא נבדק",IF(AND(OR(AR21="",AR21=AS21),OR(AT21="",AT21=AU21)),"תואם","לא תואם")))</f>
        <v/>
      </c>
      <c r="AW21" s="36">
        <f>IF($A21="","",IF(AND(AV21&lt;&gt;"לא תואם",G21&lt;&gt;"לא ברור"),"אמין","לפרש בזהירות"))</f>
        <v/>
      </c>
    </row>
    <row r="22">
      <c r="A22" s="38" t="n"/>
      <c r="B22" s="38" t="n"/>
      <c r="C22" s="38" t="n"/>
      <c r="D22" s="38" t="n"/>
      <c r="E22" s="38" t="n"/>
      <c r="F22" s="38" t="n"/>
      <c r="G22" s="38" t="n"/>
      <c r="H22" s="38" t="n"/>
      <c r="I22" s="38" t="n"/>
      <c r="J22" s="38" t="n"/>
      <c r="K22" s="38" t="n"/>
      <c r="L22" s="38" t="n"/>
      <c r="M22" s="38" t="n"/>
      <c r="N22" s="38" t="n"/>
      <c r="O22" s="38" t="n"/>
      <c r="P22" s="38" t="n"/>
      <c r="Q22" s="38" t="n"/>
      <c r="R22" s="38" t="n"/>
      <c r="S22" s="38" t="n"/>
      <c r="T22" s="38" t="n"/>
      <c r="U22" s="38" t="n"/>
      <c r="V22" s="38" t="n"/>
      <c r="W22" s="38" t="n"/>
      <c r="X22" s="38" t="n"/>
      <c r="Y22" s="38" t="n"/>
      <c r="Z22" s="38" t="n"/>
      <c r="AA22" s="38" t="n"/>
      <c r="AB22" s="38" t="n"/>
      <c r="AC22" s="38" t="n"/>
      <c r="AD22" s="38" t="n"/>
      <c r="AE22" s="38" t="n"/>
      <c r="AF22" s="36">
        <f>IF($A22="","",$A22&amp;"|"&amp;$C22)</f>
        <v/>
      </c>
      <c r="AG22" s="36">
        <f>IF($A22="","",IF(OR(H22="לא נבדק",H22=""),"לא נבדק",IF(AND(H22="בחר/ה בעצמו/ה",I22="כן",J22="לא"),"מלא",IF(OR(H22="בחר/ה בעצמו/ה",I22="כן"),"חלקי","עדיין לא"))))</f>
        <v/>
      </c>
      <c r="AH22" s="37">
        <f>IF($A22="","",IFERROR(COUNTIF(K22:L22,"כן")/(COUNTIF(K22:L22,"כן")+COUNTIF(K22:L22,"לא")),""))</f>
        <v/>
      </c>
      <c r="AI22" s="37">
        <f>IF($A22="","",IFERROR(COUNTIF(M22:N22,"כן")/(COUNTIF(M22:N22,"כן")+COUNTIF(M22:N22,"לא")),""))</f>
        <v/>
      </c>
      <c r="AJ22" s="37">
        <f>IF($A22="","",IFERROR(COUNTIF(O22:P22,"כן")/(COUNTIF(O22:P22,"כן")+COUNTIF(O22:P22,"לא")),""))</f>
        <v/>
      </c>
      <c r="AK22" s="37">
        <f>IF($A22="","",IFERROR(COUNTIF(Q22:R22,"כן")/(COUNTIF(Q22:R22,"כן")+COUNTIF(Q22:R22,"לא")),""))</f>
        <v/>
      </c>
      <c r="AL22" s="37">
        <f>IF($A22="","",IFERROR(COUNTIF(K22:R22,"כן")/(COUNTIF(K22:R22,"כן")+COUNTIF(K22:R22,"לא")),""))</f>
        <v/>
      </c>
      <c r="AM22" s="37">
        <f>IF($A22="","",IFERROR((COUNTIF(S22:Z22,"רוב הזמן")+0.5*COUNTIF(S22:Z22,"לפעמים"))/(COUNTIF(S22:Z22,"רוב הזמן")+COUNTIF(S22:Z22,"לפעמים")+COUNTIF(S22:Z22,"עדיין לא")),""))</f>
        <v/>
      </c>
      <c r="AN22" s="37">
        <f>IF($A22="","",IFERROR(1-SUMPRODUCT(ABS((K22:R22="כן")-((S22:Z22="רוב הזמן")+0.5*(S22:Z22="לפעמים")))*(((K22:R22="כן")+(K22:R22="לא"))*((S22:Z22="רוב הזמן")+(S22:Z22="לפעמים")+(S22:Z22="עדיין לא"))))/SUMPRODUCT((((K22:R22="כן")+(K22:R22="לא"))*((S22:Z22="רוב הזמן")+(S22:Z22="לפעמים")+(S22:Z22="עדיין לא")))),""))</f>
        <v/>
      </c>
      <c r="AO22" s="36">
        <f>IF($A22="","",SUMPRODUCT((((K22:R22="כן")-((S22:Z22="רוב הזמן")+0.5*(S22:Z22="לפעמים")))&gt;0.01)*(((K22:R22="כן")+(K22:R22="לא"))*((S22:Z22="רוב הזמן")+(S22:Z22="לפעמים")+(S22:Z22="עדיין לא")))))</f>
        <v/>
      </c>
      <c r="AP22" s="36">
        <f>IF($A22="","",SUMPRODUCT(((((S22:Z22="רוב הזמן")+0.5*(S22:Z22="לפעמים"))-(K22:R22="כן"))&gt;0.01)*(((K22:R22="כן")+(K22:R22="לא"))*((S22:Z22="רוב הזמן")+(S22:Z22="לפעמים")+(S22:Z22="עדיין לא")))))</f>
        <v/>
      </c>
      <c r="AQ22" s="36">
        <f>IF($A22="","",COUNTIF(AA22:AC22,"כן"))</f>
        <v/>
      </c>
      <c r="AR22" s="38" t="n"/>
      <c r="AS22" s="38" t="n"/>
      <c r="AT22" s="38" t="n"/>
      <c r="AU22" s="38" t="n"/>
      <c r="AV22" s="36">
        <f>IF($A22="","",IF(AND(AR22="",AT22=""),"לא נבדק",IF(AND(OR(AR22="",AR22=AS22),OR(AT22="",AT22=AU22)),"תואם","לא תואם")))</f>
        <v/>
      </c>
      <c r="AW22" s="36">
        <f>IF($A22="","",IF(AND(AV22&lt;&gt;"לא תואם",G22&lt;&gt;"לא ברור"),"אמין","לפרש בזהירות"))</f>
        <v/>
      </c>
    </row>
    <row r="23">
      <c r="A23" s="38" t="n"/>
      <c r="B23" s="38" t="n"/>
      <c r="C23" s="38" t="n"/>
      <c r="D23" s="38" t="n"/>
      <c r="E23" s="38" t="n"/>
      <c r="F23" s="38" t="n"/>
      <c r="G23" s="38" t="n"/>
      <c r="H23" s="38" t="n"/>
      <c r="I23" s="38" t="n"/>
      <c r="J23" s="38" t="n"/>
      <c r="K23" s="38" t="n"/>
      <c r="L23" s="38" t="n"/>
      <c r="M23" s="38" t="n"/>
      <c r="N23" s="38" t="n"/>
      <c r="O23" s="38" t="n"/>
      <c r="P23" s="38" t="n"/>
      <c r="Q23" s="38" t="n"/>
      <c r="R23" s="38" t="n"/>
      <c r="S23" s="38" t="n"/>
      <c r="T23" s="38" t="n"/>
      <c r="U23" s="38" t="n"/>
      <c r="V23" s="38" t="n"/>
      <c r="W23" s="38" t="n"/>
      <c r="X23" s="38" t="n"/>
      <c r="Y23" s="38" t="n"/>
      <c r="Z23" s="38" t="n"/>
      <c r="AA23" s="38" t="n"/>
      <c r="AB23" s="38" t="n"/>
      <c r="AC23" s="38" t="n"/>
      <c r="AD23" s="38" t="n"/>
      <c r="AE23" s="38" t="n"/>
      <c r="AF23" s="36">
        <f>IF($A23="","",$A23&amp;"|"&amp;$C23)</f>
        <v/>
      </c>
      <c r="AG23" s="36">
        <f>IF($A23="","",IF(OR(H23="לא נבדק",H23=""),"לא נבדק",IF(AND(H23="בחר/ה בעצמו/ה",I23="כן",J23="לא"),"מלא",IF(OR(H23="בחר/ה בעצמו/ה",I23="כן"),"חלקי","עדיין לא"))))</f>
        <v/>
      </c>
      <c r="AH23" s="37">
        <f>IF($A23="","",IFERROR(COUNTIF(K23:L23,"כן")/(COUNTIF(K23:L23,"כן")+COUNTIF(K23:L23,"לא")),""))</f>
        <v/>
      </c>
      <c r="AI23" s="37">
        <f>IF($A23="","",IFERROR(COUNTIF(M23:N23,"כן")/(COUNTIF(M23:N23,"כן")+COUNTIF(M23:N23,"לא")),""))</f>
        <v/>
      </c>
      <c r="AJ23" s="37">
        <f>IF($A23="","",IFERROR(COUNTIF(O23:P23,"כן")/(COUNTIF(O23:P23,"כן")+COUNTIF(O23:P23,"לא")),""))</f>
        <v/>
      </c>
      <c r="AK23" s="37">
        <f>IF($A23="","",IFERROR(COUNTIF(Q23:R23,"כן")/(COUNTIF(Q23:R23,"כן")+COUNTIF(Q23:R23,"לא")),""))</f>
        <v/>
      </c>
      <c r="AL23" s="37">
        <f>IF($A23="","",IFERROR(COUNTIF(K23:R23,"כן")/(COUNTIF(K23:R23,"כן")+COUNTIF(K23:R23,"לא")),""))</f>
        <v/>
      </c>
      <c r="AM23" s="37">
        <f>IF($A23="","",IFERROR((COUNTIF(S23:Z23,"רוב הזמן")+0.5*COUNTIF(S23:Z23,"לפעמים"))/(COUNTIF(S23:Z23,"רוב הזמן")+COUNTIF(S23:Z23,"לפעמים")+COUNTIF(S23:Z23,"עדיין לא")),""))</f>
        <v/>
      </c>
      <c r="AN23" s="37">
        <f>IF($A23="","",IFERROR(1-SUMPRODUCT(ABS((K23:R23="כן")-((S23:Z23="רוב הזמן")+0.5*(S23:Z23="לפעמים")))*(((K23:R23="כן")+(K23:R23="לא"))*((S23:Z23="רוב הזמן")+(S23:Z23="לפעמים")+(S23:Z23="עדיין לא"))))/SUMPRODUCT((((K23:R23="כן")+(K23:R23="לא"))*((S23:Z23="רוב הזמן")+(S23:Z23="לפעמים")+(S23:Z23="עדיין לא")))),""))</f>
        <v/>
      </c>
      <c r="AO23" s="36">
        <f>IF($A23="","",SUMPRODUCT((((K23:R23="כן")-((S23:Z23="רוב הזמן")+0.5*(S23:Z23="לפעמים")))&gt;0.01)*(((K23:R23="כן")+(K23:R23="לא"))*((S23:Z23="רוב הזמן")+(S23:Z23="לפעמים")+(S23:Z23="עדיין לא")))))</f>
        <v/>
      </c>
      <c r="AP23" s="36">
        <f>IF($A23="","",SUMPRODUCT(((((S23:Z23="רוב הזמן")+0.5*(S23:Z23="לפעמים"))-(K23:R23="כן"))&gt;0.01)*(((K23:R23="כן")+(K23:R23="לא"))*((S23:Z23="רוב הזמן")+(S23:Z23="לפעמים")+(S23:Z23="עדיין לא")))))</f>
        <v/>
      </c>
      <c r="AQ23" s="36">
        <f>IF($A23="","",COUNTIF(AA23:AC23,"כן"))</f>
        <v/>
      </c>
      <c r="AR23" s="38" t="n"/>
      <c r="AS23" s="38" t="n"/>
      <c r="AT23" s="38" t="n"/>
      <c r="AU23" s="38" t="n"/>
      <c r="AV23" s="36">
        <f>IF($A23="","",IF(AND(AR23="",AT23=""),"לא נבדק",IF(AND(OR(AR23="",AR23=AS23),OR(AT23="",AT23=AU23)),"תואם","לא תואם")))</f>
        <v/>
      </c>
      <c r="AW23" s="36">
        <f>IF($A23="","",IF(AND(AV23&lt;&gt;"לא תואם",G23&lt;&gt;"לא ברור"),"אמין","לפרש בזהירות"))</f>
        <v/>
      </c>
    </row>
    <row r="24">
      <c r="A24" s="38" t="n"/>
      <c r="B24" s="38" t="n"/>
      <c r="C24" s="38" t="n"/>
      <c r="D24" s="38" t="n"/>
      <c r="E24" s="38" t="n"/>
      <c r="F24" s="38" t="n"/>
      <c r="G24" s="38" t="n"/>
      <c r="H24" s="38" t="n"/>
      <c r="I24" s="38" t="n"/>
      <c r="J24" s="38" t="n"/>
      <c r="K24" s="38" t="n"/>
      <c r="L24" s="38" t="n"/>
      <c r="M24" s="38" t="n"/>
      <c r="N24" s="38" t="n"/>
      <c r="O24" s="38" t="n"/>
      <c r="P24" s="38" t="n"/>
      <c r="Q24" s="38" t="n"/>
      <c r="R24" s="38" t="n"/>
      <c r="S24" s="38" t="n"/>
      <c r="T24" s="38" t="n"/>
      <c r="U24" s="38" t="n"/>
      <c r="V24" s="38" t="n"/>
      <c r="W24" s="38" t="n"/>
      <c r="X24" s="38" t="n"/>
      <c r="Y24" s="38" t="n"/>
      <c r="Z24" s="38" t="n"/>
      <c r="AA24" s="38" t="n"/>
      <c r="AB24" s="38" t="n"/>
      <c r="AC24" s="38" t="n"/>
      <c r="AD24" s="38" t="n"/>
      <c r="AE24" s="38" t="n"/>
      <c r="AF24" s="36">
        <f>IF($A24="","",$A24&amp;"|"&amp;$C24)</f>
        <v/>
      </c>
      <c r="AG24" s="36">
        <f>IF($A24="","",IF(OR(H24="לא נבדק",H24=""),"לא נבדק",IF(AND(H24="בחר/ה בעצמו/ה",I24="כן",J24="לא"),"מלא",IF(OR(H24="בחר/ה בעצמו/ה",I24="כן"),"חלקי","עדיין לא"))))</f>
        <v/>
      </c>
      <c r="AH24" s="37">
        <f>IF($A24="","",IFERROR(COUNTIF(K24:L24,"כן")/(COUNTIF(K24:L24,"כן")+COUNTIF(K24:L24,"לא")),""))</f>
        <v/>
      </c>
      <c r="AI24" s="37">
        <f>IF($A24="","",IFERROR(COUNTIF(M24:N24,"כן")/(COUNTIF(M24:N24,"כן")+COUNTIF(M24:N24,"לא")),""))</f>
        <v/>
      </c>
      <c r="AJ24" s="37">
        <f>IF($A24="","",IFERROR(COUNTIF(O24:P24,"כן")/(COUNTIF(O24:P24,"כן")+COUNTIF(O24:P24,"לא")),""))</f>
        <v/>
      </c>
      <c r="AK24" s="37">
        <f>IF($A24="","",IFERROR(COUNTIF(Q24:R24,"כן")/(COUNTIF(Q24:R24,"כן")+COUNTIF(Q24:R24,"לא")),""))</f>
        <v/>
      </c>
      <c r="AL24" s="37">
        <f>IF($A24="","",IFERROR(COUNTIF(K24:R24,"כן")/(COUNTIF(K24:R24,"כן")+COUNTIF(K24:R24,"לא")),""))</f>
        <v/>
      </c>
      <c r="AM24" s="37">
        <f>IF($A24="","",IFERROR((COUNTIF(S24:Z24,"רוב הזמן")+0.5*COUNTIF(S24:Z24,"לפעמים"))/(COUNTIF(S24:Z24,"רוב הזמן")+COUNTIF(S24:Z24,"לפעמים")+COUNTIF(S24:Z24,"עדיין לא")),""))</f>
        <v/>
      </c>
      <c r="AN24" s="37">
        <f>IF($A24="","",IFERROR(1-SUMPRODUCT(ABS((K24:R24="כן")-((S24:Z24="רוב הזמן")+0.5*(S24:Z24="לפעמים")))*(((K24:R24="כן")+(K24:R24="לא"))*((S24:Z24="רוב הזמן")+(S24:Z24="לפעמים")+(S24:Z24="עדיין לא"))))/SUMPRODUCT((((K24:R24="כן")+(K24:R24="לא"))*((S24:Z24="רוב הזמן")+(S24:Z24="לפעמים")+(S24:Z24="עדיין לא")))),""))</f>
        <v/>
      </c>
      <c r="AO24" s="36">
        <f>IF($A24="","",SUMPRODUCT((((K24:R24="כן")-((S24:Z24="רוב הזמן")+0.5*(S24:Z24="לפעמים")))&gt;0.01)*(((K24:R24="כן")+(K24:R24="לא"))*((S24:Z24="רוב הזמן")+(S24:Z24="לפעמים")+(S24:Z24="עדיין לא")))))</f>
        <v/>
      </c>
      <c r="AP24" s="36">
        <f>IF($A24="","",SUMPRODUCT(((((S24:Z24="רוב הזמן")+0.5*(S24:Z24="לפעמים"))-(K24:R24="כן"))&gt;0.01)*(((K24:R24="כן")+(K24:R24="לא"))*((S24:Z24="רוב הזמן")+(S24:Z24="לפעמים")+(S24:Z24="עדיין לא")))))</f>
        <v/>
      </c>
      <c r="AQ24" s="36">
        <f>IF($A24="","",COUNTIF(AA24:AC24,"כן"))</f>
        <v/>
      </c>
      <c r="AR24" s="38" t="n"/>
      <c r="AS24" s="38" t="n"/>
      <c r="AT24" s="38" t="n"/>
      <c r="AU24" s="38" t="n"/>
      <c r="AV24" s="36">
        <f>IF($A24="","",IF(AND(AR24="",AT24=""),"לא נבדק",IF(AND(OR(AR24="",AR24=AS24),OR(AT24="",AT24=AU24)),"תואם","לא תואם")))</f>
        <v/>
      </c>
      <c r="AW24" s="36">
        <f>IF($A24="","",IF(AND(AV24&lt;&gt;"לא תואם",G24&lt;&gt;"לא ברור"),"אמין","לפרש בזהירות"))</f>
        <v/>
      </c>
    </row>
    <row r="25">
      <c r="A25" s="38" t="n"/>
      <c r="B25" s="38" t="n"/>
      <c r="C25" s="38" t="n"/>
      <c r="D25" s="38" t="n"/>
      <c r="E25" s="38" t="n"/>
      <c r="F25" s="38" t="n"/>
      <c r="G25" s="38" t="n"/>
      <c r="H25" s="38" t="n"/>
      <c r="I25" s="38" t="n"/>
      <c r="J25" s="38" t="n"/>
      <c r="K25" s="38" t="n"/>
      <c r="L25" s="38" t="n"/>
      <c r="M25" s="38" t="n"/>
      <c r="N25" s="38" t="n"/>
      <c r="O25" s="38" t="n"/>
      <c r="P25" s="38" t="n"/>
      <c r="Q25" s="38" t="n"/>
      <c r="R25" s="38" t="n"/>
      <c r="S25" s="38" t="n"/>
      <c r="T25" s="38" t="n"/>
      <c r="U25" s="38" t="n"/>
      <c r="V25" s="38" t="n"/>
      <c r="W25" s="38" t="n"/>
      <c r="X25" s="38" t="n"/>
      <c r="Y25" s="38" t="n"/>
      <c r="Z25" s="38" t="n"/>
      <c r="AA25" s="38" t="n"/>
      <c r="AB25" s="38" t="n"/>
      <c r="AC25" s="38" t="n"/>
      <c r="AD25" s="38" t="n"/>
      <c r="AE25" s="38" t="n"/>
      <c r="AF25" s="36">
        <f>IF($A25="","",$A25&amp;"|"&amp;$C25)</f>
        <v/>
      </c>
      <c r="AG25" s="36">
        <f>IF($A25="","",IF(OR(H25="לא נבדק",H25=""),"לא נבדק",IF(AND(H25="בחר/ה בעצמו/ה",I25="כן",J25="לא"),"מלא",IF(OR(H25="בחר/ה בעצמו/ה",I25="כן"),"חלקי","עדיין לא"))))</f>
        <v/>
      </c>
      <c r="AH25" s="37">
        <f>IF($A25="","",IFERROR(COUNTIF(K25:L25,"כן")/(COUNTIF(K25:L25,"כן")+COUNTIF(K25:L25,"לא")),""))</f>
        <v/>
      </c>
      <c r="AI25" s="37">
        <f>IF($A25="","",IFERROR(COUNTIF(M25:N25,"כן")/(COUNTIF(M25:N25,"כן")+COUNTIF(M25:N25,"לא")),""))</f>
        <v/>
      </c>
      <c r="AJ25" s="37">
        <f>IF($A25="","",IFERROR(COUNTIF(O25:P25,"כן")/(COUNTIF(O25:P25,"כן")+COUNTIF(O25:P25,"לא")),""))</f>
        <v/>
      </c>
      <c r="AK25" s="37">
        <f>IF($A25="","",IFERROR(COUNTIF(Q25:R25,"כן")/(COUNTIF(Q25:R25,"כן")+COUNTIF(Q25:R25,"לא")),""))</f>
        <v/>
      </c>
      <c r="AL25" s="37">
        <f>IF($A25="","",IFERROR(COUNTIF(K25:R25,"כן")/(COUNTIF(K25:R25,"כן")+COUNTIF(K25:R25,"לא")),""))</f>
        <v/>
      </c>
      <c r="AM25" s="37">
        <f>IF($A25="","",IFERROR((COUNTIF(S25:Z25,"רוב הזמן")+0.5*COUNTIF(S25:Z25,"לפעמים"))/(COUNTIF(S25:Z25,"רוב הזמן")+COUNTIF(S25:Z25,"לפעמים")+COUNTIF(S25:Z25,"עדיין לא")),""))</f>
        <v/>
      </c>
      <c r="AN25" s="37">
        <f>IF($A25="","",IFERROR(1-SUMPRODUCT(ABS((K25:R25="כן")-((S25:Z25="רוב הזמן")+0.5*(S25:Z25="לפעמים")))*(((K25:R25="כן")+(K25:R25="לא"))*((S25:Z25="רוב הזמן")+(S25:Z25="לפעמים")+(S25:Z25="עדיין לא"))))/SUMPRODUCT((((K25:R25="כן")+(K25:R25="לא"))*((S25:Z25="רוב הזמן")+(S25:Z25="לפעמים")+(S25:Z25="עדיין לא")))),""))</f>
        <v/>
      </c>
      <c r="AO25" s="36">
        <f>IF($A25="","",SUMPRODUCT((((K25:R25="כן")-((S25:Z25="רוב הזמן")+0.5*(S25:Z25="לפעמים")))&gt;0.01)*(((K25:R25="כן")+(K25:R25="לא"))*((S25:Z25="רוב הזמן")+(S25:Z25="לפעמים")+(S25:Z25="עדיין לא")))))</f>
        <v/>
      </c>
      <c r="AP25" s="36">
        <f>IF($A25="","",SUMPRODUCT(((((S25:Z25="רוב הזמן")+0.5*(S25:Z25="לפעמים"))-(K25:R25="כן"))&gt;0.01)*(((K25:R25="כן")+(K25:R25="לא"))*((S25:Z25="רוב הזמן")+(S25:Z25="לפעמים")+(S25:Z25="עדיין לא")))))</f>
        <v/>
      </c>
      <c r="AQ25" s="36">
        <f>IF($A25="","",COUNTIF(AA25:AC25,"כן"))</f>
        <v/>
      </c>
      <c r="AR25" s="38" t="n"/>
      <c r="AS25" s="38" t="n"/>
      <c r="AT25" s="38" t="n"/>
      <c r="AU25" s="38" t="n"/>
      <c r="AV25" s="36">
        <f>IF($A25="","",IF(AND(AR25="",AT25=""),"לא נבדק",IF(AND(OR(AR25="",AR25=AS25),OR(AT25="",AT25=AU25)),"תואם","לא תואם")))</f>
        <v/>
      </c>
      <c r="AW25" s="36">
        <f>IF($A25="","",IF(AND(AV25&lt;&gt;"לא תואם",G25&lt;&gt;"לא ברור"),"אמין","לפרש בזהירות"))</f>
        <v/>
      </c>
    </row>
    <row r="26">
      <c r="A26" s="38" t="n"/>
      <c r="B26" s="38" t="n"/>
      <c r="C26" s="38" t="n"/>
      <c r="D26" s="38" t="n"/>
      <c r="E26" s="38" t="n"/>
      <c r="F26" s="38" t="n"/>
      <c r="G26" s="38" t="n"/>
      <c r="H26" s="38" t="n"/>
      <c r="I26" s="38" t="n"/>
      <c r="J26" s="38" t="n"/>
      <c r="K26" s="38" t="n"/>
      <c r="L26" s="38" t="n"/>
      <c r="M26" s="38" t="n"/>
      <c r="N26" s="38" t="n"/>
      <c r="O26" s="38" t="n"/>
      <c r="P26" s="38" t="n"/>
      <c r="Q26" s="38" t="n"/>
      <c r="R26" s="38" t="n"/>
      <c r="S26" s="38" t="n"/>
      <c r="T26" s="38" t="n"/>
      <c r="U26" s="38" t="n"/>
      <c r="V26" s="38" t="n"/>
      <c r="W26" s="38" t="n"/>
      <c r="X26" s="38" t="n"/>
      <c r="Y26" s="38" t="n"/>
      <c r="Z26" s="38" t="n"/>
      <c r="AA26" s="38" t="n"/>
      <c r="AB26" s="38" t="n"/>
      <c r="AC26" s="38" t="n"/>
      <c r="AD26" s="38" t="n"/>
      <c r="AE26" s="38" t="n"/>
      <c r="AF26" s="36">
        <f>IF($A26="","",$A26&amp;"|"&amp;$C26)</f>
        <v/>
      </c>
      <c r="AG26" s="36">
        <f>IF($A26="","",IF(OR(H26="לא נבדק",H26=""),"לא נבדק",IF(AND(H26="בחר/ה בעצמו/ה",I26="כן",J26="לא"),"מלא",IF(OR(H26="בחר/ה בעצמו/ה",I26="כן"),"חלקי","עדיין לא"))))</f>
        <v/>
      </c>
      <c r="AH26" s="37">
        <f>IF($A26="","",IFERROR(COUNTIF(K26:L26,"כן")/(COUNTIF(K26:L26,"כן")+COUNTIF(K26:L26,"לא")),""))</f>
        <v/>
      </c>
      <c r="AI26" s="37">
        <f>IF($A26="","",IFERROR(COUNTIF(M26:N26,"כן")/(COUNTIF(M26:N26,"כן")+COUNTIF(M26:N26,"לא")),""))</f>
        <v/>
      </c>
      <c r="AJ26" s="37">
        <f>IF($A26="","",IFERROR(COUNTIF(O26:P26,"כן")/(COUNTIF(O26:P26,"כן")+COUNTIF(O26:P26,"לא")),""))</f>
        <v/>
      </c>
      <c r="AK26" s="37">
        <f>IF($A26="","",IFERROR(COUNTIF(Q26:R26,"כן")/(COUNTIF(Q26:R26,"כן")+COUNTIF(Q26:R26,"לא")),""))</f>
        <v/>
      </c>
      <c r="AL26" s="37">
        <f>IF($A26="","",IFERROR(COUNTIF(K26:R26,"כן")/(COUNTIF(K26:R26,"כן")+COUNTIF(K26:R26,"לא")),""))</f>
        <v/>
      </c>
      <c r="AM26" s="37">
        <f>IF($A26="","",IFERROR((COUNTIF(S26:Z26,"רוב הזמן")+0.5*COUNTIF(S26:Z26,"לפעמים"))/(COUNTIF(S26:Z26,"רוב הזמן")+COUNTIF(S26:Z26,"לפעמים")+COUNTIF(S26:Z26,"עדיין לא")),""))</f>
        <v/>
      </c>
      <c r="AN26" s="37">
        <f>IF($A26="","",IFERROR(1-SUMPRODUCT(ABS((K26:R26="כן")-((S26:Z26="רוב הזמן")+0.5*(S26:Z26="לפעמים")))*(((K26:R26="כן")+(K26:R26="לא"))*((S26:Z26="רוב הזמן")+(S26:Z26="לפעמים")+(S26:Z26="עדיין לא"))))/SUMPRODUCT((((K26:R26="כן")+(K26:R26="לא"))*((S26:Z26="רוב הזמן")+(S26:Z26="לפעמים")+(S26:Z26="עדיין לא")))),""))</f>
        <v/>
      </c>
      <c r="AO26" s="36">
        <f>IF($A26="","",SUMPRODUCT((((K26:R26="כן")-((S26:Z26="רוב הזמן")+0.5*(S26:Z26="לפעמים")))&gt;0.01)*(((K26:R26="כן")+(K26:R26="לא"))*((S26:Z26="רוב הזמן")+(S26:Z26="לפעמים")+(S26:Z26="עדיין לא")))))</f>
        <v/>
      </c>
      <c r="AP26" s="36">
        <f>IF($A26="","",SUMPRODUCT(((((S26:Z26="רוב הזמן")+0.5*(S26:Z26="לפעמים"))-(K26:R26="כן"))&gt;0.01)*(((K26:R26="כן")+(K26:R26="לא"))*((S26:Z26="רוב הזמן")+(S26:Z26="לפעמים")+(S26:Z26="עדיין לא")))))</f>
        <v/>
      </c>
      <c r="AQ26" s="36">
        <f>IF($A26="","",COUNTIF(AA26:AC26,"כן"))</f>
        <v/>
      </c>
      <c r="AR26" s="38" t="n"/>
      <c r="AS26" s="38" t="n"/>
      <c r="AT26" s="38" t="n"/>
      <c r="AU26" s="38" t="n"/>
      <c r="AV26" s="36">
        <f>IF($A26="","",IF(AND(AR26="",AT26=""),"לא נבדק",IF(AND(OR(AR26="",AR26=AS26),OR(AT26="",AT26=AU26)),"תואם","לא תואם")))</f>
        <v/>
      </c>
      <c r="AW26" s="36">
        <f>IF($A26="","",IF(AND(AV26&lt;&gt;"לא תואם",G26&lt;&gt;"לא ברור"),"אמין","לפרש בזהירות"))</f>
        <v/>
      </c>
    </row>
    <row r="27">
      <c r="A27" s="38" t="n"/>
      <c r="B27" s="38" t="n"/>
      <c r="C27" s="38" t="n"/>
      <c r="D27" s="38" t="n"/>
      <c r="E27" s="38" t="n"/>
      <c r="F27" s="38" t="n"/>
      <c r="G27" s="38" t="n"/>
      <c r="H27" s="38" t="n"/>
      <c r="I27" s="38" t="n"/>
      <c r="J27" s="38" t="n"/>
      <c r="K27" s="38" t="n"/>
      <c r="L27" s="38" t="n"/>
      <c r="M27" s="38" t="n"/>
      <c r="N27" s="38" t="n"/>
      <c r="O27" s="38" t="n"/>
      <c r="P27" s="38" t="n"/>
      <c r="Q27" s="38" t="n"/>
      <c r="R27" s="38" t="n"/>
      <c r="S27" s="38" t="n"/>
      <c r="T27" s="38" t="n"/>
      <c r="U27" s="38" t="n"/>
      <c r="V27" s="38" t="n"/>
      <c r="W27" s="38" t="n"/>
      <c r="X27" s="38" t="n"/>
      <c r="Y27" s="38" t="n"/>
      <c r="Z27" s="38" t="n"/>
      <c r="AA27" s="38" t="n"/>
      <c r="AB27" s="38" t="n"/>
      <c r="AC27" s="38" t="n"/>
      <c r="AD27" s="38" t="n"/>
      <c r="AE27" s="38" t="n"/>
      <c r="AF27" s="36">
        <f>IF($A27="","",$A27&amp;"|"&amp;$C27)</f>
        <v/>
      </c>
      <c r="AG27" s="36">
        <f>IF($A27="","",IF(OR(H27="לא נבדק",H27=""),"לא נבדק",IF(AND(H27="בחר/ה בעצמו/ה",I27="כן",J27="לא"),"מלא",IF(OR(H27="בחר/ה בעצמו/ה",I27="כן"),"חלקי","עדיין לא"))))</f>
        <v/>
      </c>
      <c r="AH27" s="37">
        <f>IF($A27="","",IFERROR(COUNTIF(K27:L27,"כן")/(COUNTIF(K27:L27,"כן")+COUNTIF(K27:L27,"לא")),""))</f>
        <v/>
      </c>
      <c r="AI27" s="37">
        <f>IF($A27="","",IFERROR(COUNTIF(M27:N27,"כן")/(COUNTIF(M27:N27,"כן")+COUNTIF(M27:N27,"לא")),""))</f>
        <v/>
      </c>
      <c r="AJ27" s="37">
        <f>IF($A27="","",IFERROR(COUNTIF(O27:P27,"כן")/(COUNTIF(O27:P27,"כן")+COUNTIF(O27:P27,"לא")),""))</f>
        <v/>
      </c>
      <c r="AK27" s="37">
        <f>IF($A27="","",IFERROR(COUNTIF(Q27:R27,"כן")/(COUNTIF(Q27:R27,"כן")+COUNTIF(Q27:R27,"לא")),""))</f>
        <v/>
      </c>
      <c r="AL27" s="37">
        <f>IF($A27="","",IFERROR(COUNTIF(K27:R27,"כן")/(COUNTIF(K27:R27,"כן")+COUNTIF(K27:R27,"לא")),""))</f>
        <v/>
      </c>
      <c r="AM27" s="37">
        <f>IF($A27="","",IFERROR((COUNTIF(S27:Z27,"רוב הזמן")+0.5*COUNTIF(S27:Z27,"לפעמים"))/(COUNTIF(S27:Z27,"רוב הזמן")+COUNTIF(S27:Z27,"לפעמים")+COUNTIF(S27:Z27,"עדיין לא")),""))</f>
        <v/>
      </c>
      <c r="AN27" s="37">
        <f>IF($A27="","",IFERROR(1-SUMPRODUCT(ABS((K27:R27="כן")-((S27:Z27="רוב הזמן")+0.5*(S27:Z27="לפעמים")))*(((K27:R27="כן")+(K27:R27="לא"))*((S27:Z27="רוב הזמן")+(S27:Z27="לפעמים")+(S27:Z27="עדיין לא"))))/SUMPRODUCT((((K27:R27="כן")+(K27:R27="לא"))*((S27:Z27="רוב הזמן")+(S27:Z27="לפעמים")+(S27:Z27="עדיין לא")))),""))</f>
        <v/>
      </c>
      <c r="AO27" s="36">
        <f>IF($A27="","",SUMPRODUCT((((K27:R27="כן")-((S27:Z27="רוב הזמן")+0.5*(S27:Z27="לפעמים")))&gt;0.01)*(((K27:R27="כן")+(K27:R27="לא"))*((S27:Z27="רוב הזמן")+(S27:Z27="לפעמים")+(S27:Z27="עדיין לא")))))</f>
        <v/>
      </c>
      <c r="AP27" s="36">
        <f>IF($A27="","",SUMPRODUCT(((((S27:Z27="רוב הזמן")+0.5*(S27:Z27="לפעמים"))-(K27:R27="כן"))&gt;0.01)*(((K27:R27="כן")+(K27:R27="לא"))*((S27:Z27="רוב הזמן")+(S27:Z27="לפעמים")+(S27:Z27="עדיין לא")))))</f>
        <v/>
      </c>
      <c r="AQ27" s="36">
        <f>IF($A27="","",COUNTIF(AA27:AC27,"כן"))</f>
        <v/>
      </c>
      <c r="AR27" s="38" t="n"/>
      <c r="AS27" s="38" t="n"/>
      <c r="AT27" s="38" t="n"/>
      <c r="AU27" s="38" t="n"/>
      <c r="AV27" s="36">
        <f>IF($A27="","",IF(AND(AR27="",AT27=""),"לא נבדק",IF(AND(OR(AR27="",AR27=AS27),OR(AT27="",AT27=AU27)),"תואם","לא תואם")))</f>
        <v/>
      </c>
      <c r="AW27" s="36">
        <f>IF($A27="","",IF(AND(AV27&lt;&gt;"לא תואם",G27&lt;&gt;"לא ברור"),"אמין","לפרש בזהירות"))</f>
        <v/>
      </c>
    </row>
    <row r="28">
      <c r="A28" s="38" t="n"/>
      <c r="B28" s="38" t="n"/>
      <c r="C28" s="38" t="n"/>
      <c r="D28" s="38" t="n"/>
      <c r="E28" s="38" t="n"/>
      <c r="F28" s="38" t="n"/>
      <c r="G28" s="38" t="n"/>
      <c r="H28" s="38" t="n"/>
      <c r="I28" s="38" t="n"/>
      <c r="J28" s="38" t="n"/>
      <c r="K28" s="38" t="n"/>
      <c r="L28" s="38" t="n"/>
      <c r="M28" s="38" t="n"/>
      <c r="N28" s="38" t="n"/>
      <c r="O28" s="38" t="n"/>
      <c r="P28" s="38" t="n"/>
      <c r="Q28" s="38" t="n"/>
      <c r="R28" s="38" t="n"/>
      <c r="S28" s="38" t="n"/>
      <c r="T28" s="38" t="n"/>
      <c r="U28" s="38" t="n"/>
      <c r="V28" s="38" t="n"/>
      <c r="W28" s="38" t="n"/>
      <c r="X28" s="38" t="n"/>
      <c r="Y28" s="38" t="n"/>
      <c r="Z28" s="38" t="n"/>
      <c r="AA28" s="38" t="n"/>
      <c r="AB28" s="38" t="n"/>
      <c r="AC28" s="38" t="n"/>
      <c r="AD28" s="38" t="n"/>
      <c r="AE28" s="38" t="n"/>
      <c r="AF28" s="36">
        <f>IF($A28="","",$A28&amp;"|"&amp;$C28)</f>
        <v/>
      </c>
      <c r="AG28" s="36">
        <f>IF($A28="","",IF(OR(H28="לא נבדק",H28=""),"לא נבדק",IF(AND(H28="בחר/ה בעצמו/ה",I28="כן",J28="לא"),"מלא",IF(OR(H28="בחר/ה בעצמו/ה",I28="כן"),"חלקי","עדיין לא"))))</f>
        <v/>
      </c>
      <c r="AH28" s="37">
        <f>IF($A28="","",IFERROR(COUNTIF(K28:L28,"כן")/(COUNTIF(K28:L28,"כן")+COUNTIF(K28:L28,"לא")),""))</f>
        <v/>
      </c>
      <c r="AI28" s="37">
        <f>IF($A28="","",IFERROR(COUNTIF(M28:N28,"כן")/(COUNTIF(M28:N28,"כן")+COUNTIF(M28:N28,"לא")),""))</f>
        <v/>
      </c>
      <c r="AJ28" s="37">
        <f>IF($A28="","",IFERROR(COUNTIF(O28:P28,"כן")/(COUNTIF(O28:P28,"כן")+COUNTIF(O28:P28,"לא")),""))</f>
        <v/>
      </c>
      <c r="AK28" s="37">
        <f>IF($A28="","",IFERROR(COUNTIF(Q28:R28,"כן")/(COUNTIF(Q28:R28,"כן")+COUNTIF(Q28:R28,"לא")),""))</f>
        <v/>
      </c>
      <c r="AL28" s="37">
        <f>IF($A28="","",IFERROR(COUNTIF(K28:R28,"כן")/(COUNTIF(K28:R28,"כן")+COUNTIF(K28:R28,"לא")),""))</f>
        <v/>
      </c>
      <c r="AM28" s="37">
        <f>IF($A28="","",IFERROR((COUNTIF(S28:Z28,"רוב הזמן")+0.5*COUNTIF(S28:Z28,"לפעמים"))/(COUNTIF(S28:Z28,"רוב הזמן")+COUNTIF(S28:Z28,"לפעמים")+COUNTIF(S28:Z28,"עדיין לא")),""))</f>
        <v/>
      </c>
      <c r="AN28" s="37">
        <f>IF($A28="","",IFERROR(1-SUMPRODUCT(ABS((K28:R28="כן")-((S28:Z28="רוב הזמן")+0.5*(S28:Z28="לפעמים")))*(((K28:R28="כן")+(K28:R28="לא"))*((S28:Z28="רוב הזמן")+(S28:Z28="לפעמים")+(S28:Z28="עדיין לא"))))/SUMPRODUCT((((K28:R28="כן")+(K28:R28="לא"))*((S28:Z28="רוב הזמן")+(S28:Z28="לפעמים")+(S28:Z28="עדיין לא")))),""))</f>
        <v/>
      </c>
      <c r="AO28" s="36">
        <f>IF($A28="","",SUMPRODUCT((((K28:R28="כן")-((S28:Z28="רוב הזמן")+0.5*(S28:Z28="לפעמים")))&gt;0.01)*(((K28:R28="כן")+(K28:R28="לא"))*((S28:Z28="רוב הזמן")+(S28:Z28="לפעמים")+(S28:Z28="עדיין לא")))))</f>
        <v/>
      </c>
      <c r="AP28" s="36">
        <f>IF($A28="","",SUMPRODUCT(((((S28:Z28="רוב הזמן")+0.5*(S28:Z28="לפעמים"))-(K28:R28="כן"))&gt;0.01)*(((K28:R28="כן")+(K28:R28="לא"))*((S28:Z28="רוב הזמן")+(S28:Z28="לפעמים")+(S28:Z28="עדיין לא")))))</f>
        <v/>
      </c>
      <c r="AQ28" s="36">
        <f>IF($A28="","",COUNTIF(AA28:AC28,"כן"))</f>
        <v/>
      </c>
      <c r="AR28" s="38" t="n"/>
      <c r="AS28" s="38" t="n"/>
      <c r="AT28" s="38" t="n"/>
      <c r="AU28" s="38" t="n"/>
      <c r="AV28" s="36">
        <f>IF($A28="","",IF(AND(AR28="",AT28=""),"לא נבדק",IF(AND(OR(AR28="",AR28=AS28),OR(AT28="",AT28=AU28)),"תואם","לא תואם")))</f>
        <v/>
      </c>
      <c r="AW28" s="36">
        <f>IF($A28="","",IF(AND(AV28&lt;&gt;"לא תואם",G28&lt;&gt;"לא ברור"),"אמין","לפרש בזהירות"))</f>
        <v/>
      </c>
    </row>
    <row r="29">
      <c r="A29" s="38" t="n"/>
      <c r="B29" s="38" t="n"/>
      <c r="C29" s="38" t="n"/>
      <c r="D29" s="38" t="n"/>
      <c r="E29" s="38" t="n"/>
      <c r="F29" s="38" t="n"/>
      <c r="G29" s="38" t="n"/>
      <c r="H29" s="38" t="n"/>
      <c r="I29" s="38" t="n"/>
      <c r="J29" s="38" t="n"/>
      <c r="K29" s="38" t="n"/>
      <c r="L29" s="38" t="n"/>
      <c r="M29" s="38" t="n"/>
      <c r="N29" s="38" t="n"/>
      <c r="O29" s="38" t="n"/>
      <c r="P29" s="38" t="n"/>
      <c r="Q29" s="38" t="n"/>
      <c r="R29" s="38" t="n"/>
      <c r="S29" s="38" t="n"/>
      <c r="T29" s="38" t="n"/>
      <c r="U29" s="38" t="n"/>
      <c r="V29" s="38" t="n"/>
      <c r="W29" s="38" t="n"/>
      <c r="X29" s="38" t="n"/>
      <c r="Y29" s="38" t="n"/>
      <c r="Z29" s="38" t="n"/>
      <c r="AA29" s="38" t="n"/>
      <c r="AB29" s="38" t="n"/>
      <c r="AC29" s="38" t="n"/>
      <c r="AD29" s="38" t="n"/>
      <c r="AE29" s="38" t="n"/>
      <c r="AF29" s="36">
        <f>IF($A29="","",$A29&amp;"|"&amp;$C29)</f>
        <v/>
      </c>
      <c r="AG29" s="36">
        <f>IF($A29="","",IF(OR(H29="לא נבדק",H29=""),"לא נבדק",IF(AND(H29="בחר/ה בעצמו/ה",I29="כן",J29="לא"),"מלא",IF(OR(H29="בחר/ה בעצמו/ה",I29="כן"),"חלקי","עדיין לא"))))</f>
        <v/>
      </c>
      <c r="AH29" s="37">
        <f>IF($A29="","",IFERROR(COUNTIF(K29:L29,"כן")/(COUNTIF(K29:L29,"כן")+COUNTIF(K29:L29,"לא")),""))</f>
        <v/>
      </c>
      <c r="AI29" s="37">
        <f>IF($A29="","",IFERROR(COUNTIF(M29:N29,"כן")/(COUNTIF(M29:N29,"כן")+COUNTIF(M29:N29,"לא")),""))</f>
        <v/>
      </c>
      <c r="AJ29" s="37">
        <f>IF($A29="","",IFERROR(COUNTIF(O29:P29,"כן")/(COUNTIF(O29:P29,"כן")+COUNTIF(O29:P29,"לא")),""))</f>
        <v/>
      </c>
      <c r="AK29" s="37">
        <f>IF($A29="","",IFERROR(COUNTIF(Q29:R29,"כן")/(COUNTIF(Q29:R29,"כן")+COUNTIF(Q29:R29,"לא")),""))</f>
        <v/>
      </c>
      <c r="AL29" s="37">
        <f>IF($A29="","",IFERROR(COUNTIF(K29:R29,"כן")/(COUNTIF(K29:R29,"כן")+COUNTIF(K29:R29,"לא")),""))</f>
        <v/>
      </c>
      <c r="AM29" s="37">
        <f>IF($A29="","",IFERROR((COUNTIF(S29:Z29,"רוב הזמן")+0.5*COUNTIF(S29:Z29,"לפעמים"))/(COUNTIF(S29:Z29,"רוב הזמן")+COUNTIF(S29:Z29,"לפעמים")+COUNTIF(S29:Z29,"עדיין לא")),""))</f>
        <v/>
      </c>
      <c r="AN29" s="37">
        <f>IF($A29="","",IFERROR(1-SUMPRODUCT(ABS((K29:R29="כן")-((S29:Z29="רוב הזמן")+0.5*(S29:Z29="לפעמים")))*(((K29:R29="כן")+(K29:R29="לא"))*((S29:Z29="רוב הזמן")+(S29:Z29="לפעמים")+(S29:Z29="עדיין לא"))))/SUMPRODUCT((((K29:R29="כן")+(K29:R29="לא"))*((S29:Z29="רוב הזמן")+(S29:Z29="לפעמים")+(S29:Z29="עדיין לא")))),""))</f>
        <v/>
      </c>
      <c r="AO29" s="36">
        <f>IF($A29="","",SUMPRODUCT((((K29:R29="כן")-((S29:Z29="רוב הזמן")+0.5*(S29:Z29="לפעמים")))&gt;0.01)*(((K29:R29="כן")+(K29:R29="לא"))*((S29:Z29="רוב הזמן")+(S29:Z29="לפעמים")+(S29:Z29="עדיין לא")))))</f>
        <v/>
      </c>
      <c r="AP29" s="36">
        <f>IF($A29="","",SUMPRODUCT(((((S29:Z29="רוב הזמן")+0.5*(S29:Z29="לפעמים"))-(K29:R29="כן"))&gt;0.01)*(((K29:R29="כן")+(K29:R29="לא"))*((S29:Z29="רוב הזמן")+(S29:Z29="לפעמים")+(S29:Z29="עדיין לא")))))</f>
        <v/>
      </c>
      <c r="AQ29" s="36">
        <f>IF($A29="","",COUNTIF(AA29:AC29,"כן"))</f>
        <v/>
      </c>
      <c r="AR29" s="38" t="n"/>
      <c r="AS29" s="38" t="n"/>
      <c r="AT29" s="38" t="n"/>
      <c r="AU29" s="38" t="n"/>
      <c r="AV29" s="36">
        <f>IF($A29="","",IF(AND(AR29="",AT29=""),"לא נבדק",IF(AND(OR(AR29="",AR29=AS29),OR(AT29="",AT29=AU29)),"תואם","לא תואם")))</f>
        <v/>
      </c>
      <c r="AW29" s="36">
        <f>IF($A29="","",IF(AND(AV29&lt;&gt;"לא תואם",G29&lt;&gt;"לא ברור"),"אמין","לפרש בזהירות"))</f>
        <v/>
      </c>
    </row>
    <row r="30">
      <c r="A30" s="38" t="n"/>
      <c r="B30" s="38" t="n"/>
      <c r="C30" s="38" t="n"/>
      <c r="D30" s="38" t="n"/>
      <c r="E30" s="38" t="n"/>
      <c r="F30" s="38" t="n"/>
      <c r="G30" s="38" t="n"/>
      <c r="H30" s="38" t="n"/>
      <c r="I30" s="38" t="n"/>
      <c r="J30" s="38" t="n"/>
      <c r="K30" s="38" t="n"/>
      <c r="L30" s="38" t="n"/>
      <c r="M30" s="38" t="n"/>
      <c r="N30" s="38" t="n"/>
      <c r="O30" s="38" t="n"/>
      <c r="P30" s="38" t="n"/>
      <c r="Q30" s="38" t="n"/>
      <c r="R30" s="38" t="n"/>
      <c r="S30" s="38" t="n"/>
      <c r="T30" s="38" t="n"/>
      <c r="U30" s="38" t="n"/>
      <c r="V30" s="38" t="n"/>
      <c r="W30" s="38" t="n"/>
      <c r="X30" s="38" t="n"/>
      <c r="Y30" s="38" t="n"/>
      <c r="Z30" s="38" t="n"/>
      <c r="AA30" s="38" t="n"/>
      <c r="AB30" s="38" t="n"/>
      <c r="AC30" s="38" t="n"/>
      <c r="AD30" s="38" t="n"/>
      <c r="AE30" s="38" t="n"/>
      <c r="AF30" s="36">
        <f>IF($A30="","",$A30&amp;"|"&amp;$C30)</f>
        <v/>
      </c>
      <c r="AG30" s="36">
        <f>IF($A30="","",IF(OR(H30="לא נבדק",H30=""),"לא נבדק",IF(AND(H30="בחר/ה בעצמו/ה",I30="כן",J30="לא"),"מלא",IF(OR(H30="בחר/ה בעצמו/ה",I30="כן"),"חלקי","עדיין לא"))))</f>
        <v/>
      </c>
      <c r="AH30" s="37">
        <f>IF($A30="","",IFERROR(COUNTIF(K30:L30,"כן")/(COUNTIF(K30:L30,"כן")+COUNTIF(K30:L30,"לא")),""))</f>
        <v/>
      </c>
      <c r="AI30" s="37">
        <f>IF($A30="","",IFERROR(COUNTIF(M30:N30,"כן")/(COUNTIF(M30:N30,"כן")+COUNTIF(M30:N30,"לא")),""))</f>
        <v/>
      </c>
      <c r="AJ30" s="37">
        <f>IF($A30="","",IFERROR(COUNTIF(O30:P30,"כן")/(COUNTIF(O30:P30,"כן")+COUNTIF(O30:P30,"לא")),""))</f>
        <v/>
      </c>
      <c r="AK30" s="37">
        <f>IF($A30="","",IFERROR(COUNTIF(Q30:R30,"כן")/(COUNTIF(Q30:R30,"כן")+COUNTIF(Q30:R30,"לא")),""))</f>
        <v/>
      </c>
      <c r="AL30" s="37">
        <f>IF($A30="","",IFERROR(COUNTIF(K30:R30,"כן")/(COUNTIF(K30:R30,"כן")+COUNTIF(K30:R30,"לא")),""))</f>
        <v/>
      </c>
      <c r="AM30" s="37">
        <f>IF($A30="","",IFERROR((COUNTIF(S30:Z30,"רוב הזמן")+0.5*COUNTIF(S30:Z30,"לפעמים"))/(COUNTIF(S30:Z30,"רוב הזמן")+COUNTIF(S30:Z30,"לפעמים")+COUNTIF(S30:Z30,"עדיין לא")),""))</f>
        <v/>
      </c>
      <c r="AN30" s="37">
        <f>IF($A30="","",IFERROR(1-SUMPRODUCT(ABS((K30:R30="כן")-((S30:Z30="רוב הזמן")+0.5*(S30:Z30="לפעמים")))*(((K30:R30="כן")+(K30:R30="לא"))*((S30:Z30="רוב הזמן")+(S30:Z30="לפעמים")+(S30:Z30="עדיין לא"))))/SUMPRODUCT((((K30:R30="כן")+(K30:R30="לא"))*((S30:Z30="רוב הזמן")+(S30:Z30="לפעמים")+(S30:Z30="עדיין לא")))),""))</f>
        <v/>
      </c>
      <c r="AO30" s="36">
        <f>IF($A30="","",SUMPRODUCT((((K30:R30="כן")-((S30:Z30="רוב הזמן")+0.5*(S30:Z30="לפעמים")))&gt;0.01)*(((K30:R30="כן")+(K30:R30="לא"))*((S30:Z30="רוב הזמן")+(S30:Z30="לפעמים")+(S30:Z30="עדיין לא")))))</f>
        <v/>
      </c>
      <c r="AP30" s="36">
        <f>IF($A30="","",SUMPRODUCT(((((S30:Z30="רוב הזמן")+0.5*(S30:Z30="לפעמים"))-(K30:R30="כן"))&gt;0.01)*(((K30:R30="כן")+(K30:R30="לא"))*((S30:Z30="רוב הזמן")+(S30:Z30="לפעמים")+(S30:Z30="עדיין לא")))))</f>
        <v/>
      </c>
      <c r="AQ30" s="36">
        <f>IF($A30="","",COUNTIF(AA30:AC30,"כן"))</f>
        <v/>
      </c>
      <c r="AR30" s="38" t="n"/>
      <c r="AS30" s="38" t="n"/>
      <c r="AT30" s="38" t="n"/>
      <c r="AU30" s="38" t="n"/>
      <c r="AV30" s="36">
        <f>IF($A30="","",IF(AND(AR30="",AT30=""),"לא נבדק",IF(AND(OR(AR30="",AR30=AS30),OR(AT30="",AT30=AU30)),"תואם","לא תואם")))</f>
        <v/>
      </c>
      <c r="AW30" s="36">
        <f>IF($A30="","",IF(AND(AV30&lt;&gt;"לא תואם",G30&lt;&gt;"לא ברור"),"אמין","לפרש בזהירות"))</f>
        <v/>
      </c>
    </row>
    <row r="31">
      <c r="A31" s="38" t="n"/>
      <c r="B31" s="38" t="n"/>
      <c r="C31" s="38" t="n"/>
      <c r="D31" s="38" t="n"/>
      <c r="E31" s="38" t="n"/>
      <c r="F31" s="38" t="n"/>
      <c r="G31" s="38" t="n"/>
      <c r="H31" s="38" t="n"/>
      <c r="I31" s="38" t="n"/>
      <c r="J31" s="38" t="n"/>
      <c r="K31" s="38" t="n"/>
      <c r="L31" s="38" t="n"/>
      <c r="M31" s="38" t="n"/>
      <c r="N31" s="38" t="n"/>
      <c r="O31" s="38" t="n"/>
      <c r="P31" s="38" t="n"/>
      <c r="Q31" s="38" t="n"/>
      <c r="R31" s="38" t="n"/>
      <c r="S31" s="38" t="n"/>
      <c r="T31" s="38" t="n"/>
      <c r="U31" s="38" t="n"/>
      <c r="V31" s="38" t="n"/>
      <c r="W31" s="38" t="n"/>
      <c r="X31" s="38" t="n"/>
      <c r="Y31" s="38" t="n"/>
      <c r="Z31" s="38" t="n"/>
      <c r="AA31" s="38" t="n"/>
      <c r="AB31" s="38" t="n"/>
      <c r="AC31" s="38" t="n"/>
      <c r="AD31" s="38" t="n"/>
      <c r="AE31" s="38" t="n"/>
      <c r="AF31" s="36">
        <f>IF($A31="","",$A31&amp;"|"&amp;$C31)</f>
        <v/>
      </c>
      <c r="AG31" s="36">
        <f>IF($A31="","",IF(OR(H31="לא נבדק",H31=""),"לא נבדק",IF(AND(H31="בחר/ה בעצמו/ה",I31="כן",J31="לא"),"מלא",IF(OR(H31="בחר/ה בעצמו/ה",I31="כן"),"חלקי","עדיין לא"))))</f>
        <v/>
      </c>
      <c r="AH31" s="37">
        <f>IF($A31="","",IFERROR(COUNTIF(K31:L31,"כן")/(COUNTIF(K31:L31,"כן")+COUNTIF(K31:L31,"לא")),""))</f>
        <v/>
      </c>
      <c r="AI31" s="37">
        <f>IF($A31="","",IFERROR(COUNTIF(M31:N31,"כן")/(COUNTIF(M31:N31,"כן")+COUNTIF(M31:N31,"לא")),""))</f>
        <v/>
      </c>
      <c r="AJ31" s="37">
        <f>IF($A31="","",IFERROR(COUNTIF(O31:P31,"כן")/(COUNTIF(O31:P31,"כן")+COUNTIF(O31:P31,"לא")),""))</f>
        <v/>
      </c>
      <c r="AK31" s="37">
        <f>IF($A31="","",IFERROR(COUNTIF(Q31:R31,"כן")/(COUNTIF(Q31:R31,"כן")+COUNTIF(Q31:R31,"לא")),""))</f>
        <v/>
      </c>
      <c r="AL31" s="37">
        <f>IF($A31="","",IFERROR(COUNTIF(K31:R31,"כן")/(COUNTIF(K31:R31,"כן")+COUNTIF(K31:R31,"לא")),""))</f>
        <v/>
      </c>
      <c r="AM31" s="37">
        <f>IF($A31="","",IFERROR((COUNTIF(S31:Z31,"רוב הזמן")+0.5*COUNTIF(S31:Z31,"לפעמים"))/(COUNTIF(S31:Z31,"רוב הזמן")+COUNTIF(S31:Z31,"לפעמים")+COUNTIF(S31:Z31,"עדיין לא")),""))</f>
        <v/>
      </c>
      <c r="AN31" s="37">
        <f>IF($A31="","",IFERROR(1-SUMPRODUCT(ABS((K31:R31="כן")-((S31:Z31="רוב הזמן")+0.5*(S31:Z31="לפעמים")))*(((K31:R31="כן")+(K31:R31="לא"))*((S31:Z31="רוב הזמן")+(S31:Z31="לפעמים")+(S31:Z31="עדיין לא"))))/SUMPRODUCT((((K31:R31="כן")+(K31:R31="לא"))*((S31:Z31="רוב הזמן")+(S31:Z31="לפעמים")+(S31:Z31="עדיין לא")))),""))</f>
        <v/>
      </c>
      <c r="AO31" s="36">
        <f>IF($A31="","",SUMPRODUCT((((K31:R31="כן")-((S31:Z31="רוב הזמן")+0.5*(S31:Z31="לפעמים")))&gt;0.01)*(((K31:R31="כן")+(K31:R31="לא"))*((S31:Z31="רוב הזמן")+(S31:Z31="לפעמים")+(S31:Z31="עדיין לא")))))</f>
        <v/>
      </c>
      <c r="AP31" s="36">
        <f>IF($A31="","",SUMPRODUCT(((((S31:Z31="רוב הזמן")+0.5*(S31:Z31="לפעמים"))-(K31:R31="כן"))&gt;0.01)*(((K31:R31="כן")+(K31:R31="לא"))*((S31:Z31="רוב הזמן")+(S31:Z31="לפעמים")+(S31:Z31="עדיין לא")))))</f>
        <v/>
      </c>
      <c r="AQ31" s="36">
        <f>IF($A31="","",COUNTIF(AA31:AC31,"כן"))</f>
        <v/>
      </c>
      <c r="AR31" s="38" t="n"/>
      <c r="AS31" s="38" t="n"/>
      <c r="AT31" s="38" t="n"/>
      <c r="AU31" s="38" t="n"/>
      <c r="AV31" s="36">
        <f>IF($A31="","",IF(AND(AR31="",AT31=""),"לא נבדק",IF(AND(OR(AR31="",AR31=AS31),OR(AT31="",AT31=AU31)),"תואם","לא תואם")))</f>
        <v/>
      </c>
      <c r="AW31" s="36">
        <f>IF($A31="","",IF(AND(AV31&lt;&gt;"לא תואם",G31&lt;&gt;"לא ברור"),"אמין","לפרש בזהירות"))</f>
        <v/>
      </c>
    </row>
    <row r="32">
      <c r="A32" s="38" t="n"/>
      <c r="B32" s="38" t="n"/>
      <c r="C32" s="38" t="n"/>
      <c r="D32" s="38" t="n"/>
      <c r="E32" s="38" t="n"/>
      <c r="F32" s="38" t="n"/>
      <c r="G32" s="38" t="n"/>
      <c r="H32" s="38" t="n"/>
      <c r="I32" s="38" t="n"/>
      <c r="J32" s="38" t="n"/>
      <c r="K32" s="38" t="n"/>
      <c r="L32" s="38" t="n"/>
      <c r="M32" s="38" t="n"/>
      <c r="N32" s="38" t="n"/>
      <c r="O32" s="38" t="n"/>
      <c r="P32" s="38" t="n"/>
      <c r="Q32" s="38" t="n"/>
      <c r="R32" s="38" t="n"/>
      <c r="S32" s="38" t="n"/>
      <c r="T32" s="38" t="n"/>
      <c r="U32" s="38" t="n"/>
      <c r="V32" s="38" t="n"/>
      <c r="W32" s="38" t="n"/>
      <c r="X32" s="38" t="n"/>
      <c r="Y32" s="38" t="n"/>
      <c r="Z32" s="38" t="n"/>
      <c r="AA32" s="38" t="n"/>
      <c r="AB32" s="38" t="n"/>
      <c r="AC32" s="38" t="n"/>
      <c r="AD32" s="38" t="n"/>
      <c r="AE32" s="38" t="n"/>
      <c r="AF32" s="36">
        <f>IF($A32="","",$A32&amp;"|"&amp;$C32)</f>
        <v/>
      </c>
      <c r="AG32" s="36">
        <f>IF($A32="","",IF(OR(H32="לא נבדק",H32=""),"לא נבדק",IF(AND(H32="בחר/ה בעצמו/ה",I32="כן",J32="לא"),"מלא",IF(OR(H32="בחר/ה בעצמו/ה",I32="כן"),"חלקי","עדיין לא"))))</f>
        <v/>
      </c>
      <c r="AH32" s="37">
        <f>IF($A32="","",IFERROR(COUNTIF(K32:L32,"כן")/(COUNTIF(K32:L32,"כן")+COUNTIF(K32:L32,"לא")),""))</f>
        <v/>
      </c>
      <c r="AI32" s="37">
        <f>IF($A32="","",IFERROR(COUNTIF(M32:N32,"כן")/(COUNTIF(M32:N32,"כן")+COUNTIF(M32:N32,"לא")),""))</f>
        <v/>
      </c>
      <c r="AJ32" s="37">
        <f>IF($A32="","",IFERROR(COUNTIF(O32:P32,"כן")/(COUNTIF(O32:P32,"כן")+COUNTIF(O32:P32,"לא")),""))</f>
        <v/>
      </c>
      <c r="AK32" s="37">
        <f>IF($A32="","",IFERROR(COUNTIF(Q32:R32,"כן")/(COUNTIF(Q32:R32,"כן")+COUNTIF(Q32:R32,"לא")),""))</f>
        <v/>
      </c>
      <c r="AL32" s="37">
        <f>IF($A32="","",IFERROR(COUNTIF(K32:R32,"כן")/(COUNTIF(K32:R32,"כן")+COUNTIF(K32:R32,"לא")),""))</f>
        <v/>
      </c>
      <c r="AM32" s="37">
        <f>IF($A32="","",IFERROR((COUNTIF(S32:Z32,"רוב הזמן")+0.5*COUNTIF(S32:Z32,"לפעמים"))/(COUNTIF(S32:Z32,"רוב הזמן")+COUNTIF(S32:Z32,"לפעמים")+COUNTIF(S32:Z32,"עדיין לא")),""))</f>
        <v/>
      </c>
      <c r="AN32" s="37">
        <f>IF($A32="","",IFERROR(1-SUMPRODUCT(ABS((K32:R32="כן")-((S32:Z32="רוב הזמן")+0.5*(S32:Z32="לפעמים")))*(((K32:R32="כן")+(K32:R32="לא"))*((S32:Z32="רוב הזמן")+(S32:Z32="לפעמים")+(S32:Z32="עדיין לא"))))/SUMPRODUCT((((K32:R32="כן")+(K32:R32="לא"))*((S32:Z32="רוב הזמן")+(S32:Z32="לפעמים")+(S32:Z32="עדיין לא")))),""))</f>
        <v/>
      </c>
      <c r="AO32" s="36">
        <f>IF($A32="","",SUMPRODUCT((((K32:R32="כן")-((S32:Z32="רוב הזמן")+0.5*(S32:Z32="לפעמים")))&gt;0.01)*(((K32:R32="כן")+(K32:R32="לא"))*((S32:Z32="רוב הזמן")+(S32:Z32="לפעמים")+(S32:Z32="עדיין לא")))))</f>
        <v/>
      </c>
      <c r="AP32" s="36">
        <f>IF($A32="","",SUMPRODUCT(((((S32:Z32="רוב הזמן")+0.5*(S32:Z32="לפעמים"))-(K32:R32="כן"))&gt;0.01)*(((K32:R32="כן")+(K32:R32="לא"))*((S32:Z32="רוב הזמן")+(S32:Z32="לפעמים")+(S32:Z32="עדיין לא")))))</f>
        <v/>
      </c>
      <c r="AQ32" s="36">
        <f>IF($A32="","",COUNTIF(AA32:AC32,"כן"))</f>
        <v/>
      </c>
      <c r="AR32" s="38" t="n"/>
      <c r="AS32" s="38" t="n"/>
      <c r="AT32" s="38" t="n"/>
      <c r="AU32" s="38" t="n"/>
      <c r="AV32" s="36">
        <f>IF($A32="","",IF(AND(AR32="",AT32=""),"לא נבדק",IF(AND(OR(AR32="",AR32=AS32),OR(AT32="",AT32=AU32)),"תואם","לא תואם")))</f>
        <v/>
      </c>
      <c r="AW32" s="36">
        <f>IF($A32="","",IF(AND(AV32&lt;&gt;"לא תואם",G32&lt;&gt;"לא ברור"),"אמין","לפרש בזהירות"))</f>
        <v/>
      </c>
    </row>
    <row r="33">
      <c r="A33" s="38" t="n"/>
      <c r="B33" s="38" t="n"/>
      <c r="C33" s="38" t="n"/>
      <c r="D33" s="38" t="n"/>
      <c r="E33" s="38" t="n"/>
      <c r="F33" s="38" t="n"/>
      <c r="G33" s="38" t="n"/>
      <c r="H33" s="38" t="n"/>
      <c r="I33" s="38" t="n"/>
      <c r="J33" s="38" t="n"/>
      <c r="K33" s="38" t="n"/>
      <c r="L33" s="38" t="n"/>
      <c r="M33" s="38" t="n"/>
      <c r="N33" s="38" t="n"/>
      <c r="O33" s="38" t="n"/>
      <c r="P33" s="38" t="n"/>
      <c r="Q33" s="38" t="n"/>
      <c r="R33" s="38" t="n"/>
      <c r="S33" s="38" t="n"/>
      <c r="T33" s="38" t="n"/>
      <c r="U33" s="38" t="n"/>
      <c r="V33" s="38" t="n"/>
      <c r="W33" s="38" t="n"/>
      <c r="X33" s="38" t="n"/>
      <c r="Y33" s="38" t="n"/>
      <c r="Z33" s="38" t="n"/>
      <c r="AA33" s="38" t="n"/>
      <c r="AB33" s="38" t="n"/>
      <c r="AC33" s="38" t="n"/>
      <c r="AD33" s="38" t="n"/>
      <c r="AE33" s="38" t="n"/>
      <c r="AF33" s="36">
        <f>IF($A33="","",$A33&amp;"|"&amp;$C33)</f>
        <v/>
      </c>
      <c r="AG33" s="36">
        <f>IF($A33="","",IF(OR(H33="לא נבדק",H33=""),"לא נבדק",IF(AND(H33="בחר/ה בעצמו/ה",I33="כן",J33="לא"),"מלא",IF(OR(H33="בחר/ה בעצמו/ה",I33="כן"),"חלקי","עדיין לא"))))</f>
        <v/>
      </c>
      <c r="AH33" s="37">
        <f>IF($A33="","",IFERROR(COUNTIF(K33:L33,"כן")/(COUNTIF(K33:L33,"כן")+COUNTIF(K33:L33,"לא")),""))</f>
        <v/>
      </c>
      <c r="AI33" s="37">
        <f>IF($A33="","",IFERROR(COUNTIF(M33:N33,"כן")/(COUNTIF(M33:N33,"כן")+COUNTIF(M33:N33,"לא")),""))</f>
        <v/>
      </c>
      <c r="AJ33" s="37">
        <f>IF($A33="","",IFERROR(COUNTIF(O33:P33,"כן")/(COUNTIF(O33:P33,"כן")+COUNTIF(O33:P33,"לא")),""))</f>
        <v/>
      </c>
      <c r="AK33" s="37">
        <f>IF($A33="","",IFERROR(COUNTIF(Q33:R33,"כן")/(COUNTIF(Q33:R33,"כן")+COUNTIF(Q33:R33,"לא")),""))</f>
        <v/>
      </c>
      <c r="AL33" s="37">
        <f>IF($A33="","",IFERROR(COUNTIF(K33:R33,"כן")/(COUNTIF(K33:R33,"כן")+COUNTIF(K33:R33,"לא")),""))</f>
        <v/>
      </c>
      <c r="AM33" s="37">
        <f>IF($A33="","",IFERROR((COUNTIF(S33:Z33,"רוב הזמן")+0.5*COUNTIF(S33:Z33,"לפעמים"))/(COUNTIF(S33:Z33,"רוב הזמן")+COUNTIF(S33:Z33,"לפעמים")+COUNTIF(S33:Z33,"עדיין לא")),""))</f>
        <v/>
      </c>
      <c r="AN33" s="37">
        <f>IF($A33="","",IFERROR(1-SUMPRODUCT(ABS((K33:R33="כן")-((S33:Z33="רוב הזמן")+0.5*(S33:Z33="לפעמים")))*(((K33:R33="כן")+(K33:R33="לא"))*((S33:Z33="רוב הזמן")+(S33:Z33="לפעמים")+(S33:Z33="עדיין לא"))))/SUMPRODUCT((((K33:R33="כן")+(K33:R33="לא"))*((S33:Z33="רוב הזמן")+(S33:Z33="לפעמים")+(S33:Z33="עדיין לא")))),""))</f>
        <v/>
      </c>
      <c r="AO33" s="36">
        <f>IF($A33="","",SUMPRODUCT((((K33:R33="כן")-((S33:Z33="רוב הזמן")+0.5*(S33:Z33="לפעמים")))&gt;0.01)*(((K33:R33="כן")+(K33:R33="לא"))*((S33:Z33="רוב הזמן")+(S33:Z33="לפעמים")+(S33:Z33="עדיין לא")))))</f>
        <v/>
      </c>
      <c r="AP33" s="36">
        <f>IF($A33="","",SUMPRODUCT(((((S33:Z33="רוב הזמן")+0.5*(S33:Z33="לפעמים"))-(K33:R33="כן"))&gt;0.01)*(((K33:R33="כן")+(K33:R33="לא"))*((S33:Z33="רוב הזמן")+(S33:Z33="לפעמים")+(S33:Z33="עדיין לא")))))</f>
        <v/>
      </c>
      <c r="AQ33" s="36">
        <f>IF($A33="","",COUNTIF(AA33:AC33,"כן"))</f>
        <v/>
      </c>
      <c r="AR33" s="38" t="n"/>
      <c r="AS33" s="38" t="n"/>
      <c r="AT33" s="38" t="n"/>
      <c r="AU33" s="38" t="n"/>
      <c r="AV33" s="36">
        <f>IF($A33="","",IF(AND(AR33="",AT33=""),"לא נבדק",IF(AND(OR(AR33="",AR33=AS33),OR(AT33="",AT33=AU33)),"תואם","לא תואם")))</f>
        <v/>
      </c>
      <c r="AW33" s="36">
        <f>IF($A33="","",IF(AND(AV33&lt;&gt;"לא תואם",G33&lt;&gt;"לא ברור"),"אמין","לפרש בזהירות"))</f>
        <v/>
      </c>
    </row>
    <row r="34">
      <c r="A34" s="38" t="n"/>
      <c r="B34" s="38" t="n"/>
      <c r="C34" s="38" t="n"/>
      <c r="D34" s="38" t="n"/>
      <c r="E34" s="38" t="n"/>
      <c r="F34" s="38" t="n"/>
      <c r="G34" s="38" t="n"/>
      <c r="H34" s="38" t="n"/>
      <c r="I34" s="38" t="n"/>
      <c r="J34" s="38" t="n"/>
      <c r="K34" s="38" t="n"/>
      <c r="L34" s="38" t="n"/>
      <c r="M34" s="38" t="n"/>
      <c r="N34" s="38" t="n"/>
      <c r="O34" s="38" t="n"/>
      <c r="P34" s="38" t="n"/>
      <c r="Q34" s="38" t="n"/>
      <c r="R34" s="38" t="n"/>
      <c r="S34" s="38" t="n"/>
      <c r="T34" s="38" t="n"/>
      <c r="U34" s="38" t="n"/>
      <c r="V34" s="38" t="n"/>
      <c r="W34" s="38" t="n"/>
      <c r="X34" s="38" t="n"/>
      <c r="Y34" s="38" t="n"/>
      <c r="Z34" s="38" t="n"/>
      <c r="AA34" s="38" t="n"/>
      <c r="AB34" s="38" t="n"/>
      <c r="AC34" s="38" t="n"/>
      <c r="AD34" s="38" t="n"/>
      <c r="AE34" s="38" t="n"/>
      <c r="AF34" s="36">
        <f>IF($A34="","",$A34&amp;"|"&amp;$C34)</f>
        <v/>
      </c>
      <c r="AG34" s="36">
        <f>IF($A34="","",IF(OR(H34="לא נבדק",H34=""),"לא נבדק",IF(AND(H34="בחר/ה בעצמו/ה",I34="כן",J34="לא"),"מלא",IF(OR(H34="בחר/ה בעצמו/ה",I34="כן"),"חלקי","עדיין לא"))))</f>
        <v/>
      </c>
      <c r="AH34" s="37">
        <f>IF($A34="","",IFERROR(COUNTIF(K34:L34,"כן")/(COUNTIF(K34:L34,"כן")+COUNTIF(K34:L34,"לא")),""))</f>
        <v/>
      </c>
      <c r="AI34" s="37">
        <f>IF($A34="","",IFERROR(COUNTIF(M34:N34,"כן")/(COUNTIF(M34:N34,"כן")+COUNTIF(M34:N34,"לא")),""))</f>
        <v/>
      </c>
      <c r="AJ34" s="37">
        <f>IF($A34="","",IFERROR(COUNTIF(O34:P34,"כן")/(COUNTIF(O34:P34,"כן")+COUNTIF(O34:P34,"לא")),""))</f>
        <v/>
      </c>
      <c r="AK34" s="37">
        <f>IF($A34="","",IFERROR(COUNTIF(Q34:R34,"כן")/(COUNTIF(Q34:R34,"כן")+COUNTIF(Q34:R34,"לא")),""))</f>
        <v/>
      </c>
      <c r="AL34" s="37">
        <f>IF($A34="","",IFERROR(COUNTIF(K34:R34,"כן")/(COUNTIF(K34:R34,"כן")+COUNTIF(K34:R34,"לא")),""))</f>
        <v/>
      </c>
      <c r="AM34" s="37">
        <f>IF($A34="","",IFERROR((COUNTIF(S34:Z34,"רוב הזמן")+0.5*COUNTIF(S34:Z34,"לפעמים"))/(COUNTIF(S34:Z34,"רוב הזמן")+COUNTIF(S34:Z34,"לפעמים")+COUNTIF(S34:Z34,"עדיין לא")),""))</f>
        <v/>
      </c>
      <c r="AN34" s="37">
        <f>IF($A34="","",IFERROR(1-SUMPRODUCT(ABS((K34:R34="כן")-((S34:Z34="רוב הזמן")+0.5*(S34:Z34="לפעמים")))*(((K34:R34="כן")+(K34:R34="לא"))*((S34:Z34="רוב הזמן")+(S34:Z34="לפעמים")+(S34:Z34="עדיין לא"))))/SUMPRODUCT((((K34:R34="כן")+(K34:R34="לא"))*((S34:Z34="רוב הזמן")+(S34:Z34="לפעמים")+(S34:Z34="עדיין לא")))),""))</f>
        <v/>
      </c>
      <c r="AO34" s="36">
        <f>IF($A34="","",SUMPRODUCT((((K34:R34="כן")-((S34:Z34="רוב הזמן")+0.5*(S34:Z34="לפעמים")))&gt;0.01)*(((K34:R34="כן")+(K34:R34="לא"))*((S34:Z34="רוב הזמן")+(S34:Z34="לפעמים")+(S34:Z34="עדיין לא")))))</f>
        <v/>
      </c>
      <c r="AP34" s="36">
        <f>IF($A34="","",SUMPRODUCT(((((S34:Z34="רוב הזמן")+0.5*(S34:Z34="לפעמים"))-(K34:R34="כן"))&gt;0.01)*(((K34:R34="כן")+(K34:R34="לא"))*((S34:Z34="רוב הזמן")+(S34:Z34="לפעמים")+(S34:Z34="עדיין לא")))))</f>
        <v/>
      </c>
      <c r="AQ34" s="36">
        <f>IF($A34="","",COUNTIF(AA34:AC34,"כן"))</f>
        <v/>
      </c>
      <c r="AR34" s="38" t="n"/>
      <c r="AS34" s="38" t="n"/>
      <c r="AT34" s="38" t="n"/>
      <c r="AU34" s="38" t="n"/>
      <c r="AV34" s="36">
        <f>IF($A34="","",IF(AND(AR34="",AT34=""),"לא נבדק",IF(AND(OR(AR34="",AR34=AS34),OR(AT34="",AT34=AU34)),"תואם","לא תואם")))</f>
        <v/>
      </c>
      <c r="AW34" s="36">
        <f>IF($A34="","",IF(AND(AV34&lt;&gt;"לא תואם",G34&lt;&gt;"לא ברור"),"אמין","לפרש בזהירות"))</f>
        <v/>
      </c>
    </row>
    <row r="35">
      <c r="A35" s="38" t="n"/>
      <c r="B35" s="38" t="n"/>
      <c r="C35" s="38" t="n"/>
      <c r="D35" s="38" t="n"/>
      <c r="E35" s="38" t="n"/>
      <c r="F35" s="38" t="n"/>
      <c r="G35" s="38" t="n"/>
      <c r="H35" s="38" t="n"/>
      <c r="I35" s="38" t="n"/>
      <c r="J35" s="38" t="n"/>
      <c r="K35" s="38" t="n"/>
      <c r="L35" s="38" t="n"/>
      <c r="M35" s="38" t="n"/>
      <c r="N35" s="38" t="n"/>
      <c r="O35" s="38" t="n"/>
      <c r="P35" s="38" t="n"/>
      <c r="Q35" s="38" t="n"/>
      <c r="R35" s="38" t="n"/>
      <c r="S35" s="38" t="n"/>
      <c r="T35" s="38" t="n"/>
      <c r="U35" s="38" t="n"/>
      <c r="V35" s="38" t="n"/>
      <c r="W35" s="38" t="n"/>
      <c r="X35" s="38" t="n"/>
      <c r="Y35" s="38" t="n"/>
      <c r="Z35" s="38" t="n"/>
      <c r="AA35" s="38" t="n"/>
      <c r="AB35" s="38" t="n"/>
      <c r="AC35" s="38" t="n"/>
      <c r="AD35" s="38" t="n"/>
      <c r="AE35" s="38" t="n"/>
      <c r="AF35" s="36">
        <f>IF($A35="","",$A35&amp;"|"&amp;$C35)</f>
        <v/>
      </c>
      <c r="AG35" s="36">
        <f>IF($A35="","",IF(OR(H35="לא נבדק",H35=""),"לא נבדק",IF(AND(H35="בחר/ה בעצמו/ה",I35="כן",J35="לא"),"מלא",IF(OR(H35="בחר/ה בעצמו/ה",I35="כן"),"חלקי","עדיין לא"))))</f>
        <v/>
      </c>
      <c r="AH35" s="37">
        <f>IF($A35="","",IFERROR(COUNTIF(K35:L35,"כן")/(COUNTIF(K35:L35,"כן")+COUNTIF(K35:L35,"לא")),""))</f>
        <v/>
      </c>
      <c r="AI35" s="37">
        <f>IF($A35="","",IFERROR(COUNTIF(M35:N35,"כן")/(COUNTIF(M35:N35,"כן")+COUNTIF(M35:N35,"לא")),""))</f>
        <v/>
      </c>
      <c r="AJ35" s="37">
        <f>IF($A35="","",IFERROR(COUNTIF(O35:P35,"כן")/(COUNTIF(O35:P35,"כן")+COUNTIF(O35:P35,"לא")),""))</f>
        <v/>
      </c>
      <c r="AK35" s="37">
        <f>IF($A35="","",IFERROR(COUNTIF(Q35:R35,"כן")/(COUNTIF(Q35:R35,"כן")+COUNTIF(Q35:R35,"לא")),""))</f>
        <v/>
      </c>
      <c r="AL35" s="37">
        <f>IF($A35="","",IFERROR(COUNTIF(K35:R35,"כן")/(COUNTIF(K35:R35,"כן")+COUNTIF(K35:R35,"לא")),""))</f>
        <v/>
      </c>
      <c r="AM35" s="37">
        <f>IF($A35="","",IFERROR((COUNTIF(S35:Z35,"רוב הזמן")+0.5*COUNTIF(S35:Z35,"לפעמים"))/(COUNTIF(S35:Z35,"רוב הזמן")+COUNTIF(S35:Z35,"לפעמים")+COUNTIF(S35:Z35,"עדיין לא")),""))</f>
        <v/>
      </c>
      <c r="AN35" s="37">
        <f>IF($A35="","",IFERROR(1-SUMPRODUCT(ABS((K35:R35="כן")-((S35:Z35="רוב הזמן")+0.5*(S35:Z35="לפעמים")))*(((K35:R35="כן")+(K35:R35="לא"))*((S35:Z35="רוב הזמן")+(S35:Z35="לפעמים")+(S35:Z35="עדיין לא"))))/SUMPRODUCT((((K35:R35="כן")+(K35:R35="לא"))*((S35:Z35="רוב הזמן")+(S35:Z35="לפעמים")+(S35:Z35="עדיין לא")))),""))</f>
        <v/>
      </c>
      <c r="AO35" s="36">
        <f>IF($A35="","",SUMPRODUCT((((K35:R35="כן")-((S35:Z35="רוב הזמן")+0.5*(S35:Z35="לפעמים")))&gt;0.01)*(((K35:R35="כן")+(K35:R35="לא"))*((S35:Z35="רוב הזמן")+(S35:Z35="לפעמים")+(S35:Z35="עדיין לא")))))</f>
        <v/>
      </c>
      <c r="AP35" s="36">
        <f>IF($A35="","",SUMPRODUCT(((((S35:Z35="רוב הזמן")+0.5*(S35:Z35="לפעמים"))-(K35:R35="כן"))&gt;0.01)*(((K35:R35="כן")+(K35:R35="לא"))*((S35:Z35="רוב הזמן")+(S35:Z35="לפעמים")+(S35:Z35="עדיין לא")))))</f>
        <v/>
      </c>
      <c r="AQ35" s="36">
        <f>IF($A35="","",COUNTIF(AA35:AC35,"כן"))</f>
        <v/>
      </c>
      <c r="AR35" s="38" t="n"/>
      <c r="AS35" s="38" t="n"/>
      <c r="AT35" s="38" t="n"/>
      <c r="AU35" s="38" t="n"/>
      <c r="AV35" s="36">
        <f>IF($A35="","",IF(AND(AR35="",AT35=""),"לא נבדק",IF(AND(OR(AR35="",AR35=AS35),OR(AT35="",AT35=AU35)),"תואם","לא תואם")))</f>
        <v/>
      </c>
      <c r="AW35" s="36">
        <f>IF($A35="","",IF(AND(AV35&lt;&gt;"לא תואם",G35&lt;&gt;"לא ברור"),"אמין","לפרש בזהירות"))</f>
        <v/>
      </c>
    </row>
    <row r="36">
      <c r="A36" s="38" t="n"/>
      <c r="B36" s="38" t="n"/>
      <c r="C36" s="38" t="n"/>
      <c r="D36" s="38" t="n"/>
      <c r="E36" s="38" t="n"/>
      <c r="F36" s="38" t="n"/>
      <c r="G36" s="38" t="n"/>
      <c r="H36" s="38" t="n"/>
      <c r="I36" s="38" t="n"/>
      <c r="J36" s="38" t="n"/>
      <c r="K36" s="38" t="n"/>
      <c r="L36" s="38" t="n"/>
      <c r="M36" s="38" t="n"/>
      <c r="N36" s="38" t="n"/>
      <c r="O36" s="38" t="n"/>
      <c r="P36" s="38" t="n"/>
      <c r="Q36" s="38" t="n"/>
      <c r="R36" s="38" t="n"/>
      <c r="S36" s="38" t="n"/>
      <c r="T36" s="38" t="n"/>
      <c r="U36" s="38" t="n"/>
      <c r="V36" s="38" t="n"/>
      <c r="W36" s="38" t="n"/>
      <c r="X36" s="38" t="n"/>
      <c r="Y36" s="38" t="n"/>
      <c r="Z36" s="38" t="n"/>
      <c r="AA36" s="38" t="n"/>
      <c r="AB36" s="38" t="n"/>
      <c r="AC36" s="38" t="n"/>
      <c r="AD36" s="38" t="n"/>
      <c r="AE36" s="38" t="n"/>
      <c r="AF36" s="36">
        <f>IF($A36="","",$A36&amp;"|"&amp;$C36)</f>
        <v/>
      </c>
      <c r="AG36" s="36">
        <f>IF($A36="","",IF(OR(H36="לא נבדק",H36=""),"לא נבדק",IF(AND(H36="בחר/ה בעצמו/ה",I36="כן",J36="לא"),"מלא",IF(OR(H36="בחר/ה בעצמו/ה",I36="כן"),"חלקי","עדיין לא"))))</f>
        <v/>
      </c>
      <c r="AH36" s="37">
        <f>IF($A36="","",IFERROR(COUNTIF(K36:L36,"כן")/(COUNTIF(K36:L36,"כן")+COUNTIF(K36:L36,"לא")),""))</f>
        <v/>
      </c>
      <c r="AI36" s="37">
        <f>IF($A36="","",IFERROR(COUNTIF(M36:N36,"כן")/(COUNTIF(M36:N36,"כן")+COUNTIF(M36:N36,"לא")),""))</f>
        <v/>
      </c>
      <c r="AJ36" s="37">
        <f>IF($A36="","",IFERROR(COUNTIF(O36:P36,"כן")/(COUNTIF(O36:P36,"כן")+COUNTIF(O36:P36,"לא")),""))</f>
        <v/>
      </c>
      <c r="AK36" s="37">
        <f>IF($A36="","",IFERROR(COUNTIF(Q36:R36,"כן")/(COUNTIF(Q36:R36,"כן")+COUNTIF(Q36:R36,"לא")),""))</f>
        <v/>
      </c>
      <c r="AL36" s="37">
        <f>IF($A36="","",IFERROR(COUNTIF(K36:R36,"כן")/(COUNTIF(K36:R36,"כן")+COUNTIF(K36:R36,"לא")),""))</f>
        <v/>
      </c>
      <c r="AM36" s="37">
        <f>IF($A36="","",IFERROR((COUNTIF(S36:Z36,"רוב הזמן")+0.5*COUNTIF(S36:Z36,"לפעמים"))/(COUNTIF(S36:Z36,"רוב הזמן")+COUNTIF(S36:Z36,"לפעמים")+COUNTIF(S36:Z36,"עדיין לא")),""))</f>
        <v/>
      </c>
      <c r="AN36" s="37">
        <f>IF($A36="","",IFERROR(1-SUMPRODUCT(ABS((K36:R36="כן")-((S36:Z36="רוב הזמן")+0.5*(S36:Z36="לפעמים")))*(((K36:R36="כן")+(K36:R36="לא"))*((S36:Z36="רוב הזמן")+(S36:Z36="לפעמים")+(S36:Z36="עדיין לא"))))/SUMPRODUCT((((K36:R36="כן")+(K36:R36="לא"))*((S36:Z36="רוב הזמן")+(S36:Z36="לפעמים")+(S36:Z36="עדיין לא")))),""))</f>
        <v/>
      </c>
      <c r="AO36" s="36">
        <f>IF($A36="","",SUMPRODUCT((((K36:R36="כן")-((S36:Z36="רוב הזמן")+0.5*(S36:Z36="לפעמים")))&gt;0.01)*(((K36:R36="כן")+(K36:R36="לא"))*((S36:Z36="רוב הזמן")+(S36:Z36="לפעמים")+(S36:Z36="עדיין לא")))))</f>
        <v/>
      </c>
      <c r="AP36" s="36">
        <f>IF($A36="","",SUMPRODUCT(((((S36:Z36="רוב הזמן")+0.5*(S36:Z36="לפעמים"))-(K36:R36="כן"))&gt;0.01)*(((K36:R36="כן")+(K36:R36="לא"))*((S36:Z36="רוב הזמן")+(S36:Z36="לפעמים")+(S36:Z36="עדיין לא")))))</f>
        <v/>
      </c>
      <c r="AQ36" s="36">
        <f>IF($A36="","",COUNTIF(AA36:AC36,"כן"))</f>
        <v/>
      </c>
      <c r="AR36" s="38" t="n"/>
      <c r="AS36" s="38" t="n"/>
      <c r="AT36" s="38" t="n"/>
      <c r="AU36" s="38" t="n"/>
      <c r="AV36" s="36">
        <f>IF($A36="","",IF(AND(AR36="",AT36=""),"לא נבדק",IF(AND(OR(AR36="",AR36=AS36),OR(AT36="",AT36=AU36)),"תואם","לא תואם")))</f>
        <v/>
      </c>
      <c r="AW36" s="36">
        <f>IF($A36="","",IF(AND(AV36&lt;&gt;"לא תואם",G36&lt;&gt;"לא ברור"),"אמין","לפרש בזהירות"))</f>
        <v/>
      </c>
    </row>
    <row r="37">
      <c r="A37" s="38" t="n"/>
      <c r="B37" s="38" t="n"/>
      <c r="C37" s="38" t="n"/>
      <c r="D37" s="38" t="n"/>
      <c r="E37" s="38" t="n"/>
      <c r="F37" s="38" t="n"/>
      <c r="G37" s="38" t="n"/>
      <c r="H37" s="38" t="n"/>
      <c r="I37" s="38" t="n"/>
      <c r="J37" s="38" t="n"/>
      <c r="K37" s="38" t="n"/>
      <c r="L37" s="38" t="n"/>
      <c r="M37" s="38" t="n"/>
      <c r="N37" s="38" t="n"/>
      <c r="O37" s="38" t="n"/>
      <c r="P37" s="38" t="n"/>
      <c r="Q37" s="38" t="n"/>
      <c r="R37" s="38" t="n"/>
      <c r="S37" s="38" t="n"/>
      <c r="T37" s="38" t="n"/>
      <c r="U37" s="38" t="n"/>
      <c r="V37" s="38" t="n"/>
      <c r="W37" s="38" t="n"/>
      <c r="X37" s="38" t="n"/>
      <c r="Y37" s="38" t="n"/>
      <c r="Z37" s="38" t="n"/>
      <c r="AA37" s="38" t="n"/>
      <c r="AB37" s="38" t="n"/>
      <c r="AC37" s="38" t="n"/>
      <c r="AD37" s="38" t="n"/>
      <c r="AE37" s="38" t="n"/>
      <c r="AF37" s="36">
        <f>IF($A37="","",$A37&amp;"|"&amp;$C37)</f>
        <v/>
      </c>
      <c r="AG37" s="36">
        <f>IF($A37="","",IF(OR(H37="לא נבדק",H37=""),"לא נבדק",IF(AND(H37="בחר/ה בעצמו/ה",I37="כן",J37="לא"),"מלא",IF(OR(H37="בחר/ה בעצמו/ה",I37="כן"),"חלקי","עדיין לא"))))</f>
        <v/>
      </c>
      <c r="AH37" s="37">
        <f>IF($A37="","",IFERROR(COUNTIF(K37:L37,"כן")/(COUNTIF(K37:L37,"כן")+COUNTIF(K37:L37,"לא")),""))</f>
        <v/>
      </c>
      <c r="AI37" s="37">
        <f>IF($A37="","",IFERROR(COUNTIF(M37:N37,"כן")/(COUNTIF(M37:N37,"כן")+COUNTIF(M37:N37,"לא")),""))</f>
        <v/>
      </c>
      <c r="AJ37" s="37">
        <f>IF($A37="","",IFERROR(COUNTIF(O37:P37,"כן")/(COUNTIF(O37:P37,"כן")+COUNTIF(O37:P37,"לא")),""))</f>
        <v/>
      </c>
      <c r="AK37" s="37">
        <f>IF($A37="","",IFERROR(COUNTIF(Q37:R37,"כן")/(COUNTIF(Q37:R37,"כן")+COUNTIF(Q37:R37,"לא")),""))</f>
        <v/>
      </c>
      <c r="AL37" s="37">
        <f>IF($A37="","",IFERROR(COUNTIF(K37:R37,"כן")/(COUNTIF(K37:R37,"כן")+COUNTIF(K37:R37,"לא")),""))</f>
        <v/>
      </c>
      <c r="AM37" s="37">
        <f>IF($A37="","",IFERROR((COUNTIF(S37:Z37,"רוב הזמן")+0.5*COUNTIF(S37:Z37,"לפעמים"))/(COUNTIF(S37:Z37,"רוב הזמן")+COUNTIF(S37:Z37,"לפעמים")+COUNTIF(S37:Z37,"עדיין לא")),""))</f>
        <v/>
      </c>
      <c r="AN37" s="37">
        <f>IF($A37="","",IFERROR(1-SUMPRODUCT(ABS((K37:R37="כן")-((S37:Z37="רוב הזמן")+0.5*(S37:Z37="לפעמים")))*(((K37:R37="כן")+(K37:R37="לא"))*((S37:Z37="רוב הזמן")+(S37:Z37="לפעמים")+(S37:Z37="עדיין לא"))))/SUMPRODUCT((((K37:R37="כן")+(K37:R37="לא"))*((S37:Z37="רוב הזמן")+(S37:Z37="לפעמים")+(S37:Z37="עדיין לא")))),""))</f>
        <v/>
      </c>
      <c r="AO37" s="36">
        <f>IF($A37="","",SUMPRODUCT((((K37:R37="כן")-((S37:Z37="רוב הזמן")+0.5*(S37:Z37="לפעמים")))&gt;0.01)*(((K37:R37="כן")+(K37:R37="לא"))*((S37:Z37="רוב הזמן")+(S37:Z37="לפעמים")+(S37:Z37="עדיין לא")))))</f>
        <v/>
      </c>
      <c r="AP37" s="36">
        <f>IF($A37="","",SUMPRODUCT(((((S37:Z37="רוב הזמן")+0.5*(S37:Z37="לפעמים"))-(K37:R37="כן"))&gt;0.01)*(((K37:R37="כן")+(K37:R37="לא"))*((S37:Z37="רוב הזמן")+(S37:Z37="לפעמים")+(S37:Z37="עדיין לא")))))</f>
        <v/>
      </c>
      <c r="AQ37" s="36">
        <f>IF($A37="","",COUNTIF(AA37:AC37,"כן"))</f>
        <v/>
      </c>
      <c r="AR37" s="38" t="n"/>
      <c r="AS37" s="38" t="n"/>
      <c r="AT37" s="38" t="n"/>
      <c r="AU37" s="38" t="n"/>
      <c r="AV37" s="36">
        <f>IF($A37="","",IF(AND(AR37="",AT37=""),"לא נבדק",IF(AND(OR(AR37="",AR37=AS37),OR(AT37="",AT37=AU37)),"תואם","לא תואם")))</f>
        <v/>
      </c>
      <c r="AW37" s="36">
        <f>IF($A37="","",IF(AND(AV37&lt;&gt;"לא תואם",G37&lt;&gt;"לא ברור"),"אמין","לפרש בזהירות"))</f>
        <v/>
      </c>
    </row>
    <row r="38">
      <c r="A38" s="38" t="n"/>
      <c r="B38" s="38" t="n"/>
      <c r="C38" s="38" t="n"/>
      <c r="D38" s="38" t="n"/>
      <c r="E38" s="38" t="n"/>
      <c r="F38" s="38" t="n"/>
      <c r="G38" s="38" t="n"/>
      <c r="H38" s="38" t="n"/>
      <c r="I38" s="38" t="n"/>
      <c r="J38" s="38" t="n"/>
      <c r="K38" s="38" t="n"/>
      <c r="L38" s="38" t="n"/>
      <c r="M38" s="38" t="n"/>
      <c r="N38" s="38" t="n"/>
      <c r="O38" s="38" t="n"/>
      <c r="P38" s="38" t="n"/>
      <c r="Q38" s="38" t="n"/>
      <c r="R38" s="38" t="n"/>
      <c r="S38" s="38" t="n"/>
      <c r="T38" s="38" t="n"/>
      <c r="U38" s="38" t="n"/>
      <c r="V38" s="38" t="n"/>
      <c r="W38" s="38" t="n"/>
      <c r="X38" s="38" t="n"/>
      <c r="Y38" s="38" t="n"/>
      <c r="Z38" s="38" t="n"/>
      <c r="AA38" s="38" t="n"/>
      <c r="AB38" s="38" t="n"/>
      <c r="AC38" s="38" t="n"/>
      <c r="AD38" s="38" t="n"/>
      <c r="AE38" s="38" t="n"/>
      <c r="AF38" s="36">
        <f>IF($A38="","",$A38&amp;"|"&amp;$C38)</f>
        <v/>
      </c>
      <c r="AG38" s="36">
        <f>IF($A38="","",IF(OR(H38="לא נבדק",H38=""),"לא נבדק",IF(AND(H38="בחר/ה בעצמו/ה",I38="כן",J38="לא"),"מלא",IF(OR(H38="בחר/ה בעצמו/ה",I38="כן"),"חלקי","עדיין לא"))))</f>
        <v/>
      </c>
      <c r="AH38" s="37">
        <f>IF($A38="","",IFERROR(COUNTIF(K38:L38,"כן")/(COUNTIF(K38:L38,"כן")+COUNTIF(K38:L38,"לא")),""))</f>
        <v/>
      </c>
      <c r="AI38" s="37">
        <f>IF($A38="","",IFERROR(COUNTIF(M38:N38,"כן")/(COUNTIF(M38:N38,"כן")+COUNTIF(M38:N38,"לא")),""))</f>
        <v/>
      </c>
      <c r="AJ38" s="37">
        <f>IF($A38="","",IFERROR(COUNTIF(O38:P38,"כן")/(COUNTIF(O38:P38,"כן")+COUNTIF(O38:P38,"לא")),""))</f>
        <v/>
      </c>
      <c r="AK38" s="37">
        <f>IF($A38="","",IFERROR(COUNTIF(Q38:R38,"כן")/(COUNTIF(Q38:R38,"כן")+COUNTIF(Q38:R38,"לא")),""))</f>
        <v/>
      </c>
      <c r="AL38" s="37">
        <f>IF($A38="","",IFERROR(COUNTIF(K38:R38,"כן")/(COUNTIF(K38:R38,"כן")+COUNTIF(K38:R38,"לא")),""))</f>
        <v/>
      </c>
      <c r="AM38" s="37">
        <f>IF($A38="","",IFERROR((COUNTIF(S38:Z38,"רוב הזמן")+0.5*COUNTIF(S38:Z38,"לפעמים"))/(COUNTIF(S38:Z38,"רוב הזמן")+COUNTIF(S38:Z38,"לפעמים")+COUNTIF(S38:Z38,"עדיין לא")),""))</f>
        <v/>
      </c>
      <c r="AN38" s="37">
        <f>IF($A38="","",IFERROR(1-SUMPRODUCT(ABS((K38:R38="כן")-((S38:Z38="רוב הזמן")+0.5*(S38:Z38="לפעמים")))*(((K38:R38="כן")+(K38:R38="לא"))*((S38:Z38="רוב הזמן")+(S38:Z38="לפעמים")+(S38:Z38="עדיין לא"))))/SUMPRODUCT((((K38:R38="כן")+(K38:R38="לא"))*((S38:Z38="רוב הזמן")+(S38:Z38="לפעמים")+(S38:Z38="עדיין לא")))),""))</f>
        <v/>
      </c>
      <c r="AO38" s="36">
        <f>IF($A38="","",SUMPRODUCT((((K38:R38="כן")-((S38:Z38="רוב הזמן")+0.5*(S38:Z38="לפעמים")))&gt;0.01)*(((K38:R38="כן")+(K38:R38="לא"))*((S38:Z38="רוב הזמן")+(S38:Z38="לפעמים")+(S38:Z38="עדיין לא")))))</f>
        <v/>
      </c>
      <c r="AP38" s="36">
        <f>IF($A38="","",SUMPRODUCT(((((S38:Z38="רוב הזמן")+0.5*(S38:Z38="לפעמים"))-(K38:R38="כן"))&gt;0.01)*(((K38:R38="כן")+(K38:R38="לא"))*((S38:Z38="רוב הזמן")+(S38:Z38="לפעמים")+(S38:Z38="עדיין לא")))))</f>
        <v/>
      </c>
      <c r="AQ38" s="36">
        <f>IF($A38="","",COUNTIF(AA38:AC38,"כן"))</f>
        <v/>
      </c>
      <c r="AR38" s="38" t="n"/>
      <c r="AS38" s="38" t="n"/>
      <c r="AT38" s="38" t="n"/>
      <c r="AU38" s="38" t="n"/>
      <c r="AV38" s="36">
        <f>IF($A38="","",IF(AND(AR38="",AT38=""),"לא נבדק",IF(AND(OR(AR38="",AR38=AS38),OR(AT38="",AT38=AU38)),"תואם","לא תואם")))</f>
        <v/>
      </c>
      <c r="AW38" s="36">
        <f>IF($A38="","",IF(AND(AV38&lt;&gt;"לא תואם",G38&lt;&gt;"לא ברור"),"אמין","לפרש בזהירות"))</f>
        <v/>
      </c>
    </row>
    <row r="39">
      <c r="A39" s="38" t="n"/>
      <c r="B39" s="38" t="n"/>
      <c r="C39" s="38" t="n"/>
      <c r="D39" s="38" t="n"/>
      <c r="E39" s="38" t="n"/>
      <c r="F39" s="38" t="n"/>
      <c r="G39" s="38" t="n"/>
      <c r="H39" s="38" t="n"/>
      <c r="I39" s="38" t="n"/>
      <c r="J39" s="38" t="n"/>
      <c r="K39" s="38" t="n"/>
      <c r="L39" s="38" t="n"/>
      <c r="M39" s="38" t="n"/>
      <c r="N39" s="38" t="n"/>
      <c r="O39" s="38" t="n"/>
      <c r="P39" s="38" t="n"/>
      <c r="Q39" s="38" t="n"/>
      <c r="R39" s="38" t="n"/>
      <c r="S39" s="38" t="n"/>
      <c r="T39" s="38" t="n"/>
      <c r="U39" s="38" t="n"/>
      <c r="V39" s="38" t="n"/>
      <c r="W39" s="38" t="n"/>
      <c r="X39" s="38" t="n"/>
      <c r="Y39" s="38" t="n"/>
      <c r="Z39" s="38" t="n"/>
      <c r="AA39" s="38" t="n"/>
      <c r="AB39" s="38" t="n"/>
      <c r="AC39" s="38" t="n"/>
      <c r="AD39" s="38" t="n"/>
      <c r="AE39" s="38" t="n"/>
      <c r="AF39" s="36">
        <f>IF($A39="","",$A39&amp;"|"&amp;$C39)</f>
        <v/>
      </c>
      <c r="AG39" s="36">
        <f>IF($A39="","",IF(OR(H39="לא נבדק",H39=""),"לא נבדק",IF(AND(H39="בחר/ה בעצמו/ה",I39="כן",J39="לא"),"מלא",IF(OR(H39="בחר/ה בעצמו/ה",I39="כן"),"חלקי","עדיין לא"))))</f>
        <v/>
      </c>
      <c r="AH39" s="37">
        <f>IF($A39="","",IFERROR(COUNTIF(K39:L39,"כן")/(COUNTIF(K39:L39,"כן")+COUNTIF(K39:L39,"לא")),""))</f>
        <v/>
      </c>
      <c r="AI39" s="37">
        <f>IF($A39="","",IFERROR(COUNTIF(M39:N39,"כן")/(COUNTIF(M39:N39,"כן")+COUNTIF(M39:N39,"לא")),""))</f>
        <v/>
      </c>
      <c r="AJ39" s="37">
        <f>IF($A39="","",IFERROR(COUNTIF(O39:P39,"כן")/(COUNTIF(O39:P39,"כן")+COUNTIF(O39:P39,"לא")),""))</f>
        <v/>
      </c>
      <c r="AK39" s="37">
        <f>IF($A39="","",IFERROR(COUNTIF(Q39:R39,"כן")/(COUNTIF(Q39:R39,"כן")+COUNTIF(Q39:R39,"לא")),""))</f>
        <v/>
      </c>
      <c r="AL39" s="37">
        <f>IF($A39="","",IFERROR(COUNTIF(K39:R39,"כן")/(COUNTIF(K39:R39,"כן")+COUNTIF(K39:R39,"לא")),""))</f>
        <v/>
      </c>
      <c r="AM39" s="37">
        <f>IF($A39="","",IFERROR((COUNTIF(S39:Z39,"רוב הזמן")+0.5*COUNTIF(S39:Z39,"לפעמים"))/(COUNTIF(S39:Z39,"רוב הזמן")+COUNTIF(S39:Z39,"לפעמים")+COUNTIF(S39:Z39,"עדיין לא")),""))</f>
        <v/>
      </c>
      <c r="AN39" s="37">
        <f>IF($A39="","",IFERROR(1-SUMPRODUCT(ABS((K39:R39="כן")-((S39:Z39="רוב הזמן")+0.5*(S39:Z39="לפעמים")))*(((K39:R39="כן")+(K39:R39="לא"))*((S39:Z39="רוב הזמן")+(S39:Z39="לפעמים")+(S39:Z39="עדיין לא"))))/SUMPRODUCT((((K39:R39="כן")+(K39:R39="לא"))*((S39:Z39="רוב הזמן")+(S39:Z39="לפעמים")+(S39:Z39="עדיין לא")))),""))</f>
        <v/>
      </c>
      <c r="AO39" s="36">
        <f>IF($A39="","",SUMPRODUCT((((K39:R39="כן")-((S39:Z39="רוב הזמן")+0.5*(S39:Z39="לפעמים")))&gt;0.01)*(((K39:R39="כן")+(K39:R39="לא"))*((S39:Z39="רוב הזמן")+(S39:Z39="לפעמים")+(S39:Z39="עדיין לא")))))</f>
        <v/>
      </c>
      <c r="AP39" s="36">
        <f>IF($A39="","",SUMPRODUCT(((((S39:Z39="רוב הזמן")+0.5*(S39:Z39="לפעמים"))-(K39:R39="כן"))&gt;0.01)*(((K39:R39="כן")+(K39:R39="לא"))*((S39:Z39="רוב הזמן")+(S39:Z39="לפעמים")+(S39:Z39="עדיין לא")))))</f>
        <v/>
      </c>
      <c r="AQ39" s="36">
        <f>IF($A39="","",COUNTIF(AA39:AC39,"כן"))</f>
        <v/>
      </c>
      <c r="AR39" s="38" t="n"/>
      <c r="AS39" s="38" t="n"/>
      <c r="AT39" s="38" t="n"/>
      <c r="AU39" s="38" t="n"/>
      <c r="AV39" s="36">
        <f>IF($A39="","",IF(AND(AR39="",AT39=""),"לא נבדק",IF(AND(OR(AR39="",AR39=AS39),OR(AT39="",AT39=AU39)),"תואם","לא תואם")))</f>
        <v/>
      </c>
      <c r="AW39" s="36">
        <f>IF($A39="","",IF(AND(AV39&lt;&gt;"לא תואם",G39&lt;&gt;"לא ברור"),"אמין","לפרש בזהירות"))</f>
        <v/>
      </c>
    </row>
    <row r="40">
      <c r="A40" s="38" t="n"/>
      <c r="B40" s="38" t="n"/>
      <c r="C40" s="38" t="n"/>
      <c r="D40" s="38" t="n"/>
      <c r="E40" s="38" t="n"/>
      <c r="F40" s="38" t="n"/>
      <c r="G40" s="38" t="n"/>
      <c r="H40" s="38" t="n"/>
      <c r="I40" s="38" t="n"/>
      <c r="J40" s="38" t="n"/>
      <c r="K40" s="38" t="n"/>
      <c r="L40" s="38" t="n"/>
      <c r="M40" s="38" t="n"/>
      <c r="N40" s="38" t="n"/>
      <c r="O40" s="38" t="n"/>
      <c r="P40" s="38" t="n"/>
      <c r="Q40" s="38" t="n"/>
      <c r="R40" s="38" t="n"/>
      <c r="S40" s="38" t="n"/>
      <c r="T40" s="38" t="n"/>
      <c r="U40" s="38" t="n"/>
      <c r="V40" s="38" t="n"/>
      <c r="W40" s="38" t="n"/>
      <c r="X40" s="38" t="n"/>
      <c r="Y40" s="38" t="n"/>
      <c r="Z40" s="38" t="n"/>
      <c r="AA40" s="38" t="n"/>
      <c r="AB40" s="38" t="n"/>
      <c r="AC40" s="38" t="n"/>
      <c r="AD40" s="38" t="n"/>
      <c r="AE40" s="38" t="n"/>
      <c r="AF40" s="36">
        <f>IF($A40="","",$A40&amp;"|"&amp;$C40)</f>
        <v/>
      </c>
      <c r="AG40" s="36">
        <f>IF($A40="","",IF(OR(H40="לא נבדק",H40=""),"לא נבדק",IF(AND(H40="בחר/ה בעצמו/ה",I40="כן",J40="לא"),"מלא",IF(OR(H40="בחר/ה בעצמו/ה",I40="כן"),"חלקי","עדיין לא"))))</f>
        <v/>
      </c>
      <c r="AH40" s="37">
        <f>IF($A40="","",IFERROR(COUNTIF(K40:L40,"כן")/(COUNTIF(K40:L40,"כן")+COUNTIF(K40:L40,"לא")),""))</f>
        <v/>
      </c>
      <c r="AI40" s="37">
        <f>IF($A40="","",IFERROR(COUNTIF(M40:N40,"כן")/(COUNTIF(M40:N40,"כן")+COUNTIF(M40:N40,"לא")),""))</f>
        <v/>
      </c>
      <c r="AJ40" s="37">
        <f>IF($A40="","",IFERROR(COUNTIF(O40:P40,"כן")/(COUNTIF(O40:P40,"כן")+COUNTIF(O40:P40,"לא")),""))</f>
        <v/>
      </c>
      <c r="AK40" s="37">
        <f>IF($A40="","",IFERROR(COUNTIF(Q40:R40,"כן")/(COUNTIF(Q40:R40,"כן")+COUNTIF(Q40:R40,"לא")),""))</f>
        <v/>
      </c>
      <c r="AL40" s="37">
        <f>IF($A40="","",IFERROR(COUNTIF(K40:R40,"כן")/(COUNTIF(K40:R40,"כן")+COUNTIF(K40:R40,"לא")),""))</f>
        <v/>
      </c>
      <c r="AM40" s="37">
        <f>IF($A40="","",IFERROR((COUNTIF(S40:Z40,"רוב הזמן")+0.5*COUNTIF(S40:Z40,"לפעמים"))/(COUNTIF(S40:Z40,"רוב הזמן")+COUNTIF(S40:Z40,"לפעמים")+COUNTIF(S40:Z40,"עדיין לא")),""))</f>
        <v/>
      </c>
      <c r="AN40" s="37">
        <f>IF($A40="","",IFERROR(1-SUMPRODUCT(ABS((K40:R40="כן")-((S40:Z40="רוב הזמן")+0.5*(S40:Z40="לפעמים")))*(((K40:R40="כן")+(K40:R40="לא"))*((S40:Z40="רוב הזמן")+(S40:Z40="לפעמים")+(S40:Z40="עדיין לא"))))/SUMPRODUCT((((K40:R40="כן")+(K40:R40="לא"))*((S40:Z40="רוב הזמן")+(S40:Z40="לפעמים")+(S40:Z40="עדיין לא")))),""))</f>
        <v/>
      </c>
      <c r="AO40" s="36">
        <f>IF($A40="","",SUMPRODUCT((((K40:R40="כן")-((S40:Z40="רוב הזמן")+0.5*(S40:Z40="לפעמים")))&gt;0.01)*(((K40:R40="כן")+(K40:R40="לא"))*((S40:Z40="רוב הזמן")+(S40:Z40="לפעמים")+(S40:Z40="עדיין לא")))))</f>
        <v/>
      </c>
      <c r="AP40" s="36">
        <f>IF($A40="","",SUMPRODUCT(((((S40:Z40="רוב הזמן")+0.5*(S40:Z40="לפעמים"))-(K40:R40="כן"))&gt;0.01)*(((K40:R40="כן")+(K40:R40="לא"))*((S40:Z40="רוב הזמן")+(S40:Z40="לפעמים")+(S40:Z40="עדיין לא")))))</f>
        <v/>
      </c>
      <c r="AQ40" s="36">
        <f>IF($A40="","",COUNTIF(AA40:AC40,"כן"))</f>
        <v/>
      </c>
      <c r="AR40" s="38" t="n"/>
      <c r="AS40" s="38" t="n"/>
      <c r="AT40" s="38" t="n"/>
      <c r="AU40" s="38" t="n"/>
      <c r="AV40" s="36">
        <f>IF($A40="","",IF(AND(AR40="",AT40=""),"לא נבדק",IF(AND(OR(AR40="",AR40=AS40),OR(AT40="",AT40=AU40)),"תואם","לא תואם")))</f>
        <v/>
      </c>
      <c r="AW40" s="36">
        <f>IF($A40="","",IF(AND(AV40&lt;&gt;"לא תואם",G40&lt;&gt;"לא ברור"),"אמין","לפרש בזהירות"))</f>
        <v/>
      </c>
    </row>
    <row r="41">
      <c r="A41" s="38" t="n"/>
      <c r="B41" s="38" t="n"/>
      <c r="C41" s="38" t="n"/>
      <c r="D41" s="38" t="n"/>
      <c r="E41" s="38" t="n"/>
      <c r="F41" s="38" t="n"/>
      <c r="G41" s="38" t="n"/>
      <c r="H41" s="38" t="n"/>
      <c r="I41" s="38" t="n"/>
      <c r="J41" s="38" t="n"/>
      <c r="K41" s="38" t="n"/>
      <c r="L41" s="38" t="n"/>
      <c r="M41" s="38" t="n"/>
      <c r="N41" s="38" t="n"/>
      <c r="O41" s="38" t="n"/>
      <c r="P41" s="38" t="n"/>
      <c r="Q41" s="38" t="n"/>
      <c r="R41" s="38" t="n"/>
      <c r="S41" s="38" t="n"/>
      <c r="T41" s="38" t="n"/>
      <c r="U41" s="38" t="n"/>
      <c r="V41" s="38" t="n"/>
      <c r="W41" s="38" t="n"/>
      <c r="X41" s="38" t="n"/>
      <c r="Y41" s="38" t="n"/>
      <c r="Z41" s="38" t="n"/>
      <c r="AA41" s="38" t="n"/>
      <c r="AB41" s="38" t="n"/>
      <c r="AC41" s="38" t="n"/>
      <c r="AD41" s="38" t="n"/>
      <c r="AE41" s="38" t="n"/>
      <c r="AF41" s="36">
        <f>IF($A41="","",$A41&amp;"|"&amp;$C41)</f>
        <v/>
      </c>
      <c r="AG41" s="36">
        <f>IF($A41="","",IF(OR(H41="לא נבדק",H41=""),"לא נבדק",IF(AND(H41="בחר/ה בעצמו/ה",I41="כן",J41="לא"),"מלא",IF(OR(H41="בחר/ה בעצמו/ה",I41="כן"),"חלקי","עדיין לא"))))</f>
        <v/>
      </c>
      <c r="AH41" s="37">
        <f>IF($A41="","",IFERROR(COUNTIF(K41:L41,"כן")/(COUNTIF(K41:L41,"כן")+COUNTIF(K41:L41,"לא")),""))</f>
        <v/>
      </c>
      <c r="AI41" s="37">
        <f>IF($A41="","",IFERROR(COUNTIF(M41:N41,"כן")/(COUNTIF(M41:N41,"כן")+COUNTIF(M41:N41,"לא")),""))</f>
        <v/>
      </c>
      <c r="AJ41" s="37">
        <f>IF($A41="","",IFERROR(COUNTIF(O41:P41,"כן")/(COUNTIF(O41:P41,"כן")+COUNTIF(O41:P41,"לא")),""))</f>
        <v/>
      </c>
      <c r="AK41" s="37">
        <f>IF($A41="","",IFERROR(COUNTIF(Q41:R41,"כן")/(COUNTIF(Q41:R41,"כן")+COUNTIF(Q41:R41,"לא")),""))</f>
        <v/>
      </c>
      <c r="AL41" s="37">
        <f>IF($A41="","",IFERROR(COUNTIF(K41:R41,"כן")/(COUNTIF(K41:R41,"כן")+COUNTIF(K41:R41,"לא")),""))</f>
        <v/>
      </c>
      <c r="AM41" s="37">
        <f>IF($A41="","",IFERROR((COUNTIF(S41:Z41,"רוב הזמן")+0.5*COUNTIF(S41:Z41,"לפעמים"))/(COUNTIF(S41:Z41,"רוב הזמן")+COUNTIF(S41:Z41,"לפעמים")+COUNTIF(S41:Z41,"עדיין לא")),""))</f>
        <v/>
      </c>
      <c r="AN41" s="37">
        <f>IF($A41="","",IFERROR(1-SUMPRODUCT(ABS((K41:R41="כן")-((S41:Z41="רוב הזמן")+0.5*(S41:Z41="לפעמים")))*(((K41:R41="כן")+(K41:R41="לא"))*((S41:Z41="רוב הזמן")+(S41:Z41="לפעמים")+(S41:Z41="עדיין לא"))))/SUMPRODUCT((((K41:R41="כן")+(K41:R41="לא"))*((S41:Z41="רוב הזמן")+(S41:Z41="לפעמים")+(S41:Z41="עדיין לא")))),""))</f>
        <v/>
      </c>
      <c r="AO41" s="36">
        <f>IF($A41="","",SUMPRODUCT((((K41:R41="כן")-((S41:Z41="רוב הזמן")+0.5*(S41:Z41="לפעמים")))&gt;0.01)*(((K41:R41="כן")+(K41:R41="לא"))*((S41:Z41="רוב הזמן")+(S41:Z41="לפעמים")+(S41:Z41="עדיין לא")))))</f>
        <v/>
      </c>
      <c r="AP41" s="36">
        <f>IF($A41="","",SUMPRODUCT(((((S41:Z41="רוב הזמן")+0.5*(S41:Z41="לפעמים"))-(K41:R41="כן"))&gt;0.01)*(((K41:R41="כן")+(K41:R41="לא"))*((S41:Z41="רוב הזמן")+(S41:Z41="לפעמים")+(S41:Z41="עדיין לא")))))</f>
        <v/>
      </c>
      <c r="AQ41" s="36">
        <f>IF($A41="","",COUNTIF(AA41:AC41,"כן"))</f>
        <v/>
      </c>
      <c r="AR41" s="38" t="n"/>
      <c r="AS41" s="38" t="n"/>
      <c r="AT41" s="38" t="n"/>
      <c r="AU41" s="38" t="n"/>
      <c r="AV41" s="36">
        <f>IF($A41="","",IF(AND(AR41="",AT41=""),"לא נבדק",IF(AND(OR(AR41="",AR41=AS41),OR(AT41="",AT41=AU41)),"תואם","לא תואם")))</f>
        <v/>
      </c>
      <c r="AW41" s="36">
        <f>IF($A41="","",IF(AND(AV41&lt;&gt;"לא תואם",G41&lt;&gt;"לא ברור"),"אמין","לפרש בזהירות"))</f>
        <v/>
      </c>
    </row>
    <row r="42">
      <c r="A42" s="38" t="n"/>
      <c r="B42" s="38" t="n"/>
      <c r="C42" s="38" t="n"/>
      <c r="D42" s="38" t="n"/>
      <c r="E42" s="38" t="n"/>
      <c r="F42" s="38" t="n"/>
      <c r="G42" s="38" t="n"/>
      <c r="H42" s="38" t="n"/>
      <c r="I42" s="38" t="n"/>
      <c r="J42" s="38" t="n"/>
      <c r="K42" s="38" t="n"/>
      <c r="L42" s="38" t="n"/>
      <c r="M42" s="38" t="n"/>
      <c r="N42" s="38" t="n"/>
      <c r="O42" s="38" t="n"/>
      <c r="P42" s="38" t="n"/>
      <c r="Q42" s="38" t="n"/>
      <c r="R42" s="38" t="n"/>
      <c r="S42" s="38" t="n"/>
      <c r="T42" s="38" t="n"/>
      <c r="U42" s="38" t="n"/>
      <c r="V42" s="38" t="n"/>
      <c r="W42" s="38" t="n"/>
      <c r="X42" s="38" t="n"/>
      <c r="Y42" s="38" t="n"/>
      <c r="Z42" s="38" t="n"/>
      <c r="AA42" s="38" t="n"/>
      <c r="AB42" s="38" t="n"/>
      <c r="AC42" s="38" t="n"/>
      <c r="AD42" s="38" t="n"/>
      <c r="AE42" s="38" t="n"/>
      <c r="AF42" s="36">
        <f>IF($A42="","",$A42&amp;"|"&amp;$C42)</f>
        <v/>
      </c>
      <c r="AG42" s="36">
        <f>IF($A42="","",IF(OR(H42="לא נבדק",H42=""),"לא נבדק",IF(AND(H42="בחר/ה בעצמו/ה",I42="כן",J42="לא"),"מלא",IF(OR(H42="בחר/ה בעצמו/ה",I42="כן"),"חלקי","עדיין לא"))))</f>
        <v/>
      </c>
      <c r="AH42" s="37">
        <f>IF($A42="","",IFERROR(COUNTIF(K42:L42,"כן")/(COUNTIF(K42:L42,"כן")+COUNTIF(K42:L42,"לא")),""))</f>
        <v/>
      </c>
      <c r="AI42" s="37">
        <f>IF($A42="","",IFERROR(COUNTIF(M42:N42,"כן")/(COUNTIF(M42:N42,"כן")+COUNTIF(M42:N42,"לא")),""))</f>
        <v/>
      </c>
      <c r="AJ42" s="37">
        <f>IF($A42="","",IFERROR(COUNTIF(O42:P42,"כן")/(COUNTIF(O42:P42,"כן")+COUNTIF(O42:P42,"לא")),""))</f>
        <v/>
      </c>
      <c r="AK42" s="37">
        <f>IF($A42="","",IFERROR(COUNTIF(Q42:R42,"כן")/(COUNTIF(Q42:R42,"כן")+COUNTIF(Q42:R42,"לא")),""))</f>
        <v/>
      </c>
      <c r="AL42" s="37">
        <f>IF($A42="","",IFERROR(COUNTIF(K42:R42,"כן")/(COUNTIF(K42:R42,"כן")+COUNTIF(K42:R42,"לא")),""))</f>
        <v/>
      </c>
      <c r="AM42" s="37">
        <f>IF($A42="","",IFERROR((COUNTIF(S42:Z42,"רוב הזמן")+0.5*COUNTIF(S42:Z42,"לפעמים"))/(COUNTIF(S42:Z42,"רוב הזמן")+COUNTIF(S42:Z42,"לפעמים")+COUNTIF(S42:Z42,"עדיין לא")),""))</f>
        <v/>
      </c>
      <c r="AN42" s="37">
        <f>IF($A42="","",IFERROR(1-SUMPRODUCT(ABS((K42:R42="כן")-((S42:Z42="רוב הזמן")+0.5*(S42:Z42="לפעמים")))*(((K42:R42="כן")+(K42:R42="לא"))*((S42:Z42="רוב הזמן")+(S42:Z42="לפעמים")+(S42:Z42="עדיין לא"))))/SUMPRODUCT((((K42:R42="כן")+(K42:R42="לא"))*((S42:Z42="רוב הזמן")+(S42:Z42="לפעמים")+(S42:Z42="עדיין לא")))),""))</f>
        <v/>
      </c>
      <c r="AO42" s="36">
        <f>IF($A42="","",SUMPRODUCT((((K42:R42="כן")-((S42:Z42="רוב הזמן")+0.5*(S42:Z42="לפעמים")))&gt;0.01)*(((K42:R42="כן")+(K42:R42="לא"))*((S42:Z42="רוב הזמן")+(S42:Z42="לפעמים")+(S42:Z42="עדיין לא")))))</f>
        <v/>
      </c>
      <c r="AP42" s="36">
        <f>IF($A42="","",SUMPRODUCT(((((S42:Z42="רוב הזמן")+0.5*(S42:Z42="לפעמים"))-(K42:R42="כן"))&gt;0.01)*(((K42:R42="כן")+(K42:R42="לא"))*((S42:Z42="רוב הזמן")+(S42:Z42="לפעמים")+(S42:Z42="עדיין לא")))))</f>
        <v/>
      </c>
      <c r="AQ42" s="36">
        <f>IF($A42="","",COUNTIF(AA42:AC42,"כן"))</f>
        <v/>
      </c>
      <c r="AR42" s="38" t="n"/>
      <c r="AS42" s="38" t="n"/>
      <c r="AT42" s="38" t="n"/>
      <c r="AU42" s="38" t="n"/>
      <c r="AV42" s="36">
        <f>IF($A42="","",IF(AND(AR42="",AT42=""),"לא נבדק",IF(AND(OR(AR42="",AR42=AS42),OR(AT42="",AT42=AU42)),"תואם","לא תואם")))</f>
        <v/>
      </c>
      <c r="AW42" s="36">
        <f>IF($A42="","",IF(AND(AV42&lt;&gt;"לא תואם",G42&lt;&gt;"לא ברור"),"אמין","לפרש בזהירות"))</f>
        <v/>
      </c>
    </row>
    <row r="43">
      <c r="A43" s="38" t="n"/>
      <c r="B43" s="38" t="n"/>
      <c r="C43" s="38" t="n"/>
      <c r="D43" s="38" t="n"/>
      <c r="E43" s="38" t="n"/>
      <c r="F43" s="38" t="n"/>
      <c r="G43" s="38" t="n"/>
      <c r="H43" s="38" t="n"/>
      <c r="I43" s="38" t="n"/>
      <c r="J43" s="38" t="n"/>
      <c r="K43" s="38" t="n"/>
      <c r="L43" s="38" t="n"/>
      <c r="M43" s="38" t="n"/>
      <c r="N43" s="38" t="n"/>
      <c r="O43" s="38" t="n"/>
      <c r="P43" s="38" t="n"/>
      <c r="Q43" s="38" t="n"/>
      <c r="R43" s="38" t="n"/>
      <c r="S43" s="38" t="n"/>
      <c r="T43" s="38" t="n"/>
      <c r="U43" s="38" t="n"/>
      <c r="V43" s="38" t="n"/>
      <c r="W43" s="38" t="n"/>
      <c r="X43" s="38" t="n"/>
      <c r="Y43" s="38" t="n"/>
      <c r="Z43" s="38" t="n"/>
      <c r="AA43" s="38" t="n"/>
      <c r="AB43" s="38" t="n"/>
      <c r="AC43" s="38" t="n"/>
      <c r="AD43" s="38" t="n"/>
      <c r="AE43" s="38" t="n"/>
      <c r="AF43" s="36">
        <f>IF($A43="","",$A43&amp;"|"&amp;$C43)</f>
        <v/>
      </c>
      <c r="AG43" s="36">
        <f>IF($A43="","",IF(OR(H43="לא נבדק",H43=""),"לא נבדק",IF(AND(H43="בחר/ה בעצמו/ה",I43="כן",J43="לא"),"מלא",IF(OR(H43="בחר/ה בעצמו/ה",I43="כן"),"חלקי","עדיין לא"))))</f>
        <v/>
      </c>
      <c r="AH43" s="37">
        <f>IF($A43="","",IFERROR(COUNTIF(K43:L43,"כן")/(COUNTIF(K43:L43,"כן")+COUNTIF(K43:L43,"לא")),""))</f>
        <v/>
      </c>
      <c r="AI43" s="37">
        <f>IF($A43="","",IFERROR(COUNTIF(M43:N43,"כן")/(COUNTIF(M43:N43,"כן")+COUNTIF(M43:N43,"לא")),""))</f>
        <v/>
      </c>
      <c r="AJ43" s="37">
        <f>IF($A43="","",IFERROR(COUNTIF(O43:P43,"כן")/(COUNTIF(O43:P43,"כן")+COUNTIF(O43:P43,"לא")),""))</f>
        <v/>
      </c>
      <c r="AK43" s="37">
        <f>IF($A43="","",IFERROR(COUNTIF(Q43:R43,"כן")/(COUNTIF(Q43:R43,"כן")+COUNTIF(Q43:R43,"לא")),""))</f>
        <v/>
      </c>
      <c r="AL43" s="37">
        <f>IF($A43="","",IFERROR(COUNTIF(K43:R43,"כן")/(COUNTIF(K43:R43,"כן")+COUNTIF(K43:R43,"לא")),""))</f>
        <v/>
      </c>
      <c r="AM43" s="37">
        <f>IF($A43="","",IFERROR((COUNTIF(S43:Z43,"רוב הזמן")+0.5*COUNTIF(S43:Z43,"לפעמים"))/(COUNTIF(S43:Z43,"רוב הזמן")+COUNTIF(S43:Z43,"לפעמים")+COUNTIF(S43:Z43,"עדיין לא")),""))</f>
        <v/>
      </c>
      <c r="AN43" s="37">
        <f>IF($A43="","",IFERROR(1-SUMPRODUCT(ABS((K43:R43="כן")-((S43:Z43="רוב הזמן")+0.5*(S43:Z43="לפעמים")))*(((K43:R43="כן")+(K43:R43="לא"))*((S43:Z43="רוב הזמן")+(S43:Z43="לפעמים")+(S43:Z43="עדיין לא"))))/SUMPRODUCT((((K43:R43="כן")+(K43:R43="לא"))*((S43:Z43="רוב הזמן")+(S43:Z43="לפעמים")+(S43:Z43="עדיין לא")))),""))</f>
        <v/>
      </c>
      <c r="AO43" s="36">
        <f>IF($A43="","",SUMPRODUCT((((K43:R43="כן")-((S43:Z43="רוב הזמן")+0.5*(S43:Z43="לפעמים")))&gt;0.01)*(((K43:R43="כן")+(K43:R43="לא"))*((S43:Z43="רוב הזמן")+(S43:Z43="לפעמים")+(S43:Z43="עדיין לא")))))</f>
        <v/>
      </c>
      <c r="AP43" s="36">
        <f>IF($A43="","",SUMPRODUCT(((((S43:Z43="רוב הזמן")+0.5*(S43:Z43="לפעמים"))-(K43:R43="כן"))&gt;0.01)*(((K43:R43="כן")+(K43:R43="לא"))*((S43:Z43="רוב הזמן")+(S43:Z43="לפעמים")+(S43:Z43="עדיין לא")))))</f>
        <v/>
      </c>
      <c r="AQ43" s="36">
        <f>IF($A43="","",COUNTIF(AA43:AC43,"כן"))</f>
        <v/>
      </c>
      <c r="AR43" s="38" t="n"/>
      <c r="AS43" s="38" t="n"/>
      <c r="AT43" s="38" t="n"/>
      <c r="AU43" s="38" t="n"/>
      <c r="AV43" s="36">
        <f>IF($A43="","",IF(AND(AR43="",AT43=""),"לא נבדק",IF(AND(OR(AR43="",AR43=AS43),OR(AT43="",AT43=AU43)),"תואם","לא תואם")))</f>
        <v/>
      </c>
      <c r="AW43" s="36">
        <f>IF($A43="","",IF(AND(AV43&lt;&gt;"לא תואם",G43&lt;&gt;"לא ברור"),"אמין","לפרש בזהירות"))</f>
        <v/>
      </c>
    </row>
    <row r="44">
      <c r="A44" s="38" t="n"/>
      <c r="B44" s="38" t="n"/>
      <c r="C44" s="38" t="n"/>
      <c r="D44" s="38" t="n"/>
      <c r="E44" s="38" t="n"/>
      <c r="F44" s="38" t="n"/>
      <c r="G44" s="38" t="n"/>
      <c r="H44" s="38" t="n"/>
      <c r="I44" s="38" t="n"/>
      <c r="J44" s="38" t="n"/>
      <c r="K44" s="38" t="n"/>
      <c r="L44" s="38" t="n"/>
      <c r="M44" s="38" t="n"/>
      <c r="N44" s="38" t="n"/>
      <c r="O44" s="38" t="n"/>
      <c r="P44" s="38" t="n"/>
      <c r="Q44" s="38" t="n"/>
      <c r="R44" s="38" t="n"/>
      <c r="S44" s="38" t="n"/>
      <c r="T44" s="38" t="n"/>
      <c r="U44" s="38" t="n"/>
      <c r="V44" s="38" t="n"/>
      <c r="W44" s="38" t="n"/>
      <c r="X44" s="38" t="n"/>
      <c r="Y44" s="38" t="n"/>
      <c r="Z44" s="38" t="n"/>
      <c r="AA44" s="38" t="n"/>
      <c r="AB44" s="38" t="n"/>
      <c r="AC44" s="38" t="n"/>
      <c r="AD44" s="38" t="n"/>
      <c r="AE44" s="38" t="n"/>
      <c r="AF44" s="36">
        <f>IF($A44="","",$A44&amp;"|"&amp;$C44)</f>
        <v/>
      </c>
      <c r="AG44" s="36">
        <f>IF($A44="","",IF(OR(H44="לא נבדק",H44=""),"לא נבדק",IF(AND(H44="בחר/ה בעצמו/ה",I44="כן",J44="לא"),"מלא",IF(OR(H44="בחר/ה בעצמו/ה",I44="כן"),"חלקי","עדיין לא"))))</f>
        <v/>
      </c>
      <c r="AH44" s="37">
        <f>IF($A44="","",IFERROR(COUNTIF(K44:L44,"כן")/(COUNTIF(K44:L44,"כן")+COUNTIF(K44:L44,"לא")),""))</f>
        <v/>
      </c>
      <c r="AI44" s="37">
        <f>IF($A44="","",IFERROR(COUNTIF(M44:N44,"כן")/(COUNTIF(M44:N44,"כן")+COUNTIF(M44:N44,"לא")),""))</f>
        <v/>
      </c>
      <c r="AJ44" s="37">
        <f>IF($A44="","",IFERROR(COUNTIF(O44:P44,"כן")/(COUNTIF(O44:P44,"כן")+COUNTIF(O44:P44,"לא")),""))</f>
        <v/>
      </c>
      <c r="AK44" s="37">
        <f>IF($A44="","",IFERROR(COUNTIF(Q44:R44,"כן")/(COUNTIF(Q44:R44,"כן")+COUNTIF(Q44:R44,"לא")),""))</f>
        <v/>
      </c>
      <c r="AL44" s="37">
        <f>IF($A44="","",IFERROR(COUNTIF(K44:R44,"כן")/(COUNTIF(K44:R44,"כן")+COUNTIF(K44:R44,"לא")),""))</f>
        <v/>
      </c>
      <c r="AM44" s="37">
        <f>IF($A44="","",IFERROR((COUNTIF(S44:Z44,"רוב הזמן")+0.5*COUNTIF(S44:Z44,"לפעמים"))/(COUNTIF(S44:Z44,"רוב הזמן")+COUNTIF(S44:Z44,"לפעמים")+COUNTIF(S44:Z44,"עדיין לא")),""))</f>
        <v/>
      </c>
      <c r="AN44" s="37">
        <f>IF($A44="","",IFERROR(1-SUMPRODUCT(ABS((K44:R44="כן")-((S44:Z44="רוב הזמן")+0.5*(S44:Z44="לפעמים")))*(((K44:R44="כן")+(K44:R44="לא"))*((S44:Z44="רוב הזמן")+(S44:Z44="לפעמים")+(S44:Z44="עדיין לא"))))/SUMPRODUCT((((K44:R44="כן")+(K44:R44="לא"))*((S44:Z44="רוב הזמן")+(S44:Z44="לפעמים")+(S44:Z44="עדיין לא")))),""))</f>
        <v/>
      </c>
      <c r="AO44" s="36">
        <f>IF($A44="","",SUMPRODUCT((((K44:R44="כן")-((S44:Z44="רוב הזמן")+0.5*(S44:Z44="לפעמים")))&gt;0.01)*(((K44:R44="כן")+(K44:R44="לא"))*((S44:Z44="רוב הזמן")+(S44:Z44="לפעמים")+(S44:Z44="עדיין לא")))))</f>
        <v/>
      </c>
      <c r="AP44" s="36">
        <f>IF($A44="","",SUMPRODUCT(((((S44:Z44="רוב הזמן")+0.5*(S44:Z44="לפעמים"))-(K44:R44="כן"))&gt;0.01)*(((K44:R44="כן")+(K44:R44="לא"))*((S44:Z44="רוב הזמן")+(S44:Z44="לפעמים")+(S44:Z44="עדיין לא")))))</f>
        <v/>
      </c>
      <c r="AQ44" s="36">
        <f>IF($A44="","",COUNTIF(AA44:AC44,"כן"))</f>
        <v/>
      </c>
      <c r="AR44" s="38" t="n"/>
      <c r="AS44" s="38" t="n"/>
      <c r="AT44" s="38" t="n"/>
      <c r="AU44" s="38" t="n"/>
      <c r="AV44" s="36">
        <f>IF($A44="","",IF(AND(AR44="",AT44=""),"לא נבדק",IF(AND(OR(AR44="",AR44=AS44),OR(AT44="",AT44=AU44)),"תואם","לא תואם")))</f>
        <v/>
      </c>
      <c r="AW44" s="36">
        <f>IF($A44="","",IF(AND(AV44&lt;&gt;"לא תואם",G44&lt;&gt;"לא ברור"),"אמין","לפרש בזהירות"))</f>
        <v/>
      </c>
    </row>
    <row r="45">
      <c r="A45" s="38" t="n"/>
      <c r="B45" s="38" t="n"/>
      <c r="C45" s="38" t="n"/>
      <c r="D45" s="38" t="n"/>
      <c r="E45" s="38" t="n"/>
      <c r="F45" s="38" t="n"/>
      <c r="G45" s="38" t="n"/>
      <c r="H45" s="38" t="n"/>
      <c r="I45" s="38" t="n"/>
      <c r="J45" s="38" t="n"/>
      <c r="K45" s="38" t="n"/>
      <c r="L45" s="38" t="n"/>
      <c r="M45" s="38" t="n"/>
      <c r="N45" s="38" t="n"/>
      <c r="O45" s="38" t="n"/>
      <c r="P45" s="38" t="n"/>
      <c r="Q45" s="38" t="n"/>
      <c r="R45" s="38" t="n"/>
      <c r="S45" s="38" t="n"/>
      <c r="T45" s="38" t="n"/>
      <c r="U45" s="38" t="n"/>
      <c r="V45" s="38" t="n"/>
      <c r="W45" s="38" t="n"/>
      <c r="X45" s="38" t="n"/>
      <c r="Y45" s="38" t="n"/>
      <c r="Z45" s="38" t="n"/>
      <c r="AA45" s="38" t="n"/>
      <c r="AB45" s="38" t="n"/>
      <c r="AC45" s="38" t="n"/>
      <c r="AD45" s="38" t="n"/>
      <c r="AE45" s="38" t="n"/>
      <c r="AF45" s="36">
        <f>IF($A45="","",$A45&amp;"|"&amp;$C45)</f>
        <v/>
      </c>
      <c r="AG45" s="36">
        <f>IF($A45="","",IF(OR(H45="לא נבדק",H45=""),"לא נבדק",IF(AND(H45="בחר/ה בעצמו/ה",I45="כן",J45="לא"),"מלא",IF(OR(H45="בחר/ה בעצמו/ה",I45="כן"),"חלקי","עדיין לא"))))</f>
        <v/>
      </c>
      <c r="AH45" s="37">
        <f>IF($A45="","",IFERROR(COUNTIF(K45:L45,"כן")/(COUNTIF(K45:L45,"כן")+COUNTIF(K45:L45,"לא")),""))</f>
        <v/>
      </c>
      <c r="AI45" s="37">
        <f>IF($A45="","",IFERROR(COUNTIF(M45:N45,"כן")/(COUNTIF(M45:N45,"כן")+COUNTIF(M45:N45,"לא")),""))</f>
        <v/>
      </c>
      <c r="AJ45" s="37">
        <f>IF($A45="","",IFERROR(COUNTIF(O45:P45,"כן")/(COUNTIF(O45:P45,"כן")+COUNTIF(O45:P45,"לא")),""))</f>
        <v/>
      </c>
      <c r="AK45" s="37">
        <f>IF($A45="","",IFERROR(COUNTIF(Q45:R45,"כן")/(COUNTIF(Q45:R45,"כן")+COUNTIF(Q45:R45,"לא")),""))</f>
        <v/>
      </c>
      <c r="AL45" s="37">
        <f>IF($A45="","",IFERROR(COUNTIF(K45:R45,"כן")/(COUNTIF(K45:R45,"כן")+COUNTIF(K45:R45,"לא")),""))</f>
        <v/>
      </c>
      <c r="AM45" s="37">
        <f>IF($A45="","",IFERROR((COUNTIF(S45:Z45,"רוב הזמן")+0.5*COUNTIF(S45:Z45,"לפעמים"))/(COUNTIF(S45:Z45,"רוב הזמן")+COUNTIF(S45:Z45,"לפעמים")+COUNTIF(S45:Z45,"עדיין לא")),""))</f>
        <v/>
      </c>
      <c r="AN45" s="37">
        <f>IF($A45="","",IFERROR(1-SUMPRODUCT(ABS((K45:R45="כן")-((S45:Z45="רוב הזמן")+0.5*(S45:Z45="לפעמים")))*(((K45:R45="כן")+(K45:R45="לא"))*((S45:Z45="רוב הזמן")+(S45:Z45="לפעמים")+(S45:Z45="עדיין לא"))))/SUMPRODUCT((((K45:R45="כן")+(K45:R45="לא"))*((S45:Z45="רוב הזמן")+(S45:Z45="לפעמים")+(S45:Z45="עדיין לא")))),""))</f>
        <v/>
      </c>
      <c r="AO45" s="36">
        <f>IF($A45="","",SUMPRODUCT((((K45:R45="כן")-((S45:Z45="רוב הזמן")+0.5*(S45:Z45="לפעמים")))&gt;0.01)*(((K45:R45="כן")+(K45:R45="לא"))*((S45:Z45="רוב הזמן")+(S45:Z45="לפעמים")+(S45:Z45="עדיין לא")))))</f>
        <v/>
      </c>
      <c r="AP45" s="36">
        <f>IF($A45="","",SUMPRODUCT(((((S45:Z45="רוב הזמן")+0.5*(S45:Z45="לפעמים"))-(K45:R45="כן"))&gt;0.01)*(((K45:R45="כן")+(K45:R45="לא"))*((S45:Z45="רוב הזמן")+(S45:Z45="לפעמים")+(S45:Z45="עדיין לא")))))</f>
        <v/>
      </c>
      <c r="AQ45" s="36">
        <f>IF($A45="","",COUNTIF(AA45:AC45,"כן"))</f>
        <v/>
      </c>
      <c r="AR45" s="38" t="n"/>
      <c r="AS45" s="38" t="n"/>
      <c r="AT45" s="38" t="n"/>
      <c r="AU45" s="38" t="n"/>
      <c r="AV45" s="36">
        <f>IF($A45="","",IF(AND(AR45="",AT45=""),"לא נבדק",IF(AND(OR(AR45="",AR45=AS45),OR(AT45="",AT45=AU45)),"תואם","לא תואם")))</f>
        <v/>
      </c>
      <c r="AW45" s="36">
        <f>IF($A45="","",IF(AND(AV45&lt;&gt;"לא תואם",G45&lt;&gt;"לא ברור"),"אמין","לפרש בזהירות"))</f>
        <v/>
      </c>
    </row>
    <row r="46">
      <c r="A46" s="38" t="n"/>
      <c r="B46" s="38" t="n"/>
      <c r="C46" s="38" t="n"/>
      <c r="D46" s="38" t="n"/>
      <c r="E46" s="38" t="n"/>
      <c r="F46" s="38" t="n"/>
      <c r="G46" s="38" t="n"/>
      <c r="H46" s="38" t="n"/>
      <c r="I46" s="38" t="n"/>
      <c r="J46" s="38" t="n"/>
      <c r="K46" s="38" t="n"/>
      <c r="L46" s="38" t="n"/>
      <c r="M46" s="38" t="n"/>
      <c r="N46" s="38" t="n"/>
      <c r="O46" s="38" t="n"/>
      <c r="P46" s="38" t="n"/>
      <c r="Q46" s="38" t="n"/>
      <c r="R46" s="38" t="n"/>
      <c r="S46" s="38" t="n"/>
      <c r="T46" s="38" t="n"/>
      <c r="U46" s="38" t="n"/>
      <c r="V46" s="38" t="n"/>
      <c r="W46" s="38" t="n"/>
      <c r="X46" s="38" t="n"/>
      <c r="Y46" s="38" t="n"/>
      <c r="Z46" s="38" t="n"/>
      <c r="AA46" s="38" t="n"/>
      <c r="AB46" s="38" t="n"/>
      <c r="AC46" s="38" t="n"/>
      <c r="AD46" s="38" t="n"/>
      <c r="AE46" s="38" t="n"/>
      <c r="AF46" s="36">
        <f>IF($A46="","",$A46&amp;"|"&amp;$C46)</f>
        <v/>
      </c>
      <c r="AG46" s="36">
        <f>IF($A46="","",IF(OR(H46="לא נבדק",H46=""),"לא נבדק",IF(AND(H46="בחר/ה בעצמו/ה",I46="כן",J46="לא"),"מלא",IF(OR(H46="בחר/ה בעצמו/ה",I46="כן"),"חלקי","עדיין לא"))))</f>
        <v/>
      </c>
      <c r="AH46" s="37">
        <f>IF($A46="","",IFERROR(COUNTIF(K46:L46,"כן")/(COUNTIF(K46:L46,"כן")+COUNTIF(K46:L46,"לא")),""))</f>
        <v/>
      </c>
      <c r="AI46" s="37">
        <f>IF($A46="","",IFERROR(COUNTIF(M46:N46,"כן")/(COUNTIF(M46:N46,"כן")+COUNTIF(M46:N46,"לא")),""))</f>
        <v/>
      </c>
      <c r="AJ46" s="37">
        <f>IF($A46="","",IFERROR(COUNTIF(O46:P46,"כן")/(COUNTIF(O46:P46,"כן")+COUNTIF(O46:P46,"לא")),""))</f>
        <v/>
      </c>
      <c r="AK46" s="37">
        <f>IF($A46="","",IFERROR(COUNTIF(Q46:R46,"כן")/(COUNTIF(Q46:R46,"כן")+COUNTIF(Q46:R46,"לא")),""))</f>
        <v/>
      </c>
      <c r="AL46" s="37">
        <f>IF($A46="","",IFERROR(COUNTIF(K46:R46,"כן")/(COUNTIF(K46:R46,"כן")+COUNTIF(K46:R46,"לא")),""))</f>
        <v/>
      </c>
      <c r="AM46" s="37">
        <f>IF($A46="","",IFERROR((COUNTIF(S46:Z46,"רוב הזמן")+0.5*COUNTIF(S46:Z46,"לפעמים"))/(COUNTIF(S46:Z46,"רוב הזמן")+COUNTIF(S46:Z46,"לפעמים")+COUNTIF(S46:Z46,"עדיין לא")),""))</f>
        <v/>
      </c>
      <c r="AN46" s="37">
        <f>IF($A46="","",IFERROR(1-SUMPRODUCT(ABS((K46:R46="כן")-((S46:Z46="רוב הזמן")+0.5*(S46:Z46="לפעמים")))*(((K46:R46="כן")+(K46:R46="לא"))*((S46:Z46="רוב הזמן")+(S46:Z46="לפעמים")+(S46:Z46="עדיין לא"))))/SUMPRODUCT((((K46:R46="כן")+(K46:R46="לא"))*((S46:Z46="רוב הזמן")+(S46:Z46="לפעמים")+(S46:Z46="עדיין לא")))),""))</f>
        <v/>
      </c>
      <c r="AO46" s="36">
        <f>IF($A46="","",SUMPRODUCT((((K46:R46="כן")-((S46:Z46="רוב הזמן")+0.5*(S46:Z46="לפעמים")))&gt;0.01)*(((K46:R46="כן")+(K46:R46="לא"))*((S46:Z46="רוב הזמן")+(S46:Z46="לפעמים")+(S46:Z46="עדיין לא")))))</f>
        <v/>
      </c>
      <c r="AP46" s="36">
        <f>IF($A46="","",SUMPRODUCT(((((S46:Z46="רוב הזמן")+0.5*(S46:Z46="לפעמים"))-(K46:R46="כן"))&gt;0.01)*(((K46:R46="כן")+(K46:R46="לא"))*((S46:Z46="רוב הזמן")+(S46:Z46="לפעמים")+(S46:Z46="עדיין לא")))))</f>
        <v/>
      </c>
      <c r="AQ46" s="36">
        <f>IF($A46="","",COUNTIF(AA46:AC46,"כן"))</f>
        <v/>
      </c>
      <c r="AR46" s="38" t="n"/>
      <c r="AS46" s="38" t="n"/>
      <c r="AT46" s="38" t="n"/>
      <c r="AU46" s="38" t="n"/>
      <c r="AV46" s="36">
        <f>IF($A46="","",IF(AND(AR46="",AT46=""),"לא נבדק",IF(AND(OR(AR46="",AR46=AS46),OR(AT46="",AT46=AU46)),"תואם","לא תואם")))</f>
        <v/>
      </c>
      <c r="AW46" s="36">
        <f>IF($A46="","",IF(AND(AV46&lt;&gt;"לא תואם",G46&lt;&gt;"לא ברור"),"אמין","לפרש בזהירות"))</f>
        <v/>
      </c>
    </row>
    <row r="47">
      <c r="A47" s="38" t="n"/>
      <c r="B47" s="38" t="n"/>
      <c r="C47" s="38" t="n"/>
      <c r="D47" s="38" t="n"/>
      <c r="E47" s="38" t="n"/>
      <c r="F47" s="38" t="n"/>
      <c r="G47" s="38" t="n"/>
      <c r="H47" s="38" t="n"/>
      <c r="I47" s="38" t="n"/>
      <c r="J47" s="38" t="n"/>
      <c r="K47" s="38" t="n"/>
      <c r="L47" s="38" t="n"/>
      <c r="M47" s="38" t="n"/>
      <c r="N47" s="38" t="n"/>
      <c r="O47" s="38" t="n"/>
      <c r="P47" s="38" t="n"/>
      <c r="Q47" s="38" t="n"/>
      <c r="R47" s="38" t="n"/>
      <c r="S47" s="38" t="n"/>
      <c r="T47" s="38" t="n"/>
      <c r="U47" s="38" t="n"/>
      <c r="V47" s="38" t="n"/>
      <c r="W47" s="38" t="n"/>
      <c r="X47" s="38" t="n"/>
      <c r="Y47" s="38" t="n"/>
      <c r="Z47" s="38" t="n"/>
      <c r="AA47" s="38" t="n"/>
      <c r="AB47" s="38" t="n"/>
      <c r="AC47" s="38" t="n"/>
      <c r="AD47" s="38" t="n"/>
      <c r="AE47" s="38" t="n"/>
      <c r="AF47" s="36">
        <f>IF($A47="","",$A47&amp;"|"&amp;$C47)</f>
        <v/>
      </c>
      <c r="AG47" s="36">
        <f>IF($A47="","",IF(OR(H47="לא נבדק",H47=""),"לא נבדק",IF(AND(H47="בחר/ה בעצמו/ה",I47="כן",J47="לא"),"מלא",IF(OR(H47="בחר/ה בעצמו/ה",I47="כן"),"חלקי","עדיין לא"))))</f>
        <v/>
      </c>
      <c r="AH47" s="37">
        <f>IF($A47="","",IFERROR(COUNTIF(K47:L47,"כן")/(COUNTIF(K47:L47,"כן")+COUNTIF(K47:L47,"לא")),""))</f>
        <v/>
      </c>
      <c r="AI47" s="37">
        <f>IF($A47="","",IFERROR(COUNTIF(M47:N47,"כן")/(COUNTIF(M47:N47,"כן")+COUNTIF(M47:N47,"לא")),""))</f>
        <v/>
      </c>
      <c r="AJ47" s="37">
        <f>IF($A47="","",IFERROR(COUNTIF(O47:P47,"כן")/(COUNTIF(O47:P47,"כן")+COUNTIF(O47:P47,"לא")),""))</f>
        <v/>
      </c>
      <c r="AK47" s="37">
        <f>IF($A47="","",IFERROR(COUNTIF(Q47:R47,"כן")/(COUNTIF(Q47:R47,"כן")+COUNTIF(Q47:R47,"לא")),""))</f>
        <v/>
      </c>
      <c r="AL47" s="37">
        <f>IF($A47="","",IFERROR(COUNTIF(K47:R47,"כן")/(COUNTIF(K47:R47,"כן")+COUNTIF(K47:R47,"לא")),""))</f>
        <v/>
      </c>
      <c r="AM47" s="37">
        <f>IF($A47="","",IFERROR((COUNTIF(S47:Z47,"רוב הזמן")+0.5*COUNTIF(S47:Z47,"לפעמים"))/(COUNTIF(S47:Z47,"רוב הזמן")+COUNTIF(S47:Z47,"לפעמים")+COUNTIF(S47:Z47,"עדיין לא")),""))</f>
        <v/>
      </c>
      <c r="AN47" s="37">
        <f>IF($A47="","",IFERROR(1-SUMPRODUCT(ABS((K47:R47="כן")-((S47:Z47="רוב הזמן")+0.5*(S47:Z47="לפעמים")))*(((K47:R47="כן")+(K47:R47="לא"))*((S47:Z47="רוב הזמן")+(S47:Z47="לפעמים")+(S47:Z47="עדיין לא"))))/SUMPRODUCT((((K47:R47="כן")+(K47:R47="לא"))*((S47:Z47="רוב הזמן")+(S47:Z47="לפעמים")+(S47:Z47="עדיין לא")))),""))</f>
        <v/>
      </c>
      <c r="AO47" s="36">
        <f>IF($A47="","",SUMPRODUCT((((K47:R47="כן")-((S47:Z47="רוב הזמן")+0.5*(S47:Z47="לפעמים")))&gt;0.01)*(((K47:R47="כן")+(K47:R47="לא"))*((S47:Z47="רוב הזמן")+(S47:Z47="לפעמים")+(S47:Z47="עדיין לא")))))</f>
        <v/>
      </c>
      <c r="AP47" s="36">
        <f>IF($A47="","",SUMPRODUCT(((((S47:Z47="רוב הזמן")+0.5*(S47:Z47="לפעמים"))-(K47:R47="כן"))&gt;0.01)*(((K47:R47="כן")+(K47:R47="לא"))*((S47:Z47="רוב הזמן")+(S47:Z47="לפעמים")+(S47:Z47="עדיין לא")))))</f>
        <v/>
      </c>
      <c r="AQ47" s="36">
        <f>IF($A47="","",COUNTIF(AA47:AC47,"כן"))</f>
        <v/>
      </c>
      <c r="AR47" s="38" t="n"/>
      <c r="AS47" s="38" t="n"/>
      <c r="AT47" s="38" t="n"/>
      <c r="AU47" s="38" t="n"/>
      <c r="AV47" s="36">
        <f>IF($A47="","",IF(AND(AR47="",AT47=""),"לא נבדק",IF(AND(OR(AR47="",AR47=AS47),OR(AT47="",AT47=AU47)),"תואם","לא תואם")))</f>
        <v/>
      </c>
      <c r="AW47" s="36">
        <f>IF($A47="","",IF(AND(AV47&lt;&gt;"לא תואם",G47&lt;&gt;"לא ברור"),"אמין","לפרש בזהירות"))</f>
        <v/>
      </c>
    </row>
    <row r="48">
      <c r="A48" s="38" t="n"/>
      <c r="B48" s="38" t="n"/>
      <c r="C48" s="38" t="n"/>
      <c r="D48" s="38" t="n"/>
      <c r="E48" s="38" t="n"/>
      <c r="F48" s="38" t="n"/>
      <c r="G48" s="38" t="n"/>
      <c r="H48" s="38" t="n"/>
      <c r="I48" s="38" t="n"/>
      <c r="J48" s="38" t="n"/>
      <c r="K48" s="38" t="n"/>
      <c r="L48" s="38" t="n"/>
      <c r="M48" s="38" t="n"/>
      <c r="N48" s="38" t="n"/>
      <c r="O48" s="38" t="n"/>
      <c r="P48" s="38" t="n"/>
      <c r="Q48" s="38" t="n"/>
      <c r="R48" s="38" t="n"/>
      <c r="S48" s="38" t="n"/>
      <c r="T48" s="38" t="n"/>
      <c r="U48" s="38" t="n"/>
      <c r="V48" s="38" t="n"/>
      <c r="W48" s="38" t="n"/>
      <c r="X48" s="38" t="n"/>
      <c r="Y48" s="38" t="n"/>
      <c r="Z48" s="38" t="n"/>
      <c r="AA48" s="38" t="n"/>
      <c r="AB48" s="38" t="n"/>
      <c r="AC48" s="38" t="n"/>
      <c r="AD48" s="38" t="n"/>
      <c r="AE48" s="38" t="n"/>
      <c r="AF48" s="36">
        <f>IF($A48="","",$A48&amp;"|"&amp;$C48)</f>
        <v/>
      </c>
      <c r="AG48" s="36">
        <f>IF($A48="","",IF(OR(H48="לא נבדק",H48=""),"לא נבדק",IF(AND(H48="בחר/ה בעצמו/ה",I48="כן",J48="לא"),"מלא",IF(OR(H48="בחר/ה בעצמו/ה",I48="כן"),"חלקי","עדיין לא"))))</f>
        <v/>
      </c>
      <c r="AH48" s="37">
        <f>IF($A48="","",IFERROR(COUNTIF(K48:L48,"כן")/(COUNTIF(K48:L48,"כן")+COUNTIF(K48:L48,"לא")),""))</f>
        <v/>
      </c>
      <c r="AI48" s="37">
        <f>IF($A48="","",IFERROR(COUNTIF(M48:N48,"כן")/(COUNTIF(M48:N48,"כן")+COUNTIF(M48:N48,"לא")),""))</f>
        <v/>
      </c>
      <c r="AJ48" s="37">
        <f>IF($A48="","",IFERROR(COUNTIF(O48:P48,"כן")/(COUNTIF(O48:P48,"כן")+COUNTIF(O48:P48,"לא")),""))</f>
        <v/>
      </c>
      <c r="AK48" s="37">
        <f>IF($A48="","",IFERROR(COUNTIF(Q48:R48,"כן")/(COUNTIF(Q48:R48,"כן")+COUNTIF(Q48:R48,"לא")),""))</f>
        <v/>
      </c>
      <c r="AL48" s="37">
        <f>IF($A48="","",IFERROR(COUNTIF(K48:R48,"כן")/(COUNTIF(K48:R48,"כן")+COUNTIF(K48:R48,"לא")),""))</f>
        <v/>
      </c>
      <c r="AM48" s="37">
        <f>IF($A48="","",IFERROR((COUNTIF(S48:Z48,"רוב הזמן")+0.5*COUNTIF(S48:Z48,"לפעמים"))/(COUNTIF(S48:Z48,"רוב הזמן")+COUNTIF(S48:Z48,"לפעמים")+COUNTIF(S48:Z48,"עדיין לא")),""))</f>
        <v/>
      </c>
      <c r="AN48" s="37">
        <f>IF($A48="","",IFERROR(1-SUMPRODUCT(ABS((K48:R48="כן")-((S48:Z48="רוב הזמן")+0.5*(S48:Z48="לפעמים")))*(((K48:R48="כן")+(K48:R48="לא"))*((S48:Z48="רוב הזמן")+(S48:Z48="לפעמים")+(S48:Z48="עדיין לא"))))/SUMPRODUCT((((K48:R48="כן")+(K48:R48="לא"))*((S48:Z48="רוב הזמן")+(S48:Z48="לפעמים")+(S48:Z48="עדיין לא")))),""))</f>
        <v/>
      </c>
      <c r="AO48" s="36">
        <f>IF($A48="","",SUMPRODUCT((((K48:R48="כן")-((S48:Z48="רוב הזמן")+0.5*(S48:Z48="לפעמים")))&gt;0.01)*(((K48:R48="כן")+(K48:R48="לא"))*((S48:Z48="רוב הזמן")+(S48:Z48="לפעמים")+(S48:Z48="עדיין לא")))))</f>
        <v/>
      </c>
      <c r="AP48" s="36">
        <f>IF($A48="","",SUMPRODUCT(((((S48:Z48="רוב הזמן")+0.5*(S48:Z48="לפעמים"))-(K48:R48="כן"))&gt;0.01)*(((K48:R48="כן")+(K48:R48="לא"))*((S48:Z48="רוב הזמן")+(S48:Z48="לפעמים")+(S48:Z48="עדיין לא")))))</f>
        <v/>
      </c>
      <c r="AQ48" s="36">
        <f>IF($A48="","",COUNTIF(AA48:AC48,"כן"))</f>
        <v/>
      </c>
      <c r="AR48" s="38" t="n"/>
      <c r="AS48" s="38" t="n"/>
      <c r="AT48" s="38" t="n"/>
      <c r="AU48" s="38" t="n"/>
      <c r="AV48" s="36">
        <f>IF($A48="","",IF(AND(AR48="",AT48=""),"לא נבדק",IF(AND(OR(AR48="",AR48=AS48),OR(AT48="",AT48=AU48)),"תואם","לא תואם")))</f>
        <v/>
      </c>
      <c r="AW48" s="36">
        <f>IF($A48="","",IF(AND(AV48&lt;&gt;"לא תואם",G48&lt;&gt;"לא ברור"),"אמין","לפרש בזהירות"))</f>
        <v/>
      </c>
    </row>
    <row r="49">
      <c r="A49" s="38" t="n"/>
      <c r="B49" s="38" t="n"/>
      <c r="C49" s="38" t="n"/>
      <c r="D49" s="38" t="n"/>
      <c r="E49" s="38" t="n"/>
      <c r="F49" s="38" t="n"/>
      <c r="G49" s="38" t="n"/>
      <c r="H49" s="38" t="n"/>
      <c r="I49" s="38" t="n"/>
      <c r="J49" s="38" t="n"/>
      <c r="K49" s="38" t="n"/>
      <c r="L49" s="38" t="n"/>
      <c r="M49" s="38" t="n"/>
      <c r="N49" s="38" t="n"/>
      <c r="O49" s="38" t="n"/>
      <c r="P49" s="38" t="n"/>
      <c r="Q49" s="38" t="n"/>
      <c r="R49" s="38" t="n"/>
      <c r="S49" s="38" t="n"/>
      <c r="T49" s="38" t="n"/>
      <c r="U49" s="38" t="n"/>
      <c r="V49" s="38" t="n"/>
      <c r="W49" s="38" t="n"/>
      <c r="X49" s="38" t="n"/>
      <c r="Y49" s="38" t="n"/>
      <c r="Z49" s="38" t="n"/>
      <c r="AA49" s="38" t="n"/>
      <c r="AB49" s="38" t="n"/>
      <c r="AC49" s="38" t="n"/>
      <c r="AD49" s="38" t="n"/>
      <c r="AE49" s="38" t="n"/>
      <c r="AF49" s="36">
        <f>IF($A49="","",$A49&amp;"|"&amp;$C49)</f>
        <v/>
      </c>
      <c r="AG49" s="36">
        <f>IF($A49="","",IF(OR(H49="לא נבדק",H49=""),"לא נבדק",IF(AND(H49="בחר/ה בעצמו/ה",I49="כן",J49="לא"),"מלא",IF(OR(H49="בחר/ה בעצמו/ה",I49="כן"),"חלקי","עדיין לא"))))</f>
        <v/>
      </c>
      <c r="AH49" s="37">
        <f>IF($A49="","",IFERROR(COUNTIF(K49:L49,"כן")/(COUNTIF(K49:L49,"כן")+COUNTIF(K49:L49,"לא")),""))</f>
        <v/>
      </c>
      <c r="AI49" s="37">
        <f>IF($A49="","",IFERROR(COUNTIF(M49:N49,"כן")/(COUNTIF(M49:N49,"כן")+COUNTIF(M49:N49,"לא")),""))</f>
        <v/>
      </c>
      <c r="AJ49" s="37">
        <f>IF($A49="","",IFERROR(COUNTIF(O49:P49,"כן")/(COUNTIF(O49:P49,"כן")+COUNTIF(O49:P49,"לא")),""))</f>
        <v/>
      </c>
      <c r="AK49" s="37">
        <f>IF($A49="","",IFERROR(COUNTIF(Q49:R49,"כן")/(COUNTIF(Q49:R49,"כן")+COUNTIF(Q49:R49,"לא")),""))</f>
        <v/>
      </c>
      <c r="AL49" s="37">
        <f>IF($A49="","",IFERROR(COUNTIF(K49:R49,"כן")/(COUNTIF(K49:R49,"כן")+COUNTIF(K49:R49,"לא")),""))</f>
        <v/>
      </c>
      <c r="AM49" s="37">
        <f>IF($A49="","",IFERROR((COUNTIF(S49:Z49,"רוב הזמן")+0.5*COUNTIF(S49:Z49,"לפעמים"))/(COUNTIF(S49:Z49,"רוב הזמן")+COUNTIF(S49:Z49,"לפעמים")+COUNTIF(S49:Z49,"עדיין לא")),""))</f>
        <v/>
      </c>
      <c r="AN49" s="37">
        <f>IF($A49="","",IFERROR(1-SUMPRODUCT(ABS((K49:R49="כן")-((S49:Z49="רוב הזמן")+0.5*(S49:Z49="לפעמים")))*(((K49:R49="כן")+(K49:R49="לא"))*((S49:Z49="רוב הזמן")+(S49:Z49="לפעמים")+(S49:Z49="עדיין לא"))))/SUMPRODUCT((((K49:R49="כן")+(K49:R49="לא"))*((S49:Z49="רוב הזמן")+(S49:Z49="לפעמים")+(S49:Z49="עדיין לא")))),""))</f>
        <v/>
      </c>
      <c r="AO49" s="36">
        <f>IF($A49="","",SUMPRODUCT((((K49:R49="כן")-((S49:Z49="רוב הזמן")+0.5*(S49:Z49="לפעמים")))&gt;0.01)*(((K49:R49="כן")+(K49:R49="לא"))*((S49:Z49="רוב הזמן")+(S49:Z49="לפעמים")+(S49:Z49="עדיין לא")))))</f>
        <v/>
      </c>
      <c r="AP49" s="36">
        <f>IF($A49="","",SUMPRODUCT(((((S49:Z49="רוב הזמן")+0.5*(S49:Z49="לפעמים"))-(K49:R49="כן"))&gt;0.01)*(((K49:R49="כן")+(K49:R49="לא"))*((S49:Z49="רוב הזמן")+(S49:Z49="לפעמים")+(S49:Z49="עדיין לא")))))</f>
        <v/>
      </c>
      <c r="AQ49" s="36">
        <f>IF($A49="","",COUNTIF(AA49:AC49,"כן"))</f>
        <v/>
      </c>
      <c r="AR49" s="38" t="n"/>
      <c r="AS49" s="38" t="n"/>
      <c r="AT49" s="38" t="n"/>
      <c r="AU49" s="38" t="n"/>
      <c r="AV49" s="36">
        <f>IF($A49="","",IF(AND(AR49="",AT49=""),"לא נבדק",IF(AND(OR(AR49="",AR49=AS49),OR(AT49="",AT49=AU49)),"תואם","לא תואם")))</f>
        <v/>
      </c>
      <c r="AW49" s="36">
        <f>IF($A49="","",IF(AND(AV49&lt;&gt;"לא תואם",G49&lt;&gt;"לא ברור"),"אמין","לפרש בזהירות"))</f>
        <v/>
      </c>
    </row>
    <row r="50">
      <c r="A50" s="38" t="n"/>
      <c r="B50" s="38" t="n"/>
      <c r="C50" s="38" t="n"/>
      <c r="D50" s="38" t="n"/>
      <c r="E50" s="38" t="n"/>
      <c r="F50" s="38" t="n"/>
      <c r="G50" s="38" t="n"/>
      <c r="H50" s="38" t="n"/>
      <c r="I50" s="38" t="n"/>
      <c r="J50" s="38" t="n"/>
      <c r="K50" s="38" t="n"/>
      <c r="L50" s="38" t="n"/>
      <c r="M50" s="38" t="n"/>
      <c r="N50" s="38" t="n"/>
      <c r="O50" s="38" t="n"/>
      <c r="P50" s="38" t="n"/>
      <c r="Q50" s="38" t="n"/>
      <c r="R50" s="38" t="n"/>
      <c r="S50" s="38" t="n"/>
      <c r="T50" s="38" t="n"/>
      <c r="U50" s="38" t="n"/>
      <c r="V50" s="38" t="n"/>
      <c r="W50" s="38" t="n"/>
      <c r="X50" s="38" t="n"/>
      <c r="Y50" s="38" t="n"/>
      <c r="Z50" s="38" t="n"/>
      <c r="AA50" s="38" t="n"/>
      <c r="AB50" s="38" t="n"/>
      <c r="AC50" s="38" t="n"/>
      <c r="AD50" s="38" t="n"/>
      <c r="AE50" s="38" t="n"/>
      <c r="AF50" s="36">
        <f>IF($A50="","",$A50&amp;"|"&amp;$C50)</f>
        <v/>
      </c>
      <c r="AG50" s="36">
        <f>IF($A50="","",IF(OR(H50="לא נבדק",H50=""),"לא נבדק",IF(AND(H50="בחר/ה בעצמו/ה",I50="כן",J50="לא"),"מלא",IF(OR(H50="בחר/ה בעצמו/ה",I50="כן"),"חלקי","עדיין לא"))))</f>
        <v/>
      </c>
      <c r="AH50" s="37">
        <f>IF($A50="","",IFERROR(COUNTIF(K50:L50,"כן")/(COUNTIF(K50:L50,"כן")+COUNTIF(K50:L50,"לא")),""))</f>
        <v/>
      </c>
      <c r="AI50" s="37">
        <f>IF($A50="","",IFERROR(COUNTIF(M50:N50,"כן")/(COUNTIF(M50:N50,"כן")+COUNTIF(M50:N50,"לא")),""))</f>
        <v/>
      </c>
      <c r="AJ50" s="37">
        <f>IF($A50="","",IFERROR(COUNTIF(O50:P50,"כן")/(COUNTIF(O50:P50,"כן")+COUNTIF(O50:P50,"לא")),""))</f>
        <v/>
      </c>
      <c r="AK50" s="37">
        <f>IF($A50="","",IFERROR(COUNTIF(Q50:R50,"כן")/(COUNTIF(Q50:R50,"כן")+COUNTIF(Q50:R50,"לא")),""))</f>
        <v/>
      </c>
      <c r="AL50" s="37">
        <f>IF($A50="","",IFERROR(COUNTIF(K50:R50,"כן")/(COUNTIF(K50:R50,"כן")+COUNTIF(K50:R50,"לא")),""))</f>
        <v/>
      </c>
      <c r="AM50" s="37">
        <f>IF($A50="","",IFERROR((COUNTIF(S50:Z50,"רוב הזמן")+0.5*COUNTIF(S50:Z50,"לפעמים"))/(COUNTIF(S50:Z50,"רוב הזמן")+COUNTIF(S50:Z50,"לפעמים")+COUNTIF(S50:Z50,"עדיין לא")),""))</f>
        <v/>
      </c>
      <c r="AN50" s="37">
        <f>IF($A50="","",IFERROR(1-SUMPRODUCT(ABS((K50:R50="כן")-((S50:Z50="רוב הזמן")+0.5*(S50:Z50="לפעמים")))*(((K50:R50="כן")+(K50:R50="לא"))*((S50:Z50="רוב הזמן")+(S50:Z50="לפעמים")+(S50:Z50="עדיין לא"))))/SUMPRODUCT((((K50:R50="כן")+(K50:R50="לא"))*((S50:Z50="רוב הזמן")+(S50:Z50="לפעמים")+(S50:Z50="עדיין לא")))),""))</f>
        <v/>
      </c>
      <c r="AO50" s="36">
        <f>IF($A50="","",SUMPRODUCT((((K50:R50="כן")-((S50:Z50="רוב הזמן")+0.5*(S50:Z50="לפעמים")))&gt;0.01)*(((K50:R50="כן")+(K50:R50="לא"))*((S50:Z50="רוב הזמן")+(S50:Z50="לפעמים")+(S50:Z50="עדיין לא")))))</f>
        <v/>
      </c>
      <c r="AP50" s="36">
        <f>IF($A50="","",SUMPRODUCT(((((S50:Z50="רוב הזמן")+0.5*(S50:Z50="לפעמים"))-(K50:R50="כן"))&gt;0.01)*(((K50:R50="כן")+(K50:R50="לא"))*((S50:Z50="רוב הזמן")+(S50:Z50="לפעמים")+(S50:Z50="עדיין לא")))))</f>
        <v/>
      </c>
      <c r="AQ50" s="36">
        <f>IF($A50="","",COUNTIF(AA50:AC50,"כן"))</f>
        <v/>
      </c>
      <c r="AR50" s="38" t="n"/>
      <c r="AS50" s="38" t="n"/>
      <c r="AT50" s="38" t="n"/>
      <c r="AU50" s="38" t="n"/>
      <c r="AV50" s="36">
        <f>IF($A50="","",IF(AND(AR50="",AT50=""),"לא נבדק",IF(AND(OR(AR50="",AR50=AS50),OR(AT50="",AT50=AU50)),"תואם","לא תואם")))</f>
        <v/>
      </c>
      <c r="AW50" s="36">
        <f>IF($A50="","",IF(AND(AV50&lt;&gt;"לא תואם",G50&lt;&gt;"לא ברור"),"אמין","לפרש בזהירות"))</f>
        <v/>
      </c>
    </row>
    <row r="51">
      <c r="A51" s="38" t="n"/>
      <c r="B51" s="38" t="n"/>
      <c r="C51" s="38" t="n"/>
      <c r="D51" s="38" t="n"/>
      <c r="E51" s="38" t="n"/>
      <c r="F51" s="38" t="n"/>
      <c r="G51" s="38" t="n"/>
      <c r="H51" s="38" t="n"/>
      <c r="I51" s="38" t="n"/>
      <c r="J51" s="38" t="n"/>
      <c r="K51" s="38" t="n"/>
      <c r="L51" s="38" t="n"/>
      <c r="M51" s="38" t="n"/>
      <c r="N51" s="38" t="n"/>
      <c r="O51" s="38" t="n"/>
      <c r="P51" s="38" t="n"/>
      <c r="Q51" s="38" t="n"/>
      <c r="R51" s="38" t="n"/>
      <c r="S51" s="38" t="n"/>
      <c r="T51" s="38" t="n"/>
      <c r="U51" s="38" t="n"/>
      <c r="V51" s="38" t="n"/>
      <c r="W51" s="38" t="n"/>
      <c r="X51" s="38" t="n"/>
      <c r="Y51" s="38" t="n"/>
      <c r="Z51" s="38" t="n"/>
      <c r="AA51" s="38" t="n"/>
      <c r="AB51" s="38" t="n"/>
      <c r="AC51" s="38" t="n"/>
      <c r="AD51" s="38" t="n"/>
      <c r="AE51" s="38" t="n"/>
      <c r="AF51" s="36">
        <f>IF($A51="","",$A51&amp;"|"&amp;$C51)</f>
        <v/>
      </c>
      <c r="AG51" s="36">
        <f>IF($A51="","",IF(OR(H51="לא נבדק",H51=""),"לא נבדק",IF(AND(H51="בחר/ה בעצמו/ה",I51="כן",J51="לא"),"מלא",IF(OR(H51="בחר/ה בעצמו/ה",I51="כן"),"חלקי","עדיין לא"))))</f>
        <v/>
      </c>
      <c r="AH51" s="37">
        <f>IF($A51="","",IFERROR(COUNTIF(K51:L51,"כן")/(COUNTIF(K51:L51,"כן")+COUNTIF(K51:L51,"לא")),""))</f>
        <v/>
      </c>
      <c r="AI51" s="37">
        <f>IF($A51="","",IFERROR(COUNTIF(M51:N51,"כן")/(COUNTIF(M51:N51,"כן")+COUNTIF(M51:N51,"לא")),""))</f>
        <v/>
      </c>
      <c r="AJ51" s="37">
        <f>IF($A51="","",IFERROR(COUNTIF(O51:P51,"כן")/(COUNTIF(O51:P51,"כן")+COUNTIF(O51:P51,"לא")),""))</f>
        <v/>
      </c>
      <c r="AK51" s="37">
        <f>IF($A51="","",IFERROR(COUNTIF(Q51:R51,"כן")/(COUNTIF(Q51:R51,"כן")+COUNTIF(Q51:R51,"לא")),""))</f>
        <v/>
      </c>
      <c r="AL51" s="37">
        <f>IF($A51="","",IFERROR(COUNTIF(K51:R51,"כן")/(COUNTIF(K51:R51,"כן")+COUNTIF(K51:R51,"לא")),""))</f>
        <v/>
      </c>
      <c r="AM51" s="37">
        <f>IF($A51="","",IFERROR((COUNTIF(S51:Z51,"רוב הזמן")+0.5*COUNTIF(S51:Z51,"לפעמים"))/(COUNTIF(S51:Z51,"רוב הזמן")+COUNTIF(S51:Z51,"לפעמים")+COUNTIF(S51:Z51,"עדיין לא")),""))</f>
        <v/>
      </c>
      <c r="AN51" s="37">
        <f>IF($A51="","",IFERROR(1-SUMPRODUCT(ABS((K51:R51="כן")-((S51:Z51="רוב הזמן")+0.5*(S51:Z51="לפעמים")))*(((K51:R51="כן")+(K51:R51="לא"))*((S51:Z51="רוב הזמן")+(S51:Z51="לפעמים")+(S51:Z51="עדיין לא"))))/SUMPRODUCT((((K51:R51="כן")+(K51:R51="לא"))*((S51:Z51="רוב הזמן")+(S51:Z51="לפעמים")+(S51:Z51="עדיין לא")))),""))</f>
        <v/>
      </c>
      <c r="AO51" s="36">
        <f>IF($A51="","",SUMPRODUCT((((K51:R51="כן")-((S51:Z51="רוב הזמן")+0.5*(S51:Z51="לפעמים")))&gt;0.01)*(((K51:R51="כן")+(K51:R51="לא"))*((S51:Z51="רוב הזמן")+(S51:Z51="לפעמים")+(S51:Z51="עדיין לא")))))</f>
        <v/>
      </c>
      <c r="AP51" s="36">
        <f>IF($A51="","",SUMPRODUCT(((((S51:Z51="רוב הזמן")+0.5*(S51:Z51="לפעמים"))-(K51:R51="כן"))&gt;0.01)*(((K51:R51="כן")+(K51:R51="לא"))*((S51:Z51="רוב הזמן")+(S51:Z51="לפעמים")+(S51:Z51="עדיין לא")))))</f>
        <v/>
      </c>
      <c r="AQ51" s="36">
        <f>IF($A51="","",COUNTIF(AA51:AC51,"כן"))</f>
        <v/>
      </c>
      <c r="AR51" s="38" t="n"/>
      <c r="AS51" s="38" t="n"/>
      <c r="AT51" s="38" t="n"/>
      <c r="AU51" s="38" t="n"/>
      <c r="AV51" s="36">
        <f>IF($A51="","",IF(AND(AR51="",AT51=""),"לא נבדק",IF(AND(OR(AR51="",AR51=AS51),OR(AT51="",AT51=AU51)),"תואם","לא תואם")))</f>
        <v/>
      </c>
      <c r="AW51" s="36">
        <f>IF($A51="","",IF(AND(AV51&lt;&gt;"לא תואם",G51&lt;&gt;"לא ברור"),"אמין","לפרש בזהירות"))</f>
        <v/>
      </c>
    </row>
    <row r="52">
      <c r="A52" s="38" t="n"/>
      <c r="B52" s="38" t="n"/>
      <c r="C52" s="38" t="n"/>
      <c r="D52" s="38" t="n"/>
      <c r="E52" s="38" t="n"/>
      <c r="F52" s="38" t="n"/>
      <c r="G52" s="38" t="n"/>
      <c r="H52" s="38" t="n"/>
      <c r="I52" s="38" t="n"/>
      <c r="J52" s="38" t="n"/>
      <c r="K52" s="38" t="n"/>
      <c r="L52" s="38" t="n"/>
      <c r="M52" s="38" t="n"/>
      <c r="N52" s="38" t="n"/>
      <c r="O52" s="38" t="n"/>
      <c r="P52" s="38" t="n"/>
      <c r="Q52" s="38" t="n"/>
      <c r="R52" s="38" t="n"/>
      <c r="S52" s="38" t="n"/>
      <c r="T52" s="38" t="n"/>
      <c r="U52" s="38" t="n"/>
      <c r="V52" s="38" t="n"/>
      <c r="W52" s="38" t="n"/>
      <c r="X52" s="38" t="n"/>
      <c r="Y52" s="38" t="n"/>
      <c r="Z52" s="38" t="n"/>
      <c r="AA52" s="38" t="n"/>
      <c r="AB52" s="38" t="n"/>
      <c r="AC52" s="38" t="n"/>
      <c r="AD52" s="38" t="n"/>
      <c r="AE52" s="38" t="n"/>
      <c r="AF52" s="36">
        <f>IF($A52="","",$A52&amp;"|"&amp;$C52)</f>
        <v/>
      </c>
      <c r="AG52" s="36">
        <f>IF($A52="","",IF(OR(H52="לא נבדק",H52=""),"לא נבדק",IF(AND(H52="בחר/ה בעצמו/ה",I52="כן",J52="לא"),"מלא",IF(OR(H52="בחר/ה בעצמו/ה",I52="כן"),"חלקי","עדיין לא"))))</f>
        <v/>
      </c>
      <c r="AH52" s="37">
        <f>IF($A52="","",IFERROR(COUNTIF(K52:L52,"כן")/(COUNTIF(K52:L52,"כן")+COUNTIF(K52:L52,"לא")),""))</f>
        <v/>
      </c>
      <c r="AI52" s="37">
        <f>IF($A52="","",IFERROR(COUNTIF(M52:N52,"כן")/(COUNTIF(M52:N52,"כן")+COUNTIF(M52:N52,"לא")),""))</f>
        <v/>
      </c>
      <c r="AJ52" s="37">
        <f>IF($A52="","",IFERROR(COUNTIF(O52:P52,"כן")/(COUNTIF(O52:P52,"כן")+COUNTIF(O52:P52,"לא")),""))</f>
        <v/>
      </c>
      <c r="AK52" s="37">
        <f>IF($A52="","",IFERROR(COUNTIF(Q52:R52,"כן")/(COUNTIF(Q52:R52,"כן")+COUNTIF(Q52:R52,"לא")),""))</f>
        <v/>
      </c>
      <c r="AL52" s="37">
        <f>IF($A52="","",IFERROR(COUNTIF(K52:R52,"כן")/(COUNTIF(K52:R52,"כן")+COUNTIF(K52:R52,"לא")),""))</f>
        <v/>
      </c>
      <c r="AM52" s="37">
        <f>IF($A52="","",IFERROR((COUNTIF(S52:Z52,"רוב הזמן")+0.5*COUNTIF(S52:Z52,"לפעמים"))/(COUNTIF(S52:Z52,"רוב הזמן")+COUNTIF(S52:Z52,"לפעמים")+COUNTIF(S52:Z52,"עדיין לא")),""))</f>
        <v/>
      </c>
      <c r="AN52" s="37">
        <f>IF($A52="","",IFERROR(1-SUMPRODUCT(ABS((K52:R52="כן")-((S52:Z52="רוב הזמן")+0.5*(S52:Z52="לפעמים")))*(((K52:R52="כן")+(K52:R52="לא"))*((S52:Z52="רוב הזמן")+(S52:Z52="לפעמים")+(S52:Z52="עדיין לא"))))/SUMPRODUCT((((K52:R52="כן")+(K52:R52="לא"))*((S52:Z52="רוב הזמן")+(S52:Z52="לפעמים")+(S52:Z52="עדיין לא")))),""))</f>
        <v/>
      </c>
      <c r="AO52" s="36">
        <f>IF($A52="","",SUMPRODUCT((((K52:R52="כן")-((S52:Z52="רוב הזמן")+0.5*(S52:Z52="לפעמים")))&gt;0.01)*(((K52:R52="כן")+(K52:R52="לא"))*((S52:Z52="רוב הזמן")+(S52:Z52="לפעמים")+(S52:Z52="עדיין לא")))))</f>
        <v/>
      </c>
      <c r="AP52" s="36">
        <f>IF($A52="","",SUMPRODUCT(((((S52:Z52="רוב הזמן")+0.5*(S52:Z52="לפעמים"))-(K52:R52="כן"))&gt;0.01)*(((K52:R52="כן")+(K52:R52="לא"))*((S52:Z52="רוב הזמן")+(S52:Z52="לפעמים")+(S52:Z52="עדיין לא")))))</f>
        <v/>
      </c>
      <c r="AQ52" s="36">
        <f>IF($A52="","",COUNTIF(AA52:AC52,"כן"))</f>
        <v/>
      </c>
      <c r="AR52" s="38" t="n"/>
      <c r="AS52" s="38" t="n"/>
      <c r="AT52" s="38" t="n"/>
      <c r="AU52" s="38" t="n"/>
      <c r="AV52" s="36">
        <f>IF($A52="","",IF(AND(AR52="",AT52=""),"לא נבדק",IF(AND(OR(AR52="",AR52=AS52),OR(AT52="",AT52=AU52)),"תואם","לא תואם")))</f>
        <v/>
      </c>
      <c r="AW52" s="36">
        <f>IF($A52="","",IF(AND(AV52&lt;&gt;"לא תואם",G52&lt;&gt;"לא ברור"),"אמין","לפרש בזהירות"))</f>
        <v/>
      </c>
    </row>
    <row r="53">
      <c r="A53" s="38" t="n"/>
      <c r="B53" s="38" t="n"/>
      <c r="C53" s="38" t="n"/>
      <c r="D53" s="38" t="n"/>
      <c r="E53" s="38" t="n"/>
      <c r="F53" s="38" t="n"/>
      <c r="G53" s="38" t="n"/>
      <c r="H53" s="38" t="n"/>
      <c r="I53" s="38" t="n"/>
      <c r="J53" s="38" t="n"/>
      <c r="K53" s="38" t="n"/>
      <c r="L53" s="38" t="n"/>
      <c r="M53" s="38" t="n"/>
      <c r="N53" s="38" t="n"/>
      <c r="O53" s="38" t="n"/>
      <c r="P53" s="38" t="n"/>
      <c r="Q53" s="38" t="n"/>
      <c r="R53" s="38" t="n"/>
      <c r="S53" s="38" t="n"/>
      <c r="T53" s="38" t="n"/>
      <c r="U53" s="38" t="n"/>
      <c r="V53" s="38" t="n"/>
      <c r="W53" s="38" t="n"/>
      <c r="X53" s="38" t="n"/>
      <c r="Y53" s="38" t="n"/>
      <c r="Z53" s="38" t="n"/>
      <c r="AA53" s="38" t="n"/>
      <c r="AB53" s="38" t="n"/>
      <c r="AC53" s="38" t="n"/>
      <c r="AD53" s="38" t="n"/>
      <c r="AE53" s="38" t="n"/>
      <c r="AF53" s="36">
        <f>IF($A53="","",$A53&amp;"|"&amp;$C53)</f>
        <v/>
      </c>
      <c r="AG53" s="36">
        <f>IF($A53="","",IF(OR(H53="לא נבדק",H53=""),"לא נבדק",IF(AND(H53="בחר/ה בעצמו/ה",I53="כן",J53="לא"),"מלא",IF(OR(H53="בחר/ה בעצמו/ה",I53="כן"),"חלקי","עדיין לא"))))</f>
        <v/>
      </c>
      <c r="AH53" s="37">
        <f>IF($A53="","",IFERROR(COUNTIF(K53:L53,"כן")/(COUNTIF(K53:L53,"כן")+COUNTIF(K53:L53,"לא")),""))</f>
        <v/>
      </c>
      <c r="AI53" s="37">
        <f>IF($A53="","",IFERROR(COUNTIF(M53:N53,"כן")/(COUNTIF(M53:N53,"כן")+COUNTIF(M53:N53,"לא")),""))</f>
        <v/>
      </c>
      <c r="AJ53" s="37">
        <f>IF($A53="","",IFERROR(COUNTIF(O53:P53,"כן")/(COUNTIF(O53:P53,"כן")+COUNTIF(O53:P53,"לא")),""))</f>
        <v/>
      </c>
      <c r="AK53" s="37">
        <f>IF($A53="","",IFERROR(COUNTIF(Q53:R53,"כן")/(COUNTIF(Q53:R53,"כן")+COUNTIF(Q53:R53,"לא")),""))</f>
        <v/>
      </c>
      <c r="AL53" s="37">
        <f>IF($A53="","",IFERROR(COUNTIF(K53:R53,"כן")/(COUNTIF(K53:R53,"כן")+COUNTIF(K53:R53,"לא")),""))</f>
        <v/>
      </c>
      <c r="AM53" s="37">
        <f>IF($A53="","",IFERROR((COUNTIF(S53:Z53,"רוב הזמן")+0.5*COUNTIF(S53:Z53,"לפעמים"))/(COUNTIF(S53:Z53,"רוב הזמן")+COUNTIF(S53:Z53,"לפעמים")+COUNTIF(S53:Z53,"עדיין לא")),""))</f>
        <v/>
      </c>
      <c r="AN53" s="37">
        <f>IF($A53="","",IFERROR(1-SUMPRODUCT(ABS((K53:R53="כן")-((S53:Z53="רוב הזמן")+0.5*(S53:Z53="לפעמים")))*(((K53:R53="כן")+(K53:R53="לא"))*((S53:Z53="רוב הזמן")+(S53:Z53="לפעמים")+(S53:Z53="עדיין לא"))))/SUMPRODUCT((((K53:R53="כן")+(K53:R53="לא"))*((S53:Z53="רוב הזמן")+(S53:Z53="לפעמים")+(S53:Z53="עדיין לא")))),""))</f>
        <v/>
      </c>
      <c r="AO53" s="36">
        <f>IF($A53="","",SUMPRODUCT((((K53:R53="כן")-((S53:Z53="רוב הזמן")+0.5*(S53:Z53="לפעמים")))&gt;0.01)*(((K53:R53="כן")+(K53:R53="לא"))*((S53:Z53="רוב הזמן")+(S53:Z53="לפעמים")+(S53:Z53="עדיין לא")))))</f>
        <v/>
      </c>
      <c r="AP53" s="36">
        <f>IF($A53="","",SUMPRODUCT(((((S53:Z53="רוב הזמן")+0.5*(S53:Z53="לפעמים"))-(K53:R53="כן"))&gt;0.01)*(((K53:R53="כן")+(K53:R53="לא"))*((S53:Z53="רוב הזמן")+(S53:Z53="לפעמים")+(S53:Z53="עדיין לא")))))</f>
        <v/>
      </c>
      <c r="AQ53" s="36">
        <f>IF($A53="","",COUNTIF(AA53:AC53,"כן"))</f>
        <v/>
      </c>
      <c r="AR53" s="38" t="n"/>
      <c r="AS53" s="38" t="n"/>
      <c r="AT53" s="38" t="n"/>
      <c r="AU53" s="38" t="n"/>
      <c r="AV53" s="36">
        <f>IF($A53="","",IF(AND(AR53="",AT53=""),"לא נבדק",IF(AND(OR(AR53="",AR53=AS53),OR(AT53="",AT53=AU53)),"תואם","לא תואם")))</f>
        <v/>
      </c>
      <c r="AW53" s="36">
        <f>IF($A53="","",IF(AND(AV53&lt;&gt;"לא תואם",G53&lt;&gt;"לא ברור"),"אמין","לפרש בזהירות"))</f>
        <v/>
      </c>
    </row>
    <row r="54">
      <c r="A54" s="38" t="n"/>
      <c r="B54" s="38" t="n"/>
      <c r="C54" s="38" t="n"/>
      <c r="D54" s="38" t="n"/>
      <c r="E54" s="38" t="n"/>
      <c r="F54" s="38" t="n"/>
      <c r="G54" s="38" t="n"/>
      <c r="H54" s="38" t="n"/>
      <c r="I54" s="38" t="n"/>
      <c r="J54" s="38" t="n"/>
      <c r="K54" s="38" t="n"/>
      <c r="L54" s="38" t="n"/>
      <c r="M54" s="38" t="n"/>
      <c r="N54" s="38" t="n"/>
      <c r="O54" s="38" t="n"/>
      <c r="P54" s="38" t="n"/>
      <c r="Q54" s="38" t="n"/>
      <c r="R54" s="38" t="n"/>
      <c r="S54" s="38" t="n"/>
      <c r="T54" s="38" t="n"/>
      <c r="U54" s="38" t="n"/>
      <c r="V54" s="38" t="n"/>
      <c r="W54" s="38" t="n"/>
      <c r="X54" s="38" t="n"/>
      <c r="Y54" s="38" t="n"/>
      <c r="Z54" s="38" t="n"/>
      <c r="AA54" s="38" t="n"/>
      <c r="AB54" s="38" t="n"/>
      <c r="AC54" s="38" t="n"/>
      <c r="AD54" s="38" t="n"/>
      <c r="AE54" s="38" t="n"/>
      <c r="AF54" s="36">
        <f>IF($A54="","",$A54&amp;"|"&amp;$C54)</f>
        <v/>
      </c>
      <c r="AG54" s="36">
        <f>IF($A54="","",IF(OR(H54="לא נבדק",H54=""),"לא נבדק",IF(AND(H54="בחר/ה בעצמו/ה",I54="כן",J54="לא"),"מלא",IF(OR(H54="בחר/ה בעצמו/ה",I54="כן"),"חלקי","עדיין לא"))))</f>
        <v/>
      </c>
      <c r="AH54" s="37">
        <f>IF($A54="","",IFERROR(COUNTIF(K54:L54,"כן")/(COUNTIF(K54:L54,"כן")+COUNTIF(K54:L54,"לא")),""))</f>
        <v/>
      </c>
      <c r="AI54" s="37">
        <f>IF($A54="","",IFERROR(COUNTIF(M54:N54,"כן")/(COUNTIF(M54:N54,"כן")+COUNTIF(M54:N54,"לא")),""))</f>
        <v/>
      </c>
      <c r="AJ54" s="37">
        <f>IF($A54="","",IFERROR(COUNTIF(O54:P54,"כן")/(COUNTIF(O54:P54,"כן")+COUNTIF(O54:P54,"לא")),""))</f>
        <v/>
      </c>
      <c r="AK54" s="37">
        <f>IF($A54="","",IFERROR(COUNTIF(Q54:R54,"כן")/(COUNTIF(Q54:R54,"כן")+COUNTIF(Q54:R54,"לא")),""))</f>
        <v/>
      </c>
      <c r="AL54" s="37">
        <f>IF($A54="","",IFERROR(COUNTIF(K54:R54,"כן")/(COUNTIF(K54:R54,"כן")+COUNTIF(K54:R54,"לא")),""))</f>
        <v/>
      </c>
      <c r="AM54" s="37">
        <f>IF($A54="","",IFERROR((COUNTIF(S54:Z54,"רוב הזמן")+0.5*COUNTIF(S54:Z54,"לפעמים"))/(COUNTIF(S54:Z54,"רוב הזמן")+COUNTIF(S54:Z54,"לפעמים")+COUNTIF(S54:Z54,"עדיין לא")),""))</f>
        <v/>
      </c>
      <c r="AN54" s="37">
        <f>IF($A54="","",IFERROR(1-SUMPRODUCT(ABS((K54:R54="כן")-((S54:Z54="רוב הזמן")+0.5*(S54:Z54="לפעמים")))*(((K54:R54="כן")+(K54:R54="לא"))*((S54:Z54="רוב הזמן")+(S54:Z54="לפעמים")+(S54:Z54="עדיין לא"))))/SUMPRODUCT((((K54:R54="כן")+(K54:R54="לא"))*((S54:Z54="רוב הזמן")+(S54:Z54="לפעמים")+(S54:Z54="עדיין לא")))),""))</f>
        <v/>
      </c>
      <c r="AO54" s="36">
        <f>IF($A54="","",SUMPRODUCT((((K54:R54="כן")-((S54:Z54="רוב הזמן")+0.5*(S54:Z54="לפעמים")))&gt;0.01)*(((K54:R54="כן")+(K54:R54="לא"))*((S54:Z54="רוב הזמן")+(S54:Z54="לפעמים")+(S54:Z54="עדיין לא")))))</f>
        <v/>
      </c>
      <c r="AP54" s="36">
        <f>IF($A54="","",SUMPRODUCT(((((S54:Z54="רוב הזמן")+0.5*(S54:Z54="לפעמים"))-(K54:R54="כן"))&gt;0.01)*(((K54:R54="כן")+(K54:R54="לא"))*((S54:Z54="רוב הזמן")+(S54:Z54="לפעמים")+(S54:Z54="עדיין לא")))))</f>
        <v/>
      </c>
      <c r="AQ54" s="36">
        <f>IF($A54="","",COUNTIF(AA54:AC54,"כן"))</f>
        <v/>
      </c>
      <c r="AR54" s="38" t="n"/>
      <c r="AS54" s="38" t="n"/>
      <c r="AT54" s="38" t="n"/>
      <c r="AU54" s="38" t="n"/>
      <c r="AV54" s="36">
        <f>IF($A54="","",IF(AND(AR54="",AT54=""),"לא נבדק",IF(AND(OR(AR54="",AR54=AS54),OR(AT54="",AT54=AU54)),"תואם","לא תואם")))</f>
        <v/>
      </c>
      <c r="AW54" s="36">
        <f>IF($A54="","",IF(AND(AV54&lt;&gt;"לא תואם",G54&lt;&gt;"לא ברור"),"אמין","לפרש בזהירות"))</f>
        <v/>
      </c>
    </row>
    <row r="55">
      <c r="A55" s="38" t="n"/>
      <c r="B55" s="38" t="n"/>
      <c r="C55" s="38" t="n"/>
      <c r="D55" s="38" t="n"/>
      <c r="E55" s="38" t="n"/>
      <c r="F55" s="38" t="n"/>
      <c r="G55" s="38" t="n"/>
      <c r="H55" s="38" t="n"/>
      <c r="I55" s="38" t="n"/>
      <c r="J55" s="38" t="n"/>
      <c r="K55" s="38" t="n"/>
      <c r="L55" s="38" t="n"/>
      <c r="M55" s="38" t="n"/>
      <c r="N55" s="38" t="n"/>
      <c r="O55" s="38" t="n"/>
      <c r="P55" s="38" t="n"/>
      <c r="Q55" s="38" t="n"/>
      <c r="R55" s="38" t="n"/>
      <c r="S55" s="38" t="n"/>
      <c r="T55" s="38" t="n"/>
      <c r="U55" s="38" t="n"/>
      <c r="V55" s="38" t="n"/>
      <c r="W55" s="38" t="n"/>
      <c r="X55" s="38" t="n"/>
      <c r="Y55" s="38" t="n"/>
      <c r="Z55" s="38" t="n"/>
      <c r="AA55" s="38" t="n"/>
      <c r="AB55" s="38" t="n"/>
      <c r="AC55" s="38" t="n"/>
      <c r="AD55" s="38" t="n"/>
      <c r="AE55" s="38" t="n"/>
      <c r="AF55" s="36">
        <f>IF($A55="","",$A55&amp;"|"&amp;$C55)</f>
        <v/>
      </c>
      <c r="AG55" s="36">
        <f>IF($A55="","",IF(OR(H55="לא נבדק",H55=""),"לא נבדק",IF(AND(H55="בחר/ה בעצמו/ה",I55="כן",J55="לא"),"מלא",IF(OR(H55="בחר/ה בעצמו/ה",I55="כן"),"חלקי","עדיין לא"))))</f>
        <v/>
      </c>
      <c r="AH55" s="37">
        <f>IF($A55="","",IFERROR(COUNTIF(K55:L55,"כן")/(COUNTIF(K55:L55,"כן")+COUNTIF(K55:L55,"לא")),""))</f>
        <v/>
      </c>
      <c r="AI55" s="37">
        <f>IF($A55="","",IFERROR(COUNTIF(M55:N55,"כן")/(COUNTIF(M55:N55,"כן")+COUNTIF(M55:N55,"לא")),""))</f>
        <v/>
      </c>
      <c r="AJ55" s="37">
        <f>IF($A55="","",IFERROR(COUNTIF(O55:P55,"כן")/(COUNTIF(O55:P55,"כן")+COUNTIF(O55:P55,"לא")),""))</f>
        <v/>
      </c>
      <c r="AK55" s="37">
        <f>IF($A55="","",IFERROR(COUNTIF(Q55:R55,"כן")/(COUNTIF(Q55:R55,"כן")+COUNTIF(Q55:R55,"לא")),""))</f>
        <v/>
      </c>
      <c r="AL55" s="37">
        <f>IF($A55="","",IFERROR(COUNTIF(K55:R55,"כן")/(COUNTIF(K55:R55,"כן")+COUNTIF(K55:R55,"לא")),""))</f>
        <v/>
      </c>
      <c r="AM55" s="37">
        <f>IF($A55="","",IFERROR((COUNTIF(S55:Z55,"רוב הזמן")+0.5*COUNTIF(S55:Z55,"לפעמים"))/(COUNTIF(S55:Z55,"רוב הזמן")+COUNTIF(S55:Z55,"לפעמים")+COUNTIF(S55:Z55,"עדיין לא")),""))</f>
        <v/>
      </c>
      <c r="AN55" s="37">
        <f>IF($A55="","",IFERROR(1-SUMPRODUCT(ABS((K55:R55="כן")-((S55:Z55="רוב הזמן")+0.5*(S55:Z55="לפעמים")))*(((K55:R55="כן")+(K55:R55="לא"))*((S55:Z55="רוב הזמן")+(S55:Z55="לפעמים")+(S55:Z55="עדיין לא"))))/SUMPRODUCT((((K55:R55="כן")+(K55:R55="לא"))*((S55:Z55="רוב הזמן")+(S55:Z55="לפעמים")+(S55:Z55="עדיין לא")))),""))</f>
        <v/>
      </c>
      <c r="AO55" s="36">
        <f>IF($A55="","",SUMPRODUCT((((K55:R55="כן")-((S55:Z55="רוב הזמן")+0.5*(S55:Z55="לפעמים")))&gt;0.01)*(((K55:R55="כן")+(K55:R55="לא"))*((S55:Z55="רוב הזמן")+(S55:Z55="לפעמים")+(S55:Z55="עדיין לא")))))</f>
        <v/>
      </c>
      <c r="AP55" s="36">
        <f>IF($A55="","",SUMPRODUCT(((((S55:Z55="רוב הזמן")+0.5*(S55:Z55="לפעמים"))-(K55:R55="כן"))&gt;0.01)*(((K55:R55="כן")+(K55:R55="לא"))*((S55:Z55="רוב הזמן")+(S55:Z55="לפעמים")+(S55:Z55="עדיין לא")))))</f>
        <v/>
      </c>
      <c r="AQ55" s="36">
        <f>IF($A55="","",COUNTIF(AA55:AC55,"כן"))</f>
        <v/>
      </c>
      <c r="AR55" s="38" t="n"/>
      <c r="AS55" s="38" t="n"/>
      <c r="AT55" s="38" t="n"/>
      <c r="AU55" s="38" t="n"/>
      <c r="AV55" s="36">
        <f>IF($A55="","",IF(AND(AR55="",AT55=""),"לא נבדק",IF(AND(OR(AR55="",AR55=AS55),OR(AT55="",AT55=AU55)),"תואם","לא תואם")))</f>
        <v/>
      </c>
      <c r="AW55" s="36">
        <f>IF($A55="","",IF(AND(AV55&lt;&gt;"לא תואם",G55&lt;&gt;"לא ברור"),"אמין","לפרש בזהירות"))</f>
        <v/>
      </c>
    </row>
    <row r="56">
      <c r="A56" s="38" t="n"/>
      <c r="B56" s="38" t="n"/>
      <c r="C56" s="38" t="n"/>
      <c r="D56" s="38" t="n"/>
      <c r="E56" s="38" t="n"/>
      <c r="F56" s="38" t="n"/>
      <c r="G56" s="38" t="n"/>
      <c r="H56" s="38" t="n"/>
      <c r="I56" s="38" t="n"/>
      <c r="J56" s="38" t="n"/>
      <c r="K56" s="38" t="n"/>
      <c r="L56" s="38" t="n"/>
      <c r="M56" s="38" t="n"/>
      <c r="N56" s="38" t="n"/>
      <c r="O56" s="38" t="n"/>
      <c r="P56" s="38" t="n"/>
      <c r="Q56" s="38" t="n"/>
      <c r="R56" s="38" t="n"/>
      <c r="S56" s="38" t="n"/>
      <c r="T56" s="38" t="n"/>
      <c r="U56" s="38" t="n"/>
      <c r="V56" s="38" t="n"/>
      <c r="W56" s="38" t="n"/>
      <c r="X56" s="38" t="n"/>
      <c r="Y56" s="38" t="n"/>
      <c r="Z56" s="38" t="n"/>
      <c r="AA56" s="38" t="n"/>
      <c r="AB56" s="38" t="n"/>
      <c r="AC56" s="38" t="n"/>
      <c r="AD56" s="38" t="n"/>
      <c r="AE56" s="38" t="n"/>
      <c r="AF56" s="36">
        <f>IF($A56="","",$A56&amp;"|"&amp;$C56)</f>
        <v/>
      </c>
      <c r="AG56" s="36">
        <f>IF($A56="","",IF(OR(H56="לא נבדק",H56=""),"לא נבדק",IF(AND(H56="בחר/ה בעצמו/ה",I56="כן",J56="לא"),"מלא",IF(OR(H56="בחר/ה בעצמו/ה",I56="כן"),"חלקי","עדיין לא"))))</f>
        <v/>
      </c>
      <c r="AH56" s="37">
        <f>IF($A56="","",IFERROR(COUNTIF(K56:L56,"כן")/(COUNTIF(K56:L56,"כן")+COUNTIF(K56:L56,"לא")),""))</f>
        <v/>
      </c>
      <c r="AI56" s="37">
        <f>IF($A56="","",IFERROR(COUNTIF(M56:N56,"כן")/(COUNTIF(M56:N56,"כן")+COUNTIF(M56:N56,"לא")),""))</f>
        <v/>
      </c>
      <c r="AJ56" s="37">
        <f>IF($A56="","",IFERROR(COUNTIF(O56:P56,"כן")/(COUNTIF(O56:P56,"כן")+COUNTIF(O56:P56,"לא")),""))</f>
        <v/>
      </c>
      <c r="AK56" s="37">
        <f>IF($A56="","",IFERROR(COUNTIF(Q56:R56,"כן")/(COUNTIF(Q56:R56,"כן")+COUNTIF(Q56:R56,"לא")),""))</f>
        <v/>
      </c>
      <c r="AL56" s="37">
        <f>IF($A56="","",IFERROR(COUNTIF(K56:R56,"כן")/(COUNTIF(K56:R56,"כן")+COUNTIF(K56:R56,"לא")),""))</f>
        <v/>
      </c>
      <c r="AM56" s="37">
        <f>IF($A56="","",IFERROR((COUNTIF(S56:Z56,"רוב הזמן")+0.5*COUNTIF(S56:Z56,"לפעמים"))/(COUNTIF(S56:Z56,"רוב הזמן")+COUNTIF(S56:Z56,"לפעמים")+COUNTIF(S56:Z56,"עדיין לא")),""))</f>
        <v/>
      </c>
      <c r="AN56" s="37">
        <f>IF($A56="","",IFERROR(1-SUMPRODUCT(ABS((K56:R56="כן")-((S56:Z56="רוב הזמן")+0.5*(S56:Z56="לפעמים")))*(((K56:R56="כן")+(K56:R56="לא"))*((S56:Z56="רוב הזמן")+(S56:Z56="לפעמים")+(S56:Z56="עדיין לא"))))/SUMPRODUCT((((K56:R56="כן")+(K56:R56="לא"))*((S56:Z56="רוב הזמן")+(S56:Z56="לפעמים")+(S56:Z56="עדיין לא")))),""))</f>
        <v/>
      </c>
      <c r="AO56" s="36">
        <f>IF($A56="","",SUMPRODUCT((((K56:R56="כן")-((S56:Z56="רוב הזמן")+0.5*(S56:Z56="לפעמים")))&gt;0.01)*(((K56:R56="כן")+(K56:R56="לא"))*((S56:Z56="רוב הזמן")+(S56:Z56="לפעמים")+(S56:Z56="עדיין לא")))))</f>
        <v/>
      </c>
      <c r="AP56" s="36">
        <f>IF($A56="","",SUMPRODUCT(((((S56:Z56="רוב הזמן")+0.5*(S56:Z56="לפעמים"))-(K56:R56="כן"))&gt;0.01)*(((K56:R56="כן")+(K56:R56="לא"))*((S56:Z56="רוב הזמן")+(S56:Z56="לפעמים")+(S56:Z56="עדיין לא")))))</f>
        <v/>
      </c>
      <c r="AQ56" s="36">
        <f>IF($A56="","",COUNTIF(AA56:AC56,"כן"))</f>
        <v/>
      </c>
      <c r="AR56" s="38" t="n"/>
      <c r="AS56" s="38" t="n"/>
      <c r="AT56" s="38" t="n"/>
      <c r="AU56" s="38" t="n"/>
      <c r="AV56" s="36">
        <f>IF($A56="","",IF(AND(AR56="",AT56=""),"לא נבדק",IF(AND(OR(AR56="",AR56=AS56),OR(AT56="",AT56=AU56)),"תואם","לא תואם")))</f>
        <v/>
      </c>
      <c r="AW56" s="36">
        <f>IF($A56="","",IF(AND(AV56&lt;&gt;"לא תואם",G56&lt;&gt;"לא ברור"),"אמין","לפרש בזהירות"))</f>
        <v/>
      </c>
    </row>
    <row r="57">
      <c r="A57" s="38" t="n"/>
      <c r="B57" s="38" t="n"/>
      <c r="C57" s="38" t="n"/>
      <c r="D57" s="38" t="n"/>
      <c r="E57" s="38" t="n"/>
      <c r="F57" s="38" t="n"/>
      <c r="G57" s="38" t="n"/>
      <c r="H57" s="38" t="n"/>
      <c r="I57" s="38" t="n"/>
      <c r="J57" s="38" t="n"/>
      <c r="K57" s="38" t="n"/>
      <c r="L57" s="38" t="n"/>
      <c r="M57" s="38" t="n"/>
      <c r="N57" s="38" t="n"/>
      <c r="O57" s="38" t="n"/>
      <c r="P57" s="38" t="n"/>
      <c r="Q57" s="38" t="n"/>
      <c r="R57" s="38" t="n"/>
      <c r="S57" s="38" t="n"/>
      <c r="T57" s="38" t="n"/>
      <c r="U57" s="38" t="n"/>
      <c r="V57" s="38" t="n"/>
      <c r="W57" s="38" t="n"/>
      <c r="X57" s="38" t="n"/>
      <c r="Y57" s="38" t="n"/>
      <c r="Z57" s="38" t="n"/>
      <c r="AA57" s="38" t="n"/>
      <c r="AB57" s="38" t="n"/>
      <c r="AC57" s="38" t="n"/>
      <c r="AD57" s="38" t="n"/>
      <c r="AE57" s="38" t="n"/>
      <c r="AF57" s="36">
        <f>IF($A57="","",$A57&amp;"|"&amp;$C57)</f>
        <v/>
      </c>
      <c r="AG57" s="36">
        <f>IF($A57="","",IF(OR(H57="לא נבדק",H57=""),"לא נבדק",IF(AND(H57="בחר/ה בעצמו/ה",I57="כן",J57="לא"),"מלא",IF(OR(H57="בחר/ה בעצמו/ה",I57="כן"),"חלקי","עדיין לא"))))</f>
        <v/>
      </c>
      <c r="AH57" s="37">
        <f>IF($A57="","",IFERROR(COUNTIF(K57:L57,"כן")/(COUNTIF(K57:L57,"כן")+COUNTIF(K57:L57,"לא")),""))</f>
        <v/>
      </c>
      <c r="AI57" s="37">
        <f>IF($A57="","",IFERROR(COUNTIF(M57:N57,"כן")/(COUNTIF(M57:N57,"כן")+COUNTIF(M57:N57,"לא")),""))</f>
        <v/>
      </c>
      <c r="AJ57" s="37">
        <f>IF($A57="","",IFERROR(COUNTIF(O57:P57,"כן")/(COUNTIF(O57:P57,"כן")+COUNTIF(O57:P57,"לא")),""))</f>
        <v/>
      </c>
      <c r="AK57" s="37">
        <f>IF($A57="","",IFERROR(COUNTIF(Q57:R57,"כן")/(COUNTIF(Q57:R57,"כן")+COUNTIF(Q57:R57,"לא")),""))</f>
        <v/>
      </c>
      <c r="AL57" s="37">
        <f>IF($A57="","",IFERROR(COUNTIF(K57:R57,"כן")/(COUNTIF(K57:R57,"כן")+COUNTIF(K57:R57,"לא")),""))</f>
        <v/>
      </c>
      <c r="AM57" s="37">
        <f>IF($A57="","",IFERROR((COUNTIF(S57:Z57,"רוב הזמן")+0.5*COUNTIF(S57:Z57,"לפעמים"))/(COUNTIF(S57:Z57,"רוב הזמן")+COUNTIF(S57:Z57,"לפעמים")+COUNTIF(S57:Z57,"עדיין לא")),""))</f>
        <v/>
      </c>
      <c r="AN57" s="37">
        <f>IF($A57="","",IFERROR(1-SUMPRODUCT(ABS((K57:R57="כן")-((S57:Z57="רוב הזמן")+0.5*(S57:Z57="לפעמים")))*(((K57:R57="כן")+(K57:R57="לא"))*((S57:Z57="רוב הזמן")+(S57:Z57="לפעמים")+(S57:Z57="עדיין לא"))))/SUMPRODUCT((((K57:R57="כן")+(K57:R57="לא"))*((S57:Z57="רוב הזמן")+(S57:Z57="לפעמים")+(S57:Z57="עדיין לא")))),""))</f>
        <v/>
      </c>
      <c r="AO57" s="36">
        <f>IF($A57="","",SUMPRODUCT((((K57:R57="כן")-((S57:Z57="רוב הזמן")+0.5*(S57:Z57="לפעמים")))&gt;0.01)*(((K57:R57="כן")+(K57:R57="לא"))*((S57:Z57="רוב הזמן")+(S57:Z57="לפעמים")+(S57:Z57="עדיין לא")))))</f>
        <v/>
      </c>
      <c r="AP57" s="36">
        <f>IF($A57="","",SUMPRODUCT(((((S57:Z57="רוב הזמן")+0.5*(S57:Z57="לפעמים"))-(K57:R57="כן"))&gt;0.01)*(((K57:R57="כן")+(K57:R57="לא"))*((S57:Z57="רוב הזמן")+(S57:Z57="לפעמים")+(S57:Z57="עדיין לא")))))</f>
        <v/>
      </c>
      <c r="AQ57" s="36">
        <f>IF($A57="","",COUNTIF(AA57:AC57,"כן"))</f>
        <v/>
      </c>
      <c r="AR57" s="38" t="n"/>
      <c r="AS57" s="38" t="n"/>
      <c r="AT57" s="38" t="n"/>
      <c r="AU57" s="38" t="n"/>
      <c r="AV57" s="36">
        <f>IF($A57="","",IF(AND(AR57="",AT57=""),"לא נבדק",IF(AND(OR(AR57="",AR57=AS57),OR(AT57="",AT57=AU57)),"תואם","לא תואם")))</f>
        <v/>
      </c>
      <c r="AW57" s="36">
        <f>IF($A57="","",IF(AND(AV57&lt;&gt;"לא תואם",G57&lt;&gt;"לא ברור"),"אמין","לפרש בזהירות"))</f>
        <v/>
      </c>
    </row>
    <row r="58">
      <c r="A58" s="38" t="n"/>
      <c r="B58" s="38" t="n"/>
      <c r="C58" s="38" t="n"/>
      <c r="D58" s="38" t="n"/>
      <c r="E58" s="38" t="n"/>
      <c r="F58" s="38" t="n"/>
      <c r="G58" s="38" t="n"/>
      <c r="H58" s="38" t="n"/>
      <c r="I58" s="38" t="n"/>
      <c r="J58" s="38" t="n"/>
      <c r="K58" s="38" t="n"/>
      <c r="L58" s="38" t="n"/>
      <c r="M58" s="38" t="n"/>
      <c r="N58" s="38" t="n"/>
      <c r="O58" s="38" t="n"/>
      <c r="P58" s="38" t="n"/>
      <c r="Q58" s="38" t="n"/>
      <c r="R58" s="38" t="n"/>
      <c r="S58" s="38" t="n"/>
      <c r="T58" s="38" t="n"/>
      <c r="U58" s="38" t="n"/>
      <c r="V58" s="38" t="n"/>
      <c r="W58" s="38" t="n"/>
      <c r="X58" s="38" t="n"/>
      <c r="Y58" s="38" t="n"/>
      <c r="Z58" s="38" t="n"/>
      <c r="AA58" s="38" t="n"/>
      <c r="AB58" s="38" t="n"/>
      <c r="AC58" s="38" t="n"/>
      <c r="AD58" s="38" t="n"/>
      <c r="AE58" s="38" t="n"/>
      <c r="AF58" s="36">
        <f>IF($A58="","",$A58&amp;"|"&amp;$C58)</f>
        <v/>
      </c>
      <c r="AG58" s="36">
        <f>IF($A58="","",IF(OR(H58="לא נבדק",H58=""),"לא נבדק",IF(AND(H58="בחר/ה בעצמו/ה",I58="כן",J58="לא"),"מלא",IF(OR(H58="בחר/ה בעצמו/ה",I58="כן"),"חלקי","עדיין לא"))))</f>
        <v/>
      </c>
      <c r="AH58" s="37">
        <f>IF($A58="","",IFERROR(COUNTIF(K58:L58,"כן")/(COUNTIF(K58:L58,"כן")+COUNTIF(K58:L58,"לא")),""))</f>
        <v/>
      </c>
      <c r="AI58" s="37">
        <f>IF($A58="","",IFERROR(COUNTIF(M58:N58,"כן")/(COUNTIF(M58:N58,"כן")+COUNTIF(M58:N58,"לא")),""))</f>
        <v/>
      </c>
      <c r="AJ58" s="37">
        <f>IF($A58="","",IFERROR(COUNTIF(O58:P58,"כן")/(COUNTIF(O58:P58,"כן")+COUNTIF(O58:P58,"לא")),""))</f>
        <v/>
      </c>
      <c r="AK58" s="37">
        <f>IF($A58="","",IFERROR(COUNTIF(Q58:R58,"כן")/(COUNTIF(Q58:R58,"כן")+COUNTIF(Q58:R58,"לא")),""))</f>
        <v/>
      </c>
      <c r="AL58" s="37">
        <f>IF($A58="","",IFERROR(COUNTIF(K58:R58,"כן")/(COUNTIF(K58:R58,"כן")+COUNTIF(K58:R58,"לא")),""))</f>
        <v/>
      </c>
      <c r="AM58" s="37">
        <f>IF($A58="","",IFERROR((COUNTIF(S58:Z58,"רוב הזמן")+0.5*COUNTIF(S58:Z58,"לפעמים"))/(COUNTIF(S58:Z58,"רוב הזמן")+COUNTIF(S58:Z58,"לפעמים")+COUNTIF(S58:Z58,"עדיין לא")),""))</f>
        <v/>
      </c>
      <c r="AN58" s="37">
        <f>IF($A58="","",IFERROR(1-SUMPRODUCT(ABS((K58:R58="כן")-((S58:Z58="רוב הזמן")+0.5*(S58:Z58="לפעמים")))*(((K58:R58="כן")+(K58:R58="לא"))*((S58:Z58="רוב הזמן")+(S58:Z58="לפעמים")+(S58:Z58="עדיין לא"))))/SUMPRODUCT((((K58:R58="כן")+(K58:R58="לא"))*((S58:Z58="רוב הזמן")+(S58:Z58="לפעמים")+(S58:Z58="עדיין לא")))),""))</f>
        <v/>
      </c>
      <c r="AO58" s="36">
        <f>IF($A58="","",SUMPRODUCT((((K58:R58="כן")-((S58:Z58="רוב הזמן")+0.5*(S58:Z58="לפעמים")))&gt;0.01)*(((K58:R58="כן")+(K58:R58="לא"))*((S58:Z58="רוב הזמן")+(S58:Z58="לפעמים")+(S58:Z58="עדיין לא")))))</f>
        <v/>
      </c>
      <c r="AP58" s="36">
        <f>IF($A58="","",SUMPRODUCT(((((S58:Z58="רוב הזמן")+0.5*(S58:Z58="לפעמים"))-(K58:R58="כן"))&gt;0.01)*(((K58:R58="כן")+(K58:R58="לא"))*((S58:Z58="רוב הזמן")+(S58:Z58="לפעמים")+(S58:Z58="עדיין לא")))))</f>
        <v/>
      </c>
      <c r="AQ58" s="36">
        <f>IF($A58="","",COUNTIF(AA58:AC58,"כן"))</f>
        <v/>
      </c>
      <c r="AR58" s="38" t="n"/>
      <c r="AS58" s="38" t="n"/>
      <c r="AT58" s="38" t="n"/>
      <c r="AU58" s="38" t="n"/>
      <c r="AV58" s="36">
        <f>IF($A58="","",IF(AND(AR58="",AT58=""),"לא נבדק",IF(AND(OR(AR58="",AR58=AS58),OR(AT58="",AT58=AU58)),"תואם","לא תואם")))</f>
        <v/>
      </c>
      <c r="AW58" s="36">
        <f>IF($A58="","",IF(AND(AV58&lt;&gt;"לא תואם",G58&lt;&gt;"לא ברור"),"אמין","לפרש בזהירות"))</f>
        <v/>
      </c>
    </row>
    <row r="59">
      <c r="A59" s="38" t="n"/>
      <c r="B59" s="38" t="n"/>
      <c r="C59" s="38" t="n"/>
      <c r="D59" s="38" t="n"/>
      <c r="E59" s="38" t="n"/>
      <c r="F59" s="38" t="n"/>
      <c r="G59" s="38" t="n"/>
      <c r="H59" s="38" t="n"/>
      <c r="I59" s="38" t="n"/>
      <c r="J59" s="38" t="n"/>
      <c r="K59" s="38" t="n"/>
      <c r="L59" s="38" t="n"/>
      <c r="M59" s="38" t="n"/>
      <c r="N59" s="38" t="n"/>
      <c r="O59" s="38" t="n"/>
      <c r="P59" s="38" t="n"/>
      <c r="Q59" s="38" t="n"/>
      <c r="R59" s="38" t="n"/>
      <c r="S59" s="38" t="n"/>
      <c r="T59" s="38" t="n"/>
      <c r="U59" s="38" t="n"/>
      <c r="V59" s="38" t="n"/>
      <c r="W59" s="38" t="n"/>
      <c r="X59" s="38" t="n"/>
      <c r="Y59" s="38" t="n"/>
      <c r="Z59" s="38" t="n"/>
      <c r="AA59" s="38" t="n"/>
      <c r="AB59" s="38" t="n"/>
      <c r="AC59" s="38" t="n"/>
      <c r="AD59" s="38" t="n"/>
      <c r="AE59" s="38" t="n"/>
      <c r="AF59" s="36">
        <f>IF($A59="","",$A59&amp;"|"&amp;$C59)</f>
        <v/>
      </c>
      <c r="AG59" s="36">
        <f>IF($A59="","",IF(OR(H59="לא נבדק",H59=""),"לא נבדק",IF(AND(H59="בחר/ה בעצמו/ה",I59="כן",J59="לא"),"מלא",IF(OR(H59="בחר/ה בעצמו/ה",I59="כן"),"חלקי","עדיין לא"))))</f>
        <v/>
      </c>
      <c r="AH59" s="37">
        <f>IF($A59="","",IFERROR(COUNTIF(K59:L59,"כן")/(COUNTIF(K59:L59,"כן")+COUNTIF(K59:L59,"לא")),""))</f>
        <v/>
      </c>
      <c r="AI59" s="37">
        <f>IF($A59="","",IFERROR(COUNTIF(M59:N59,"כן")/(COUNTIF(M59:N59,"כן")+COUNTIF(M59:N59,"לא")),""))</f>
        <v/>
      </c>
      <c r="AJ59" s="37">
        <f>IF($A59="","",IFERROR(COUNTIF(O59:P59,"כן")/(COUNTIF(O59:P59,"כן")+COUNTIF(O59:P59,"לא")),""))</f>
        <v/>
      </c>
      <c r="AK59" s="37">
        <f>IF($A59="","",IFERROR(COUNTIF(Q59:R59,"כן")/(COUNTIF(Q59:R59,"כן")+COUNTIF(Q59:R59,"לא")),""))</f>
        <v/>
      </c>
      <c r="AL59" s="37">
        <f>IF($A59="","",IFERROR(COUNTIF(K59:R59,"כן")/(COUNTIF(K59:R59,"כן")+COUNTIF(K59:R59,"לא")),""))</f>
        <v/>
      </c>
      <c r="AM59" s="37">
        <f>IF($A59="","",IFERROR((COUNTIF(S59:Z59,"רוב הזמן")+0.5*COUNTIF(S59:Z59,"לפעמים"))/(COUNTIF(S59:Z59,"רוב הזמן")+COUNTIF(S59:Z59,"לפעמים")+COUNTIF(S59:Z59,"עדיין לא")),""))</f>
        <v/>
      </c>
      <c r="AN59" s="37">
        <f>IF($A59="","",IFERROR(1-SUMPRODUCT(ABS((K59:R59="כן")-((S59:Z59="רוב הזמן")+0.5*(S59:Z59="לפעמים")))*(((K59:R59="כן")+(K59:R59="לא"))*((S59:Z59="רוב הזמן")+(S59:Z59="לפעמים")+(S59:Z59="עדיין לא"))))/SUMPRODUCT((((K59:R59="כן")+(K59:R59="לא"))*((S59:Z59="רוב הזמן")+(S59:Z59="לפעמים")+(S59:Z59="עדיין לא")))),""))</f>
        <v/>
      </c>
      <c r="AO59" s="36">
        <f>IF($A59="","",SUMPRODUCT((((K59:R59="כן")-((S59:Z59="רוב הזמן")+0.5*(S59:Z59="לפעמים")))&gt;0.01)*(((K59:R59="כן")+(K59:R59="לא"))*((S59:Z59="רוב הזמן")+(S59:Z59="לפעמים")+(S59:Z59="עדיין לא")))))</f>
        <v/>
      </c>
      <c r="AP59" s="36">
        <f>IF($A59="","",SUMPRODUCT(((((S59:Z59="רוב הזמן")+0.5*(S59:Z59="לפעמים"))-(K59:R59="כן"))&gt;0.01)*(((K59:R59="כן")+(K59:R59="לא"))*((S59:Z59="רוב הזמן")+(S59:Z59="לפעמים")+(S59:Z59="עדיין לא")))))</f>
        <v/>
      </c>
      <c r="AQ59" s="36">
        <f>IF($A59="","",COUNTIF(AA59:AC59,"כן"))</f>
        <v/>
      </c>
      <c r="AR59" s="38" t="n"/>
      <c r="AS59" s="38" t="n"/>
      <c r="AT59" s="38" t="n"/>
      <c r="AU59" s="38" t="n"/>
      <c r="AV59" s="36">
        <f>IF($A59="","",IF(AND(AR59="",AT59=""),"לא נבדק",IF(AND(OR(AR59="",AR59=AS59),OR(AT59="",AT59=AU59)),"תואם","לא תואם")))</f>
        <v/>
      </c>
      <c r="AW59" s="36">
        <f>IF($A59="","",IF(AND(AV59&lt;&gt;"לא תואם",G59&lt;&gt;"לא ברור"),"אמין","לפרש בזהירות"))</f>
        <v/>
      </c>
    </row>
    <row r="60">
      <c r="A60" s="38" t="n"/>
      <c r="B60" s="38" t="n"/>
      <c r="C60" s="38" t="n"/>
      <c r="D60" s="38" t="n"/>
      <c r="E60" s="38" t="n"/>
      <c r="F60" s="38" t="n"/>
      <c r="G60" s="38" t="n"/>
      <c r="H60" s="38" t="n"/>
      <c r="I60" s="38" t="n"/>
      <c r="J60" s="38" t="n"/>
      <c r="K60" s="38" t="n"/>
      <c r="L60" s="38" t="n"/>
      <c r="M60" s="38" t="n"/>
      <c r="N60" s="38" t="n"/>
      <c r="O60" s="38" t="n"/>
      <c r="P60" s="38" t="n"/>
      <c r="Q60" s="38" t="n"/>
      <c r="R60" s="38" t="n"/>
      <c r="S60" s="38" t="n"/>
      <c r="T60" s="38" t="n"/>
      <c r="U60" s="38" t="n"/>
      <c r="V60" s="38" t="n"/>
      <c r="W60" s="38" t="n"/>
      <c r="X60" s="38" t="n"/>
      <c r="Y60" s="38" t="n"/>
      <c r="Z60" s="38" t="n"/>
      <c r="AA60" s="38" t="n"/>
      <c r="AB60" s="38" t="n"/>
      <c r="AC60" s="38" t="n"/>
      <c r="AD60" s="38" t="n"/>
      <c r="AE60" s="38" t="n"/>
      <c r="AF60" s="36">
        <f>IF($A60="","",$A60&amp;"|"&amp;$C60)</f>
        <v/>
      </c>
      <c r="AG60" s="36">
        <f>IF($A60="","",IF(OR(H60="לא נבדק",H60=""),"לא נבדק",IF(AND(H60="בחר/ה בעצמו/ה",I60="כן",J60="לא"),"מלא",IF(OR(H60="בחר/ה בעצמו/ה",I60="כן"),"חלקי","עדיין לא"))))</f>
        <v/>
      </c>
      <c r="AH60" s="37">
        <f>IF($A60="","",IFERROR(COUNTIF(K60:L60,"כן")/(COUNTIF(K60:L60,"כן")+COUNTIF(K60:L60,"לא")),""))</f>
        <v/>
      </c>
      <c r="AI60" s="37">
        <f>IF($A60="","",IFERROR(COUNTIF(M60:N60,"כן")/(COUNTIF(M60:N60,"כן")+COUNTIF(M60:N60,"לא")),""))</f>
        <v/>
      </c>
      <c r="AJ60" s="37">
        <f>IF($A60="","",IFERROR(COUNTIF(O60:P60,"כן")/(COUNTIF(O60:P60,"כן")+COUNTIF(O60:P60,"לא")),""))</f>
        <v/>
      </c>
      <c r="AK60" s="37">
        <f>IF($A60="","",IFERROR(COUNTIF(Q60:R60,"כן")/(COUNTIF(Q60:R60,"כן")+COUNTIF(Q60:R60,"לא")),""))</f>
        <v/>
      </c>
      <c r="AL60" s="37">
        <f>IF($A60="","",IFERROR(COUNTIF(K60:R60,"כן")/(COUNTIF(K60:R60,"כן")+COUNTIF(K60:R60,"לא")),""))</f>
        <v/>
      </c>
      <c r="AM60" s="37">
        <f>IF($A60="","",IFERROR((COUNTIF(S60:Z60,"רוב הזמן")+0.5*COUNTIF(S60:Z60,"לפעמים"))/(COUNTIF(S60:Z60,"רוב הזמן")+COUNTIF(S60:Z60,"לפעמים")+COUNTIF(S60:Z60,"עדיין לא")),""))</f>
        <v/>
      </c>
      <c r="AN60" s="37">
        <f>IF($A60="","",IFERROR(1-SUMPRODUCT(ABS((K60:R60="כן")-((S60:Z60="רוב הזמן")+0.5*(S60:Z60="לפעמים")))*(((K60:R60="כן")+(K60:R60="לא"))*((S60:Z60="רוב הזמן")+(S60:Z60="לפעמים")+(S60:Z60="עדיין לא"))))/SUMPRODUCT((((K60:R60="כן")+(K60:R60="לא"))*((S60:Z60="רוב הזמן")+(S60:Z60="לפעמים")+(S60:Z60="עדיין לא")))),""))</f>
        <v/>
      </c>
      <c r="AO60" s="36">
        <f>IF($A60="","",SUMPRODUCT((((K60:R60="כן")-((S60:Z60="רוב הזמן")+0.5*(S60:Z60="לפעמים")))&gt;0.01)*(((K60:R60="כן")+(K60:R60="לא"))*((S60:Z60="רוב הזמן")+(S60:Z60="לפעמים")+(S60:Z60="עדיין לא")))))</f>
        <v/>
      </c>
      <c r="AP60" s="36">
        <f>IF($A60="","",SUMPRODUCT(((((S60:Z60="רוב הזמן")+0.5*(S60:Z60="לפעמים"))-(K60:R60="כן"))&gt;0.01)*(((K60:R60="כן")+(K60:R60="לא"))*((S60:Z60="רוב הזמן")+(S60:Z60="לפעמים")+(S60:Z60="עדיין לא")))))</f>
        <v/>
      </c>
      <c r="AQ60" s="36">
        <f>IF($A60="","",COUNTIF(AA60:AC60,"כן"))</f>
        <v/>
      </c>
      <c r="AR60" s="38" t="n"/>
      <c r="AS60" s="38" t="n"/>
      <c r="AT60" s="38" t="n"/>
      <c r="AU60" s="38" t="n"/>
      <c r="AV60" s="36">
        <f>IF($A60="","",IF(AND(AR60="",AT60=""),"לא נבדק",IF(AND(OR(AR60="",AR60=AS60),OR(AT60="",AT60=AU60)),"תואם","לא תואם")))</f>
        <v/>
      </c>
      <c r="AW60" s="36">
        <f>IF($A60="","",IF(AND(AV60&lt;&gt;"לא תואם",G60&lt;&gt;"לא ברור"),"אמין","לפרש בזהירות"))</f>
        <v/>
      </c>
    </row>
    <row r="61">
      <c r="A61" s="38" t="n"/>
      <c r="B61" s="38" t="n"/>
      <c r="C61" s="38" t="n"/>
      <c r="D61" s="38" t="n"/>
      <c r="E61" s="38" t="n"/>
      <c r="F61" s="38" t="n"/>
      <c r="G61" s="38" t="n"/>
      <c r="H61" s="38" t="n"/>
      <c r="I61" s="38" t="n"/>
      <c r="J61" s="38" t="n"/>
      <c r="K61" s="38" t="n"/>
      <c r="L61" s="38" t="n"/>
      <c r="M61" s="38" t="n"/>
      <c r="N61" s="38" t="n"/>
      <c r="O61" s="38" t="n"/>
      <c r="P61" s="38" t="n"/>
      <c r="Q61" s="38" t="n"/>
      <c r="R61" s="38" t="n"/>
      <c r="S61" s="38" t="n"/>
      <c r="T61" s="38" t="n"/>
      <c r="U61" s="38" t="n"/>
      <c r="V61" s="38" t="n"/>
      <c r="W61" s="38" t="n"/>
      <c r="X61" s="38" t="n"/>
      <c r="Y61" s="38" t="n"/>
      <c r="Z61" s="38" t="n"/>
      <c r="AA61" s="38" t="n"/>
      <c r="AB61" s="38" t="n"/>
      <c r="AC61" s="38" t="n"/>
      <c r="AD61" s="38" t="n"/>
      <c r="AE61" s="38" t="n"/>
      <c r="AF61" s="36">
        <f>IF($A61="","",$A61&amp;"|"&amp;$C61)</f>
        <v/>
      </c>
      <c r="AG61" s="36">
        <f>IF($A61="","",IF(OR(H61="לא נבדק",H61=""),"לא נבדק",IF(AND(H61="בחר/ה בעצמו/ה",I61="כן",J61="לא"),"מלא",IF(OR(H61="בחר/ה בעצמו/ה",I61="כן"),"חלקי","עדיין לא"))))</f>
        <v/>
      </c>
      <c r="AH61" s="37">
        <f>IF($A61="","",IFERROR(COUNTIF(K61:L61,"כן")/(COUNTIF(K61:L61,"כן")+COUNTIF(K61:L61,"לא")),""))</f>
        <v/>
      </c>
      <c r="AI61" s="37">
        <f>IF($A61="","",IFERROR(COUNTIF(M61:N61,"כן")/(COUNTIF(M61:N61,"כן")+COUNTIF(M61:N61,"לא")),""))</f>
        <v/>
      </c>
      <c r="AJ61" s="37">
        <f>IF($A61="","",IFERROR(COUNTIF(O61:P61,"כן")/(COUNTIF(O61:P61,"כן")+COUNTIF(O61:P61,"לא")),""))</f>
        <v/>
      </c>
      <c r="AK61" s="37">
        <f>IF($A61="","",IFERROR(COUNTIF(Q61:R61,"כן")/(COUNTIF(Q61:R61,"כן")+COUNTIF(Q61:R61,"לא")),""))</f>
        <v/>
      </c>
      <c r="AL61" s="37">
        <f>IF($A61="","",IFERROR(COUNTIF(K61:R61,"כן")/(COUNTIF(K61:R61,"כן")+COUNTIF(K61:R61,"לא")),""))</f>
        <v/>
      </c>
      <c r="AM61" s="37">
        <f>IF($A61="","",IFERROR((COUNTIF(S61:Z61,"רוב הזמן")+0.5*COUNTIF(S61:Z61,"לפעמים"))/(COUNTIF(S61:Z61,"רוב הזמן")+COUNTIF(S61:Z61,"לפעמים")+COUNTIF(S61:Z61,"עדיין לא")),""))</f>
        <v/>
      </c>
      <c r="AN61" s="37">
        <f>IF($A61="","",IFERROR(1-SUMPRODUCT(ABS((K61:R61="כן")-((S61:Z61="רוב הזמן")+0.5*(S61:Z61="לפעמים")))*(((K61:R61="כן")+(K61:R61="לא"))*((S61:Z61="רוב הזמן")+(S61:Z61="לפעמים")+(S61:Z61="עדיין לא"))))/SUMPRODUCT((((K61:R61="כן")+(K61:R61="לא"))*((S61:Z61="רוב הזמן")+(S61:Z61="לפעמים")+(S61:Z61="עדיין לא")))),""))</f>
        <v/>
      </c>
      <c r="AO61" s="36">
        <f>IF($A61="","",SUMPRODUCT((((K61:R61="כן")-((S61:Z61="רוב הזמן")+0.5*(S61:Z61="לפעמים")))&gt;0.01)*(((K61:R61="כן")+(K61:R61="לא"))*((S61:Z61="רוב הזמן")+(S61:Z61="לפעמים")+(S61:Z61="עדיין לא")))))</f>
        <v/>
      </c>
      <c r="AP61" s="36">
        <f>IF($A61="","",SUMPRODUCT(((((S61:Z61="רוב הזמן")+0.5*(S61:Z61="לפעמים"))-(K61:R61="כן"))&gt;0.01)*(((K61:R61="כן")+(K61:R61="לא"))*((S61:Z61="רוב הזמן")+(S61:Z61="לפעמים")+(S61:Z61="עדיין לא")))))</f>
        <v/>
      </c>
      <c r="AQ61" s="36">
        <f>IF($A61="","",COUNTIF(AA61:AC61,"כן"))</f>
        <v/>
      </c>
      <c r="AR61" s="38" t="n"/>
      <c r="AS61" s="38" t="n"/>
      <c r="AT61" s="38" t="n"/>
      <c r="AU61" s="38" t="n"/>
      <c r="AV61" s="36">
        <f>IF($A61="","",IF(AND(AR61="",AT61=""),"לא נבדק",IF(AND(OR(AR61="",AR61=AS61),OR(AT61="",AT61=AU61)),"תואם","לא תואם")))</f>
        <v/>
      </c>
      <c r="AW61" s="36">
        <f>IF($A61="","",IF(AND(AV61&lt;&gt;"לא תואם",G61&lt;&gt;"לא ברור"),"אמין","לפרש בזהירות"))</f>
        <v/>
      </c>
    </row>
    <row r="62">
      <c r="A62" s="38" t="n"/>
      <c r="B62" s="38" t="n"/>
      <c r="C62" s="38" t="n"/>
      <c r="D62" s="38" t="n"/>
      <c r="E62" s="38" t="n"/>
      <c r="F62" s="38" t="n"/>
      <c r="G62" s="38" t="n"/>
      <c r="H62" s="38" t="n"/>
      <c r="I62" s="38" t="n"/>
      <c r="J62" s="38" t="n"/>
      <c r="K62" s="38" t="n"/>
      <c r="L62" s="38" t="n"/>
      <c r="M62" s="38" t="n"/>
      <c r="N62" s="38" t="n"/>
      <c r="O62" s="38" t="n"/>
      <c r="P62" s="38" t="n"/>
      <c r="Q62" s="38" t="n"/>
      <c r="R62" s="38" t="n"/>
      <c r="S62" s="38" t="n"/>
      <c r="T62" s="38" t="n"/>
      <c r="U62" s="38" t="n"/>
      <c r="V62" s="38" t="n"/>
      <c r="W62" s="38" t="n"/>
      <c r="X62" s="38" t="n"/>
      <c r="Y62" s="38" t="n"/>
      <c r="Z62" s="38" t="n"/>
      <c r="AA62" s="38" t="n"/>
      <c r="AB62" s="38" t="n"/>
      <c r="AC62" s="38" t="n"/>
      <c r="AD62" s="38" t="n"/>
      <c r="AE62" s="38" t="n"/>
      <c r="AF62" s="36">
        <f>IF($A62="","",$A62&amp;"|"&amp;$C62)</f>
        <v/>
      </c>
      <c r="AG62" s="36">
        <f>IF($A62="","",IF(OR(H62="לא נבדק",H62=""),"לא נבדק",IF(AND(H62="בחר/ה בעצמו/ה",I62="כן",J62="לא"),"מלא",IF(OR(H62="בחר/ה בעצמו/ה",I62="כן"),"חלקי","עדיין לא"))))</f>
        <v/>
      </c>
      <c r="AH62" s="37">
        <f>IF($A62="","",IFERROR(COUNTIF(K62:L62,"כן")/(COUNTIF(K62:L62,"כן")+COUNTIF(K62:L62,"לא")),""))</f>
        <v/>
      </c>
      <c r="AI62" s="37">
        <f>IF($A62="","",IFERROR(COUNTIF(M62:N62,"כן")/(COUNTIF(M62:N62,"כן")+COUNTIF(M62:N62,"לא")),""))</f>
        <v/>
      </c>
      <c r="AJ62" s="37">
        <f>IF($A62="","",IFERROR(COUNTIF(O62:P62,"כן")/(COUNTIF(O62:P62,"כן")+COUNTIF(O62:P62,"לא")),""))</f>
        <v/>
      </c>
      <c r="AK62" s="37">
        <f>IF($A62="","",IFERROR(COUNTIF(Q62:R62,"כן")/(COUNTIF(Q62:R62,"כן")+COUNTIF(Q62:R62,"לא")),""))</f>
        <v/>
      </c>
      <c r="AL62" s="37">
        <f>IF($A62="","",IFERROR(COUNTIF(K62:R62,"כן")/(COUNTIF(K62:R62,"כן")+COUNTIF(K62:R62,"לא")),""))</f>
        <v/>
      </c>
      <c r="AM62" s="37">
        <f>IF($A62="","",IFERROR((COUNTIF(S62:Z62,"רוב הזמן")+0.5*COUNTIF(S62:Z62,"לפעמים"))/(COUNTIF(S62:Z62,"רוב הזמן")+COUNTIF(S62:Z62,"לפעמים")+COUNTIF(S62:Z62,"עדיין לא")),""))</f>
        <v/>
      </c>
      <c r="AN62" s="37">
        <f>IF($A62="","",IFERROR(1-SUMPRODUCT(ABS((K62:R62="כן")-((S62:Z62="רוב הזמן")+0.5*(S62:Z62="לפעמים")))*(((K62:R62="כן")+(K62:R62="לא"))*((S62:Z62="רוב הזמן")+(S62:Z62="לפעמים")+(S62:Z62="עדיין לא"))))/SUMPRODUCT((((K62:R62="כן")+(K62:R62="לא"))*((S62:Z62="רוב הזמן")+(S62:Z62="לפעמים")+(S62:Z62="עדיין לא")))),""))</f>
        <v/>
      </c>
      <c r="AO62" s="36">
        <f>IF($A62="","",SUMPRODUCT((((K62:R62="כן")-((S62:Z62="רוב הזמן")+0.5*(S62:Z62="לפעמים")))&gt;0.01)*(((K62:R62="כן")+(K62:R62="לא"))*((S62:Z62="רוב הזמן")+(S62:Z62="לפעמים")+(S62:Z62="עדיין לא")))))</f>
        <v/>
      </c>
      <c r="AP62" s="36">
        <f>IF($A62="","",SUMPRODUCT(((((S62:Z62="רוב הזמן")+0.5*(S62:Z62="לפעמים"))-(K62:R62="כן"))&gt;0.01)*(((K62:R62="כן")+(K62:R62="לא"))*((S62:Z62="רוב הזמן")+(S62:Z62="לפעמים")+(S62:Z62="עדיין לא")))))</f>
        <v/>
      </c>
      <c r="AQ62" s="36">
        <f>IF($A62="","",COUNTIF(AA62:AC62,"כן"))</f>
        <v/>
      </c>
      <c r="AR62" s="38" t="n"/>
      <c r="AS62" s="38" t="n"/>
      <c r="AT62" s="38" t="n"/>
      <c r="AU62" s="38" t="n"/>
      <c r="AV62" s="36">
        <f>IF($A62="","",IF(AND(AR62="",AT62=""),"לא נבדק",IF(AND(OR(AR62="",AR62=AS62),OR(AT62="",AT62=AU62)),"תואם","לא תואם")))</f>
        <v/>
      </c>
      <c r="AW62" s="36">
        <f>IF($A62="","",IF(AND(AV62&lt;&gt;"לא תואם",G62&lt;&gt;"לא ברור"),"אמין","לפרש בזהירות"))</f>
        <v/>
      </c>
    </row>
    <row r="63">
      <c r="A63" s="38" t="n"/>
      <c r="B63" s="38" t="n"/>
      <c r="C63" s="38" t="n"/>
      <c r="D63" s="38" t="n"/>
      <c r="E63" s="38" t="n"/>
      <c r="F63" s="38" t="n"/>
      <c r="G63" s="38" t="n"/>
      <c r="H63" s="38" t="n"/>
      <c r="I63" s="38" t="n"/>
      <c r="J63" s="38" t="n"/>
      <c r="K63" s="38" t="n"/>
      <c r="L63" s="38" t="n"/>
      <c r="M63" s="38" t="n"/>
      <c r="N63" s="38" t="n"/>
      <c r="O63" s="38" t="n"/>
      <c r="P63" s="38" t="n"/>
      <c r="Q63" s="38" t="n"/>
      <c r="R63" s="38" t="n"/>
      <c r="S63" s="38" t="n"/>
      <c r="T63" s="38" t="n"/>
      <c r="U63" s="38" t="n"/>
      <c r="V63" s="38" t="n"/>
      <c r="W63" s="38" t="n"/>
      <c r="X63" s="38" t="n"/>
      <c r="Y63" s="38" t="n"/>
      <c r="Z63" s="38" t="n"/>
      <c r="AA63" s="38" t="n"/>
      <c r="AB63" s="38" t="n"/>
      <c r="AC63" s="38" t="n"/>
      <c r="AD63" s="38" t="n"/>
      <c r="AE63" s="38" t="n"/>
      <c r="AF63" s="36">
        <f>IF($A63="","",$A63&amp;"|"&amp;$C63)</f>
        <v/>
      </c>
      <c r="AG63" s="36">
        <f>IF($A63="","",IF(OR(H63="לא נבדק",H63=""),"לא נבדק",IF(AND(H63="בחר/ה בעצמו/ה",I63="כן",J63="לא"),"מלא",IF(OR(H63="בחר/ה בעצמו/ה",I63="כן"),"חלקי","עדיין לא"))))</f>
        <v/>
      </c>
      <c r="AH63" s="37">
        <f>IF($A63="","",IFERROR(COUNTIF(K63:L63,"כן")/(COUNTIF(K63:L63,"כן")+COUNTIF(K63:L63,"לא")),""))</f>
        <v/>
      </c>
      <c r="AI63" s="37">
        <f>IF($A63="","",IFERROR(COUNTIF(M63:N63,"כן")/(COUNTIF(M63:N63,"כן")+COUNTIF(M63:N63,"לא")),""))</f>
        <v/>
      </c>
      <c r="AJ63" s="37">
        <f>IF($A63="","",IFERROR(COUNTIF(O63:P63,"כן")/(COUNTIF(O63:P63,"כן")+COUNTIF(O63:P63,"לא")),""))</f>
        <v/>
      </c>
      <c r="AK63" s="37">
        <f>IF($A63="","",IFERROR(COUNTIF(Q63:R63,"כן")/(COUNTIF(Q63:R63,"כן")+COUNTIF(Q63:R63,"לא")),""))</f>
        <v/>
      </c>
      <c r="AL63" s="37">
        <f>IF($A63="","",IFERROR(COUNTIF(K63:R63,"כן")/(COUNTIF(K63:R63,"כן")+COUNTIF(K63:R63,"לא")),""))</f>
        <v/>
      </c>
      <c r="AM63" s="37">
        <f>IF($A63="","",IFERROR((COUNTIF(S63:Z63,"רוב הזמן")+0.5*COUNTIF(S63:Z63,"לפעמים"))/(COUNTIF(S63:Z63,"רוב הזמן")+COUNTIF(S63:Z63,"לפעמים")+COUNTIF(S63:Z63,"עדיין לא")),""))</f>
        <v/>
      </c>
      <c r="AN63" s="37">
        <f>IF($A63="","",IFERROR(1-SUMPRODUCT(ABS((K63:R63="כן")-((S63:Z63="רוב הזמן")+0.5*(S63:Z63="לפעמים")))*(((K63:R63="כן")+(K63:R63="לא"))*((S63:Z63="רוב הזמן")+(S63:Z63="לפעמים")+(S63:Z63="עדיין לא"))))/SUMPRODUCT((((K63:R63="כן")+(K63:R63="לא"))*((S63:Z63="רוב הזמן")+(S63:Z63="לפעמים")+(S63:Z63="עדיין לא")))),""))</f>
        <v/>
      </c>
      <c r="AO63" s="36">
        <f>IF($A63="","",SUMPRODUCT((((K63:R63="כן")-((S63:Z63="רוב הזמן")+0.5*(S63:Z63="לפעמים")))&gt;0.01)*(((K63:R63="כן")+(K63:R63="לא"))*((S63:Z63="רוב הזמן")+(S63:Z63="לפעמים")+(S63:Z63="עדיין לא")))))</f>
        <v/>
      </c>
      <c r="AP63" s="36">
        <f>IF($A63="","",SUMPRODUCT(((((S63:Z63="רוב הזמן")+0.5*(S63:Z63="לפעמים"))-(K63:R63="כן"))&gt;0.01)*(((K63:R63="כן")+(K63:R63="לא"))*((S63:Z63="רוב הזמן")+(S63:Z63="לפעמים")+(S63:Z63="עדיין לא")))))</f>
        <v/>
      </c>
      <c r="AQ63" s="36">
        <f>IF($A63="","",COUNTIF(AA63:AC63,"כן"))</f>
        <v/>
      </c>
      <c r="AR63" s="38" t="n"/>
      <c r="AS63" s="38" t="n"/>
      <c r="AT63" s="38" t="n"/>
      <c r="AU63" s="38" t="n"/>
      <c r="AV63" s="36">
        <f>IF($A63="","",IF(AND(AR63="",AT63=""),"לא נבדק",IF(AND(OR(AR63="",AR63=AS63),OR(AT63="",AT63=AU63)),"תואם","לא תואם")))</f>
        <v/>
      </c>
      <c r="AW63" s="36">
        <f>IF($A63="","",IF(AND(AV63&lt;&gt;"לא תואם",G63&lt;&gt;"לא ברור"),"אמין","לפרש בזהירות"))</f>
        <v/>
      </c>
    </row>
    <row r="64">
      <c r="A64" s="38" t="n"/>
      <c r="B64" s="38" t="n"/>
      <c r="C64" s="38" t="n"/>
      <c r="D64" s="38" t="n"/>
      <c r="E64" s="38" t="n"/>
      <c r="F64" s="38" t="n"/>
      <c r="G64" s="38" t="n"/>
      <c r="H64" s="38" t="n"/>
      <c r="I64" s="38" t="n"/>
      <c r="J64" s="38" t="n"/>
      <c r="K64" s="38" t="n"/>
      <c r="L64" s="38" t="n"/>
      <c r="M64" s="38" t="n"/>
      <c r="N64" s="38" t="n"/>
      <c r="O64" s="38" t="n"/>
      <c r="P64" s="38" t="n"/>
      <c r="Q64" s="38" t="n"/>
      <c r="R64" s="38" t="n"/>
      <c r="S64" s="38" t="n"/>
      <c r="T64" s="38" t="n"/>
      <c r="U64" s="38" t="n"/>
      <c r="V64" s="38" t="n"/>
      <c r="W64" s="38" t="n"/>
      <c r="X64" s="38" t="n"/>
      <c r="Y64" s="38" t="n"/>
      <c r="Z64" s="38" t="n"/>
      <c r="AA64" s="38" t="n"/>
      <c r="AB64" s="38" t="n"/>
      <c r="AC64" s="38" t="n"/>
      <c r="AD64" s="38" t="n"/>
      <c r="AE64" s="38" t="n"/>
      <c r="AF64" s="36">
        <f>IF($A64="","",$A64&amp;"|"&amp;$C64)</f>
        <v/>
      </c>
      <c r="AG64" s="36">
        <f>IF($A64="","",IF(OR(H64="לא נבדק",H64=""),"לא נבדק",IF(AND(H64="בחר/ה בעצמו/ה",I64="כן",J64="לא"),"מלא",IF(OR(H64="בחר/ה בעצמו/ה",I64="כן"),"חלקי","עדיין לא"))))</f>
        <v/>
      </c>
      <c r="AH64" s="37">
        <f>IF($A64="","",IFERROR(COUNTIF(K64:L64,"כן")/(COUNTIF(K64:L64,"כן")+COUNTIF(K64:L64,"לא")),""))</f>
        <v/>
      </c>
      <c r="AI64" s="37">
        <f>IF($A64="","",IFERROR(COUNTIF(M64:N64,"כן")/(COUNTIF(M64:N64,"כן")+COUNTIF(M64:N64,"לא")),""))</f>
        <v/>
      </c>
      <c r="AJ64" s="37">
        <f>IF($A64="","",IFERROR(COUNTIF(O64:P64,"כן")/(COUNTIF(O64:P64,"כן")+COUNTIF(O64:P64,"לא")),""))</f>
        <v/>
      </c>
      <c r="AK64" s="37">
        <f>IF($A64="","",IFERROR(COUNTIF(Q64:R64,"כן")/(COUNTIF(Q64:R64,"כן")+COUNTIF(Q64:R64,"לא")),""))</f>
        <v/>
      </c>
      <c r="AL64" s="37">
        <f>IF($A64="","",IFERROR(COUNTIF(K64:R64,"כן")/(COUNTIF(K64:R64,"כן")+COUNTIF(K64:R64,"לא")),""))</f>
        <v/>
      </c>
      <c r="AM64" s="37">
        <f>IF($A64="","",IFERROR((COUNTIF(S64:Z64,"רוב הזמן")+0.5*COUNTIF(S64:Z64,"לפעמים"))/(COUNTIF(S64:Z64,"רוב הזמן")+COUNTIF(S64:Z64,"לפעמים")+COUNTIF(S64:Z64,"עדיין לא")),""))</f>
        <v/>
      </c>
      <c r="AN64" s="37">
        <f>IF($A64="","",IFERROR(1-SUMPRODUCT(ABS((K64:R64="כן")-((S64:Z64="רוב הזמן")+0.5*(S64:Z64="לפעמים")))*(((K64:R64="כן")+(K64:R64="לא"))*((S64:Z64="רוב הזמן")+(S64:Z64="לפעמים")+(S64:Z64="עדיין לא"))))/SUMPRODUCT((((K64:R64="כן")+(K64:R64="לא"))*((S64:Z64="רוב הזמן")+(S64:Z64="לפעמים")+(S64:Z64="עדיין לא")))),""))</f>
        <v/>
      </c>
      <c r="AO64" s="36">
        <f>IF($A64="","",SUMPRODUCT((((K64:R64="כן")-((S64:Z64="רוב הזמן")+0.5*(S64:Z64="לפעמים")))&gt;0.01)*(((K64:R64="כן")+(K64:R64="לא"))*((S64:Z64="רוב הזמן")+(S64:Z64="לפעמים")+(S64:Z64="עדיין לא")))))</f>
        <v/>
      </c>
      <c r="AP64" s="36">
        <f>IF($A64="","",SUMPRODUCT(((((S64:Z64="רוב הזמן")+0.5*(S64:Z64="לפעמים"))-(K64:R64="כן"))&gt;0.01)*(((K64:R64="כן")+(K64:R64="לא"))*((S64:Z64="רוב הזמן")+(S64:Z64="לפעמים")+(S64:Z64="עדיין לא")))))</f>
        <v/>
      </c>
      <c r="AQ64" s="36">
        <f>IF($A64="","",COUNTIF(AA64:AC64,"כן"))</f>
        <v/>
      </c>
      <c r="AR64" s="38" t="n"/>
      <c r="AS64" s="38" t="n"/>
      <c r="AT64" s="38" t="n"/>
      <c r="AU64" s="38" t="n"/>
      <c r="AV64" s="36">
        <f>IF($A64="","",IF(AND(AR64="",AT64=""),"לא נבדק",IF(AND(OR(AR64="",AR64=AS64),OR(AT64="",AT64=AU64)),"תואם","לא תואם")))</f>
        <v/>
      </c>
      <c r="AW64" s="36">
        <f>IF($A64="","",IF(AND(AV64&lt;&gt;"לא תואם",G64&lt;&gt;"לא ברור"),"אמין","לפרש בזהירות"))</f>
        <v/>
      </c>
    </row>
    <row r="65">
      <c r="A65" s="38" t="n"/>
      <c r="B65" s="38" t="n"/>
      <c r="C65" s="38" t="n"/>
      <c r="D65" s="38" t="n"/>
      <c r="E65" s="38" t="n"/>
      <c r="F65" s="38" t="n"/>
      <c r="G65" s="38" t="n"/>
      <c r="H65" s="38" t="n"/>
      <c r="I65" s="38" t="n"/>
      <c r="J65" s="38" t="n"/>
      <c r="K65" s="38" t="n"/>
      <c r="L65" s="38" t="n"/>
      <c r="M65" s="38" t="n"/>
      <c r="N65" s="38" t="n"/>
      <c r="O65" s="38" t="n"/>
      <c r="P65" s="38" t="n"/>
      <c r="Q65" s="38" t="n"/>
      <c r="R65" s="38" t="n"/>
      <c r="S65" s="38" t="n"/>
      <c r="T65" s="38" t="n"/>
      <c r="U65" s="38" t="n"/>
      <c r="V65" s="38" t="n"/>
      <c r="W65" s="38" t="n"/>
      <c r="X65" s="38" t="n"/>
      <c r="Y65" s="38" t="n"/>
      <c r="Z65" s="38" t="n"/>
      <c r="AA65" s="38" t="n"/>
      <c r="AB65" s="38" t="n"/>
      <c r="AC65" s="38" t="n"/>
      <c r="AD65" s="38" t="n"/>
      <c r="AE65" s="38" t="n"/>
      <c r="AF65" s="36">
        <f>IF($A65="","",$A65&amp;"|"&amp;$C65)</f>
        <v/>
      </c>
      <c r="AG65" s="36">
        <f>IF($A65="","",IF(OR(H65="לא נבדק",H65=""),"לא נבדק",IF(AND(H65="בחר/ה בעצמו/ה",I65="כן",J65="לא"),"מלא",IF(OR(H65="בחר/ה בעצמו/ה",I65="כן"),"חלקי","עדיין לא"))))</f>
        <v/>
      </c>
      <c r="AH65" s="37">
        <f>IF($A65="","",IFERROR(COUNTIF(K65:L65,"כן")/(COUNTIF(K65:L65,"כן")+COUNTIF(K65:L65,"לא")),""))</f>
        <v/>
      </c>
      <c r="AI65" s="37">
        <f>IF($A65="","",IFERROR(COUNTIF(M65:N65,"כן")/(COUNTIF(M65:N65,"כן")+COUNTIF(M65:N65,"לא")),""))</f>
        <v/>
      </c>
      <c r="AJ65" s="37">
        <f>IF($A65="","",IFERROR(COUNTIF(O65:P65,"כן")/(COUNTIF(O65:P65,"כן")+COUNTIF(O65:P65,"לא")),""))</f>
        <v/>
      </c>
      <c r="AK65" s="37">
        <f>IF($A65="","",IFERROR(COUNTIF(Q65:R65,"כן")/(COUNTIF(Q65:R65,"כן")+COUNTIF(Q65:R65,"לא")),""))</f>
        <v/>
      </c>
      <c r="AL65" s="37">
        <f>IF($A65="","",IFERROR(COUNTIF(K65:R65,"כן")/(COUNTIF(K65:R65,"כן")+COUNTIF(K65:R65,"לא")),""))</f>
        <v/>
      </c>
      <c r="AM65" s="37">
        <f>IF($A65="","",IFERROR((COUNTIF(S65:Z65,"רוב הזמן")+0.5*COUNTIF(S65:Z65,"לפעמים"))/(COUNTIF(S65:Z65,"רוב הזמן")+COUNTIF(S65:Z65,"לפעמים")+COUNTIF(S65:Z65,"עדיין לא")),""))</f>
        <v/>
      </c>
      <c r="AN65" s="37">
        <f>IF($A65="","",IFERROR(1-SUMPRODUCT(ABS((K65:R65="כן")-((S65:Z65="רוב הזמן")+0.5*(S65:Z65="לפעמים")))*(((K65:R65="כן")+(K65:R65="לא"))*((S65:Z65="רוב הזמן")+(S65:Z65="לפעמים")+(S65:Z65="עדיין לא"))))/SUMPRODUCT((((K65:R65="כן")+(K65:R65="לא"))*((S65:Z65="רוב הזמן")+(S65:Z65="לפעמים")+(S65:Z65="עדיין לא")))),""))</f>
        <v/>
      </c>
      <c r="AO65" s="36">
        <f>IF($A65="","",SUMPRODUCT((((K65:R65="כן")-((S65:Z65="רוב הזמן")+0.5*(S65:Z65="לפעמים")))&gt;0.01)*(((K65:R65="כן")+(K65:R65="לא"))*((S65:Z65="רוב הזמן")+(S65:Z65="לפעמים")+(S65:Z65="עדיין לא")))))</f>
        <v/>
      </c>
      <c r="AP65" s="36">
        <f>IF($A65="","",SUMPRODUCT(((((S65:Z65="רוב הזמן")+0.5*(S65:Z65="לפעמים"))-(K65:R65="כן"))&gt;0.01)*(((K65:R65="כן")+(K65:R65="לא"))*((S65:Z65="רוב הזמן")+(S65:Z65="לפעמים")+(S65:Z65="עדיין לא")))))</f>
        <v/>
      </c>
      <c r="AQ65" s="36">
        <f>IF($A65="","",COUNTIF(AA65:AC65,"כן"))</f>
        <v/>
      </c>
      <c r="AR65" s="38" t="n"/>
      <c r="AS65" s="38" t="n"/>
      <c r="AT65" s="38" t="n"/>
      <c r="AU65" s="38" t="n"/>
      <c r="AV65" s="36">
        <f>IF($A65="","",IF(AND(AR65="",AT65=""),"לא נבדק",IF(AND(OR(AR65="",AR65=AS65),OR(AT65="",AT65=AU65)),"תואם","לא תואם")))</f>
        <v/>
      </c>
      <c r="AW65" s="36">
        <f>IF($A65="","",IF(AND(AV65&lt;&gt;"לא תואם",G65&lt;&gt;"לא ברור"),"אמין","לפרש בזהירות"))</f>
        <v/>
      </c>
    </row>
    <row r="66">
      <c r="A66" s="38" t="n"/>
      <c r="B66" s="38" t="n"/>
      <c r="C66" s="38" t="n"/>
      <c r="D66" s="38" t="n"/>
      <c r="E66" s="38" t="n"/>
      <c r="F66" s="38" t="n"/>
      <c r="G66" s="38" t="n"/>
      <c r="H66" s="38" t="n"/>
      <c r="I66" s="38" t="n"/>
      <c r="J66" s="38" t="n"/>
      <c r="K66" s="38" t="n"/>
      <c r="L66" s="38" t="n"/>
      <c r="M66" s="38" t="n"/>
      <c r="N66" s="38" t="n"/>
      <c r="O66" s="38" t="n"/>
      <c r="P66" s="38" t="n"/>
      <c r="Q66" s="38" t="n"/>
      <c r="R66" s="38" t="n"/>
      <c r="S66" s="38" t="n"/>
      <c r="T66" s="38" t="n"/>
      <c r="U66" s="38" t="n"/>
      <c r="V66" s="38" t="n"/>
      <c r="W66" s="38" t="n"/>
      <c r="X66" s="38" t="n"/>
      <c r="Y66" s="38" t="n"/>
      <c r="Z66" s="38" t="n"/>
      <c r="AA66" s="38" t="n"/>
      <c r="AB66" s="38" t="n"/>
      <c r="AC66" s="38" t="n"/>
      <c r="AD66" s="38" t="n"/>
      <c r="AE66" s="38" t="n"/>
      <c r="AF66" s="36">
        <f>IF($A66="","",$A66&amp;"|"&amp;$C66)</f>
        <v/>
      </c>
      <c r="AG66" s="36">
        <f>IF($A66="","",IF(OR(H66="לא נבדק",H66=""),"לא נבדק",IF(AND(H66="בחר/ה בעצמו/ה",I66="כן",J66="לא"),"מלא",IF(OR(H66="בחר/ה בעצמו/ה",I66="כן"),"חלקי","עדיין לא"))))</f>
        <v/>
      </c>
      <c r="AH66" s="37">
        <f>IF($A66="","",IFERROR(COUNTIF(K66:L66,"כן")/(COUNTIF(K66:L66,"כן")+COUNTIF(K66:L66,"לא")),""))</f>
        <v/>
      </c>
      <c r="AI66" s="37">
        <f>IF($A66="","",IFERROR(COUNTIF(M66:N66,"כן")/(COUNTIF(M66:N66,"כן")+COUNTIF(M66:N66,"לא")),""))</f>
        <v/>
      </c>
      <c r="AJ66" s="37">
        <f>IF($A66="","",IFERROR(COUNTIF(O66:P66,"כן")/(COUNTIF(O66:P66,"כן")+COUNTIF(O66:P66,"לא")),""))</f>
        <v/>
      </c>
      <c r="AK66" s="37">
        <f>IF($A66="","",IFERROR(COUNTIF(Q66:R66,"כן")/(COUNTIF(Q66:R66,"כן")+COUNTIF(Q66:R66,"לא")),""))</f>
        <v/>
      </c>
      <c r="AL66" s="37">
        <f>IF($A66="","",IFERROR(COUNTIF(K66:R66,"כן")/(COUNTIF(K66:R66,"כן")+COUNTIF(K66:R66,"לא")),""))</f>
        <v/>
      </c>
      <c r="AM66" s="37">
        <f>IF($A66="","",IFERROR((COUNTIF(S66:Z66,"רוב הזמן")+0.5*COUNTIF(S66:Z66,"לפעמים"))/(COUNTIF(S66:Z66,"רוב הזמן")+COUNTIF(S66:Z66,"לפעמים")+COUNTIF(S66:Z66,"עדיין לא")),""))</f>
        <v/>
      </c>
      <c r="AN66" s="37">
        <f>IF($A66="","",IFERROR(1-SUMPRODUCT(ABS((K66:R66="כן")-((S66:Z66="רוב הזמן")+0.5*(S66:Z66="לפעמים")))*(((K66:R66="כן")+(K66:R66="לא"))*((S66:Z66="רוב הזמן")+(S66:Z66="לפעמים")+(S66:Z66="עדיין לא"))))/SUMPRODUCT((((K66:R66="כן")+(K66:R66="לא"))*((S66:Z66="רוב הזמן")+(S66:Z66="לפעמים")+(S66:Z66="עדיין לא")))),""))</f>
        <v/>
      </c>
      <c r="AO66" s="36">
        <f>IF($A66="","",SUMPRODUCT((((K66:R66="כן")-((S66:Z66="רוב הזמן")+0.5*(S66:Z66="לפעמים")))&gt;0.01)*(((K66:R66="כן")+(K66:R66="לא"))*((S66:Z66="רוב הזמן")+(S66:Z66="לפעמים")+(S66:Z66="עדיין לא")))))</f>
        <v/>
      </c>
      <c r="AP66" s="36">
        <f>IF($A66="","",SUMPRODUCT(((((S66:Z66="רוב הזמן")+0.5*(S66:Z66="לפעמים"))-(K66:R66="כן"))&gt;0.01)*(((K66:R66="כן")+(K66:R66="לא"))*((S66:Z66="רוב הזמן")+(S66:Z66="לפעמים")+(S66:Z66="עדיין לא")))))</f>
        <v/>
      </c>
      <c r="AQ66" s="36">
        <f>IF($A66="","",COUNTIF(AA66:AC66,"כן"))</f>
        <v/>
      </c>
      <c r="AR66" s="38" t="n"/>
      <c r="AS66" s="38" t="n"/>
      <c r="AT66" s="38" t="n"/>
      <c r="AU66" s="38" t="n"/>
      <c r="AV66" s="36">
        <f>IF($A66="","",IF(AND(AR66="",AT66=""),"לא נבדק",IF(AND(OR(AR66="",AR66=AS66),OR(AT66="",AT66=AU66)),"תואם","לא תואם")))</f>
        <v/>
      </c>
      <c r="AW66" s="36">
        <f>IF($A66="","",IF(AND(AV66&lt;&gt;"לא תואם",G66&lt;&gt;"לא ברור"),"אמין","לפרש בזהירות"))</f>
        <v/>
      </c>
    </row>
    <row r="67">
      <c r="A67" s="38" t="n"/>
      <c r="B67" s="38" t="n"/>
      <c r="C67" s="38" t="n"/>
      <c r="D67" s="38" t="n"/>
      <c r="E67" s="38" t="n"/>
      <c r="F67" s="38" t="n"/>
      <c r="G67" s="38" t="n"/>
      <c r="H67" s="38" t="n"/>
      <c r="I67" s="38" t="n"/>
      <c r="J67" s="38" t="n"/>
      <c r="K67" s="38" t="n"/>
      <c r="L67" s="38" t="n"/>
      <c r="M67" s="38" t="n"/>
      <c r="N67" s="38" t="n"/>
      <c r="O67" s="38" t="n"/>
      <c r="P67" s="38" t="n"/>
      <c r="Q67" s="38" t="n"/>
      <c r="R67" s="38" t="n"/>
      <c r="S67" s="38" t="n"/>
      <c r="T67" s="38" t="n"/>
      <c r="U67" s="38" t="n"/>
      <c r="V67" s="38" t="n"/>
      <c r="W67" s="38" t="n"/>
      <c r="X67" s="38" t="n"/>
      <c r="Y67" s="38" t="n"/>
      <c r="Z67" s="38" t="n"/>
      <c r="AA67" s="38" t="n"/>
      <c r="AB67" s="38" t="n"/>
      <c r="AC67" s="38" t="n"/>
      <c r="AD67" s="38" t="n"/>
      <c r="AE67" s="38" t="n"/>
      <c r="AF67" s="36">
        <f>IF($A67="","",$A67&amp;"|"&amp;$C67)</f>
        <v/>
      </c>
      <c r="AG67" s="36">
        <f>IF($A67="","",IF(OR(H67="לא נבדק",H67=""),"לא נבדק",IF(AND(H67="בחר/ה בעצמו/ה",I67="כן",J67="לא"),"מלא",IF(OR(H67="בחר/ה בעצמו/ה",I67="כן"),"חלקי","עדיין לא"))))</f>
        <v/>
      </c>
      <c r="AH67" s="37">
        <f>IF($A67="","",IFERROR(COUNTIF(K67:L67,"כן")/(COUNTIF(K67:L67,"כן")+COUNTIF(K67:L67,"לא")),""))</f>
        <v/>
      </c>
      <c r="AI67" s="37">
        <f>IF($A67="","",IFERROR(COUNTIF(M67:N67,"כן")/(COUNTIF(M67:N67,"כן")+COUNTIF(M67:N67,"לא")),""))</f>
        <v/>
      </c>
      <c r="AJ67" s="37">
        <f>IF($A67="","",IFERROR(COUNTIF(O67:P67,"כן")/(COUNTIF(O67:P67,"כן")+COUNTIF(O67:P67,"לא")),""))</f>
        <v/>
      </c>
      <c r="AK67" s="37">
        <f>IF($A67="","",IFERROR(COUNTIF(Q67:R67,"כן")/(COUNTIF(Q67:R67,"כן")+COUNTIF(Q67:R67,"לא")),""))</f>
        <v/>
      </c>
      <c r="AL67" s="37">
        <f>IF($A67="","",IFERROR(COUNTIF(K67:R67,"כן")/(COUNTIF(K67:R67,"כן")+COUNTIF(K67:R67,"לא")),""))</f>
        <v/>
      </c>
      <c r="AM67" s="37">
        <f>IF($A67="","",IFERROR((COUNTIF(S67:Z67,"רוב הזמן")+0.5*COUNTIF(S67:Z67,"לפעמים"))/(COUNTIF(S67:Z67,"רוב הזמן")+COUNTIF(S67:Z67,"לפעמים")+COUNTIF(S67:Z67,"עדיין לא")),""))</f>
        <v/>
      </c>
      <c r="AN67" s="37">
        <f>IF($A67="","",IFERROR(1-SUMPRODUCT(ABS((K67:R67="כן")-((S67:Z67="רוב הזמן")+0.5*(S67:Z67="לפעמים")))*(((K67:R67="כן")+(K67:R67="לא"))*((S67:Z67="רוב הזמן")+(S67:Z67="לפעמים")+(S67:Z67="עדיין לא"))))/SUMPRODUCT((((K67:R67="כן")+(K67:R67="לא"))*((S67:Z67="רוב הזמן")+(S67:Z67="לפעמים")+(S67:Z67="עדיין לא")))),""))</f>
        <v/>
      </c>
      <c r="AO67" s="36">
        <f>IF($A67="","",SUMPRODUCT((((K67:R67="כן")-((S67:Z67="רוב הזמן")+0.5*(S67:Z67="לפעמים")))&gt;0.01)*(((K67:R67="כן")+(K67:R67="לא"))*((S67:Z67="רוב הזמן")+(S67:Z67="לפעמים")+(S67:Z67="עדיין לא")))))</f>
        <v/>
      </c>
      <c r="AP67" s="36">
        <f>IF($A67="","",SUMPRODUCT(((((S67:Z67="רוב הזמן")+0.5*(S67:Z67="לפעמים"))-(K67:R67="כן"))&gt;0.01)*(((K67:R67="כן")+(K67:R67="לא"))*((S67:Z67="רוב הזמן")+(S67:Z67="לפעמים")+(S67:Z67="עדיין לא")))))</f>
        <v/>
      </c>
      <c r="AQ67" s="36">
        <f>IF($A67="","",COUNTIF(AA67:AC67,"כן"))</f>
        <v/>
      </c>
      <c r="AR67" s="38" t="n"/>
      <c r="AS67" s="38" t="n"/>
      <c r="AT67" s="38" t="n"/>
      <c r="AU67" s="38" t="n"/>
      <c r="AV67" s="36">
        <f>IF($A67="","",IF(AND(AR67="",AT67=""),"לא נבדק",IF(AND(OR(AR67="",AR67=AS67),OR(AT67="",AT67=AU67)),"תואם","לא תואם")))</f>
        <v/>
      </c>
      <c r="AW67" s="36">
        <f>IF($A67="","",IF(AND(AV67&lt;&gt;"לא תואם",G67&lt;&gt;"לא ברור"),"אמין","לפרש בזהירות"))</f>
        <v/>
      </c>
    </row>
    <row r="68">
      <c r="A68" s="38" t="n"/>
      <c r="B68" s="38" t="n"/>
      <c r="C68" s="38" t="n"/>
      <c r="D68" s="38" t="n"/>
      <c r="E68" s="38" t="n"/>
      <c r="F68" s="38" t="n"/>
      <c r="G68" s="38" t="n"/>
      <c r="H68" s="38" t="n"/>
      <c r="I68" s="38" t="n"/>
      <c r="J68" s="38" t="n"/>
      <c r="K68" s="38" t="n"/>
      <c r="L68" s="38" t="n"/>
      <c r="M68" s="38" t="n"/>
      <c r="N68" s="38" t="n"/>
      <c r="O68" s="38" t="n"/>
      <c r="P68" s="38" t="n"/>
      <c r="Q68" s="38" t="n"/>
      <c r="R68" s="38" t="n"/>
      <c r="S68" s="38" t="n"/>
      <c r="T68" s="38" t="n"/>
      <c r="U68" s="38" t="n"/>
      <c r="V68" s="38" t="n"/>
      <c r="W68" s="38" t="n"/>
      <c r="X68" s="38" t="n"/>
      <c r="Y68" s="38" t="n"/>
      <c r="Z68" s="38" t="n"/>
      <c r="AA68" s="38" t="n"/>
      <c r="AB68" s="38" t="n"/>
      <c r="AC68" s="38" t="n"/>
      <c r="AD68" s="38" t="n"/>
      <c r="AE68" s="38" t="n"/>
      <c r="AF68" s="36">
        <f>IF($A68="","",$A68&amp;"|"&amp;$C68)</f>
        <v/>
      </c>
      <c r="AG68" s="36">
        <f>IF($A68="","",IF(OR(H68="לא נבדק",H68=""),"לא נבדק",IF(AND(H68="בחר/ה בעצמו/ה",I68="כן",J68="לא"),"מלא",IF(OR(H68="בחר/ה בעצמו/ה",I68="כן"),"חלקי","עדיין לא"))))</f>
        <v/>
      </c>
      <c r="AH68" s="37">
        <f>IF($A68="","",IFERROR(COUNTIF(K68:L68,"כן")/(COUNTIF(K68:L68,"כן")+COUNTIF(K68:L68,"לא")),""))</f>
        <v/>
      </c>
      <c r="AI68" s="37">
        <f>IF($A68="","",IFERROR(COUNTIF(M68:N68,"כן")/(COUNTIF(M68:N68,"כן")+COUNTIF(M68:N68,"לא")),""))</f>
        <v/>
      </c>
      <c r="AJ68" s="37">
        <f>IF($A68="","",IFERROR(COUNTIF(O68:P68,"כן")/(COUNTIF(O68:P68,"כן")+COUNTIF(O68:P68,"לא")),""))</f>
        <v/>
      </c>
      <c r="AK68" s="37">
        <f>IF($A68="","",IFERROR(COUNTIF(Q68:R68,"כן")/(COUNTIF(Q68:R68,"כן")+COUNTIF(Q68:R68,"לא")),""))</f>
        <v/>
      </c>
      <c r="AL68" s="37">
        <f>IF($A68="","",IFERROR(COUNTIF(K68:R68,"כן")/(COUNTIF(K68:R68,"כן")+COUNTIF(K68:R68,"לא")),""))</f>
        <v/>
      </c>
      <c r="AM68" s="37">
        <f>IF($A68="","",IFERROR((COUNTIF(S68:Z68,"רוב הזמן")+0.5*COUNTIF(S68:Z68,"לפעמים"))/(COUNTIF(S68:Z68,"רוב הזמן")+COUNTIF(S68:Z68,"לפעמים")+COUNTIF(S68:Z68,"עדיין לא")),""))</f>
        <v/>
      </c>
      <c r="AN68" s="37">
        <f>IF($A68="","",IFERROR(1-SUMPRODUCT(ABS((K68:R68="כן")-((S68:Z68="רוב הזמן")+0.5*(S68:Z68="לפעמים")))*(((K68:R68="כן")+(K68:R68="לא"))*((S68:Z68="רוב הזמן")+(S68:Z68="לפעמים")+(S68:Z68="עדיין לא"))))/SUMPRODUCT((((K68:R68="כן")+(K68:R68="לא"))*((S68:Z68="רוב הזמן")+(S68:Z68="לפעמים")+(S68:Z68="עדיין לא")))),""))</f>
        <v/>
      </c>
      <c r="AO68" s="36">
        <f>IF($A68="","",SUMPRODUCT((((K68:R68="כן")-((S68:Z68="רוב הזמן")+0.5*(S68:Z68="לפעמים")))&gt;0.01)*(((K68:R68="כן")+(K68:R68="לא"))*((S68:Z68="רוב הזמן")+(S68:Z68="לפעמים")+(S68:Z68="עדיין לא")))))</f>
        <v/>
      </c>
      <c r="AP68" s="36">
        <f>IF($A68="","",SUMPRODUCT(((((S68:Z68="רוב הזמן")+0.5*(S68:Z68="לפעמים"))-(K68:R68="כן"))&gt;0.01)*(((K68:R68="כן")+(K68:R68="לא"))*((S68:Z68="רוב הזמן")+(S68:Z68="לפעמים")+(S68:Z68="עדיין לא")))))</f>
        <v/>
      </c>
      <c r="AQ68" s="36">
        <f>IF($A68="","",COUNTIF(AA68:AC68,"כן"))</f>
        <v/>
      </c>
      <c r="AR68" s="38" t="n"/>
      <c r="AS68" s="38" t="n"/>
      <c r="AT68" s="38" t="n"/>
      <c r="AU68" s="38" t="n"/>
      <c r="AV68" s="36">
        <f>IF($A68="","",IF(AND(AR68="",AT68=""),"לא נבדק",IF(AND(OR(AR68="",AR68=AS68),OR(AT68="",AT68=AU68)),"תואם","לא תואם")))</f>
        <v/>
      </c>
      <c r="AW68" s="36">
        <f>IF($A68="","",IF(AND(AV68&lt;&gt;"לא תואם",G68&lt;&gt;"לא ברור"),"אמין","לפרש בזהירות"))</f>
        <v/>
      </c>
    </row>
    <row r="69">
      <c r="A69" s="38" t="n"/>
      <c r="B69" s="38" t="n"/>
      <c r="C69" s="38" t="n"/>
      <c r="D69" s="38" t="n"/>
      <c r="E69" s="38" t="n"/>
      <c r="F69" s="38" t="n"/>
      <c r="G69" s="38" t="n"/>
      <c r="H69" s="38" t="n"/>
      <c r="I69" s="38" t="n"/>
      <c r="J69" s="38" t="n"/>
      <c r="K69" s="38" t="n"/>
      <c r="L69" s="38" t="n"/>
      <c r="M69" s="38" t="n"/>
      <c r="N69" s="38" t="n"/>
      <c r="O69" s="38" t="n"/>
      <c r="P69" s="38" t="n"/>
      <c r="Q69" s="38" t="n"/>
      <c r="R69" s="38" t="n"/>
      <c r="S69" s="38" t="n"/>
      <c r="T69" s="38" t="n"/>
      <c r="U69" s="38" t="n"/>
      <c r="V69" s="38" t="n"/>
      <c r="W69" s="38" t="n"/>
      <c r="X69" s="38" t="n"/>
      <c r="Y69" s="38" t="n"/>
      <c r="Z69" s="38" t="n"/>
      <c r="AA69" s="38" t="n"/>
      <c r="AB69" s="38" t="n"/>
      <c r="AC69" s="38" t="n"/>
      <c r="AD69" s="38" t="n"/>
      <c r="AE69" s="38" t="n"/>
      <c r="AF69" s="36">
        <f>IF($A69="","",$A69&amp;"|"&amp;$C69)</f>
        <v/>
      </c>
      <c r="AG69" s="36">
        <f>IF($A69="","",IF(OR(H69="לא נבדק",H69=""),"לא נבדק",IF(AND(H69="בחר/ה בעצמו/ה",I69="כן",J69="לא"),"מלא",IF(OR(H69="בחר/ה בעצמו/ה",I69="כן"),"חלקי","עדיין לא"))))</f>
        <v/>
      </c>
      <c r="AH69" s="37">
        <f>IF($A69="","",IFERROR(COUNTIF(K69:L69,"כן")/(COUNTIF(K69:L69,"כן")+COUNTIF(K69:L69,"לא")),""))</f>
        <v/>
      </c>
      <c r="AI69" s="37">
        <f>IF($A69="","",IFERROR(COUNTIF(M69:N69,"כן")/(COUNTIF(M69:N69,"כן")+COUNTIF(M69:N69,"לא")),""))</f>
        <v/>
      </c>
      <c r="AJ69" s="37">
        <f>IF($A69="","",IFERROR(COUNTIF(O69:P69,"כן")/(COUNTIF(O69:P69,"כן")+COUNTIF(O69:P69,"לא")),""))</f>
        <v/>
      </c>
      <c r="AK69" s="37">
        <f>IF($A69="","",IFERROR(COUNTIF(Q69:R69,"כן")/(COUNTIF(Q69:R69,"כן")+COUNTIF(Q69:R69,"לא")),""))</f>
        <v/>
      </c>
      <c r="AL69" s="37">
        <f>IF($A69="","",IFERROR(COUNTIF(K69:R69,"כן")/(COUNTIF(K69:R69,"כן")+COUNTIF(K69:R69,"לא")),""))</f>
        <v/>
      </c>
      <c r="AM69" s="37">
        <f>IF($A69="","",IFERROR((COUNTIF(S69:Z69,"רוב הזמן")+0.5*COUNTIF(S69:Z69,"לפעמים"))/(COUNTIF(S69:Z69,"רוב הזמן")+COUNTIF(S69:Z69,"לפעמים")+COUNTIF(S69:Z69,"עדיין לא")),""))</f>
        <v/>
      </c>
      <c r="AN69" s="37">
        <f>IF($A69="","",IFERROR(1-SUMPRODUCT(ABS((K69:R69="כן")-((S69:Z69="רוב הזמן")+0.5*(S69:Z69="לפעמים")))*(((K69:R69="כן")+(K69:R69="לא"))*((S69:Z69="רוב הזמן")+(S69:Z69="לפעמים")+(S69:Z69="עדיין לא"))))/SUMPRODUCT((((K69:R69="כן")+(K69:R69="לא"))*((S69:Z69="רוב הזמן")+(S69:Z69="לפעמים")+(S69:Z69="עדיין לא")))),""))</f>
        <v/>
      </c>
      <c r="AO69" s="36">
        <f>IF($A69="","",SUMPRODUCT((((K69:R69="כן")-((S69:Z69="רוב הזמן")+0.5*(S69:Z69="לפעמים")))&gt;0.01)*(((K69:R69="כן")+(K69:R69="לא"))*((S69:Z69="רוב הזמן")+(S69:Z69="לפעמים")+(S69:Z69="עדיין לא")))))</f>
        <v/>
      </c>
      <c r="AP69" s="36">
        <f>IF($A69="","",SUMPRODUCT(((((S69:Z69="רוב הזמן")+0.5*(S69:Z69="לפעמים"))-(K69:R69="כן"))&gt;0.01)*(((K69:R69="כן")+(K69:R69="לא"))*((S69:Z69="רוב הזמן")+(S69:Z69="לפעמים")+(S69:Z69="עדיין לא")))))</f>
        <v/>
      </c>
      <c r="AQ69" s="36">
        <f>IF($A69="","",COUNTIF(AA69:AC69,"כן"))</f>
        <v/>
      </c>
      <c r="AR69" s="38" t="n"/>
      <c r="AS69" s="38" t="n"/>
      <c r="AT69" s="38" t="n"/>
      <c r="AU69" s="38" t="n"/>
      <c r="AV69" s="36">
        <f>IF($A69="","",IF(AND(AR69="",AT69=""),"לא נבדק",IF(AND(OR(AR69="",AR69=AS69),OR(AT69="",AT69=AU69)),"תואם","לא תואם")))</f>
        <v/>
      </c>
      <c r="AW69" s="36">
        <f>IF($A69="","",IF(AND(AV69&lt;&gt;"לא תואם",G69&lt;&gt;"לא ברור"),"אמין","לפרש בזהירות"))</f>
        <v/>
      </c>
    </row>
    <row r="70">
      <c r="A70" s="38" t="n"/>
      <c r="B70" s="38" t="n"/>
      <c r="C70" s="38" t="n"/>
      <c r="D70" s="38" t="n"/>
      <c r="E70" s="38" t="n"/>
      <c r="F70" s="38" t="n"/>
      <c r="G70" s="38" t="n"/>
      <c r="H70" s="38" t="n"/>
      <c r="I70" s="38" t="n"/>
      <c r="J70" s="38" t="n"/>
      <c r="K70" s="38" t="n"/>
      <c r="L70" s="38" t="n"/>
      <c r="M70" s="38" t="n"/>
      <c r="N70" s="38" t="n"/>
      <c r="O70" s="38" t="n"/>
      <c r="P70" s="38" t="n"/>
      <c r="Q70" s="38" t="n"/>
      <c r="R70" s="38" t="n"/>
      <c r="S70" s="38" t="n"/>
      <c r="T70" s="38" t="n"/>
      <c r="U70" s="38" t="n"/>
      <c r="V70" s="38" t="n"/>
      <c r="W70" s="38" t="n"/>
      <c r="X70" s="38" t="n"/>
      <c r="Y70" s="38" t="n"/>
      <c r="Z70" s="38" t="n"/>
      <c r="AA70" s="38" t="n"/>
      <c r="AB70" s="38" t="n"/>
      <c r="AC70" s="38" t="n"/>
      <c r="AD70" s="38" t="n"/>
      <c r="AE70" s="38" t="n"/>
      <c r="AF70" s="36">
        <f>IF($A70="","",$A70&amp;"|"&amp;$C70)</f>
        <v/>
      </c>
      <c r="AG70" s="36">
        <f>IF($A70="","",IF(OR(H70="לא נבדק",H70=""),"לא נבדק",IF(AND(H70="בחר/ה בעצמו/ה",I70="כן",J70="לא"),"מלא",IF(OR(H70="בחר/ה בעצמו/ה",I70="כן"),"חלקי","עדיין לא"))))</f>
        <v/>
      </c>
      <c r="AH70" s="37">
        <f>IF($A70="","",IFERROR(COUNTIF(K70:L70,"כן")/(COUNTIF(K70:L70,"כן")+COUNTIF(K70:L70,"לא")),""))</f>
        <v/>
      </c>
      <c r="AI70" s="37">
        <f>IF($A70="","",IFERROR(COUNTIF(M70:N70,"כן")/(COUNTIF(M70:N70,"כן")+COUNTIF(M70:N70,"לא")),""))</f>
        <v/>
      </c>
      <c r="AJ70" s="37">
        <f>IF($A70="","",IFERROR(COUNTIF(O70:P70,"כן")/(COUNTIF(O70:P70,"כן")+COUNTIF(O70:P70,"לא")),""))</f>
        <v/>
      </c>
      <c r="AK70" s="37">
        <f>IF($A70="","",IFERROR(COUNTIF(Q70:R70,"כן")/(COUNTIF(Q70:R70,"כן")+COUNTIF(Q70:R70,"לא")),""))</f>
        <v/>
      </c>
      <c r="AL70" s="37">
        <f>IF($A70="","",IFERROR(COUNTIF(K70:R70,"כן")/(COUNTIF(K70:R70,"כן")+COUNTIF(K70:R70,"לא")),""))</f>
        <v/>
      </c>
      <c r="AM70" s="37">
        <f>IF($A70="","",IFERROR((COUNTIF(S70:Z70,"רוב הזמן")+0.5*COUNTIF(S70:Z70,"לפעמים"))/(COUNTIF(S70:Z70,"רוב הזמן")+COUNTIF(S70:Z70,"לפעמים")+COUNTIF(S70:Z70,"עדיין לא")),""))</f>
        <v/>
      </c>
      <c r="AN70" s="37">
        <f>IF($A70="","",IFERROR(1-SUMPRODUCT(ABS((K70:R70="כן")-((S70:Z70="רוב הזמן")+0.5*(S70:Z70="לפעמים")))*(((K70:R70="כן")+(K70:R70="לא"))*((S70:Z70="רוב הזמן")+(S70:Z70="לפעמים")+(S70:Z70="עדיין לא"))))/SUMPRODUCT((((K70:R70="כן")+(K70:R70="לא"))*((S70:Z70="רוב הזמן")+(S70:Z70="לפעמים")+(S70:Z70="עדיין לא")))),""))</f>
        <v/>
      </c>
      <c r="AO70" s="36">
        <f>IF($A70="","",SUMPRODUCT((((K70:R70="כן")-((S70:Z70="רוב הזמן")+0.5*(S70:Z70="לפעמים")))&gt;0.01)*(((K70:R70="כן")+(K70:R70="לא"))*((S70:Z70="רוב הזמן")+(S70:Z70="לפעמים")+(S70:Z70="עדיין לא")))))</f>
        <v/>
      </c>
      <c r="AP70" s="36">
        <f>IF($A70="","",SUMPRODUCT(((((S70:Z70="רוב הזמן")+0.5*(S70:Z70="לפעמים"))-(K70:R70="כן"))&gt;0.01)*(((K70:R70="כן")+(K70:R70="לא"))*((S70:Z70="רוב הזמן")+(S70:Z70="לפעמים")+(S70:Z70="עדיין לא")))))</f>
        <v/>
      </c>
      <c r="AQ70" s="36">
        <f>IF($A70="","",COUNTIF(AA70:AC70,"כן"))</f>
        <v/>
      </c>
      <c r="AR70" s="38" t="n"/>
      <c r="AS70" s="38" t="n"/>
      <c r="AT70" s="38" t="n"/>
      <c r="AU70" s="38" t="n"/>
      <c r="AV70" s="36">
        <f>IF($A70="","",IF(AND(AR70="",AT70=""),"לא נבדק",IF(AND(OR(AR70="",AR70=AS70),OR(AT70="",AT70=AU70)),"תואם","לא תואם")))</f>
        <v/>
      </c>
      <c r="AW70" s="36">
        <f>IF($A70="","",IF(AND(AV70&lt;&gt;"לא תואם",G70&lt;&gt;"לא ברור"),"אמין","לפרש בזהירות"))</f>
        <v/>
      </c>
    </row>
    <row r="71">
      <c r="A71" s="38" t="n"/>
      <c r="B71" s="38" t="n"/>
      <c r="C71" s="38" t="n"/>
      <c r="D71" s="38" t="n"/>
      <c r="E71" s="38" t="n"/>
      <c r="F71" s="38" t="n"/>
      <c r="G71" s="38" t="n"/>
      <c r="H71" s="38" t="n"/>
      <c r="I71" s="38" t="n"/>
      <c r="J71" s="38" t="n"/>
      <c r="K71" s="38" t="n"/>
      <c r="L71" s="38" t="n"/>
      <c r="M71" s="38" t="n"/>
      <c r="N71" s="38" t="n"/>
      <c r="O71" s="38" t="n"/>
      <c r="P71" s="38" t="n"/>
      <c r="Q71" s="38" t="n"/>
      <c r="R71" s="38" t="n"/>
      <c r="S71" s="38" t="n"/>
      <c r="T71" s="38" t="n"/>
      <c r="U71" s="38" t="n"/>
      <c r="V71" s="38" t="n"/>
      <c r="W71" s="38" t="n"/>
      <c r="X71" s="38" t="n"/>
      <c r="Y71" s="38" t="n"/>
      <c r="Z71" s="38" t="n"/>
      <c r="AA71" s="38" t="n"/>
      <c r="AB71" s="38" t="n"/>
      <c r="AC71" s="38" t="n"/>
      <c r="AD71" s="38" t="n"/>
      <c r="AE71" s="38" t="n"/>
      <c r="AF71" s="36">
        <f>IF($A71="","",$A71&amp;"|"&amp;$C71)</f>
        <v/>
      </c>
      <c r="AG71" s="36">
        <f>IF($A71="","",IF(OR(H71="לא נבדק",H71=""),"לא נבדק",IF(AND(H71="בחר/ה בעצמו/ה",I71="כן",J71="לא"),"מלא",IF(OR(H71="בחר/ה בעצמו/ה",I71="כן"),"חלקי","עדיין לא"))))</f>
        <v/>
      </c>
      <c r="AH71" s="37">
        <f>IF($A71="","",IFERROR(COUNTIF(K71:L71,"כן")/(COUNTIF(K71:L71,"כן")+COUNTIF(K71:L71,"לא")),""))</f>
        <v/>
      </c>
      <c r="AI71" s="37">
        <f>IF($A71="","",IFERROR(COUNTIF(M71:N71,"כן")/(COUNTIF(M71:N71,"כן")+COUNTIF(M71:N71,"לא")),""))</f>
        <v/>
      </c>
      <c r="AJ71" s="37">
        <f>IF($A71="","",IFERROR(COUNTIF(O71:P71,"כן")/(COUNTIF(O71:P71,"כן")+COUNTIF(O71:P71,"לא")),""))</f>
        <v/>
      </c>
      <c r="AK71" s="37">
        <f>IF($A71="","",IFERROR(COUNTIF(Q71:R71,"כן")/(COUNTIF(Q71:R71,"כן")+COUNTIF(Q71:R71,"לא")),""))</f>
        <v/>
      </c>
      <c r="AL71" s="37">
        <f>IF($A71="","",IFERROR(COUNTIF(K71:R71,"כן")/(COUNTIF(K71:R71,"כן")+COUNTIF(K71:R71,"לא")),""))</f>
        <v/>
      </c>
      <c r="AM71" s="37">
        <f>IF($A71="","",IFERROR((COUNTIF(S71:Z71,"רוב הזמן")+0.5*COUNTIF(S71:Z71,"לפעמים"))/(COUNTIF(S71:Z71,"רוב הזמן")+COUNTIF(S71:Z71,"לפעמים")+COUNTIF(S71:Z71,"עדיין לא")),""))</f>
        <v/>
      </c>
      <c r="AN71" s="37">
        <f>IF($A71="","",IFERROR(1-SUMPRODUCT(ABS((K71:R71="כן")-((S71:Z71="רוב הזמן")+0.5*(S71:Z71="לפעמים")))*(((K71:R71="כן")+(K71:R71="לא"))*((S71:Z71="רוב הזמן")+(S71:Z71="לפעמים")+(S71:Z71="עדיין לא"))))/SUMPRODUCT((((K71:R71="כן")+(K71:R71="לא"))*((S71:Z71="רוב הזמן")+(S71:Z71="לפעמים")+(S71:Z71="עדיין לא")))),""))</f>
        <v/>
      </c>
      <c r="AO71" s="36">
        <f>IF($A71="","",SUMPRODUCT((((K71:R71="כן")-((S71:Z71="רוב הזמן")+0.5*(S71:Z71="לפעמים")))&gt;0.01)*(((K71:R71="כן")+(K71:R71="לא"))*((S71:Z71="רוב הזמן")+(S71:Z71="לפעמים")+(S71:Z71="עדיין לא")))))</f>
        <v/>
      </c>
      <c r="AP71" s="36">
        <f>IF($A71="","",SUMPRODUCT(((((S71:Z71="רוב הזמן")+0.5*(S71:Z71="לפעמים"))-(K71:R71="כן"))&gt;0.01)*(((K71:R71="כן")+(K71:R71="לא"))*((S71:Z71="רוב הזמן")+(S71:Z71="לפעמים")+(S71:Z71="עדיין לא")))))</f>
        <v/>
      </c>
      <c r="AQ71" s="36">
        <f>IF($A71="","",COUNTIF(AA71:AC71,"כן"))</f>
        <v/>
      </c>
      <c r="AR71" s="38" t="n"/>
      <c r="AS71" s="38" t="n"/>
      <c r="AT71" s="38" t="n"/>
      <c r="AU71" s="38" t="n"/>
      <c r="AV71" s="36">
        <f>IF($A71="","",IF(AND(AR71="",AT71=""),"לא נבדק",IF(AND(OR(AR71="",AR71=AS71),OR(AT71="",AT71=AU71)),"תואם","לא תואם")))</f>
        <v/>
      </c>
      <c r="AW71" s="36">
        <f>IF($A71="","",IF(AND(AV71&lt;&gt;"לא תואם",G71&lt;&gt;"לא ברור"),"אמין","לפרש בזהירות"))</f>
        <v/>
      </c>
    </row>
    <row r="72">
      <c r="A72" s="38" t="n"/>
      <c r="B72" s="38" t="n"/>
      <c r="C72" s="38" t="n"/>
      <c r="D72" s="38" t="n"/>
      <c r="E72" s="38" t="n"/>
      <c r="F72" s="38" t="n"/>
      <c r="G72" s="38" t="n"/>
      <c r="H72" s="38" t="n"/>
      <c r="I72" s="38" t="n"/>
      <c r="J72" s="38" t="n"/>
      <c r="K72" s="38" t="n"/>
      <c r="L72" s="38" t="n"/>
      <c r="M72" s="38" t="n"/>
      <c r="N72" s="38" t="n"/>
      <c r="O72" s="38" t="n"/>
      <c r="P72" s="38" t="n"/>
      <c r="Q72" s="38" t="n"/>
      <c r="R72" s="38" t="n"/>
      <c r="S72" s="38" t="n"/>
      <c r="T72" s="38" t="n"/>
      <c r="U72" s="38" t="n"/>
      <c r="V72" s="38" t="n"/>
      <c r="W72" s="38" t="n"/>
      <c r="X72" s="38" t="n"/>
      <c r="Y72" s="38" t="n"/>
      <c r="Z72" s="38" t="n"/>
      <c r="AA72" s="38" t="n"/>
      <c r="AB72" s="38" t="n"/>
      <c r="AC72" s="38" t="n"/>
      <c r="AD72" s="38" t="n"/>
      <c r="AE72" s="38" t="n"/>
      <c r="AF72" s="36">
        <f>IF($A72="","",$A72&amp;"|"&amp;$C72)</f>
        <v/>
      </c>
      <c r="AG72" s="36">
        <f>IF($A72="","",IF(OR(H72="לא נבדק",H72=""),"לא נבדק",IF(AND(H72="בחר/ה בעצמו/ה",I72="כן",J72="לא"),"מלא",IF(OR(H72="בחר/ה בעצמו/ה",I72="כן"),"חלקי","עדיין לא"))))</f>
        <v/>
      </c>
      <c r="AH72" s="37">
        <f>IF($A72="","",IFERROR(COUNTIF(K72:L72,"כן")/(COUNTIF(K72:L72,"כן")+COUNTIF(K72:L72,"לא")),""))</f>
        <v/>
      </c>
      <c r="AI72" s="37">
        <f>IF($A72="","",IFERROR(COUNTIF(M72:N72,"כן")/(COUNTIF(M72:N72,"כן")+COUNTIF(M72:N72,"לא")),""))</f>
        <v/>
      </c>
      <c r="AJ72" s="37">
        <f>IF($A72="","",IFERROR(COUNTIF(O72:P72,"כן")/(COUNTIF(O72:P72,"כן")+COUNTIF(O72:P72,"לא")),""))</f>
        <v/>
      </c>
      <c r="AK72" s="37">
        <f>IF($A72="","",IFERROR(COUNTIF(Q72:R72,"כן")/(COUNTIF(Q72:R72,"כן")+COUNTIF(Q72:R72,"לא")),""))</f>
        <v/>
      </c>
      <c r="AL72" s="37">
        <f>IF($A72="","",IFERROR(COUNTIF(K72:R72,"כן")/(COUNTIF(K72:R72,"כן")+COUNTIF(K72:R72,"לא")),""))</f>
        <v/>
      </c>
      <c r="AM72" s="37">
        <f>IF($A72="","",IFERROR((COUNTIF(S72:Z72,"רוב הזמן")+0.5*COUNTIF(S72:Z72,"לפעמים"))/(COUNTIF(S72:Z72,"רוב הזמן")+COUNTIF(S72:Z72,"לפעמים")+COUNTIF(S72:Z72,"עדיין לא")),""))</f>
        <v/>
      </c>
      <c r="AN72" s="37">
        <f>IF($A72="","",IFERROR(1-SUMPRODUCT(ABS((K72:R72="כן")-((S72:Z72="רוב הזמן")+0.5*(S72:Z72="לפעמים")))*(((K72:R72="כן")+(K72:R72="לא"))*((S72:Z72="רוב הזמן")+(S72:Z72="לפעמים")+(S72:Z72="עדיין לא"))))/SUMPRODUCT((((K72:R72="כן")+(K72:R72="לא"))*((S72:Z72="רוב הזמן")+(S72:Z72="לפעמים")+(S72:Z72="עדיין לא")))),""))</f>
        <v/>
      </c>
      <c r="AO72" s="36">
        <f>IF($A72="","",SUMPRODUCT((((K72:R72="כן")-((S72:Z72="רוב הזמן")+0.5*(S72:Z72="לפעמים")))&gt;0.01)*(((K72:R72="כן")+(K72:R72="לא"))*((S72:Z72="רוב הזמן")+(S72:Z72="לפעמים")+(S72:Z72="עדיין לא")))))</f>
        <v/>
      </c>
      <c r="AP72" s="36">
        <f>IF($A72="","",SUMPRODUCT(((((S72:Z72="רוב הזמן")+0.5*(S72:Z72="לפעמים"))-(K72:R72="כן"))&gt;0.01)*(((K72:R72="כן")+(K72:R72="לא"))*((S72:Z72="רוב הזמן")+(S72:Z72="לפעמים")+(S72:Z72="עדיין לא")))))</f>
        <v/>
      </c>
      <c r="AQ72" s="36">
        <f>IF($A72="","",COUNTIF(AA72:AC72,"כן"))</f>
        <v/>
      </c>
      <c r="AR72" s="38" t="n"/>
      <c r="AS72" s="38" t="n"/>
      <c r="AT72" s="38" t="n"/>
      <c r="AU72" s="38" t="n"/>
      <c r="AV72" s="36">
        <f>IF($A72="","",IF(AND(AR72="",AT72=""),"לא נבדק",IF(AND(OR(AR72="",AR72=AS72),OR(AT72="",AT72=AU72)),"תואם","לא תואם")))</f>
        <v/>
      </c>
      <c r="AW72" s="36">
        <f>IF($A72="","",IF(AND(AV72&lt;&gt;"לא תואם",G72&lt;&gt;"לא ברור"),"אמין","לפרש בזהירות"))</f>
        <v/>
      </c>
    </row>
    <row r="73">
      <c r="A73" s="38" t="n"/>
      <c r="B73" s="38" t="n"/>
      <c r="C73" s="38" t="n"/>
      <c r="D73" s="38" t="n"/>
      <c r="E73" s="38" t="n"/>
      <c r="F73" s="38" t="n"/>
      <c r="G73" s="38" t="n"/>
      <c r="H73" s="38" t="n"/>
      <c r="I73" s="38" t="n"/>
      <c r="J73" s="38" t="n"/>
      <c r="K73" s="38" t="n"/>
      <c r="L73" s="38" t="n"/>
      <c r="M73" s="38" t="n"/>
      <c r="N73" s="38" t="n"/>
      <c r="O73" s="38" t="n"/>
      <c r="P73" s="38" t="n"/>
      <c r="Q73" s="38" t="n"/>
      <c r="R73" s="38" t="n"/>
      <c r="S73" s="38" t="n"/>
      <c r="T73" s="38" t="n"/>
      <c r="U73" s="38" t="n"/>
      <c r="V73" s="38" t="n"/>
      <c r="W73" s="38" t="n"/>
      <c r="X73" s="38" t="n"/>
      <c r="Y73" s="38" t="n"/>
      <c r="Z73" s="38" t="n"/>
      <c r="AA73" s="38" t="n"/>
      <c r="AB73" s="38" t="n"/>
      <c r="AC73" s="38" t="n"/>
      <c r="AD73" s="38" t="n"/>
      <c r="AE73" s="38" t="n"/>
      <c r="AF73" s="36">
        <f>IF($A73="","",$A73&amp;"|"&amp;$C73)</f>
        <v/>
      </c>
      <c r="AG73" s="36">
        <f>IF($A73="","",IF(OR(H73="לא נבדק",H73=""),"לא נבדק",IF(AND(H73="בחר/ה בעצמו/ה",I73="כן",J73="לא"),"מלא",IF(OR(H73="בחר/ה בעצמו/ה",I73="כן"),"חלקי","עדיין לא"))))</f>
        <v/>
      </c>
      <c r="AH73" s="37">
        <f>IF($A73="","",IFERROR(COUNTIF(K73:L73,"כן")/(COUNTIF(K73:L73,"כן")+COUNTIF(K73:L73,"לא")),""))</f>
        <v/>
      </c>
      <c r="AI73" s="37">
        <f>IF($A73="","",IFERROR(COUNTIF(M73:N73,"כן")/(COUNTIF(M73:N73,"כן")+COUNTIF(M73:N73,"לא")),""))</f>
        <v/>
      </c>
      <c r="AJ73" s="37">
        <f>IF($A73="","",IFERROR(COUNTIF(O73:P73,"כן")/(COUNTIF(O73:P73,"כן")+COUNTIF(O73:P73,"לא")),""))</f>
        <v/>
      </c>
      <c r="AK73" s="37">
        <f>IF($A73="","",IFERROR(COUNTIF(Q73:R73,"כן")/(COUNTIF(Q73:R73,"כן")+COUNTIF(Q73:R73,"לא")),""))</f>
        <v/>
      </c>
      <c r="AL73" s="37">
        <f>IF($A73="","",IFERROR(COUNTIF(K73:R73,"כן")/(COUNTIF(K73:R73,"כן")+COUNTIF(K73:R73,"לא")),""))</f>
        <v/>
      </c>
      <c r="AM73" s="37">
        <f>IF($A73="","",IFERROR((COUNTIF(S73:Z73,"רוב הזמן")+0.5*COUNTIF(S73:Z73,"לפעמים"))/(COUNTIF(S73:Z73,"רוב הזמן")+COUNTIF(S73:Z73,"לפעמים")+COUNTIF(S73:Z73,"עדיין לא")),""))</f>
        <v/>
      </c>
      <c r="AN73" s="37">
        <f>IF($A73="","",IFERROR(1-SUMPRODUCT(ABS((K73:R73="כן")-((S73:Z73="רוב הזמן")+0.5*(S73:Z73="לפעמים")))*(((K73:R73="כן")+(K73:R73="לא"))*((S73:Z73="רוב הזמן")+(S73:Z73="לפעמים")+(S73:Z73="עדיין לא"))))/SUMPRODUCT((((K73:R73="כן")+(K73:R73="לא"))*((S73:Z73="רוב הזמן")+(S73:Z73="לפעמים")+(S73:Z73="עדיין לא")))),""))</f>
        <v/>
      </c>
      <c r="AO73" s="36">
        <f>IF($A73="","",SUMPRODUCT((((K73:R73="כן")-((S73:Z73="רוב הזמן")+0.5*(S73:Z73="לפעמים")))&gt;0.01)*(((K73:R73="כן")+(K73:R73="לא"))*((S73:Z73="רוב הזמן")+(S73:Z73="לפעמים")+(S73:Z73="עדיין לא")))))</f>
        <v/>
      </c>
      <c r="AP73" s="36">
        <f>IF($A73="","",SUMPRODUCT(((((S73:Z73="רוב הזמן")+0.5*(S73:Z73="לפעמים"))-(K73:R73="כן"))&gt;0.01)*(((K73:R73="כן")+(K73:R73="לא"))*((S73:Z73="רוב הזמן")+(S73:Z73="לפעמים")+(S73:Z73="עדיין לא")))))</f>
        <v/>
      </c>
      <c r="AQ73" s="36">
        <f>IF($A73="","",COUNTIF(AA73:AC73,"כן"))</f>
        <v/>
      </c>
      <c r="AR73" s="38" t="n"/>
      <c r="AS73" s="38" t="n"/>
      <c r="AT73" s="38" t="n"/>
      <c r="AU73" s="38" t="n"/>
      <c r="AV73" s="36">
        <f>IF($A73="","",IF(AND(AR73="",AT73=""),"לא נבדק",IF(AND(OR(AR73="",AR73=AS73),OR(AT73="",AT73=AU73)),"תואם","לא תואם")))</f>
        <v/>
      </c>
      <c r="AW73" s="36">
        <f>IF($A73="","",IF(AND(AV73&lt;&gt;"לא תואם",G73&lt;&gt;"לא ברור"),"אמין","לפרש בזהירות"))</f>
        <v/>
      </c>
    </row>
    <row r="74">
      <c r="A74" s="38" t="n"/>
      <c r="B74" s="38" t="n"/>
      <c r="C74" s="38" t="n"/>
      <c r="D74" s="38" t="n"/>
      <c r="E74" s="38" t="n"/>
      <c r="F74" s="38" t="n"/>
      <c r="G74" s="38" t="n"/>
      <c r="H74" s="38" t="n"/>
      <c r="I74" s="38" t="n"/>
      <c r="J74" s="38" t="n"/>
      <c r="K74" s="38" t="n"/>
      <c r="L74" s="38" t="n"/>
      <c r="M74" s="38" t="n"/>
      <c r="N74" s="38" t="n"/>
      <c r="O74" s="38" t="n"/>
      <c r="P74" s="38" t="n"/>
      <c r="Q74" s="38" t="n"/>
      <c r="R74" s="38" t="n"/>
      <c r="S74" s="38" t="n"/>
      <c r="T74" s="38" t="n"/>
      <c r="U74" s="38" t="n"/>
      <c r="V74" s="38" t="n"/>
      <c r="W74" s="38" t="n"/>
      <c r="X74" s="38" t="n"/>
      <c r="Y74" s="38" t="n"/>
      <c r="Z74" s="38" t="n"/>
      <c r="AA74" s="38" t="n"/>
      <c r="AB74" s="38" t="n"/>
      <c r="AC74" s="38" t="n"/>
      <c r="AD74" s="38" t="n"/>
      <c r="AE74" s="38" t="n"/>
      <c r="AF74" s="36">
        <f>IF($A74="","",$A74&amp;"|"&amp;$C74)</f>
        <v/>
      </c>
      <c r="AG74" s="36">
        <f>IF($A74="","",IF(OR(H74="לא נבדק",H74=""),"לא נבדק",IF(AND(H74="בחר/ה בעצמו/ה",I74="כן",J74="לא"),"מלא",IF(OR(H74="בחר/ה בעצמו/ה",I74="כן"),"חלקי","עדיין לא"))))</f>
        <v/>
      </c>
      <c r="AH74" s="37">
        <f>IF($A74="","",IFERROR(COUNTIF(K74:L74,"כן")/(COUNTIF(K74:L74,"כן")+COUNTIF(K74:L74,"לא")),""))</f>
        <v/>
      </c>
      <c r="AI74" s="37">
        <f>IF($A74="","",IFERROR(COUNTIF(M74:N74,"כן")/(COUNTIF(M74:N74,"כן")+COUNTIF(M74:N74,"לא")),""))</f>
        <v/>
      </c>
      <c r="AJ74" s="37">
        <f>IF($A74="","",IFERROR(COUNTIF(O74:P74,"כן")/(COUNTIF(O74:P74,"כן")+COUNTIF(O74:P74,"לא")),""))</f>
        <v/>
      </c>
      <c r="AK74" s="37">
        <f>IF($A74="","",IFERROR(COUNTIF(Q74:R74,"כן")/(COUNTIF(Q74:R74,"כן")+COUNTIF(Q74:R74,"לא")),""))</f>
        <v/>
      </c>
      <c r="AL74" s="37">
        <f>IF($A74="","",IFERROR(COUNTIF(K74:R74,"כן")/(COUNTIF(K74:R74,"כן")+COUNTIF(K74:R74,"לא")),""))</f>
        <v/>
      </c>
      <c r="AM74" s="37">
        <f>IF($A74="","",IFERROR((COUNTIF(S74:Z74,"רוב הזמן")+0.5*COUNTIF(S74:Z74,"לפעמים"))/(COUNTIF(S74:Z74,"רוב הזמן")+COUNTIF(S74:Z74,"לפעמים")+COUNTIF(S74:Z74,"עדיין לא")),""))</f>
        <v/>
      </c>
      <c r="AN74" s="37">
        <f>IF($A74="","",IFERROR(1-SUMPRODUCT(ABS((K74:R74="כן")-((S74:Z74="רוב הזמן")+0.5*(S74:Z74="לפעמים")))*(((K74:R74="כן")+(K74:R74="לא"))*((S74:Z74="רוב הזמן")+(S74:Z74="לפעמים")+(S74:Z74="עדיין לא"))))/SUMPRODUCT((((K74:R74="כן")+(K74:R74="לא"))*((S74:Z74="רוב הזמן")+(S74:Z74="לפעמים")+(S74:Z74="עדיין לא")))),""))</f>
        <v/>
      </c>
      <c r="AO74" s="36">
        <f>IF($A74="","",SUMPRODUCT((((K74:R74="כן")-((S74:Z74="רוב הזמן")+0.5*(S74:Z74="לפעמים")))&gt;0.01)*(((K74:R74="כן")+(K74:R74="לא"))*((S74:Z74="רוב הזמן")+(S74:Z74="לפעמים")+(S74:Z74="עדיין לא")))))</f>
        <v/>
      </c>
      <c r="AP74" s="36">
        <f>IF($A74="","",SUMPRODUCT(((((S74:Z74="רוב הזמן")+0.5*(S74:Z74="לפעמים"))-(K74:R74="כן"))&gt;0.01)*(((K74:R74="כן")+(K74:R74="לא"))*((S74:Z74="רוב הזמן")+(S74:Z74="לפעמים")+(S74:Z74="עדיין לא")))))</f>
        <v/>
      </c>
      <c r="AQ74" s="36">
        <f>IF($A74="","",COUNTIF(AA74:AC74,"כן"))</f>
        <v/>
      </c>
      <c r="AR74" s="38" t="n"/>
      <c r="AS74" s="38" t="n"/>
      <c r="AT74" s="38" t="n"/>
      <c r="AU74" s="38" t="n"/>
      <c r="AV74" s="36">
        <f>IF($A74="","",IF(AND(AR74="",AT74=""),"לא נבדק",IF(AND(OR(AR74="",AR74=AS74),OR(AT74="",AT74=AU74)),"תואם","לא תואם")))</f>
        <v/>
      </c>
      <c r="AW74" s="36">
        <f>IF($A74="","",IF(AND(AV74&lt;&gt;"לא תואם",G74&lt;&gt;"לא ברור"),"אמין","לפרש בזהירות"))</f>
        <v/>
      </c>
    </row>
    <row r="75">
      <c r="A75" s="38" t="n"/>
      <c r="B75" s="38" t="n"/>
      <c r="C75" s="38" t="n"/>
      <c r="D75" s="38" t="n"/>
      <c r="E75" s="38" t="n"/>
      <c r="F75" s="38" t="n"/>
      <c r="G75" s="38" t="n"/>
      <c r="H75" s="38" t="n"/>
      <c r="I75" s="38" t="n"/>
      <c r="J75" s="38" t="n"/>
      <c r="K75" s="38" t="n"/>
      <c r="L75" s="38" t="n"/>
      <c r="M75" s="38" t="n"/>
      <c r="N75" s="38" t="n"/>
      <c r="O75" s="38" t="n"/>
      <c r="P75" s="38" t="n"/>
      <c r="Q75" s="38" t="n"/>
      <c r="R75" s="38" t="n"/>
      <c r="S75" s="38" t="n"/>
      <c r="T75" s="38" t="n"/>
      <c r="U75" s="38" t="n"/>
      <c r="V75" s="38" t="n"/>
      <c r="W75" s="38" t="n"/>
      <c r="X75" s="38" t="n"/>
      <c r="Y75" s="38" t="n"/>
      <c r="Z75" s="38" t="n"/>
      <c r="AA75" s="38" t="n"/>
      <c r="AB75" s="38" t="n"/>
      <c r="AC75" s="38" t="n"/>
      <c r="AD75" s="38" t="n"/>
      <c r="AE75" s="38" t="n"/>
      <c r="AF75" s="36">
        <f>IF($A75="","",$A75&amp;"|"&amp;$C75)</f>
        <v/>
      </c>
      <c r="AG75" s="36">
        <f>IF($A75="","",IF(OR(H75="לא נבדק",H75=""),"לא נבדק",IF(AND(H75="בחר/ה בעצמו/ה",I75="כן",J75="לא"),"מלא",IF(OR(H75="בחר/ה בעצמו/ה",I75="כן"),"חלקי","עדיין לא"))))</f>
        <v/>
      </c>
      <c r="AH75" s="37">
        <f>IF($A75="","",IFERROR(COUNTIF(K75:L75,"כן")/(COUNTIF(K75:L75,"כן")+COUNTIF(K75:L75,"לא")),""))</f>
        <v/>
      </c>
      <c r="AI75" s="37">
        <f>IF($A75="","",IFERROR(COUNTIF(M75:N75,"כן")/(COUNTIF(M75:N75,"כן")+COUNTIF(M75:N75,"לא")),""))</f>
        <v/>
      </c>
      <c r="AJ75" s="37">
        <f>IF($A75="","",IFERROR(COUNTIF(O75:P75,"כן")/(COUNTIF(O75:P75,"כן")+COUNTIF(O75:P75,"לא")),""))</f>
        <v/>
      </c>
      <c r="AK75" s="37">
        <f>IF($A75="","",IFERROR(COUNTIF(Q75:R75,"כן")/(COUNTIF(Q75:R75,"כן")+COUNTIF(Q75:R75,"לא")),""))</f>
        <v/>
      </c>
      <c r="AL75" s="37">
        <f>IF($A75="","",IFERROR(COUNTIF(K75:R75,"כן")/(COUNTIF(K75:R75,"כן")+COUNTIF(K75:R75,"לא")),""))</f>
        <v/>
      </c>
      <c r="AM75" s="37">
        <f>IF($A75="","",IFERROR((COUNTIF(S75:Z75,"רוב הזמן")+0.5*COUNTIF(S75:Z75,"לפעמים"))/(COUNTIF(S75:Z75,"רוב הזמן")+COUNTIF(S75:Z75,"לפעמים")+COUNTIF(S75:Z75,"עדיין לא")),""))</f>
        <v/>
      </c>
      <c r="AN75" s="37">
        <f>IF($A75="","",IFERROR(1-SUMPRODUCT(ABS((K75:R75="כן")-((S75:Z75="רוב הזמן")+0.5*(S75:Z75="לפעמים")))*(((K75:R75="כן")+(K75:R75="לא"))*((S75:Z75="רוב הזמן")+(S75:Z75="לפעמים")+(S75:Z75="עדיין לא"))))/SUMPRODUCT((((K75:R75="כן")+(K75:R75="לא"))*((S75:Z75="רוב הזמן")+(S75:Z75="לפעמים")+(S75:Z75="עדיין לא")))),""))</f>
        <v/>
      </c>
      <c r="AO75" s="36">
        <f>IF($A75="","",SUMPRODUCT((((K75:R75="כן")-((S75:Z75="רוב הזמן")+0.5*(S75:Z75="לפעמים")))&gt;0.01)*(((K75:R75="כן")+(K75:R75="לא"))*((S75:Z75="רוב הזמן")+(S75:Z75="לפעמים")+(S75:Z75="עדיין לא")))))</f>
        <v/>
      </c>
      <c r="AP75" s="36">
        <f>IF($A75="","",SUMPRODUCT(((((S75:Z75="רוב הזמן")+0.5*(S75:Z75="לפעמים"))-(K75:R75="כן"))&gt;0.01)*(((K75:R75="כן")+(K75:R75="לא"))*((S75:Z75="רוב הזמן")+(S75:Z75="לפעמים")+(S75:Z75="עדיין לא")))))</f>
        <v/>
      </c>
      <c r="AQ75" s="36">
        <f>IF($A75="","",COUNTIF(AA75:AC75,"כן"))</f>
        <v/>
      </c>
      <c r="AR75" s="38" t="n"/>
      <c r="AS75" s="38" t="n"/>
      <c r="AT75" s="38" t="n"/>
      <c r="AU75" s="38" t="n"/>
      <c r="AV75" s="36">
        <f>IF($A75="","",IF(AND(AR75="",AT75=""),"לא נבדק",IF(AND(OR(AR75="",AR75=AS75),OR(AT75="",AT75=AU75)),"תואם","לא תואם")))</f>
        <v/>
      </c>
      <c r="AW75" s="36">
        <f>IF($A75="","",IF(AND(AV75&lt;&gt;"לא תואם",G75&lt;&gt;"לא ברור"),"אמין","לפרש בזהירות"))</f>
        <v/>
      </c>
    </row>
    <row r="76">
      <c r="A76" s="38" t="n"/>
      <c r="B76" s="38" t="n"/>
      <c r="C76" s="38" t="n"/>
      <c r="D76" s="38" t="n"/>
      <c r="E76" s="38" t="n"/>
      <c r="F76" s="38" t="n"/>
      <c r="G76" s="38" t="n"/>
      <c r="H76" s="38" t="n"/>
      <c r="I76" s="38" t="n"/>
      <c r="J76" s="38" t="n"/>
      <c r="K76" s="38" t="n"/>
      <c r="L76" s="38" t="n"/>
      <c r="M76" s="38" t="n"/>
      <c r="N76" s="38" t="n"/>
      <c r="O76" s="38" t="n"/>
      <c r="P76" s="38" t="n"/>
      <c r="Q76" s="38" t="n"/>
      <c r="R76" s="38" t="n"/>
      <c r="S76" s="38" t="n"/>
      <c r="T76" s="38" t="n"/>
      <c r="U76" s="38" t="n"/>
      <c r="V76" s="38" t="n"/>
      <c r="W76" s="38" t="n"/>
      <c r="X76" s="38" t="n"/>
      <c r="Y76" s="38" t="n"/>
      <c r="Z76" s="38" t="n"/>
      <c r="AA76" s="38" t="n"/>
      <c r="AB76" s="38" t="n"/>
      <c r="AC76" s="38" t="n"/>
      <c r="AD76" s="38" t="n"/>
      <c r="AE76" s="38" t="n"/>
      <c r="AF76" s="36">
        <f>IF($A76="","",$A76&amp;"|"&amp;$C76)</f>
        <v/>
      </c>
      <c r="AG76" s="36">
        <f>IF($A76="","",IF(OR(H76="לא נבדק",H76=""),"לא נבדק",IF(AND(H76="בחר/ה בעצמו/ה",I76="כן",J76="לא"),"מלא",IF(OR(H76="בחר/ה בעצמו/ה",I76="כן"),"חלקי","עדיין לא"))))</f>
        <v/>
      </c>
      <c r="AH76" s="37">
        <f>IF($A76="","",IFERROR(COUNTIF(K76:L76,"כן")/(COUNTIF(K76:L76,"כן")+COUNTIF(K76:L76,"לא")),""))</f>
        <v/>
      </c>
      <c r="AI76" s="37">
        <f>IF($A76="","",IFERROR(COUNTIF(M76:N76,"כן")/(COUNTIF(M76:N76,"כן")+COUNTIF(M76:N76,"לא")),""))</f>
        <v/>
      </c>
      <c r="AJ76" s="37">
        <f>IF($A76="","",IFERROR(COUNTIF(O76:P76,"כן")/(COUNTIF(O76:P76,"כן")+COUNTIF(O76:P76,"לא")),""))</f>
        <v/>
      </c>
      <c r="AK76" s="37">
        <f>IF($A76="","",IFERROR(COUNTIF(Q76:R76,"כן")/(COUNTIF(Q76:R76,"כן")+COUNTIF(Q76:R76,"לא")),""))</f>
        <v/>
      </c>
      <c r="AL76" s="37">
        <f>IF($A76="","",IFERROR(COUNTIF(K76:R76,"כן")/(COUNTIF(K76:R76,"כן")+COUNTIF(K76:R76,"לא")),""))</f>
        <v/>
      </c>
      <c r="AM76" s="37">
        <f>IF($A76="","",IFERROR((COUNTIF(S76:Z76,"רוב הזמן")+0.5*COUNTIF(S76:Z76,"לפעמים"))/(COUNTIF(S76:Z76,"רוב הזמן")+COUNTIF(S76:Z76,"לפעמים")+COUNTIF(S76:Z76,"עדיין לא")),""))</f>
        <v/>
      </c>
      <c r="AN76" s="37">
        <f>IF($A76="","",IFERROR(1-SUMPRODUCT(ABS((K76:R76="כן")-((S76:Z76="רוב הזמן")+0.5*(S76:Z76="לפעמים")))*(((K76:R76="כן")+(K76:R76="לא"))*((S76:Z76="רוב הזמן")+(S76:Z76="לפעמים")+(S76:Z76="עדיין לא"))))/SUMPRODUCT((((K76:R76="כן")+(K76:R76="לא"))*((S76:Z76="רוב הזמן")+(S76:Z76="לפעמים")+(S76:Z76="עדיין לא")))),""))</f>
        <v/>
      </c>
      <c r="AO76" s="36">
        <f>IF($A76="","",SUMPRODUCT((((K76:R76="כן")-((S76:Z76="רוב הזמן")+0.5*(S76:Z76="לפעמים")))&gt;0.01)*(((K76:R76="כן")+(K76:R76="לא"))*((S76:Z76="רוב הזמן")+(S76:Z76="לפעמים")+(S76:Z76="עדיין לא")))))</f>
        <v/>
      </c>
      <c r="AP76" s="36">
        <f>IF($A76="","",SUMPRODUCT(((((S76:Z76="רוב הזמן")+0.5*(S76:Z76="לפעמים"))-(K76:R76="כן"))&gt;0.01)*(((K76:R76="כן")+(K76:R76="לא"))*((S76:Z76="רוב הזמן")+(S76:Z76="לפעמים")+(S76:Z76="עדיין לא")))))</f>
        <v/>
      </c>
      <c r="AQ76" s="36">
        <f>IF($A76="","",COUNTIF(AA76:AC76,"כן"))</f>
        <v/>
      </c>
      <c r="AR76" s="38" t="n"/>
      <c r="AS76" s="38" t="n"/>
      <c r="AT76" s="38" t="n"/>
      <c r="AU76" s="38" t="n"/>
      <c r="AV76" s="36">
        <f>IF($A76="","",IF(AND(AR76="",AT76=""),"לא נבדק",IF(AND(OR(AR76="",AR76=AS76),OR(AT76="",AT76=AU76)),"תואם","לא תואם")))</f>
        <v/>
      </c>
      <c r="AW76" s="36">
        <f>IF($A76="","",IF(AND(AV76&lt;&gt;"לא תואם",G76&lt;&gt;"לא ברור"),"אמין","לפרש בזהירות"))</f>
        <v/>
      </c>
    </row>
    <row r="77">
      <c r="A77" s="38" t="n"/>
      <c r="B77" s="38" t="n"/>
      <c r="C77" s="38" t="n"/>
      <c r="D77" s="38" t="n"/>
      <c r="E77" s="38" t="n"/>
      <c r="F77" s="38" t="n"/>
      <c r="G77" s="38" t="n"/>
      <c r="H77" s="38" t="n"/>
      <c r="I77" s="38" t="n"/>
      <c r="J77" s="38" t="n"/>
      <c r="K77" s="38" t="n"/>
      <c r="L77" s="38" t="n"/>
      <c r="M77" s="38" t="n"/>
      <c r="N77" s="38" t="n"/>
      <c r="O77" s="38" t="n"/>
      <c r="P77" s="38" t="n"/>
      <c r="Q77" s="38" t="n"/>
      <c r="R77" s="38" t="n"/>
      <c r="S77" s="38" t="n"/>
      <c r="T77" s="38" t="n"/>
      <c r="U77" s="38" t="n"/>
      <c r="V77" s="38" t="n"/>
      <c r="W77" s="38" t="n"/>
      <c r="X77" s="38" t="n"/>
      <c r="Y77" s="38" t="n"/>
      <c r="Z77" s="38" t="n"/>
      <c r="AA77" s="38" t="n"/>
      <c r="AB77" s="38" t="n"/>
      <c r="AC77" s="38" t="n"/>
      <c r="AD77" s="38" t="n"/>
      <c r="AE77" s="38" t="n"/>
      <c r="AF77" s="36">
        <f>IF($A77="","",$A77&amp;"|"&amp;$C77)</f>
        <v/>
      </c>
      <c r="AG77" s="36">
        <f>IF($A77="","",IF(OR(H77="לא נבדק",H77=""),"לא נבדק",IF(AND(H77="בחר/ה בעצמו/ה",I77="כן",J77="לא"),"מלא",IF(OR(H77="בחר/ה בעצמו/ה",I77="כן"),"חלקי","עדיין לא"))))</f>
        <v/>
      </c>
      <c r="AH77" s="37">
        <f>IF($A77="","",IFERROR(COUNTIF(K77:L77,"כן")/(COUNTIF(K77:L77,"כן")+COUNTIF(K77:L77,"לא")),""))</f>
        <v/>
      </c>
      <c r="AI77" s="37">
        <f>IF($A77="","",IFERROR(COUNTIF(M77:N77,"כן")/(COUNTIF(M77:N77,"כן")+COUNTIF(M77:N77,"לא")),""))</f>
        <v/>
      </c>
      <c r="AJ77" s="37">
        <f>IF($A77="","",IFERROR(COUNTIF(O77:P77,"כן")/(COUNTIF(O77:P77,"כן")+COUNTIF(O77:P77,"לא")),""))</f>
        <v/>
      </c>
      <c r="AK77" s="37">
        <f>IF($A77="","",IFERROR(COUNTIF(Q77:R77,"כן")/(COUNTIF(Q77:R77,"כן")+COUNTIF(Q77:R77,"לא")),""))</f>
        <v/>
      </c>
      <c r="AL77" s="37">
        <f>IF($A77="","",IFERROR(COUNTIF(K77:R77,"כן")/(COUNTIF(K77:R77,"כן")+COUNTIF(K77:R77,"לא")),""))</f>
        <v/>
      </c>
      <c r="AM77" s="37">
        <f>IF($A77="","",IFERROR((COUNTIF(S77:Z77,"רוב הזמן")+0.5*COUNTIF(S77:Z77,"לפעמים"))/(COUNTIF(S77:Z77,"רוב הזמן")+COUNTIF(S77:Z77,"לפעמים")+COUNTIF(S77:Z77,"עדיין לא")),""))</f>
        <v/>
      </c>
      <c r="AN77" s="37">
        <f>IF($A77="","",IFERROR(1-SUMPRODUCT(ABS((K77:R77="כן")-((S77:Z77="רוב הזמן")+0.5*(S77:Z77="לפעמים")))*(((K77:R77="כן")+(K77:R77="לא"))*((S77:Z77="רוב הזמן")+(S77:Z77="לפעמים")+(S77:Z77="עדיין לא"))))/SUMPRODUCT((((K77:R77="כן")+(K77:R77="לא"))*((S77:Z77="רוב הזמן")+(S77:Z77="לפעמים")+(S77:Z77="עדיין לא")))),""))</f>
        <v/>
      </c>
      <c r="AO77" s="36">
        <f>IF($A77="","",SUMPRODUCT((((K77:R77="כן")-((S77:Z77="רוב הזמן")+0.5*(S77:Z77="לפעמים")))&gt;0.01)*(((K77:R77="כן")+(K77:R77="לא"))*((S77:Z77="רוב הזמן")+(S77:Z77="לפעמים")+(S77:Z77="עדיין לא")))))</f>
        <v/>
      </c>
      <c r="AP77" s="36">
        <f>IF($A77="","",SUMPRODUCT(((((S77:Z77="רוב הזמן")+0.5*(S77:Z77="לפעמים"))-(K77:R77="כן"))&gt;0.01)*(((K77:R77="כן")+(K77:R77="לא"))*((S77:Z77="רוב הזמן")+(S77:Z77="לפעמים")+(S77:Z77="עדיין לא")))))</f>
        <v/>
      </c>
      <c r="AQ77" s="36">
        <f>IF($A77="","",COUNTIF(AA77:AC77,"כן"))</f>
        <v/>
      </c>
      <c r="AR77" s="38" t="n"/>
      <c r="AS77" s="38" t="n"/>
      <c r="AT77" s="38" t="n"/>
      <c r="AU77" s="38" t="n"/>
      <c r="AV77" s="36">
        <f>IF($A77="","",IF(AND(AR77="",AT77=""),"לא נבדק",IF(AND(OR(AR77="",AR77=AS77),OR(AT77="",AT77=AU77)),"תואם","לא תואם")))</f>
        <v/>
      </c>
      <c r="AW77" s="36">
        <f>IF($A77="","",IF(AND(AV77&lt;&gt;"לא תואם",G77&lt;&gt;"לא ברור"),"אמין","לפרש בזהירות"))</f>
        <v/>
      </c>
    </row>
    <row r="78">
      <c r="A78" s="38" t="n"/>
      <c r="B78" s="38" t="n"/>
      <c r="C78" s="38" t="n"/>
      <c r="D78" s="38" t="n"/>
      <c r="E78" s="38" t="n"/>
      <c r="F78" s="38" t="n"/>
      <c r="G78" s="38" t="n"/>
      <c r="H78" s="38" t="n"/>
      <c r="I78" s="38" t="n"/>
      <c r="J78" s="38" t="n"/>
      <c r="K78" s="38" t="n"/>
      <c r="L78" s="38" t="n"/>
      <c r="M78" s="38" t="n"/>
      <c r="N78" s="38" t="n"/>
      <c r="O78" s="38" t="n"/>
      <c r="P78" s="38" t="n"/>
      <c r="Q78" s="38" t="n"/>
      <c r="R78" s="38" t="n"/>
      <c r="S78" s="38" t="n"/>
      <c r="T78" s="38" t="n"/>
      <c r="U78" s="38" t="n"/>
      <c r="V78" s="38" t="n"/>
      <c r="W78" s="38" t="n"/>
      <c r="X78" s="38" t="n"/>
      <c r="Y78" s="38" t="n"/>
      <c r="Z78" s="38" t="n"/>
      <c r="AA78" s="38" t="n"/>
      <c r="AB78" s="38" t="n"/>
      <c r="AC78" s="38" t="n"/>
      <c r="AD78" s="38" t="n"/>
      <c r="AE78" s="38" t="n"/>
      <c r="AF78" s="36">
        <f>IF($A78="","",$A78&amp;"|"&amp;$C78)</f>
        <v/>
      </c>
      <c r="AG78" s="36">
        <f>IF($A78="","",IF(OR(H78="לא נבדק",H78=""),"לא נבדק",IF(AND(H78="בחר/ה בעצמו/ה",I78="כן",J78="לא"),"מלא",IF(OR(H78="בחר/ה בעצמו/ה",I78="כן"),"חלקי","עדיין לא"))))</f>
        <v/>
      </c>
      <c r="AH78" s="37">
        <f>IF($A78="","",IFERROR(COUNTIF(K78:L78,"כן")/(COUNTIF(K78:L78,"כן")+COUNTIF(K78:L78,"לא")),""))</f>
        <v/>
      </c>
      <c r="AI78" s="37">
        <f>IF($A78="","",IFERROR(COUNTIF(M78:N78,"כן")/(COUNTIF(M78:N78,"כן")+COUNTIF(M78:N78,"לא")),""))</f>
        <v/>
      </c>
      <c r="AJ78" s="37">
        <f>IF($A78="","",IFERROR(COUNTIF(O78:P78,"כן")/(COUNTIF(O78:P78,"כן")+COUNTIF(O78:P78,"לא")),""))</f>
        <v/>
      </c>
      <c r="AK78" s="37">
        <f>IF($A78="","",IFERROR(COUNTIF(Q78:R78,"כן")/(COUNTIF(Q78:R78,"כן")+COUNTIF(Q78:R78,"לא")),""))</f>
        <v/>
      </c>
      <c r="AL78" s="37">
        <f>IF($A78="","",IFERROR(COUNTIF(K78:R78,"כן")/(COUNTIF(K78:R78,"כן")+COUNTIF(K78:R78,"לא")),""))</f>
        <v/>
      </c>
      <c r="AM78" s="37">
        <f>IF($A78="","",IFERROR((COUNTIF(S78:Z78,"רוב הזמן")+0.5*COUNTIF(S78:Z78,"לפעמים"))/(COUNTIF(S78:Z78,"רוב הזמן")+COUNTIF(S78:Z78,"לפעמים")+COUNTIF(S78:Z78,"עדיין לא")),""))</f>
        <v/>
      </c>
      <c r="AN78" s="37">
        <f>IF($A78="","",IFERROR(1-SUMPRODUCT(ABS((K78:R78="כן")-((S78:Z78="רוב הזמן")+0.5*(S78:Z78="לפעמים")))*(((K78:R78="כן")+(K78:R78="לא"))*((S78:Z78="רוב הזמן")+(S78:Z78="לפעמים")+(S78:Z78="עדיין לא"))))/SUMPRODUCT((((K78:R78="כן")+(K78:R78="לא"))*((S78:Z78="רוב הזמן")+(S78:Z78="לפעמים")+(S78:Z78="עדיין לא")))),""))</f>
        <v/>
      </c>
      <c r="AO78" s="36">
        <f>IF($A78="","",SUMPRODUCT((((K78:R78="כן")-((S78:Z78="רוב הזמן")+0.5*(S78:Z78="לפעמים")))&gt;0.01)*(((K78:R78="כן")+(K78:R78="לא"))*((S78:Z78="רוב הזמן")+(S78:Z78="לפעמים")+(S78:Z78="עדיין לא")))))</f>
        <v/>
      </c>
      <c r="AP78" s="36">
        <f>IF($A78="","",SUMPRODUCT(((((S78:Z78="רוב הזמן")+0.5*(S78:Z78="לפעמים"))-(K78:R78="כן"))&gt;0.01)*(((K78:R78="כן")+(K78:R78="לא"))*((S78:Z78="רוב הזמן")+(S78:Z78="לפעמים")+(S78:Z78="עדיין לא")))))</f>
        <v/>
      </c>
      <c r="AQ78" s="36">
        <f>IF($A78="","",COUNTIF(AA78:AC78,"כן"))</f>
        <v/>
      </c>
      <c r="AR78" s="38" t="n"/>
      <c r="AS78" s="38" t="n"/>
      <c r="AT78" s="38" t="n"/>
      <c r="AU78" s="38" t="n"/>
      <c r="AV78" s="36">
        <f>IF($A78="","",IF(AND(AR78="",AT78=""),"לא נבדק",IF(AND(OR(AR78="",AR78=AS78),OR(AT78="",AT78=AU78)),"תואם","לא תואם")))</f>
        <v/>
      </c>
      <c r="AW78" s="36">
        <f>IF($A78="","",IF(AND(AV78&lt;&gt;"לא תואם",G78&lt;&gt;"לא ברור"),"אמין","לפרש בזהירות"))</f>
        <v/>
      </c>
    </row>
    <row r="79">
      <c r="A79" s="38" t="n"/>
      <c r="B79" s="38" t="n"/>
      <c r="C79" s="38" t="n"/>
      <c r="D79" s="38" t="n"/>
      <c r="E79" s="38" t="n"/>
      <c r="F79" s="38" t="n"/>
      <c r="G79" s="38" t="n"/>
      <c r="H79" s="38" t="n"/>
      <c r="I79" s="38" t="n"/>
      <c r="J79" s="38" t="n"/>
      <c r="K79" s="38" t="n"/>
      <c r="L79" s="38" t="n"/>
      <c r="M79" s="38" t="n"/>
      <c r="N79" s="38" t="n"/>
      <c r="O79" s="38" t="n"/>
      <c r="P79" s="38" t="n"/>
      <c r="Q79" s="38" t="n"/>
      <c r="R79" s="38" t="n"/>
      <c r="S79" s="38" t="n"/>
      <c r="T79" s="38" t="n"/>
      <c r="U79" s="38" t="n"/>
      <c r="V79" s="38" t="n"/>
      <c r="W79" s="38" t="n"/>
      <c r="X79" s="38" t="n"/>
      <c r="Y79" s="38" t="n"/>
      <c r="Z79" s="38" t="n"/>
      <c r="AA79" s="38" t="n"/>
      <c r="AB79" s="38" t="n"/>
      <c r="AC79" s="38" t="n"/>
      <c r="AD79" s="38" t="n"/>
      <c r="AE79" s="38" t="n"/>
      <c r="AF79" s="36">
        <f>IF($A79="","",$A79&amp;"|"&amp;$C79)</f>
        <v/>
      </c>
      <c r="AG79" s="36">
        <f>IF($A79="","",IF(OR(H79="לא נבדק",H79=""),"לא נבדק",IF(AND(H79="בחר/ה בעצמו/ה",I79="כן",J79="לא"),"מלא",IF(OR(H79="בחר/ה בעצמו/ה",I79="כן"),"חלקי","עדיין לא"))))</f>
        <v/>
      </c>
      <c r="AH79" s="37">
        <f>IF($A79="","",IFERROR(COUNTIF(K79:L79,"כן")/(COUNTIF(K79:L79,"כן")+COUNTIF(K79:L79,"לא")),""))</f>
        <v/>
      </c>
      <c r="AI79" s="37">
        <f>IF($A79="","",IFERROR(COUNTIF(M79:N79,"כן")/(COUNTIF(M79:N79,"כן")+COUNTIF(M79:N79,"לא")),""))</f>
        <v/>
      </c>
      <c r="AJ79" s="37">
        <f>IF($A79="","",IFERROR(COUNTIF(O79:P79,"כן")/(COUNTIF(O79:P79,"כן")+COUNTIF(O79:P79,"לא")),""))</f>
        <v/>
      </c>
      <c r="AK79" s="37">
        <f>IF($A79="","",IFERROR(COUNTIF(Q79:R79,"כן")/(COUNTIF(Q79:R79,"כן")+COUNTIF(Q79:R79,"לא")),""))</f>
        <v/>
      </c>
      <c r="AL79" s="37">
        <f>IF($A79="","",IFERROR(COUNTIF(K79:R79,"כן")/(COUNTIF(K79:R79,"כן")+COUNTIF(K79:R79,"לא")),""))</f>
        <v/>
      </c>
      <c r="AM79" s="37">
        <f>IF($A79="","",IFERROR((COUNTIF(S79:Z79,"רוב הזמן")+0.5*COUNTIF(S79:Z79,"לפעמים"))/(COUNTIF(S79:Z79,"רוב הזמן")+COUNTIF(S79:Z79,"לפעמים")+COUNTIF(S79:Z79,"עדיין לא")),""))</f>
        <v/>
      </c>
      <c r="AN79" s="37">
        <f>IF($A79="","",IFERROR(1-SUMPRODUCT(ABS((K79:R79="כן")-((S79:Z79="רוב הזמן")+0.5*(S79:Z79="לפעמים")))*(((K79:R79="כן")+(K79:R79="לא"))*((S79:Z79="רוב הזמן")+(S79:Z79="לפעמים")+(S79:Z79="עדיין לא"))))/SUMPRODUCT((((K79:R79="כן")+(K79:R79="לא"))*((S79:Z79="רוב הזמן")+(S79:Z79="לפעמים")+(S79:Z79="עדיין לא")))),""))</f>
        <v/>
      </c>
      <c r="AO79" s="36">
        <f>IF($A79="","",SUMPRODUCT((((K79:R79="כן")-((S79:Z79="רוב הזמן")+0.5*(S79:Z79="לפעמים")))&gt;0.01)*(((K79:R79="כן")+(K79:R79="לא"))*((S79:Z79="רוב הזמן")+(S79:Z79="לפעמים")+(S79:Z79="עדיין לא")))))</f>
        <v/>
      </c>
      <c r="AP79" s="36">
        <f>IF($A79="","",SUMPRODUCT(((((S79:Z79="רוב הזמן")+0.5*(S79:Z79="לפעמים"))-(K79:R79="כן"))&gt;0.01)*(((K79:R79="כן")+(K79:R79="לא"))*((S79:Z79="רוב הזמן")+(S79:Z79="לפעמים")+(S79:Z79="עדיין לא")))))</f>
        <v/>
      </c>
      <c r="AQ79" s="36">
        <f>IF($A79="","",COUNTIF(AA79:AC79,"כן"))</f>
        <v/>
      </c>
      <c r="AR79" s="38" t="n"/>
      <c r="AS79" s="38" t="n"/>
      <c r="AT79" s="38" t="n"/>
      <c r="AU79" s="38" t="n"/>
      <c r="AV79" s="36">
        <f>IF($A79="","",IF(AND(AR79="",AT79=""),"לא נבדק",IF(AND(OR(AR79="",AR79=AS79),OR(AT79="",AT79=AU79)),"תואם","לא תואם")))</f>
        <v/>
      </c>
      <c r="AW79" s="36">
        <f>IF($A79="","",IF(AND(AV79&lt;&gt;"לא תואם",G79&lt;&gt;"לא ברור"),"אמין","לפרש בזהירות"))</f>
        <v/>
      </c>
    </row>
    <row r="80">
      <c r="A80" s="38" t="n"/>
      <c r="B80" s="38" t="n"/>
      <c r="C80" s="38" t="n"/>
      <c r="D80" s="38" t="n"/>
      <c r="E80" s="38" t="n"/>
      <c r="F80" s="38" t="n"/>
      <c r="G80" s="38" t="n"/>
      <c r="H80" s="38" t="n"/>
      <c r="I80" s="38" t="n"/>
      <c r="J80" s="38" t="n"/>
      <c r="K80" s="38" t="n"/>
      <c r="L80" s="38" t="n"/>
      <c r="M80" s="38" t="n"/>
      <c r="N80" s="38" t="n"/>
      <c r="O80" s="38" t="n"/>
      <c r="P80" s="38" t="n"/>
      <c r="Q80" s="38" t="n"/>
      <c r="R80" s="38" t="n"/>
      <c r="S80" s="38" t="n"/>
      <c r="T80" s="38" t="n"/>
      <c r="U80" s="38" t="n"/>
      <c r="V80" s="38" t="n"/>
      <c r="W80" s="38" t="n"/>
      <c r="X80" s="38" t="n"/>
      <c r="Y80" s="38" t="n"/>
      <c r="Z80" s="38" t="n"/>
      <c r="AA80" s="38" t="n"/>
      <c r="AB80" s="38" t="n"/>
      <c r="AC80" s="38" t="n"/>
      <c r="AD80" s="38" t="n"/>
      <c r="AE80" s="38" t="n"/>
      <c r="AF80" s="36">
        <f>IF($A80="","",$A80&amp;"|"&amp;$C80)</f>
        <v/>
      </c>
      <c r="AG80" s="36">
        <f>IF($A80="","",IF(OR(H80="לא נבדק",H80=""),"לא נבדק",IF(AND(H80="בחר/ה בעצמו/ה",I80="כן",J80="לא"),"מלא",IF(OR(H80="בחר/ה בעצמו/ה",I80="כן"),"חלקי","עדיין לא"))))</f>
        <v/>
      </c>
      <c r="AH80" s="37">
        <f>IF($A80="","",IFERROR(COUNTIF(K80:L80,"כן")/(COUNTIF(K80:L80,"כן")+COUNTIF(K80:L80,"לא")),""))</f>
        <v/>
      </c>
      <c r="AI80" s="37">
        <f>IF($A80="","",IFERROR(COUNTIF(M80:N80,"כן")/(COUNTIF(M80:N80,"כן")+COUNTIF(M80:N80,"לא")),""))</f>
        <v/>
      </c>
      <c r="AJ80" s="37">
        <f>IF($A80="","",IFERROR(COUNTIF(O80:P80,"כן")/(COUNTIF(O80:P80,"כן")+COUNTIF(O80:P80,"לא")),""))</f>
        <v/>
      </c>
      <c r="AK80" s="37">
        <f>IF($A80="","",IFERROR(COUNTIF(Q80:R80,"כן")/(COUNTIF(Q80:R80,"כן")+COUNTIF(Q80:R80,"לא")),""))</f>
        <v/>
      </c>
      <c r="AL80" s="37">
        <f>IF($A80="","",IFERROR(COUNTIF(K80:R80,"כן")/(COUNTIF(K80:R80,"כן")+COUNTIF(K80:R80,"לא")),""))</f>
        <v/>
      </c>
      <c r="AM80" s="37">
        <f>IF($A80="","",IFERROR((COUNTIF(S80:Z80,"רוב הזמן")+0.5*COUNTIF(S80:Z80,"לפעמים"))/(COUNTIF(S80:Z80,"רוב הזמן")+COUNTIF(S80:Z80,"לפעמים")+COUNTIF(S80:Z80,"עדיין לא")),""))</f>
        <v/>
      </c>
      <c r="AN80" s="37">
        <f>IF($A80="","",IFERROR(1-SUMPRODUCT(ABS((K80:R80="כן")-((S80:Z80="רוב הזמן")+0.5*(S80:Z80="לפעמים")))*(((K80:R80="כן")+(K80:R80="לא"))*((S80:Z80="רוב הזמן")+(S80:Z80="לפעמים")+(S80:Z80="עדיין לא"))))/SUMPRODUCT((((K80:R80="כן")+(K80:R80="לא"))*((S80:Z80="רוב הזמן")+(S80:Z80="לפעמים")+(S80:Z80="עדיין לא")))),""))</f>
        <v/>
      </c>
      <c r="AO80" s="36">
        <f>IF($A80="","",SUMPRODUCT((((K80:R80="כן")-((S80:Z80="רוב הזמן")+0.5*(S80:Z80="לפעמים")))&gt;0.01)*(((K80:R80="כן")+(K80:R80="לא"))*((S80:Z80="רוב הזמן")+(S80:Z80="לפעמים")+(S80:Z80="עדיין לא")))))</f>
        <v/>
      </c>
      <c r="AP80" s="36">
        <f>IF($A80="","",SUMPRODUCT(((((S80:Z80="רוב הזמן")+0.5*(S80:Z80="לפעמים"))-(K80:R80="כן"))&gt;0.01)*(((K80:R80="כן")+(K80:R80="לא"))*((S80:Z80="רוב הזמן")+(S80:Z80="לפעמים")+(S80:Z80="עדיין לא")))))</f>
        <v/>
      </c>
      <c r="AQ80" s="36">
        <f>IF($A80="","",COUNTIF(AA80:AC80,"כן"))</f>
        <v/>
      </c>
      <c r="AR80" s="38" t="n"/>
      <c r="AS80" s="38" t="n"/>
      <c r="AT80" s="38" t="n"/>
      <c r="AU80" s="38" t="n"/>
      <c r="AV80" s="36">
        <f>IF($A80="","",IF(AND(AR80="",AT80=""),"לא נבדק",IF(AND(OR(AR80="",AR80=AS80),OR(AT80="",AT80=AU80)),"תואם","לא תואם")))</f>
        <v/>
      </c>
      <c r="AW80" s="36">
        <f>IF($A80="","",IF(AND(AV80&lt;&gt;"לא תואם",G80&lt;&gt;"לא ברור"),"אמין","לפרש בזהירות"))</f>
        <v/>
      </c>
    </row>
    <row r="81">
      <c r="A81" s="38" t="n"/>
      <c r="B81" s="38" t="n"/>
      <c r="C81" s="38" t="n"/>
      <c r="D81" s="38" t="n"/>
      <c r="E81" s="38" t="n"/>
      <c r="F81" s="38" t="n"/>
      <c r="G81" s="38" t="n"/>
      <c r="H81" s="38" t="n"/>
      <c r="I81" s="38" t="n"/>
      <c r="J81" s="38" t="n"/>
      <c r="K81" s="38" t="n"/>
      <c r="L81" s="38" t="n"/>
      <c r="M81" s="38" t="n"/>
      <c r="N81" s="38" t="n"/>
      <c r="O81" s="38" t="n"/>
      <c r="P81" s="38" t="n"/>
      <c r="Q81" s="38" t="n"/>
      <c r="R81" s="38" t="n"/>
      <c r="S81" s="38" t="n"/>
      <c r="T81" s="38" t="n"/>
      <c r="U81" s="38" t="n"/>
      <c r="V81" s="38" t="n"/>
      <c r="W81" s="38" t="n"/>
      <c r="X81" s="38" t="n"/>
      <c r="Y81" s="38" t="n"/>
      <c r="Z81" s="38" t="n"/>
      <c r="AA81" s="38" t="n"/>
      <c r="AB81" s="38" t="n"/>
      <c r="AC81" s="38" t="n"/>
      <c r="AD81" s="38" t="n"/>
      <c r="AE81" s="38" t="n"/>
      <c r="AF81" s="36">
        <f>IF($A81="","",$A81&amp;"|"&amp;$C81)</f>
        <v/>
      </c>
      <c r="AG81" s="36">
        <f>IF($A81="","",IF(OR(H81="לא נבדק",H81=""),"לא נבדק",IF(AND(H81="בחר/ה בעצמו/ה",I81="כן",J81="לא"),"מלא",IF(OR(H81="בחר/ה בעצמו/ה",I81="כן"),"חלקי","עדיין לא"))))</f>
        <v/>
      </c>
      <c r="AH81" s="37">
        <f>IF($A81="","",IFERROR(COUNTIF(K81:L81,"כן")/(COUNTIF(K81:L81,"כן")+COUNTIF(K81:L81,"לא")),""))</f>
        <v/>
      </c>
      <c r="AI81" s="37">
        <f>IF($A81="","",IFERROR(COUNTIF(M81:N81,"כן")/(COUNTIF(M81:N81,"כן")+COUNTIF(M81:N81,"לא")),""))</f>
        <v/>
      </c>
      <c r="AJ81" s="37">
        <f>IF($A81="","",IFERROR(COUNTIF(O81:P81,"כן")/(COUNTIF(O81:P81,"כן")+COUNTIF(O81:P81,"לא")),""))</f>
        <v/>
      </c>
      <c r="AK81" s="37">
        <f>IF($A81="","",IFERROR(COUNTIF(Q81:R81,"כן")/(COUNTIF(Q81:R81,"כן")+COUNTIF(Q81:R81,"לא")),""))</f>
        <v/>
      </c>
      <c r="AL81" s="37">
        <f>IF($A81="","",IFERROR(COUNTIF(K81:R81,"כן")/(COUNTIF(K81:R81,"כן")+COUNTIF(K81:R81,"לא")),""))</f>
        <v/>
      </c>
      <c r="AM81" s="37">
        <f>IF($A81="","",IFERROR((COUNTIF(S81:Z81,"רוב הזמן")+0.5*COUNTIF(S81:Z81,"לפעמים"))/(COUNTIF(S81:Z81,"רוב הזמן")+COUNTIF(S81:Z81,"לפעמים")+COUNTIF(S81:Z81,"עדיין לא")),""))</f>
        <v/>
      </c>
      <c r="AN81" s="37">
        <f>IF($A81="","",IFERROR(1-SUMPRODUCT(ABS((K81:R81="כן")-((S81:Z81="רוב הזמן")+0.5*(S81:Z81="לפעמים")))*(((K81:R81="כן")+(K81:R81="לא"))*((S81:Z81="רוב הזמן")+(S81:Z81="לפעמים")+(S81:Z81="עדיין לא"))))/SUMPRODUCT((((K81:R81="כן")+(K81:R81="לא"))*((S81:Z81="רוב הזמן")+(S81:Z81="לפעמים")+(S81:Z81="עדיין לא")))),""))</f>
        <v/>
      </c>
      <c r="AO81" s="36">
        <f>IF($A81="","",SUMPRODUCT((((K81:R81="כן")-((S81:Z81="רוב הזמן")+0.5*(S81:Z81="לפעמים")))&gt;0.01)*(((K81:R81="כן")+(K81:R81="לא"))*((S81:Z81="רוב הזמן")+(S81:Z81="לפעמים")+(S81:Z81="עדיין לא")))))</f>
        <v/>
      </c>
      <c r="AP81" s="36">
        <f>IF($A81="","",SUMPRODUCT(((((S81:Z81="רוב הזמן")+0.5*(S81:Z81="לפעמים"))-(K81:R81="כן"))&gt;0.01)*(((K81:R81="כן")+(K81:R81="לא"))*((S81:Z81="רוב הזמן")+(S81:Z81="לפעמים")+(S81:Z81="עדיין לא")))))</f>
        <v/>
      </c>
      <c r="AQ81" s="36">
        <f>IF($A81="","",COUNTIF(AA81:AC81,"כן"))</f>
        <v/>
      </c>
      <c r="AR81" s="38" t="n"/>
      <c r="AS81" s="38" t="n"/>
      <c r="AT81" s="38" t="n"/>
      <c r="AU81" s="38" t="n"/>
      <c r="AV81" s="36">
        <f>IF($A81="","",IF(AND(AR81="",AT81=""),"לא נבדק",IF(AND(OR(AR81="",AR81=AS81),OR(AT81="",AT81=AU81)),"תואם","לא תואם")))</f>
        <v/>
      </c>
      <c r="AW81" s="36">
        <f>IF($A81="","",IF(AND(AV81&lt;&gt;"לא תואם",G81&lt;&gt;"לא ברור"),"אמין","לפרש בזהירות"))</f>
        <v/>
      </c>
    </row>
    <row r="82">
      <c r="A82" s="38" t="n"/>
      <c r="B82" s="38" t="n"/>
      <c r="C82" s="38" t="n"/>
      <c r="D82" s="38" t="n"/>
      <c r="E82" s="38" t="n"/>
      <c r="F82" s="38" t="n"/>
      <c r="G82" s="38" t="n"/>
      <c r="H82" s="38" t="n"/>
      <c r="I82" s="38" t="n"/>
      <c r="J82" s="38" t="n"/>
      <c r="K82" s="38" t="n"/>
      <c r="L82" s="38" t="n"/>
      <c r="M82" s="38" t="n"/>
      <c r="N82" s="38" t="n"/>
      <c r="O82" s="38" t="n"/>
      <c r="P82" s="38" t="n"/>
      <c r="Q82" s="38" t="n"/>
      <c r="R82" s="38" t="n"/>
      <c r="S82" s="38" t="n"/>
      <c r="T82" s="38" t="n"/>
      <c r="U82" s="38" t="n"/>
      <c r="V82" s="38" t="n"/>
      <c r="W82" s="38" t="n"/>
      <c r="X82" s="38" t="n"/>
      <c r="Y82" s="38" t="n"/>
      <c r="Z82" s="38" t="n"/>
      <c r="AA82" s="38" t="n"/>
      <c r="AB82" s="38" t="n"/>
      <c r="AC82" s="38" t="n"/>
      <c r="AD82" s="38" t="n"/>
      <c r="AE82" s="38" t="n"/>
      <c r="AF82" s="36">
        <f>IF($A82="","",$A82&amp;"|"&amp;$C82)</f>
        <v/>
      </c>
      <c r="AG82" s="36">
        <f>IF($A82="","",IF(OR(H82="לא נבדק",H82=""),"לא נבדק",IF(AND(H82="בחר/ה בעצמו/ה",I82="כן",J82="לא"),"מלא",IF(OR(H82="בחר/ה בעצמו/ה",I82="כן"),"חלקי","עדיין לא"))))</f>
        <v/>
      </c>
      <c r="AH82" s="37">
        <f>IF($A82="","",IFERROR(COUNTIF(K82:L82,"כן")/(COUNTIF(K82:L82,"כן")+COUNTIF(K82:L82,"לא")),""))</f>
        <v/>
      </c>
      <c r="AI82" s="37">
        <f>IF($A82="","",IFERROR(COUNTIF(M82:N82,"כן")/(COUNTIF(M82:N82,"כן")+COUNTIF(M82:N82,"לא")),""))</f>
        <v/>
      </c>
      <c r="AJ82" s="37">
        <f>IF($A82="","",IFERROR(COUNTIF(O82:P82,"כן")/(COUNTIF(O82:P82,"כן")+COUNTIF(O82:P82,"לא")),""))</f>
        <v/>
      </c>
      <c r="AK82" s="37">
        <f>IF($A82="","",IFERROR(COUNTIF(Q82:R82,"כן")/(COUNTIF(Q82:R82,"כן")+COUNTIF(Q82:R82,"לא")),""))</f>
        <v/>
      </c>
      <c r="AL82" s="37">
        <f>IF($A82="","",IFERROR(COUNTIF(K82:R82,"כן")/(COUNTIF(K82:R82,"כן")+COUNTIF(K82:R82,"לא")),""))</f>
        <v/>
      </c>
      <c r="AM82" s="37">
        <f>IF($A82="","",IFERROR((COUNTIF(S82:Z82,"רוב הזמן")+0.5*COUNTIF(S82:Z82,"לפעמים"))/(COUNTIF(S82:Z82,"רוב הזמן")+COUNTIF(S82:Z82,"לפעמים")+COUNTIF(S82:Z82,"עדיין לא")),""))</f>
        <v/>
      </c>
      <c r="AN82" s="37">
        <f>IF($A82="","",IFERROR(1-SUMPRODUCT(ABS((K82:R82="כן")-((S82:Z82="רוב הזמן")+0.5*(S82:Z82="לפעמים")))*(((K82:R82="כן")+(K82:R82="לא"))*((S82:Z82="רוב הזמן")+(S82:Z82="לפעמים")+(S82:Z82="עדיין לא"))))/SUMPRODUCT((((K82:R82="כן")+(K82:R82="לא"))*((S82:Z82="רוב הזמן")+(S82:Z82="לפעמים")+(S82:Z82="עדיין לא")))),""))</f>
        <v/>
      </c>
      <c r="AO82" s="36">
        <f>IF($A82="","",SUMPRODUCT((((K82:R82="כן")-((S82:Z82="רוב הזמן")+0.5*(S82:Z82="לפעמים")))&gt;0.01)*(((K82:R82="כן")+(K82:R82="לא"))*((S82:Z82="רוב הזמן")+(S82:Z82="לפעמים")+(S82:Z82="עדיין לא")))))</f>
        <v/>
      </c>
      <c r="AP82" s="36">
        <f>IF($A82="","",SUMPRODUCT(((((S82:Z82="רוב הזמן")+0.5*(S82:Z82="לפעמים"))-(K82:R82="כן"))&gt;0.01)*(((K82:R82="כן")+(K82:R82="לא"))*((S82:Z82="רוב הזמן")+(S82:Z82="לפעמים")+(S82:Z82="עדיין לא")))))</f>
        <v/>
      </c>
      <c r="AQ82" s="36">
        <f>IF($A82="","",COUNTIF(AA82:AC82,"כן"))</f>
        <v/>
      </c>
      <c r="AR82" s="38" t="n"/>
      <c r="AS82" s="38" t="n"/>
      <c r="AT82" s="38" t="n"/>
      <c r="AU82" s="38" t="n"/>
      <c r="AV82" s="36">
        <f>IF($A82="","",IF(AND(AR82="",AT82=""),"לא נבדק",IF(AND(OR(AR82="",AR82=AS82),OR(AT82="",AT82=AU82)),"תואם","לא תואם")))</f>
        <v/>
      </c>
      <c r="AW82" s="36">
        <f>IF($A82="","",IF(AND(AV82&lt;&gt;"לא תואם",G82&lt;&gt;"לא ברור"),"אמין","לפרש בזהירות"))</f>
        <v/>
      </c>
    </row>
    <row r="83">
      <c r="A83" s="38" t="n"/>
      <c r="B83" s="38" t="n"/>
      <c r="C83" s="38" t="n"/>
      <c r="D83" s="38" t="n"/>
      <c r="E83" s="38" t="n"/>
      <c r="F83" s="38" t="n"/>
      <c r="G83" s="38" t="n"/>
      <c r="H83" s="38" t="n"/>
      <c r="I83" s="38" t="n"/>
      <c r="J83" s="38" t="n"/>
      <c r="K83" s="38" t="n"/>
      <c r="L83" s="38" t="n"/>
      <c r="M83" s="38" t="n"/>
      <c r="N83" s="38" t="n"/>
      <c r="O83" s="38" t="n"/>
      <c r="P83" s="38" t="n"/>
      <c r="Q83" s="38" t="n"/>
      <c r="R83" s="38" t="n"/>
      <c r="S83" s="38" t="n"/>
      <c r="T83" s="38" t="n"/>
      <c r="U83" s="38" t="n"/>
      <c r="V83" s="38" t="n"/>
      <c r="W83" s="38" t="n"/>
      <c r="X83" s="38" t="n"/>
      <c r="Y83" s="38" t="n"/>
      <c r="Z83" s="38" t="n"/>
      <c r="AA83" s="38" t="n"/>
      <c r="AB83" s="38" t="n"/>
      <c r="AC83" s="38" t="n"/>
      <c r="AD83" s="38" t="n"/>
      <c r="AE83" s="38" t="n"/>
      <c r="AF83" s="36">
        <f>IF($A83="","",$A83&amp;"|"&amp;$C83)</f>
        <v/>
      </c>
      <c r="AG83" s="36">
        <f>IF($A83="","",IF(OR(H83="לא נבדק",H83=""),"לא נבדק",IF(AND(H83="בחר/ה בעצמו/ה",I83="כן",J83="לא"),"מלא",IF(OR(H83="בחר/ה בעצמו/ה",I83="כן"),"חלקי","עדיין לא"))))</f>
        <v/>
      </c>
      <c r="AH83" s="37">
        <f>IF($A83="","",IFERROR(COUNTIF(K83:L83,"כן")/(COUNTIF(K83:L83,"כן")+COUNTIF(K83:L83,"לא")),""))</f>
        <v/>
      </c>
      <c r="AI83" s="37">
        <f>IF($A83="","",IFERROR(COUNTIF(M83:N83,"כן")/(COUNTIF(M83:N83,"כן")+COUNTIF(M83:N83,"לא")),""))</f>
        <v/>
      </c>
      <c r="AJ83" s="37">
        <f>IF($A83="","",IFERROR(COUNTIF(O83:P83,"כן")/(COUNTIF(O83:P83,"כן")+COUNTIF(O83:P83,"לא")),""))</f>
        <v/>
      </c>
      <c r="AK83" s="37">
        <f>IF($A83="","",IFERROR(COUNTIF(Q83:R83,"כן")/(COUNTIF(Q83:R83,"כן")+COUNTIF(Q83:R83,"לא")),""))</f>
        <v/>
      </c>
      <c r="AL83" s="37">
        <f>IF($A83="","",IFERROR(COUNTIF(K83:R83,"כן")/(COUNTIF(K83:R83,"כן")+COUNTIF(K83:R83,"לא")),""))</f>
        <v/>
      </c>
      <c r="AM83" s="37">
        <f>IF($A83="","",IFERROR((COUNTIF(S83:Z83,"רוב הזמן")+0.5*COUNTIF(S83:Z83,"לפעמים"))/(COUNTIF(S83:Z83,"רוב הזמן")+COUNTIF(S83:Z83,"לפעמים")+COUNTIF(S83:Z83,"עדיין לא")),""))</f>
        <v/>
      </c>
      <c r="AN83" s="37">
        <f>IF($A83="","",IFERROR(1-SUMPRODUCT(ABS((K83:R83="כן")-((S83:Z83="רוב הזמן")+0.5*(S83:Z83="לפעמים")))*(((K83:R83="כן")+(K83:R83="לא"))*((S83:Z83="רוב הזמן")+(S83:Z83="לפעמים")+(S83:Z83="עדיין לא"))))/SUMPRODUCT((((K83:R83="כן")+(K83:R83="לא"))*((S83:Z83="רוב הזמן")+(S83:Z83="לפעמים")+(S83:Z83="עדיין לא")))),""))</f>
        <v/>
      </c>
      <c r="AO83" s="36">
        <f>IF($A83="","",SUMPRODUCT((((K83:R83="כן")-((S83:Z83="רוב הזמן")+0.5*(S83:Z83="לפעמים")))&gt;0.01)*(((K83:R83="כן")+(K83:R83="לא"))*((S83:Z83="רוב הזמן")+(S83:Z83="לפעמים")+(S83:Z83="עדיין לא")))))</f>
        <v/>
      </c>
      <c r="AP83" s="36">
        <f>IF($A83="","",SUMPRODUCT(((((S83:Z83="רוב הזמן")+0.5*(S83:Z83="לפעמים"))-(K83:R83="כן"))&gt;0.01)*(((K83:R83="כן")+(K83:R83="לא"))*((S83:Z83="רוב הזמן")+(S83:Z83="לפעמים")+(S83:Z83="עדיין לא")))))</f>
        <v/>
      </c>
      <c r="AQ83" s="36">
        <f>IF($A83="","",COUNTIF(AA83:AC83,"כן"))</f>
        <v/>
      </c>
      <c r="AR83" s="38" t="n"/>
      <c r="AS83" s="38" t="n"/>
      <c r="AT83" s="38" t="n"/>
      <c r="AU83" s="38" t="n"/>
      <c r="AV83" s="36">
        <f>IF($A83="","",IF(AND(AR83="",AT83=""),"לא נבדק",IF(AND(OR(AR83="",AR83=AS83),OR(AT83="",AT83=AU83)),"תואם","לא תואם")))</f>
        <v/>
      </c>
      <c r="AW83" s="36">
        <f>IF($A83="","",IF(AND(AV83&lt;&gt;"לא תואם",G83&lt;&gt;"לא ברור"),"אמין","לפרש בזהירות"))</f>
        <v/>
      </c>
    </row>
    <row r="84">
      <c r="A84" s="38" t="n"/>
      <c r="B84" s="38" t="n"/>
      <c r="C84" s="38" t="n"/>
      <c r="D84" s="38" t="n"/>
      <c r="E84" s="38" t="n"/>
      <c r="F84" s="38" t="n"/>
      <c r="G84" s="38" t="n"/>
      <c r="H84" s="38" t="n"/>
      <c r="I84" s="38" t="n"/>
      <c r="J84" s="38" t="n"/>
      <c r="K84" s="38" t="n"/>
      <c r="L84" s="38" t="n"/>
      <c r="M84" s="38" t="n"/>
      <c r="N84" s="38" t="n"/>
      <c r="O84" s="38" t="n"/>
      <c r="P84" s="38" t="n"/>
      <c r="Q84" s="38" t="n"/>
      <c r="R84" s="38" t="n"/>
      <c r="S84" s="38" t="n"/>
      <c r="T84" s="38" t="n"/>
      <c r="U84" s="38" t="n"/>
      <c r="V84" s="38" t="n"/>
      <c r="W84" s="38" t="n"/>
      <c r="X84" s="38" t="n"/>
      <c r="Y84" s="38" t="n"/>
      <c r="Z84" s="38" t="n"/>
      <c r="AA84" s="38" t="n"/>
      <c r="AB84" s="38" t="n"/>
      <c r="AC84" s="38" t="n"/>
      <c r="AD84" s="38" t="n"/>
      <c r="AE84" s="38" t="n"/>
      <c r="AF84" s="36">
        <f>IF($A84="","",$A84&amp;"|"&amp;$C84)</f>
        <v/>
      </c>
      <c r="AG84" s="36">
        <f>IF($A84="","",IF(OR(H84="לא נבדק",H84=""),"לא נבדק",IF(AND(H84="בחר/ה בעצמו/ה",I84="כן",J84="לא"),"מלא",IF(OR(H84="בחר/ה בעצמו/ה",I84="כן"),"חלקי","עדיין לא"))))</f>
        <v/>
      </c>
      <c r="AH84" s="37">
        <f>IF($A84="","",IFERROR(COUNTIF(K84:L84,"כן")/(COUNTIF(K84:L84,"כן")+COUNTIF(K84:L84,"לא")),""))</f>
        <v/>
      </c>
      <c r="AI84" s="37">
        <f>IF($A84="","",IFERROR(COUNTIF(M84:N84,"כן")/(COUNTIF(M84:N84,"כן")+COUNTIF(M84:N84,"לא")),""))</f>
        <v/>
      </c>
      <c r="AJ84" s="37">
        <f>IF($A84="","",IFERROR(COUNTIF(O84:P84,"כן")/(COUNTIF(O84:P84,"כן")+COUNTIF(O84:P84,"לא")),""))</f>
        <v/>
      </c>
      <c r="AK84" s="37">
        <f>IF($A84="","",IFERROR(COUNTIF(Q84:R84,"כן")/(COUNTIF(Q84:R84,"כן")+COUNTIF(Q84:R84,"לא")),""))</f>
        <v/>
      </c>
      <c r="AL84" s="37">
        <f>IF($A84="","",IFERROR(COUNTIF(K84:R84,"כן")/(COUNTIF(K84:R84,"כן")+COUNTIF(K84:R84,"לא")),""))</f>
        <v/>
      </c>
      <c r="AM84" s="37">
        <f>IF($A84="","",IFERROR((COUNTIF(S84:Z84,"רוב הזמן")+0.5*COUNTIF(S84:Z84,"לפעמים"))/(COUNTIF(S84:Z84,"רוב הזמן")+COUNTIF(S84:Z84,"לפעמים")+COUNTIF(S84:Z84,"עדיין לא")),""))</f>
        <v/>
      </c>
      <c r="AN84" s="37">
        <f>IF($A84="","",IFERROR(1-SUMPRODUCT(ABS((K84:R84="כן")-((S84:Z84="רוב הזמן")+0.5*(S84:Z84="לפעמים")))*(((K84:R84="כן")+(K84:R84="לא"))*((S84:Z84="רוב הזמן")+(S84:Z84="לפעמים")+(S84:Z84="עדיין לא"))))/SUMPRODUCT((((K84:R84="כן")+(K84:R84="לא"))*((S84:Z84="רוב הזמן")+(S84:Z84="לפעמים")+(S84:Z84="עדיין לא")))),""))</f>
        <v/>
      </c>
      <c r="AO84" s="36">
        <f>IF($A84="","",SUMPRODUCT((((K84:R84="כן")-((S84:Z84="רוב הזמן")+0.5*(S84:Z84="לפעמים")))&gt;0.01)*(((K84:R84="כן")+(K84:R84="לא"))*((S84:Z84="רוב הזמן")+(S84:Z84="לפעמים")+(S84:Z84="עדיין לא")))))</f>
        <v/>
      </c>
      <c r="AP84" s="36">
        <f>IF($A84="","",SUMPRODUCT(((((S84:Z84="רוב הזמן")+0.5*(S84:Z84="לפעמים"))-(K84:R84="כן"))&gt;0.01)*(((K84:R84="כן")+(K84:R84="לא"))*((S84:Z84="רוב הזמן")+(S84:Z84="לפעמים")+(S84:Z84="עדיין לא")))))</f>
        <v/>
      </c>
      <c r="AQ84" s="36">
        <f>IF($A84="","",COUNTIF(AA84:AC84,"כן"))</f>
        <v/>
      </c>
      <c r="AR84" s="38" t="n"/>
      <c r="AS84" s="38" t="n"/>
      <c r="AT84" s="38" t="n"/>
      <c r="AU84" s="38" t="n"/>
      <c r="AV84" s="36">
        <f>IF($A84="","",IF(AND(AR84="",AT84=""),"לא נבדק",IF(AND(OR(AR84="",AR84=AS84),OR(AT84="",AT84=AU84)),"תואם","לא תואם")))</f>
        <v/>
      </c>
      <c r="AW84" s="36">
        <f>IF($A84="","",IF(AND(AV84&lt;&gt;"לא תואם",G84&lt;&gt;"לא ברור"),"אמין","לפרש בזהירות"))</f>
        <v/>
      </c>
    </row>
    <row r="85">
      <c r="A85" s="38" t="n"/>
      <c r="B85" s="38" t="n"/>
      <c r="C85" s="38" t="n"/>
      <c r="D85" s="38" t="n"/>
      <c r="E85" s="38" t="n"/>
      <c r="F85" s="38" t="n"/>
      <c r="G85" s="38" t="n"/>
      <c r="H85" s="38" t="n"/>
      <c r="I85" s="38" t="n"/>
      <c r="J85" s="38" t="n"/>
      <c r="K85" s="38" t="n"/>
      <c r="L85" s="38" t="n"/>
      <c r="M85" s="38" t="n"/>
      <c r="N85" s="38" t="n"/>
      <c r="O85" s="38" t="n"/>
      <c r="P85" s="38" t="n"/>
      <c r="Q85" s="38" t="n"/>
      <c r="R85" s="38" t="n"/>
      <c r="S85" s="38" t="n"/>
      <c r="T85" s="38" t="n"/>
      <c r="U85" s="38" t="n"/>
      <c r="V85" s="38" t="n"/>
      <c r="W85" s="38" t="n"/>
      <c r="X85" s="38" t="n"/>
      <c r="Y85" s="38" t="n"/>
      <c r="Z85" s="38" t="n"/>
      <c r="AA85" s="38" t="n"/>
      <c r="AB85" s="38" t="n"/>
      <c r="AC85" s="38" t="n"/>
      <c r="AD85" s="38" t="n"/>
      <c r="AE85" s="38" t="n"/>
      <c r="AF85" s="36">
        <f>IF($A85="","",$A85&amp;"|"&amp;$C85)</f>
        <v/>
      </c>
      <c r="AG85" s="36">
        <f>IF($A85="","",IF(OR(H85="לא נבדק",H85=""),"לא נבדק",IF(AND(H85="בחר/ה בעצמו/ה",I85="כן",J85="לא"),"מלא",IF(OR(H85="בחר/ה בעצמו/ה",I85="כן"),"חלקי","עדיין לא"))))</f>
        <v/>
      </c>
      <c r="AH85" s="37">
        <f>IF($A85="","",IFERROR(COUNTIF(K85:L85,"כן")/(COUNTIF(K85:L85,"כן")+COUNTIF(K85:L85,"לא")),""))</f>
        <v/>
      </c>
      <c r="AI85" s="37">
        <f>IF($A85="","",IFERROR(COUNTIF(M85:N85,"כן")/(COUNTIF(M85:N85,"כן")+COUNTIF(M85:N85,"לא")),""))</f>
        <v/>
      </c>
      <c r="AJ85" s="37">
        <f>IF($A85="","",IFERROR(COUNTIF(O85:P85,"כן")/(COUNTIF(O85:P85,"כן")+COUNTIF(O85:P85,"לא")),""))</f>
        <v/>
      </c>
      <c r="AK85" s="37">
        <f>IF($A85="","",IFERROR(COUNTIF(Q85:R85,"כן")/(COUNTIF(Q85:R85,"כן")+COUNTIF(Q85:R85,"לא")),""))</f>
        <v/>
      </c>
      <c r="AL85" s="37">
        <f>IF($A85="","",IFERROR(COUNTIF(K85:R85,"כן")/(COUNTIF(K85:R85,"כן")+COUNTIF(K85:R85,"לא")),""))</f>
        <v/>
      </c>
      <c r="AM85" s="37">
        <f>IF($A85="","",IFERROR((COUNTIF(S85:Z85,"רוב הזמן")+0.5*COUNTIF(S85:Z85,"לפעמים"))/(COUNTIF(S85:Z85,"רוב הזמן")+COUNTIF(S85:Z85,"לפעמים")+COUNTIF(S85:Z85,"עדיין לא")),""))</f>
        <v/>
      </c>
      <c r="AN85" s="37">
        <f>IF($A85="","",IFERROR(1-SUMPRODUCT(ABS((K85:R85="כן")-((S85:Z85="רוב הזמן")+0.5*(S85:Z85="לפעמים")))*(((K85:R85="כן")+(K85:R85="לא"))*((S85:Z85="רוב הזמן")+(S85:Z85="לפעמים")+(S85:Z85="עדיין לא"))))/SUMPRODUCT((((K85:R85="כן")+(K85:R85="לא"))*((S85:Z85="רוב הזמן")+(S85:Z85="לפעמים")+(S85:Z85="עדיין לא")))),""))</f>
        <v/>
      </c>
      <c r="AO85" s="36">
        <f>IF($A85="","",SUMPRODUCT((((K85:R85="כן")-((S85:Z85="רוב הזמן")+0.5*(S85:Z85="לפעמים")))&gt;0.01)*(((K85:R85="כן")+(K85:R85="לא"))*((S85:Z85="רוב הזמן")+(S85:Z85="לפעמים")+(S85:Z85="עדיין לא")))))</f>
        <v/>
      </c>
      <c r="AP85" s="36">
        <f>IF($A85="","",SUMPRODUCT(((((S85:Z85="רוב הזמן")+0.5*(S85:Z85="לפעמים"))-(K85:R85="כן"))&gt;0.01)*(((K85:R85="כן")+(K85:R85="לא"))*((S85:Z85="רוב הזמן")+(S85:Z85="לפעמים")+(S85:Z85="עדיין לא")))))</f>
        <v/>
      </c>
      <c r="AQ85" s="36">
        <f>IF($A85="","",COUNTIF(AA85:AC85,"כן"))</f>
        <v/>
      </c>
      <c r="AR85" s="38" t="n"/>
      <c r="AS85" s="38" t="n"/>
      <c r="AT85" s="38" t="n"/>
      <c r="AU85" s="38" t="n"/>
      <c r="AV85" s="36">
        <f>IF($A85="","",IF(AND(AR85="",AT85=""),"לא נבדק",IF(AND(OR(AR85="",AR85=AS85),OR(AT85="",AT85=AU85)),"תואם","לא תואם")))</f>
        <v/>
      </c>
      <c r="AW85" s="36">
        <f>IF($A85="","",IF(AND(AV85&lt;&gt;"לא תואם",G85&lt;&gt;"לא ברור"),"אמין","לפרש בזהירות"))</f>
        <v/>
      </c>
    </row>
    <row r="86">
      <c r="A86" s="38" t="n"/>
      <c r="B86" s="38" t="n"/>
      <c r="C86" s="38" t="n"/>
      <c r="D86" s="38" t="n"/>
      <c r="E86" s="38" t="n"/>
      <c r="F86" s="38" t="n"/>
      <c r="G86" s="38" t="n"/>
      <c r="H86" s="38" t="n"/>
      <c r="I86" s="38" t="n"/>
      <c r="J86" s="38" t="n"/>
      <c r="K86" s="38" t="n"/>
      <c r="L86" s="38" t="n"/>
      <c r="M86" s="38" t="n"/>
      <c r="N86" s="38" t="n"/>
      <c r="O86" s="38" t="n"/>
      <c r="P86" s="38" t="n"/>
      <c r="Q86" s="38" t="n"/>
      <c r="R86" s="38" t="n"/>
      <c r="S86" s="38" t="n"/>
      <c r="T86" s="38" t="n"/>
      <c r="U86" s="38" t="n"/>
      <c r="V86" s="38" t="n"/>
      <c r="W86" s="38" t="n"/>
      <c r="X86" s="38" t="n"/>
      <c r="Y86" s="38" t="n"/>
      <c r="Z86" s="38" t="n"/>
      <c r="AA86" s="38" t="n"/>
      <c r="AB86" s="38" t="n"/>
      <c r="AC86" s="38" t="n"/>
      <c r="AD86" s="38" t="n"/>
      <c r="AE86" s="38" t="n"/>
      <c r="AF86" s="36">
        <f>IF($A86="","",$A86&amp;"|"&amp;$C86)</f>
        <v/>
      </c>
      <c r="AG86" s="36">
        <f>IF($A86="","",IF(OR(H86="לא נבדק",H86=""),"לא נבדק",IF(AND(H86="בחר/ה בעצמו/ה",I86="כן",J86="לא"),"מלא",IF(OR(H86="בחר/ה בעצמו/ה",I86="כן"),"חלקי","עדיין לא"))))</f>
        <v/>
      </c>
      <c r="AH86" s="37">
        <f>IF($A86="","",IFERROR(COUNTIF(K86:L86,"כן")/(COUNTIF(K86:L86,"כן")+COUNTIF(K86:L86,"לא")),""))</f>
        <v/>
      </c>
      <c r="AI86" s="37">
        <f>IF($A86="","",IFERROR(COUNTIF(M86:N86,"כן")/(COUNTIF(M86:N86,"כן")+COUNTIF(M86:N86,"לא")),""))</f>
        <v/>
      </c>
      <c r="AJ86" s="37">
        <f>IF($A86="","",IFERROR(COUNTIF(O86:P86,"כן")/(COUNTIF(O86:P86,"כן")+COUNTIF(O86:P86,"לא")),""))</f>
        <v/>
      </c>
      <c r="AK86" s="37">
        <f>IF($A86="","",IFERROR(COUNTIF(Q86:R86,"כן")/(COUNTIF(Q86:R86,"כן")+COUNTIF(Q86:R86,"לא")),""))</f>
        <v/>
      </c>
      <c r="AL86" s="37">
        <f>IF($A86="","",IFERROR(COUNTIF(K86:R86,"כן")/(COUNTIF(K86:R86,"כן")+COUNTIF(K86:R86,"לא")),""))</f>
        <v/>
      </c>
      <c r="AM86" s="37">
        <f>IF($A86="","",IFERROR((COUNTIF(S86:Z86,"רוב הזמן")+0.5*COUNTIF(S86:Z86,"לפעמים"))/(COUNTIF(S86:Z86,"רוב הזמן")+COUNTIF(S86:Z86,"לפעמים")+COUNTIF(S86:Z86,"עדיין לא")),""))</f>
        <v/>
      </c>
      <c r="AN86" s="37">
        <f>IF($A86="","",IFERROR(1-SUMPRODUCT(ABS((K86:R86="כן")-((S86:Z86="רוב הזמן")+0.5*(S86:Z86="לפעמים")))*(((K86:R86="כן")+(K86:R86="לא"))*((S86:Z86="רוב הזמן")+(S86:Z86="לפעמים")+(S86:Z86="עדיין לא"))))/SUMPRODUCT((((K86:R86="כן")+(K86:R86="לא"))*((S86:Z86="רוב הזמן")+(S86:Z86="לפעמים")+(S86:Z86="עדיין לא")))),""))</f>
        <v/>
      </c>
      <c r="AO86" s="36">
        <f>IF($A86="","",SUMPRODUCT((((K86:R86="כן")-((S86:Z86="רוב הזמן")+0.5*(S86:Z86="לפעמים")))&gt;0.01)*(((K86:R86="כן")+(K86:R86="לא"))*((S86:Z86="רוב הזמן")+(S86:Z86="לפעמים")+(S86:Z86="עדיין לא")))))</f>
        <v/>
      </c>
      <c r="AP86" s="36">
        <f>IF($A86="","",SUMPRODUCT(((((S86:Z86="רוב הזמן")+0.5*(S86:Z86="לפעמים"))-(K86:R86="כן"))&gt;0.01)*(((K86:R86="כן")+(K86:R86="לא"))*((S86:Z86="רוב הזמן")+(S86:Z86="לפעמים")+(S86:Z86="עדיין לא")))))</f>
        <v/>
      </c>
      <c r="AQ86" s="36">
        <f>IF($A86="","",COUNTIF(AA86:AC86,"כן"))</f>
        <v/>
      </c>
      <c r="AR86" s="38" t="n"/>
      <c r="AS86" s="38" t="n"/>
      <c r="AT86" s="38" t="n"/>
      <c r="AU86" s="38" t="n"/>
      <c r="AV86" s="36">
        <f>IF($A86="","",IF(AND(AR86="",AT86=""),"לא נבדק",IF(AND(OR(AR86="",AR86=AS86),OR(AT86="",AT86=AU86)),"תואם","לא תואם")))</f>
        <v/>
      </c>
      <c r="AW86" s="36">
        <f>IF($A86="","",IF(AND(AV86&lt;&gt;"לא תואם",G86&lt;&gt;"לא ברור"),"אמין","לפרש בזהירות"))</f>
        <v/>
      </c>
    </row>
    <row r="87">
      <c r="A87" s="38" t="n"/>
      <c r="B87" s="38" t="n"/>
      <c r="C87" s="38" t="n"/>
      <c r="D87" s="38" t="n"/>
      <c r="E87" s="38" t="n"/>
      <c r="F87" s="38" t="n"/>
      <c r="G87" s="38" t="n"/>
      <c r="H87" s="38" t="n"/>
      <c r="I87" s="38" t="n"/>
      <c r="J87" s="38" t="n"/>
      <c r="K87" s="38" t="n"/>
      <c r="L87" s="38" t="n"/>
      <c r="M87" s="38" t="n"/>
      <c r="N87" s="38" t="n"/>
      <c r="O87" s="38" t="n"/>
      <c r="P87" s="38" t="n"/>
      <c r="Q87" s="38" t="n"/>
      <c r="R87" s="38" t="n"/>
      <c r="S87" s="38" t="n"/>
      <c r="T87" s="38" t="n"/>
      <c r="U87" s="38" t="n"/>
      <c r="V87" s="38" t="n"/>
      <c r="W87" s="38" t="n"/>
      <c r="X87" s="38" t="n"/>
      <c r="Y87" s="38" t="n"/>
      <c r="Z87" s="38" t="n"/>
      <c r="AA87" s="38" t="n"/>
      <c r="AB87" s="38" t="n"/>
      <c r="AC87" s="38" t="n"/>
      <c r="AD87" s="38" t="n"/>
      <c r="AE87" s="38" t="n"/>
      <c r="AF87" s="36">
        <f>IF($A87="","",$A87&amp;"|"&amp;$C87)</f>
        <v/>
      </c>
      <c r="AG87" s="36">
        <f>IF($A87="","",IF(OR(H87="לא נבדק",H87=""),"לא נבדק",IF(AND(H87="בחר/ה בעצמו/ה",I87="כן",J87="לא"),"מלא",IF(OR(H87="בחר/ה בעצמו/ה",I87="כן"),"חלקי","עדיין לא"))))</f>
        <v/>
      </c>
      <c r="AH87" s="37">
        <f>IF($A87="","",IFERROR(COUNTIF(K87:L87,"כן")/(COUNTIF(K87:L87,"כן")+COUNTIF(K87:L87,"לא")),""))</f>
        <v/>
      </c>
      <c r="AI87" s="37">
        <f>IF($A87="","",IFERROR(COUNTIF(M87:N87,"כן")/(COUNTIF(M87:N87,"כן")+COUNTIF(M87:N87,"לא")),""))</f>
        <v/>
      </c>
      <c r="AJ87" s="37">
        <f>IF($A87="","",IFERROR(COUNTIF(O87:P87,"כן")/(COUNTIF(O87:P87,"כן")+COUNTIF(O87:P87,"לא")),""))</f>
        <v/>
      </c>
      <c r="AK87" s="37">
        <f>IF($A87="","",IFERROR(COUNTIF(Q87:R87,"כן")/(COUNTIF(Q87:R87,"כן")+COUNTIF(Q87:R87,"לא")),""))</f>
        <v/>
      </c>
      <c r="AL87" s="37">
        <f>IF($A87="","",IFERROR(COUNTIF(K87:R87,"כן")/(COUNTIF(K87:R87,"כן")+COUNTIF(K87:R87,"לא")),""))</f>
        <v/>
      </c>
      <c r="AM87" s="37">
        <f>IF($A87="","",IFERROR((COUNTIF(S87:Z87,"רוב הזמן")+0.5*COUNTIF(S87:Z87,"לפעמים"))/(COUNTIF(S87:Z87,"רוב הזמן")+COUNTIF(S87:Z87,"לפעמים")+COUNTIF(S87:Z87,"עדיין לא")),""))</f>
        <v/>
      </c>
      <c r="AN87" s="37">
        <f>IF($A87="","",IFERROR(1-SUMPRODUCT(ABS((K87:R87="כן")-((S87:Z87="רוב הזמן")+0.5*(S87:Z87="לפעמים")))*(((K87:R87="כן")+(K87:R87="לא"))*((S87:Z87="רוב הזמן")+(S87:Z87="לפעמים")+(S87:Z87="עדיין לא"))))/SUMPRODUCT((((K87:R87="כן")+(K87:R87="לא"))*((S87:Z87="רוב הזמן")+(S87:Z87="לפעמים")+(S87:Z87="עדיין לא")))),""))</f>
        <v/>
      </c>
      <c r="AO87" s="36">
        <f>IF($A87="","",SUMPRODUCT((((K87:R87="כן")-((S87:Z87="רוב הזמן")+0.5*(S87:Z87="לפעמים")))&gt;0.01)*(((K87:R87="כן")+(K87:R87="לא"))*((S87:Z87="רוב הזמן")+(S87:Z87="לפעמים")+(S87:Z87="עדיין לא")))))</f>
        <v/>
      </c>
      <c r="AP87" s="36">
        <f>IF($A87="","",SUMPRODUCT(((((S87:Z87="רוב הזמן")+0.5*(S87:Z87="לפעמים"))-(K87:R87="כן"))&gt;0.01)*(((K87:R87="כן")+(K87:R87="לא"))*((S87:Z87="רוב הזמן")+(S87:Z87="לפעמים")+(S87:Z87="עדיין לא")))))</f>
        <v/>
      </c>
      <c r="AQ87" s="36">
        <f>IF($A87="","",COUNTIF(AA87:AC87,"כן"))</f>
        <v/>
      </c>
      <c r="AR87" s="38" t="n"/>
      <c r="AS87" s="38" t="n"/>
      <c r="AT87" s="38" t="n"/>
      <c r="AU87" s="38" t="n"/>
      <c r="AV87" s="36">
        <f>IF($A87="","",IF(AND(AR87="",AT87=""),"לא נבדק",IF(AND(OR(AR87="",AR87=AS87),OR(AT87="",AT87=AU87)),"תואם","לא תואם")))</f>
        <v/>
      </c>
      <c r="AW87" s="36">
        <f>IF($A87="","",IF(AND(AV87&lt;&gt;"לא תואם",G87&lt;&gt;"לא ברור"),"אמין","לפרש בזהירות"))</f>
        <v/>
      </c>
    </row>
    <row r="88">
      <c r="A88" s="38" t="n"/>
      <c r="B88" s="38" t="n"/>
      <c r="C88" s="38" t="n"/>
      <c r="D88" s="38" t="n"/>
      <c r="E88" s="38" t="n"/>
      <c r="F88" s="38" t="n"/>
      <c r="G88" s="38" t="n"/>
      <c r="H88" s="38" t="n"/>
      <c r="I88" s="38" t="n"/>
      <c r="J88" s="38" t="n"/>
      <c r="K88" s="38" t="n"/>
      <c r="L88" s="38" t="n"/>
      <c r="M88" s="38" t="n"/>
      <c r="N88" s="38" t="n"/>
      <c r="O88" s="38" t="n"/>
      <c r="P88" s="38" t="n"/>
      <c r="Q88" s="38" t="n"/>
      <c r="R88" s="38" t="n"/>
      <c r="S88" s="38" t="n"/>
      <c r="T88" s="38" t="n"/>
      <c r="U88" s="38" t="n"/>
      <c r="V88" s="38" t="n"/>
      <c r="W88" s="38" t="n"/>
      <c r="X88" s="38" t="n"/>
      <c r="Y88" s="38" t="n"/>
      <c r="Z88" s="38" t="n"/>
      <c r="AA88" s="38" t="n"/>
      <c r="AB88" s="38" t="n"/>
      <c r="AC88" s="38" t="n"/>
      <c r="AD88" s="38" t="n"/>
      <c r="AE88" s="38" t="n"/>
      <c r="AF88" s="36">
        <f>IF($A88="","",$A88&amp;"|"&amp;$C88)</f>
        <v/>
      </c>
      <c r="AG88" s="36">
        <f>IF($A88="","",IF(OR(H88="לא נבדק",H88=""),"לא נבדק",IF(AND(H88="בחר/ה בעצמו/ה",I88="כן",J88="לא"),"מלא",IF(OR(H88="בחר/ה בעצמו/ה",I88="כן"),"חלקי","עדיין לא"))))</f>
        <v/>
      </c>
      <c r="AH88" s="37">
        <f>IF($A88="","",IFERROR(COUNTIF(K88:L88,"כן")/(COUNTIF(K88:L88,"כן")+COUNTIF(K88:L88,"לא")),""))</f>
        <v/>
      </c>
      <c r="AI88" s="37">
        <f>IF($A88="","",IFERROR(COUNTIF(M88:N88,"כן")/(COUNTIF(M88:N88,"כן")+COUNTIF(M88:N88,"לא")),""))</f>
        <v/>
      </c>
      <c r="AJ88" s="37">
        <f>IF($A88="","",IFERROR(COUNTIF(O88:P88,"כן")/(COUNTIF(O88:P88,"כן")+COUNTIF(O88:P88,"לא")),""))</f>
        <v/>
      </c>
      <c r="AK88" s="37">
        <f>IF($A88="","",IFERROR(COUNTIF(Q88:R88,"כן")/(COUNTIF(Q88:R88,"כן")+COUNTIF(Q88:R88,"לא")),""))</f>
        <v/>
      </c>
      <c r="AL88" s="37">
        <f>IF($A88="","",IFERROR(COUNTIF(K88:R88,"כן")/(COUNTIF(K88:R88,"כן")+COUNTIF(K88:R88,"לא")),""))</f>
        <v/>
      </c>
      <c r="AM88" s="37">
        <f>IF($A88="","",IFERROR((COUNTIF(S88:Z88,"רוב הזמן")+0.5*COUNTIF(S88:Z88,"לפעמים"))/(COUNTIF(S88:Z88,"רוב הזמן")+COUNTIF(S88:Z88,"לפעמים")+COUNTIF(S88:Z88,"עדיין לא")),""))</f>
        <v/>
      </c>
      <c r="AN88" s="37">
        <f>IF($A88="","",IFERROR(1-SUMPRODUCT(ABS((K88:R88="כן")-((S88:Z88="רוב הזמן")+0.5*(S88:Z88="לפעמים")))*(((K88:R88="כן")+(K88:R88="לא"))*((S88:Z88="רוב הזמן")+(S88:Z88="לפעמים")+(S88:Z88="עדיין לא"))))/SUMPRODUCT((((K88:R88="כן")+(K88:R88="לא"))*((S88:Z88="רוב הזמן")+(S88:Z88="לפעמים")+(S88:Z88="עדיין לא")))),""))</f>
        <v/>
      </c>
      <c r="AO88" s="36">
        <f>IF($A88="","",SUMPRODUCT((((K88:R88="כן")-((S88:Z88="רוב הזמן")+0.5*(S88:Z88="לפעמים")))&gt;0.01)*(((K88:R88="כן")+(K88:R88="לא"))*((S88:Z88="רוב הזמן")+(S88:Z88="לפעמים")+(S88:Z88="עדיין לא")))))</f>
        <v/>
      </c>
      <c r="AP88" s="36">
        <f>IF($A88="","",SUMPRODUCT(((((S88:Z88="רוב הזמן")+0.5*(S88:Z88="לפעמים"))-(K88:R88="כן"))&gt;0.01)*(((K88:R88="כן")+(K88:R88="לא"))*((S88:Z88="רוב הזמן")+(S88:Z88="לפעמים")+(S88:Z88="עדיין לא")))))</f>
        <v/>
      </c>
      <c r="AQ88" s="36">
        <f>IF($A88="","",COUNTIF(AA88:AC88,"כן"))</f>
        <v/>
      </c>
      <c r="AR88" s="38" t="n"/>
      <c r="AS88" s="38" t="n"/>
      <c r="AT88" s="38" t="n"/>
      <c r="AU88" s="38" t="n"/>
      <c r="AV88" s="36">
        <f>IF($A88="","",IF(AND(AR88="",AT88=""),"לא נבדק",IF(AND(OR(AR88="",AR88=AS88),OR(AT88="",AT88=AU88)),"תואם","לא תואם")))</f>
        <v/>
      </c>
      <c r="AW88" s="36">
        <f>IF($A88="","",IF(AND(AV88&lt;&gt;"לא תואם",G88&lt;&gt;"לא ברור"),"אמין","לפרש בזהירות"))</f>
        <v/>
      </c>
    </row>
    <row r="89">
      <c r="A89" s="38" t="n"/>
      <c r="B89" s="38" t="n"/>
      <c r="C89" s="38" t="n"/>
      <c r="D89" s="38" t="n"/>
      <c r="E89" s="38" t="n"/>
      <c r="F89" s="38" t="n"/>
      <c r="G89" s="38" t="n"/>
      <c r="H89" s="38" t="n"/>
      <c r="I89" s="38" t="n"/>
      <c r="J89" s="38" t="n"/>
      <c r="K89" s="38" t="n"/>
      <c r="L89" s="38" t="n"/>
      <c r="M89" s="38" t="n"/>
      <c r="N89" s="38" t="n"/>
      <c r="O89" s="38" t="n"/>
      <c r="P89" s="38" t="n"/>
      <c r="Q89" s="38" t="n"/>
      <c r="R89" s="38" t="n"/>
      <c r="S89" s="38" t="n"/>
      <c r="T89" s="38" t="n"/>
      <c r="U89" s="38" t="n"/>
      <c r="V89" s="38" t="n"/>
      <c r="W89" s="38" t="n"/>
      <c r="X89" s="38" t="n"/>
      <c r="Y89" s="38" t="n"/>
      <c r="Z89" s="38" t="n"/>
      <c r="AA89" s="38" t="n"/>
      <c r="AB89" s="38" t="n"/>
      <c r="AC89" s="38" t="n"/>
      <c r="AD89" s="38" t="n"/>
      <c r="AE89" s="38" t="n"/>
      <c r="AF89" s="36">
        <f>IF($A89="","",$A89&amp;"|"&amp;$C89)</f>
        <v/>
      </c>
      <c r="AG89" s="36">
        <f>IF($A89="","",IF(OR(H89="לא נבדק",H89=""),"לא נבדק",IF(AND(H89="בחר/ה בעצמו/ה",I89="כן",J89="לא"),"מלא",IF(OR(H89="בחר/ה בעצמו/ה",I89="כן"),"חלקי","עדיין לא"))))</f>
        <v/>
      </c>
      <c r="AH89" s="37">
        <f>IF($A89="","",IFERROR(COUNTIF(K89:L89,"כן")/(COUNTIF(K89:L89,"כן")+COUNTIF(K89:L89,"לא")),""))</f>
        <v/>
      </c>
      <c r="AI89" s="37">
        <f>IF($A89="","",IFERROR(COUNTIF(M89:N89,"כן")/(COUNTIF(M89:N89,"כן")+COUNTIF(M89:N89,"לא")),""))</f>
        <v/>
      </c>
      <c r="AJ89" s="37">
        <f>IF($A89="","",IFERROR(COUNTIF(O89:P89,"כן")/(COUNTIF(O89:P89,"כן")+COUNTIF(O89:P89,"לא")),""))</f>
        <v/>
      </c>
      <c r="AK89" s="37">
        <f>IF($A89="","",IFERROR(COUNTIF(Q89:R89,"כן")/(COUNTIF(Q89:R89,"כן")+COUNTIF(Q89:R89,"לא")),""))</f>
        <v/>
      </c>
      <c r="AL89" s="37">
        <f>IF($A89="","",IFERROR(COUNTIF(K89:R89,"כן")/(COUNTIF(K89:R89,"כן")+COUNTIF(K89:R89,"לא")),""))</f>
        <v/>
      </c>
      <c r="AM89" s="37">
        <f>IF($A89="","",IFERROR((COUNTIF(S89:Z89,"רוב הזמן")+0.5*COUNTIF(S89:Z89,"לפעמים"))/(COUNTIF(S89:Z89,"רוב הזמן")+COUNTIF(S89:Z89,"לפעמים")+COUNTIF(S89:Z89,"עדיין לא")),""))</f>
        <v/>
      </c>
      <c r="AN89" s="37">
        <f>IF($A89="","",IFERROR(1-SUMPRODUCT(ABS((K89:R89="כן")-((S89:Z89="רוב הזמן")+0.5*(S89:Z89="לפעמים")))*(((K89:R89="כן")+(K89:R89="לא"))*((S89:Z89="רוב הזמן")+(S89:Z89="לפעמים")+(S89:Z89="עדיין לא"))))/SUMPRODUCT((((K89:R89="כן")+(K89:R89="לא"))*((S89:Z89="רוב הזמן")+(S89:Z89="לפעמים")+(S89:Z89="עדיין לא")))),""))</f>
        <v/>
      </c>
      <c r="AO89" s="36">
        <f>IF($A89="","",SUMPRODUCT((((K89:R89="כן")-((S89:Z89="רוב הזמן")+0.5*(S89:Z89="לפעמים")))&gt;0.01)*(((K89:R89="כן")+(K89:R89="לא"))*((S89:Z89="רוב הזמן")+(S89:Z89="לפעמים")+(S89:Z89="עדיין לא")))))</f>
        <v/>
      </c>
      <c r="AP89" s="36">
        <f>IF($A89="","",SUMPRODUCT(((((S89:Z89="רוב הזמן")+0.5*(S89:Z89="לפעמים"))-(K89:R89="כן"))&gt;0.01)*(((K89:R89="כן")+(K89:R89="לא"))*((S89:Z89="רוב הזמן")+(S89:Z89="לפעמים")+(S89:Z89="עדיין לא")))))</f>
        <v/>
      </c>
      <c r="AQ89" s="36">
        <f>IF($A89="","",COUNTIF(AA89:AC89,"כן"))</f>
        <v/>
      </c>
      <c r="AR89" s="38" t="n"/>
      <c r="AS89" s="38" t="n"/>
      <c r="AT89" s="38" t="n"/>
      <c r="AU89" s="38" t="n"/>
      <c r="AV89" s="36">
        <f>IF($A89="","",IF(AND(AR89="",AT89=""),"לא נבדק",IF(AND(OR(AR89="",AR89=AS89),OR(AT89="",AT89=AU89)),"תואם","לא תואם")))</f>
        <v/>
      </c>
      <c r="AW89" s="36">
        <f>IF($A89="","",IF(AND(AV89&lt;&gt;"לא תואם",G89&lt;&gt;"לא ברור"),"אמין","לפרש בזהירות"))</f>
        <v/>
      </c>
    </row>
    <row r="90">
      <c r="A90" s="38" t="n"/>
      <c r="B90" s="38" t="n"/>
      <c r="C90" s="38" t="n"/>
      <c r="D90" s="38" t="n"/>
      <c r="E90" s="38" t="n"/>
      <c r="F90" s="38" t="n"/>
      <c r="G90" s="38" t="n"/>
      <c r="H90" s="38" t="n"/>
      <c r="I90" s="38" t="n"/>
      <c r="J90" s="38" t="n"/>
      <c r="K90" s="38" t="n"/>
      <c r="L90" s="38" t="n"/>
      <c r="M90" s="38" t="n"/>
      <c r="N90" s="38" t="n"/>
      <c r="O90" s="38" t="n"/>
      <c r="P90" s="38" t="n"/>
      <c r="Q90" s="38" t="n"/>
      <c r="R90" s="38" t="n"/>
      <c r="S90" s="38" t="n"/>
      <c r="T90" s="38" t="n"/>
      <c r="U90" s="38" t="n"/>
      <c r="V90" s="38" t="n"/>
      <c r="W90" s="38" t="n"/>
      <c r="X90" s="38" t="n"/>
      <c r="Y90" s="38" t="n"/>
      <c r="Z90" s="38" t="n"/>
      <c r="AA90" s="38" t="n"/>
      <c r="AB90" s="38" t="n"/>
      <c r="AC90" s="38" t="n"/>
      <c r="AD90" s="38" t="n"/>
      <c r="AE90" s="38" t="n"/>
      <c r="AF90" s="36">
        <f>IF($A90="","",$A90&amp;"|"&amp;$C90)</f>
        <v/>
      </c>
      <c r="AG90" s="36">
        <f>IF($A90="","",IF(OR(H90="לא נבדק",H90=""),"לא נבדק",IF(AND(H90="בחר/ה בעצמו/ה",I90="כן",J90="לא"),"מלא",IF(OR(H90="בחר/ה בעצמו/ה",I90="כן"),"חלקי","עדיין לא"))))</f>
        <v/>
      </c>
      <c r="AH90" s="37">
        <f>IF($A90="","",IFERROR(COUNTIF(K90:L90,"כן")/(COUNTIF(K90:L90,"כן")+COUNTIF(K90:L90,"לא")),""))</f>
        <v/>
      </c>
      <c r="AI90" s="37">
        <f>IF($A90="","",IFERROR(COUNTIF(M90:N90,"כן")/(COUNTIF(M90:N90,"כן")+COUNTIF(M90:N90,"לא")),""))</f>
        <v/>
      </c>
      <c r="AJ90" s="37">
        <f>IF($A90="","",IFERROR(COUNTIF(O90:P90,"כן")/(COUNTIF(O90:P90,"כן")+COUNTIF(O90:P90,"לא")),""))</f>
        <v/>
      </c>
      <c r="AK90" s="37">
        <f>IF($A90="","",IFERROR(COUNTIF(Q90:R90,"כן")/(COUNTIF(Q90:R90,"כן")+COUNTIF(Q90:R90,"לא")),""))</f>
        <v/>
      </c>
      <c r="AL90" s="37">
        <f>IF($A90="","",IFERROR(COUNTIF(K90:R90,"כן")/(COUNTIF(K90:R90,"כן")+COUNTIF(K90:R90,"לא")),""))</f>
        <v/>
      </c>
      <c r="AM90" s="37">
        <f>IF($A90="","",IFERROR((COUNTIF(S90:Z90,"רוב הזמן")+0.5*COUNTIF(S90:Z90,"לפעמים"))/(COUNTIF(S90:Z90,"רוב הזמן")+COUNTIF(S90:Z90,"לפעמים")+COUNTIF(S90:Z90,"עדיין לא")),""))</f>
        <v/>
      </c>
      <c r="AN90" s="37">
        <f>IF($A90="","",IFERROR(1-SUMPRODUCT(ABS((K90:R90="כן")-((S90:Z90="רוב הזמן")+0.5*(S90:Z90="לפעמים")))*(((K90:R90="כן")+(K90:R90="לא"))*((S90:Z90="רוב הזמן")+(S90:Z90="לפעמים")+(S90:Z90="עדיין לא"))))/SUMPRODUCT((((K90:R90="כן")+(K90:R90="לא"))*((S90:Z90="רוב הזמן")+(S90:Z90="לפעמים")+(S90:Z90="עדיין לא")))),""))</f>
        <v/>
      </c>
      <c r="AO90" s="36">
        <f>IF($A90="","",SUMPRODUCT((((K90:R90="כן")-((S90:Z90="רוב הזמן")+0.5*(S90:Z90="לפעמים")))&gt;0.01)*(((K90:R90="כן")+(K90:R90="לא"))*((S90:Z90="רוב הזמן")+(S90:Z90="לפעמים")+(S90:Z90="עדיין לא")))))</f>
        <v/>
      </c>
      <c r="AP90" s="36">
        <f>IF($A90="","",SUMPRODUCT(((((S90:Z90="רוב הזמן")+0.5*(S90:Z90="לפעמים"))-(K90:R90="כן"))&gt;0.01)*(((K90:R90="כן")+(K90:R90="לא"))*((S90:Z90="רוב הזמן")+(S90:Z90="לפעמים")+(S90:Z90="עדיין לא")))))</f>
        <v/>
      </c>
      <c r="AQ90" s="36">
        <f>IF($A90="","",COUNTIF(AA90:AC90,"כן"))</f>
        <v/>
      </c>
      <c r="AR90" s="38" t="n"/>
      <c r="AS90" s="38" t="n"/>
      <c r="AT90" s="38" t="n"/>
      <c r="AU90" s="38" t="n"/>
      <c r="AV90" s="36">
        <f>IF($A90="","",IF(AND(AR90="",AT90=""),"לא נבדק",IF(AND(OR(AR90="",AR90=AS90),OR(AT90="",AT90=AU90)),"תואם","לא תואם")))</f>
        <v/>
      </c>
      <c r="AW90" s="36">
        <f>IF($A90="","",IF(AND(AV90&lt;&gt;"לא תואם",G90&lt;&gt;"לא ברור"),"אמין","לפרש בזהירות"))</f>
        <v/>
      </c>
    </row>
    <row r="91">
      <c r="A91" s="38" t="n"/>
      <c r="B91" s="38" t="n"/>
      <c r="C91" s="38" t="n"/>
      <c r="D91" s="38" t="n"/>
      <c r="E91" s="38" t="n"/>
      <c r="F91" s="38" t="n"/>
      <c r="G91" s="38" t="n"/>
      <c r="H91" s="38" t="n"/>
      <c r="I91" s="38" t="n"/>
      <c r="J91" s="38" t="n"/>
      <c r="K91" s="38" t="n"/>
      <c r="L91" s="38" t="n"/>
      <c r="M91" s="38" t="n"/>
      <c r="N91" s="38" t="n"/>
      <c r="O91" s="38" t="n"/>
      <c r="P91" s="38" t="n"/>
      <c r="Q91" s="38" t="n"/>
      <c r="R91" s="38" t="n"/>
      <c r="S91" s="38" t="n"/>
      <c r="T91" s="38" t="n"/>
      <c r="U91" s="38" t="n"/>
      <c r="V91" s="38" t="n"/>
      <c r="W91" s="38" t="n"/>
      <c r="X91" s="38" t="n"/>
      <c r="Y91" s="38" t="n"/>
      <c r="Z91" s="38" t="n"/>
      <c r="AA91" s="38" t="n"/>
      <c r="AB91" s="38" t="n"/>
      <c r="AC91" s="38" t="n"/>
      <c r="AD91" s="38" t="n"/>
      <c r="AE91" s="38" t="n"/>
      <c r="AF91" s="36">
        <f>IF($A91="","",$A91&amp;"|"&amp;$C91)</f>
        <v/>
      </c>
      <c r="AG91" s="36">
        <f>IF($A91="","",IF(OR(H91="לא נבדק",H91=""),"לא נבדק",IF(AND(H91="בחר/ה בעצמו/ה",I91="כן",J91="לא"),"מלא",IF(OR(H91="בחר/ה בעצמו/ה",I91="כן"),"חלקי","עדיין לא"))))</f>
        <v/>
      </c>
      <c r="AH91" s="37">
        <f>IF($A91="","",IFERROR(COUNTIF(K91:L91,"כן")/(COUNTIF(K91:L91,"כן")+COUNTIF(K91:L91,"לא")),""))</f>
        <v/>
      </c>
      <c r="AI91" s="37">
        <f>IF($A91="","",IFERROR(COUNTIF(M91:N91,"כן")/(COUNTIF(M91:N91,"כן")+COUNTIF(M91:N91,"לא")),""))</f>
        <v/>
      </c>
      <c r="AJ91" s="37">
        <f>IF($A91="","",IFERROR(COUNTIF(O91:P91,"כן")/(COUNTIF(O91:P91,"כן")+COUNTIF(O91:P91,"לא")),""))</f>
        <v/>
      </c>
      <c r="AK91" s="37">
        <f>IF($A91="","",IFERROR(COUNTIF(Q91:R91,"כן")/(COUNTIF(Q91:R91,"כן")+COUNTIF(Q91:R91,"לא")),""))</f>
        <v/>
      </c>
      <c r="AL91" s="37">
        <f>IF($A91="","",IFERROR(COUNTIF(K91:R91,"כן")/(COUNTIF(K91:R91,"כן")+COUNTIF(K91:R91,"לא")),""))</f>
        <v/>
      </c>
      <c r="AM91" s="37">
        <f>IF($A91="","",IFERROR((COUNTIF(S91:Z91,"רוב הזמן")+0.5*COUNTIF(S91:Z91,"לפעמים"))/(COUNTIF(S91:Z91,"רוב הזמן")+COUNTIF(S91:Z91,"לפעמים")+COUNTIF(S91:Z91,"עדיין לא")),""))</f>
        <v/>
      </c>
      <c r="AN91" s="37">
        <f>IF($A91="","",IFERROR(1-SUMPRODUCT(ABS((K91:R91="כן")-((S91:Z91="רוב הזמן")+0.5*(S91:Z91="לפעמים")))*(((K91:R91="כן")+(K91:R91="לא"))*((S91:Z91="רוב הזמן")+(S91:Z91="לפעמים")+(S91:Z91="עדיין לא"))))/SUMPRODUCT((((K91:R91="כן")+(K91:R91="לא"))*((S91:Z91="רוב הזמן")+(S91:Z91="לפעמים")+(S91:Z91="עדיין לא")))),""))</f>
        <v/>
      </c>
      <c r="AO91" s="36">
        <f>IF($A91="","",SUMPRODUCT((((K91:R91="כן")-((S91:Z91="רוב הזמן")+0.5*(S91:Z91="לפעמים")))&gt;0.01)*(((K91:R91="כן")+(K91:R91="לא"))*((S91:Z91="רוב הזמן")+(S91:Z91="לפעמים")+(S91:Z91="עדיין לא")))))</f>
        <v/>
      </c>
      <c r="AP91" s="36">
        <f>IF($A91="","",SUMPRODUCT(((((S91:Z91="רוב הזמן")+0.5*(S91:Z91="לפעמים"))-(K91:R91="כן"))&gt;0.01)*(((K91:R91="כן")+(K91:R91="לא"))*((S91:Z91="רוב הזמן")+(S91:Z91="לפעמים")+(S91:Z91="עדיין לא")))))</f>
        <v/>
      </c>
      <c r="AQ91" s="36">
        <f>IF($A91="","",COUNTIF(AA91:AC91,"כן"))</f>
        <v/>
      </c>
      <c r="AR91" s="38" t="n"/>
      <c r="AS91" s="38" t="n"/>
      <c r="AT91" s="38" t="n"/>
      <c r="AU91" s="38" t="n"/>
      <c r="AV91" s="36">
        <f>IF($A91="","",IF(AND(AR91="",AT91=""),"לא נבדק",IF(AND(OR(AR91="",AR91=AS91),OR(AT91="",AT91=AU91)),"תואם","לא תואם")))</f>
        <v/>
      </c>
      <c r="AW91" s="36">
        <f>IF($A91="","",IF(AND(AV91&lt;&gt;"לא תואם",G91&lt;&gt;"לא ברור"),"אמין","לפרש בזהירות"))</f>
        <v/>
      </c>
    </row>
    <row r="92">
      <c r="A92" s="38" t="n"/>
      <c r="B92" s="38" t="n"/>
      <c r="C92" s="38" t="n"/>
      <c r="D92" s="38" t="n"/>
      <c r="E92" s="38" t="n"/>
      <c r="F92" s="38" t="n"/>
      <c r="G92" s="38" t="n"/>
      <c r="H92" s="38" t="n"/>
      <c r="I92" s="38" t="n"/>
      <c r="J92" s="38" t="n"/>
      <c r="K92" s="38" t="n"/>
      <c r="L92" s="38" t="n"/>
      <c r="M92" s="38" t="n"/>
      <c r="N92" s="38" t="n"/>
      <c r="O92" s="38" t="n"/>
      <c r="P92" s="38" t="n"/>
      <c r="Q92" s="38" t="n"/>
      <c r="R92" s="38" t="n"/>
      <c r="S92" s="38" t="n"/>
      <c r="T92" s="38" t="n"/>
      <c r="U92" s="38" t="n"/>
      <c r="V92" s="38" t="n"/>
      <c r="W92" s="38" t="n"/>
      <c r="X92" s="38" t="n"/>
      <c r="Y92" s="38" t="n"/>
      <c r="Z92" s="38" t="n"/>
      <c r="AA92" s="38" t="n"/>
      <c r="AB92" s="38" t="n"/>
      <c r="AC92" s="38" t="n"/>
      <c r="AD92" s="38" t="n"/>
      <c r="AE92" s="38" t="n"/>
      <c r="AF92" s="36">
        <f>IF($A92="","",$A92&amp;"|"&amp;$C92)</f>
        <v/>
      </c>
      <c r="AG92" s="36">
        <f>IF($A92="","",IF(OR(H92="לא נבדק",H92=""),"לא נבדק",IF(AND(H92="בחר/ה בעצמו/ה",I92="כן",J92="לא"),"מלא",IF(OR(H92="בחר/ה בעצמו/ה",I92="כן"),"חלקי","עדיין לא"))))</f>
        <v/>
      </c>
      <c r="AH92" s="37">
        <f>IF($A92="","",IFERROR(COUNTIF(K92:L92,"כן")/(COUNTIF(K92:L92,"כן")+COUNTIF(K92:L92,"לא")),""))</f>
        <v/>
      </c>
      <c r="AI92" s="37">
        <f>IF($A92="","",IFERROR(COUNTIF(M92:N92,"כן")/(COUNTIF(M92:N92,"כן")+COUNTIF(M92:N92,"לא")),""))</f>
        <v/>
      </c>
      <c r="AJ92" s="37">
        <f>IF($A92="","",IFERROR(COUNTIF(O92:P92,"כן")/(COUNTIF(O92:P92,"כן")+COUNTIF(O92:P92,"לא")),""))</f>
        <v/>
      </c>
      <c r="AK92" s="37">
        <f>IF($A92="","",IFERROR(COUNTIF(Q92:R92,"כן")/(COUNTIF(Q92:R92,"כן")+COUNTIF(Q92:R92,"לא")),""))</f>
        <v/>
      </c>
      <c r="AL92" s="37">
        <f>IF($A92="","",IFERROR(COUNTIF(K92:R92,"כן")/(COUNTIF(K92:R92,"כן")+COUNTIF(K92:R92,"לא")),""))</f>
        <v/>
      </c>
      <c r="AM92" s="37">
        <f>IF($A92="","",IFERROR((COUNTIF(S92:Z92,"רוב הזמן")+0.5*COUNTIF(S92:Z92,"לפעמים"))/(COUNTIF(S92:Z92,"רוב הזמן")+COUNTIF(S92:Z92,"לפעמים")+COUNTIF(S92:Z92,"עדיין לא")),""))</f>
        <v/>
      </c>
      <c r="AN92" s="37">
        <f>IF($A92="","",IFERROR(1-SUMPRODUCT(ABS((K92:R92="כן")-((S92:Z92="רוב הזמן")+0.5*(S92:Z92="לפעמים")))*(((K92:R92="כן")+(K92:R92="לא"))*((S92:Z92="רוב הזמן")+(S92:Z92="לפעמים")+(S92:Z92="עדיין לא"))))/SUMPRODUCT((((K92:R92="כן")+(K92:R92="לא"))*((S92:Z92="רוב הזמן")+(S92:Z92="לפעמים")+(S92:Z92="עדיין לא")))),""))</f>
        <v/>
      </c>
      <c r="AO92" s="36">
        <f>IF($A92="","",SUMPRODUCT((((K92:R92="כן")-((S92:Z92="רוב הזמן")+0.5*(S92:Z92="לפעמים")))&gt;0.01)*(((K92:R92="כן")+(K92:R92="לא"))*((S92:Z92="רוב הזמן")+(S92:Z92="לפעמים")+(S92:Z92="עדיין לא")))))</f>
        <v/>
      </c>
      <c r="AP92" s="36">
        <f>IF($A92="","",SUMPRODUCT(((((S92:Z92="רוב הזמן")+0.5*(S92:Z92="לפעמים"))-(K92:R92="כן"))&gt;0.01)*(((K92:R92="כן")+(K92:R92="לא"))*((S92:Z92="רוב הזמן")+(S92:Z92="לפעמים")+(S92:Z92="עדיין לא")))))</f>
        <v/>
      </c>
      <c r="AQ92" s="36">
        <f>IF($A92="","",COUNTIF(AA92:AC92,"כן"))</f>
        <v/>
      </c>
      <c r="AR92" s="38" t="n"/>
      <c r="AS92" s="38" t="n"/>
      <c r="AT92" s="38" t="n"/>
      <c r="AU92" s="38" t="n"/>
      <c r="AV92" s="36">
        <f>IF($A92="","",IF(AND(AR92="",AT92=""),"לא נבדק",IF(AND(OR(AR92="",AR92=AS92),OR(AT92="",AT92=AU92)),"תואם","לא תואם")))</f>
        <v/>
      </c>
      <c r="AW92" s="36">
        <f>IF($A92="","",IF(AND(AV92&lt;&gt;"לא תואם",G92&lt;&gt;"לא ברור"),"אמין","לפרש בזהירות"))</f>
        <v/>
      </c>
    </row>
    <row r="93">
      <c r="A93" s="38" t="n"/>
      <c r="B93" s="38" t="n"/>
      <c r="C93" s="38" t="n"/>
      <c r="D93" s="38" t="n"/>
      <c r="E93" s="38" t="n"/>
      <c r="F93" s="38" t="n"/>
      <c r="G93" s="38" t="n"/>
      <c r="H93" s="38" t="n"/>
      <c r="I93" s="38" t="n"/>
      <c r="J93" s="38" t="n"/>
      <c r="K93" s="38" t="n"/>
      <c r="L93" s="38" t="n"/>
      <c r="M93" s="38" t="n"/>
      <c r="N93" s="38" t="n"/>
      <c r="O93" s="38" t="n"/>
      <c r="P93" s="38" t="n"/>
      <c r="Q93" s="38" t="n"/>
      <c r="R93" s="38" t="n"/>
      <c r="S93" s="38" t="n"/>
      <c r="T93" s="38" t="n"/>
      <c r="U93" s="38" t="n"/>
      <c r="V93" s="38" t="n"/>
      <c r="W93" s="38" t="n"/>
      <c r="X93" s="38" t="n"/>
      <c r="Y93" s="38" t="n"/>
      <c r="Z93" s="38" t="n"/>
      <c r="AA93" s="38" t="n"/>
      <c r="AB93" s="38" t="n"/>
      <c r="AC93" s="38" t="n"/>
      <c r="AD93" s="38" t="n"/>
      <c r="AE93" s="38" t="n"/>
      <c r="AF93" s="36">
        <f>IF($A93="","",$A93&amp;"|"&amp;$C93)</f>
        <v/>
      </c>
      <c r="AG93" s="36">
        <f>IF($A93="","",IF(OR(H93="לא נבדק",H93=""),"לא נבדק",IF(AND(H93="בחר/ה בעצמו/ה",I93="כן",J93="לא"),"מלא",IF(OR(H93="בחר/ה בעצמו/ה",I93="כן"),"חלקי","עדיין לא"))))</f>
        <v/>
      </c>
      <c r="AH93" s="37">
        <f>IF($A93="","",IFERROR(COUNTIF(K93:L93,"כן")/(COUNTIF(K93:L93,"כן")+COUNTIF(K93:L93,"לא")),""))</f>
        <v/>
      </c>
      <c r="AI93" s="37">
        <f>IF($A93="","",IFERROR(COUNTIF(M93:N93,"כן")/(COUNTIF(M93:N93,"כן")+COUNTIF(M93:N93,"לא")),""))</f>
        <v/>
      </c>
      <c r="AJ93" s="37">
        <f>IF($A93="","",IFERROR(COUNTIF(O93:P93,"כן")/(COUNTIF(O93:P93,"כן")+COUNTIF(O93:P93,"לא")),""))</f>
        <v/>
      </c>
      <c r="AK93" s="37">
        <f>IF($A93="","",IFERROR(COUNTIF(Q93:R93,"כן")/(COUNTIF(Q93:R93,"כן")+COUNTIF(Q93:R93,"לא")),""))</f>
        <v/>
      </c>
      <c r="AL93" s="37">
        <f>IF($A93="","",IFERROR(COUNTIF(K93:R93,"כן")/(COUNTIF(K93:R93,"כן")+COUNTIF(K93:R93,"לא")),""))</f>
        <v/>
      </c>
      <c r="AM93" s="37">
        <f>IF($A93="","",IFERROR((COUNTIF(S93:Z93,"רוב הזמן")+0.5*COUNTIF(S93:Z93,"לפעמים"))/(COUNTIF(S93:Z93,"רוב הזמן")+COUNTIF(S93:Z93,"לפעמים")+COUNTIF(S93:Z93,"עדיין לא")),""))</f>
        <v/>
      </c>
      <c r="AN93" s="37">
        <f>IF($A93="","",IFERROR(1-SUMPRODUCT(ABS((K93:R93="כן")-((S93:Z93="רוב הזמן")+0.5*(S93:Z93="לפעמים")))*(((K93:R93="כן")+(K93:R93="לא"))*((S93:Z93="רוב הזמן")+(S93:Z93="לפעמים")+(S93:Z93="עדיין לא"))))/SUMPRODUCT((((K93:R93="כן")+(K93:R93="לא"))*((S93:Z93="רוב הזמן")+(S93:Z93="לפעמים")+(S93:Z93="עדיין לא")))),""))</f>
        <v/>
      </c>
      <c r="AO93" s="36">
        <f>IF($A93="","",SUMPRODUCT((((K93:R93="כן")-((S93:Z93="רוב הזמן")+0.5*(S93:Z93="לפעמים")))&gt;0.01)*(((K93:R93="כן")+(K93:R93="לא"))*((S93:Z93="רוב הזמן")+(S93:Z93="לפעמים")+(S93:Z93="עדיין לא")))))</f>
        <v/>
      </c>
      <c r="AP93" s="36">
        <f>IF($A93="","",SUMPRODUCT(((((S93:Z93="רוב הזמן")+0.5*(S93:Z93="לפעמים"))-(K93:R93="כן"))&gt;0.01)*(((K93:R93="כן")+(K93:R93="לא"))*((S93:Z93="רוב הזמן")+(S93:Z93="לפעמים")+(S93:Z93="עדיין לא")))))</f>
        <v/>
      </c>
      <c r="AQ93" s="36">
        <f>IF($A93="","",COUNTIF(AA93:AC93,"כן"))</f>
        <v/>
      </c>
      <c r="AR93" s="38" t="n"/>
      <c r="AS93" s="38" t="n"/>
      <c r="AT93" s="38" t="n"/>
      <c r="AU93" s="38" t="n"/>
      <c r="AV93" s="36">
        <f>IF($A93="","",IF(AND(AR93="",AT93=""),"לא נבדק",IF(AND(OR(AR93="",AR93=AS93),OR(AT93="",AT93=AU93)),"תואם","לא תואם")))</f>
        <v/>
      </c>
      <c r="AW93" s="36">
        <f>IF($A93="","",IF(AND(AV93&lt;&gt;"לא תואם",G93&lt;&gt;"לא ברור"),"אמין","לפרש בזהירות"))</f>
        <v/>
      </c>
    </row>
    <row r="94">
      <c r="A94" s="38" t="n"/>
      <c r="B94" s="38" t="n"/>
      <c r="C94" s="38" t="n"/>
      <c r="D94" s="38" t="n"/>
      <c r="E94" s="38" t="n"/>
      <c r="F94" s="38" t="n"/>
      <c r="G94" s="38" t="n"/>
      <c r="H94" s="38" t="n"/>
      <c r="I94" s="38" t="n"/>
      <c r="J94" s="38" t="n"/>
      <c r="K94" s="38" t="n"/>
      <c r="L94" s="38" t="n"/>
      <c r="M94" s="38" t="n"/>
      <c r="N94" s="38" t="n"/>
      <c r="O94" s="38" t="n"/>
      <c r="P94" s="38" t="n"/>
      <c r="Q94" s="38" t="n"/>
      <c r="R94" s="38" t="n"/>
      <c r="S94" s="38" t="n"/>
      <c r="T94" s="38" t="n"/>
      <c r="U94" s="38" t="n"/>
      <c r="V94" s="38" t="n"/>
      <c r="W94" s="38" t="n"/>
      <c r="X94" s="38" t="n"/>
      <c r="Y94" s="38" t="n"/>
      <c r="Z94" s="38" t="n"/>
      <c r="AA94" s="38" t="n"/>
      <c r="AB94" s="38" t="n"/>
      <c r="AC94" s="38" t="n"/>
      <c r="AD94" s="38" t="n"/>
      <c r="AE94" s="38" t="n"/>
      <c r="AF94" s="36">
        <f>IF($A94="","",$A94&amp;"|"&amp;$C94)</f>
        <v/>
      </c>
      <c r="AG94" s="36">
        <f>IF($A94="","",IF(OR(H94="לא נבדק",H94=""),"לא נבדק",IF(AND(H94="בחר/ה בעצמו/ה",I94="כן",J94="לא"),"מלא",IF(OR(H94="בחר/ה בעצמו/ה",I94="כן"),"חלקי","עדיין לא"))))</f>
        <v/>
      </c>
      <c r="AH94" s="37">
        <f>IF($A94="","",IFERROR(COUNTIF(K94:L94,"כן")/(COUNTIF(K94:L94,"כן")+COUNTIF(K94:L94,"לא")),""))</f>
        <v/>
      </c>
      <c r="AI94" s="37">
        <f>IF($A94="","",IFERROR(COUNTIF(M94:N94,"כן")/(COUNTIF(M94:N94,"כן")+COUNTIF(M94:N94,"לא")),""))</f>
        <v/>
      </c>
      <c r="AJ94" s="37">
        <f>IF($A94="","",IFERROR(COUNTIF(O94:P94,"כן")/(COUNTIF(O94:P94,"כן")+COUNTIF(O94:P94,"לא")),""))</f>
        <v/>
      </c>
      <c r="AK94" s="37">
        <f>IF($A94="","",IFERROR(COUNTIF(Q94:R94,"כן")/(COUNTIF(Q94:R94,"כן")+COUNTIF(Q94:R94,"לא")),""))</f>
        <v/>
      </c>
      <c r="AL94" s="37">
        <f>IF($A94="","",IFERROR(COUNTIF(K94:R94,"כן")/(COUNTIF(K94:R94,"כן")+COUNTIF(K94:R94,"לא")),""))</f>
        <v/>
      </c>
      <c r="AM94" s="37">
        <f>IF($A94="","",IFERROR((COUNTIF(S94:Z94,"רוב הזמן")+0.5*COUNTIF(S94:Z94,"לפעמים"))/(COUNTIF(S94:Z94,"רוב הזמן")+COUNTIF(S94:Z94,"לפעמים")+COUNTIF(S94:Z94,"עדיין לא")),""))</f>
        <v/>
      </c>
      <c r="AN94" s="37">
        <f>IF($A94="","",IFERROR(1-SUMPRODUCT(ABS((K94:R94="כן")-((S94:Z94="רוב הזמן")+0.5*(S94:Z94="לפעמים")))*(((K94:R94="כן")+(K94:R94="לא"))*((S94:Z94="רוב הזמן")+(S94:Z94="לפעמים")+(S94:Z94="עדיין לא"))))/SUMPRODUCT((((K94:R94="כן")+(K94:R94="לא"))*((S94:Z94="רוב הזמן")+(S94:Z94="לפעמים")+(S94:Z94="עדיין לא")))),""))</f>
        <v/>
      </c>
      <c r="AO94" s="36">
        <f>IF($A94="","",SUMPRODUCT((((K94:R94="כן")-((S94:Z94="רוב הזמן")+0.5*(S94:Z94="לפעמים")))&gt;0.01)*(((K94:R94="כן")+(K94:R94="לא"))*((S94:Z94="רוב הזמן")+(S94:Z94="לפעמים")+(S94:Z94="עדיין לא")))))</f>
        <v/>
      </c>
      <c r="AP94" s="36">
        <f>IF($A94="","",SUMPRODUCT(((((S94:Z94="רוב הזמן")+0.5*(S94:Z94="לפעמים"))-(K94:R94="כן"))&gt;0.01)*(((K94:R94="כן")+(K94:R94="לא"))*((S94:Z94="רוב הזמן")+(S94:Z94="לפעמים")+(S94:Z94="עדיין לא")))))</f>
        <v/>
      </c>
      <c r="AQ94" s="36">
        <f>IF($A94="","",COUNTIF(AA94:AC94,"כן"))</f>
        <v/>
      </c>
      <c r="AR94" s="38" t="n"/>
      <c r="AS94" s="38" t="n"/>
      <c r="AT94" s="38" t="n"/>
      <c r="AU94" s="38" t="n"/>
      <c r="AV94" s="36">
        <f>IF($A94="","",IF(AND(AR94="",AT94=""),"לא נבדק",IF(AND(OR(AR94="",AR94=AS94),OR(AT94="",AT94=AU94)),"תואם","לא תואם")))</f>
        <v/>
      </c>
      <c r="AW94" s="36">
        <f>IF($A94="","",IF(AND(AV94&lt;&gt;"לא תואם",G94&lt;&gt;"לא ברור"),"אמין","לפרש בזהירות"))</f>
        <v/>
      </c>
    </row>
    <row r="95">
      <c r="A95" s="38" t="n"/>
      <c r="B95" s="38" t="n"/>
      <c r="C95" s="38" t="n"/>
      <c r="D95" s="38" t="n"/>
      <c r="E95" s="38" t="n"/>
      <c r="F95" s="38" t="n"/>
      <c r="G95" s="38" t="n"/>
      <c r="H95" s="38" t="n"/>
      <c r="I95" s="38" t="n"/>
      <c r="J95" s="38" t="n"/>
      <c r="K95" s="38" t="n"/>
      <c r="L95" s="38" t="n"/>
      <c r="M95" s="38" t="n"/>
      <c r="N95" s="38" t="n"/>
      <c r="O95" s="38" t="n"/>
      <c r="P95" s="38" t="n"/>
      <c r="Q95" s="38" t="n"/>
      <c r="R95" s="38" t="n"/>
      <c r="S95" s="38" t="n"/>
      <c r="T95" s="38" t="n"/>
      <c r="U95" s="38" t="n"/>
      <c r="V95" s="38" t="n"/>
      <c r="W95" s="38" t="n"/>
      <c r="X95" s="38" t="n"/>
      <c r="Y95" s="38" t="n"/>
      <c r="Z95" s="38" t="n"/>
      <c r="AA95" s="38" t="n"/>
      <c r="AB95" s="38" t="n"/>
      <c r="AC95" s="38" t="n"/>
      <c r="AD95" s="38" t="n"/>
      <c r="AE95" s="38" t="n"/>
      <c r="AF95" s="36">
        <f>IF($A95="","",$A95&amp;"|"&amp;$C95)</f>
        <v/>
      </c>
      <c r="AG95" s="36">
        <f>IF($A95="","",IF(OR(H95="לא נבדק",H95=""),"לא נבדק",IF(AND(H95="בחר/ה בעצמו/ה",I95="כן",J95="לא"),"מלא",IF(OR(H95="בחר/ה בעצמו/ה",I95="כן"),"חלקי","עדיין לא"))))</f>
        <v/>
      </c>
      <c r="AH95" s="37">
        <f>IF($A95="","",IFERROR(COUNTIF(K95:L95,"כן")/(COUNTIF(K95:L95,"כן")+COUNTIF(K95:L95,"לא")),""))</f>
        <v/>
      </c>
      <c r="AI95" s="37">
        <f>IF($A95="","",IFERROR(COUNTIF(M95:N95,"כן")/(COUNTIF(M95:N95,"כן")+COUNTIF(M95:N95,"לא")),""))</f>
        <v/>
      </c>
      <c r="AJ95" s="37">
        <f>IF($A95="","",IFERROR(COUNTIF(O95:P95,"כן")/(COUNTIF(O95:P95,"כן")+COUNTIF(O95:P95,"לא")),""))</f>
        <v/>
      </c>
      <c r="AK95" s="37">
        <f>IF($A95="","",IFERROR(COUNTIF(Q95:R95,"כן")/(COUNTIF(Q95:R95,"כן")+COUNTIF(Q95:R95,"לא")),""))</f>
        <v/>
      </c>
      <c r="AL95" s="37">
        <f>IF($A95="","",IFERROR(COUNTIF(K95:R95,"כן")/(COUNTIF(K95:R95,"כן")+COUNTIF(K95:R95,"לא")),""))</f>
        <v/>
      </c>
      <c r="AM95" s="37">
        <f>IF($A95="","",IFERROR((COUNTIF(S95:Z95,"רוב הזמן")+0.5*COUNTIF(S95:Z95,"לפעמים"))/(COUNTIF(S95:Z95,"רוב הזמן")+COUNTIF(S95:Z95,"לפעמים")+COUNTIF(S95:Z95,"עדיין לא")),""))</f>
        <v/>
      </c>
      <c r="AN95" s="37">
        <f>IF($A95="","",IFERROR(1-SUMPRODUCT(ABS((K95:R95="כן")-((S95:Z95="רוב הזמן")+0.5*(S95:Z95="לפעמים")))*(((K95:R95="כן")+(K95:R95="לא"))*((S95:Z95="רוב הזמן")+(S95:Z95="לפעמים")+(S95:Z95="עדיין לא"))))/SUMPRODUCT((((K95:R95="כן")+(K95:R95="לא"))*((S95:Z95="רוב הזמן")+(S95:Z95="לפעמים")+(S95:Z95="עדיין לא")))),""))</f>
        <v/>
      </c>
      <c r="AO95" s="36">
        <f>IF($A95="","",SUMPRODUCT((((K95:R95="כן")-((S95:Z95="רוב הזמן")+0.5*(S95:Z95="לפעמים")))&gt;0.01)*(((K95:R95="כן")+(K95:R95="לא"))*((S95:Z95="רוב הזמן")+(S95:Z95="לפעמים")+(S95:Z95="עדיין לא")))))</f>
        <v/>
      </c>
      <c r="AP95" s="36">
        <f>IF($A95="","",SUMPRODUCT(((((S95:Z95="רוב הזמן")+0.5*(S95:Z95="לפעמים"))-(K95:R95="כן"))&gt;0.01)*(((K95:R95="כן")+(K95:R95="לא"))*((S95:Z95="רוב הזמן")+(S95:Z95="לפעמים")+(S95:Z95="עדיין לא")))))</f>
        <v/>
      </c>
      <c r="AQ95" s="36">
        <f>IF($A95="","",COUNTIF(AA95:AC95,"כן"))</f>
        <v/>
      </c>
      <c r="AR95" s="38" t="n"/>
      <c r="AS95" s="38" t="n"/>
      <c r="AT95" s="38" t="n"/>
      <c r="AU95" s="38" t="n"/>
      <c r="AV95" s="36">
        <f>IF($A95="","",IF(AND(AR95="",AT95=""),"לא נבדק",IF(AND(OR(AR95="",AR95=AS95),OR(AT95="",AT95=AU95)),"תואם","לא תואם")))</f>
        <v/>
      </c>
      <c r="AW95" s="36">
        <f>IF($A95="","",IF(AND(AV95&lt;&gt;"לא תואם",G95&lt;&gt;"לא ברור"),"אמין","לפרש בזהירות"))</f>
        <v/>
      </c>
    </row>
    <row r="96">
      <c r="A96" s="38" t="n"/>
      <c r="B96" s="38" t="n"/>
      <c r="C96" s="38" t="n"/>
      <c r="D96" s="38" t="n"/>
      <c r="E96" s="38" t="n"/>
      <c r="F96" s="38" t="n"/>
      <c r="G96" s="38" t="n"/>
      <c r="H96" s="38" t="n"/>
      <c r="I96" s="38" t="n"/>
      <c r="J96" s="38" t="n"/>
      <c r="K96" s="38" t="n"/>
      <c r="L96" s="38" t="n"/>
      <c r="M96" s="38" t="n"/>
      <c r="N96" s="38" t="n"/>
      <c r="O96" s="38" t="n"/>
      <c r="P96" s="38" t="n"/>
      <c r="Q96" s="38" t="n"/>
      <c r="R96" s="38" t="n"/>
      <c r="S96" s="38" t="n"/>
      <c r="T96" s="38" t="n"/>
      <c r="U96" s="38" t="n"/>
      <c r="V96" s="38" t="n"/>
      <c r="W96" s="38" t="n"/>
      <c r="X96" s="38" t="n"/>
      <c r="Y96" s="38" t="n"/>
      <c r="Z96" s="38" t="n"/>
      <c r="AA96" s="38" t="n"/>
      <c r="AB96" s="38" t="n"/>
      <c r="AC96" s="38" t="n"/>
      <c r="AD96" s="38" t="n"/>
      <c r="AE96" s="38" t="n"/>
      <c r="AF96" s="36">
        <f>IF($A96="","",$A96&amp;"|"&amp;$C96)</f>
        <v/>
      </c>
      <c r="AG96" s="36">
        <f>IF($A96="","",IF(OR(H96="לא נבדק",H96=""),"לא נבדק",IF(AND(H96="בחר/ה בעצמו/ה",I96="כן",J96="לא"),"מלא",IF(OR(H96="בחר/ה בעצמו/ה",I96="כן"),"חלקי","עדיין לא"))))</f>
        <v/>
      </c>
      <c r="AH96" s="37">
        <f>IF($A96="","",IFERROR(COUNTIF(K96:L96,"כן")/(COUNTIF(K96:L96,"כן")+COUNTIF(K96:L96,"לא")),""))</f>
        <v/>
      </c>
      <c r="AI96" s="37">
        <f>IF($A96="","",IFERROR(COUNTIF(M96:N96,"כן")/(COUNTIF(M96:N96,"כן")+COUNTIF(M96:N96,"לא")),""))</f>
        <v/>
      </c>
      <c r="AJ96" s="37">
        <f>IF($A96="","",IFERROR(COUNTIF(O96:P96,"כן")/(COUNTIF(O96:P96,"כן")+COUNTIF(O96:P96,"לא")),""))</f>
        <v/>
      </c>
      <c r="AK96" s="37">
        <f>IF($A96="","",IFERROR(COUNTIF(Q96:R96,"כן")/(COUNTIF(Q96:R96,"כן")+COUNTIF(Q96:R96,"לא")),""))</f>
        <v/>
      </c>
      <c r="AL96" s="37">
        <f>IF($A96="","",IFERROR(COUNTIF(K96:R96,"כן")/(COUNTIF(K96:R96,"כן")+COUNTIF(K96:R96,"לא")),""))</f>
        <v/>
      </c>
      <c r="AM96" s="37">
        <f>IF($A96="","",IFERROR((COUNTIF(S96:Z96,"רוב הזמן")+0.5*COUNTIF(S96:Z96,"לפעמים"))/(COUNTIF(S96:Z96,"רוב הזמן")+COUNTIF(S96:Z96,"לפעמים")+COUNTIF(S96:Z96,"עדיין לא")),""))</f>
        <v/>
      </c>
      <c r="AN96" s="37">
        <f>IF($A96="","",IFERROR(1-SUMPRODUCT(ABS((K96:R96="כן")-((S96:Z96="רוב הזמן")+0.5*(S96:Z96="לפעמים")))*(((K96:R96="כן")+(K96:R96="לא"))*((S96:Z96="רוב הזמן")+(S96:Z96="לפעמים")+(S96:Z96="עדיין לא"))))/SUMPRODUCT((((K96:R96="כן")+(K96:R96="לא"))*((S96:Z96="רוב הזמן")+(S96:Z96="לפעמים")+(S96:Z96="עדיין לא")))),""))</f>
        <v/>
      </c>
      <c r="AO96" s="36">
        <f>IF($A96="","",SUMPRODUCT((((K96:R96="כן")-((S96:Z96="רוב הזמן")+0.5*(S96:Z96="לפעמים")))&gt;0.01)*(((K96:R96="כן")+(K96:R96="לא"))*((S96:Z96="רוב הזמן")+(S96:Z96="לפעמים")+(S96:Z96="עדיין לא")))))</f>
        <v/>
      </c>
      <c r="AP96" s="36">
        <f>IF($A96="","",SUMPRODUCT(((((S96:Z96="רוב הזמן")+0.5*(S96:Z96="לפעמים"))-(K96:R96="כן"))&gt;0.01)*(((K96:R96="כן")+(K96:R96="לא"))*((S96:Z96="רוב הזמן")+(S96:Z96="לפעמים")+(S96:Z96="עדיין לא")))))</f>
        <v/>
      </c>
      <c r="AQ96" s="36">
        <f>IF($A96="","",COUNTIF(AA96:AC96,"כן"))</f>
        <v/>
      </c>
      <c r="AR96" s="38" t="n"/>
      <c r="AS96" s="38" t="n"/>
      <c r="AT96" s="38" t="n"/>
      <c r="AU96" s="38" t="n"/>
      <c r="AV96" s="36">
        <f>IF($A96="","",IF(AND(AR96="",AT96=""),"לא נבדק",IF(AND(OR(AR96="",AR96=AS96),OR(AT96="",AT96=AU96)),"תואם","לא תואם")))</f>
        <v/>
      </c>
      <c r="AW96" s="36">
        <f>IF($A96="","",IF(AND(AV96&lt;&gt;"לא תואם",G96&lt;&gt;"לא ברור"),"אמין","לפרש בזהירות"))</f>
        <v/>
      </c>
    </row>
    <row r="97">
      <c r="A97" s="38" t="n"/>
      <c r="B97" s="38" t="n"/>
      <c r="C97" s="38" t="n"/>
      <c r="D97" s="38" t="n"/>
      <c r="E97" s="38" t="n"/>
      <c r="F97" s="38" t="n"/>
      <c r="G97" s="38" t="n"/>
      <c r="H97" s="38" t="n"/>
      <c r="I97" s="38" t="n"/>
      <c r="J97" s="38" t="n"/>
      <c r="K97" s="38" t="n"/>
      <c r="L97" s="38" t="n"/>
      <c r="M97" s="38" t="n"/>
      <c r="N97" s="38" t="n"/>
      <c r="O97" s="38" t="n"/>
      <c r="P97" s="38" t="n"/>
      <c r="Q97" s="38" t="n"/>
      <c r="R97" s="38" t="n"/>
      <c r="S97" s="38" t="n"/>
      <c r="T97" s="38" t="n"/>
      <c r="U97" s="38" t="n"/>
      <c r="V97" s="38" t="n"/>
      <c r="W97" s="38" t="n"/>
      <c r="X97" s="38" t="n"/>
      <c r="Y97" s="38" t="n"/>
      <c r="Z97" s="38" t="n"/>
      <c r="AA97" s="38" t="n"/>
      <c r="AB97" s="38" t="n"/>
      <c r="AC97" s="38" t="n"/>
      <c r="AD97" s="38" t="n"/>
      <c r="AE97" s="38" t="n"/>
      <c r="AF97" s="36">
        <f>IF($A97="","",$A97&amp;"|"&amp;$C97)</f>
        <v/>
      </c>
      <c r="AG97" s="36">
        <f>IF($A97="","",IF(OR(H97="לא נבדק",H97=""),"לא נבדק",IF(AND(H97="בחר/ה בעצמו/ה",I97="כן",J97="לא"),"מלא",IF(OR(H97="בחר/ה בעצמו/ה",I97="כן"),"חלקי","עדיין לא"))))</f>
        <v/>
      </c>
      <c r="AH97" s="37">
        <f>IF($A97="","",IFERROR(COUNTIF(K97:L97,"כן")/(COUNTIF(K97:L97,"כן")+COUNTIF(K97:L97,"לא")),""))</f>
        <v/>
      </c>
      <c r="AI97" s="37">
        <f>IF($A97="","",IFERROR(COUNTIF(M97:N97,"כן")/(COUNTIF(M97:N97,"כן")+COUNTIF(M97:N97,"לא")),""))</f>
        <v/>
      </c>
      <c r="AJ97" s="37">
        <f>IF($A97="","",IFERROR(COUNTIF(O97:P97,"כן")/(COUNTIF(O97:P97,"כן")+COUNTIF(O97:P97,"לא")),""))</f>
        <v/>
      </c>
      <c r="AK97" s="37">
        <f>IF($A97="","",IFERROR(COUNTIF(Q97:R97,"כן")/(COUNTIF(Q97:R97,"כן")+COUNTIF(Q97:R97,"לא")),""))</f>
        <v/>
      </c>
      <c r="AL97" s="37">
        <f>IF($A97="","",IFERROR(COUNTIF(K97:R97,"כן")/(COUNTIF(K97:R97,"כן")+COUNTIF(K97:R97,"לא")),""))</f>
        <v/>
      </c>
      <c r="AM97" s="37">
        <f>IF($A97="","",IFERROR((COUNTIF(S97:Z97,"רוב הזמן")+0.5*COUNTIF(S97:Z97,"לפעמים"))/(COUNTIF(S97:Z97,"רוב הזמן")+COUNTIF(S97:Z97,"לפעמים")+COUNTIF(S97:Z97,"עדיין לא")),""))</f>
        <v/>
      </c>
      <c r="AN97" s="37">
        <f>IF($A97="","",IFERROR(1-SUMPRODUCT(ABS((K97:R97="כן")-((S97:Z97="רוב הזמן")+0.5*(S97:Z97="לפעמים")))*(((K97:R97="כן")+(K97:R97="לא"))*((S97:Z97="רוב הזמן")+(S97:Z97="לפעמים")+(S97:Z97="עדיין לא"))))/SUMPRODUCT((((K97:R97="כן")+(K97:R97="לא"))*((S97:Z97="רוב הזמן")+(S97:Z97="לפעמים")+(S97:Z97="עדיין לא")))),""))</f>
        <v/>
      </c>
      <c r="AO97" s="36">
        <f>IF($A97="","",SUMPRODUCT((((K97:R97="כן")-((S97:Z97="רוב הזמן")+0.5*(S97:Z97="לפעמים")))&gt;0.01)*(((K97:R97="כן")+(K97:R97="לא"))*((S97:Z97="רוב הזמן")+(S97:Z97="לפעמים")+(S97:Z97="עדיין לא")))))</f>
        <v/>
      </c>
      <c r="AP97" s="36">
        <f>IF($A97="","",SUMPRODUCT(((((S97:Z97="רוב הזמן")+0.5*(S97:Z97="לפעמים"))-(K97:R97="כן"))&gt;0.01)*(((K97:R97="כן")+(K97:R97="לא"))*((S97:Z97="רוב הזמן")+(S97:Z97="לפעמים")+(S97:Z97="עדיין לא")))))</f>
        <v/>
      </c>
      <c r="AQ97" s="36">
        <f>IF($A97="","",COUNTIF(AA97:AC97,"כן"))</f>
        <v/>
      </c>
      <c r="AR97" s="38" t="n"/>
      <c r="AS97" s="38" t="n"/>
      <c r="AT97" s="38" t="n"/>
      <c r="AU97" s="38" t="n"/>
      <c r="AV97" s="36">
        <f>IF($A97="","",IF(AND(AR97="",AT97=""),"לא נבדק",IF(AND(OR(AR97="",AR97=AS97),OR(AT97="",AT97=AU97)),"תואם","לא תואם")))</f>
        <v/>
      </c>
      <c r="AW97" s="36">
        <f>IF($A97="","",IF(AND(AV97&lt;&gt;"לא תואם",G97&lt;&gt;"לא ברור"),"אמין","לפרש בזהירות"))</f>
        <v/>
      </c>
    </row>
    <row r="98">
      <c r="A98" s="38" t="n"/>
      <c r="B98" s="38" t="n"/>
      <c r="C98" s="38" t="n"/>
      <c r="D98" s="38" t="n"/>
      <c r="E98" s="38" t="n"/>
      <c r="F98" s="38" t="n"/>
      <c r="G98" s="38" t="n"/>
      <c r="H98" s="38" t="n"/>
      <c r="I98" s="38" t="n"/>
      <c r="J98" s="38" t="n"/>
      <c r="K98" s="38" t="n"/>
      <c r="L98" s="38" t="n"/>
      <c r="M98" s="38" t="n"/>
      <c r="N98" s="38" t="n"/>
      <c r="O98" s="38" t="n"/>
      <c r="P98" s="38" t="n"/>
      <c r="Q98" s="38" t="n"/>
      <c r="R98" s="38" t="n"/>
      <c r="S98" s="38" t="n"/>
      <c r="T98" s="38" t="n"/>
      <c r="U98" s="38" t="n"/>
      <c r="V98" s="38" t="n"/>
      <c r="W98" s="38" t="n"/>
      <c r="X98" s="38" t="n"/>
      <c r="Y98" s="38" t="n"/>
      <c r="Z98" s="38" t="n"/>
      <c r="AA98" s="38" t="n"/>
      <c r="AB98" s="38" t="n"/>
      <c r="AC98" s="38" t="n"/>
      <c r="AD98" s="38" t="n"/>
      <c r="AE98" s="38" t="n"/>
      <c r="AF98" s="36">
        <f>IF($A98="","",$A98&amp;"|"&amp;$C98)</f>
        <v/>
      </c>
      <c r="AG98" s="36">
        <f>IF($A98="","",IF(OR(H98="לא נבדק",H98=""),"לא נבדק",IF(AND(H98="בחר/ה בעצמו/ה",I98="כן",J98="לא"),"מלא",IF(OR(H98="בחר/ה בעצמו/ה",I98="כן"),"חלקי","עדיין לא"))))</f>
        <v/>
      </c>
      <c r="AH98" s="37">
        <f>IF($A98="","",IFERROR(COUNTIF(K98:L98,"כן")/(COUNTIF(K98:L98,"כן")+COUNTIF(K98:L98,"לא")),""))</f>
        <v/>
      </c>
      <c r="AI98" s="37">
        <f>IF($A98="","",IFERROR(COUNTIF(M98:N98,"כן")/(COUNTIF(M98:N98,"כן")+COUNTIF(M98:N98,"לא")),""))</f>
        <v/>
      </c>
      <c r="AJ98" s="37">
        <f>IF($A98="","",IFERROR(COUNTIF(O98:P98,"כן")/(COUNTIF(O98:P98,"כן")+COUNTIF(O98:P98,"לא")),""))</f>
        <v/>
      </c>
      <c r="AK98" s="37">
        <f>IF($A98="","",IFERROR(COUNTIF(Q98:R98,"כן")/(COUNTIF(Q98:R98,"כן")+COUNTIF(Q98:R98,"לא")),""))</f>
        <v/>
      </c>
      <c r="AL98" s="37">
        <f>IF($A98="","",IFERROR(COUNTIF(K98:R98,"כן")/(COUNTIF(K98:R98,"כן")+COUNTIF(K98:R98,"לא")),""))</f>
        <v/>
      </c>
      <c r="AM98" s="37">
        <f>IF($A98="","",IFERROR((COUNTIF(S98:Z98,"רוב הזמן")+0.5*COUNTIF(S98:Z98,"לפעמים"))/(COUNTIF(S98:Z98,"רוב הזמן")+COUNTIF(S98:Z98,"לפעמים")+COUNTIF(S98:Z98,"עדיין לא")),""))</f>
        <v/>
      </c>
      <c r="AN98" s="37">
        <f>IF($A98="","",IFERROR(1-SUMPRODUCT(ABS((K98:R98="כן")-((S98:Z98="רוב הזמן")+0.5*(S98:Z98="לפעמים")))*(((K98:R98="כן")+(K98:R98="לא"))*((S98:Z98="רוב הזמן")+(S98:Z98="לפעמים")+(S98:Z98="עדיין לא"))))/SUMPRODUCT((((K98:R98="כן")+(K98:R98="לא"))*((S98:Z98="רוב הזמן")+(S98:Z98="לפעמים")+(S98:Z98="עדיין לא")))),""))</f>
        <v/>
      </c>
      <c r="AO98" s="36">
        <f>IF($A98="","",SUMPRODUCT((((K98:R98="כן")-((S98:Z98="רוב הזמן")+0.5*(S98:Z98="לפעמים")))&gt;0.01)*(((K98:R98="כן")+(K98:R98="לא"))*((S98:Z98="רוב הזמן")+(S98:Z98="לפעמים")+(S98:Z98="עדיין לא")))))</f>
        <v/>
      </c>
      <c r="AP98" s="36">
        <f>IF($A98="","",SUMPRODUCT(((((S98:Z98="רוב הזמן")+0.5*(S98:Z98="לפעמים"))-(K98:R98="כן"))&gt;0.01)*(((K98:R98="כן")+(K98:R98="לא"))*((S98:Z98="רוב הזמן")+(S98:Z98="לפעמים")+(S98:Z98="עדיין לא")))))</f>
        <v/>
      </c>
      <c r="AQ98" s="36">
        <f>IF($A98="","",COUNTIF(AA98:AC98,"כן"))</f>
        <v/>
      </c>
      <c r="AR98" s="38" t="n"/>
      <c r="AS98" s="38" t="n"/>
      <c r="AT98" s="38" t="n"/>
      <c r="AU98" s="38" t="n"/>
      <c r="AV98" s="36">
        <f>IF($A98="","",IF(AND(AR98="",AT98=""),"לא נבדק",IF(AND(OR(AR98="",AR98=AS98),OR(AT98="",AT98=AU98)),"תואם","לא תואם")))</f>
        <v/>
      </c>
      <c r="AW98" s="36">
        <f>IF($A98="","",IF(AND(AV98&lt;&gt;"לא תואם",G98&lt;&gt;"לא ברור"),"אמין","לפרש בזהירות"))</f>
        <v/>
      </c>
    </row>
    <row r="99">
      <c r="A99" s="38" t="n"/>
      <c r="B99" s="38" t="n"/>
      <c r="C99" s="38" t="n"/>
      <c r="D99" s="38" t="n"/>
      <c r="E99" s="38" t="n"/>
      <c r="F99" s="38" t="n"/>
      <c r="G99" s="38" t="n"/>
      <c r="H99" s="38" t="n"/>
      <c r="I99" s="38" t="n"/>
      <c r="J99" s="38" t="n"/>
      <c r="K99" s="38" t="n"/>
      <c r="L99" s="38" t="n"/>
      <c r="M99" s="38" t="n"/>
      <c r="N99" s="38" t="n"/>
      <c r="O99" s="38" t="n"/>
      <c r="P99" s="38" t="n"/>
      <c r="Q99" s="38" t="n"/>
      <c r="R99" s="38" t="n"/>
      <c r="S99" s="38" t="n"/>
      <c r="T99" s="38" t="n"/>
      <c r="U99" s="38" t="n"/>
      <c r="V99" s="38" t="n"/>
      <c r="W99" s="38" t="n"/>
      <c r="X99" s="38" t="n"/>
      <c r="Y99" s="38" t="n"/>
      <c r="Z99" s="38" t="n"/>
      <c r="AA99" s="38" t="n"/>
      <c r="AB99" s="38" t="n"/>
      <c r="AC99" s="38" t="n"/>
      <c r="AD99" s="38" t="n"/>
      <c r="AE99" s="38" t="n"/>
      <c r="AF99" s="36">
        <f>IF($A99="","",$A99&amp;"|"&amp;$C99)</f>
        <v/>
      </c>
      <c r="AG99" s="36">
        <f>IF($A99="","",IF(OR(H99="לא נבדק",H99=""),"לא נבדק",IF(AND(H99="בחר/ה בעצמו/ה",I99="כן",J99="לא"),"מלא",IF(OR(H99="בחר/ה בעצמו/ה",I99="כן"),"חלקי","עדיין לא"))))</f>
        <v/>
      </c>
      <c r="AH99" s="37">
        <f>IF($A99="","",IFERROR(COUNTIF(K99:L99,"כן")/(COUNTIF(K99:L99,"כן")+COUNTIF(K99:L99,"לא")),""))</f>
        <v/>
      </c>
      <c r="AI99" s="37">
        <f>IF($A99="","",IFERROR(COUNTIF(M99:N99,"כן")/(COUNTIF(M99:N99,"כן")+COUNTIF(M99:N99,"לא")),""))</f>
        <v/>
      </c>
      <c r="AJ99" s="37">
        <f>IF($A99="","",IFERROR(COUNTIF(O99:P99,"כן")/(COUNTIF(O99:P99,"כן")+COUNTIF(O99:P99,"לא")),""))</f>
        <v/>
      </c>
      <c r="AK99" s="37">
        <f>IF($A99="","",IFERROR(COUNTIF(Q99:R99,"כן")/(COUNTIF(Q99:R99,"כן")+COUNTIF(Q99:R99,"לא")),""))</f>
        <v/>
      </c>
      <c r="AL99" s="37">
        <f>IF($A99="","",IFERROR(COUNTIF(K99:R99,"כן")/(COUNTIF(K99:R99,"כן")+COUNTIF(K99:R99,"לא")),""))</f>
        <v/>
      </c>
      <c r="AM99" s="37">
        <f>IF($A99="","",IFERROR((COUNTIF(S99:Z99,"רוב הזמן")+0.5*COUNTIF(S99:Z99,"לפעמים"))/(COUNTIF(S99:Z99,"רוב הזמן")+COUNTIF(S99:Z99,"לפעמים")+COUNTIF(S99:Z99,"עדיין לא")),""))</f>
        <v/>
      </c>
      <c r="AN99" s="37">
        <f>IF($A99="","",IFERROR(1-SUMPRODUCT(ABS((K99:R99="כן")-((S99:Z99="רוב הזמן")+0.5*(S99:Z99="לפעמים")))*(((K99:R99="כן")+(K99:R99="לא"))*((S99:Z99="רוב הזמן")+(S99:Z99="לפעמים")+(S99:Z99="עדיין לא"))))/SUMPRODUCT((((K99:R99="כן")+(K99:R99="לא"))*((S99:Z99="רוב הזמן")+(S99:Z99="לפעמים")+(S99:Z99="עדיין לא")))),""))</f>
        <v/>
      </c>
      <c r="AO99" s="36">
        <f>IF($A99="","",SUMPRODUCT((((K99:R99="כן")-((S99:Z99="רוב הזמן")+0.5*(S99:Z99="לפעמים")))&gt;0.01)*(((K99:R99="כן")+(K99:R99="לא"))*((S99:Z99="רוב הזמן")+(S99:Z99="לפעמים")+(S99:Z99="עדיין לא")))))</f>
        <v/>
      </c>
      <c r="AP99" s="36">
        <f>IF($A99="","",SUMPRODUCT(((((S99:Z99="רוב הזמן")+0.5*(S99:Z99="לפעמים"))-(K99:R99="כן"))&gt;0.01)*(((K99:R99="כן")+(K99:R99="לא"))*((S99:Z99="רוב הזמן")+(S99:Z99="לפעמים")+(S99:Z99="עדיין לא")))))</f>
        <v/>
      </c>
      <c r="AQ99" s="36">
        <f>IF($A99="","",COUNTIF(AA99:AC99,"כן"))</f>
        <v/>
      </c>
      <c r="AR99" s="38" t="n"/>
      <c r="AS99" s="38" t="n"/>
      <c r="AT99" s="38" t="n"/>
      <c r="AU99" s="38" t="n"/>
      <c r="AV99" s="36">
        <f>IF($A99="","",IF(AND(AR99="",AT99=""),"לא נבדק",IF(AND(OR(AR99="",AR99=AS99),OR(AT99="",AT99=AU99)),"תואם","לא תואם")))</f>
        <v/>
      </c>
      <c r="AW99" s="36">
        <f>IF($A99="","",IF(AND(AV99&lt;&gt;"לא תואם",G99&lt;&gt;"לא ברור"),"אמין","לפרש בזהירות"))</f>
        <v/>
      </c>
    </row>
    <row r="100">
      <c r="A100" s="38" t="n"/>
      <c r="B100" s="38" t="n"/>
      <c r="C100" s="38" t="n"/>
      <c r="D100" s="38" t="n"/>
      <c r="E100" s="38" t="n"/>
      <c r="F100" s="38" t="n"/>
      <c r="G100" s="38" t="n"/>
      <c r="H100" s="38" t="n"/>
      <c r="I100" s="38" t="n"/>
      <c r="J100" s="38" t="n"/>
      <c r="K100" s="38" t="n"/>
      <c r="L100" s="38" t="n"/>
      <c r="M100" s="38" t="n"/>
      <c r="N100" s="38" t="n"/>
      <c r="O100" s="38" t="n"/>
      <c r="P100" s="38" t="n"/>
      <c r="Q100" s="38" t="n"/>
      <c r="R100" s="38" t="n"/>
      <c r="S100" s="38" t="n"/>
      <c r="T100" s="38" t="n"/>
      <c r="U100" s="38" t="n"/>
      <c r="V100" s="38" t="n"/>
      <c r="W100" s="38" t="n"/>
      <c r="X100" s="38" t="n"/>
      <c r="Y100" s="38" t="n"/>
      <c r="Z100" s="38" t="n"/>
      <c r="AA100" s="38" t="n"/>
      <c r="AB100" s="38" t="n"/>
      <c r="AC100" s="38" t="n"/>
      <c r="AD100" s="38" t="n"/>
      <c r="AE100" s="38" t="n"/>
      <c r="AF100" s="36">
        <f>IF($A100="","",$A100&amp;"|"&amp;$C100)</f>
        <v/>
      </c>
      <c r="AG100" s="36">
        <f>IF($A100="","",IF(OR(H100="לא נבדק",H100=""),"לא נבדק",IF(AND(H100="בחר/ה בעצמו/ה",I100="כן",J100="לא"),"מלא",IF(OR(H100="בחר/ה בעצמו/ה",I100="כן"),"חלקי","עדיין לא"))))</f>
        <v/>
      </c>
      <c r="AH100" s="37">
        <f>IF($A100="","",IFERROR(COUNTIF(K100:L100,"כן")/(COUNTIF(K100:L100,"כן")+COUNTIF(K100:L100,"לא")),""))</f>
        <v/>
      </c>
      <c r="AI100" s="37">
        <f>IF($A100="","",IFERROR(COUNTIF(M100:N100,"כן")/(COUNTIF(M100:N100,"כן")+COUNTIF(M100:N100,"לא")),""))</f>
        <v/>
      </c>
      <c r="AJ100" s="37">
        <f>IF($A100="","",IFERROR(COUNTIF(O100:P100,"כן")/(COUNTIF(O100:P100,"כן")+COUNTIF(O100:P100,"לא")),""))</f>
        <v/>
      </c>
      <c r="AK100" s="37">
        <f>IF($A100="","",IFERROR(COUNTIF(Q100:R100,"כן")/(COUNTIF(Q100:R100,"כן")+COUNTIF(Q100:R100,"לא")),""))</f>
        <v/>
      </c>
      <c r="AL100" s="37">
        <f>IF($A100="","",IFERROR(COUNTIF(K100:R100,"כן")/(COUNTIF(K100:R100,"כן")+COUNTIF(K100:R100,"לא")),""))</f>
        <v/>
      </c>
      <c r="AM100" s="37">
        <f>IF($A100="","",IFERROR((COUNTIF(S100:Z100,"רוב הזמן")+0.5*COUNTIF(S100:Z100,"לפעמים"))/(COUNTIF(S100:Z100,"רוב הזמן")+COUNTIF(S100:Z100,"לפעמים")+COUNTIF(S100:Z100,"עדיין לא")),""))</f>
        <v/>
      </c>
      <c r="AN100" s="37">
        <f>IF($A100="","",IFERROR(1-SUMPRODUCT(ABS((K100:R100="כן")-((S100:Z100="רוב הזמן")+0.5*(S100:Z100="לפעמים")))*(((K100:R100="כן")+(K100:R100="לא"))*((S100:Z100="רוב הזמן")+(S100:Z100="לפעמים")+(S100:Z100="עדיין לא"))))/SUMPRODUCT((((K100:R100="כן")+(K100:R100="לא"))*((S100:Z100="רוב הזמן")+(S100:Z100="לפעמים")+(S100:Z100="עדיין לא")))),""))</f>
        <v/>
      </c>
      <c r="AO100" s="36">
        <f>IF($A100="","",SUMPRODUCT((((K100:R100="כן")-((S100:Z100="רוב הזמן")+0.5*(S100:Z100="לפעמים")))&gt;0.01)*(((K100:R100="כן")+(K100:R100="לא"))*((S100:Z100="רוב הזמן")+(S100:Z100="לפעמים")+(S100:Z100="עדיין לא")))))</f>
        <v/>
      </c>
      <c r="AP100" s="36">
        <f>IF($A100="","",SUMPRODUCT(((((S100:Z100="רוב הזמן")+0.5*(S100:Z100="לפעמים"))-(K100:R100="כן"))&gt;0.01)*(((K100:R100="כן")+(K100:R100="לא"))*((S100:Z100="רוב הזמן")+(S100:Z100="לפעמים")+(S100:Z100="עדיין לא")))))</f>
        <v/>
      </c>
      <c r="AQ100" s="36">
        <f>IF($A100="","",COUNTIF(AA100:AC100,"כן"))</f>
        <v/>
      </c>
      <c r="AR100" s="38" t="n"/>
      <c r="AS100" s="38" t="n"/>
      <c r="AT100" s="38" t="n"/>
      <c r="AU100" s="38" t="n"/>
      <c r="AV100" s="36">
        <f>IF($A100="","",IF(AND(AR100="",AT100=""),"לא נבדק",IF(AND(OR(AR100="",AR100=AS100),OR(AT100="",AT100=AU100)),"תואם","לא תואם")))</f>
        <v/>
      </c>
      <c r="AW100" s="36">
        <f>IF($A100="","",IF(AND(AV100&lt;&gt;"לא תואם",G100&lt;&gt;"לא ברור"),"אמין","לפרש בזהירות"))</f>
        <v/>
      </c>
    </row>
    <row r="101">
      <c r="A101" s="38" t="n"/>
      <c r="B101" s="38" t="n"/>
      <c r="C101" s="38" t="n"/>
      <c r="D101" s="38" t="n"/>
      <c r="E101" s="38" t="n"/>
      <c r="F101" s="38" t="n"/>
      <c r="G101" s="38" t="n"/>
      <c r="H101" s="38" t="n"/>
      <c r="I101" s="38" t="n"/>
      <c r="J101" s="38" t="n"/>
      <c r="K101" s="38" t="n"/>
      <c r="L101" s="38" t="n"/>
      <c r="M101" s="38" t="n"/>
      <c r="N101" s="38" t="n"/>
      <c r="O101" s="38" t="n"/>
      <c r="P101" s="38" t="n"/>
      <c r="Q101" s="38" t="n"/>
      <c r="R101" s="38" t="n"/>
      <c r="S101" s="38" t="n"/>
      <c r="T101" s="38" t="n"/>
      <c r="U101" s="38" t="n"/>
      <c r="V101" s="38" t="n"/>
      <c r="W101" s="38" t="n"/>
      <c r="X101" s="38" t="n"/>
      <c r="Y101" s="38" t="n"/>
      <c r="Z101" s="38" t="n"/>
      <c r="AA101" s="38" t="n"/>
      <c r="AB101" s="38" t="n"/>
      <c r="AC101" s="38" t="n"/>
      <c r="AD101" s="38" t="n"/>
      <c r="AE101" s="38" t="n"/>
      <c r="AF101" s="36">
        <f>IF($A101="","",$A101&amp;"|"&amp;$C101)</f>
        <v/>
      </c>
      <c r="AG101" s="36">
        <f>IF($A101="","",IF(OR(H101="לא נבדק",H101=""),"לא נבדק",IF(AND(H101="בחר/ה בעצמו/ה",I101="כן",J101="לא"),"מלא",IF(OR(H101="בחר/ה בעצמו/ה",I101="כן"),"חלקי","עדיין לא"))))</f>
        <v/>
      </c>
      <c r="AH101" s="37">
        <f>IF($A101="","",IFERROR(COUNTIF(K101:L101,"כן")/(COUNTIF(K101:L101,"כן")+COUNTIF(K101:L101,"לא")),""))</f>
        <v/>
      </c>
      <c r="AI101" s="37">
        <f>IF($A101="","",IFERROR(COUNTIF(M101:N101,"כן")/(COUNTIF(M101:N101,"כן")+COUNTIF(M101:N101,"לא")),""))</f>
        <v/>
      </c>
      <c r="AJ101" s="37">
        <f>IF($A101="","",IFERROR(COUNTIF(O101:P101,"כן")/(COUNTIF(O101:P101,"כן")+COUNTIF(O101:P101,"לא")),""))</f>
        <v/>
      </c>
      <c r="AK101" s="37">
        <f>IF($A101="","",IFERROR(COUNTIF(Q101:R101,"כן")/(COUNTIF(Q101:R101,"כן")+COUNTIF(Q101:R101,"לא")),""))</f>
        <v/>
      </c>
      <c r="AL101" s="37">
        <f>IF($A101="","",IFERROR(COUNTIF(K101:R101,"כן")/(COUNTIF(K101:R101,"כן")+COUNTIF(K101:R101,"לא")),""))</f>
        <v/>
      </c>
      <c r="AM101" s="37">
        <f>IF($A101="","",IFERROR((COUNTIF(S101:Z101,"רוב הזמן")+0.5*COUNTIF(S101:Z101,"לפעמים"))/(COUNTIF(S101:Z101,"רוב הזמן")+COUNTIF(S101:Z101,"לפעמים")+COUNTIF(S101:Z101,"עדיין לא")),""))</f>
        <v/>
      </c>
      <c r="AN101" s="37">
        <f>IF($A101="","",IFERROR(1-SUMPRODUCT(ABS((K101:R101="כן")-((S101:Z101="רוב הזמן")+0.5*(S101:Z101="לפעמים")))*(((K101:R101="כן")+(K101:R101="לא"))*((S101:Z101="רוב הזמן")+(S101:Z101="לפעמים")+(S101:Z101="עדיין לא"))))/SUMPRODUCT((((K101:R101="כן")+(K101:R101="לא"))*((S101:Z101="רוב הזמן")+(S101:Z101="לפעמים")+(S101:Z101="עדיין לא")))),""))</f>
        <v/>
      </c>
      <c r="AO101" s="36">
        <f>IF($A101="","",SUMPRODUCT((((K101:R101="כן")-((S101:Z101="רוב הזמן")+0.5*(S101:Z101="לפעמים")))&gt;0.01)*(((K101:R101="כן")+(K101:R101="לא"))*((S101:Z101="רוב הזמן")+(S101:Z101="לפעמים")+(S101:Z101="עדיין לא")))))</f>
        <v/>
      </c>
      <c r="AP101" s="36">
        <f>IF($A101="","",SUMPRODUCT(((((S101:Z101="רוב הזמן")+0.5*(S101:Z101="לפעמים"))-(K101:R101="כן"))&gt;0.01)*(((K101:R101="כן")+(K101:R101="לא"))*((S101:Z101="רוב הזמן")+(S101:Z101="לפעמים")+(S101:Z101="עדיין לא")))))</f>
        <v/>
      </c>
      <c r="AQ101" s="36">
        <f>IF($A101="","",COUNTIF(AA101:AC101,"כן"))</f>
        <v/>
      </c>
      <c r="AR101" s="38" t="n"/>
      <c r="AS101" s="38" t="n"/>
      <c r="AT101" s="38" t="n"/>
      <c r="AU101" s="38" t="n"/>
      <c r="AV101" s="36">
        <f>IF($A101="","",IF(AND(AR101="",AT101=""),"לא נבדק",IF(AND(OR(AR101="",AR101=AS101),OR(AT101="",AT101=AU101)),"תואם","לא תואם")))</f>
        <v/>
      </c>
      <c r="AW101" s="36">
        <f>IF($A101="","",IF(AND(AV101&lt;&gt;"לא תואם",G101&lt;&gt;"לא ברור"),"אמין","לפרש בזהירות"))</f>
        <v/>
      </c>
    </row>
    <row r="102">
      <c r="A102" s="38" t="n"/>
      <c r="B102" s="38" t="n"/>
      <c r="C102" s="38" t="n"/>
      <c r="D102" s="38" t="n"/>
      <c r="E102" s="38" t="n"/>
      <c r="F102" s="38" t="n"/>
      <c r="G102" s="38" t="n"/>
      <c r="H102" s="38" t="n"/>
      <c r="I102" s="38" t="n"/>
      <c r="J102" s="38" t="n"/>
      <c r="K102" s="38" t="n"/>
      <c r="L102" s="38" t="n"/>
      <c r="M102" s="38" t="n"/>
      <c r="N102" s="38" t="n"/>
      <c r="O102" s="38" t="n"/>
      <c r="P102" s="38" t="n"/>
      <c r="Q102" s="38" t="n"/>
      <c r="R102" s="38" t="n"/>
      <c r="S102" s="38" t="n"/>
      <c r="T102" s="38" t="n"/>
      <c r="U102" s="38" t="n"/>
      <c r="V102" s="38" t="n"/>
      <c r="W102" s="38" t="n"/>
      <c r="X102" s="38" t="n"/>
      <c r="Y102" s="38" t="n"/>
      <c r="Z102" s="38" t="n"/>
      <c r="AA102" s="38" t="n"/>
      <c r="AB102" s="38" t="n"/>
      <c r="AC102" s="38" t="n"/>
      <c r="AD102" s="38" t="n"/>
      <c r="AE102" s="38" t="n"/>
      <c r="AF102" s="36">
        <f>IF($A102="","",$A102&amp;"|"&amp;$C102)</f>
        <v/>
      </c>
      <c r="AG102" s="36">
        <f>IF($A102="","",IF(OR(H102="לא נבדק",H102=""),"לא נבדק",IF(AND(H102="בחר/ה בעצמו/ה",I102="כן",J102="לא"),"מלא",IF(OR(H102="בחר/ה בעצמו/ה",I102="כן"),"חלקי","עדיין לא"))))</f>
        <v/>
      </c>
      <c r="AH102" s="37">
        <f>IF($A102="","",IFERROR(COUNTIF(K102:L102,"כן")/(COUNTIF(K102:L102,"כן")+COUNTIF(K102:L102,"לא")),""))</f>
        <v/>
      </c>
      <c r="AI102" s="37">
        <f>IF($A102="","",IFERROR(COUNTIF(M102:N102,"כן")/(COUNTIF(M102:N102,"כן")+COUNTIF(M102:N102,"לא")),""))</f>
        <v/>
      </c>
      <c r="AJ102" s="37">
        <f>IF($A102="","",IFERROR(COUNTIF(O102:P102,"כן")/(COUNTIF(O102:P102,"כן")+COUNTIF(O102:P102,"לא")),""))</f>
        <v/>
      </c>
      <c r="AK102" s="37">
        <f>IF($A102="","",IFERROR(COUNTIF(Q102:R102,"כן")/(COUNTIF(Q102:R102,"כן")+COUNTIF(Q102:R102,"לא")),""))</f>
        <v/>
      </c>
      <c r="AL102" s="37">
        <f>IF($A102="","",IFERROR(COUNTIF(K102:R102,"כן")/(COUNTIF(K102:R102,"כן")+COUNTIF(K102:R102,"לא")),""))</f>
        <v/>
      </c>
      <c r="AM102" s="37">
        <f>IF($A102="","",IFERROR((COUNTIF(S102:Z102,"רוב הזמן")+0.5*COUNTIF(S102:Z102,"לפעמים"))/(COUNTIF(S102:Z102,"רוב הזמן")+COUNTIF(S102:Z102,"לפעמים")+COUNTIF(S102:Z102,"עדיין לא")),""))</f>
        <v/>
      </c>
      <c r="AN102" s="37">
        <f>IF($A102="","",IFERROR(1-SUMPRODUCT(ABS((K102:R102="כן")-((S102:Z102="רוב הזמן")+0.5*(S102:Z102="לפעמים")))*(((K102:R102="כן")+(K102:R102="לא"))*((S102:Z102="רוב הזמן")+(S102:Z102="לפעמים")+(S102:Z102="עדיין לא"))))/SUMPRODUCT((((K102:R102="כן")+(K102:R102="לא"))*((S102:Z102="רוב הזמן")+(S102:Z102="לפעמים")+(S102:Z102="עדיין לא")))),""))</f>
        <v/>
      </c>
      <c r="AO102" s="36">
        <f>IF($A102="","",SUMPRODUCT((((K102:R102="כן")-((S102:Z102="רוב הזמן")+0.5*(S102:Z102="לפעמים")))&gt;0.01)*(((K102:R102="כן")+(K102:R102="לא"))*((S102:Z102="רוב הזמן")+(S102:Z102="לפעמים")+(S102:Z102="עדיין לא")))))</f>
        <v/>
      </c>
      <c r="AP102" s="36">
        <f>IF($A102="","",SUMPRODUCT(((((S102:Z102="רוב הזמן")+0.5*(S102:Z102="לפעמים"))-(K102:R102="כן"))&gt;0.01)*(((K102:R102="כן")+(K102:R102="לא"))*((S102:Z102="רוב הזמן")+(S102:Z102="לפעמים")+(S102:Z102="עדיין לא")))))</f>
        <v/>
      </c>
      <c r="AQ102" s="36">
        <f>IF($A102="","",COUNTIF(AA102:AC102,"כן"))</f>
        <v/>
      </c>
      <c r="AR102" s="38" t="n"/>
      <c r="AS102" s="38" t="n"/>
      <c r="AT102" s="38" t="n"/>
      <c r="AU102" s="38" t="n"/>
      <c r="AV102" s="36">
        <f>IF($A102="","",IF(AND(AR102="",AT102=""),"לא נבדק",IF(AND(OR(AR102="",AR102=AS102),OR(AT102="",AT102=AU102)),"תואם","לא תואם")))</f>
        <v/>
      </c>
      <c r="AW102" s="36">
        <f>IF($A102="","",IF(AND(AV102&lt;&gt;"לא תואם",G102&lt;&gt;"לא ברור"),"אמין","לפרש בזהירות"))</f>
        <v/>
      </c>
    </row>
    <row r="103">
      <c r="A103" s="38" t="n"/>
      <c r="B103" s="38" t="n"/>
      <c r="C103" s="38" t="n"/>
      <c r="D103" s="38" t="n"/>
      <c r="E103" s="38" t="n"/>
      <c r="F103" s="38" t="n"/>
      <c r="G103" s="38" t="n"/>
      <c r="H103" s="38" t="n"/>
      <c r="I103" s="38" t="n"/>
      <c r="J103" s="38" t="n"/>
      <c r="K103" s="38" t="n"/>
      <c r="L103" s="38" t="n"/>
      <c r="M103" s="38" t="n"/>
      <c r="N103" s="38" t="n"/>
      <c r="O103" s="38" t="n"/>
      <c r="P103" s="38" t="n"/>
      <c r="Q103" s="38" t="n"/>
      <c r="R103" s="38" t="n"/>
      <c r="S103" s="38" t="n"/>
      <c r="T103" s="38" t="n"/>
      <c r="U103" s="38" t="n"/>
      <c r="V103" s="38" t="n"/>
      <c r="W103" s="38" t="n"/>
      <c r="X103" s="38" t="n"/>
      <c r="Y103" s="38" t="n"/>
      <c r="Z103" s="38" t="n"/>
      <c r="AA103" s="38" t="n"/>
      <c r="AB103" s="38" t="n"/>
      <c r="AC103" s="38" t="n"/>
      <c r="AD103" s="38" t="n"/>
      <c r="AE103" s="38" t="n"/>
      <c r="AF103" s="36">
        <f>IF($A103="","",$A103&amp;"|"&amp;$C103)</f>
        <v/>
      </c>
      <c r="AG103" s="36">
        <f>IF($A103="","",IF(OR(H103="לא נבדק",H103=""),"לא נבדק",IF(AND(H103="בחר/ה בעצמו/ה",I103="כן",J103="לא"),"מלא",IF(OR(H103="בחר/ה בעצמו/ה",I103="כן"),"חלקי","עדיין לא"))))</f>
        <v/>
      </c>
      <c r="AH103" s="37">
        <f>IF($A103="","",IFERROR(COUNTIF(K103:L103,"כן")/(COUNTIF(K103:L103,"כן")+COUNTIF(K103:L103,"לא")),""))</f>
        <v/>
      </c>
      <c r="AI103" s="37">
        <f>IF($A103="","",IFERROR(COUNTIF(M103:N103,"כן")/(COUNTIF(M103:N103,"כן")+COUNTIF(M103:N103,"לא")),""))</f>
        <v/>
      </c>
      <c r="AJ103" s="37">
        <f>IF($A103="","",IFERROR(COUNTIF(O103:P103,"כן")/(COUNTIF(O103:P103,"כן")+COUNTIF(O103:P103,"לא")),""))</f>
        <v/>
      </c>
      <c r="AK103" s="37">
        <f>IF($A103="","",IFERROR(COUNTIF(Q103:R103,"כן")/(COUNTIF(Q103:R103,"כן")+COUNTIF(Q103:R103,"לא")),""))</f>
        <v/>
      </c>
      <c r="AL103" s="37">
        <f>IF($A103="","",IFERROR(COUNTIF(K103:R103,"כן")/(COUNTIF(K103:R103,"כן")+COUNTIF(K103:R103,"לא")),""))</f>
        <v/>
      </c>
      <c r="AM103" s="37">
        <f>IF($A103="","",IFERROR((COUNTIF(S103:Z103,"רוב הזמן")+0.5*COUNTIF(S103:Z103,"לפעמים"))/(COUNTIF(S103:Z103,"רוב הזמן")+COUNTIF(S103:Z103,"לפעמים")+COUNTIF(S103:Z103,"עדיין לא")),""))</f>
        <v/>
      </c>
      <c r="AN103" s="37">
        <f>IF($A103="","",IFERROR(1-SUMPRODUCT(ABS((K103:R103="כן")-((S103:Z103="רוב הזמן")+0.5*(S103:Z103="לפעמים")))*(((K103:R103="כן")+(K103:R103="לא"))*((S103:Z103="רוב הזמן")+(S103:Z103="לפעמים")+(S103:Z103="עדיין לא"))))/SUMPRODUCT((((K103:R103="כן")+(K103:R103="לא"))*((S103:Z103="רוב הזמן")+(S103:Z103="לפעמים")+(S103:Z103="עדיין לא")))),""))</f>
        <v/>
      </c>
      <c r="AO103" s="36">
        <f>IF($A103="","",SUMPRODUCT((((K103:R103="כן")-((S103:Z103="רוב הזמן")+0.5*(S103:Z103="לפעמים")))&gt;0.01)*(((K103:R103="כן")+(K103:R103="לא"))*((S103:Z103="רוב הזמן")+(S103:Z103="לפעמים")+(S103:Z103="עדיין לא")))))</f>
        <v/>
      </c>
      <c r="AP103" s="36">
        <f>IF($A103="","",SUMPRODUCT(((((S103:Z103="רוב הזמן")+0.5*(S103:Z103="לפעמים"))-(K103:R103="כן"))&gt;0.01)*(((K103:R103="כן")+(K103:R103="לא"))*((S103:Z103="רוב הזמן")+(S103:Z103="לפעמים")+(S103:Z103="עדיין לא")))))</f>
        <v/>
      </c>
      <c r="AQ103" s="36">
        <f>IF($A103="","",COUNTIF(AA103:AC103,"כן"))</f>
        <v/>
      </c>
      <c r="AR103" s="38" t="n"/>
      <c r="AS103" s="38" t="n"/>
      <c r="AT103" s="38" t="n"/>
      <c r="AU103" s="38" t="n"/>
      <c r="AV103" s="36">
        <f>IF($A103="","",IF(AND(AR103="",AT103=""),"לא נבדק",IF(AND(OR(AR103="",AR103=AS103),OR(AT103="",AT103=AU103)),"תואם","לא תואם")))</f>
        <v/>
      </c>
      <c r="AW103" s="36">
        <f>IF($A103="","",IF(AND(AV103&lt;&gt;"לא תואם",G103&lt;&gt;"לא ברור"),"אמין","לפרש בזהירות"))</f>
        <v/>
      </c>
    </row>
    <row r="104">
      <c r="A104" s="38" t="n"/>
      <c r="B104" s="38" t="n"/>
      <c r="C104" s="38" t="n"/>
      <c r="D104" s="38" t="n"/>
      <c r="E104" s="38" t="n"/>
      <c r="F104" s="38" t="n"/>
      <c r="G104" s="38" t="n"/>
      <c r="H104" s="38" t="n"/>
      <c r="I104" s="38" t="n"/>
      <c r="J104" s="38" t="n"/>
      <c r="K104" s="38" t="n"/>
      <c r="L104" s="38" t="n"/>
      <c r="M104" s="38" t="n"/>
      <c r="N104" s="38" t="n"/>
      <c r="O104" s="38" t="n"/>
      <c r="P104" s="38" t="n"/>
      <c r="Q104" s="38" t="n"/>
      <c r="R104" s="38" t="n"/>
      <c r="S104" s="38" t="n"/>
      <c r="T104" s="38" t="n"/>
      <c r="U104" s="38" t="n"/>
      <c r="V104" s="38" t="n"/>
      <c r="W104" s="38" t="n"/>
      <c r="X104" s="38" t="n"/>
      <c r="Y104" s="38" t="n"/>
      <c r="Z104" s="38" t="n"/>
      <c r="AA104" s="38" t="n"/>
      <c r="AB104" s="38" t="n"/>
      <c r="AC104" s="38" t="n"/>
      <c r="AD104" s="38" t="n"/>
      <c r="AE104" s="38" t="n"/>
      <c r="AF104" s="36">
        <f>IF($A104="","",$A104&amp;"|"&amp;$C104)</f>
        <v/>
      </c>
      <c r="AG104" s="36">
        <f>IF($A104="","",IF(OR(H104="לא נבדק",H104=""),"לא נבדק",IF(AND(H104="בחר/ה בעצמו/ה",I104="כן",J104="לא"),"מלא",IF(OR(H104="בחר/ה בעצמו/ה",I104="כן"),"חלקי","עדיין לא"))))</f>
        <v/>
      </c>
      <c r="AH104" s="37">
        <f>IF($A104="","",IFERROR(COUNTIF(K104:L104,"כן")/(COUNTIF(K104:L104,"כן")+COUNTIF(K104:L104,"לא")),""))</f>
        <v/>
      </c>
      <c r="AI104" s="37">
        <f>IF($A104="","",IFERROR(COUNTIF(M104:N104,"כן")/(COUNTIF(M104:N104,"כן")+COUNTIF(M104:N104,"לא")),""))</f>
        <v/>
      </c>
      <c r="AJ104" s="37">
        <f>IF($A104="","",IFERROR(COUNTIF(O104:P104,"כן")/(COUNTIF(O104:P104,"כן")+COUNTIF(O104:P104,"לא")),""))</f>
        <v/>
      </c>
      <c r="AK104" s="37">
        <f>IF($A104="","",IFERROR(COUNTIF(Q104:R104,"כן")/(COUNTIF(Q104:R104,"כן")+COUNTIF(Q104:R104,"לא")),""))</f>
        <v/>
      </c>
      <c r="AL104" s="37">
        <f>IF($A104="","",IFERROR(COUNTIF(K104:R104,"כן")/(COUNTIF(K104:R104,"כן")+COUNTIF(K104:R104,"לא")),""))</f>
        <v/>
      </c>
      <c r="AM104" s="37">
        <f>IF($A104="","",IFERROR((COUNTIF(S104:Z104,"רוב הזמן")+0.5*COUNTIF(S104:Z104,"לפעמים"))/(COUNTIF(S104:Z104,"רוב הזמן")+COUNTIF(S104:Z104,"לפעמים")+COUNTIF(S104:Z104,"עדיין לא")),""))</f>
        <v/>
      </c>
      <c r="AN104" s="37">
        <f>IF($A104="","",IFERROR(1-SUMPRODUCT(ABS((K104:R104="כן")-((S104:Z104="רוב הזמן")+0.5*(S104:Z104="לפעמים")))*(((K104:R104="כן")+(K104:R104="לא"))*((S104:Z104="רוב הזמן")+(S104:Z104="לפעמים")+(S104:Z104="עדיין לא"))))/SUMPRODUCT((((K104:R104="כן")+(K104:R104="לא"))*((S104:Z104="רוב הזמן")+(S104:Z104="לפעמים")+(S104:Z104="עדיין לא")))),""))</f>
        <v/>
      </c>
      <c r="AO104" s="36">
        <f>IF($A104="","",SUMPRODUCT((((K104:R104="כן")-((S104:Z104="רוב הזמן")+0.5*(S104:Z104="לפעמים")))&gt;0.01)*(((K104:R104="כן")+(K104:R104="לא"))*((S104:Z104="רוב הזמן")+(S104:Z104="לפעמים")+(S104:Z104="עדיין לא")))))</f>
        <v/>
      </c>
      <c r="AP104" s="36">
        <f>IF($A104="","",SUMPRODUCT(((((S104:Z104="רוב הזמן")+0.5*(S104:Z104="לפעמים"))-(K104:R104="כן"))&gt;0.01)*(((K104:R104="כן")+(K104:R104="לא"))*((S104:Z104="רוב הזמן")+(S104:Z104="לפעמים")+(S104:Z104="עדיין לא")))))</f>
        <v/>
      </c>
      <c r="AQ104" s="36">
        <f>IF($A104="","",COUNTIF(AA104:AC104,"כן"))</f>
        <v/>
      </c>
      <c r="AR104" s="38" t="n"/>
      <c r="AS104" s="38" t="n"/>
      <c r="AT104" s="38" t="n"/>
      <c r="AU104" s="38" t="n"/>
      <c r="AV104" s="36">
        <f>IF($A104="","",IF(AND(AR104="",AT104=""),"לא נבדק",IF(AND(OR(AR104="",AR104=AS104),OR(AT104="",AT104=AU104)),"תואם","לא תואם")))</f>
        <v/>
      </c>
      <c r="AW104" s="36">
        <f>IF($A104="","",IF(AND(AV104&lt;&gt;"לא תואם",G104&lt;&gt;"לא ברור"),"אמין","לפרש בזהירות"))</f>
        <v/>
      </c>
    </row>
    <row r="105">
      <c r="A105" s="38" t="n"/>
      <c r="B105" s="38" t="n"/>
      <c r="C105" s="38" t="n"/>
      <c r="D105" s="38" t="n"/>
      <c r="E105" s="38" t="n"/>
      <c r="F105" s="38" t="n"/>
      <c r="G105" s="38" t="n"/>
      <c r="H105" s="38" t="n"/>
      <c r="I105" s="38" t="n"/>
      <c r="J105" s="38" t="n"/>
      <c r="K105" s="38" t="n"/>
      <c r="L105" s="38" t="n"/>
      <c r="M105" s="38" t="n"/>
      <c r="N105" s="38" t="n"/>
      <c r="O105" s="38" t="n"/>
      <c r="P105" s="38" t="n"/>
      <c r="Q105" s="38" t="n"/>
      <c r="R105" s="38" t="n"/>
      <c r="S105" s="38" t="n"/>
      <c r="T105" s="38" t="n"/>
      <c r="U105" s="38" t="n"/>
      <c r="V105" s="38" t="n"/>
      <c r="W105" s="38" t="n"/>
      <c r="X105" s="38" t="n"/>
      <c r="Y105" s="38" t="n"/>
      <c r="Z105" s="38" t="n"/>
      <c r="AA105" s="38" t="n"/>
      <c r="AB105" s="38" t="n"/>
      <c r="AC105" s="38" t="n"/>
      <c r="AD105" s="38" t="n"/>
      <c r="AE105" s="38" t="n"/>
      <c r="AF105" s="36">
        <f>IF($A105="","",$A105&amp;"|"&amp;$C105)</f>
        <v/>
      </c>
      <c r="AG105" s="36">
        <f>IF($A105="","",IF(OR(H105="לא נבדק",H105=""),"לא נבדק",IF(AND(H105="בחר/ה בעצמו/ה",I105="כן",J105="לא"),"מלא",IF(OR(H105="בחר/ה בעצמו/ה",I105="כן"),"חלקי","עדיין לא"))))</f>
        <v/>
      </c>
      <c r="AH105" s="37">
        <f>IF($A105="","",IFERROR(COUNTIF(K105:L105,"כן")/(COUNTIF(K105:L105,"כן")+COUNTIF(K105:L105,"לא")),""))</f>
        <v/>
      </c>
      <c r="AI105" s="37">
        <f>IF($A105="","",IFERROR(COUNTIF(M105:N105,"כן")/(COUNTIF(M105:N105,"כן")+COUNTIF(M105:N105,"לא")),""))</f>
        <v/>
      </c>
      <c r="AJ105" s="37">
        <f>IF($A105="","",IFERROR(COUNTIF(O105:P105,"כן")/(COUNTIF(O105:P105,"כן")+COUNTIF(O105:P105,"לא")),""))</f>
        <v/>
      </c>
      <c r="AK105" s="37">
        <f>IF($A105="","",IFERROR(COUNTIF(Q105:R105,"כן")/(COUNTIF(Q105:R105,"כן")+COUNTIF(Q105:R105,"לא")),""))</f>
        <v/>
      </c>
      <c r="AL105" s="37">
        <f>IF($A105="","",IFERROR(COUNTIF(K105:R105,"כן")/(COUNTIF(K105:R105,"כן")+COUNTIF(K105:R105,"לא")),""))</f>
        <v/>
      </c>
      <c r="AM105" s="37">
        <f>IF($A105="","",IFERROR((COUNTIF(S105:Z105,"רוב הזמן")+0.5*COUNTIF(S105:Z105,"לפעמים"))/(COUNTIF(S105:Z105,"רוב הזמן")+COUNTIF(S105:Z105,"לפעמים")+COUNTIF(S105:Z105,"עדיין לא")),""))</f>
        <v/>
      </c>
      <c r="AN105" s="37">
        <f>IF($A105="","",IFERROR(1-SUMPRODUCT(ABS((K105:R105="כן")-((S105:Z105="רוב הזמן")+0.5*(S105:Z105="לפעמים")))*(((K105:R105="כן")+(K105:R105="לא"))*((S105:Z105="רוב הזמן")+(S105:Z105="לפעמים")+(S105:Z105="עדיין לא"))))/SUMPRODUCT((((K105:R105="כן")+(K105:R105="לא"))*((S105:Z105="רוב הזמן")+(S105:Z105="לפעמים")+(S105:Z105="עדיין לא")))),""))</f>
        <v/>
      </c>
      <c r="AO105" s="36">
        <f>IF($A105="","",SUMPRODUCT((((K105:R105="כן")-((S105:Z105="רוב הזמן")+0.5*(S105:Z105="לפעמים")))&gt;0.01)*(((K105:R105="כן")+(K105:R105="לא"))*((S105:Z105="רוב הזמן")+(S105:Z105="לפעמים")+(S105:Z105="עדיין לא")))))</f>
        <v/>
      </c>
      <c r="AP105" s="36">
        <f>IF($A105="","",SUMPRODUCT(((((S105:Z105="רוב הזמן")+0.5*(S105:Z105="לפעמים"))-(K105:R105="כן"))&gt;0.01)*(((K105:R105="כן")+(K105:R105="לא"))*((S105:Z105="רוב הזמן")+(S105:Z105="לפעמים")+(S105:Z105="עדיין לא")))))</f>
        <v/>
      </c>
      <c r="AQ105" s="36">
        <f>IF($A105="","",COUNTIF(AA105:AC105,"כן"))</f>
        <v/>
      </c>
      <c r="AR105" s="38" t="n"/>
      <c r="AS105" s="38" t="n"/>
      <c r="AT105" s="38" t="n"/>
      <c r="AU105" s="38" t="n"/>
      <c r="AV105" s="36">
        <f>IF($A105="","",IF(AND(AR105="",AT105=""),"לא נבדק",IF(AND(OR(AR105="",AR105=AS105),OR(AT105="",AT105=AU105)),"תואם","לא תואם")))</f>
        <v/>
      </c>
      <c r="AW105" s="36">
        <f>IF($A105="","",IF(AND(AV105&lt;&gt;"לא תואם",G105&lt;&gt;"לא ברור"),"אמין","לפרש בזהירות"))</f>
        <v/>
      </c>
    </row>
    <row r="106">
      <c r="A106" s="38" t="n"/>
      <c r="B106" s="38" t="n"/>
      <c r="C106" s="38" t="n"/>
      <c r="D106" s="38" t="n"/>
      <c r="E106" s="38" t="n"/>
      <c r="F106" s="38" t="n"/>
      <c r="G106" s="38" t="n"/>
      <c r="H106" s="38" t="n"/>
      <c r="I106" s="38" t="n"/>
      <c r="J106" s="38" t="n"/>
      <c r="K106" s="38" t="n"/>
      <c r="L106" s="38" t="n"/>
      <c r="M106" s="38" t="n"/>
      <c r="N106" s="38" t="n"/>
      <c r="O106" s="38" t="n"/>
      <c r="P106" s="38" t="n"/>
      <c r="Q106" s="38" t="n"/>
      <c r="R106" s="38" t="n"/>
      <c r="S106" s="38" t="n"/>
      <c r="T106" s="38" t="n"/>
      <c r="U106" s="38" t="n"/>
      <c r="V106" s="38" t="n"/>
      <c r="W106" s="38" t="n"/>
      <c r="X106" s="38" t="n"/>
      <c r="Y106" s="38" t="n"/>
      <c r="Z106" s="38" t="n"/>
      <c r="AA106" s="38" t="n"/>
      <c r="AB106" s="38" t="n"/>
      <c r="AC106" s="38" t="n"/>
      <c r="AD106" s="38" t="n"/>
      <c r="AE106" s="38" t="n"/>
      <c r="AF106" s="36">
        <f>IF($A106="","",$A106&amp;"|"&amp;$C106)</f>
        <v/>
      </c>
      <c r="AG106" s="36">
        <f>IF($A106="","",IF(OR(H106="לא נבדק",H106=""),"לא נבדק",IF(AND(H106="בחר/ה בעצמו/ה",I106="כן",J106="לא"),"מלא",IF(OR(H106="בחר/ה בעצמו/ה",I106="כן"),"חלקי","עדיין לא"))))</f>
        <v/>
      </c>
      <c r="AH106" s="37">
        <f>IF($A106="","",IFERROR(COUNTIF(K106:L106,"כן")/(COUNTIF(K106:L106,"כן")+COUNTIF(K106:L106,"לא")),""))</f>
        <v/>
      </c>
      <c r="AI106" s="37">
        <f>IF($A106="","",IFERROR(COUNTIF(M106:N106,"כן")/(COUNTIF(M106:N106,"כן")+COUNTIF(M106:N106,"לא")),""))</f>
        <v/>
      </c>
      <c r="AJ106" s="37">
        <f>IF($A106="","",IFERROR(COUNTIF(O106:P106,"כן")/(COUNTIF(O106:P106,"כן")+COUNTIF(O106:P106,"לא")),""))</f>
        <v/>
      </c>
      <c r="AK106" s="37">
        <f>IF($A106="","",IFERROR(COUNTIF(Q106:R106,"כן")/(COUNTIF(Q106:R106,"כן")+COUNTIF(Q106:R106,"לא")),""))</f>
        <v/>
      </c>
      <c r="AL106" s="37">
        <f>IF($A106="","",IFERROR(COUNTIF(K106:R106,"כן")/(COUNTIF(K106:R106,"כן")+COUNTIF(K106:R106,"לא")),""))</f>
        <v/>
      </c>
      <c r="AM106" s="37">
        <f>IF($A106="","",IFERROR((COUNTIF(S106:Z106,"רוב הזמן")+0.5*COUNTIF(S106:Z106,"לפעמים"))/(COUNTIF(S106:Z106,"רוב הזמן")+COUNTIF(S106:Z106,"לפעמים")+COUNTIF(S106:Z106,"עדיין לא")),""))</f>
        <v/>
      </c>
      <c r="AN106" s="37">
        <f>IF($A106="","",IFERROR(1-SUMPRODUCT(ABS((K106:R106="כן")-((S106:Z106="רוב הזמן")+0.5*(S106:Z106="לפעמים")))*(((K106:R106="כן")+(K106:R106="לא"))*((S106:Z106="רוב הזמן")+(S106:Z106="לפעמים")+(S106:Z106="עדיין לא"))))/SUMPRODUCT((((K106:R106="כן")+(K106:R106="לא"))*((S106:Z106="רוב הזמן")+(S106:Z106="לפעמים")+(S106:Z106="עדיין לא")))),""))</f>
        <v/>
      </c>
      <c r="AO106" s="36">
        <f>IF($A106="","",SUMPRODUCT((((K106:R106="כן")-((S106:Z106="רוב הזמן")+0.5*(S106:Z106="לפעמים")))&gt;0.01)*(((K106:R106="כן")+(K106:R106="לא"))*((S106:Z106="רוב הזמן")+(S106:Z106="לפעמים")+(S106:Z106="עדיין לא")))))</f>
        <v/>
      </c>
      <c r="AP106" s="36">
        <f>IF($A106="","",SUMPRODUCT(((((S106:Z106="רוב הזמן")+0.5*(S106:Z106="לפעמים"))-(K106:R106="כן"))&gt;0.01)*(((K106:R106="כן")+(K106:R106="לא"))*((S106:Z106="רוב הזמן")+(S106:Z106="לפעמים")+(S106:Z106="עדיין לא")))))</f>
        <v/>
      </c>
      <c r="AQ106" s="36">
        <f>IF($A106="","",COUNTIF(AA106:AC106,"כן"))</f>
        <v/>
      </c>
      <c r="AR106" s="38" t="n"/>
      <c r="AS106" s="38" t="n"/>
      <c r="AT106" s="38" t="n"/>
      <c r="AU106" s="38" t="n"/>
      <c r="AV106" s="36">
        <f>IF($A106="","",IF(AND(AR106="",AT106=""),"לא נבדק",IF(AND(OR(AR106="",AR106=AS106),OR(AT106="",AT106=AU106)),"תואם","לא תואם")))</f>
        <v/>
      </c>
      <c r="AW106" s="36">
        <f>IF($A106="","",IF(AND(AV106&lt;&gt;"לא תואם",G106&lt;&gt;"לא ברור"),"אמין","לפרש בזהירות"))</f>
        <v/>
      </c>
    </row>
    <row r="107">
      <c r="A107" s="38" t="n"/>
      <c r="B107" s="38" t="n"/>
      <c r="C107" s="38" t="n"/>
      <c r="D107" s="38" t="n"/>
      <c r="E107" s="38" t="n"/>
      <c r="F107" s="38" t="n"/>
      <c r="G107" s="38" t="n"/>
      <c r="H107" s="38" t="n"/>
      <c r="I107" s="38" t="n"/>
      <c r="J107" s="38" t="n"/>
      <c r="K107" s="38" t="n"/>
      <c r="L107" s="38" t="n"/>
      <c r="M107" s="38" t="n"/>
      <c r="N107" s="38" t="n"/>
      <c r="O107" s="38" t="n"/>
      <c r="P107" s="38" t="n"/>
      <c r="Q107" s="38" t="n"/>
      <c r="R107" s="38" t="n"/>
      <c r="S107" s="38" t="n"/>
      <c r="T107" s="38" t="n"/>
      <c r="U107" s="38" t="n"/>
      <c r="V107" s="38" t="n"/>
      <c r="W107" s="38" t="n"/>
      <c r="X107" s="38" t="n"/>
      <c r="Y107" s="38" t="n"/>
      <c r="Z107" s="38" t="n"/>
      <c r="AA107" s="38" t="n"/>
      <c r="AB107" s="38" t="n"/>
      <c r="AC107" s="38" t="n"/>
      <c r="AD107" s="38" t="n"/>
      <c r="AE107" s="38" t="n"/>
      <c r="AF107" s="36">
        <f>IF($A107="","",$A107&amp;"|"&amp;$C107)</f>
        <v/>
      </c>
      <c r="AG107" s="36">
        <f>IF($A107="","",IF(OR(H107="לא נבדק",H107=""),"לא נבדק",IF(AND(H107="בחר/ה בעצמו/ה",I107="כן",J107="לא"),"מלא",IF(OR(H107="בחר/ה בעצמו/ה",I107="כן"),"חלקי","עדיין לא"))))</f>
        <v/>
      </c>
      <c r="AH107" s="37">
        <f>IF($A107="","",IFERROR(COUNTIF(K107:L107,"כן")/(COUNTIF(K107:L107,"כן")+COUNTIF(K107:L107,"לא")),""))</f>
        <v/>
      </c>
      <c r="AI107" s="37">
        <f>IF($A107="","",IFERROR(COUNTIF(M107:N107,"כן")/(COUNTIF(M107:N107,"כן")+COUNTIF(M107:N107,"לא")),""))</f>
        <v/>
      </c>
      <c r="AJ107" s="37">
        <f>IF($A107="","",IFERROR(COUNTIF(O107:P107,"כן")/(COUNTIF(O107:P107,"כן")+COUNTIF(O107:P107,"לא")),""))</f>
        <v/>
      </c>
      <c r="AK107" s="37">
        <f>IF($A107="","",IFERROR(COUNTIF(Q107:R107,"כן")/(COUNTIF(Q107:R107,"כן")+COUNTIF(Q107:R107,"לא")),""))</f>
        <v/>
      </c>
      <c r="AL107" s="37">
        <f>IF($A107="","",IFERROR(COUNTIF(K107:R107,"כן")/(COUNTIF(K107:R107,"כן")+COUNTIF(K107:R107,"לא")),""))</f>
        <v/>
      </c>
      <c r="AM107" s="37">
        <f>IF($A107="","",IFERROR((COUNTIF(S107:Z107,"רוב הזמן")+0.5*COUNTIF(S107:Z107,"לפעמים"))/(COUNTIF(S107:Z107,"רוב הזמן")+COUNTIF(S107:Z107,"לפעמים")+COUNTIF(S107:Z107,"עדיין לא")),""))</f>
        <v/>
      </c>
      <c r="AN107" s="37">
        <f>IF($A107="","",IFERROR(1-SUMPRODUCT(ABS((K107:R107="כן")-((S107:Z107="רוב הזמן")+0.5*(S107:Z107="לפעמים")))*(((K107:R107="כן")+(K107:R107="לא"))*((S107:Z107="רוב הזמן")+(S107:Z107="לפעמים")+(S107:Z107="עדיין לא"))))/SUMPRODUCT((((K107:R107="כן")+(K107:R107="לא"))*((S107:Z107="רוב הזמן")+(S107:Z107="לפעמים")+(S107:Z107="עדיין לא")))),""))</f>
        <v/>
      </c>
      <c r="AO107" s="36">
        <f>IF($A107="","",SUMPRODUCT((((K107:R107="כן")-((S107:Z107="רוב הזמן")+0.5*(S107:Z107="לפעמים")))&gt;0.01)*(((K107:R107="כן")+(K107:R107="לא"))*((S107:Z107="רוב הזמן")+(S107:Z107="לפעמים")+(S107:Z107="עדיין לא")))))</f>
        <v/>
      </c>
      <c r="AP107" s="36">
        <f>IF($A107="","",SUMPRODUCT(((((S107:Z107="רוב הזמן")+0.5*(S107:Z107="לפעמים"))-(K107:R107="כן"))&gt;0.01)*(((K107:R107="כן")+(K107:R107="לא"))*((S107:Z107="רוב הזמן")+(S107:Z107="לפעמים")+(S107:Z107="עדיין לא")))))</f>
        <v/>
      </c>
      <c r="AQ107" s="36">
        <f>IF($A107="","",COUNTIF(AA107:AC107,"כן"))</f>
        <v/>
      </c>
      <c r="AR107" s="38" t="n"/>
      <c r="AS107" s="38" t="n"/>
      <c r="AT107" s="38" t="n"/>
      <c r="AU107" s="38" t="n"/>
      <c r="AV107" s="36">
        <f>IF($A107="","",IF(AND(AR107="",AT107=""),"לא נבדק",IF(AND(OR(AR107="",AR107=AS107),OR(AT107="",AT107=AU107)),"תואם","לא תואם")))</f>
        <v/>
      </c>
      <c r="AW107" s="36">
        <f>IF($A107="","",IF(AND(AV107&lt;&gt;"לא תואם",G107&lt;&gt;"לא ברור"),"אמין","לפרש בזהירות"))</f>
        <v/>
      </c>
    </row>
    <row r="108">
      <c r="A108" s="38" t="n"/>
      <c r="B108" s="38" t="n"/>
      <c r="C108" s="38" t="n"/>
      <c r="D108" s="38" t="n"/>
      <c r="E108" s="38" t="n"/>
      <c r="F108" s="38" t="n"/>
      <c r="G108" s="38" t="n"/>
      <c r="H108" s="38" t="n"/>
      <c r="I108" s="38" t="n"/>
      <c r="J108" s="38" t="n"/>
      <c r="K108" s="38" t="n"/>
      <c r="L108" s="38" t="n"/>
      <c r="M108" s="38" t="n"/>
      <c r="N108" s="38" t="n"/>
      <c r="O108" s="38" t="n"/>
      <c r="P108" s="38" t="n"/>
      <c r="Q108" s="38" t="n"/>
      <c r="R108" s="38" t="n"/>
      <c r="S108" s="38" t="n"/>
      <c r="T108" s="38" t="n"/>
      <c r="U108" s="38" t="n"/>
      <c r="V108" s="38" t="n"/>
      <c r="W108" s="38" t="n"/>
      <c r="X108" s="38" t="n"/>
      <c r="Y108" s="38" t="n"/>
      <c r="Z108" s="38" t="n"/>
      <c r="AA108" s="38" t="n"/>
      <c r="AB108" s="38" t="n"/>
      <c r="AC108" s="38" t="n"/>
      <c r="AD108" s="38" t="n"/>
      <c r="AE108" s="38" t="n"/>
      <c r="AF108" s="36">
        <f>IF($A108="","",$A108&amp;"|"&amp;$C108)</f>
        <v/>
      </c>
      <c r="AG108" s="36">
        <f>IF($A108="","",IF(OR(H108="לא נבדק",H108=""),"לא נבדק",IF(AND(H108="בחר/ה בעצמו/ה",I108="כן",J108="לא"),"מלא",IF(OR(H108="בחר/ה בעצמו/ה",I108="כן"),"חלקי","עדיין לא"))))</f>
        <v/>
      </c>
      <c r="AH108" s="37">
        <f>IF($A108="","",IFERROR(COUNTIF(K108:L108,"כן")/(COUNTIF(K108:L108,"כן")+COUNTIF(K108:L108,"לא")),""))</f>
        <v/>
      </c>
      <c r="AI108" s="37">
        <f>IF($A108="","",IFERROR(COUNTIF(M108:N108,"כן")/(COUNTIF(M108:N108,"כן")+COUNTIF(M108:N108,"לא")),""))</f>
        <v/>
      </c>
      <c r="AJ108" s="37">
        <f>IF($A108="","",IFERROR(COUNTIF(O108:P108,"כן")/(COUNTIF(O108:P108,"כן")+COUNTIF(O108:P108,"לא")),""))</f>
        <v/>
      </c>
      <c r="AK108" s="37">
        <f>IF($A108="","",IFERROR(COUNTIF(Q108:R108,"כן")/(COUNTIF(Q108:R108,"כן")+COUNTIF(Q108:R108,"לא")),""))</f>
        <v/>
      </c>
      <c r="AL108" s="37">
        <f>IF($A108="","",IFERROR(COUNTIF(K108:R108,"כן")/(COUNTIF(K108:R108,"כן")+COUNTIF(K108:R108,"לא")),""))</f>
        <v/>
      </c>
      <c r="AM108" s="37">
        <f>IF($A108="","",IFERROR((COUNTIF(S108:Z108,"רוב הזמן")+0.5*COUNTIF(S108:Z108,"לפעמים"))/(COUNTIF(S108:Z108,"רוב הזמן")+COUNTIF(S108:Z108,"לפעמים")+COUNTIF(S108:Z108,"עדיין לא")),""))</f>
        <v/>
      </c>
      <c r="AN108" s="37">
        <f>IF($A108="","",IFERROR(1-SUMPRODUCT(ABS((K108:R108="כן")-((S108:Z108="רוב הזמן")+0.5*(S108:Z108="לפעמים")))*(((K108:R108="כן")+(K108:R108="לא"))*((S108:Z108="רוב הזמן")+(S108:Z108="לפעמים")+(S108:Z108="עדיין לא"))))/SUMPRODUCT((((K108:R108="כן")+(K108:R108="לא"))*((S108:Z108="רוב הזמן")+(S108:Z108="לפעמים")+(S108:Z108="עדיין לא")))),""))</f>
        <v/>
      </c>
      <c r="AO108" s="36">
        <f>IF($A108="","",SUMPRODUCT((((K108:R108="כן")-((S108:Z108="רוב הזמן")+0.5*(S108:Z108="לפעמים")))&gt;0.01)*(((K108:R108="כן")+(K108:R108="לא"))*((S108:Z108="רוב הזמן")+(S108:Z108="לפעמים")+(S108:Z108="עדיין לא")))))</f>
        <v/>
      </c>
      <c r="AP108" s="36">
        <f>IF($A108="","",SUMPRODUCT(((((S108:Z108="רוב הזמן")+0.5*(S108:Z108="לפעמים"))-(K108:R108="כן"))&gt;0.01)*(((K108:R108="כן")+(K108:R108="לא"))*((S108:Z108="רוב הזמן")+(S108:Z108="לפעמים")+(S108:Z108="עדיין לא")))))</f>
        <v/>
      </c>
      <c r="AQ108" s="36">
        <f>IF($A108="","",COUNTIF(AA108:AC108,"כן"))</f>
        <v/>
      </c>
      <c r="AR108" s="38" t="n"/>
      <c r="AS108" s="38" t="n"/>
      <c r="AT108" s="38" t="n"/>
      <c r="AU108" s="38" t="n"/>
      <c r="AV108" s="36">
        <f>IF($A108="","",IF(AND(AR108="",AT108=""),"לא נבדק",IF(AND(OR(AR108="",AR108=AS108),OR(AT108="",AT108=AU108)),"תואם","לא תואם")))</f>
        <v/>
      </c>
      <c r="AW108" s="36">
        <f>IF($A108="","",IF(AND(AV108&lt;&gt;"לא תואם",G108&lt;&gt;"לא ברור"),"אמין","לפרש בזהירות"))</f>
        <v/>
      </c>
    </row>
    <row r="109">
      <c r="A109" s="38" t="n"/>
      <c r="B109" s="38" t="n"/>
      <c r="C109" s="38" t="n"/>
      <c r="D109" s="38" t="n"/>
      <c r="E109" s="38" t="n"/>
      <c r="F109" s="38" t="n"/>
      <c r="G109" s="38" t="n"/>
      <c r="H109" s="38" t="n"/>
      <c r="I109" s="38" t="n"/>
      <c r="J109" s="38" t="n"/>
      <c r="K109" s="38" t="n"/>
      <c r="L109" s="38" t="n"/>
      <c r="M109" s="38" t="n"/>
      <c r="N109" s="38" t="n"/>
      <c r="O109" s="38" t="n"/>
      <c r="P109" s="38" t="n"/>
      <c r="Q109" s="38" t="n"/>
      <c r="R109" s="38" t="n"/>
      <c r="S109" s="38" t="n"/>
      <c r="T109" s="38" t="n"/>
      <c r="U109" s="38" t="n"/>
      <c r="V109" s="38" t="n"/>
      <c r="W109" s="38" t="n"/>
      <c r="X109" s="38" t="n"/>
      <c r="Y109" s="38" t="n"/>
      <c r="Z109" s="38" t="n"/>
      <c r="AA109" s="38" t="n"/>
      <c r="AB109" s="38" t="n"/>
      <c r="AC109" s="38" t="n"/>
      <c r="AD109" s="38" t="n"/>
      <c r="AE109" s="38" t="n"/>
      <c r="AF109" s="36">
        <f>IF($A109="","",$A109&amp;"|"&amp;$C109)</f>
        <v/>
      </c>
      <c r="AG109" s="36">
        <f>IF($A109="","",IF(OR(H109="לא נבדק",H109=""),"לא נבדק",IF(AND(H109="בחר/ה בעצמו/ה",I109="כן",J109="לא"),"מלא",IF(OR(H109="בחר/ה בעצמו/ה",I109="כן"),"חלקי","עדיין לא"))))</f>
        <v/>
      </c>
      <c r="AH109" s="37">
        <f>IF($A109="","",IFERROR(COUNTIF(K109:L109,"כן")/(COUNTIF(K109:L109,"כן")+COUNTIF(K109:L109,"לא")),""))</f>
        <v/>
      </c>
      <c r="AI109" s="37">
        <f>IF($A109="","",IFERROR(COUNTIF(M109:N109,"כן")/(COUNTIF(M109:N109,"כן")+COUNTIF(M109:N109,"לא")),""))</f>
        <v/>
      </c>
      <c r="AJ109" s="37">
        <f>IF($A109="","",IFERROR(COUNTIF(O109:P109,"כן")/(COUNTIF(O109:P109,"כן")+COUNTIF(O109:P109,"לא")),""))</f>
        <v/>
      </c>
      <c r="AK109" s="37">
        <f>IF($A109="","",IFERROR(COUNTIF(Q109:R109,"כן")/(COUNTIF(Q109:R109,"כן")+COUNTIF(Q109:R109,"לא")),""))</f>
        <v/>
      </c>
      <c r="AL109" s="37">
        <f>IF($A109="","",IFERROR(COUNTIF(K109:R109,"כן")/(COUNTIF(K109:R109,"כן")+COUNTIF(K109:R109,"לא")),""))</f>
        <v/>
      </c>
      <c r="AM109" s="37">
        <f>IF($A109="","",IFERROR((COUNTIF(S109:Z109,"רוב הזמן")+0.5*COUNTIF(S109:Z109,"לפעמים"))/(COUNTIF(S109:Z109,"רוב הזמן")+COUNTIF(S109:Z109,"לפעמים")+COUNTIF(S109:Z109,"עדיין לא")),""))</f>
        <v/>
      </c>
      <c r="AN109" s="37">
        <f>IF($A109="","",IFERROR(1-SUMPRODUCT(ABS((K109:R109="כן")-((S109:Z109="רוב הזמן")+0.5*(S109:Z109="לפעמים")))*(((K109:R109="כן")+(K109:R109="לא"))*((S109:Z109="רוב הזמן")+(S109:Z109="לפעמים")+(S109:Z109="עדיין לא"))))/SUMPRODUCT((((K109:R109="כן")+(K109:R109="לא"))*((S109:Z109="רוב הזמן")+(S109:Z109="לפעמים")+(S109:Z109="עדיין לא")))),""))</f>
        <v/>
      </c>
      <c r="AO109" s="36">
        <f>IF($A109="","",SUMPRODUCT((((K109:R109="כן")-((S109:Z109="רוב הזמן")+0.5*(S109:Z109="לפעמים")))&gt;0.01)*(((K109:R109="כן")+(K109:R109="לא"))*((S109:Z109="רוב הזמן")+(S109:Z109="לפעמים")+(S109:Z109="עדיין לא")))))</f>
        <v/>
      </c>
      <c r="AP109" s="36">
        <f>IF($A109="","",SUMPRODUCT(((((S109:Z109="רוב הזמן")+0.5*(S109:Z109="לפעמים"))-(K109:R109="כן"))&gt;0.01)*(((K109:R109="כן")+(K109:R109="לא"))*((S109:Z109="רוב הזמן")+(S109:Z109="לפעמים")+(S109:Z109="עדיין לא")))))</f>
        <v/>
      </c>
      <c r="AQ109" s="36">
        <f>IF($A109="","",COUNTIF(AA109:AC109,"כן"))</f>
        <v/>
      </c>
      <c r="AR109" s="38" t="n"/>
      <c r="AS109" s="38" t="n"/>
      <c r="AT109" s="38" t="n"/>
      <c r="AU109" s="38" t="n"/>
      <c r="AV109" s="36">
        <f>IF($A109="","",IF(AND(AR109="",AT109=""),"לא נבדק",IF(AND(OR(AR109="",AR109=AS109),OR(AT109="",AT109=AU109)),"תואם","לא תואם")))</f>
        <v/>
      </c>
      <c r="AW109" s="36">
        <f>IF($A109="","",IF(AND(AV109&lt;&gt;"לא תואם",G109&lt;&gt;"לא ברור"),"אמין","לפרש בזהירות"))</f>
        <v/>
      </c>
    </row>
    <row r="110">
      <c r="A110" s="38" t="n"/>
      <c r="B110" s="38" t="n"/>
      <c r="C110" s="38" t="n"/>
      <c r="D110" s="38" t="n"/>
      <c r="E110" s="38" t="n"/>
      <c r="F110" s="38" t="n"/>
      <c r="G110" s="38" t="n"/>
      <c r="H110" s="38" t="n"/>
      <c r="I110" s="38" t="n"/>
      <c r="J110" s="38" t="n"/>
      <c r="K110" s="38" t="n"/>
      <c r="L110" s="38" t="n"/>
      <c r="M110" s="38" t="n"/>
      <c r="N110" s="38" t="n"/>
      <c r="O110" s="38" t="n"/>
      <c r="P110" s="38" t="n"/>
      <c r="Q110" s="38" t="n"/>
      <c r="R110" s="38" t="n"/>
      <c r="S110" s="38" t="n"/>
      <c r="T110" s="38" t="n"/>
      <c r="U110" s="38" t="n"/>
      <c r="V110" s="38" t="n"/>
      <c r="W110" s="38" t="n"/>
      <c r="X110" s="38" t="n"/>
      <c r="Y110" s="38" t="n"/>
      <c r="Z110" s="38" t="n"/>
      <c r="AA110" s="38" t="n"/>
      <c r="AB110" s="38" t="n"/>
      <c r="AC110" s="38" t="n"/>
      <c r="AD110" s="38" t="n"/>
      <c r="AE110" s="38" t="n"/>
      <c r="AF110" s="36">
        <f>IF($A110="","",$A110&amp;"|"&amp;$C110)</f>
        <v/>
      </c>
      <c r="AG110" s="36">
        <f>IF($A110="","",IF(OR(H110="לא נבדק",H110=""),"לא נבדק",IF(AND(H110="בחר/ה בעצמו/ה",I110="כן",J110="לא"),"מלא",IF(OR(H110="בחר/ה בעצמו/ה",I110="כן"),"חלקי","עדיין לא"))))</f>
        <v/>
      </c>
      <c r="AH110" s="37">
        <f>IF($A110="","",IFERROR(COUNTIF(K110:L110,"כן")/(COUNTIF(K110:L110,"כן")+COUNTIF(K110:L110,"לא")),""))</f>
        <v/>
      </c>
      <c r="AI110" s="37">
        <f>IF($A110="","",IFERROR(COUNTIF(M110:N110,"כן")/(COUNTIF(M110:N110,"כן")+COUNTIF(M110:N110,"לא")),""))</f>
        <v/>
      </c>
      <c r="AJ110" s="37">
        <f>IF($A110="","",IFERROR(COUNTIF(O110:P110,"כן")/(COUNTIF(O110:P110,"כן")+COUNTIF(O110:P110,"לא")),""))</f>
        <v/>
      </c>
      <c r="AK110" s="37">
        <f>IF($A110="","",IFERROR(COUNTIF(Q110:R110,"כן")/(COUNTIF(Q110:R110,"כן")+COUNTIF(Q110:R110,"לא")),""))</f>
        <v/>
      </c>
      <c r="AL110" s="37">
        <f>IF($A110="","",IFERROR(COUNTIF(K110:R110,"כן")/(COUNTIF(K110:R110,"כן")+COUNTIF(K110:R110,"לא")),""))</f>
        <v/>
      </c>
      <c r="AM110" s="37">
        <f>IF($A110="","",IFERROR((COUNTIF(S110:Z110,"רוב הזמן")+0.5*COUNTIF(S110:Z110,"לפעמים"))/(COUNTIF(S110:Z110,"רוב הזמן")+COUNTIF(S110:Z110,"לפעמים")+COUNTIF(S110:Z110,"עדיין לא")),""))</f>
        <v/>
      </c>
      <c r="AN110" s="37">
        <f>IF($A110="","",IFERROR(1-SUMPRODUCT(ABS((K110:R110="כן")-((S110:Z110="רוב הזמן")+0.5*(S110:Z110="לפעמים")))*(((K110:R110="כן")+(K110:R110="לא"))*((S110:Z110="רוב הזמן")+(S110:Z110="לפעמים")+(S110:Z110="עדיין לא"))))/SUMPRODUCT((((K110:R110="כן")+(K110:R110="לא"))*((S110:Z110="רוב הזמן")+(S110:Z110="לפעמים")+(S110:Z110="עדיין לא")))),""))</f>
        <v/>
      </c>
      <c r="AO110" s="36">
        <f>IF($A110="","",SUMPRODUCT((((K110:R110="כן")-((S110:Z110="רוב הזמן")+0.5*(S110:Z110="לפעמים")))&gt;0.01)*(((K110:R110="כן")+(K110:R110="לא"))*((S110:Z110="רוב הזמן")+(S110:Z110="לפעמים")+(S110:Z110="עדיין לא")))))</f>
        <v/>
      </c>
      <c r="AP110" s="36">
        <f>IF($A110="","",SUMPRODUCT(((((S110:Z110="רוב הזמן")+0.5*(S110:Z110="לפעמים"))-(K110:R110="כן"))&gt;0.01)*(((K110:R110="כן")+(K110:R110="לא"))*((S110:Z110="רוב הזמן")+(S110:Z110="לפעמים")+(S110:Z110="עדיין לא")))))</f>
        <v/>
      </c>
      <c r="AQ110" s="36">
        <f>IF($A110="","",COUNTIF(AA110:AC110,"כן"))</f>
        <v/>
      </c>
      <c r="AR110" s="38" t="n"/>
      <c r="AS110" s="38" t="n"/>
      <c r="AT110" s="38" t="n"/>
      <c r="AU110" s="38" t="n"/>
      <c r="AV110" s="36">
        <f>IF($A110="","",IF(AND(AR110="",AT110=""),"לא נבדק",IF(AND(OR(AR110="",AR110=AS110),OR(AT110="",AT110=AU110)),"תואם","לא תואם")))</f>
        <v/>
      </c>
      <c r="AW110" s="36">
        <f>IF($A110="","",IF(AND(AV110&lt;&gt;"לא תואם",G110&lt;&gt;"לא ברור"),"אמין","לפרש בזהירות"))</f>
        <v/>
      </c>
    </row>
    <row r="111">
      <c r="A111" s="38" t="n"/>
      <c r="B111" s="38" t="n"/>
      <c r="C111" s="38" t="n"/>
      <c r="D111" s="38" t="n"/>
      <c r="E111" s="38" t="n"/>
      <c r="F111" s="38" t="n"/>
      <c r="G111" s="38" t="n"/>
      <c r="H111" s="38" t="n"/>
      <c r="I111" s="38" t="n"/>
      <c r="J111" s="38" t="n"/>
      <c r="K111" s="38" t="n"/>
      <c r="L111" s="38" t="n"/>
      <c r="M111" s="38" t="n"/>
      <c r="N111" s="38" t="n"/>
      <c r="O111" s="38" t="n"/>
      <c r="P111" s="38" t="n"/>
      <c r="Q111" s="38" t="n"/>
      <c r="R111" s="38" t="n"/>
      <c r="S111" s="38" t="n"/>
      <c r="T111" s="38" t="n"/>
      <c r="U111" s="38" t="n"/>
      <c r="V111" s="38" t="n"/>
      <c r="W111" s="38" t="n"/>
      <c r="X111" s="38" t="n"/>
      <c r="Y111" s="38" t="n"/>
      <c r="Z111" s="38" t="n"/>
      <c r="AA111" s="38" t="n"/>
      <c r="AB111" s="38" t="n"/>
      <c r="AC111" s="38" t="n"/>
      <c r="AD111" s="38" t="n"/>
      <c r="AE111" s="38" t="n"/>
      <c r="AF111" s="36">
        <f>IF($A111="","",$A111&amp;"|"&amp;$C111)</f>
        <v/>
      </c>
      <c r="AG111" s="36">
        <f>IF($A111="","",IF(OR(H111="לא נבדק",H111=""),"לא נבדק",IF(AND(H111="בחר/ה בעצמו/ה",I111="כן",J111="לא"),"מלא",IF(OR(H111="בחר/ה בעצמו/ה",I111="כן"),"חלקי","עדיין לא"))))</f>
        <v/>
      </c>
      <c r="AH111" s="37">
        <f>IF($A111="","",IFERROR(COUNTIF(K111:L111,"כן")/(COUNTIF(K111:L111,"כן")+COUNTIF(K111:L111,"לא")),""))</f>
        <v/>
      </c>
      <c r="AI111" s="37">
        <f>IF($A111="","",IFERROR(COUNTIF(M111:N111,"כן")/(COUNTIF(M111:N111,"כן")+COUNTIF(M111:N111,"לא")),""))</f>
        <v/>
      </c>
      <c r="AJ111" s="37">
        <f>IF($A111="","",IFERROR(COUNTIF(O111:P111,"כן")/(COUNTIF(O111:P111,"כן")+COUNTIF(O111:P111,"לא")),""))</f>
        <v/>
      </c>
      <c r="AK111" s="37">
        <f>IF($A111="","",IFERROR(COUNTIF(Q111:R111,"כן")/(COUNTIF(Q111:R111,"כן")+COUNTIF(Q111:R111,"לא")),""))</f>
        <v/>
      </c>
      <c r="AL111" s="37">
        <f>IF($A111="","",IFERROR(COUNTIF(K111:R111,"כן")/(COUNTIF(K111:R111,"כן")+COUNTIF(K111:R111,"לא")),""))</f>
        <v/>
      </c>
      <c r="AM111" s="37">
        <f>IF($A111="","",IFERROR((COUNTIF(S111:Z111,"רוב הזמן")+0.5*COUNTIF(S111:Z111,"לפעמים"))/(COUNTIF(S111:Z111,"רוב הזמן")+COUNTIF(S111:Z111,"לפעמים")+COUNTIF(S111:Z111,"עדיין לא")),""))</f>
        <v/>
      </c>
      <c r="AN111" s="37">
        <f>IF($A111="","",IFERROR(1-SUMPRODUCT(ABS((K111:R111="כן")-((S111:Z111="רוב הזמן")+0.5*(S111:Z111="לפעמים")))*(((K111:R111="כן")+(K111:R111="לא"))*((S111:Z111="רוב הזמן")+(S111:Z111="לפעמים")+(S111:Z111="עדיין לא"))))/SUMPRODUCT((((K111:R111="כן")+(K111:R111="לא"))*((S111:Z111="רוב הזמן")+(S111:Z111="לפעמים")+(S111:Z111="עדיין לא")))),""))</f>
        <v/>
      </c>
      <c r="AO111" s="36">
        <f>IF($A111="","",SUMPRODUCT((((K111:R111="כן")-((S111:Z111="רוב הזמן")+0.5*(S111:Z111="לפעמים")))&gt;0.01)*(((K111:R111="כן")+(K111:R111="לא"))*((S111:Z111="רוב הזמן")+(S111:Z111="לפעמים")+(S111:Z111="עדיין לא")))))</f>
        <v/>
      </c>
      <c r="AP111" s="36">
        <f>IF($A111="","",SUMPRODUCT(((((S111:Z111="רוב הזמן")+0.5*(S111:Z111="לפעמים"))-(K111:R111="כן"))&gt;0.01)*(((K111:R111="כן")+(K111:R111="לא"))*((S111:Z111="רוב הזמן")+(S111:Z111="לפעמים")+(S111:Z111="עדיין לא")))))</f>
        <v/>
      </c>
      <c r="AQ111" s="36">
        <f>IF($A111="","",COUNTIF(AA111:AC111,"כן"))</f>
        <v/>
      </c>
      <c r="AR111" s="38" t="n"/>
      <c r="AS111" s="38" t="n"/>
      <c r="AT111" s="38" t="n"/>
      <c r="AU111" s="38" t="n"/>
      <c r="AV111" s="36">
        <f>IF($A111="","",IF(AND(AR111="",AT111=""),"לא נבדק",IF(AND(OR(AR111="",AR111=AS111),OR(AT111="",AT111=AU111)),"תואם","לא תואם")))</f>
        <v/>
      </c>
      <c r="AW111" s="36">
        <f>IF($A111="","",IF(AND(AV111&lt;&gt;"לא תואם",G111&lt;&gt;"לא ברור"),"אמין","לפרש בזהירות"))</f>
        <v/>
      </c>
    </row>
    <row r="112">
      <c r="A112" s="38" t="n"/>
      <c r="B112" s="38" t="n"/>
      <c r="C112" s="38" t="n"/>
      <c r="D112" s="38" t="n"/>
      <c r="E112" s="38" t="n"/>
      <c r="F112" s="38" t="n"/>
      <c r="G112" s="38" t="n"/>
      <c r="H112" s="38" t="n"/>
      <c r="I112" s="38" t="n"/>
      <c r="J112" s="38" t="n"/>
      <c r="K112" s="38" t="n"/>
      <c r="L112" s="38" t="n"/>
      <c r="M112" s="38" t="n"/>
      <c r="N112" s="38" t="n"/>
      <c r="O112" s="38" t="n"/>
      <c r="P112" s="38" t="n"/>
      <c r="Q112" s="38" t="n"/>
      <c r="R112" s="38" t="n"/>
      <c r="S112" s="38" t="n"/>
      <c r="T112" s="38" t="n"/>
      <c r="U112" s="38" t="n"/>
      <c r="V112" s="38" t="n"/>
      <c r="W112" s="38" t="n"/>
      <c r="X112" s="38" t="n"/>
      <c r="Y112" s="38" t="n"/>
      <c r="Z112" s="38" t="n"/>
      <c r="AA112" s="38" t="n"/>
      <c r="AB112" s="38" t="n"/>
      <c r="AC112" s="38" t="n"/>
      <c r="AD112" s="38" t="n"/>
      <c r="AE112" s="38" t="n"/>
      <c r="AF112" s="36">
        <f>IF($A112="","",$A112&amp;"|"&amp;$C112)</f>
        <v/>
      </c>
      <c r="AG112" s="36">
        <f>IF($A112="","",IF(OR(H112="לא נבדק",H112=""),"לא נבדק",IF(AND(H112="בחר/ה בעצמו/ה",I112="כן",J112="לא"),"מלא",IF(OR(H112="בחר/ה בעצמו/ה",I112="כן"),"חלקי","עדיין לא"))))</f>
        <v/>
      </c>
      <c r="AH112" s="37">
        <f>IF($A112="","",IFERROR(COUNTIF(K112:L112,"כן")/(COUNTIF(K112:L112,"כן")+COUNTIF(K112:L112,"לא")),""))</f>
        <v/>
      </c>
      <c r="AI112" s="37">
        <f>IF($A112="","",IFERROR(COUNTIF(M112:N112,"כן")/(COUNTIF(M112:N112,"כן")+COUNTIF(M112:N112,"לא")),""))</f>
        <v/>
      </c>
      <c r="AJ112" s="37">
        <f>IF($A112="","",IFERROR(COUNTIF(O112:P112,"כן")/(COUNTIF(O112:P112,"כן")+COUNTIF(O112:P112,"לא")),""))</f>
        <v/>
      </c>
      <c r="AK112" s="37">
        <f>IF($A112="","",IFERROR(COUNTIF(Q112:R112,"כן")/(COUNTIF(Q112:R112,"כן")+COUNTIF(Q112:R112,"לא")),""))</f>
        <v/>
      </c>
      <c r="AL112" s="37">
        <f>IF($A112="","",IFERROR(COUNTIF(K112:R112,"כן")/(COUNTIF(K112:R112,"כן")+COUNTIF(K112:R112,"לא")),""))</f>
        <v/>
      </c>
      <c r="AM112" s="37">
        <f>IF($A112="","",IFERROR((COUNTIF(S112:Z112,"רוב הזמן")+0.5*COUNTIF(S112:Z112,"לפעמים"))/(COUNTIF(S112:Z112,"רוב הזמן")+COUNTIF(S112:Z112,"לפעמים")+COUNTIF(S112:Z112,"עדיין לא")),""))</f>
        <v/>
      </c>
      <c r="AN112" s="37">
        <f>IF($A112="","",IFERROR(1-SUMPRODUCT(ABS((K112:R112="כן")-((S112:Z112="רוב הזמן")+0.5*(S112:Z112="לפעמים")))*(((K112:R112="כן")+(K112:R112="לא"))*((S112:Z112="רוב הזמן")+(S112:Z112="לפעמים")+(S112:Z112="עדיין לא"))))/SUMPRODUCT((((K112:R112="כן")+(K112:R112="לא"))*((S112:Z112="רוב הזמן")+(S112:Z112="לפעמים")+(S112:Z112="עדיין לא")))),""))</f>
        <v/>
      </c>
      <c r="AO112" s="36">
        <f>IF($A112="","",SUMPRODUCT((((K112:R112="כן")-((S112:Z112="רוב הזמן")+0.5*(S112:Z112="לפעמים")))&gt;0.01)*(((K112:R112="כן")+(K112:R112="לא"))*((S112:Z112="רוב הזמן")+(S112:Z112="לפעמים")+(S112:Z112="עדיין לא")))))</f>
        <v/>
      </c>
      <c r="AP112" s="36">
        <f>IF($A112="","",SUMPRODUCT(((((S112:Z112="רוב הזמן")+0.5*(S112:Z112="לפעמים"))-(K112:R112="כן"))&gt;0.01)*(((K112:R112="כן")+(K112:R112="לא"))*((S112:Z112="רוב הזמן")+(S112:Z112="לפעמים")+(S112:Z112="עדיין לא")))))</f>
        <v/>
      </c>
      <c r="AQ112" s="36">
        <f>IF($A112="","",COUNTIF(AA112:AC112,"כן"))</f>
        <v/>
      </c>
      <c r="AR112" s="38" t="n"/>
      <c r="AS112" s="38" t="n"/>
      <c r="AT112" s="38" t="n"/>
      <c r="AU112" s="38" t="n"/>
      <c r="AV112" s="36">
        <f>IF($A112="","",IF(AND(AR112="",AT112=""),"לא נבדק",IF(AND(OR(AR112="",AR112=AS112),OR(AT112="",AT112=AU112)),"תואם","לא תואם")))</f>
        <v/>
      </c>
      <c r="AW112" s="36">
        <f>IF($A112="","",IF(AND(AV112&lt;&gt;"לא תואם",G112&lt;&gt;"לא ברור"),"אמין","לפרש בזהירות"))</f>
        <v/>
      </c>
    </row>
    <row r="113">
      <c r="A113" s="38" t="n"/>
      <c r="B113" s="38" t="n"/>
      <c r="C113" s="38" t="n"/>
      <c r="D113" s="38" t="n"/>
      <c r="E113" s="38" t="n"/>
      <c r="F113" s="38" t="n"/>
      <c r="G113" s="38" t="n"/>
      <c r="H113" s="38" t="n"/>
      <c r="I113" s="38" t="n"/>
      <c r="J113" s="38" t="n"/>
      <c r="K113" s="38" t="n"/>
      <c r="L113" s="38" t="n"/>
      <c r="M113" s="38" t="n"/>
      <c r="N113" s="38" t="n"/>
      <c r="O113" s="38" t="n"/>
      <c r="P113" s="38" t="n"/>
      <c r="Q113" s="38" t="n"/>
      <c r="R113" s="38" t="n"/>
      <c r="S113" s="38" t="n"/>
      <c r="T113" s="38" t="n"/>
      <c r="U113" s="38" t="n"/>
      <c r="V113" s="38" t="n"/>
      <c r="W113" s="38" t="n"/>
      <c r="X113" s="38" t="n"/>
      <c r="Y113" s="38" t="n"/>
      <c r="Z113" s="38" t="n"/>
      <c r="AA113" s="38" t="n"/>
      <c r="AB113" s="38" t="n"/>
      <c r="AC113" s="38" t="n"/>
      <c r="AD113" s="38" t="n"/>
      <c r="AE113" s="38" t="n"/>
      <c r="AF113" s="36">
        <f>IF($A113="","",$A113&amp;"|"&amp;$C113)</f>
        <v/>
      </c>
      <c r="AG113" s="36">
        <f>IF($A113="","",IF(OR(H113="לא נבדק",H113=""),"לא נבדק",IF(AND(H113="בחר/ה בעצמו/ה",I113="כן",J113="לא"),"מלא",IF(OR(H113="בחר/ה בעצמו/ה",I113="כן"),"חלקי","עדיין לא"))))</f>
        <v/>
      </c>
      <c r="AH113" s="37">
        <f>IF($A113="","",IFERROR(COUNTIF(K113:L113,"כן")/(COUNTIF(K113:L113,"כן")+COUNTIF(K113:L113,"לא")),""))</f>
        <v/>
      </c>
      <c r="AI113" s="37">
        <f>IF($A113="","",IFERROR(COUNTIF(M113:N113,"כן")/(COUNTIF(M113:N113,"כן")+COUNTIF(M113:N113,"לא")),""))</f>
        <v/>
      </c>
      <c r="AJ113" s="37">
        <f>IF($A113="","",IFERROR(COUNTIF(O113:P113,"כן")/(COUNTIF(O113:P113,"כן")+COUNTIF(O113:P113,"לא")),""))</f>
        <v/>
      </c>
      <c r="AK113" s="37">
        <f>IF($A113="","",IFERROR(COUNTIF(Q113:R113,"כן")/(COUNTIF(Q113:R113,"כן")+COUNTIF(Q113:R113,"לא")),""))</f>
        <v/>
      </c>
      <c r="AL113" s="37">
        <f>IF($A113="","",IFERROR(COUNTIF(K113:R113,"כן")/(COUNTIF(K113:R113,"כן")+COUNTIF(K113:R113,"לא")),""))</f>
        <v/>
      </c>
      <c r="AM113" s="37">
        <f>IF($A113="","",IFERROR((COUNTIF(S113:Z113,"רוב הזמן")+0.5*COUNTIF(S113:Z113,"לפעמים"))/(COUNTIF(S113:Z113,"רוב הזמן")+COUNTIF(S113:Z113,"לפעמים")+COUNTIF(S113:Z113,"עדיין לא")),""))</f>
        <v/>
      </c>
      <c r="AN113" s="37">
        <f>IF($A113="","",IFERROR(1-SUMPRODUCT(ABS((K113:R113="כן")-((S113:Z113="רוב הזמן")+0.5*(S113:Z113="לפעמים")))*(((K113:R113="כן")+(K113:R113="לא"))*((S113:Z113="רוב הזמן")+(S113:Z113="לפעמים")+(S113:Z113="עדיין לא"))))/SUMPRODUCT((((K113:R113="כן")+(K113:R113="לא"))*((S113:Z113="רוב הזמן")+(S113:Z113="לפעמים")+(S113:Z113="עדיין לא")))),""))</f>
        <v/>
      </c>
      <c r="AO113" s="36">
        <f>IF($A113="","",SUMPRODUCT((((K113:R113="כן")-((S113:Z113="רוב הזמן")+0.5*(S113:Z113="לפעמים")))&gt;0.01)*(((K113:R113="כן")+(K113:R113="לא"))*((S113:Z113="רוב הזמן")+(S113:Z113="לפעמים")+(S113:Z113="עדיין לא")))))</f>
        <v/>
      </c>
      <c r="AP113" s="36">
        <f>IF($A113="","",SUMPRODUCT(((((S113:Z113="רוב הזמן")+0.5*(S113:Z113="לפעמים"))-(K113:R113="כן"))&gt;0.01)*(((K113:R113="כן")+(K113:R113="לא"))*((S113:Z113="רוב הזמן")+(S113:Z113="לפעמים")+(S113:Z113="עדיין לא")))))</f>
        <v/>
      </c>
      <c r="AQ113" s="36">
        <f>IF($A113="","",COUNTIF(AA113:AC113,"כן"))</f>
        <v/>
      </c>
      <c r="AR113" s="38" t="n"/>
      <c r="AS113" s="38" t="n"/>
      <c r="AT113" s="38" t="n"/>
      <c r="AU113" s="38" t="n"/>
      <c r="AV113" s="36">
        <f>IF($A113="","",IF(AND(AR113="",AT113=""),"לא נבדק",IF(AND(OR(AR113="",AR113=AS113),OR(AT113="",AT113=AU113)),"תואם","לא תואם")))</f>
        <v/>
      </c>
      <c r="AW113" s="36">
        <f>IF($A113="","",IF(AND(AV113&lt;&gt;"לא תואם",G113&lt;&gt;"לא ברור"),"אמין","לפרש בזהירות"))</f>
        <v/>
      </c>
    </row>
    <row r="114">
      <c r="A114" s="38" t="n"/>
      <c r="B114" s="38" t="n"/>
      <c r="C114" s="38" t="n"/>
      <c r="D114" s="38" t="n"/>
      <c r="E114" s="38" t="n"/>
      <c r="F114" s="38" t="n"/>
      <c r="G114" s="38" t="n"/>
      <c r="H114" s="38" t="n"/>
      <c r="I114" s="38" t="n"/>
      <c r="J114" s="38" t="n"/>
      <c r="K114" s="38" t="n"/>
      <c r="L114" s="38" t="n"/>
      <c r="M114" s="38" t="n"/>
      <c r="N114" s="38" t="n"/>
      <c r="O114" s="38" t="n"/>
      <c r="P114" s="38" t="n"/>
      <c r="Q114" s="38" t="n"/>
      <c r="R114" s="38" t="n"/>
      <c r="S114" s="38" t="n"/>
      <c r="T114" s="38" t="n"/>
      <c r="U114" s="38" t="n"/>
      <c r="V114" s="38" t="n"/>
      <c r="W114" s="38" t="n"/>
      <c r="X114" s="38" t="n"/>
      <c r="Y114" s="38" t="n"/>
      <c r="Z114" s="38" t="n"/>
      <c r="AA114" s="38" t="n"/>
      <c r="AB114" s="38" t="n"/>
      <c r="AC114" s="38" t="n"/>
      <c r="AD114" s="38" t="n"/>
      <c r="AE114" s="38" t="n"/>
      <c r="AF114" s="36">
        <f>IF($A114="","",$A114&amp;"|"&amp;$C114)</f>
        <v/>
      </c>
      <c r="AG114" s="36">
        <f>IF($A114="","",IF(OR(H114="לא נבדק",H114=""),"לא נבדק",IF(AND(H114="בחר/ה בעצמו/ה",I114="כן",J114="לא"),"מלא",IF(OR(H114="בחר/ה בעצמו/ה",I114="כן"),"חלקי","עדיין לא"))))</f>
        <v/>
      </c>
      <c r="AH114" s="37">
        <f>IF($A114="","",IFERROR(COUNTIF(K114:L114,"כן")/(COUNTIF(K114:L114,"כן")+COUNTIF(K114:L114,"לא")),""))</f>
        <v/>
      </c>
      <c r="AI114" s="37">
        <f>IF($A114="","",IFERROR(COUNTIF(M114:N114,"כן")/(COUNTIF(M114:N114,"כן")+COUNTIF(M114:N114,"לא")),""))</f>
        <v/>
      </c>
      <c r="AJ114" s="37">
        <f>IF($A114="","",IFERROR(COUNTIF(O114:P114,"כן")/(COUNTIF(O114:P114,"כן")+COUNTIF(O114:P114,"לא")),""))</f>
        <v/>
      </c>
      <c r="AK114" s="37">
        <f>IF($A114="","",IFERROR(COUNTIF(Q114:R114,"כן")/(COUNTIF(Q114:R114,"כן")+COUNTIF(Q114:R114,"לא")),""))</f>
        <v/>
      </c>
      <c r="AL114" s="37">
        <f>IF($A114="","",IFERROR(COUNTIF(K114:R114,"כן")/(COUNTIF(K114:R114,"כן")+COUNTIF(K114:R114,"לא")),""))</f>
        <v/>
      </c>
      <c r="AM114" s="37">
        <f>IF($A114="","",IFERROR((COUNTIF(S114:Z114,"רוב הזמן")+0.5*COUNTIF(S114:Z114,"לפעמים"))/(COUNTIF(S114:Z114,"רוב הזמן")+COUNTIF(S114:Z114,"לפעמים")+COUNTIF(S114:Z114,"עדיין לא")),""))</f>
        <v/>
      </c>
      <c r="AN114" s="37">
        <f>IF($A114="","",IFERROR(1-SUMPRODUCT(ABS((K114:R114="כן")-((S114:Z114="רוב הזמן")+0.5*(S114:Z114="לפעמים")))*(((K114:R114="כן")+(K114:R114="לא"))*((S114:Z114="רוב הזמן")+(S114:Z114="לפעמים")+(S114:Z114="עדיין לא"))))/SUMPRODUCT((((K114:R114="כן")+(K114:R114="לא"))*((S114:Z114="רוב הזמן")+(S114:Z114="לפעמים")+(S114:Z114="עדיין לא")))),""))</f>
        <v/>
      </c>
      <c r="AO114" s="36">
        <f>IF($A114="","",SUMPRODUCT((((K114:R114="כן")-((S114:Z114="רוב הזמן")+0.5*(S114:Z114="לפעמים")))&gt;0.01)*(((K114:R114="כן")+(K114:R114="לא"))*((S114:Z114="רוב הזמן")+(S114:Z114="לפעמים")+(S114:Z114="עדיין לא")))))</f>
        <v/>
      </c>
      <c r="AP114" s="36">
        <f>IF($A114="","",SUMPRODUCT(((((S114:Z114="רוב הזמן")+0.5*(S114:Z114="לפעמים"))-(K114:R114="כן"))&gt;0.01)*(((K114:R114="כן")+(K114:R114="לא"))*((S114:Z114="רוב הזמן")+(S114:Z114="לפעמים")+(S114:Z114="עדיין לא")))))</f>
        <v/>
      </c>
      <c r="AQ114" s="36">
        <f>IF($A114="","",COUNTIF(AA114:AC114,"כן"))</f>
        <v/>
      </c>
      <c r="AR114" s="38" t="n"/>
      <c r="AS114" s="38" t="n"/>
      <c r="AT114" s="38" t="n"/>
      <c r="AU114" s="38" t="n"/>
      <c r="AV114" s="36">
        <f>IF($A114="","",IF(AND(AR114="",AT114=""),"לא נבדק",IF(AND(OR(AR114="",AR114=AS114),OR(AT114="",AT114=AU114)),"תואם","לא תואם")))</f>
        <v/>
      </c>
      <c r="AW114" s="36">
        <f>IF($A114="","",IF(AND(AV114&lt;&gt;"לא תואם",G114&lt;&gt;"לא ברור"),"אמין","לפרש בזהירות"))</f>
        <v/>
      </c>
    </row>
    <row r="115">
      <c r="A115" s="38" t="n"/>
      <c r="B115" s="38" t="n"/>
      <c r="C115" s="38" t="n"/>
      <c r="D115" s="38" t="n"/>
      <c r="E115" s="38" t="n"/>
      <c r="F115" s="38" t="n"/>
      <c r="G115" s="38" t="n"/>
      <c r="H115" s="38" t="n"/>
      <c r="I115" s="38" t="n"/>
      <c r="J115" s="38" t="n"/>
      <c r="K115" s="38" t="n"/>
      <c r="L115" s="38" t="n"/>
      <c r="M115" s="38" t="n"/>
      <c r="N115" s="38" t="n"/>
      <c r="O115" s="38" t="n"/>
      <c r="P115" s="38" t="n"/>
      <c r="Q115" s="38" t="n"/>
      <c r="R115" s="38" t="n"/>
      <c r="S115" s="38" t="n"/>
      <c r="T115" s="38" t="n"/>
      <c r="U115" s="38" t="n"/>
      <c r="V115" s="38" t="n"/>
      <c r="W115" s="38" t="n"/>
      <c r="X115" s="38" t="n"/>
      <c r="Y115" s="38" t="n"/>
      <c r="Z115" s="38" t="n"/>
      <c r="AA115" s="38" t="n"/>
      <c r="AB115" s="38" t="n"/>
      <c r="AC115" s="38" t="n"/>
      <c r="AD115" s="38" t="n"/>
      <c r="AE115" s="38" t="n"/>
      <c r="AF115" s="36">
        <f>IF($A115="","",$A115&amp;"|"&amp;$C115)</f>
        <v/>
      </c>
      <c r="AG115" s="36">
        <f>IF($A115="","",IF(OR(H115="לא נבדק",H115=""),"לא נבדק",IF(AND(H115="בחר/ה בעצמו/ה",I115="כן",J115="לא"),"מלא",IF(OR(H115="בחר/ה בעצמו/ה",I115="כן"),"חלקי","עדיין לא"))))</f>
        <v/>
      </c>
      <c r="AH115" s="37">
        <f>IF($A115="","",IFERROR(COUNTIF(K115:L115,"כן")/(COUNTIF(K115:L115,"כן")+COUNTIF(K115:L115,"לא")),""))</f>
        <v/>
      </c>
      <c r="AI115" s="37">
        <f>IF($A115="","",IFERROR(COUNTIF(M115:N115,"כן")/(COUNTIF(M115:N115,"כן")+COUNTIF(M115:N115,"לא")),""))</f>
        <v/>
      </c>
      <c r="AJ115" s="37">
        <f>IF($A115="","",IFERROR(COUNTIF(O115:P115,"כן")/(COUNTIF(O115:P115,"כן")+COUNTIF(O115:P115,"לא")),""))</f>
        <v/>
      </c>
      <c r="AK115" s="37">
        <f>IF($A115="","",IFERROR(COUNTIF(Q115:R115,"כן")/(COUNTIF(Q115:R115,"כן")+COUNTIF(Q115:R115,"לא")),""))</f>
        <v/>
      </c>
      <c r="AL115" s="37">
        <f>IF($A115="","",IFERROR(COUNTIF(K115:R115,"כן")/(COUNTIF(K115:R115,"כן")+COUNTIF(K115:R115,"לא")),""))</f>
        <v/>
      </c>
      <c r="AM115" s="37">
        <f>IF($A115="","",IFERROR((COUNTIF(S115:Z115,"רוב הזמן")+0.5*COUNTIF(S115:Z115,"לפעמים"))/(COUNTIF(S115:Z115,"רוב הזמן")+COUNTIF(S115:Z115,"לפעמים")+COUNTIF(S115:Z115,"עדיין לא")),""))</f>
        <v/>
      </c>
      <c r="AN115" s="37">
        <f>IF($A115="","",IFERROR(1-SUMPRODUCT(ABS((K115:R115="כן")-((S115:Z115="רוב הזמן")+0.5*(S115:Z115="לפעמים")))*(((K115:R115="כן")+(K115:R115="לא"))*((S115:Z115="רוב הזמן")+(S115:Z115="לפעמים")+(S115:Z115="עדיין לא"))))/SUMPRODUCT((((K115:R115="כן")+(K115:R115="לא"))*((S115:Z115="רוב הזמן")+(S115:Z115="לפעמים")+(S115:Z115="עדיין לא")))),""))</f>
        <v/>
      </c>
      <c r="AO115" s="36">
        <f>IF($A115="","",SUMPRODUCT((((K115:R115="כן")-((S115:Z115="רוב הזמן")+0.5*(S115:Z115="לפעמים")))&gt;0.01)*(((K115:R115="כן")+(K115:R115="לא"))*((S115:Z115="רוב הזמן")+(S115:Z115="לפעמים")+(S115:Z115="עדיין לא")))))</f>
        <v/>
      </c>
      <c r="AP115" s="36">
        <f>IF($A115="","",SUMPRODUCT(((((S115:Z115="רוב הזמן")+0.5*(S115:Z115="לפעמים"))-(K115:R115="כן"))&gt;0.01)*(((K115:R115="כן")+(K115:R115="לא"))*((S115:Z115="רוב הזמן")+(S115:Z115="לפעמים")+(S115:Z115="עדיין לא")))))</f>
        <v/>
      </c>
      <c r="AQ115" s="36">
        <f>IF($A115="","",COUNTIF(AA115:AC115,"כן"))</f>
        <v/>
      </c>
      <c r="AR115" s="38" t="n"/>
      <c r="AS115" s="38" t="n"/>
      <c r="AT115" s="38" t="n"/>
      <c r="AU115" s="38" t="n"/>
      <c r="AV115" s="36">
        <f>IF($A115="","",IF(AND(AR115="",AT115=""),"לא נבדק",IF(AND(OR(AR115="",AR115=AS115),OR(AT115="",AT115=AU115)),"תואם","לא תואם")))</f>
        <v/>
      </c>
      <c r="AW115" s="36">
        <f>IF($A115="","",IF(AND(AV115&lt;&gt;"לא תואם",G115&lt;&gt;"לא ברור"),"אמין","לפרש בזהירות"))</f>
        <v/>
      </c>
    </row>
    <row r="116">
      <c r="A116" s="38" t="n"/>
      <c r="B116" s="38" t="n"/>
      <c r="C116" s="38" t="n"/>
      <c r="D116" s="38" t="n"/>
      <c r="E116" s="38" t="n"/>
      <c r="F116" s="38" t="n"/>
      <c r="G116" s="38" t="n"/>
      <c r="H116" s="38" t="n"/>
      <c r="I116" s="38" t="n"/>
      <c r="J116" s="38" t="n"/>
      <c r="K116" s="38" t="n"/>
      <c r="L116" s="38" t="n"/>
      <c r="M116" s="38" t="n"/>
      <c r="N116" s="38" t="n"/>
      <c r="O116" s="38" t="n"/>
      <c r="P116" s="38" t="n"/>
      <c r="Q116" s="38" t="n"/>
      <c r="R116" s="38" t="n"/>
      <c r="S116" s="38" t="n"/>
      <c r="T116" s="38" t="n"/>
      <c r="U116" s="38" t="n"/>
      <c r="V116" s="38" t="n"/>
      <c r="W116" s="38" t="n"/>
      <c r="X116" s="38" t="n"/>
      <c r="Y116" s="38" t="n"/>
      <c r="Z116" s="38" t="n"/>
      <c r="AA116" s="38" t="n"/>
      <c r="AB116" s="38" t="n"/>
      <c r="AC116" s="38" t="n"/>
      <c r="AD116" s="38" t="n"/>
      <c r="AE116" s="38" t="n"/>
      <c r="AF116" s="36">
        <f>IF($A116="","",$A116&amp;"|"&amp;$C116)</f>
        <v/>
      </c>
      <c r="AG116" s="36">
        <f>IF($A116="","",IF(OR(H116="לא נבדק",H116=""),"לא נבדק",IF(AND(H116="בחר/ה בעצמו/ה",I116="כן",J116="לא"),"מלא",IF(OR(H116="בחר/ה בעצמו/ה",I116="כן"),"חלקי","עדיין לא"))))</f>
        <v/>
      </c>
      <c r="AH116" s="37">
        <f>IF($A116="","",IFERROR(COUNTIF(K116:L116,"כן")/(COUNTIF(K116:L116,"כן")+COUNTIF(K116:L116,"לא")),""))</f>
        <v/>
      </c>
      <c r="AI116" s="37">
        <f>IF($A116="","",IFERROR(COUNTIF(M116:N116,"כן")/(COUNTIF(M116:N116,"כן")+COUNTIF(M116:N116,"לא")),""))</f>
        <v/>
      </c>
      <c r="AJ116" s="37">
        <f>IF($A116="","",IFERROR(COUNTIF(O116:P116,"כן")/(COUNTIF(O116:P116,"כן")+COUNTIF(O116:P116,"לא")),""))</f>
        <v/>
      </c>
      <c r="AK116" s="37">
        <f>IF($A116="","",IFERROR(COUNTIF(Q116:R116,"כן")/(COUNTIF(Q116:R116,"כן")+COUNTIF(Q116:R116,"לא")),""))</f>
        <v/>
      </c>
      <c r="AL116" s="37">
        <f>IF($A116="","",IFERROR(COUNTIF(K116:R116,"כן")/(COUNTIF(K116:R116,"כן")+COUNTIF(K116:R116,"לא")),""))</f>
        <v/>
      </c>
      <c r="AM116" s="37">
        <f>IF($A116="","",IFERROR((COUNTIF(S116:Z116,"רוב הזמן")+0.5*COUNTIF(S116:Z116,"לפעמים"))/(COUNTIF(S116:Z116,"רוב הזמן")+COUNTIF(S116:Z116,"לפעמים")+COUNTIF(S116:Z116,"עדיין לא")),""))</f>
        <v/>
      </c>
      <c r="AN116" s="37">
        <f>IF($A116="","",IFERROR(1-SUMPRODUCT(ABS((K116:R116="כן")-((S116:Z116="רוב הזמן")+0.5*(S116:Z116="לפעמים")))*(((K116:R116="כן")+(K116:R116="לא"))*((S116:Z116="רוב הזמן")+(S116:Z116="לפעמים")+(S116:Z116="עדיין לא"))))/SUMPRODUCT((((K116:R116="כן")+(K116:R116="לא"))*((S116:Z116="רוב הזמן")+(S116:Z116="לפעמים")+(S116:Z116="עדיין לא")))),""))</f>
        <v/>
      </c>
      <c r="AO116" s="36">
        <f>IF($A116="","",SUMPRODUCT((((K116:R116="כן")-((S116:Z116="רוב הזמן")+0.5*(S116:Z116="לפעמים")))&gt;0.01)*(((K116:R116="כן")+(K116:R116="לא"))*((S116:Z116="רוב הזמן")+(S116:Z116="לפעמים")+(S116:Z116="עדיין לא")))))</f>
        <v/>
      </c>
      <c r="AP116" s="36">
        <f>IF($A116="","",SUMPRODUCT(((((S116:Z116="רוב הזמן")+0.5*(S116:Z116="לפעמים"))-(K116:R116="כן"))&gt;0.01)*(((K116:R116="כן")+(K116:R116="לא"))*((S116:Z116="רוב הזמן")+(S116:Z116="לפעמים")+(S116:Z116="עדיין לא")))))</f>
        <v/>
      </c>
      <c r="AQ116" s="36">
        <f>IF($A116="","",COUNTIF(AA116:AC116,"כן"))</f>
        <v/>
      </c>
      <c r="AR116" s="38" t="n"/>
      <c r="AS116" s="38" t="n"/>
      <c r="AT116" s="38" t="n"/>
      <c r="AU116" s="38" t="n"/>
      <c r="AV116" s="36">
        <f>IF($A116="","",IF(AND(AR116="",AT116=""),"לא נבדק",IF(AND(OR(AR116="",AR116=AS116),OR(AT116="",AT116=AU116)),"תואם","לא תואם")))</f>
        <v/>
      </c>
      <c r="AW116" s="36">
        <f>IF($A116="","",IF(AND(AV116&lt;&gt;"לא תואם",G116&lt;&gt;"לא ברור"),"אמין","לפרש בזהירות"))</f>
        <v/>
      </c>
    </row>
    <row r="117">
      <c r="A117" s="38" t="n"/>
      <c r="B117" s="38" t="n"/>
      <c r="C117" s="38" t="n"/>
      <c r="D117" s="38" t="n"/>
      <c r="E117" s="38" t="n"/>
      <c r="F117" s="38" t="n"/>
      <c r="G117" s="38" t="n"/>
      <c r="H117" s="38" t="n"/>
      <c r="I117" s="38" t="n"/>
      <c r="J117" s="38" t="n"/>
      <c r="K117" s="38" t="n"/>
      <c r="L117" s="38" t="n"/>
      <c r="M117" s="38" t="n"/>
      <c r="N117" s="38" t="n"/>
      <c r="O117" s="38" t="n"/>
      <c r="P117" s="38" t="n"/>
      <c r="Q117" s="38" t="n"/>
      <c r="R117" s="38" t="n"/>
      <c r="S117" s="38" t="n"/>
      <c r="T117" s="38" t="n"/>
      <c r="U117" s="38" t="n"/>
      <c r="V117" s="38" t="n"/>
      <c r="W117" s="38" t="n"/>
      <c r="X117" s="38" t="n"/>
      <c r="Y117" s="38" t="n"/>
      <c r="Z117" s="38" t="n"/>
      <c r="AA117" s="38" t="n"/>
      <c r="AB117" s="38" t="n"/>
      <c r="AC117" s="38" t="n"/>
      <c r="AD117" s="38" t="n"/>
      <c r="AE117" s="38" t="n"/>
      <c r="AF117" s="36">
        <f>IF($A117="","",$A117&amp;"|"&amp;$C117)</f>
        <v/>
      </c>
      <c r="AG117" s="36">
        <f>IF($A117="","",IF(OR(H117="לא נבדק",H117=""),"לא נבדק",IF(AND(H117="בחר/ה בעצמו/ה",I117="כן",J117="לא"),"מלא",IF(OR(H117="בחר/ה בעצמו/ה",I117="כן"),"חלקי","עדיין לא"))))</f>
        <v/>
      </c>
      <c r="AH117" s="37">
        <f>IF($A117="","",IFERROR(COUNTIF(K117:L117,"כן")/(COUNTIF(K117:L117,"כן")+COUNTIF(K117:L117,"לא")),""))</f>
        <v/>
      </c>
      <c r="AI117" s="37">
        <f>IF($A117="","",IFERROR(COUNTIF(M117:N117,"כן")/(COUNTIF(M117:N117,"כן")+COUNTIF(M117:N117,"לא")),""))</f>
        <v/>
      </c>
      <c r="AJ117" s="37">
        <f>IF($A117="","",IFERROR(COUNTIF(O117:P117,"כן")/(COUNTIF(O117:P117,"כן")+COUNTIF(O117:P117,"לא")),""))</f>
        <v/>
      </c>
      <c r="AK117" s="37">
        <f>IF($A117="","",IFERROR(COUNTIF(Q117:R117,"כן")/(COUNTIF(Q117:R117,"כן")+COUNTIF(Q117:R117,"לא")),""))</f>
        <v/>
      </c>
      <c r="AL117" s="37">
        <f>IF($A117="","",IFERROR(COUNTIF(K117:R117,"כן")/(COUNTIF(K117:R117,"כן")+COUNTIF(K117:R117,"לא")),""))</f>
        <v/>
      </c>
      <c r="AM117" s="37">
        <f>IF($A117="","",IFERROR((COUNTIF(S117:Z117,"רוב הזמן")+0.5*COUNTIF(S117:Z117,"לפעמים"))/(COUNTIF(S117:Z117,"רוב הזמן")+COUNTIF(S117:Z117,"לפעמים")+COUNTIF(S117:Z117,"עדיין לא")),""))</f>
        <v/>
      </c>
      <c r="AN117" s="37">
        <f>IF($A117="","",IFERROR(1-SUMPRODUCT(ABS((K117:R117="כן")-((S117:Z117="רוב הזמן")+0.5*(S117:Z117="לפעמים")))*(((K117:R117="כן")+(K117:R117="לא"))*((S117:Z117="רוב הזמן")+(S117:Z117="לפעמים")+(S117:Z117="עדיין לא"))))/SUMPRODUCT((((K117:R117="כן")+(K117:R117="לא"))*((S117:Z117="רוב הזמן")+(S117:Z117="לפעמים")+(S117:Z117="עדיין לא")))),""))</f>
        <v/>
      </c>
      <c r="AO117" s="36">
        <f>IF($A117="","",SUMPRODUCT((((K117:R117="כן")-((S117:Z117="רוב הזמן")+0.5*(S117:Z117="לפעמים")))&gt;0.01)*(((K117:R117="כן")+(K117:R117="לא"))*((S117:Z117="רוב הזמן")+(S117:Z117="לפעמים")+(S117:Z117="עדיין לא")))))</f>
        <v/>
      </c>
      <c r="AP117" s="36">
        <f>IF($A117="","",SUMPRODUCT(((((S117:Z117="רוב הזמן")+0.5*(S117:Z117="לפעמים"))-(K117:R117="כן"))&gt;0.01)*(((K117:R117="כן")+(K117:R117="לא"))*((S117:Z117="רוב הזמן")+(S117:Z117="לפעמים")+(S117:Z117="עדיין לא")))))</f>
        <v/>
      </c>
      <c r="AQ117" s="36">
        <f>IF($A117="","",COUNTIF(AA117:AC117,"כן"))</f>
        <v/>
      </c>
      <c r="AR117" s="38" t="n"/>
      <c r="AS117" s="38" t="n"/>
      <c r="AT117" s="38" t="n"/>
      <c r="AU117" s="38" t="n"/>
      <c r="AV117" s="36">
        <f>IF($A117="","",IF(AND(AR117="",AT117=""),"לא נבדק",IF(AND(OR(AR117="",AR117=AS117),OR(AT117="",AT117=AU117)),"תואם","לא תואם")))</f>
        <v/>
      </c>
      <c r="AW117" s="36">
        <f>IF($A117="","",IF(AND(AV117&lt;&gt;"לא תואם",G117&lt;&gt;"לא ברור"),"אמין","לפרש בזהירות"))</f>
        <v/>
      </c>
    </row>
    <row r="118">
      <c r="A118" s="38" t="n"/>
      <c r="B118" s="38" t="n"/>
      <c r="C118" s="38" t="n"/>
      <c r="D118" s="38" t="n"/>
      <c r="E118" s="38" t="n"/>
      <c r="F118" s="38" t="n"/>
      <c r="G118" s="38" t="n"/>
      <c r="H118" s="38" t="n"/>
      <c r="I118" s="38" t="n"/>
      <c r="J118" s="38" t="n"/>
      <c r="K118" s="38" t="n"/>
      <c r="L118" s="38" t="n"/>
      <c r="M118" s="38" t="n"/>
      <c r="N118" s="38" t="n"/>
      <c r="O118" s="38" t="n"/>
      <c r="P118" s="38" t="n"/>
      <c r="Q118" s="38" t="n"/>
      <c r="R118" s="38" t="n"/>
      <c r="S118" s="38" t="n"/>
      <c r="T118" s="38" t="n"/>
      <c r="U118" s="38" t="n"/>
      <c r="V118" s="38" t="n"/>
      <c r="W118" s="38" t="n"/>
      <c r="X118" s="38" t="n"/>
      <c r="Y118" s="38" t="n"/>
      <c r="Z118" s="38" t="n"/>
      <c r="AA118" s="38" t="n"/>
      <c r="AB118" s="38" t="n"/>
      <c r="AC118" s="38" t="n"/>
      <c r="AD118" s="38" t="n"/>
      <c r="AE118" s="38" t="n"/>
      <c r="AF118" s="36">
        <f>IF($A118="","",$A118&amp;"|"&amp;$C118)</f>
        <v/>
      </c>
      <c r="AG118" s="36">
        <f>IF($A118="","",IF(OR(H118="לא נבדק",H118=""),"לא נבדק",IF(AND(H118="בחר/ה בעצמו/ה",I118="כן",J118="לא"),"מלא",IF(OR(H118="בחר/ה בעצמו/ה",I118="כן"),"חלקי","עדיין לא"))))</f>
        <v/>
      </c>
      <c r="AH118" s="37">
        <f>IF($A118="","",IFERROR(COUNTIF(K118:L118,"כן")/(COUNTIF(K118:L118,"כן")+COUNTIF(K118:L118,"לא")),""))</f>
        <v/>
      </c>
      <c r="AI118" s="37">
        <f>IF($A118="","",IFERROR(COUNTIF(M118:N118,"כן")/(COUNTIF(M118:N118,"כן")+COUNTIF(M118:N118,"לא")),""))</f>
        <v/>
      </c>
      <c r="AJ118" s="37">
        <f>IF($A118="","",IFERROR(COUNTIF(O118:P118,"כן")/(COUNTIF(O118:P118,"כן")+COUNTIF(O118:P118,"לא")),""))</f>
        <v/>
      </c>
      <c r="AK118" s="37">
        <f>IF($A118="","",IFERROR(COUNTIF(Q118:R118,"כן")/(COUNTIF(Q118:R118,"כן")+COUNTIF(Q118:R118,"לא")),""))</f>
        <v/>
      </c>
      <c r="AL118" s="37">
        <f>IF($A118="","",IFERROR(COUNTIF(K118:R118,"כן")/(COUNTIF(K118:R118,"כן")+COUNTIF(K118:R118,"לא")),""))</f>
        <v/>
      </c>
      <c r="AM118" s="37">
        <f>IF($A118="","",IFERROR((COUNTIF(S118:Z118,"רוב הזמן")+0.5*COUNTIF(S118:Z118,"לפעמים"))/(COUNTIF(S118:Z118,"רוב הזמן")+COUNTIF(S118:Z118,"לפעמים")+COUNTIF(S118:Z118,"עדיין לא")),""))</f>
        <v/>
      </c>
      <c r="AN118" s="37">
        <f>IF($A118="","",IFERROR(1-SUMPRODUCT(ABS((K118:R118="כן")-((S118:Z118="רוב הזמן")+0.5*(S118:Z118="לפעמים")))*(((K118:R118="כן")+(K118:R118="לא"))*((S118:Z118="רוב הזמן")+(S118:Z118="לפעמים")+(S118:Z118="עדיין לא"))))/SUMPRODUCT((((K118:R118="כן")+(K118:R118="לא"))*((S118:Z118="רוב הזמן")+(S118:Z118="לפעמים")+(S118:Z118="עדיין לא")))),""))</f>
        <v/>
      </c>
      <c r="AO118" s="36">
        <f>IF($A118="","",SUMPRODUCT((((K118:R118="כן")-((S118:Z118="רוב הזמן")+0.5*(S118:Z118="לפעמים")))&gt;0.01)*(((K118:R118="כן")+(K118:R118="לא"))*((S118:Z118="רוב הזמן")+(S118:Z118="לפעמים")+(S118:Z118="עדיין לא")))))</f>
        <v/>
      </c>
      <c r="AP118" s="36">
        <f>IF($A118="","",SUMPRODUCT(((((S118:Z118="רוב הזמן")+0.5*(S118:Z118="לפעמים"))-(K118:R118="כן"))&gt;0.01)*(((K118:R118="כן")+(K118:R118="לא"))*((S118:Z118="רוב הזמן")+(S118:Z118="לפעמים")+(S118:Z118="עדיין לא")))))</f>
        <v/>
      </c>
      <c r="AQ118" s="36">
        <f>IF($A118="","",COUNTIF(AA118:AC118,"כן"))</f>
        <v/>
      </c>
      <c r="AR118" s="38" t="n"/>
      <c r="AS118" s="38" t="n"/>
      <c r="AT118" s="38" t="n"/>
      <c r="AU118" s="38" t="n"/>
      <c r="AV118" s="36">
        <f>IF($A118="","",IF(AND(AR118="",AT118=""),"לא נבדק",IF(AND(OR(AR118="",AR118=AS118),OR(AT118="",AT118=AU118)),"תואם","לא תואם")))</f>
        <v/>
      </c>
      <c r="AW118" s="36">
        <f>IF($A118="","",IF(AND(AV118&lt;&gt;"לא תואם",G118&lt;&gt;"לא ברור"),"אמין","לפרש בזהירות"))</f>
        <v/>
      </c>
    </row>
    <row r="119">
      <c r="A119" s="38" t="n"/>
      <c r="B119" s="38" t="n"/>
      <c r="C119" s="38" t="n"/>
      <c r="D119" s="38" t="n"/>
      <c r="E119" s="38" t="n"/>
      <c r="F119" s="38" t="n"/>
      <c r="G119" s="38" t="n"/>
      <c r="H119" s="38" t="n"/>
      <c r="I119" s="38" t="n"/>
      <c r="J119" s="38" t="n"/>
      <c r="K119" s="38" t="n"/>
      <c r="L119" s="38" t="n"/>
      <c r="M119" s="38" t="n"/>
      <c r="N119" s="38" t="n"/>
      <c r="O119" s="38" t="n"/>
      <c r="P119" s="38" t="n"/>
      <c r="Q119" s="38" t="n"/>
      <c r="R119" s="38" t="n"/>
      <c r="S119" s="38" t="n"/>
      <c r="T119" s="38" t="n"/>
      <c r="U119" s="38" t="n"/>
      <c r="V119" s="38" t="n"/>
      <c r="W119" s="38" t="n"/>
      <c r="X119" s="38" t="n"/>
      <c r="Y119" s="38" t="n"/>
      <c r="Z119" s="38" t="n"/>
      <c r="AA119" s="38" t="n"/>
      <c r="AB119" s="38" t="n"/>
      <c r="AC119" s="38" t="n"/>
      <c r="AD119" s="38" t="n"/>
      <c r="AE119" s="38" t="n"/>
      <c r="AF119" s="36">
        <f>IF($A119="","",$A119&amp;"|"&amp;$C119)</f>
        <v/>
      </c>
      <c r="AG119" s="36">
        <f>IF($A119="","",IF(OR(H119="לא נבדק",H119=""),"לא נבדק",IF(AND(H119="בחר/ה בעצמו/ה",I119="כן",J119="לא"),"מלא",IF(OR(H119="בחר/ה בעצמו/ה",I119="כן"),"חלקי","עדיין לא"))))</f>
        <v/>
      </c>
      <c r="AH119" s="37">
        <f>IF($A119="","",IFERROR(COUNTIF(K119:L119,"כן")/(COUNTIF(K119:L119,"כן")+COUNTIF(K119:L119,"לא")),""))</f>
        <v/>
      </c>
      <c r="AI119" s="37">
        <f>IF($A119="","",IFERROR(COUNTIF(M119:N119,"כן")/(COUNTIF(M119:N119,"כן")+COUNTIF(M119:N119,"לא")),""))</f>
        <v/>
      </c>
      <c r="AJ119" s="37">
        <f>IF($A119="","",IFERROR(COUNTIF(O119:P119,"כן")/(COUNTIF(O119:P119,"כן")+COUNTIF(O119:P119,"לא")),""))</f>
        <v/>
      </c>
      <c r="AK119" s="37">
        <f>IF($A119="","",IFERROR(COUNTIF(Q119:R119,"כן")/(COUNTIF(Q119:R119,"כן")+COUNTIF(Q119:R119,"לא")),""))</f>
        <v/>
      </c>
      <c r="AL119" s="37">
        <f>IF($A119="","",IFERROR(COUNTIF(K119:R119,"כן")/(COUNTIF(K119:R119,"כן")+COUNTIF(K119:R119,"לא")),""))</f>
        <v/>
      </c>
      <c r="AM119" s="37">
        <f>IF($A119="","",IFERROR((COUNTIF(S119:Z119,"רוב הזמן")+0.5*COUNTIF(S119:Z119,"לפעמים"))/(COUNTIF(S119:Z119,"רוב הזמן")+COUNTIF(S119:Z119,"לפעמים")+COUNTIF(S119:Z119,"עדיין לא")),""))</f>
        <v/>
      </c>
      <c r="AN119" s="37">
        <f>IF($A119="","",IFERROR(1-SUMPRODUCT(ABS((K119:R119="כן")-((S119:Z119="רוב הזמן")+0.5*(S119:Z119="לפעמים")))*(((K119:R119="כן")+(K119:R119="לא"))*((S119:Z119="רוב הזמן")+(S119:Z119="לפעמים")+(S119:Z119="עדיין לא"))))/SUMPRODUCT((((K119:R119="כן")+(K119:R119="לא"))*((S119:Z119="רוב הזמן")+(S119:Z119="לפעמים")+(S119:Z119="עדיין לא")))),""))</f>
        <v/>
      </c>
      <c r="AO119" s="36">
        <f>IF($A119="","",SUMPRODUCT((((K119:R119="כן")-((S119:Z119="רוב הזמן")+0.5*(S119:Z119="לפעמים")))&gt;0.01)*(((K119:R119="כן")+(K119:R119="לא"))*((S119:Z119="רוב הזמן")+(S119:Z119="לפעמים")+(S119:Z119="עדיין לא")))))</f>
        <v/>
      </c>
      <c r="AP119" s="36">
        <f>IF($A119="","",SUMPRODUCT(((((S119:Z119="רוב הזמן")+0.5*(S119:Z119="לפעמים"))-(K119:R119="כן"))&gt;0.01)*(((K119:R119="כן")+(K119:R119="לא"))*((S119:Z119="רוב הזמן")+(S119:Z119="לפעמים")+(S119:Z119="עדיין לא")))))</f>
        <v/>
      </c>
      <c r="AQ119" s="36">
        <f>IF($A119="","",COUNTIF(AA119:AC119,"כן"))</f>
        <v/>
      </c>
      <c r="AR119" s="38" t="n"/>
      <c r="AS119" s="38" t="n"/>
      <c r="AT119" s="38" t="n"/>
      <c r="AU119" s="38" t="n"/>
      <c r="AV119" s="36">
        <f>IF($A119="","",IF(AND(AR119="",AT119=""),"לא נבדק",IF(AND(OR(AR119="",AR119=AS119),OR(AT119="",AT119=AU119)),"תואם","לא תואם")))</f>
        <v/>
      </c>
      <c r="AW119" s="36">
        <f>IF($A119="","",IF(AND(AV119&lt;&gt;"לא תואם",G119&lt;&gt;"לא ברור"),"אמין","לפרש בזהירות"))</f>
        <v/>
      </c>
    </row>
    <row r="120">
      <c r="A120" s="38" t="n"/>
      <c r="B120" s="38" t="n"/>
      <c r="C120" s="38" t="n"/>
      <c r="D120" s="38" t="n"/>
      <c r="E120" s="38" t="n"/>
      <c r="F120" s="38" t="n"/>
      <c r="G120" s="38" t="n"/>
      <c r="H120" s="38" t="n"/>
      <c r="I120" s="38" t="n"/>
      <c r="J120" s="38" t="n"/>
      <c r="K120" s="38" t="n"/>
      <c r="L120" s="38" t="n"/>
      <c r="M120" s="38" t="n"/>
      <c r="N120" s="38" t="n"/>
      <c r="O120" s="38" t="n"/>
      <c r="P120" s="38" t="n"/>
      <c r="Q120" s="38" t="n"/>
      <c r="R120" s="38" t="n"/>
      <c r="S120" s="38" t="n"/>
      <c r="T120" s="38" t="n"/>
      <c r="U120" s="38" t="n"/>
      <c r="V120" s="38" t="n"/>
      <c r="W120" s="38" t="n"/>
      <c r="X120" s="38" t="n"/>
      <c r="Y120" s="38" t="n"/>
      <c r="Z120" s="38" t="n"/>
      <c r="AA120" s="38" t="n"/>
      <c r="AB120" s="38" t="n"/>
      <c r="AC120" s="38" t="n"/>
      <c r="AD120" s="38" t="n"/>
      <c r="AE120" s="38" t="n"/>
      <c r="AF120" s="36">
        <f>IF($A120="","",$A120&amp;"|"&amp;$C120)</f>
        <v/>
      </c>
      <c r="AG120" s="36">
        <f>IF($A120="","",IF(OR(H120="לא נבדק",H120=""),"לא נבדק",IF(AND(H120="בחר/ה בעצמו/ה",I120="כן",J120="לא"),"מלא",IF(OR(H120="בחר/ה בעצמו/ה",I120="כן"),"חלקי","עדיין לא"))))</f>
        <v/>
      </c>
      <c r="AH120" s="37">
        <f>IF($A120="","",IFERROR(COUNTIF(K120:L120,"כן")/(COUNTIF(K120:L120,"כן")+COUNTIF(K120:L120,"לא")),""))</f>
        <v/>
      </c>
      <c r="AI120" s="37">
        <f>IF($A120="","",IFERROR(COUNTIF(M120:N120,"כן")/(COUNTIF(M120:N120,"כן")+COUNTIF(M120:N120,"לא")),""))</f>
        <v/>
      </c>
      <c r="AJ120" s="37">
        <f>IF($A120="","",IFERROR(COUNTIF(O120:P120,"כן")/(COUNTIF(O120:P120,"כן")+COUNTIF(O120:P120,"לא")),""))</f>
        <v/>
      </c>
      <c r="AK120" s="37">
        <f>IF($A120="","",IFERROR(COUNTIF(Q120:R120,"כן")/(COUNTIF(Q120:R120,"כן")+COUNTIF(Q120:R120,"לא")),""))</f>
        <v/>
      </c>
      <c r="AL120" s="37">
        <f>IF($A120="","",IFERROR(COUNTIF(K120:R120,"כן")/(COUNTIF(K120:R120,"כן")+COUNTIF(K120:R120,"לא")),""))</f>
        <v/>
      </c>
      <c r="AM120" s="37">
        <f>IF($A120="","",IFERROR((COUNTIF(S120:Z120,"רוב הזמן")+0.5*COUNTIF(S120:Z120,"לפעמים"))/(COUNTIF(S120:Z120,"רוב הזמן")+COUNTIF(S120:Z120,"לפעמים")+COUNTIF(S120:Z120,"עדיין לא")),""))</f>
        <v/>
      </c>
      <c r="AN120" s="37">
        <f>IF($A120="","",IFERROR(1-SUMPRODUCT(ABS((K120:R120="כן")-((S120:Z120="רוב הזמן")+0.5*(S120:Z120="לפעמים")))*(((K120:R120="כן")+(K120:R120="לא"))*((S120:Z120="רוב הזמן")+(S120:Z120="לפעמים")+(S120:Z120="עדיין לא"))))/SUMPRODUCT((((K120:R120="כן")+(K120:R120="לא"))*((S120:Z120="רוב הזמן")+(S120:Z120="לפעמים")+(S120:Z120="עדיין לא")))),""))</f>
        <v/>
      </c>
      <c r="AO120" s="36">
        <f>IF($A120="","",SUMPRODUCT((((K120:R120="כן")-((S120:Z120="רוב הזמן")+0.5*(S120:Z120="לפעמים")))&gt;0.01)*(((K120:R120="כן")+(K120:R120="לא"))*((S120:Z120="רוב הזמן")+(S120:Z120="לפעמים")+(S120:Z120="עדיין לא")))))</f>
        <v/>
      </c>
      <c r="AP120" s="36">
        <f>IF($A120="","",SUMPRODUCT(((((S120:Z120="רוב הזמן")+0.5*(S120:Z120="לפעמים"))-(K120:R120="כן"))&gt;0.01)*(((K120:R120="כן")+(K120:R120="לא"))*((S120:Z120="רוב הזמן")+(S120:Z120="לפעמים")+(S120:Z120="עדיין לא")))))</f>
        <v/>
      </c>
      <c r="AQ120" s="36">
        <f>IF($A120="","",COUNTIF(AA120:AC120,"כן"))</f>
        <v/>
      </c>
      <c r="AR120" s="38" t="n"/>
      <c r="AS120" s="38" t="n"/>
      <c r="AT120" s="38" t="n"/>
      <c r="AU120" s="38" t="n"/>
      <c r="AV120" s="36">
        <f>IF($A120="","",IF(AND(AR120="",AT120=""),"לא נבדק",IF(AND(OR(AR120="",AR120=AS120),OR(AT120="",AT120=AU120)),"תואם","לא תואם")))</f>
        <v/>
      </c>
      <c r="AW120" s="36">
        <f>IF($A120="","",IF(AND(AV120&lt;&gt;"לא תואם",G120&lt;&gt;"לא ברור"),"אמין","לפרש בזהירות"))</f>
        <v/>
      </c>
    </row>
    <row r="121">
      <c r="A121" s="38" t="n"/>
      <c r="B121" s="38" t="n"/>
      <c r="C121" s="38" t="n"/>
      <c r="D121" s="38" t="n"/>
      <c r="E121" s="38" t="n"/>
      <c r="F121" s="38" t="n"/>
      <c r="G121" s="38" t="n"/>
      <c r="H121" s="38" t="n"/>
      <c r="I121" s="38" t="n"/>
      <c r="J121" s="38" t="n"/>
      <c r="K121" s="38" t="n"/>
      <c r="L121" s="38" t="n"/>
      <c r="M121" s="38" t="n"/>
      <c r="N121" s="38" t="n"/>
      <c r="O121" s="38" t="n"/>
      <c r="P121" s="38" t="n"/>
      <c r="Q121" s="38" t="n"/>
      <c r="R121" s="38" t="n"/>
      <c r="S121" s="38" t="n"/>
      <c r="T121" s="38" t="n"/>
      <c r="U121" s="38" t="n"/>
      <c r="V121" s="38" t="n"/>
      <c r="W121" s="38" t="n"/>
      <c r="X121" s="38" t="n"/>
      <c r="Y121" s="38" t="n"/>
      <c r="Z121" s="38" t="n"/>
      <c r="AA121" s="38" t="n"/>
      <c r="AB121" s="38" t="n"/>
      <c r="AC121" s="38" t="n"/>
      <c r="AD121" s="38" t="n"/>
      <c r="AE121" s="38" t="n"/>
      <c r="AF121" s="36">
        <f>IF($A121="","",$A121&amp;"|"&amp;$C121)</f>
        <v/>
      </c>
      <c r="AG121" s="36">
        <f>IF($A121="","",IF(OR(H121="לא נבדק",H121=""),"לא נבדק",IF(AND(H121="בחר/ה בעצמו/ה",I121="כן",J121="לא"),"מלא",IF(OR(H121="בחר/ה בעצמו/ה",I121="כן"),"חלקי","עדיין לא"))))</f>
        <v/>
      </c>
      <c r="AH121" s="37">
        <f>IF($A121="","",IFERROR(COUNTIF(K121:L121,"כן")/(COUNTIF(K121:L121,"כן")+COUNTIF(K121:L121,"לא")),""))</f>
        <v/>
      </c>
      <c r="AI121" s="37">
        <f>IF($A121="","",IFERROR(COUNTIF(M121:N121,"כן")/(COUNTIF(M121:N121,"כן")+COUNTIF(M121:N121,"לא")),""))</f>
        <v/>
      </c>
      <c r="AJ121" s="37">
        <f>IF($A121="","",IFERROR(COUNTIF(O121:P121,"כן")/(COUNTIF(O121:P121,"כן")+COUNTIF(O121:P121,"לא")),""))</f>
        <v/>
      </c>
      <c r="AK121" s="37">
        <f>IF($A121="","",IFERROR(COUNTIF(Q121:R121,"כן")/(COUNTIF(Q121:R121,"כן")+COUNTIF(Q121:R121,"לא")),""))</f>
        <v/>
      </c>
      <c r="AL121" s="37">
        <f>IF($A121="","",IFERROR(COUNTIF(K121:R121,"כן")/(COUNTIF(K121:R121,"כן")+COUNTIF(K121:R121,"לא")),""))</f>
        <v/>
      </c>
      <c r="AM121" s="37">
        <f>IF($A121="","",IFERROR((COUNTIF(S121:Z121,"רוב הזמן")+0.5*COUNTIF(S121:Z121,"לפעמים"))/(COUNTIF(S121:Z121,"רוב הזמן")+COUNTIF(S121:Z121,"לפעמים")+COUNTIF(S121:Z121,"עדיין לא")),""))</f>
        <v/>
      </c>
      <c r="AN121" s="37">
        <f>IF($A121="","",IFERROR(1-SUMPRODUCT(ABS((K121:R121="כן")-((S121:Z121="רוב הזמן")+0.5*(S121:Z121="לפעמים")))*(((K121:R121="כן")+(K121:R121="לא"))*((S121:Z121="רוב הזמן")+(S121:Z121="לפעמים")+(S121:Z121="עדיין לא"))))/SUMPRODUCT((((K121:R121="כן")+(K121:R121="לא"))*((S121:Z121="רוב הזמן")+(S121:Z121="לפעמים")+(S121:Z121="עדיין לא")))),""))</f>
        <v/>
      </c>
      <c r="AO121" s="36">
        <f>IF($A121="","",SUMPRODUCT((((K121:R121="כן")-((S121:Z121="רוב הזמן")+0.5*(S121:Z121="לפעמים")))&gt;0.01)*(((K121:R121="כן")+(K121:R121="לא"))*((S121:Z121="רוב הזמן")+(S121:Z121="לפעמים")+(S121:Z121="עדיין לא")))))</f>
        <v/>
      </c>
      <c r="AP121" s="36">
        <f>IF($A121="","",SUMPRODUCT(((((S121:Z121="רוב הזמן")+0.5*(S121:Z121="לפעמים"))-(K121:R121="כן"))&gt;0.01)*(((K121:R121="כן")+(K121:R121="לא"))*((S121:Z121="רוב הזמן")+(S121:Z121="לפעמים")+(S121:Z121="עדיין לא")))))</f>
        <v/>
      </c>
      <c r="AQ121" s="36">
        <f>IF($A121="","",COUNTIF(AA121:AC121,"כן"))</f>
        <v/>
      </c>
      <c r="AR121" s="38" t="n"/>
      <c r="AS121" s="38" t="n"/>
      <c r="AT121" s="38" t="n"/>
      <c r="AU121" s="38" t="n"/>
      <c r="AV121" s="36">
        <f>IF($A121="","",IF(AND(AR121="",AT121=""),"לא נבדק",IF(AND(OR(AR121="",AR121=AS121),OR(AT121="",AT121=AU121)),"תואם","לא תואם")))</f>
        <v/>
      </c>
      <c r="AW121" s="36">
        <f>IF($A121="","",IF(AND(AV121&lt;&gt;"לא תואם",G121&lt;&gt;"לא ברור"),"אמין","לפרש בזהירות"))</f>
        <v/>
      </c>
    </row>
    <row r="122">
      <c r="A122" s="38" t="n"/>
      <c r="B122" s="38" t="n"/>
      <c r="C122" s="38" t="n"/>
      <c r="D122" s="38" t="n"/>
      <c r="E122" s="38" t="n"/>
      <c r="F122" s="38" t="n"/>
      <c r="G122" s="38" t="n"/>
      <c r="H122" s="38" t="n"/>
      <c r="I122" s="38" t="n"/>
      <c r="J122" s="38" t="n"/>
      <c r="K122" s="38" t="n"/>
      <c r="L122" s="38" t="n"/>
      <c r="M122" s="38" t="n"/>
      <c r="N122" s="38" t="n"/>
      <c r="O122" s="38" t="n"/>
      <c r="P122" s="38" t="n"/>
      <c r="Q122" s="38" t="n"/>
      <c r="R122" s="38" t="n"/>
      <c r="S122" s="38" t="n"/>
      <c r="T122" s="38" t="n"/>
      <c r="U122" s="38" t="n"/>
      <c r="V122" s="38" t="n"/>
      <c r="W122" s="38" t="n"/>
      <c r="X122" s="38" t="n"/>
      <c r="Y122" s="38" t="n"/>
      <c r="Z122" s="38" t="n"/>
      <c r="AA122" s="38" t="n"/>
      <c r="AB122" s="38" t="n"/>
      <c r="AC122" s="38" t="n"/>
      <c r="AD122" s="38" t="n"/>
      <c r="AE122" s="38" t="n"/>
      <c r="AF122" s="36">
        <f>IF($A122="","",$A122&amp;"|"&amp;$C122)</f>
        <v/>
      </c>
      <c r="AG122" s="36">
        <f>IF($A122="","",IF(OR(H122="לא נבדק",H122=""),"לא נבדק",IF(AND(H122="בחר/ה בעצמו/ה",I122="כן",J122="לא"),"מלא",IF(OR(H122="בחר/ה בעצמו/ה",I122="כן"),"חלקי","עדיין לא"))))</f>
        <v/>
      </c>
      <c r="AH122" s="37">
        <f>IF($A122="","",IFERROR(COUNTIF(K122:L122,"כן")/(COUNTIF(K122:L122,"כן")+COUNTIF(K122:L122,"לא")),""))</f>
        <v/>
      </c>
      <c r="AI122" s="37">
        <f>IF($A122="","",IFERROR(COUNTIF(M122:N122,"כן")/(COUNTIF(M122:N122,"כן")+COUNTIF(M122:N122,"לא")),""))</f>
        <v/>
      </c>
      <c r="AJ122" s="37">
        <f>IF($A122="","",IFERROR(COUNTIF(O122:P122,"כן")/(COUNTIF(O122:P122,"כן")+COUNTIF(O122:P122,"לא")),""))</f>
        <v/>
      </c>
      <c r="AK122" s="37">
        <f>IF($A122="","",IFERROR(COUNTIF(Q122:R122,"כן")/(COUNTIF(Q122:R122,"כן")+COUNTIF(Q122:R122,"לא")),""))</f>
        <v/>
      </c>
      <c r="AL122" s="37">
        <f>IF($A122="","",IFERROR(COUNTIF(K122:R122,"כן")/(COUNTIF(K122:R122,"כן")+COUNTIF(K122:R122,"לא")),""))</f>
        <v/>
      </c>
      <c r="AM122" s="37">
        <f>IF($A122="","",IFERROR((COUNTIF(S122:Z122,"רוב הזמן")+0.5*COUNTIF(S122:Z122,"לפעמים"))/(COUNTIF(S122:Z122,"רוב הזמן")+COUNTIF(S122:Z122,"לפעמים")+COUNTIF(S122:Z122,"עדיין לא")),""))</f>
        <v/>
      </c>
      <c r="AN122" s="37">
        <f>IF($A122="","",IFERROR(1-SUMPRODUCT(ABS((K122:R122="כן")-((S122:Z122="רוב הזמן")+0.5*(S122:Z122="לפעמים")))*(((K122:R122="כן")+(K122:R122="לא"))*((S122:Z122="רוב הזמן")+(S122:Z122="לפעמים")+(S122:Z122="עדיין לא"))))/SUMPRODUCT((((K122:R122="כן")+(K122:R122="לא"))*((S122:Z122="רוב הזמן")+(S122:Z122="לפעמים")+(S122:Z122="עדיין לא")))),""))</f>
        <v/>
      </c>
      <c r="AO122" s="36">
        <f>IF($A122="","",SUMPRODUCT((((K122:R122="כן")-((S122:Z122="רוב הזמן")+0.5*(S122:Z122="לפעמים")))&gt;0.01)*(((K122:R122="כן")+(K122:R122="לא"))*((S122:Z122="רוב הזמן")+(S122:Z122="לפעמים")+(S122:Z122="עדיין לא")))))</f>
        <v/>
      </c>
      <c r="AP122" s="36">
        <f>IF($A122="","",SUMPRODUCT(((((S122:Z122="רוב הזמן")+0.5*(S122:Z122="לפעמים"))-(K122:R122="כן"))&gt;0.01)*(((K122:R122="כן")+(K122:R122="לא"))*((S122:Z122="רוב הזמן")+(S122:Z122="לפעמים")+(S122:Z122="עדיין לא")))))</f>
        <v/>
      </c>
      <c r="AQ122" s="36">
        <f>IF($A122="","",COUNTIF(AA122:AC122,"כן"))</f>
        <v/>
      </c>
      <c r="AR122" s="38" t="n"/>
      <c r="AS122" s="38" t="n"/>
      <c r="AT122" s="38" t="n"/>
      <c r="AU122" s="38" t="n"/>
      <c r="AV122" s="36">
        <f>IF($A122="","",IF(AND(AR122="",AT122=""),"לא נבדק",IF(AND(OR(AR122="",AR122=AS122),OR(AT122="",AT122=AU122)),"תואם","לא תואם")))</f>
        <v/>
      </c>
      <c r="AW122" s="36">
        <f>IF($A122="","",IF(AND(AV122&lt;&gt;"לא תואם",G122&lt;&gt;"לא ברור"),"אמין","לפרש בזהירות"))</f>
        <v/>
      </c>
    </row>
    <row r="123">
      <c r="A123" s="38" t="n"/>
      <c r="B123" s="38" t="n"/>
      <c r="C123" s="38" t="n"/>
      <c r="D123" s="38" t="n"/>
      <c r="E123" s="38" t="n"/>
      <c r="F123" s="38" t="n"/>
      <c r="G123" s="38" t="n"/>
      <c r="H123" s="38" t="n"/>
      <c r="I123" s="38" t="n"/>
      <c r="J123" s="38" t="n"/>
      <c r="K123" s="38" t="n"/>
      <c r="L123" s="38" t="n"/>
      <c r="M123" s="38" t="n"/>
      <c r="N123" s="38" t="n"/>
      <c r="O123" s="38" t="n"/>
      <c r="P123" s="38" t="n"/>
      <c r="Q123" s="38" t="n"/>
      <c r="R123" s="38" t="n"/>
      <c r="S123" s="38" t="n"/>
      <c r="T123" s="38" t="n"/>
      <c r="U123" s="38" t="n"/>
      <c r="V123" s="38" t="n"/>
      <c r="W123" s="38" t="n"/>
      <c r="X123" s="38" t="n"/>
      <c r="Y123" s="38" t="n"/>
      <c r="Z123" s="38" t="n"/>
      <c r="AA123" s="38" t="n"/>
      <c r="AB123" s="38" t="n"/>
      <c r="AC123" s="38" t="n"/>
      <c r="AD123" s="38" t="n"/>
      <c r="AE123" s="38" t="n"/>
      <c r="AF123" s="36">
        <f>IF($A123="","",$A123&amp;"|"&amp;$C123)</f>
        <v/>
      </c>
      <c r="AG123" s="36">
        <f>IF($A123="","",IF(OR(H123="לא נבדק",H123=""),"לא נבדק",IF(AND(H123="בחר/ה בעצמו/ה",I123="כן",J123="לא"),"מלא",IF(OR(H123="בחר/ה בעצמו/ה",I123="כן"),"חלקי","עדיין לא"))))</f>
        <v/>
      </c>
      <c r="AH123" s="37">
        <f>IF($A123="","",IFERROR(COUNTIF(K123:L123,"כן")/(COUNTIF(K123:L123,"כן")+COUNTIF(K123:L123,"לא")),""))</f>
        <v/>
      </c>
      <c r="AI123" s="37">
        <f>IF($A123="","",IFERROR(COUNTIF(M123:N123,"כן")/(COUNTIF(M123:N123,"כן")+COUNTIF(M123:N123,"לא")),""))</f>
        <v/>
      </c>
      <c r="AJ123" s="37">
        <f>IF($A123="","",IFERROR(COUNTIF(O123:P123,"כן")/(COUNTIF(O123:P123,"כן")+COUNTIF(O123:P123,"לא")),""))</f>
        <v/>
      </c>
      <c r="AK123" s="37">
        <f>IF($A123="","",IFERROR(COUNTIF(Q123:R123,"כן")/(COUNTIF(Q123:R123,"כן")+COUNTIF(Q123:R123,"לא")),""))</f>
        <v/>
      </c>
      <c r="AL123" s="37">
        <f>IF($A123="","",IFERROR(COUNTIF(K123:R123,"כן")/(COUNTIF(K123:R123,"כן")+COUNTIF(K123:R123,"לא")),""))</f>
        <v/>
      </c>
      <c r="AM123" s="37">
        <f>IF($A123="","",IFERROR((COUNTIF(S123:Z123,"רוב הזמן")+0.5*COUNTIF(S123:Z123,"לפעמים"))/(COUNTIF(S123:Z123,"רוב הזמן")+COUNTIF(S123:Z123,"לפעמים")+COUNTIF(S123:Z123,"עדיין לא")),""))</f>
        <v/>
      </c>
      <c r="AN123" s="37">
        <f>IF($A123="","",IFERROR(1-SUMPRODUCT(ABS((K123:R123="כן")-((S123:Z123="רוב הזמן")+0.5*(S123:Z123="לפעמים")))*(((K123:R123="כן")+(K123:R123="לא"))*((S123:Z123="רוב הזמן")+(S123:Z123="לפעמים")+(S123:Z123="עדיין לא"))))/SUMPRODUCT((((K123:R123="כן")+(K123:R123="לא"))*((S123:Z123="רוב הזמן")+(S123:Z123="לפעמים")+(S123:Z123="עדיין לא")))),""))</f>
        <v/>
      </c>
      <c r="AO123" s="36">
        <f>IF($A123="","",SUMPRODUCT((((K123:R123="כן")-((S123:Z123="רוב הזמן")+0.5*(S123:Z123="לפעמים")))&gt;0.01)*(((K123:R123="כן")+(K123:R123="לא"))*((S123:Z123="רוב הזמן")+(S123:Z123="לפעמים")+(S123:Z123="עדיין לא")))))</f>
        <v/>
      </c>
      <c r="AP123" s="36">
        <f>IF($A123="","",SUMPRODUCT(((((S123:Z123="רוב הזמן")+0.5*(S123:Z123="לפעמים"))-(K123:R123="כן"))&gt;0.01)*(((K123:R123="כן")+(K123:R123="לא"))*((S123:Z123="רוב הזמן")+(S123:Z123="לפעמים")+(S123:Z123="עדיין לא")))))</f>
        <v/>
      </c>
      <c r="AQ123" s="36">
        <f>IF($A123="","",COUNTIF(AA123:AC123,"כן"))</f>
        <v/>
      </c>
      <c r="AR123" s="38" t="n"/>
      <c r="AS123" s="38" t="n"/>
      <c r="AT123" s="38" t="n"/>
      <c r="AU123" s="38" t="n"/>
      <c r="AV123" s="36">
        <f>IF($A123="","",IF(AND(AR123="",AT123=""),"לא נבדק",IF(AND(OR(AR123="",AR123=AS123),OR(AT123="",AT123=AU123)),"תואם","לא תואם")))</f>
        <v/>
      </c>
      <c r="AW123" s="36">
        <f>IF($A123="","",IF(AND(AV123&lt;&gt;"לא תואם",G123&lt;&gt;"לא ברור"),"אמין","לפרש בזהירות"))</f>
        <v/>
      </c>
    </row>
    <row r="124">
      <c r="A124" s="38" t="n"/>
      <c r="B124" s="38" t="n"/>
      <c r="C124" s="38" t="n"/>
      <c r="D124" s="38" t="n"/>
      <c r="E124" s="38" t="n"/>
      <c r="F124" s="38" t="n"/>
      <c r="G124" s="38" t="n"/>
      <c r="H124" s="38" t="n"/>
      <c r="I124" s="38" t="n"/>
      <c r="J124" s="38" t="n"/>
      <c r="K124" s="38" t="n"/>
      <c r="L124" s="38" t="n"/>
      <c r="M124" s="38" t="n"/>
      <c r="N124" s="38" t="n"/>
      <c r="O124" s="38" t="n"/>
      <c r="P124" s="38" t="n"/>
      <c r="Q124" s="38" t="n"/>
      <c r="R124" s="38" t="n"/>
      <c r="S124" s="38" t="n"/>
      <c r="T124" s="38" t="n"/>
      <c r="U124" s="38" t="n"/>
      <c r="V124" s="38" t="n"/>
      <c r="W124" s="38" t="n"/>
      <c r="X124" s="38" t="n"/>
      <c r="Y124" s="38" t="n"/>
      <c r="Z124" s="38" t="n"/>
      <c r="AA124" s="38" t="n"/>
      <c r="AB124" s="38" t="n"/>
      <c r="AC124" s="38" t="n"/>
      <c r="AD124" s="38" t="n"/>
      <c r="AE124" s="38" t="n"/>
      <c r="AF124" s="36">
        <f>IF($A124="","",$A124&amp;"|"&amp;$C124)</f>
        <v/>
      </c>
      <c r="AG124" s="36">
        <f>IF($A124="","",IF(OR(H124="לא נבדק",H124=""),"לא נבדק",IF(AND(H124="בחר/ה בעצמו/ה",I124="כן",J124="לא"),"מלא",IF(OR(H124="בחר/ה בעצמו/ה",I124="כן"),"חלקי","עדיין לא"))))</f>
        <v/>
      </c>
      <c r="AH124" s="37">
        <f>IF($A124="","",IFERROR(COUNTIF(K124:L124,"כן")/(COUNTIF(K124:L124,"כן")+COUNTIF(K124:L124,"לא")),""))</f>
        <v/>
      </c>
      <c r="AI124" s="37">
        <f>IF($A124="","",IFERROR(COUNTIF(M124:N124,"כן")/(COUNTIF(M124:N124,"כן")+COUNTIF(M124:N124,"לא")),""))</f>
        <v/>
      </c>
      <c r="AJ124" s="37">
        <f>IF($A124="","",IFERROR(COUNTIF(O124:P124,"כן")/(COUNTIF(O124:P124,"כן")+COUNTIF(O124:P124,"לא")),""))</f>
        <v/>
      </c>
      <c r="AK124" s="37">
        <f>IF($A124="","",IFERROR(COUNTIF(Q124:R124,"כן")/(COUNTIF(Q124:R124,"כן")+COUNTIF(Q124:R124,"לא")),""))</f>
        <v/>
      </c>
      <c r="AL124" s="37">
        <f>IF($A124="","",IFERROR(COUNTIF(K124:R124,"כן")/(COUNTIF(K124:R124,"כן")+COUNTIF(K124:R124,"לא")),""))</f>
        <v/>
      </c>
      <c r="AM124" s="37">
        <f>IF($A124="","",IFERROR((COUNTIF(S124:Z124,"רוב הזמן")+0.5*COUNTIF(S124:Z124,"לפעמים"))/(COUNTIF(S124:Z124,"רוב הזמן")+COUNTIF(S124:Z124,"לפעמים")+COUNTIF(S124:Z124,"עדיין לא")),""))</f>
        <v/>
      </c>
      <c r="AN124" s="37">
        <f>IF($A124="","",IFERROR(1-SUMPRODUCT(ABS((K124:R124="כן")-((S124:Z124="רוב הזמן")+0.5*(S124:Z124="לפעמים")))*(((K124:R124="כן")+(K124:R124="לא"))*((S124:Z124="רוב הזמן")+(S124:Z124="לפעמים")+(S124:Z124="עדיין לא"))))/SUMPRODUCT((((K124:R124="כן")+(K124:R124="לא"))*((S124:Z124="רוב הזמן")+(S124:Z124="לפעמים")+(S124:Z124="עדיין לא")))),""))</f>
        <v/>
      </c>
      <c r="AO124" s="36">
        <f>IF($A124="","",SUMPRODUCT((((K124:R124="כן")-((S124:Z124="רוב הזמן")+0.5*(S124:Z124="לפעמים")))&gt;0.01)*(((K124:R124="כן")+(K124:R124="לא"))*((S124:Z124="רוב הזמן")+(S124:Z124="לפעמים")+(S124:Z124="עדיין לא")))))</f>
        <v/>
      </c>
      <c r="AP124" s="36">
        <f>IF($A124="","",SUMPRODUCT(((((S124:Z124="רוב הזמן")+0.5*(S124:Z124="לפעמים"))-(K124:R124="כן"))&gt;0.01)*(((K124:R124="כן")+(K124:R124="לא"))*((S124:Z124="רוב הזמן")+(S124:Z124="לפעמים")+(S124:Z124="עדיין לא")))))</f>
        <v/>
      </c>
      <c r="AQ124" s="36">
        <f>IF($A124="","",COUNTIF(AA124:AC124,"כן"))</f>
        <v/>
      </c>
      <c r="AR124" s="38" t="n"/>
      <c r="AS124" s="38" t="n"/>
      <c r="AT124" s="38" t="n"/>
      <c r="AU124" s="38" t="n"/>
      <c r="AV124" s="36">
        <f>IF($A124="","",IF(AND(AR124="",AT124=""),"לא נבדק",IF(AND(OR(AR124="",AR124=AS124),OR(AT124="",AT124=AU124)),"תואם","לא תואם")))</f>
        <v/>
      </c>
      <c r="AW124" s="36">
        <f>IF($A124="","",IF(AND(AV124&lt;&gt;"לא תואם",G124&lt;&gt;"לא ברור"),"אמין","לפרש בזהירות"))</f>
        <v/>
      </c>
    </row>
    <row r="125">
      <c r="A125" s="38" t="n"/>
      <c r="B125" s="38" t="n"/>
      <c r="C125" s="38" t="n"/>
      <c r="D125" s="38" t="n"/>
      <c r="E125" s="38" t="n"/>
      <c r="F125" s="38" t="n"/>
      <c r="G125" s="38" t="n"/>
      <c r="H125" s="38" t="n"/>
      <c r="I125" s="38" t="n"/>
      <c r="J125" s="38" t="n"/>
      <c r="K125" s="38" t="n"/>
      <c r="L125" s="38" t="n"/>
      <c r="M125" s="38" t="n"/>
      <c r="N125" s="38" t="n"/>
      <c r="O125" s="38" t="n"/>
      <c r="P125" s="38" t="n"/>
      <c r="Q125" s="38" t="n"/>
      <c r="R125" s="38" t="n"/>
      <c r="S125" s="38" t="n"/>
      <c r="T125" s="38" t="n"/>
      <c r="U125" s="38" t="n"/>
      <c r="V125" s="38" t="n"/>
      <c r="W125" s="38" t="n"/>
      <c r="X125" s="38" t="n"/>
      <c r="Y125" s="38" t="n"/>
      <c r="Z125" s="38" t="n"/>
      <c r="AA125" s="38" t="n"/>
      <c r="AB125" s="38" t="n"/>
      <c r="AC125" s="38" t="n"/>
      <c r="AD125" s="38" t="n"/>
      <c r="AE125" s="38" t="n"/>
      <c r="AF125" s="36">
        <f>IF($A125="","",$A125&amp;"|"&amp;$C125)</f>
        <v/>
      </c>
      <c r="AG125" s="36">
        <f>IF($A125="","",IF(OR(H125="לא נבדק",H125=""),"לא נבדק",IF(AND(H125="בחר/ה בעצמו/ה",I125="כן",J125="לא"),"מלא",IF(OR(H125="בחר/ה בעצמו/ה",I125="כן"),"חלקי","עדיין לא"))))</f>
        <v/>
      </c>
      <c r="AH125" s="37">
        <f>IF($A125="","",IFERROR(COUNTIF(K125:L125,"כן")/(COUNTIF(K125:L125,"כן")+COUNTIF(K125:L125,"לא")),""))</f>
        <v/>
      </c>
      <c r="AI125" s="37">
        <f>IF($A125="","",IFERROR(COUNTIF(M125:N125,"כן")/(COUNTIF(M125:N125,"כן")+COUNTIF(M125:N125,"לא")),""))</f>
        <v/>
      </c>
      <c r="AJ125" s="37">
        <f>IF($A125="","",IFERROR(COUNTIF(O125:P125,"כן")/(COUNTIF(O125:P125,"כן")+COUNTIF(O125:P125,"לא")),""))</f>
        <v/>
      </c>
      <c r="AK125" s="37">
        <f>IF($A125="","",IFERROR(COUNTIF(Q125:R125,"כן")/(COUNTIF(Q125:R125,"כן")+COUNTIF(Q125:R125,"לא")),""))</f>
        <v/>
      </c>
      <c r="AL125" s="37">
        <f>IF($A125="","",IFERROR(COUNTIF(K125:R125,"כן")/(COUNTIF(K125:R125,"כן")+COUNTIF(K125:R125,"לא")),""))</f>
        <v/>
      </c>
      <c r="AM125" s="37">
        <f>IF($A125="","",IFERROR((COUNTIF(S125:Z125,"רוב הזמן")+0.5*COUNTIF(S125:Z125,"לפעמים"))/(COUNTIF(S125:Z125,"רוב הזמן")+COUNTIF(S125:Z125,"לפעמים")+COUNTIF(S125:Z125,"עדיין לא")),""))</f>
        <v/>
      </c>
      <c r="AN125" s="37">
        <f>IF($A125="","",IFERROR(1-SUMPRODUCT(ABS((K125:R125="כן")-((S125:Z125="רוב הזמן")+0.5*(S125:Z125="לפעמים")))*(((K125:R125="כן")+(K125:R125="לא"))*((S125:Z125="רוב הזמן")+(S125:Z125="לפעמים")+(S125:Z125="עדיין לא"))))/SUMPRODUCT((((K125:R125="כן")+(K125:R125="לא"))*((S125:Z125="רוב הזמן")+(S125:Z125="לפעמים")+(S125:Z125="עדיין לא")))),""))</f>
        <v/>
      </c>
      <c r="AO125" s="36">
        <f>IF($A125="","",SUMPRODUCT((((K125:R125="כן")-((S125:Z125="רוב הזמן")+0.5*(S125:Z125="לפעמים")))&gt;0.01)*(((K125:R125="כן")+(K125:R125="לא"))*((S125:Z125="רוב הזמן")+(S125:Z125="לפעמים")+(S125:Z125="עדיין לא")))))</f>
        <v/>
      </c>
      <c r="AP125" s="36">
        <f>IF($A125="","",SUMPRODUCT(((((S125:Z125="רוב הזמן")+0.5*(S125:Z125="לפעמים"))-(K125:R125="כן"))&gt;0.01)*(((K125:R125="כן")+(K125:R125="לא"))*((S125:Z125="רוב הזמן")+(S125:Z125="לפעמים")+(S125:Z125="עדיין לא")))))</f>
        <v/>
      </c>
      <c r="AQ125" s="36">
        <f>IF($A125="","",COUNTIF(AA125:AC125,"כן"))</f>
        <v/>
      </c>
      <c r="AR125" s="38" t="n"/>
      <c r="AS125" s="38" t="n"/>
      <c r="AT125" s="38" t="n"/>
      <c r="AU125" s="38" t="n"/>
      <c r="AV125" s="36">
        <f>IF($A125="","",IF(AND(AR125="",AT125=""),"לא נבדק",IF(AND(OR(AR125="",AR125=AS125),OR(AT125="",AT125=AU125)),"תואם","לא תואם")))</f>
        <v/>
      </c>
      <c r="AW125" s="36">
        <f>IF($A125="","",IF(AND(AV125&lt;&gt;"לא תואם",G125&lt;&gt;"לא ברור"),"אמין","לפרש בזהירות"))</f>
        <v/>
      </c>
    </row>
    <row r="126">
      <c r="A126" s="38" t="n"/>
      <c r="B126" s="38" t="n"/>
      <c r="C126" s="38" t="n"/>
      <c r="D126" s="38" t="n"/>
      <c r="E126" s="38" t="n"/>
      <c r="F126" s="38" t="n"/>
      <c r="G126" s="38" t="n"/>
      <c r="H126" s="38" t="n"/>
      <c r="I126" s="38" t="n"/>
      <c r="J126" s="38" t="n"/>
      <c r="K126" s="38" t="n"/>
      <c r="L126" s="38" t="n"/>
      <c r="M126" s="38" t="n"/>
      <c r="N126" s="38" t="n"/>
      <c r="O126" s="38" t="n"/>
      <c r="P126" s="38" t="n"/>
      <c r="Q126" s="38" t="n"/>
      <c r="R126" s="38" t="n"/>
      <c r="S126" s="38" t="n"/>
      <c r="T126" s="38" t="n"/>
      <c r="U126" s="38" t="n"/>
      <c r="V126" s="38" t="n"/>
      <c r="W126" s="38" t="n"/>
      <c r="X126" s="38" t="n"/>
      <c r="Y126" s="38" t="n"/>
      <c r="Z126" s="38" t="n"/>
      <c r="AA126" s="38" t="n"/>
      <c r="AB126" s="38" t="n"/>
      <c r="AC126" s="38" t="n"/>
      <c r="AD126" s="38" t="n"/>
      <c r="AE126" s="38" t="n"/>
      <c r="AF126" s="36">
        <f>IF($A126="","",$A126&amp;"|"&amp;$C126)</f>
        <v/>
      </c>
      <c r="AG126" s="36">
        <f>IF($A126="","",IF(OR(H126="לא נבדק",H126=""),"לא נבדק",IF(AND(H126="בחר/ה בעצמו/ה",I126="כן",J126="לא"),"מלא",IF(OR(H126="בחר/ה בעצמו/ה",I126="כן"),"חלקי","עדיין לא"))))</f>
        <v/>
      </c>
      <c r="AH126" s="37">
        <f>IF($A126="","",IFERROR(COUNTIF(K126:L126,"כן")/(COUNTIF(K126:L126,"כן")+COUNTIF(K126:L126,"לא")),""))</f>
        <v/>
      </c>
      <c r="AI126" s="37">
        <f>IF($A126="","",IFERROR(COUNTIF(M126:N126,"כן")/(COUNTIF(M126:N126,"כן")+COUNTIF(M126:N126,"לא")),""))</f>
        <v/>
      </c>
      <c r="AJ126" s="37">
        <f>IF($A126="","",IFERROR(COUNTIF(O126:P126,"כן")/(COUNTIF(O126:P126,"כן")+COUNTIF(O126:P126,"לא")),""))</f>
        <v/>
      </c>
      <c r="AK126" s="37">
        <f>IF($A126="","",IFERROR(COUNTIF(Q126:R126,"כן")/(COUNTIF(Q126:R126,"כן")+COUNTIF(Q126:R126,"לא")),""))</f>
        <v/>
      </c>
      <c r="AL126" s="37">
        <f>IF($A126="","",IFERROR(COUNTIF(K126:R126,"כן")/(COUNTIF(K126:R126,"כן")+COUNTIF(K126:R126,"לא")),""))</f>
        <v/>
      </c>
      <c r="AM126" s="37">
        <f>IF($A126="","",IFERROR((COUNTIF(S126:Z126,"רוב הזמן")+0.5*COUNTIF(S126:Z126,"לפעמים"))/(COUNTIF(S126:Z126,"רוב הזמן")+COUNTIF(S126:Z126,"לפעמים")+COUNTIF(S126:Z126,"עדיין לא")),""))</f>
        <v/>
      </c>
      <c r="AN126" s="37">
        <f>IF($A126="","",IFERROR(1-SUMPRODUCT(ABS((K126:R126="כן")-((S126:Z126="רוב הזמן")+0.5*(S126:Z126="לפעמים")))*(((K126:R126="כן")+(K126:R126="לא"))*((S126:Z126="רוב הזמן")+(S126:Z126="לפעמים")+(S126:Z126="עדיין לא"))))/SUMPRODUCT((((K126:R126="כן")+(K126:R126="לא"))*((S126:Z126="רוב הזמן")+(S126:Z126="לפעמים")+(S126:Z126="עדיין לא")))),""))</f>
        <v/>
      </c>
      <c r="AO126" s="36">
        <f>IF($A126="","",SUMPRODUCT((((K126:R126="כן")-((S126:Z126="רוב הזמן")+0.5*(S126:Z126="לפעמים")))&gt;0.01)*(((K126:R126="כן")+(K126:R126="לא"))*((S126:Z126="רוב הזמן")+(S126:Z126="לפעמים")+(S126:Z126="עדיין לא")))))</f>
        <v/>
      </c>
      <c r="AP126" s="36">
        <f>IF($A126="","",SUMPRODUCT(((((S126:Z126="רוב הזמן")+0.5*(S126:Z126="לפעמים"))-(K126:R126="כן"))&gt;0.01)*(((K126:R126="כן")+(K126:R126="לא"))*((S126:Z126="רוב הזמן")+(S126:Z126="לפעמים")+(S126:Z126="עדיין לא")))))</f>
        <v/>
      </c>
      <c r="AQ126" s="36">
        <f>IF($A126="","",COUNTIF(AA126:AC126,"כן"))</f>
        <v/>
      </c>
      <c r="AR126" s="38" t="n"/>
      <c r="AS126" s="38" t="n"/>
      <c r="AT126" s="38" t="n"/>
      <c r="AU126" s="38" t="n"/>
      <c r="AV126" s="36">
        <f>IF($A126="","",IF(AND(AR126="",AT126=""),"לא נבדק",IF(AND(OR(AR126="",AR126=AS126),OR(AT126="",AT126=AU126)),"תואם","לא תואם")))</f>
        <v/>
      </c>
      <c r="AW126" s="36">
        <f>IF($A126="","",IF(AND(AV126&lt;&gt;"לא תואם",G126&lt;&gt;"לא ברור"),"אמין","לפרש בזהירות"))</f>
        <v/>
      </c>
    </row>
    <row r="127">
      <c r="A127" s="38" t="n"/>
      <c r="B127" s="38" t="n"/>
      <c r="C127" s="38" t="n"/>
      <c r="D127" s="38" t="n"/>
      <c r="E127" s="38" t="n"/>
      <c r="F127" s="38" t="n"/>
      <c r="G127" s="38" t="n"/>
      <c r="H127" s="38" t="n"/>
      <c r="I127" s="38" t="n"/>
      <c r="J127" s="38" t="n"/>
      <c r="K127" s="38" t="n"/>
      <c r="L127" s="38" t="n"/>
      <c r="M127" s="38" t="n"/>
      <c r="N127" s="38" t="n"/>
      <c r="O127" s="38" t="n"/>
      <c r="P127" s="38" t="n"/>
      <c r="Q127" s="38" t="n"/>
      <c r="R127" s="38" t="n"/>
      <c r="S127" s="38" t="n"/>
      <c r="T127" s="38" t="n"/>
      <c r="U127" s="38" t="n"/>
      <c r="V127" s="38" t="n"/>
      <c r="W127" s="38" t="n"/>
      <c r="X127" s="38" t="n"/>
      <c r="Y127" s="38" t="n"/>
      <c r="Z127" s="38" t="n"/>
      <c r="AA127" s="38" t="n"/>
      <c r="AB127" s="38" t="n"/>
      <c r="AC127" s="38" t="n"/>
      <c r="AD127" s="38" t="n"/>
      <c r="AE127" s="38" t="n"/>
      <c r="AF127" s="36">
        <f>IF($A127="","",$A127&amp;"|"&amp;$C127)</f>
        <v/>
      </c>
      <c r="AG127" s="36">
        <f>IF($A127="","",IF(OR(H127="לא נבדק",H127=""),"לא נבדק",IF(AND(H127="בחר/ה בעצמו/ה",I127="כן",J127="לא"),"מלא",IF(OR(H127="בחר/ה בעצמו/ה",I127="כן"),"חלקי","עדיין לא"))))</f>
        <v/>
      </c>
      <c r="AH127" s="37">
        <f>IF($A127="","",IFERROR(COUNTIF(K127:L127,"כן")/(COUNTIF(K127:L127,"כן")+COUNTIF(K127:L127,"לא")),""))</f>
        <v/>
      </c>
      <c r="AI127" s="37">
        <f>IF($A127="","",IFERROR(COUNTIF(M127:N127,"כן")/(COUNTIF(M127:N127,"כן")+COUNTIF(M127:N127,"לא")),""))</f>
        <v/>
      </c>
      <c r="AJ127" s="37">
        <f>IF($A127="","",IFERROR(COUNTIF(O127:P127,"כן")/(COUNTIF(O127:P127,"כן")+COUNTIF(O127:P127,"לא")),""))</f>
        <v/>
      </c>
      <c r="AK127" s="37">
        <f>IF($A127="","",IFERROR(COUNTIF(Q127:R127,"כן")/(COUNTIF(Q127:R127,"כן")+COUNTIF(Q127:R127,"לא")),""))</f>
        <v/>
      </c>
      <c r="AL127" s="37">
        <f>IF($A127="","",IFERROR(COUNTIF(K127:R127,"כן")/(COUNTIF(K127:R127,"כן")+COUNTIF(K127:R127,"לא")),""))</f>
        <v/>
      </c>
      <c r="AM127" s="37">
        <f>IF($A127="","",IFERROR((COUNTIF(S127:Z127,"רוב הזמן")+0.5*COUNTIF(S127:Z127,"לפעמים"))/(COUNTIF(S127:Z127,"רוב הזמן")+COUNTIF(S127:Z127,"לפעמים")+COUNTIF(S127:Z127,"עדיין לא")),""))</f>
        <v/>
      </c>
      <c r="AN127" s="37">
        <f>IF($A127="","",IFERROR(1-SUMPRODUCT(ABS((K127:R127="כן")-((S127:Z127="רוב הזמן")+0.5*(S127:Z127="לפעמים")))*(((K127:R127="כן")+(K127:R127="לא"))*((S127:Z127="רוב הזמן")+(S127:Z127="לפעמים")+(S127:Z127="עדיין לא"))))/SUMPRODUCT((((K127:R127="כן")+(K127:R127="לא"))*((S127:Z127="רוב הזמן")+(S127:Z127="לפעמים")+(S127:Z127="עדיין לא")))),""))</f>
        <v/>
      </c>
      <c r="AO127" s="36">
        <f>IF($A127="","",SUMPRODUCT((((K127:R127="כן")-((S127:Z127="רוב הזמן")+0.5*(S127:Z127="לפעמים")))&gt;0.01)*(((K127:R127="כן")+(K127:R127="לא"))*((S127:Z127="רוב הזמן")+(S127:Z127="לפעמים")+(S127:Z127="עדיין לא")))))</f>
        <v/>
      </c>
      <c r="AP127" s="36">
        <f>IF($A127="","",SUMPRODUCT(((((S127:Z127="רוב הזמן")+0.5*(S127:Z127="לפעמים"))-(K127:R127="כן"))&gt;0.01)*(((K127:R127="כן")+(K127:R127="לא"))*((S127:Z127="רוב הזמן")+(S127:Z127="לפעמים")+(S127:Z127="עדיין לא")))))</f>
        <v/>
      </c>
      <c r="AQ127" s="36">
        <f>IF($A127="","",COUNTIF(AA127:AC127,"כן"))</f>
        <v/>
      </c>
      <c r="AR127" s="38" t="n"/>
      <c r="AS127" s="38" t="n"/>
      <c r="AT127" s="38" t="n"/>
      <c r="AU127" s="38" t="n"/>
      <c r="AV127" s="36">
        <f>IF($A127="","",IF(AND(AR127="",AT127=""),"לא נבדק",IF(AND(OR(AR127="",AR127=AS127),OR(AT127="",AT127=AU127)),"תואם","לא תואם")))</f>
        <v/>
      </c>
      <c r="AW127" s="36">
        <f>IF($A127="","",IF(AND(AV127&lt;&gt;"לא תואם",G127&lt;&gt;"לא ברור"),"אמין","לפרש בזהירות"))</f>
        <v/>
      </c>
    </row>
    <row r="128">
      <c r="A128" s="38" t="n"/>
      <c r="B128" s="38" t="n"/>
      <c r="C128" s="38" t="n"/>
      <c r="D128" s="38" t="n"/>
      <c r="E128" s="38" t="n"/>
      <c r="F128" s="38" t="n"/>
      <c r="G128" s="38" t="n"/>
      <c r="H128" s="38" t="n"/>
      <c r="I128" s="38" t="n"/>
      <c r="J128" s="38" t="n"/>
      <c r="K128" s="38" t="n"/>
      <c r="L128" s="38" t="n"/>
      <c r="M128" s="38" t="n"/>
      <c r="N128" s="38" t="n"/>
      <c r="O128" s="38" t="n"/>
      <c r="P128" s="38" t="n"/>
      <c r="Q128" s="38" t="n"/>
      <c r="R128" s="38" t="n"/>
      <c r="S128" s="38" t="n"/>
      <c r="T128" s="38" t="n"/>
      <c r="U128" s="38" t="n"/>
      <c r="V128" s="38" t="n"/>
      <c r="W128" s="38" t="n"/>
      <c r="X128" s="38" t="n"/>
      <c r="Y128" s="38" t="n"/>
      <c r="Z128" s="38" t="n"/>
      <c r="AA128" s="38" t="n"/>
      <c r="AB128" s="38" t="n"/>
      <c r="AC128" s="38" t="n"/>
      <c r="AD128" s="38" t="n"/>
      <c r="AE128" s="38" t="n"/>
      <c r="AF128" s="36">
        <f>IF($A128="","",$A128&amp;"|"&amp;$C128)</f>
        <v/>
      </c>
      <c r="AG128" s="36">
        <f>IF($A128="","",IF(OR(H128="לא נבדק",H128=""),"לא נבדק",IF(AND(H128="בחר/ה בעצמו/ה",I128="כן",J128="לא"),"מלא",IF(OR(H128="בחר/ה בעצמו/ה",I128="כן"),"חלקי","עדיין לא"))))</f>
        <v/>
      </c>
      <c r="AH128" s="37">
        <f>IF($A128="","",IFERROR(COUNTIF(K128:L128,"כן")/(COUNTIF(K128:L128,"כן")+COUNTIF(K128:L128,"לא")),""))</f>
        <v/>
      </c>
      <c r="AI128" s="37">
        <f>IF($A128="","",IFERROR(COUNTIF(M128:N128,"כן")/(COUNTIF(M128:N128,"כן")+COUNTIF(M128:N128,"לא")),""))</f>
        <v/>
      </c>
      <c r="AJ128" s="37">
        <f>IF($A128="","",IFERROR(COUNTIF(O128:P128,"כן")/(COUNTIF(O128:P128,"כן")+COUNTIF(O128:P128,"לא")),""))</f>
        <v/>
      </c>
      <c r="AK128" s="37">
        <f>IF($A128="","",IFERROR(COUNTIF(Q128:R128,"כן")/(COUNTIF(Q128:R128,"כן")+COUNTIF(Q128:R128,"לא")),""))</f>
        <v/>
      </c>
      <c r="AL128" s="37">
        <f>IF($A128="","",IFERROR(COUNTIF(K128:R128,"כן")/(COUNTIF(K128:R128,"כן")+COUNTIF(K128:R128,"לא")),""))</f>
        <v/>
      </c>
      <c r="AM128" s="37">
        <f>IF($A128="","",IFERROR((COUNTIF(S128:Z128,"רוב הזמן")+0.5*COUNTIF(S128:Z128,"לפעמים"))/(COUNTIF(S128:Z128,"רוב הזמן")+COUNTIF(S128:Z128,"לפעמים")+COUNTIF(S128:Z128,"עדיין לא")),""))</f>
        <v/>
      </c>
      <c r="AN128" s="37">
        <f>IF($A128="","",IFERROR(1-SUMPRODUCT(ABS((K128:R128="כן")-((S128:Z128="רוב הזמן")+0.5*(S128:Z128="לפעמים")))*(((K128:R128="כן")+(K128:R128="לא"))*((S128:Z128="רוב הזמן")+(S128:Z128="לפעמים")+(S128:Z128="עדיין לא"))))/SUMPRODUCT((((K128:R128="כן")+(K128:R128="לא"))*((S128:Z128="רוב הזמן")+(S128:Z128="לפעמים")+(S128:Z128="עדיין לא")))),""))</f>
        <v/>
      </c>
      <c r="AO128" s="36">
        <f>IF($A128="","",SUMPRODUCT((((K128:R128="כן")-((S128:Z128="רוב הזמן")+0.5*(S128:Z128="לפעמים")))&gt;0.01)*(((K128:R128="כן")+(K128:R128="לא"))*((S128:Z128="רוב הזמן")+(S128:Z128="לפעמים")+(S128:Z128="עדיין לא")))))</f>
        <v/>
      </c>
      <c r="AP128" s="36">
        <f>IF($A128="","",SUMPRODUCT(((((S128:Z128="רוב הזמן")+0.5*(S128:Z128="לפעמים"))-(K128:R128="כן"))&gt;0.01)*(((K128:R128="כן")+(K128:R128="לא"))*((S128:Z128="רוב הזמן")+(S128:Z128="לפעמים")+(S128:Z128="עדיין לא")))))</f>
        <v/>
      </c>
      <c r="AQ128" s="36">
        <f>IF($A128="","",COUNTIF(AA128:AC128,"כן"))</f>
        <v/>
      </c>
      <c r="AR128" s="38" t="n"/>
      <c r="AS128" s="38" t="n"/>
      <c r="AT128" s="38" t="n"/>
      <c r="AU128" s="38" t="n"/>
      <c r="AV128" s="36">
        <f>IF($A128="","",IF(AND(AR128="",AT128=""),"לא נבדק",IF(AND(OR(AR128="",AR128=AS128),OR(AT128="",AT128=AU128)),"תואם","לא תואם")))</f>
        <v/>
      </c>
      <c r="AW128" s="36">
        <f>IF($A128="","",IF(AND(AV128&lt;&gt;"לא תואם",G128&lt;&gt;"לא ברור"),"אמין","לפרש בזהירות"))</f>
        <v/>
      </c>
    </row>
    <row r="129">
      <c r="A129" s="38" t="n"/>
      <c r="B129" s="38" t="n"/>
      <c r="C129" s="38" t="n"/>
      <c r="D129" s="38" t="n"/>
      <c r="E129" s="38" t="n"/>
      <c r="F129" s="38" t="n"/>
      <c r="G129" s="38" t="n"/>
      <c r="H129" s="38" t="n"/>
      <c r="I129" s="38" t="n"/>
      <c r="J129" s="38" t="n"/>
      <c r="K129" s="38" t="n"/>
      <c r="L129" s="38" t="n"/>
      <c r="M129" s="38" t="n"/>
      <c r="N129" s="38" t="n"/>
      <c r="O129" s="38" t="n"/>
      <c r="P129" s="38" t="n"/>
      <c r="Q129" s="38" t="n"/>
      <c r="R129" s="38" t="n"/>
      <c r="S129" s="38" t="n"/>
      <c r="T129" s="38" t="n"/>
      <c r="U129" s="38" t="n"/>
      <c r="V129" s="38" t="n"/>
      <c r="W129" s="38" t="n"/>
      <c r="X129" s="38" t="n"/>
      <c r="Y129" s="38" t="n"/>
      <c r="Z129" s="38" t="n"/>
      <c r="AA129" s="38" t="n"/>
      <c r="AB129" s="38" t="n"/>
      <c r="AC129" s="38" t="n"/>
      <c r="AD129" s="38" t="n"/>
      <c r="AE129" s="38" t="n"/>
      <c r="AF129" s="36">
        <f>IF($A129="","",$A129&amp;"|"&amp;$C129)</f>
        <v/>
      </c>
      <c r="AG129" s="36">
        <f>IF($A129="","",IF(OR(H129="לא נבדק",H129=""),"לא נבדק",IF(AND(H129="בחר/ה בעצמו/ה",I129="כן",J129="לא"),"מלא",IF(OR(H129="בחר/ה בעצמו/ה",I129="כן"),"חלקי","עדיין לא"))))</f>
        <v/>
      </c>
      <c r="AH129" s="37">
        <f>IF($A129="","",IFERROR(COUNTIF(K129:L129,"כן")/(COUNTIF(K129:L129,"כן")+COUNTIF(K129:L129,"לא")),""))</f>
        <v/>
      </c>
      <c r="AI129" s="37">
        <f>IF($A129="","",IFERROR(COUNTIF(M129:N129,"כן")/(COUNTIF(M129:N129,"כן")+COUNTIF(M129:N129,"לא")),""))</f>
        <v/>
      </c>
      <c r="AJ129" s="37">
        <f>IF($A129="","",IFERROR(COUNTIF(O129:P129,"כן")/(COUNTIF(O129:P129,"כן")+COUNTIF(O129:P129,"לא")),""))</f>
        <v/>
      </c>
      <c r="AK129" s="37">
        <f>IF($A129="","",IFERROR(COUNTIF(Q129:R129,"כן")/(COUNTIF(Q129:R129,"כן")+COUNTIF(Q129:R129,"לא")),""))</f>
        <v/>
      </c>
      <c r="AL129" s="37">
        <f>IF($A129="","",IFERROR(COUNTIF(K129:R129,"כן")/(COUNTIF(K129:R129,"כן")+COUNTIF(K129:R129,"לא")),""))</f>
        <v/>
      </c>
      <c r="AM129" s="37">
        <f>IF($A129="","",IFERROR((COUNTIF(S129:Z129,"רוב הזמן")+0.5*COUNTIF(S129:Z129,"לפעמים"))/(COUNTIF(S129:Z129,"רוב הזמן")+COUNTIF(S129:Z129,"לפעמים")+COUNTIF(S129:Z129,"עדיין לא")),""))</f>
        <v/>
      </c>
      <c r="AN129" s="37">
        <f>IF($A129="","",IFERROR(1-SUMPRODUCT(ABS((K129:R129="כן")-((S129:Z129="רוב הזמן")+0.5*(S129:Z129="לפעמים")))*(((K129:R129="כן")+(K129:R129="לא"))*((S129:Z129="רוב הזמן")+(S129:Z129="לפעמים")+(S129:Z129="עדיין לא"))))/SUMPRODUCT((((K129:R129="כן")+(K129:R129="לא"))*((S129:Z129="רוב הזמן")+(S129:Z129="לפעמים")+(S129:Z129="עדיין לא")))),""))</f>
        <v/>
      </c>
      <c r="AO129" s="36">
        <f>IF($A129="","",SUMPRODUCT((((K129:R129="כן")-((S129:Z129="רוב הזמן")+0.5*(S129:Z129="לפעמים")))&gt;0.01)*(((K129:R129="כן")+(K129:R129="לא"))*((S129:Z129="רוב הזמן")+(S129:Z129="לפעמים")+(S129:Z129="עדיין לא")))))</f>
        <v/>
      </c>
      <c r="AP129" s="36">
        <f>IF($A129="","",SUMPRODUCT(((((S129:Z129="רוב הזמן")+0.5*(S129:Z129="לפעמים"))-(K129:R129="כן"))&gt;0.01)*(((K129:R129="כן")+(K129:R129="לא"))*((S129:Z129="רוב הזמן")+(S129:Z129="לפעמים")+(S129:Z129="עדיין לא")))))</f>
        <v/>
      </c>
      <c r="AQ129" s="36">
        <f>IF($A129="","",COUNTIF(AA129:AC129,"כן"))</f>
        <v/>
      </c>
      <c r="AR129" s="38" t="n"/>
      <c r="AS129" s="38" t="n"/>
      <c r="AT129" s="38" t="n"/>
      <c r="AU129" s="38" t="n"/>
      <c r="AV129" s="36">
        <f>IF($A129="","",IF(AND(AR129="",AT129=""),"לא נבדק",IF(AND(OR(AR129="",AR129=AS129),OR(AT129="",AT129=AU129)),"תואם","לא תואם")))</f>
        <v/>
      </c>
      <c r="AW129" s="36">
        <f>IF($A129="","",IF(AND(AV129&lt;&gt;"לא תואם",G129&lt;&gt;"לא ברור"),"אמין","לפרש בזהירות"))</f>
        <v/>
      </c>
    </row>
    <row r="130">
      <c r="A130" s="38" t="n"/>
      <c r="B130" s="38" t="n"/>
      <c r="C130" s="38" t="n"/>
      <c r="D130" s="38" t="n"/>
      <c r="E130" s="38" t="n"/>
      <c r="F130" s="38" t="n"/>
      <c r="G130" s="38" t="n"/>
      <c r="H130" s="38" t="n"/>
      <c r="I130" s="38" t="n"/>
      <c r="J130" s="38" t="n"/>
      <c r="K130" s="38" t="n"/>
      <c r="L130" s="38" t="n"/>
      <c r="M130" s="38" t="n"/>
      <c r="N130" s="38" t="n"/>
      <c r="O130" s="38" t="n"/>
      <c r="P130" s="38" t="n"/>
      <c r="Q130" s="38" t="n"/>
      <c r="R130" s="38" t="n"/>
      <c r="S130" s="38" t="n"/>
      <c r="T130" s="38" t="n"/>
      <c r="U130" s="38" t="n"/>
      <c r="V130" s="38" t="n"/>
      <c r="W130" s="38" t="n"/>
      <c r="X130" s="38" t="n"/>
      <c r="Y130" s="38" t="n"/>
      <c r="Z130" s="38" t="n"/>
      <c r="AA130" s="38" t="n"/>
      <c r="AB130" s="38" t="n"/>
      <c r="AC130" s="38" t="n"/>
      <c r="AD130" s="38" t="n"/>
      <c r="AE130" s="38" t="n"/>
      <c r="AF130" s="36">
        <f>IF($A130="","",$A130&amp;"|"&amp;$C130)</f>
        <v/>
      </c>
      <c r="AG130" s="36">
        <f>IF($A130="","",IF(OR(H130="לא נבדק",H130=""),"לא נבדק",IF(AND(H130="בחר/ה בעצמו/ה",I130="כן",J130="לא"),"מלא",IF(OR(H130="בחר/ה בעצמו/ה",I130="כן"),"חלקי","עדיין לא"))))</f>
        <v/>
      </c>
      <c r="AH130" s="37">
        <f>IF($A130="","",IFERROR(COUNTIF(K130:L130,"כן")/(COUNTIF(K130:L130,"כן")+COUNTIF(K130:L130,"לא")),""))</f>
        <v/>
      </c>
      <c r="AI130" s="37">
        <f>IF($A130="","",IFERROR(COUNTIF(M130:N130,"כן")/(COUNTIF(M130:N130,"כן")+COUNTIF(M130:N130,"לא")),""))</f>
        <v/>
      </c>
      <c r="AJ130" s="37">
        <f>IF($A130="","",IFERROR(COUNTIF(O130:P130,"כן")/(COUNTIF(O130:P130,"כן")+COUNTIF(O130:P130,"לא")),""))</f>
        <v/>
      </c>
      <c r="AK130" s="37">
        <f>IF($A130="","",IFERROR(COUNTIF(Q130:R130,"כן")/(COUNTIF(Q130:R130,"כן")+COUNTIF(Q130:R130,"לא")),""))</f>
        <v/>
      </c>
      <c r="AL130" s="37">
        <f>IF($A130="","",IFERROR(COUNTIF(K130:R130,"כן")/(COUNTIF(K130:R130,"כן")+COUNTIF(K130:R130,"לא")),""))</f>
        <v/>
      </c>
      <c r="AM130" s="37">
        <f>IF($A130="","",IFERROR((COUNTIF(S130:Z130,"רוב הזמן")+0.5*COUNTIF(S130:Z130,"לפעמים"))/(COUNTIF(S130:Z130,"רוב הזמן")+COUNTIF(S130:Z130,"לפעמים")+COUNTIF(S130:Z130,"עדיין לא")),""))</f>
        <v/>
      </c>
      <c r="AN130" s="37">
        <f>IF($A130="","",IFERROR(1-SUMPRODUCT(ABS((K130:R130="כן")-((S130:Z130="רוב הזמן")+0.5*(S130:Z130="לפעמים")))*(((K130:R130="כן")+(K130:R130="לא"))*((S130:Z130="רוב הזמן")+(S130:Z130="לפעמים")+(S130:Z130="עדיין לא"))))/SUMPRODUCT((((K130:R130="כן")+(K130:R130="לא"))*((S130:Z130="רוב הזמן")+(S130:Z130="לפעמים")+(S130:Z130="עדיין לא")))),""))</f>
        <v/>
      </c>
      <c r="AO130" s="36">
        <f>IF($A130="","",SUMPRODUCT((((K130:R130="כן")-((S130:Z130="רוב הזמן")+0.5*(S130:Z130="לפעמים")))&gt;0.01)*(((K130:R130="כן")+(K130:R130="לא"))*((S130:Z130="רוב הזמן")+(S130:Z130="לפעמים")+(S130:Z130="עדיין לא")))))</f>
        <v/>
      </c>
      <c r="AP130" s="36">
        <f>IF($A130="","",SUMPRODUCT(((((S130:Z130="רוב הזמן")+0.5*(S130:Z130="לפעמים"))-(K130:R130="כן"))&gt;0.01)*(((K130:R130="כן")+(K130:R130="לא"))*((S130:Z130="רוב הזמן")+(S130:Z130="לפעמים")+(S130:Z130="עדיין לא")))))</f>
        <v/>
      </c>
      <c r="AQ130" s="36">
        <f>IF($A130="","",COUNTIF(AA130:AC130,"כן"))</f>
        <v/>
      </c>
      <c r="AR130" s="38" t="n"/>
      <c r="AS130" s="38" t="n"/>
      <c r="AT130" s="38" t="n"/>
      <c r="AU130" s="38" t="n"/>
      <c r="AV130" s="36">
        <f>IF($A130="","",IF(AND(AR130="",AT130=""),"לא נבדק",IF(AND(OR(AR130="",AR130=AS130),OR(AT130="",AT130=AU130)),"תואם","לא תואם")))</f>
        <v/>
      </c>
      <c r="AW130" s="36">
        <f>IF($A130="","",IF(AND(AV130&lt;&gt;"לא תואם",G130&lt;&gt;"לא ברור"),"אמין","לפרש בזהירות"))</f>
        <v/>
      </c>
    </row>
    <row r="131">
      <c r="A131" s="38" t="n"/>
      <c r="B131" s="38" t="n"/>
      <c r="C131" s="38" t="n"/>
      <c r="D131" s="38" t="n"/>
      <c r="E131" s="38" t="n"/>
      <c r="F131" s="38" t="n"/>
      <c r="G131" s="38" t="n"/>
      <c r="H131" s="38" t="n"/>
      <c r="I131" s="38" t="n"/>
      <c r="J131" s="38" t="n"/>
      <c r="K131" s="38" t="n"/>
      <c r="L131" s="38" t="n"/>
      <c r="M131" s="38" t="n"/>
      <c r="N131" s="38" t="n"/>
      <c r="O131" s="38" t="n"/>
      <c r="P131" s="38" t="n"/>
      <c r="Q131" s="38" t="n"/>
      <c r="R131" s="38" t="n"/>
      <c r="S131" s="38" t="n"/>
      <c r="T131" s="38" t="n"/>
      <c r="U131" s="38" t="n"/>
      <c r="V131" s="38" t="n"/>
      <c r="W131" s="38" t="n"/>
      <c r="X131" s="38" t="n"/>
      <c r="Y131" s="38" t="n"/>
      <c r="Z131" s="38" t="n"/>
      <c r="AA131" s="38" t="n"/>
      <c r="AB131" s="38" t="n"/>
      <c r="AC131" s="38" t="n"/>
      <c r="AD131" s="38" t="n"/>
      <c r="AE131" s="38" t="n"/>
      <c r="AF131" s="36">
        <f>IF($A131="","",$A131&amp;"|"&amp;$C131)</f>
        <v/>
      </c>
      <c r="AG131" s="36">
        <f>IF($A131="","",IF(OR(H131="לא נבדק",H131=""),"לא נבדק",IF(AND(H131="בחר/ה בעצמו/ה",I131="כן",J131="לא"),"מלא",IF(OR(H131="בחר/ה בעצמו/ה",I131="כן"),"חלקי","עדיין לא"))))</f>
        <v/>
      </c>
      <c r="AH131" s="37">
        <f>IF($A131="","",IFERROR(COUNTIF(K131:L131,"כן")/(COUNTIF(K131:L131,"כן")+COUNTIF(K131:L131,"לא")),""))</f>
        <v/>
      </c>
      <c r="AI131" s="37">
        <f>IF($A131="","",IFERROR(COUNTIF(M131:N131,"כן")/(COUNTIF(M131:N131,"כן")+COUNTIF(M131:N131,"לא")),""))</f>
        <v/>
      </c>
      <c r="AJ131" s="37">
        <f>IF($A131="","",IFERROR(COUNTIF(O131:P131,"כן")/(COUNTIF(O131:P131,"כן")+COUNTIF(O131:P131,"לא")),""))</f>
        <v/>
      </c>
      <c r="AK131" s="37">
        <f>IF($A131="","",IFERROR(COUNTIF(Q131:R131,"כן")/(COUNTIF(Q131:R131,"כן")+COUNTIF(Q131:R131,"לא")),""))</f>
        <v/>
      </c>
      <c r="AL131" s="37">
        <f>IF($A131="","",IFERROR(COUNTIF(K131:R131,"כן")/(COUNTIF(K131:R131,"כן")+COUNTIF(K131:R131,"לא")),""))</f>
        <v/>
      </c>
      <c r="AM131" s="37">
        <f>IF($A131="","",IFERROR((COUNTIF(S131:Z131,"רוב הזמן")+0.5*COUNTIF(S131:Z131,"לפעמים"))/(COUNTIF(S131:Z131,"רוב הזמן")+COUNTIF(S131:Z131,"לפעמים")+COUNTIF(S131:Z131,"עדיין לא")),""))</f>
        <v/>
      </c>
      <c r="AN131" s="37">
        <f>IF($A131="","",IFERROR(1-SUMPRODUCT(ABS((K131:R131="כן")-((S131:Z131="רוב הזמן")+0.5*(S131:Z131="לפעמים")))*(((K131:R131="כן")+(K131:R131="לא"))*((S131:Z131="רוב הזמן")+(S131:Z131="לפעמים")+(S131:Z131="עדיין לא"))))/SUMPRODUCT((((K131:R131="כן")+(K131:R131="לא"))*((S131:Z131="רוב הזמן")+(S131:Z131="לפעמים")+(S131:Z131="עדיין לא")))),""))</f>
        <v/>
      </c>
      <c r="AO131" s="36">
        <f>IF($A131="","",SUMPRODUCT((((K131:R131="כן")-((S131:Z131="רוב הזמן")+0.5*(S131:Z131="לפעמים")))&gt;0.01)*(((K131:R131="כן")+(K131:R131="לא"))*((S131:Z131="רוב הזמן")+(S131:Z131="לפעמים")+(S131:Z131="עדיין לא")))))</f>
        <v/>
      </c>
      <c r="AP131" s="36">
        <f>IF($A131="","",SUMPRODUCT(((((S131:Z131="רוב הזמן")+0.5*(S131:Z131="לפעמים"))-(K131:R131="כן"))&gt;0.01)*(((K131:R131="כן")+(K131:R131="לא"))*((S131:Z131="רוב הזמן")+(S131:Z131="לפעמים")+(S131:Z131="עדיין לא")))))</f>
        <v/>
      </c>
      <c r="AQ131" s="36">
        <f>IF($A131="","",COUNTIF(AA131:AC131,"כן"))</f>
        <v/>
      </c>
      <c r="AR131" s="38" t="n"/>
      <c r="AS131" s="38" t="n"/>
      <c r="AT131" s="38" t="n"/>
      <c r="AU131" s="38" t="n"/>
      <c r="AV131" s="36">
        <f>IF($A131="","",IF(AND(AR131="",AT131=""),"לא נבדק",IF(AND(OR(AR131="",AR131=AS131),OR(AT131="",AT131=AU131)),"תואם","לא תואם")))</f>
        <v/>
      </c>
      <c r="AW131" s="36">
        <f>IF($A131="","",IF(AND(AV131&lt;&gt;"לא תואם",G131&lt;&gt;"לא ברור"),"אמין","לפרש בזהירות"))</f>
        <v/>
      </c>
    </row>
    <row r="132">
      <c r="A132" s="38" t="n"/>
      <c r="B132" s="38" t="n"/>
      <c r="C132" s="38" t="n"/>
      <c r="D132" s="38" t="n"/>
      <c r="E132" s="38" t="n"/>
      <c r="F132" s="38" t="n"/>
      <c r="G132" s="38" t="n"/>
      <c r="H132" s="38" t="n"/>
      <c r="I132" s="38" t="n"/>
      <c r="J132" s="38" t="n"/>
      <c r="K132" s="38" t="n"/>
      <c r="L132" s="38" t="n"/>
      <c r="M132" s="38" t="n"/>
      <c r="N132" s="38" t="n"/>
      <c r="O132" s="38" t="n"/>
      <c r="P132" s="38" t="n"/>
      <c r="Q132" s="38" t="n"/>
      <c r="R132" s="38" t="n"/>
      <c r="S132" s="38" t="n"/>
      <c r="T132" s="38" t="n"/>
      <c r="U132" s="38" t="n"/>
      <c r="V132" s="38" t="n"/>
      <c r="W132" s="38" t="n"/>
      <c r="X132" s="38" t="n"/>
      <c r="Y132" s="38" t="n"/>
      <c r="Z132" s="38" t="n"/>
      <c r="AA132" s="38" t="n"/>
      <c r="AB132" s="38" t="n"/>
      <c r="AC132" s="38" t="n"/>
      <c r="AD132" s="38" t="n"/>
      <c r="AE132" s="38" t="n"/>
      <c r="AF132" s="36">
        <f>IF($A132="","",$A132&amp;"|"&amp;$C132)</f>
        <v/>
      </c>
      <c r="AG132" s="36">
        <f>IF($A132="","",IF(OR(H132="לא נבדק",H132=""),"לא נבדק",IF(AND(H132="בחר/ה בעצמו/ה",I132="כן",J132="לא"),"מלא",IF(OR(H132="בחר/ה בעצמו/ה",I132="כן"),"חלקי","עדיין לא"))))</f>
        <v/>
      </c>
      <c r="AH132" s="37">
        <f>IF($A132="","",IFERROR(COUNTIF(K132:L132,"כן")/(COUNTIF(K132:L132,"כן")+COUNTIF(K132:L132,"לא")),""))</f>
        <v/>
      </c>
      <c r="AI132" s="37">
        <f>IF($A132="","",IFERROR(COUNTIF(M132:N132,"כן")/(COUNTIF(M132:N132,"כן")+COUNTIF(M132:N132,"לא")),""))</f>
        <v/>
      </c>
      <c r="AJ132" s="37">
        <f>IF($A132="","",IFERROR(COUNTIF(O132:P132,"כן")/(COUNTIF(O132:P132,"כן")+COUNTIF(O132:P132,"לא")),""))</f>
        <v/>
      </c>
      <c r="AK132" s="37">
        <f>IF($A132="","",IFERROR(COUNTIF(Q132:R132,"כן")/(COUNTIF(Q132:R132,"כן")+COUNTIF(Q132:R132,"לא")),""))</f>
        <v/>
      </c>
      <c r="AL132" s="37">
        <f>IF($A132="","",IFERROR(COUNTIF(K132:R132,"כן")/(COUNTIF(K132:R132,"כן")+COUNTIF(K132:R132,"לא")),""))</f>
        <v/>
      </c>
      <c r="AM132" s="37">
        <f>IF($A132="","",IFERROR((COUNTIF(S132:Z132,"רוב הזמן")+0.5*COUNTIF(S132:Z132,"לפעמים"))/(COUNTIF(S132:Z132,"רוב הזמן")+COUNTIF(S132:Z132,"לפעמים")+COUNTIF(S132:Z132,"עדיין לא")),""))</f>
        <v/>
      </c>
      <c r="AN132" s="37">
        <f>IF($A132="","",IFERROR(1-SUMPRODUCT(ABS((K132:R132="כן")-((S132:Z132="רוב הזמן")+0.5*(S132:Z132="לפעמים")))*(((K132:R132="כן")+(K132:R132="לא"))*((S132:Z132="רוב הזמן")+(S132:Z132="לפעמים")+(S132:Z132="עדיין לא"))))/SUMPRODUCT((((K132:R132="כן")+(K132:R132="לא"))*((S132:Z132="רוב הזמן")+(S132:Z132="לפעמים")+(S132:Z132="עדיין לא")))),""))</f>
        <v/>
      </c>
      <c r="AO132" s="36">
        <f>IF($A132="","",SUMPRODUCT((((K132:R132="כן")-((S132:Z132="רוב הזמן")+0.5*(S132:Z132="לפעמים")))&gt;0.01)*(((K132:R132="כן")+(K132:R132="לא"))*((S132:Z132="רוב הזמן")+(S132:Z132="לפעמים")+(S132:Z132="עדיין לא")))))</f>
        <v/>
      </c>
      <c r="AP132" s="36">
        <f>IF($A132="","",SUMPRODUCT(((((S132:Z132="רוב הזמן")+0.5*(S132:Z132="לפעמים"))-(K132:R132="כן"))&gt;0.01)*(((K132:R132="כן")+(K132:R132="לא"))*((S132:Z132="רוב הזמן")+(S132:Z132="לפעמים")+(S132:Z132="עדיין לא")))))</f>
        <v/>
      </c>
      <c r="AQ132" s="36">
        <f>IF($A132="","",COUNTIF(AA132:AC132,"כן"))</f>
        <v/>
      </c>
      <c r="AR132" s="38" t="n"/>
      <c r="AS132" s="38" t="n"/>
      <c r="AT132" s="38" t="n"/>
      <c r="AU132" s="38" t="n"/>
      <c r="AV132" s="36">
        <f>IF($A132="","",IF(AND(AR132="",AT132=""),"לא נבדק",IF(AND(OR(AR132="",AR132=AS132),OR(AT132="",AT132=AU132)),"תואם","לא תואם")))</f>
        <v/>
      </c>
      <c r="AW132" s="36">
        <f>IF($A132="","",IF(AND(AV132&lt;&gt;"לא תואם",G132&lt;&gt;"לא ברור"),"אמין","לפרש בזהירות"))</f>
        <v/>
      </c>
    </row>
    <row r="133">
      <c r="A133" s="38" t="n"/>
      <c r="B133" s="38" t="n"/>
      <c r="C133" s="38" t="n"/>
      <c r="D133" s="38" t="n"/>
      <c r="E133" s="38" t="n"/>
      <c r="F133" s="38" t="n"/>
      <c r="G133" s="38" t="n"/>
      <c r="H133" s="38" t="n"/>
      <c r="I133" s="38" t="n"/>
      <c r="J133" s="38" t="n"/>
      <c r="K133" s="38" t="n"/>
      <c r="L133" s="38" t="n"/>
      <c r="M133" s="38" t="n"/>
      <c r="N133" s="38" t="n"/>
      <c r="O133" s="38" t="n"/>
      <c r="P133" s="38" t="n"/>
      <c r="Q133" s="38" t="n"/>
      <c r="R133" s="38" t="n"/>
      <c r="S133" s="38" t="n"/>
      <c r="T133" s="38" t="n"/>
      <c r="U133" s="38" t="n"/>
      <c r="V133" s="38" t="n"/>
      <c r="W133" s="38" t="n"/>
      <c r="X133" s="38" t="n"/>
      <c r="Y133" s="38" t="n"/>
      <c r="Z133" s="38" t="n"/>
      <c r="AA133" s="38" t="n"/>
      <c r="AB133" s="38" t="n"/>
      <c r="AC133" s="38" t="n"/>
      <c r="AD133" s="38" t="n"/>
      <c r="AE133" s="38" t="n"/>
      <c r="AF133" s="36">
        <f>IF($A133="","",$A133&amp;"|"&amp;$C133)</f>
        <v/>
      </c>
      <c r="AG133" s="36">
        <f>IF($A133="","",IF(OR(H133="לא נבדק",H133=""),"לא נבדק",IF(AND(H133="בחר/ה בעצמו/ה",I133="כן",J133="לא"),"מלא",IF(OR(H133="בחר/ה בעצמו/ה",I133="כן"),"חלקי","עדיין לא"))))</f>
        <v/>
      </c>
      <c r="AH133" s="37">
        <f>IF($A133="","",IFERROR(COUNTIF(K133:L133,"כן")/(COUNTIF(K133:L133,"כן")+COUNTIF(K133:L133,"לא")),""))</f>
        <v/>
      </c>
      <c r="AI133" s="37">
        <f>IF($A133="","",IFERROR(COUNTIF(M133:N133,"כן")/(COUNTIF(M133:N133,"כן")+COUNTIF(M133:N133,"לא")),""))</f>
        <v/>
      </c>
      <c r="AJ133" s="37">
        <f>IF($A133="","",IFERROR(COUNTIF(O133:P133,"כן")/(COUNTIF(O133:P133,"כן")+COUNTIF(O133:P133,"לא")),""))</f>
        <v/>
      </c>
      <c r="AK133" s="37">
        <f>IF($A133="","",IFERROR(COUNTIF(Q133:R133,"כן")/(COUNTIF(Q133:R133,"כן")+COUNTIF(Q133:R133,"לא")),""))</f>
        <v/>
      </c>
      <c r="AL133" s="37">
        <f>IF($A133="","",IFERROR(COUNTIF(K133:R133,"כן")/(COUNTIF(K133:R133,"כן")+COUNTIF(K133:R133,"לא")),""))</f>
        <v/>
      </c>
      <c r="AM133" s="37">
        <f>IF($A133="","",IFERROR((COUNTIF(S133:Z133,"רוב הזמן")+0.5*COUNTIF(S133:Z133,"לפעמים"))/(COUNTIF(S133:Z133,"רוב הזמן")+COUNTIF(S133:Z133,"לפעמים")+COUNTIF(S133:Z133,"עדיין לא")),""))</f>
        <v/>
      </c>
      <c r="AN133" s="37">
        <f>IF($A133="","",IFERROR(1-SUMPRODUCT(ABS((K133:R133="כן")-((S133:Z133="רוב הזמן")+0.5*(S133:Z133="לפעמים")))*(((K133:R133="כן")+(K133:R133="לא"))*((S133:Z133="רוב הזמן")+(S133:Z133="לפעמים")+(S133:Z133="עדיין לא"))))/SUMPRODUCT((((K133:R133="כן")+(K133:R133="לא"))*((S133:Z133="רוב הזמן")+(S133:Z133="לפעמים")+(S133:Z133="עדיין לא")))),""))</f>
        <v/>
      </c>
      <c r="AO133" s="36">
        <f>IF($A133="","",SUMPRODUCT((((K133:R133="כן")-((S133:Z133="רוב הזמן")+0.5*(S133:Z133="לפעמים")))&gt;0.01)*(((K133:R133="כן")+(K133:R133="לא"))*((S133:Z133="רוב הזמן")+(S133:Z133="לפעמים")+(S133:Z133="עדיין לא")))))</f>
        <v/>
      </c>
      <c r="AP133" s="36">
        <f>IF($A133="","",SUMPRODUCT(((((S133:Z133="רוב הזמן")+0.5*(S133:Z133="לפעמים"))-(K133:R133="כן"))&gt;0.01)*(((K133:R133="כן")+(K133:R133="לא"))*((S133:Z133="רוב הזמן")+(S133:Z133="לפעמים")+(S133:Z133="עדיין לא")))))</f>
        <v/>
      </c>
      <c r="AQ133" s="36">
        <f>IF($A133="","",COUNTIF(AA133:AC133,"כן"))</f>
        <v/>
      </c>
      <c r="AR133" s="38" t="n"/>
      <c r="AS133" s="38" t="n"/>
      <c r="AT133" s="38" t="n"/>
      <c r="AU133" s="38" t="n"/>
      <c r="AV133" s="36">
        <f>IF($A133="","",IF(AND(AR133="",AT133=""),"לא נבדק",IF(AND(OR(AR133="",AR133=AS133),OR(AT133="",AT133=AU133)),"תואם","לא תואם")))</f>
        <v/>
      </c>
      <c r="AW133" s="36">
        <f>IF($A133="","",IF(AND(AV133&lt;&gt;"לא תואם",G133&lt;&gt;"לא ברור"),"אמין","לפרש בזהירות"))</f>
        <v/>
      </c>
    </row>
    <row r="134">
      <c r="A134" s="38" t="n"/>
      <c r="B134" s="38" t="n"/>
      <c r="C134" s="38" t="n"/>
      <c r="D134" s="38" t="n"/>
      <c r="E134" s="38" t="n"/>
      <c r="F134" s="38" t="n"/>
      <c r="G134" s="38" t="n"/>
      <c r="H134" s="38" t="n"/>
      <c r="I134" s="38" t="n"/>
      <c r="J134" s="38" t="n"/>
      <c r="K134" s="38" t="n"/>
      <c r="L134" s="38" t="n"/>
      <c r="M134" s="38" t="n"/>
      <c r="N134" s="38" t="n"/>
      <c r="O134" s="38" t="n"/>
      <c r="P134" s="38" t="n"/>
      <c r="Q134" s="38" t="n"/>
      <c r="R134" s="38" t="n"/>
      <c r="S134" s="38" t="n"/>
      <c r="T134" s="38" t="n"/>
      <c r="U134" s="38" t="n"/>
      <c r="V134" s="38" t="n"/>
      <c r="W134" s="38" t="n"/>
      <c r="X134" s="38" t="n"/>
      <c r="Y134" s="38" t="n"/>
      <c r="Z134" s="38" t="n"/>
      <c r="AA134" s="38" t="n"/>
      <c r="AB134" s="38" t="n"/>
      <c r="AC134" s="38" t="n"/>
      <c r="AD134" s="38" t="n"/>
      <c r="AE134" s="38" t="n"/>
      <c r="AF134" s="36">
        <f>IF($A134="","",$A134&amp;"|"&amp;$C134)</f>
        <v/>
      </c>
      <c r="AG134" s="36">
        <f>IF($A134="","",IF(OR(H134="לא נבדק",H134=""),"לא נבדק",IF(AND(H134="בחר/ה בעצמו/ה",I134="כן",J134="לא"),"מלא",IF(OR(H134="בחר/ה בעצמו/ה",I134="כן"),"חלקי","עדיין לא"))))</f>
        <v/>
      </c>
      <c r="AH134" s="37">
        <f>IF($A134="","",IFERROR(COUNTIF(K134:L134,"כן")/(COUNTIF(K134:L134,"כן")+COUNTIF(K134:L134,"לא")),""))</f>
        <v/>
      </c>
      <c r="AI134" s="37">
        <f>IF($A134="","",IFERROR(COUNTIF(M134:N134,"כן")/(COUNTIF(M134:N134,"כן")+COUNTIF(M134:N134,"לא")),""))</f>
        <v/>
      </c>
      <c r="AJ134" s="37">
        <f>IF($A134="","",IFERROR(COUNTIF(O134:P134,"כן")/(COUNTIF(O134:P134,"כן")+COUNTIF(O134:P134,"לא")),""))</f>
        <v/>
      </c>
      <c r="AK134" s="37">
        <f>IF($A134="","",IFERROR(COUNTIF(Q134:R134,"כן")/(COUNTIF(Q134:R134,"כן")+COUNTIF(Q134:R134,"לא")),""))</f>
        <v/>
      </c>
      <c r="AL134" s="37">
        <f>IF($A134="","",IFERROR(COUNTIF(K134:R134,"כן")/(COUNTIF(K134:R134,"כן")+COUNTIF(K134:R134,"לא")),""))</f>
        <v/>
      </c>
      <c r="AM134" s="37">
        <f>IF($A134="","",IFERROR((COUNTIF(S134:Z134,"רוב הזמן")+0.5*COUNTIF(S134:Z134,"לפעמים"))/(COUNTIF(S134:Z134,"רוב הזמן")+COUNTIF(S134:Z134,"לפעמים")+COUNTIF(S134:Z134,"עדיין לא")),""))</f>
        <v/>
      </c>
      <c r="AN134" s="37">
        <f>IF($A134="","",IFERROR(1-SUMPRODUCT(ABS((K134:R134="כן")-((S134:Z134="רוב הזמן")+0.5*(S134:Z134="לפעמים")))*(((K134:R134="כן")+(K134:R134="לא"))*((S134:Z134="רוב הזמן")+(S134:Z134="לפעמים")+(S134:Z134="עדיין לא"))))/SUMPRODUCT((((K134:R134="כן")+(K134:R134="לא"))*((S134:Z134="רוב הזמן")+(S134:Z134="לפעמים")+(S134:Z134="עדיין לא")))),""))</f>
        <v/>
      </c>
      <c r="AO134" s="36">
        <f>IF($A134="","",SUMPRODUCT((((K134:R134="כן")-((S134:Z134="רוב הזמן")+0.5*(S134:Z134="לפעמים")))&gt;0.01)*(((K134:R134="כן")+(K134:R134="לא"))*((S134:Z134="רוב הזמן")+(S134:Z134="לפעמים")+(S134:Z134="עדיין לא")))))</f>
        <v/>
      </c>
      <c r="AP134" s="36">
        <f>IF($A134="","",SUMPRODUCT(((((S134:Z134="רוב הזמן")+0.5*(S134:Z134="לפעמים"))-(K134:R134="כן"))&gt;0.01)*(((K134:R134="כן")+(K134:R134="לא"))*((S134:Z134="רוב הזמן")+(S134:Z134="לפעמים")+(S134:Z134="עדיין לא")))))</f>
        <v/>
      </c>
      <c r="AQ134" s="36">
        <f>IF($A134="","",COUNTIF(AA134:AC134,"כן"))</f>
        <v/>
      </c>
      <c r="AR134" s="38" t="n"/>
      <c r="AS134" s="38" t="n"/>
      <c r="AT134" s="38" t="n"/>
      <c r="AU134" s="38" t="n"/>
      <c r="AV134" s="36">
        <f>IF($A134="","",IF(AND(AR134="",AT134=""),"לא נבדק",IF(AND(OR(AR134="",AR134=AS134),OR(AT134="",AT134=AU134)),"תואם","לא תואם")))</f>
        <v/>
      </c>
      <c r="AW134" s="36">
        <f>IF($A134="","",IF(AND(AV134&lt;&gt;"לא תואם",G134&lt;&gt;"לא ברור"),"אמין","לפרש בזהירות"))</f>
        <v/>
      </c>
    </row>
    <row r="135">
      <c r="A135" s="38" t="n"/>
      <c r="B135" s="38" t="n"/>
      <c r="C135" s="38" t="n"/>
      <c r="D135" s="38" t="n"/>
      <c r="E135" s="38" t="n"/>
      <c r="F135" s="38" t="n"/>
      <c r="G135" s="38" t="n"/>
      <c r="H135" s="38" t="n"/>
      <c r="I135" s="38" t="n"/>
      <c r="J135" s="38" t="n"/>
      <c r="K135" s="38" t="n"/>
      <c r="L135" s="38" t="n"/>
      <c r="M135" s="38" t="n"/>
      <c r="N135" s="38" t="n"/>
      <c r="O135" s="38" t="n"/>
      <c r="P135" s="38" t="n"/>
      <c r="Q135" s="38" t="n"/>
      <c r="R135" s="38" t="n"/>
      <c r="S135" s="38" t="n"/>
      <c r="T135" s="38" t="n"/>
      <c r="U135" s="38" t="n"/>
      <c r="V135" s="38" t="n"/>
      <c r="W135" s="38" t="n"/>
      <c r="X135" s="38" t="n"/>
      <c r="Y135" s="38" t="n"/>
      <c r="Z135" s="38" t="n"/>
      <c r="AA135" s="38" t="n"/>
      <c r="AB135" s="38" t="n"/>
      <c r="AC135" s="38" t="n"/>
      <c r="AD135" s="38" t="n"/>
      <c r="AE135" s="38" t="n"/>
      <c r="AF135" s="36">
        <f>IF($A135="","",$A135&amp;"|"&amp;$C135)</f>
        <v/>
      </c>
      <c r="AG135" s="36">
        <f>IF($A135="","",IF(OR(H135="לא נבדק",H135=""),"לא נבדק",IF(AND(H135="בחר/ה בעצמו/ה",I135="כן",J135="לא"),"מלא",IF(OR(H135="בחר/ה בעצמו/ה",I135="כן"),"חלקי","עדיין לא"))))</f>
        <v/>
      </c>
      <c r="AH135" s="37">
        <f>IF($A135="","",IFERROR(COUNTIF(K135:L135,"כן")/(COUNTIF(K135:L135,"כן")+COUNTIF(K135:L135,"לא")),""))</f>
        <v/>
      </c>
      <c r="AI135" s="37">
        <f>IF($A135="","",IFERROR(COUNTIF(M135:N135,"כן")/(COUNTIF(M135:N135,"כן")+COUNTIF(M135:N135,"לא")),""))</f>
        <v/>
      </c>
      <c r="AJ135" s="37">
        <f>IF($A135="","",IFERROR(COUNTIF(O135:P135,"כן")/(COUNTIF(O135:P135,"כן")+COUNTIF(O135:P135,"לא")),""))</f>
        <v/>
      </c>
      <c r="AK135" s="37">
        <f>IF($A135="","",IFERROR(COUNTIF(Q135:R135,"כן")/(COUNTIF(Q135:R135,"כן")+COUNTIF(Q135:R135,"לא")),""))</f>
        <v/>
      </c>
      <c r="AL135" s="37">
        <f>IF($A135="","",IFERROR(COUNTIF(K135:R135,"כן")/(COUNTIF(K135:R135,"כן")+COUNTIF(K135:R135,"לא")),""))</f>
        <v/>
      </c>
      <c r="AM135" s="37">
        <f>IF($A135="","",IFERROR((COUNTIF(S135:Z135,"רוב הזמן")+0.5*COUNTIF(S135:Z135,"לפעמים"))/(COUNTIF(S135:Z135,"רוב הזמן")+COUNTIF(S135:Z135,"לפעמים")+COUNTIF(S135:Z135,"עדיין לא")),""))</f>
        <v/>
      </c>
      <c r="AN135" s="37">
        <f>IF($A135="","",IFERROR(1-SUMPRODUCT(ABS((K135:R135="כן")-((S135:Z135="רוב הזמן")+0.5*(S135:Z135="לפעמים")))*(((K135:R135="כן")+(K135:R135="לא"))*((S135:Z135="רוב הזמן")+(S135:Z135="לפעמים")+(S135:Z135="עדיין לא"))))/SUMPRODUCT((((K135:R135="כן")+(K135:R135="לא"))*((S135:Z135="רוב הזמן")+(S135:Z135="לפעמים")+(S135:Z135="עדיין לא")))),""))</f>
        <v/>
      </c>
      <c r="AO135" s="36">
        <f>IF($A135="","",SUMPRODUCT((((K135:R135="כן")-((S135:Z135="רוב הזמן")+0.5*(S135:Z135="לפעמים")))&gt;0.01)*(((K135:R135="כן")+(K135:R135="לא"))*((S135:Z135="רוב הזמן")+(S135:Z135="לפעמים")+(S135:Z135="עדיין לא")))))</f>
        <v/>
      </c>
      <c r="AP135" s="36">
        <f>IF($A135="","",SUMPRODUCT(((((S135:Z135="רוב הזמן")+0.5*(S135:Z135="לפעמים"))-(K135:R135="כן"))&gt;0.01)*(((K135:R135="כן")+(K135:R135="לא"))*((S135:Z135="רוב הזמן")+(S135:Z135="לפעמים")+(S135:Z135="עדיין לא")))))</f>
        <v/>
      </c>
      <c r="AQ135" s="36">
        <f>IF($A135="","",COUNTIF(AA135:AC135,"כן"))</f>
        <v/>
      </c>
      <c r="AR135" s="38" t="n"/>
      <c r="AS135" s="38" t="n"/>
      <c r="AT135" s="38" t="n"/>
      <c r="AU135" s="38" t="n"/>
      <c r="AV135" s="36">
        <f>IF($A135="","",IF(AND(AR135="",AT135=""),"לא נבדק",IF(AND(OR(AR135="",AR135=AS135),OR(AT135="",AT135=AU135)),"תואם","לא תואם")))</f>
        <v/>
      </c>
      <c r="AW135" s="36">
        <f>IF($A135="","",IF(AND(AV135&lt;&gt;"לא תואם",G135&lt;&gt;"לא ברור"),"אמין","לפרש בזהירות"))</f>
        <v/>
      </c>
    </row>
    <row r="136">
      <c r="A136" s="38" t="n"/>
      <c r="B136" s="38" t="n"/>
      <c r="C136" s="38" t="n"/>
      <c r="D136" s="38" t="n"/>
      <c r="E136" s="38" t="n"/>
      <c r="F136" s="38" t="n"/>
      <c r="G136" s="38" t="n"/>
      <c r="H136" s="38" t="n"/>
      <c r="I136" s="38" t="n"/>
      <c r="J136" s="38" t="n"/>
      <c r="K136" s="38" t="n"/>
      <c r="L136" s="38" t="n"/>
      <c r="M136" s="38" t="n"/>
      <c r="N136" s="38" t="n"/>
      <c r="O136" s="38" t="n"/>
      <c r="P136" s="38" t="n"/>
      <c r="Q136" s="38" t="n"/>
      <c r="R136" s="38" t="n"/>
      <c r="S136" s="38" t="n"/>
      <c r="T136" s="38" t="n"/>
      <c r="U136" s="38" t="n"/>
      <c r="V136" s="38" t="n"/>
      <c r="W136" s="38" t="n"/>
      <c r="X136" s="38" t="n"/>
      <c r="Y136" s="38" t="n"/>
      <c r="Z136" s="38" t="n"/>
      <c r="AA136" s="38" t="n"/>
      <c r="AB136" s="38" t="n"/>
      <c r="AC136" s="38" t="n"/>
      <c r="AD136" s="38" t="n"/>
      <c r="AE136" s="38" t="n"/>
      <c r="AF136" s="36">
        <f>IF($A136="","",$A136&amp;"|"&amp;$C136)</f>
        <v/>
      </c>
      <c r="AG136" s="36">
        <f>IF($A136="","",IF(OR(H136="לא נבדק",H136=""),"לא נבדק",IF(AND(H136="בחר/ה בעצמו/ה",I136="כן",J136="לא"),"מלא",IF(OR(H136="בחר/ה בעצמו/ה",I136="כן"),"חלקי","עדיין לא"))))</f>
        <v/>
      </c>
      <c r="AH136" s="37">
        <f>IF($A136="","",IFERROR(COUNTIF(K136:L136,"כן")/(COUNTIF(K136:L136,"כן")+COUNTIF(K136:L136,"לא")),""))</f>
        <v/>
      </c>
      <c r="AI136" s="37">
        <f>IF($A136="","",IFERROR(COUNTIF(M136:N136,"כן")/(COUNTIF(M136:N136,"כן")+COUNTIF(M136:N136,"לא")),""))</f>
        <v/>
      </c>
      <c r="AJ136" s="37">
        <f>IF($A136="","",IFERROR(COUNTIF(O136:P136,"כן")/(COUNTIF(O136:P136,"כן")+COUNTIF(O136:P136,"לא")),""))</f>
        <v/>
      </c>
      <c r="AK136" s="37">
        <f>IF($A136="","",IFERROR(COUNTIF(Q136:R136,"כן")/(COUNTIF(Q136:R136,"כן")+COUNTIF(Q136:R136,"לא")),""))</f>
        <v/>
      </c>
      <c r="AL136" s="37">
        <f>IF($A136="","",IFERROR(COUNTIF(K136:R136,"כן")/(COUNTIF(K136:R136,"כן")+COUNTIF(K136:R136,"לא")),""))</f>
        <v/>
      </c>
      <c r="AM136" s="37">
        <f>IF($A136="","",IFERROR((COUNTIF(S136:Z136,"רוב הזמן")+0.5*COUNTIF(S136:Z136,"לפעמים"))/(COUNTIF(S136:Z136,"רוב הזמן")+COUNTIF(S136:Z136,"לפעמים")+COUNTIF(S136:Z136,"עדיין לא")),""))</f>
        <v/>
      </c>
      <c r="AN136" s="37">
        <f>IF($A136="","",IFERROR(1-SUMPRODUCT(ABS((K136:R136="כן")-((S136:Z136="רוב הזמן")+0.5*(S136:Z136="לפעמים")))*(((K136:R136="כן")+(K136:R136="לא"))*((S136:Z136="רוב הזמן")+(S136:Z136="לפעמים")+(S136:Z136="עדיין לא"))))/SUMPRODUCT((((K136:R136="כן")+(K136:R136="לא"))*((S136:Z136="רוב הזמן")+(S136:Z136="לפעמים")+(S136:Z136="עדיין לא")))),""))</f>
        <v/>
      </c>
      <c r="AO136" s="36">
        <f>IF($A136="","",SUMPRODUCT((((K136:R136="כן")-((S136:Z136="רוב הזמן")+0.5*(S136:Z136="לפעמים")))&gt;0.01)*(((K136:R136="כן")+(K136:R136="לא"))*((S136:Z136="רוב הזמן")+(S136:Z136="לפעמים")+(S136:Z136="עדיין לא")))))</f>
        <v/>
      </c>
      <c r="AP136" s="36">
        <f>IF($A136="","",SUMPRODUCT(((((S136:Z136="רוב הזמן")+0.5*(S136:Z136="לפעמים"))-(K136:R136="כן"))&gt;0.01)*(((K136:R136="כן")+(K136:R136="לא"))*((S136:Z136="רוב הזמן")+(S136:Z136="לפעמים")+(S136:Z136="עדיין לא")))))</f>
        <v/>
      </c>
      <c r="AQ136" s="36">
        <f>IF($A136="","",COUNTIF(AA136:AC136,"כן"))</f>
        <v/>
      </c>
      <c r="AR136" s="38" t="n"/>
      <c r="AS136" s="38" t="n"/>
      <c r="AT136" s="38" t="n"/>
      <c r="AU136" s="38" t="n"/>
      <c r="AV136" s="36">
        <f>IF($A136="","",IF(AND(AR136="",AT136=""),"לא נבדק",IF(AND(OR(AR136="",AR136=AS136),OR(AT136="",AT136=AU136)),"תואם","לא תואם")))</f>
        <v/>
      </c>
      <c r="AW136" s="36">
        <f>IF($A136="","",IF(AND(AV136&lt;&gt;"לא תואם",G136&lt;&gt;"לא ברור"),"אמין","לפרש בזהירות"))</f>
        <v/>
      </c>
    </row>
    <row r="137">
      <c r="A137" s="38" t="n"/>
      <c r="B137" s="38" t="n"/>
      <c r="C137" s="38" t="n"/>
      <c r="D137" s="38" t="n"/>
      <c r="E137" s="38" t="n"/>
      <c r="F137" s="38" t="n"/>
      <c r="G137" s="38" t="n"/>
      <c r="H137" s="38" t="n"/>
      <c r="I137" s="38" t="n"/>
      <c r="J137" s="38" t="n"/>
      <c r="K137" s="38" t="n"/>
      <c r="L137" s="38" t="n"/>
      <c r="M137" s="38" t="n"/>
      <c r="N137" s="38" t="n"/>
      <c r="O137" s="38" t="n"/>
      <c r="P137" s="38" t="n"/>
      <c r="Q137" s="38" t="n"/>
      <c r="R137" s="38" t="n"/>
      <c r="S137" s="38" t="n"/>
      <c r="T137" s="38" t="n"/>
      <c r="U137" s="38" t="n"/>
      <c r="V137" s="38" t="n"/>
      <c r="W137" s="38" t="n"/>
      <c r="X137" s="38" t="n"/>
      <c r="Y137" s="38" t="n"/>
      <c r="Z137" s="38" t="n"/>
      <c r="AA137" s="38" t="n"/>
      <c r="AB137" s="38" t="n"/>
      <c r="AC137" s="38" t="n"/>
      <c r="AD137" s="38" t="n"/>
      <c r="AE137" s="38" t="n"/>
      <c r="AF137" s="36">
        <f>IF($A137="","",$A137&amp;"|"&amp;$C137)</f>
        <v/>
      </c>
      <c r="AG137" s="36">
        <f>IF($A137="","",IF(OR(H137="לא נבדק",H137=""),"לא נבדק",IF(AND(H137="בחר/ה בעצמו/ה",I137="כן",J137="לא"),"מלא",IF(OR(H137="בחר/ה בעצמו/ה",I137="כן"),"חלקי","עדיין לא"))))</f>
        <v/>
      </c>
      <c r="AH137" s="37">
        <f>IF($A137="","",IFERROR(COUNTIF(K137:L137,"כן")/(COUNTIF(K137:L137,"כן")+COUNTIF(K137:L137,"לא")),""))</f>
        <v/>
      </c>
      <c r="AI137" s="37">
        <f>IF($A137="","",IFERROR(COUNTIF(M137:N137,"כן")/(COUNTIF(M137:N137,"כן")+COUNTIF(M137:N137,"לא")),""))</f>
        <v/>
      </c>
      <c r="AJ137" s="37">
        <f>IF($A137="","",IFERROR(COUNTIF(O137:P137,"כן")/(COUNTIF(O137:P137,"כן")+COUNTIF(O137:P137,"לא")),""))</f>
        <v/>
      </c>
      <c r="AK137" s="37">
        <f>IF($A137="","",IFERROR(COUNTIF(Q137:R137,"כן")/(COUNTIF(Q137:R137,"כן")+COUNTIF(Q137:R137,"לא")),""))</f>
        <v/>
      </c>
      <c r="AL137" s="37">
        <f>IF($A137="","",IFERROR(COUNTIF(K137:R137,"כן")/(COUNTIF(K137:R137,"כן")+COUNTIF(K137:R137,"לא")),""))</f>
        <v/>
      </c>
      <c r="AM137" s="37">
        <f>IF($A137="","",IFERROR((COUNTIF(S137:Z137,"רוב הזמן")+0.5*COUNTIF(S137:Z137,"לפעמים"))/(COUNTIF(S137:Z137,"רוב הזמן")+COUNTIF(S137:Z137,"לפעמים")+COUNTIF(S137:Z137,"עדיין לא")),""))</f>
        <v/>
      </c>
      <c r="AN137" s="37">
        <f>IF($A137="","",IFERROR(1-SUMPRODUCT(ABS((K137:R137="כן")-((S137:Z137="רוב הזמן")+0.5*(S137:Z137="לפעמים")))*(((K137:R137="כן")+(K137:R137="לא"))*((S137:Z137="רוב הזמן")+(S137:Z137="לפעמים")+(S137:Z137="עדיין לא"))))/SUMPRODUCT((((K137:R137="כן")+(K137:R137="לא"))*((S137:Z137="רוב הזמן")+(S137:Z137="לפעמים")+(S137:Z137="עדיין לא")))),""))</f>
        <v/>
      </c>
      <c r="AO137" s="36">
        <f>IF($A137="","",SUMPRODUCT((((K137:R137="כן")-((S137:Z137="רוב הזמן")+0.5*(S137:Z137="לפעמים")))&gt;0.01)*(((K137:R137="כן")+(K137:R137="לא"))*((S137:Z137="רוב הזמן")+(S137:Z137="לפעמים")+(S137:Z137="עדיין לא")))))</f>
        <v/>
      </c>
      <c r="AP137" s="36">
        <f>IF($A137="","",SUMPRODUCT(((((S137:Z137="רוב הזמן")+0.5*(S137:Z137="לפעמים"))-(K137:R137="כן"))&gt;0.01)*(((K137:R137="כן")+(K137:R137="לא"))*((S137:Z137="רוב הזמן")+(S137:Z137="לפעמים")+(S137:Z137="עדיין לא")))))</f>
        <v/>
      </c>
      <c r="AQ137" s="36">
        <f>IF($A137="","",COUNTIF(AA137:AC137,"כן"))</f>
        <v/>
      </c>
      <c r="AR137" s="38" t="n"/>
      <c r="AS137" s="38" t="n"/>
      <c r="AT137" s="38" t="n"/>
      <c r="AU137" s="38" t="n"/>
      <c r="AV137" s="36">
        <f>IF($A137="","",IF(AND(AR137="",AT137=""),"לא נבדק",IF(AND(OR(AR137="",AR137=AS137),OR(AT137="",AT137=AU137)),"תואם","לא תואם")))</f>
        <v/>
      </c>
      <c r="AW137" s="36">
        <f>IF($A137="","",IF(AND(AV137&lt;&gt;"לא תואם",G137&lt;&gt;"לא ברור"),"אמין","לפרש בזהירות"))</f>
        <v/>
      </c>
    </row>
    <row r="138">
      <c r="A138" s="38" t="n"/>
      <c r="B138" s="38" t="n"/>
      <c r="C138" s="38" t="n"/>
      <c r="D138" s="38" t="n"/>
      <c r="E138" s="38" t="n"/>
      <c r="F138" s="38" t="n"/>
      <c r="G138" s="38" t="n"/>
      <c r="H138" s="38" t="n"/>
      <c r="I138" s="38" t="n"/>
      <c r="J138" s="38" t="n"/>
      <c r="K138" s="38" t="n"/>
      <c r="L138" s="38" t="n"/>
      <c r="M138" s="38" t="n"/>
      <c r="N138" s="38" t="n"/>
      <c r="O138" s="38" t="n"/>
      <c r="P138" s="38" t="n"/>
      <c r="Q138" s="38" t="n"/>
      <c r="R138" s="38" t="n"/>
      <c r="S138" s="38" t="n"/>
      <c r="T138" s="38" t="n"/>
      <c r="U138" s="38" t="n"/>
      <c r="V138" s="38" t="n"/>
      <c r="W138" s="38" t="n"/>
      <c r="X138" s="38" t="n"/>
      <c r="Y138" s="38" t="n"/>
      <c r="Z138" s="38" t="n"/>
      <c r="AA138" s="38" t="n"/>
      <c r="AB138" s="38" t="n"/>
      <c r="AC138" s="38" t="n"/>
      <c r="AD138" s="38" t="n"/>
      <c r="AE138" s="38" t="n"/>
      <c r="AF138" s="36">
        <f>IF($A138="","",$A138&amp;"|"&amp;$C138)</f>
        <v/>
      </c>
      <c r="AG138" s="36">
        <f>IF($A138="","",IF(OR(H138="לא נבדק",H138=""),"לא נבדק",IF(AND(H138="בחר/ה בעצמו/ה",I138="כן",J138="לא"),"מלא",IF(OR(H138="בחר/ה בעצמו/ה",I138="כן"),"חלקי","עדיין לא"))))</f>
        <v/>
      </c>
      <c r="AH138" s="37">
        <f>IF($A138="","",IFERROR(COUNTIF(K138:L138,"כן")/(COUNTIF(K138:L138,"כן")+COUNTIF(K138:L138,"לא")),""))</f>
        <v/>
      </c>
      <c r="AI138" s="37">
        <f>IF($A138="","",IFERROR(COUNTIF(M138:N138,"כן")/(COUNTIF(M138:N138,"כן")+COUNTIF(M138:N138,"לא")),""))</f>
        <v/>
      </c>
      <c r="AJ138" s="37">
        <f>IF($A138="","",IFERROR(COUNTIF(O138:P138,"כן")/(COUNTIF(O138:P138,"כן")+COUNTIF(O138:P138,"לא")),""))</f>
        <v/>
      </c>
      <c r="AK138" s="37">
        <f>IF($A138="","",IFERROR(COUNTIF(Q138:R138,"כן")/(COUNTIF(Q138:R138,"כן")+COUNTIF(Q138:R138,"לא")),""))</f>
        <v/>
      </c>
      <c r="AL138" s="37">
        <f>IF($A138="","",IFERROR(COUNTIF(K138:R138,"כן")/(COUNTIF(K138:R138,"כן")+COUNTIF(K138:R138,"לא")),""))</f>
        <v/>
      </c>
      <c r="AM138" s="37">
        <f>IF($A138="","",IFERROR((COUNTIF(S138:Z138,"רוב הזמן")+0.5*COUNTIF(S138:Z138,"לפעמים"))/(COUNTIF(S138:Z138,"רוב הזמן")+COUNTIF(S138:Z138,"לפעמים")+COUNTIF(S138:Z138,"עדיין לא")),""))</f>
        <v/>
      </c>
      <c r="AN138" s="37">
        <f>IF($A138="","",IFERROR(1-SUMPRODUCT(ABS((K138:R138="כן")-((S138:Z138="רוב הזמן")+0.5*(S138:Z138="לפעמים")))*(((K138:R138="כן")+(K138:R138="לא"))*((S138:Z138="רוב הזמן")+(S138:Z138="לפעמים")+(S138:Z138="עדיין לא"))))/SUMPRODUCT((((K138:R138="כן")+(K138:R138="לא"))*((S138:Z138="רוב הזמן")+(S138:Z138="לפעמים")+(S138:Z138="עדיין לא")))),""))</f>
        <v/>
      </c>
      <c r="AO138" s="36">
        <f>IF($A138="","",SUMPRODUCT((((K138:R138="כן")-((S138:Z138="רוב הזמן")+0.5*(S138:Z138="לפעמים")))&gt;0.01)*(((K138:R138="כן")+(K138:R138="לא"))*((S138:Z138="רוב הזמן")+(S138:Z138="לפעמים")+(S138:Z138="עדיין לא")))))</f>
        <v/>
      </c>
      <c r="AP138" s="36">
        <f>IF($A138="","",SUMPRODUCT(((((S138:Z138="רוב הזמן")+0.5*(S138:Z138="לפעמים"))-(K138:R138="כן"))&gt;0.01)*(((K138:R138="כן")+(K138:R138="לא"))*((S138:Z138="רוב הזמן")+(S138:Z138="לפעמים")+(S138:Z138="עדיין לא")))))</f>
        <v/>
      </c>
      <c r="AQ138" s="36">
        <f>IF($A138="","",COUNTIF(AA138:AC138,"כן"))</f>
        <v/>
      </c>
      <c r="AR138" s="38" t="n"/>
      <c r="AS138" s="38" t="n"/>
      <c r="AT138" s="38" t="n"/>
      <c r="AU138" s="38" t="n"/>
      <c r="AV138" s="36">
        <f>IF($A138="","",IF(AND(AR138="",AT138=""),"לא נבדק",IF(AND(OR(AR138="",AR138=AS138),OR(AT138="",AT138=AU138)),"תואם","לא תואם")))</f>
        <v/>
      </c>
      <c r="AW138" s="36">
        <f>IF($A138="","",IF(AND(AV138&lt;&gt;"לא תואם",G138&lt;&gt;"לא ברור"),"אמין","לפרש בזהירות"))</f>
        <v/>
      </c>
    </row>
    <row r="139">
      <c r="A139" s="38" t="n"/>
      <c r="B139" s="38" t="n"/>
      <c r="C139" s="38" t="n"/>
      <c r="D139" s="38" t="n"/>
      <c r="E139" s="38" t="n"/>
      <c r="F139" s="38" t="n"/>
      <c r="G139" s="38" t="n"/>
      <c r="H139" s="38" t="n"/>
      <c r="I139" s="38" t="n"/>
      <c r="J139" s="38" t="n"/>
      <c r="K139" s="38" t="n"/>
      <c r="L139" s="38" t="n"/>
      <c r="M139" s="38" t="n"/>
      <c r="N139" s="38" t="n"/>
      <c r="O139" s="38" t="n"/>
      <c r="P139" s="38" t="n"/>
      <c r="Q139" s="38" t="n"/>
      <c r="R139" s="38" t="n"/>
      <c r="S139" s="38" t="n"/>
      <c r="T139" s="38" t="n"/>
      <c r="U139" s="38" t="n"/>
      <c r="V139" s="38" t="n"/>
      <c r="W139" s="38" t="n"/>
      <c r="X139" s="38" t="n"/>
      <c r="Y139" s="38" t="n"/>
      <c r="Z139" s="38" t="n"/>
      <c r="AA139" s="38" t="n"/>
      <c r="AB139" s="38" t="n"/>
      <c r="AC139" s="38" t="n"/>
      <c r="AD139" s="38" t="n"/>
      <c r="AE139" s="38" t="n"/>
      <c r="AF139" s="36">
        <f>IF($A139="","",$A139&amp;"|"&amp;$C139)</f>
        <v/>
      </c>
      <c r="AG139" s="36">
        <f>IF($A139="","",IF(OR(H139="לא נבדק",H139=""),"לא נבדק",IF(AND(H139="בחר/ה בעצמו/ה",I139="כן",J139="לא"),"מלא",IF(OR(H139="בחר/ה בעצמו/ה",I139="כן"),"חלקי","עדיין לא"))))</f>
        <v/>
      </c>
      <c r="AH139" s="37">
        <f>IF($A139="","",IFERROR(COUNTIF(K139:L139,"כן")/(COUNTIF(K139:L139,"כן")+COUNTIF(K139:L139,"לא")),""))</f>
        <v/>
      </c>
      <c r="AI139" s="37">
        <f>IF($A139="","",IFERROR(COUNTIF(M139:N139,"כן")/(COUNTIF(M139:N139,"כן")+COUNTIF(M139:N139,"לא")),""))</f>
        <v/>
      </c>
      <c r="AJ139" s="37">
        <f>IF($A139="","",IFERROR(COUNTIF(O139:P139,"כן")/(COUNTIF(O139:P139,"כן")+COUNTIF(O139:P139,"לא")),""))</f>
        <v/>
      </c>
      <c r="AK139" s="37">
        <f>IF($A139="","",IFERROR(COUNTIF(Q139:R139,"כן")/(COUNTIF(Q139:R139,"כן")+COUNTIF(Q139:R139,"לא")),""))</f>
        <v/>
      </c>
      <c r="AL139" s="37">
        <f>IF($A139="","",IFERROR(COUNTIF(K139:R139,"כן")/(COUNTIF(K139:R139,"כן")+COUNTIF(K139:R139,"לא")),""))</f>
        <v/>
      </c>
      <c r="AM139" s="37">
        <f>IF($A139="","",IFERROR((COUNTIF(S139:Z139,"רוב הזמן")+0.5*COUNTIF(S139:Z139,"לפעמים"))/(COUNTIF(S139:Z139,"רוב הזמן")+COUNTIF(S139:Z139,"לפעמים")+COUNTIF(S139:Z139,"עדיין לא")),""))</f>
        <v/>
      </c>
      <c r="AN139" s="37">
        <f>IF($A139="","",IFERROR(1-SUMPRODUCT(ABS((K139:R139="כן")-((S139:Z139="רוב הזמן")+0.5*(S139:Z139="לפעמים")))*(((K139:R139="כן")+(K139:R139="לא"))*((S139:Z139="רוב הזמן")+(S139:Z139="לפעמים")+(S139:Z139="עדיין לא"))))/SUMPRODUCT((((K139:R139="כן")+(K139:R139="לא"))*((S139:Z139="רוב הזמן")+(S139:Z139="לפעמים")+(S139:Z139="עדיין לא")))),""))</f>
        <v/>
      </c>
      <c r="AO139" s="36">
        <f>IF($A139="","",SUMPRODUCT((((K139:R139="כן")-((S139:Z139="רוב הזמן")+0.5*(S139:Z139="לפעמים")))&gt;0.01)*(((K139:R139="כן")+(K139:R139="לא"))*((S139:Z139="רוב הזמן")+(S139:Z139="לפעמים")+(S139:Z139="עדיין לא")))))</f>
        <v/>
      </c>
      <c r="AP139" s="36">
        <f>IF($A139="","",SUMPRODUCT(((((S139:Z139="רוב הזמן")+0.5*(S139:Z139="לפעמים"))-(K139:R139="כן"))&gt;0.01)*(((K139:R139="כן")+(K139:R139="לא"))*((S139:Z139="רוב הזמן")+(S139:Z139="לפעמים")+(S139:Z139="עדיין לא")))))</f>
        <v/>
      </c>
      <c r="AQ139" s="36">
        <f>IF($A139="","",COUNTIF(AA139:AC139,"כן"))</f>
        <v/>
      </c>
      <c r="AR139" s="38" t="n"/>
      <c r="AS139" s="38" t="n"/>
      <c r="AT139" s="38" t="n"/>
      <c r="AU139" s="38" t="n"/>
      <c r="AV139" s="36">
        <f>IF($A139="","",IF(AND(AR139="",AT139=""),"לא נבדק",IF(AND(OR(AR139="",AR139=AS139),OR(AT139="",AT139=AU139)),"תואם","לא תואם")))</f>
        <v/>
      </c>
      <c r="AW139" s="36">
        <f>IF($A139="","",IF(AND(AV139&lt;&gt;"לא תואם",G139&lt;&gt;"לא ברור"),"אמין","לפרש בזהירות"))</f>
        <v/>
      </c>
    </row>
    <row r="140">
      <c r="A140" s="38" t="n"/>
      <c r="B140" s="38" t="n"/>
      <c r="C140" s="38" t="n"/>
      <c r="D140" s="38" t="n"/>
      <c r="E140" s="38" t="n"/>
      <c r="F140" s="38" t="n"/>
      <c r="G140" s="38" t="n"/>
      <c r="H140" s="38" t="n"/>
      <c r="I140" s="38" t="n"/>
      <c r="J140" s="38" t="n"/>
      <c r="K140" s="38" t="n"/>
      <c r="L140" s="38" t="n"/>
      <c r="M140" s="38" t="n"/>
      <c r="N140" s="38" t="n"/>
      <c r="O140" s="38" t="n"/>
      <c r="P140" s="38" t="n"/>
      <c r="Q140" s="38" t="n"/>
      <c r="R140" s="38" t="n"/>
      <c r="S140" s="38" t="n"/>
      <c r="T140" s="38" t="n"/>
      <c r="U140" s="38" t="n"/>
      <c r="V140" s="38" t="n"/>
      <c r="W140" s="38" t="n"/>
      <c r="X140" s="38" t="n"/>
      <c r="Y140" s="38" t="n"/>
      <c r="Z140" s="38" t="n"/>
      <c r="AA140" s="38" t="n"/>
      <c r="AB140" s="38" t="n"/>
      <c r="AC140" s="38" t="n"/>
      <c r="AD140" s="38" t="n"/>
      <c r="AE140" s="38" t="n"/>
      <c r="AF140" s="36">
        <f>IF($A140="","",$A140&amp;"|"&amp;$C140)</f>
        <v/>
      </c>
      <c r="AG140" s="36">
        <f>IF($A140="","",IF(OR(H140="לא נבדק",H140=""),"לא נבדק",IF(AND(H140="בחר/ה בעצמו/ה",I140="כן",J140="לא"),"מלא",IF(OR(H140="בחר/ה בעצמו/ה",I140="כן"),"חלקי","עדיין לא"))))</f>
        <v/>
      </c>
      <c r="AH140" s="37">
        <f>IF($A140="","",IFERROR(COUNTIF(K140:L140,"כן")/(COUNTIF(K140:L140,"כן")+COUNTIF(K140:L140,"לא")),""))</f>
        <v/>
      </c>
      <c r="AI140" s="37">
        <f>IF($A140="","",IFERROR(COUNTIF(M140:N140,"כן")/(COUNTIF(M140:N140,"כן")+COUNTIF(M140:N140,"לא")),""))</f>
        <v/>
      </c>
      <c r="AJ140" s="37">
        <f>IF($A140="","",IFERROR(COUNTIF(O140:P140,"כן")/(COUNTIF(O140:P140,"כן")+COUNTIF(O140:P140,"לא")),""))</f>
        <v/>
      </c>
      <c r="AK140" s="37">
        <f>IF($A140="","",IFERROR(COUNTIF(Q140:R140,"כן")/(COUNTIF(Q140:R140,"כן")+COUNTIF(Q140:R140,"לא")),""))</f>
        <v/>
      </c>
      <c r="AL140" s="37">
        <f>IF($A140="","",IFERROR(COUNTIF(K140:R140,"כן")/(COUNTIF(K140:R140,"כן")+COUNTIF(K140:R140,"לא")),""))</f>
        <v/>
      </c>
      <c r="AM140" s="37">
        <f>IF($A140="","",IFERROR((COUNTIF(S140:Z140,"רוב הזמן")+0.5*COUNTIF(S140:Z140,"לפעמים"))/(COUNTIF(S140:Z140,"רוב הזמן")+COUNTIF(S140:Z140,"לפעמים")+COUNTIF(S140:Z140,"עדיין לא")),""))</f>
        <v/>
      </c>
      <c r="AN140" s="37">
        <f>IF($A140="","",IFERROR(1-SUMPRODUCT(ABS((K140:R140="כן")-((S140:Z140="רוב הזמן")+0.5*(S140:Z140="לפעמים")))*(((K140:R140="כן")+(K140:R140="לא"))*((S140:Z140="רוב הזמן")+(S140:Z140="לפעמים")+(S140:Z140="עדיין לא"))))/SUMPRODUCT((((K140:R140="כן")+(K140:R140="לא"))*((S140:Z140="רוב הזמן")+(S140:Z140="לפעמים")+(S140:Z140="עדיין לא")))),""))</f>
        <v/>
      </c>
      <c r="AO140" s="36">
        <f>IF($A140="","",SUMPRODUCT((((K140:R140="כן")-((S140:Z140="רוב הזמן")+0.5*(S140:Z140="לפעמים")))&gt;0.01)*(((K140:R140="כן")+(K140:R140="לא"))*((S140:Z140="רוב הזמן")+(S140:Z140="לפעמים")+(S140:Z140="עדיין לא")))))</f>
        <v/>
      </c>
      <c r="AP140" s="36">
        <f>IF($A140="","",SUMPRODUCT(((((S140:Z140="רוב הזמן")+0.5*(S140:Z140="לפעמים"))-(K140:R140="כן"))&gt;0.01)*(((K140:R140="כן")+(K140:R140="לא"))*((S140:Z140="רוב הזמן")+(S140:Z140="לפעמים")+(S140:Z140="עדיין לא")))))</f>
        <v/>
      </c>
      <c r="AQ140" s="36">
        <f>IF($A140="","",COUNTIF(AA140:AC140,"כן"))</f>
        <v/>
      </c>
      <c r="AR140" s="38" t="n"/>
      <c r="AS140" s="38" t="n"/>
      <c r="AT140" s="38" t="n"/>
      <c r="AU140" s="38" t="n"/>
      <c r="AV140" s="36">
        <f>IF($A140="","",IF(AND(AR140="",AT140=""),"לא נבדק",IF(AND(OR(AR140="",AR140=AS140),OR(AT140="",AT140=AU140)),"תואם","לא תואם")))</f>
        <v/>
      </c>
      <c r="AW140" s="36">
        <f>IF($A140="","",IF(AND(AV140&lt;&gt;"לא תואם",G140&lt;&gt;"לא ברור"),"אמין","לפרש בזהירות"))</f>
        <v/>
      </c>
    </row>
    <row r="141">
      <c r="A141" s="38" t="n"/>
      <c r="B141" s="38" t="n"/>
      <c r="C141" s="38" t="n"/>
      <c r="D141" s="38" t="n"/>
      <c r="E141" s="38" t="n"/>
      <c r="F141" s="38" t="n"/>
      <c r="G141" s="38" t="n"/>
      <c r="H141" s="38" t="n"/>
      <c r="I141" s="38" t="n"/>
      <c r="J141" s="38" t="n"/>
      <c r="K141" s="38" t="n"/>
      <c r="L141" s="38" t="n"/>
      <c r="M141" s="38" t="n"/>
      <c r="N141" s="38" t="n"/>
      <c r="O141" s="38" t="n"/>
      <c r="P141" s="38" t="n"/>
      <c r="Q141" s="38" t="n"/>
      <c r="R141" s="38" t="n"/>
      <c r="S141" s="38" t="n"/>
      <c r="T141" s="38" t="n"/>
      <c r="U141" s="38" t="n"/>
      <c r="V141" s="38" t="n"/>
      <c r="W141" s="38" t="n"/>
      <c r="X141" s="38" t="n"/>
      <c r="Y141" s="38" t="n"/>
      <c r="Z141" s="38" t="n"/>
      <c r="AA141" s="38" t="n"/>
      <c r="AB141" s="38" t="n"/>
      <c r="AC141" s="38" t="n"/>
      <c r="AD141" s="38" t="n"/>
      <c r="AE141" s="38" t="n"/>
      <c r="AF141" s="36">
        <f>IF($A141="","",$A141&amp;"|"&amp;$C141)</f>
        <v/>
      </c>
      <c r="AG141" s="36">
        <f>IF($A141="","",IF(OR(H141="לא נבדק",H141=""),"לא נבדק",IF(AND(H141="בחר/ה בעצמו/ה",I141="כן",J141="לא"),"מלא",IF(OR(H141="בחר/ה בעצמו/ה",I141="כן"),"חלקי","עדיין לא"))))</f>
        <v/>
      </c>
      <c r="AH141" s="37">
        <f>IF($A141="","",IFERROR(COUNTIF(K141:L141,"כן")/(COUNTIF(K141:L141,"כן")+COUNTIF(K141:L141,"לא")),""))</f>
        <v/>
      </c>
      <c r="AI141" s="37">
        <f>IF($A141="","",IFERROR(COUNTIF(M141:N141,"כן")/(COUNTIF(M141:N141,"כן")+COUNTIF(M141:N141,"לא")),""))</f>
        <v/>
      </c>
      <c r="AJ141" s="37">
        <f>IF($A141="","",IFERROR(COUNTIF(O141:P141,"כן")/(COUNTIF(O141:P141,"כן")+COUNTIF(O141:P141,"לא")),""))</f>
        <v/>
      </c>
      <c r="AK141" s="37">
        <f>IF($A141="","",IFERROR(COUNTIF(Q141:R141,"כן")/(COUNTIF(Q141:R141,"כן")+COUNTIF(Q141:R141,"לא")),""))</f>
        <v/>
      </c>
      <c r="AL141" s="37">
        <f>IF($A141="","",IFERROR(COUNTIF(K141:R141,"כן")/(COUNTIF(K141:R141,"כן")+COUNTIF(K141:R141,"לא")),""))</f>
        <v/>
      </c>
      <c r="AM141" s="37">
        <f>IF($A141="","",IFERROR((COUNTIF(S141:Z141,"רוב הזמן")+0.5*COUNTIF(S141:Z141,"לפעמים"))/(COUNTIF(S141:Z141,"רוב הזמן")+COUNTIF(S141:Z141,"לפעמים")+COUNTIF(S141:Z141,"עדיין לא")),""))</f>
        <v/>
      </c>
      <c r="AN141" s="37">
        <f>IF($A141="","",IFERROR(1-SUMPRODUCT(ABS((K141:R141="כן")-((S141:Z141="רוב הזמן")+0.5*(S141:Z141="לפעמים")))*(((K141:R141="כן")+(K141:R141="לא"))*((S141:Z141="רוב הזמן")+(S141:Z141="לפעמים")+(S141:Z141="עדיין לא"))))/SUMPRODUCT((((K141:R141="כן")+(K141:R141="לא"))*((S141:Z141="רוב הזמן")+(S141:Z141="לפעמים")+(S141:Z141="עדיין לא")))),""))</f>
        <v/>
      </c>
      <c r="AO141" s="36">
        <f>IF($A141="","",SUMPRODUCT((((K141:R141="כן")-((S141:Z141="רוב הזמן")+0.5*(S141:Z141="לפעמים")))&gt;0.01)*(((K141:R141="כן")+(K141:R141="לא"))*((S141:Z141="רוב הזמן")+(S141:Z141="לפעמים")+(S141:Z141="עדיין לא")))))</f>
        <v/>
      </c>
      <c r="AP141" s="36">
        <f>IF($A141="","",SUMPRODUCT(((((S141:Z141="רוב הזמן")+0.5*(S141:Z141="לפעמים"))-(K141:R141="כן"))&gt;0.01)*(((K141:R141="כן")+(K141:R141="לא"))*((S141:Z141="רוב הזמן")+(S141:Z141="לפעמים")+(S141:Z141="עדיין לא")))))</f>
        <v/>
      </c>
      <c r="AQ141" s="36">
        <f>IF($A141="","",COUNTIF(AA141:AC141,"כן"))</f>
        <v/>
      </c>
      <c r="AR141" s="38" t="n"/>
      <c r="AS141" s="38" t="n"/>
      <c r="AT141" s="38" t="n"/>
      <c r="AU141" s="38" t="n"/>
      <c r="AV141" s="36">
        <f>IF($A141="","",IF(AND(AR141="",AT141=""),"לא נבדק",IF(AND(OR(AR141="",AR141=AS141),OR(AT141="",AT141=AU141)),"תואם","לא תואם")))</f>
        <v/>
      </c>
      <c r="AW141" s="36">
        <f>IF($A141="","",IF(AND(AV141&lt;&gt;"לא תואם",G141&lt;&gt;"לא ברור"),"אמין","לפרש בזהירות"))</f>
        <v/>
      </c>
    </row>
    <row r="142">
      <c r="A142" s="38" t="n"/>
      <c r="B142" s="38" t="n"/>
      <c r="C142" s="38" t="n"/>
      <c r="D142" s="38" t="n"/>
      <c r="E142" s="38" t="n"/>
      <c r="F142" s="38" t="n"/>
      <c r="G142" s="38" t="n"/>
      <c r="H142" s="38" t="n"/>
      <c r="I142" s="38" t="n"/>
      <c r="J142" s="38" t="n"/>
      <c r="K142" s="38" t="n"/>
      <c r="L142" s="38" t="n"/>
      <c r="M142" s="38" t="n"/>
      <c r="N142" s="38" t="n"/>
      <c r="O142" s="38" t="n"/>
      <c r="P142" s="38" t="n"/>
      <c r="Q142" s="38" t="n"/>
      <c r="R142" s="38" t="n"/>
      <c r="S142" s="38" t="n"/>
      <c r="T142" s="38" t="n"/>
      <c r="U142" s="38" t="n"/>
      <c r="V142" s="38" t="n"/>
      <c r="W142" s="38" t="n"/>
      <c r="X142" s="38" t="n"/>
      <c r="Y142" s="38" t="n"/>
      <c r="Z142" s="38" t="n"/>
      <c r="AA142" s="38" t="n"/>
      <c r="AB142" s="38" t="n"/>
      <c r="AC142" s="38" t="n"/>
      <c r="AD142" s="38" t="n"/>
      <c r="AE142" s="38" t="n"/>
      <c r="AF142" s="36">
        <f>IF($A142="","",$A142&amp;"|"&amp;$C142)</f>
        <v/>
      </c>
      <c r="AG142" s="36">
        <f>IF($A142="","",IF(OR(H142="לא נבדק",H142=""),"לא נבדק",IF(AND(H142="בחר/ה בעצמו/ה",I142="כן",J142="לא"),"מלא",IF(OR(H142="בחר/ה בעצמו/ה",I142="כן"),"חלקי","עדיין לא"))))</f>
        <v/>
      </c>
      <c r="AH142" s="37">
        <f>IF($A142="","",IFERROR(COUNTIF(K142:L142,"כן")/(COUNTIF(K142:L142,"כן")+COUNTIF(K142:L142,"לא")),""))</f>
        <v/>
      </c>
      <c r="AI142" s="37">
        <f>IF($A142="","",IFERROR(COUNTIF(M142:N142,"כן")/(COUNTIF(M142:N142,"כן")+COUNTIF(M142:N142,"לא")),""))</f>
        <v/>
      </c>
      <c r="AJ142" s="37">
        <f>IF($A142="","",IFERROR(COUNTIF(O142:P142,"כן")/(COUNTIF(O142:P142,"כן")+COUNTIF(O142:P142,"לא")),""))</f>
        <v/>
      </c>
      <c r="AK142" s="37">
        <f>IF($A142="","",IFERROR(COUNTIF(Q142:R142,"כן")/(COUNTIF(Q142:R142,"כן")+COUNTIF(Q142:R142,"לא")),""))</f>
        <v/>
      </c>
      <c r="AL142" s="37">
        <f>IF($A142="","",IFERROR(COUNTIF(K142:R142,"כן")/(COUNTIF(K142:R142,"כן")+COUNTIF(K142:R142,"לא")),""))</f>
        <v/>
      </c>
      <c r="AM142" s="37">
        <f>IF($A142="","",IFERROR((COUNTIF(S142:Z142,"רוב הזמן")+0.5*COUNTIF(S142:Z142,"לפעמים"))/(COUNTIF(S142:Z142,"רוב הזמן")+COUNTIF(S142:Z142,"לפעמים")+COUNTIF(S142:Z142,"עדיין לא")),""))</f>
        <v/>
      </c>
      <c r="AN142" s="37">
        <f>IF($A142="","",IFERROR(1-SUMPRODUCT(ABS((K142:R142="כן")-((S142:Z142="רוב הזמן")+0.5*(S142:Z142="לפעמים")))*(((K142:R142="כן")+(K142:R142="לא"))*((S142:Z142="רוב הזמן")+(S142:Z142="לפעמים")+(S142:Z142="עדיין לא"))))/SUMPRODUCT((((K142:R142="כן")+(K142:R142="לא"))*((S142:Z142="רוב הזמן")+(S142:Z142="לפעמים")+(S142:Z142="עדיין לא")))),""))</f>
        <v/>
      </c>
      <c r="AO142" s="36">
        <f>IF($A142="","",SUMPRODUCT((((K142:R142="כן")-((S142:Z142="רוב הזמן")+0.5*(S142:Z142="לפעמים")))&gt;0.01)*(((K142:R142="כן")+(K142:R142="לא"))*((S142:Z142="רוב הזמן")+(S142:Z142="לפעמים")+(S142:Z142="עדיין לא")))))</f>
        <v/>
      </c>
      <c r="AP142" s="36">
        <f>IF($A142="","",SUMPRODUCT(((((S142:Z142="רוב הזמן")+0.5*(S142:Z142="לפעמים"))-(K142:R142="כן"))&gt;0.01)*(((K142:R142="כן")+(K142:R142="לא"))*((S142:Z142="רוב הזמן")+(S142:Z142="לפעמים")+(S142:Z142="עדיין לא")))))</f>
        <v/>
      </c>
      <c r="AQ142" s="36">
        <f>IF($A142="","",COUNTIF(AA142:AC142,"כן"))</f>
        <v/>
      </c>
      <c r="AR142" s="38" t="n"/>
      <c r="AS142" s="38" t="n"/>
      <c r="AT142" s="38" t="n"/>
      <c r="AU142" s="38" t="n"/>
      <c r="AV142" s="36">
        <f>IF($A142="","",IF(AND(AR142="",AT142=""),"לא נבדק",IF(AND(OR(AR142="",AR142=AS142),OR(AT142="",AT142=AU142)),"תואם","לא תואם")))</f>
        <v/>
      </c>
      <c r="AW142" s="36">
        <f>IF($A142="","",IF(AND(AV142&lt;&gt;"לא תואם",G142&lt;&gt;"לא ברור"),"אמין","לפרש בזהירות"))</f>
        <v/>
      </c>
    </row>
    <row r="143">
      <c r="A143" s="38" t="n"/>
      <c r="B143" s="38" t="n"/>
      <c r="C143" s="38" t="n"/>
      <c r="D143" s="38" t="n"/>
      <c r="E143" s="38" t="n"/>
      <c r="F143" s="38" t="n"/>
      <c r="G143" s="38" t="n"/>
      <c r="H143" s="38" t="n"/>
      <c r="I143" s="38" t="n"/>
      <c r="J143" s="38" t="n"/>
      <c r="K143" s="38" t="n"/>
      <c r="L143" s="38" t="n"/>
      <c r="M143" s="38" t="n"/>
      <c r="N143" s="38" t="n"/>
      <c r="O143" s="38" t="n"/>
      <c r="P143" s="38" t="n"/>
      <c r="Q143" s="38" t="n"/>
      <c r="R143" s="38" t="n"/>
      <c r="S143" s="38" t="n"/>
      <c r="T143" s="38" t="n"/>
      <c r="U143" s="38" t="n"/>
      <c r="V143" s="38" t="n"/>
      <c r="W143" s="38" t="n"/>
      <c r="X143" s="38" t="n"/>
      <c r="Y143" s="38" t="n"/>
      <c r="Z143" s="38" t="n"/>
      <c r="AA143" s="38" t="n"/>
      <c r="AB143" s="38" t="n"/>
      <c r="AC143" s="38" t="n"/>
      <c r="AD143" s="38" t="n"/>
      <c r="AE143" s="38" t="n"/>
      <c r="AF143" s="36">
        <f>IF($A143="","",$A143&amp;"|"&amp;$C143)</f>
        <v/>
      </c>
      <c r="AG143" s="36">
        <f>IF($A143="","",IF(OR(H143="לא נבדק",H143=""),"לא נבדק",IF(AND(H143="בחר/ה בעצמו/ה",I143="כן",J143="לא"),"מלא",IF(OR(H143="בחר/ה בעצמו/ה",I143="כן"),"חלקי","עדיין לא"))))</f>
        <v/>
      </c>
      <c r="AH143" s="37">
        <f>IF($A143="","",IFERROR(COUNTIF(K143:L143,"כן")/(COUNTIF(K143:L143,"כן")+COUNTIF(K143:L143,"לא")),""))</f>
        <v/>
      </c>
      <c r="AI143" s="37">
        <f>IF($A143="","",IFERROR(COUNTIF(M143:N143,"כן")/(COUNTIF(M143:N143,"כן")+COUNTIF(M143:N143,"לא")),""))</f>
        <v/>
      </c>
      <c r="AJ143" s="37">
        <f>IF($A143="","",IFERROR(COUNTIF(O143:P143,"כן")/(COUNTIF(O143:P143,"כן")+COUNTIF(O143:P143,"לא")),""))</f>
        <v/>
      </c>
      <c r="AK143" s="37">
        <f>IF($A143="","",IFERROR(COUNTIF(Q143:R143,"כן")/(COUNTIF(Q143:R143,"כן")+COUNTIF(Q143:R143,"לא")),""))</f>
        <v/>
      </c>
      <c r="AL143" s="37">
        <f>IF($A143="","",IFERROR(COUNTIF(K143:R143,"כן")/(COUNTIF(K143:R143,"כן")+COUNTIF(K143:R143,"לא")),""))</f>
        <v/>
      </c>
      <c r="AM143" s="37">
        <f>IF($A143="","",IFERROR((COUNTIF(S143:Z143,"רוב הזמן")+0.5*COUNTIF(S143:Z143,"לפעמים"))/(COUNTIF(S143:Z143,"רוב הזמן")+COUNTIF(S143:Z143,"לפעמים")+COUNTIF(S143:Z143,"עדיין לא")),""))</f>
        <v/>
      </c>
      <c r="AN143" s="37">
        <f>IF($A143="","",IFERROR(1-SUMPRODUCT(ABS((K143:R143="כן")-((S143:Z143="רוב הזמן")+0.5*(S143:Z143="לפעמים")))*(((K143:R143="כן")+(K143:R143="לא"))*((S143:Z143="רוב הזמן")+(S143:Z143="לפעמים")+(S143:Z143="עדיין לא"))))/SUMPRODUCT((((K143:R143="כן")+(K143:R143="לא"))*((S143:Z143="רוב הזמן")+(S143:Z143="לפעמים")+(S143:Z143="עדיין לא")))),""))</f>
        <v/>
      </c>
      <c r="AO143" s="36">
        <f>IF($A143="","",SUMPRODUCT((((K143:R143="כן")-((S143:Z143="רוב הזמן")+0.5*(S143:Z143="לפעמים")))&gt;0.01)*(((K143:R143="כן")+(K143:R143="לא"))*((S143:Z143="רוב הזמן")+(S143:Z143="לפעמים")+(S143:Z143="עדיין לא")))))</f>
        <v/>
      </c>
      <c r="AP143" s="36">
        <f>IF($A143="","",SUMPRODUCT(((((S143:Z143="רוב הזמן")+0.5*(S143:Z143="לפעמים"))-(K143:R143="כן"))&gt;0.01)*(((K143:R143="כן")+(K143:R143="לא"))*((S143:Z143="רוב הזמן")+(S143:Z143="לפעמים")+(S143:Z143="עדיין לא")))))</f>
        <v/>
      </c>
      <c r="AQ143" s="36">
        <f>IF($A143="","",COUNTIF(AA143:AC143,"כן"))</f>
        <v/>
      </c>
      <c r="AR143" s="38" t="n"/>
      <c r="AS143" s="38" t="n"/>
      <c r="AT143" s="38" t="n"/>
      <c r="AU143" s="38" t="n"/>
      <c r="AV143" s="36">
        <f>IF($A143="","",IF(AND(AR143="",AT143=""),"לא נבדק",IF(AND(OR(AR143="",AR143=AS143),OR(AT143="",AT143=AU143)),"תואם","לא תואם")))</f>
        <v/>
      </c>
      <c r="AW143" s="36">
        <f>IF($A143="","",IF(AND(AV143&lt;&gt;"לא תואם",G143&lt;&gt;"לא ברור"),"אמין","לפרש בזהירות"))</f>
        <v/>
      </c>
    </row>
    <row r="144">
      <c r="A144" s="38" t="n"/>
      <c r="B144" s="38" t="n"/>
      <c r="C144" s="38" t="n"/>
      <c r="D144" s="38" t="n"/>
      <c r="E144" s="38" t="n"/>
      <c r="F144" s="38" t="n"/>
      <c r="G144" s="38" t="n"/>
      <c r="H144" s="38" t="n"/>
      <c r="I144" s="38" t="n"/>
      <c r="J144" s="38" t="n"/>
      <c r="K144" s="38" t="n"/>
      <c r="L144" s="38" t="n"/>
      <c r="M144" s="38" t="n"/>
      <c r="N144" s="38" t="n"/>
      <c r="O144" s="38" t="n"/>
      <c r="P144" s="38" t="n"/>
      <c r="Q144" s="38" t="n"/>
      <c r="R144" s="38" t="n"/>
      <c r="S144" s="38" t="n"/>
      <c r="T144" s="38" t="n"/>
      <c r="U144" s="38" t="n"/>
      <c r="V144" s="38" t="n"/>
      <c r="W144" s="38" t="n"/>
      <c r="X144" s="38" t="n"/>
      <c r="Y144" s="38" t="n"/>
      <c r="Z144" s="38" t="n"/>
      <c r="AA144" s="38" t="n"/>
      <c r="AB144" s="38" t="n"/>
      <c r="AC144" s="38" t="n"/>
      <c r="AD144" s="38" t="n"/>
      <c r="AE144" s="38" t="n"/>
      <c r="AF144" s="36">
        <f>IF($A144="","",$A144&amp;"|"&amp;$C144)</f>
        <v/>
      </c>
      <c r="AG144" s="36">
        <f>IF($A144="","",IF(OR(H144="לא נבדק",H144=""),"לא נבדק",IF(AND(H144="בחר/ה בעצמו/ה",I144="כן",J144="לא"),"מלא",IF(OR(H144="בחר/ה בעצמו/ה",I144="כן"),"חלקי","עדיין לא"))))</f>
        <v/>
      </c>
      <c r="AH144" s="37">
        <f>IF($A144="","",IFERROR(COUNTIF(K144:L144,"כן")/(COUNTIF(K144:L144,"כן")+COUNTIF(K144:L144,"לא")),""))</f>
        <v/>
      </c>
      <c r="AI144" s="37">
        <f>IF($A144="","",IFERROR(COUNTIF(M144:N144,"כן")/(COUNTIF(M144:N144,"כן")+COUNTIF(M144:N144,"לא")),""))</f>
        <v/>
      </c>
      <c r="AJ144" s="37">
        <f>IF($A144="","",IFERROR(COUNTIF(O144:P144,"כן")/(COUNTIF(O144:P144,"כן")+COUNTIF(O144:P144,"לא")),""))</f>
        <v/>
      </c>
      <c r="AK144" s="37">
        <f>IF($A144="","",IFERROR(COUNTIF(Q144:R144,"כן")/(COUNTIF(Q144:R144,"כן")+COUNTIF(Q144:R144,"לא")),""))</f>
        <v/>
      </c>
      <c r="AL144" s="37">
        <f>IF($A144="","",IFERROR(COUNTIF(K144:R144,"כן")/(COUNTIF(K144:R144,"כן")+COUNTIF(K144:R144,"לא")),""))</f>
        <v/>
      </c>
      <c r="AM144" s="37">
        <f>IF($A144="","",IFERROR((COUNTIF(S144:Z144,"רוב הזמן")+0.5*COUNTIF(S144:Z144,"לפעמים"))/(COUNTIF(S144:Z144,"רוב הזמן")+COUNTIF(S144:Z144,"לפעמים")+COUNTIF(S144:Z144,"עדיין לא")),""))</f>
        <v/>
      </c>
      <c r="AN144" s="37">
        <f>IF($A144="","",IFERROR(1-SUMPRODUCT(ABS((K144:R144="כן")-((S144:Z144="רוב הזמן")+0.5*(S144:Z144="לפעמים")))*(((K144:R144="כן")+(K144:R144="לא"))*((S144:Z144="רוב הזמן")+(S144:Z144="לפעמים")+(S144:Z144="עדיין לא"))))/SUMPRODUCT((((K144:R144="כן")+(K144:R144="לא"))*((S144:Z144="רוב הזמן")+(S144:Z144="לפעמים")+(S144:Z144="עדיין לא")))),""))</f>
        <v/>
      </c>
      <c r="AO144" s="36">
        <f>IF($A144="","",SUMPRODUCT((((K144:R144="כן")-((S144:Z144="רוב הזמן")+0.5*(S144:Z144="לפעמים")))&gt;0.01)*(((K144:R144="כן")+(K144:R144="לא"))*((S144:Z144="רוב הזמן")+(S144:Z144="לפעמים")+(S144:Z144="עדיין לא")))))</f>
        <v/>
      </c>
      <c r="AP144" s="36">
        <f>IF($A144="","",SUMPRODUCT(((((S144:Z144="רוב הזמן")+0.5*(S144:Z144="לפעמים"))-(K144:R144="כן"))&gt;0.01)*(((K144:R144="כן")+(K144:R144="לא"))*((S144:Z144="רוב הזמן")+(S144:Z144="לפעמים")+(S144:Z144="עדיין לא")))))</f>
        <v/>
      </c>
      <c r="AQ144" s="36">
        <f>IF($A144="","",COUNTIF(AA144:AC144,"כן"))</f>
        <v/>
      </c>
      <c r="AR144" s="38" t="n"/>
      <c r="AS144" s="38" t="n"/>
      <c r="AT144" s="38" t="n"/>
      <c r="AU144" s="38" t="n"/>
      <c r="AV144" s="36">
        <f>IF($A144="","",IF(AND(AR144="",AT144=""),"לא נבדק",IF(AND(OR(AR144="",AR144=AS144),OR(AT144="",AT144=AU144)),"תואם","לא תואם")))</f>
        <v/>
      </c>
      <c r="AW144" s="36">
        <f>IF($A144="","",IF(AND(AV144&lt;&gt;"לא תואם",G144&lt;&gt;"לא ברור"),"אמין","לפרש בזהירות"))</f>
        <v/>
      </c>
    </row>
    <row r="145">
      <c r="A145" s="38" t="n"/>
      <c r="B145" s="38" t="n"/>
      <c r="C145" s="38" t="n"/>
      <c r="D145" s="38" t="n"/>
      <c r="E145" s="38" t="n"/>
      <c r="F145" s="38" t="n"/>
      <c r="G145" s="38" t="n"/>
      <c r="H145" s="38" t="n"/>
      <c r="I145" s="38" t="n"/>
      <c r="J145" s="38" t="n"/>
      <c r="K145" s="38" t="n"/>
      <c r="L145" s="38" t="n"/>
      <c r="M145" s="38" t="n"/>
      <c r="N145" s="38" t="n"/>
      <c r="O145" s="38" t="n"/>
      <c r="P145" s="38" t="n"/>
      <c r="Q145" s="38" t="n"/>
      <c r="R145" s="38" t="n"/>
      <c r="S145" s="38" t="n"/>
      <c r="T145" s="38" t="n"/>
      <c r="U145" s="38" t="n"/>
      <c r="V145" s="38" t="n"/>
      <c r="W145" s="38" t="n"/>
      <c r="X145" s="38" t="n"/>
      <c r="Y145" s="38" t="n"/>
      <c r="Z145" s="38" t="n"/>
      <c r="AA145" s="38" t="n"/>
      <c r="AB145" s="38" t="n"/>
      <c r="AC145" s="38" t="n"/>
      <c r="AD145" s="38" t="n"/>
      <c r="AE145" s="38" t="n"/>
      <c r="AF145" s="36">
        <f>IF($A145="","",$A145&amp;"|"&amp;$C145)</f>
        <v/>
      </c>
      <c r="AG145" s="36">
        <f>IF($A145="","",IF(OR(H145="לא נבדק",H145=""),"לא נבדק",IF(AND(H145="בחר/ה בעצמו/ה",I145="כן",J145="לא"),"מלא",IF(OR(H145="בחר/ה בעצמו/ה",I145="כן"),"חלקי","עדיין לא"))))</f>
        <v/>
      </c>
      <c r="AH145" s="37">
        <f>IF($A145="","",IFERROR(COUNTIF(K145:L145,"כן")/(COUNTIF(K145:L145,"כן")+COUNTIF(K145:L145,"לא")),""))</f>
        <v/>
      </c>
      <c r="AI145" s="37">
        <f>IF($A145="","",IFERROR(COUNTIF(M145:N145,"כן")/(COUNTIF(M145:N145,"כן")+COUNTIF(M145:N145,"לא")),""))</f>
        <v/>
      </c>
      <c r="AJ145" s="37">
        <f>IF($A145="","",IFERROR(COUNTIF(O145:P145,"כן")/(COUNTIF(O145:P145,"כן")+COUNTIF(O145:P145,"לא")),""))</f>
        <v/>
      </c>
      <c r="AK145" s="37">
        <f>IF($A145="","",IFERROR(COUNTIF(Q145:R145,"כן")/(COUNTIF(Q145:R145,"כן")+COUNTIF(Q145:R145,"לא")),""))</f>
        <v/>
      </c>
      <c r="AL145" s="37">
        <f>IF($A145="","",IFERROR(COUNTIF(K145:R145,"כן")/(COUNTIF(K145:R145,"כן")+COUNTIF(K145:R145,"לא")),""))</f>
        <v/>
      </c>
      <c r="AM145" s="37">
        <f>IF($A145="","",IFERROR((COUNTIF(S145:Z145,"רוב הזמן")+0.5*COUNTIF(S145:Z145,"לפעמים"))/(COUNTIF(S145:Z145,"רוב הזמן")+COUNTIF(S145:Z145,"לפעמים")+COUNTIF(S145:Z145,"עדיין לא")),""))</f>
        <v/>
      </c>
      <c r="AN145" s="37">
        <f>IF($A145="","",IFERROR(1-SUMPRODUCT(ABS((K145:R145="כן")-((S145:Z145="רוב הזמן")+0.5*(S145:Z145="לפעמים")))*(((K145:R145="כן")+(K145:R145="לא"))*((S145:Z145="רוב הזמן")+(S145:Z145="לפעמים")+(S145:Z145="עדיין לא"))))/SUMPRODUCT((((K145:R145="כן")+(K145:R145="לא"))*((S145:Z145="רוב הזמן")+(S145:Z145="לפעמים")+(S145:Z145="עדיין לא")))),""))</f>
        <v/>
      </c>
      <c r="AO145" s="36">
        <f>IF($A145="","",SUMPRODUCT((((K145:R145="כן")-((S145:Z145="רוב הזמן")+0.5*(S145:Z145="לפעמים")))&gt;0.01)*(((K145:R145="כן")+(K145:R145="לא"))*((S145:Z145="רוב הזמן")+(S145:Z145="לפעמים")+(S145:Z145="עדיין לא")))))</f>
        <v/>
      </c>
      <c r="AP145" s="36">
        <f>IF($A145="","",SUMPRODUCT(((((S145:Z145="רוב הזמן")+0.5*(S145:Z145="לפעמים"))-(K145:R145="כן"))&gt;0.01)*(((K145:R145="כן")+(K145:R145="לא"))*((S145:Z145="רוב הזמן")+(S145:Z145="לפעמים")+(S145:Z145="עדיין לא")))))</f>
        <v/>
      </c>
      <c r="AQ145" s="36">
        <f>IF($A145="","",COUNTIF(AA145:AC145,"כן"))</f>
        <v/>
      </c>
      <c r="AR145" s="38" t="n"/>
      <c r="AS145" s="38" t="n"/>
      <c r="AT145" s="38" t="n"/>
      <c r="AU145" s="38" t="n"/>
      <c r="AV145" s="36">
        <f>IF($A145="","",IF(AND(AR145="",AT145=""),"לא נבדק",IF(AND(OR(AR145="",AR145=AS145),OR(AT145="",AT145=AU145)),"תואם","לא תואם")))</f>
        <v/>
      </c>
      <c r="AW145" s="36">
        <f>IF($A145="","",IF(AND(AV145&lt;&gt;"לא תואם",G145&lt;&gt;"לא ברור"),"אמין","לפרש בזהירות"))</f>
        <v/>
      </c>
    </row>
    <row r="146">
      <c r="A146" s="38" t="n"/>
      <c r="B146" s="38" t="n"/>
      <c r="C146" s="38" t="n"/>
      <c r="D146" s="38" t="n"/>
      <c r="E146" s="38" t="n"/>
      <c r="F146" s="38" t="n"/>
      <c r="G146" s="38" t="n"/>
      <c r="H146" s="38" t="n"/>
      <c r="I146" s="38" t="n"/>
      <c r="J146" s="38" t="n"/>
      <c r="K146" s="38" t="n"/>
      <c r="L146" s="38" t="n"/>
      <c r="M146" s="38" t="n"/>
      <c r="N146" s="38" t="n"/>
      <c r="O146" s="38" t="n"/>
      <c r="P146" s="38" t="n"/>
      <c r="Q146" s="38" t="n"/>
      <c r="R146" s="38" t="n"/>
      <c r="S146" s="38" t="n"/>
      <c r="T146" s="38" t="n"/>
      <c r="U146" s="38" t="n"/>
      <c r="V146" s="38" t="n"/>
      <c r="W146" s="38" t="n"/>
      <c r="X146" s="38" t="n"/>
      <c r="Y146" s="38" t="n"/>
      <c r="Z146" s="38" t="n"/>
      <c r="AA146" s="38" t="n"/>
      <c r="AB146" s="38" t="n"/>
      <c r="AC146" s="38" t="n"/>
      <c r="AD146" s="38" t="n"/>
      <c r="AE146" s="38" t="n"/>
      <c r="AF146" s="36">
        <f>IF($A146="","",$A146&amp;"|"&amp;$C146)</f>
        <v/>
      </c>
      <c r="AG146" s="36">
        <f>IF($A146="","",IF(OR(H146="לא נבדק",H146=""),"לא נבדק",IF(AND(H146="בחר/ה בעצמו/ה",I146="כן",J146="לא"),"מלא",IF(OR(H146="בחר/ה בעצמו/ה",I146="כן"),"חלקי","עדיין לא"))))</f>
        <v/>
      </c>
      <c r="AH146" s="37">
        <f>IF($A146="","",IFERROR(COUNTIF(K146:L146,"כן")/(COUNTIF(K146:L146,"כן")+COUNTIF(K146:L146,"לא")),""))</f>
        <v/>
      </c>
      <c r="AI146" s="37">
        <f>IF($A146="","",IFERROR(COUNTIF(M146:N146,"כן")/(COUNTIF(M146:N146,"כן")+COUNTIF(M146:N146,"לא")),""))</f>
        <v/>
      </c>
      <c r="AJ146" s="37">
        <f>IF($A146="","",IFERROR(COUNTIF(O146:P146,"כן")/(COUNTIF(O146:P146,"כן")+COUNTIF(O146:P146,"לא")),""))</f>
        <v/>
      </c>
      <c r="AK146" s="37">
        <f>IF($A146="","",IFERROR(COUNTIF(Q146:R146,"כן")/(COUNTIF(Q146:R146,"כן")+COUNTIF(Q146:R146,"לא")),""))</f>
        <v/>
      </c>
      <c r="AL146" s="37">
        <f>IF($A146="","",IFERROR(COUNTIF(K146:R146,"כן")/(COUNTIF(K146:R146,"כן")+COUNTIF(K146:R146,"לא")),""))</f>
        <v/>
      </c>
      <c r="AM146" s="37">
        <f>IF($A146="","",IFERROR((COUNTIF(S146:Z146,"רוב הזמן")+0.5*COUNTIF(S146:Z146,"לפעמים"))/(COUNTIF(S146:Z146,"רוב הזמן")+COUNTIF(S146:Z146,"לפעמים")+COUNTIF(S146:Z146,"עדיין לא")),""))</f>
        <v/>
      </c>
      <c r="AN146" s="37">
        <f>IF($A146="","",IFERROR(1-SUMPRODUCT(ABS((K146:R146="כן")-((S146:Z146="רוב הזמן")+0.5*(S146:Z146="לפעמים")))*(((K146:R146="כן")+(K146:R146="לא"))*((S146:Z146="רוב הזמן")+(S146:Z146="לפעמים")+(S146:Z146="עדיין לא"))))/SUMPRODUCT((((K146:R146="כן")+(K146:R146="לא"))*((S146:Z146="רוב הזמן")+(S146:Z146="לפעמים")+(S146:Z146="עדיין לא")))),""))</f>
        <v/>
      </c>
      <c r="AO146" s="36">
        <f>IF($A146="","",SUMPRODUCT((((K146:R146="כן")-((S146:Z146="רוב הזמן")+0.5*(S146:Z146="לפעמים")))&gt;0.01)*(((K146:R146="כן")+(K146:R146="לא"))*((S146:Z146="רוב הזמן")+(S146:Z146="לפעמים")+(S146:Z146="עדיין לא")))))</f>
        <v/>
      </c>
      <c r="AP146" s="36">
        <f>IF($A146="","",SUMPRODUCT(((((S146:Z146="רוב הזמן")+0.5*(S146:Z146="לפעמים"))-(K146:R146="כן"))&gt;0.01)*(((K146:R146="כן")+(K146:R146="לא"))*((S146:Z146="רוב הזמן")+(S146:Z146="לפעמים")+(S146:Z146="עדיין לא")))))</f>
        <v/>
      </c>
      <c r="AQ146" s="36">
        <f>IF($A146="","",COUNTIF(AA146:AC146,"כן"))</f>
        <v/>
      </c>
      <c r="AR146" s="38" t="n"/>
      <c r="AS146" s="38" t="n"/>
      <c r="AT146" s="38" t="n"/>
      <c r="AU146" s="38" t="n"/>
      <c r="AV146" s="36">
        <f>IF($A146="","",IF(AND(AR146="",AT146=""),"לא נבדק",IF(AND(OR(AR146="",AR146=AS146),OR(AT146="",AT146=AU146)),"תואם","לא תואם")))</f>
        <v/>
      </c>
      <c r="AW146" s="36">
        <f>IF($A146="","",IF(AND(AV146&lt;&gt;"לא תואם",G146&lt;&gt;"לא ברור"),"אמין","לפרש בזהירות"))</f>
        <v/>
      </c>
    </row>
    <row r="147">
      <c r="A147" s="38" t="n"/>
      <c r="B147" s="38" t="n"/>
      <c r="C147" s="38" t="n"/>
      <c r="D147" s="38" t="n"/>
      <c r="E147" s="38" t="n"/>
      <c r="F147" s="38" t="n"/>
      <c r="G147" s="38" t="n"/>
      <c r="H147" s="38" t="n"/>
      <c r="I147" s="38" t="n"/>
      <c r="J147" s="38" t="n"/>
      <c r="K147" s="38" t="n"/>
      <c r="L147" s="38" t="n"/>
      <c r="M147" s="38" t="n"/>
      <c r="N147" s="38" t="n"/>
      <c r="O147" s="38" t="n"/>
      <c r="P147" s="38" t="n"/>
      <c r="Q147" s="38" t="n"/>
      <c r="R147" s="38" t="n"/>
      <c r="S147" s="38" t="n"/>
      <c r="T147" s="38" t="n"/>
      <c r="U147" s="38" t="n"/>
      <c r="V147" s="38" t="n"/>
      <c r="W147" s="38" t="n"/>
      <c r="X147" s="38" t="n"/>
      <c r="Y147" s="38" t="n"/>
      <c r="Z147" s="38" t="n"/>
      <c r="AA147" s="38" t="n"/>
      <c r="AB147" s="38" t="n"/>
      <c r="AC147" s="38" t="n"/>
      <c r="AD147" s="38" t="n"/>
      <c r="AE147" s="38" t="n"/>
      <c r="AF147" s="36">
        <f>IF($A147="","",$A147&amp;"|"&amp;$C147)</f>
        <v/>
      </c>
      <c r="AG147" s="36">
        <f>IF($A147="","",IF(OR(H147="לא נבדק",H147=""),"לא נבדק",IF(AND(H147="בחר/ה בעצמו/ה",I147="כן",J147="לא"),"מלא",IF(OR(H147="בחר/ה בעצמו/ה",I147="כן"),"חלקי","עדיין לא"))))</f>
        <v/>
      </c>
      <c r="AH147" s="37">
        <f>IF($A147="","",IFERROR(COUNTIF(K147:L147,"כן")/(COUNTIF(K147:L147,"כן")+COUNTIF(K147:L147,"לא")),""))</f>
        <v/>
      </c>
      <c r="AI147" s="37">
        <f>IF($A147="","",IFERROR(COUNTIF(M147:N147,"כן")/(COUNTIF(M147:N147,"כן")+COUNTIF(M147:N147,"לא")),""))</f>
        <v/>
      </c>
      <c r="AJ147" s="37">
        <f>IF($A147="","",IFERROR(COUNTIF(O147:P147,"כן")/(COUNTIF(O147:P147,"כן")+COUNTIF(O147:P147,"לא")),""))</f>
        <v/>
      </c>
      <c r="AK147" s="37">
        <f>IF($A147="","",IFERROR(COUNTIF(Q147:R147,"כן")/(COUNTIF(Q147:R147,"כן")+COUNTIF(Q147:R147,"לא")),""))</f>
        <v/>
      </c>
      <c r="AL147" s="37">
        <f>IF($A147="","",IFERROR(COUNTIF(K147:R147,"כן")/(COUNTIF(K147:R147,"כן")+COUNTIF(K147:R147,"לא")),""))</f>
        <v/>
      </c>
      <c r="AM147" s="37">
        <f>IF($A147="","",IFERROR((COUNTIF(S147:Z147,"רוב הזמן")+0.5*COUNTIF(S147:Z147,"לפעמים"))/(COUNTIF(S147:Z147,"רוב הזמן")+COUNTIF(S147:Z147,"לפעמים")+COUNTIF(S147:Z147,"עדיין לא")),""))</f>
        <v/>
      </c>
      <c r="AN147" s="37">
        <f>IF($A147="","",IFERROR(1-SUMPRODUCT(ABS((K147:R147="כן")-((S147:Z147="רוב הזמן")+0.5*(S147:Z147="לפעמים")))*(((K147:R147="כן")+(K147:R147="לא"))*((S147:Z147="רוב הזמן")+(S147:Z147="לפעמים")+(S147:Z147="עדיין לא"))))/SUMPRODUCT((((K147:R147="כן")+(K147:R147="לא"))*((S147:Z147="רוב הזמן")+(S147:Z147="לפעמים")+(S147:Z147="עדיין לא")))),""))</f>
        <v/>
      </c>
      <c r="AO147" s="36">
        <f>IF($A147="","",SUMPRODUCT((((K147:R147="כן")-((S147:Z147="רוב הזמן")+0.5*(S147:Z147="לפעמים")))&gt;0.01)*(((K147:R147="כן")+(K147:R147="לא"))*((S147:Z147="רוב הזמן")+(S147:Z147="לפעמים")+(S147:Z147="עדיין לא")))))</f>
        <v/>
      </c>
      <c r="AP147" s="36">
        <f>IF($A147="","",SUMPRODUCT(((((S147:Z147="רוב הזמן")+0.5*(S147:Z147="לפעמים"))-(K147:R147="כן"))&gt;0.01)*(((K147:R147="כן")+(K147:R147="לא"))*((S147:Z147="רוב הזמן")+(S147:Z147="לפעמים")+(S147:Z147="עדיין לא")))))</f>
        <v/>
      </c>
      <c r="AQ147" s="36">
        <f>IF($A147="","",COUNTIF(AA147:AC147,"כן"))</f>
        <v/>
      </c>
      <c r="AR147" s="38" t="n"/>
      <c r="AS147" s="38" t="n"/>
      <c r="AT147" s="38" t="n"/>
      <c r="AU147" s="38" t="n"/>
      <c r="AV147" s="36">
        <f>IF($A147="","",IF(AND(AR147="",AT147=""),"לא נבדק",IF(AND(OR(AR147="",AR147=AS147),OR(AT147="",AT147=AU147)),"תואם","לא תואם")))</f>
        <v/>
      </c>
      <c r="AW147" s="36">
        <f>IF($A147="","",IF(AND(AV147&lt;&gt;"לא תואם",G147&lt;&gt;"לא ברור"),"אמין","לפרש בזהירות"))</f>
        <v/>
      </c>
    </row>
    <row r="148">
      <c r="A148" s="38" t="n"/>
      <c r="B148" s="38" t="n"/>
      <c r="C148" s="38" t="n"/>
      <c r="D148" s="38" t="n"/>
      <c r="E148" s="38" t="n"/>
      <c r="F148" s="38" t="n"/>
      <c r="G148" s="38" t="n"/>
      <c r="H148" s="38" t="n"/>
      <c r="I148" s="38" t="n"/>
      <c r="J148" s="38" t="n"/>
      <c r="K148" s="38" t="n"/>
      <c r="L148" s="38" t="n"/>
      <c r="M148" s="38" t="n"/>
      <c r="N148" s="38" t="n"/>
      <c r="O148" s="38" t="n"/>
      <c r="P148" s="38" t="n"/>
      <c r="Q148" s="38" t="n"/>
      <c r="R148" s="38" t="n"/>
      <c r="S148" s="38" t="n"/>
      <c r="T148" s="38" t="n"/>
      <c r="U148" s="38" t="n"/>
      <c r="V148" s="38" t="n"/>
      <c r="W148" s="38" t="n"/>
      <c r="X148" s="38" t="n"/>
      <c r="Y148" s="38" t="n"/>
      <c r="Z148" s="38" t="n"/>
      <c r="AA148" s="38" t="n"/>
      <c r="AB148" s="38" t="n"/>
      <c r="AC148" s="38" t="n"/>
      <c r="AD148" s="38" t="n"/>
      <c r="AE148" s="38" t="n"/>
      <c r="AF148" s="36">
        <f>IF($A148="","",$A148&amp;"|"&amp;$C148)</f>
        <v/>
      </c>
      <c r="AG148" s="36">
        <f>IF($A148="","",IF(OR(H148="לא נבדק",H148=""),"לא נבדק",IF(AND(H148="בחר/ה בעצמו/ה",I148="כן",J148="לא"),"מלא",IF(OR(H148="בחר/ה בעצמו/ה",I148="כן"),"חלקי","עדיין לא"))))</f>
        <v/>
      </c>
      <c r="AH148" s="37">
        <f>IF($A148="","",IFERROR(COUNTIF(K148:L148,"כן")/(COUNTIF(K148:L148,"כן")+COUNTIF(K148:L148,"לא")),""))</f>
        <v/>
      </c>
      <c r="AI148" s="37">
        <f>IF($A148="","",IFERROR(COUNTIF(M148:N148,"כן")/(COUNTIF(M148:N148,"כן")+COUNTIF(M148:N148,"לא")),""))</f>
        <v/>
      </c>
      <c r="AJ148" s="37">
        <f>IF($A148="","",IFERROR(COUNTIF(O148:P148,"כן")/(COUNTIF(O148:P148,"כן")+COUNTIF(O148:P148,"לא")),""))</f>
        <v/>
      </c>
      <c r="AK148" s="37">
        <f>IF($A148="","",IFERROR(COUNTIF(Q148:R148,"כן")/(COUNTIF(Q148:R148,"כן")+COUNTIF(Q148:R148,"לא")),""))</f>
        <v/>
      </c>
      <c r="AL148" s="37">
        <f>IF($A148="","",IFERROR(COUNTIF(K148:R148,"כן")/(COUNTIF(K148:R148,"כן")+COUNTIF(K148:R148,"לא")),""))</f>
        <v/>
      </c>
      <c r="AM148" s="37">
        <f>IF($A148="","",IFERROR((COUNTIF(S148:Z148,"רוב הזמן")+0.5*COUNTIF(S148:Z148,"לפעמים"))/(COUNTIF(S148:Z148,"רוב הזמן")+COUNTIF(S148:Z148,"לפעמים")+COUNTIF(S148:Z148,"עדיין לא")),""))</f>
        <v/>
      </c>
      <c r="AN148" s="37">
        <f>IF($A148="","",IFERROR(1-SUMPRODUCT(ABS((K148:R148="כן")-((S148:Z148="רוב הזמן")+0.5*(S148:Z148="לפעמים")))*(((K148:R148="כן")+(K148:R148="לא"))*((S148:Z148="רוב הזמן")+(S148:Z148="לפעמים")+(S148:Z148="עדיין לא"))))/SUMPRODUCT((((K148:R148="כן")+(K148:R148="לא"))*((S148:Z148="רוב הזמן")+(S148:Z148="לפעמים")+(S148:Z148="עדיין לא")))),""))</f>
        <v/>
      </c>
      <c r="AO148" s="36">
        <f>IF($A148="","",SUMPRODUCT((((K148:R148="כן")-((S148:Z148="רוב הזמן")+0.5*(S148:Z148="לפעמים")))&gt;0.01)*(((K148:R148="כן")+(K148:R148="לא"))*((S148:Z148="רוב הזמן")+(S148:Z148="לפעמים")+(S148:Z148="עדיין לא")))))</f>
        <v/>
      </c>
      <c r="AP148" s="36">
        <f>IF($A148="","",SUMPRODUCT(((((S148:Z148="רוב הזמן")+0.5*(S148:Z148="לפעמים"))-(K148:R148="כן"))&gt;0.01)*(((K148:R148="כן")+(K148:R148="לא"))*((S148:Z148="רוב הזמן")+(S148:Z148="לפעמים")+(S148:Z148="עדיין לא")))))</f>
        <v/>
      </c>
      <c r="AQ148" s="36">
        <f>IF($A148="","",COUNTIF(AA148:AC148,"כן"))</f>
        <v/>
      </c>
      <c r="AR148" s="38" t="n"/>
      <c r="AS148" s="38" t="n"/>
      <c r="AT148" s="38" t="n"/>
      <c r="AU148" s="38" t="n"/>
      <c r="AV148" s="36">
        <f>IF($A148="","",IF(AND(AR148="",AT148=""),"לא נבדק",IF(AND(OR(AR148="",AR148=AS148),OR(AT148="",AT148=AU148)),"תואם","לא תואם")))</f>
        <v/>
      </c>
      <c r="AW148" s="36">
        <f>IF($A148="","",IF(AND(AV148&lt;&gt;"לא תואם",G148&lt;&gt;"לא ברור"),"אמין","לפרש בזהירות"))</f>
        <v/>
      </c>
    </row>
    <row r="149">
      <c r="A149" s="38" t="n"/>
      <c r="B149" s="38" t="n"/>
      <c r="C149" s="38" t="n"/>
      <c r="D149" s="38" t="n"/>
      <c r="E149" s="38" t="n"/>
      <c r="F149" s="38" t="n"/>
      <c r="G149" s="38" t="n"/>
      <c r="H149" s="38" t="n"/>
      <c r="I149" s="38" t="n"/>
      <c r="J149" s="38" t="n"/>
      <c r="K149" s="38" t="n"/>
      <c r="L149" s="38" t="n"/>
      <c r="M149" s="38" t="n"/>
      <c r="N149" s="38" t="n"/>
      <c r="O149" s="38" t="n"/>
      <c r="P149" s="38" t="n"/>
      <c r="Q149" s="38" t="n"/>
      <c r="R149" s="38" t="n"/>
      <c r="S149" s="38" t="n"/>
      <c r="T149" s="38" t="n"/>
      <c r="U149" s="38" t="n"/>
      <c r="V149" s="38" t="n"/>
      <c r="W149" s="38" t="n"/>
      <c r="X149" s="38" t="n"/>
      <c r="Y149" s="38" t="n"/>
      <c r="Z149" s="38" t="n"/>
      <c r="AA149" s="38" t="n"/>
      <c r="AB149" s="38" t="n"/>
      <c r="AC149" s="38" t="n"/>
      <c r="AD149" s="38" t="n"/>
      <c r="AE149" s="38" t="n"/>
      <c r="AF149" s="36">
        <f>IF($A149="","",$A149&amp;"|"&amp;$C149)</f>
        <v/>
      </c>
      <c r="AG149" s="36">
        <f>IF($A149="","",IF(OR(H149="לא נבדק",H149=""),"לא נבדק",IF(AND(H149="בחר/ה בעצמו/ה",I149="כן",J149="לא"),"מלא",IF(OR(H149="בחר/ה בעצמו/ה",I149="כן"),"חלקי","עדיין לא"))))</f>
        <v/>
      </c>
      <c r="AH149" s="37">
        <f>IF($A149="","",IFERROR(COUNTIF(K149:L149,"כן")/(COUNTIF(K149:L149,"כן")+COUNTIF(K149:L149,"לא")),""))</f>
        <v/>
      </c>
      <c r="AI149" s="37">
        <f>IF($A149="","",IFERROR(COUNTIF(M149:N149,"כן")/(COUNTIF(M149:N149,"כן")+COUNTIF(M149:N149,"לא")),""))</f>
        <v/>
      </c>
      <c r="AJ149" s="37">
        <f>IF($A149="","",IFERROR(COUNTIF(O149:P149,"כן")/(COUNTIF(O149:P149,"כן")+COUNTIF(O149:P149,"לא")),""))</f>
        <v/>
      </c>
      <c r="AK149" s="37">
        <f>IF($A149="","",IFERROR(COUNTIF(Q149:R149,"כן")/(COUNTIF(Q149:R149,"כן")+COUNTIF(Q149:R149,"לא")),""))</f>
        <v/>
      </c>
      <c r="AL149" s="37">
        <f>IF($A149="","",IFERROR(COUNTIF(K149:R149,"כן")/(COUNTIF(K149:R149,"כן")+COUNTIF(K149:R149,"לא")),""))</f>
        <v/>
      </c>
      <c r="AM149" s="37">
        <f>IF($A149="","",IFERROR((COUNTIF(S149:Z149,"רוב הזמן")+0.5*COUNTIF(S149:Z149,"לפעמים"))/(COUNTIF(S149:Z149,"רוב הזמן")+COUNTIF(S149:Z149,"לפעמים")+COUNTIF(S149:Z149,"עדיין לא")),""))</f>
        <v/>
      </c>
      <c r="AN149" s="37">
        <f>IF($A149="","",IFERROR(1-SUMPRODUCT(ABS((K149:R149="כן")-((S149:Z149="רוב הזמן")+0.5*(S149:Z149="לפעמים")))*(((K149:R149="כן")+(K149:R149="לא"))*((S149:Z149="רוב הזמן")+(S149:Z149="לפעמים")+(S149:Z149="עדיין לא"))))/SUMPRODUCT((((K149:R149="כן")+(K149:R149="לא"))*((S149:Z149="רוב הזמן")+(S149:Z149="לפעמים")+(S149:Z149="עדיין לא")))),""))</f>
        <v/>
      </c>
      <c r="AO149" s="36">
        <f>IF($A149="","",SUMPRODUCT((((K149:R149="כן")-((S149:Z149="רוב הזמן")+0.5*(S149:Z149="לפעמים")))&gt;0.01)*(((K149:R149="כן")+(K149:R149="לא"))*((S149:Z149="רוב הזמן")+(S149:Z149="לפעמים")+(S149:Z149="עדיין לא")))))</f>
        <v/>
      </c>
      <c r="AP149" s="36">
        <f>IF($A149="","",SUMPRODUCT(((((S149:Z149="רוב הזמן")+0.5*(S149:Z149="לפעמים"))-(K149:R149="כן"))&gt;0.01)*(((K149:R149="כן")+(K149:R149="לא"))*((S149:Z149="רוב הזמן")+(S149:Z149="לפעמים")+(S149:Z149="עדיין לא")))))</f>
        <v/>
      </c>
      <c r="AQ149" s="36">
        <f>IF($A149="","",COUNTIF(AA149:AC149,"כן"))</f>
        <v/>
      </c>
      <c r="AR149" s="38" t="n"/>
      <c r="AS149" s="38" t="n"/>
      <c r="AT149" s="38" t="n"/>
      <c r="AU149" s="38" t="n"/>
      <c r="AV149" s="36">
        <f>IF($A149="","",IF(AND(AR149="",AT149=""),"לא נבדק",IF(AND(OR(AR149="",AR149=AS149),OR(AT149="",AT149=AU149)),"תואם","לא תואם")))</f>
        <v/>
      </c>
      <c r="AW149" s="36">
        <f>IF($A149="","",IF(AND(AV149&lt;&gt;"לא תואם",G149&lt;&gt;"לא ברור"),"אמין","לפרש בזהירות"))</f>
        <v/>
      </c>
    </row>
    <row r="150">
      <c r="A150" s="38" t="n"/>
      <c r="B150" s="38" t="n"/>
      <c r="C150" s="38" t="n"/>
      <c r="D150" s="38" t="n"/>
      <c r="E150" s="38" t="n"/>
      <c r="F150" s="38" t="n"/>
      <c r="G150" s="38" t="n"/>
      <c r="H150" s="38" t="n"/>
      <c r="I150" s="38" t="n"/>
      <c r="J150" s="38" t="n"/>
      <c r="K150" s="38" t="n"/>
      <c r="L150" s="38" t="n"/>
      <c r="M150" s="38" t="n"/>
      <c r="N150" s="38" t="n"/>
      <c r="O150" s="38" t="n"/>
      <c r="P150" s="38" t="n"/>
      <c r="Q150" s="38" t="n"/>
      <c r="R150" s="38" t="n"/>
      <c r="S150" s="38" t="n"/>
      <c r="T150" s="38" t="n"/>
      <c r="U150" s="38" t="n"/>
      <c r="V150" s="38" t="n"/>
      <c r="W150" s="38" t="n"/>
      <c r="X150" s="38" t="n"/>
      <c r="Y150" s="38" t="n"/>
      <c r="Z150" s="38" t="n"/>
      <c r="AA150" s="38" t="n"/>
      <c r="AB150" s="38" t="n"/>
      <c r="AC150" s="38" t="n"/>
      <c r="AD150" s="38" t="n"/>
      <c r="AE150" s="38" t="n"/>
      <c r="AF150" s="36">
        <f>IF($A150="","",$A150&amp;"|"&amp;$C150)</f>
        <v/>
      </c>
      <c r="AG150" s="36">
        <f>IF($A150="","",IF(OR(H150="לא נבדק",H150=""),"לא נבדק",IF(AND(H150="בחר/ה בעצמו/ה",I150="כן",J150="לא"),"מלא",IF(OR(H150="בחר/ה בעצמו/ה",I150="כן"),"חלקי","עדיין לא"))))</f>
        <v/>
      </c>
      <c r="AH150" s="37">
        <f>IF($A150="","",IFERROR(COUNTIF(K150:L150,"כן")/(COUNTIF(K150:L150,"כן")+COUNTIF(K150:L150,"לא")),""))</f>
        <v/>
      </c>
      <c r="AI150" s="37">
        <f>IF($A150="","",IFERROR(COUNTIF(M150:N150,"כן")/(COUNTIF(M150:N150,"כן")+COUNTIF(M150:N150,"לא")),""))</f>
        <v/>
      </c>
      <c r="AJ150" s="37">
        <f>IF($A150="","",IFERROR(COUNTIF(O150:P150,"כן")/(COUNTIF(O150:P150,"כן")+COUNTIF(O150:P150,"לא")),""))</f>
        <v/>
      </c>
      <c r="AK150" s="37">
        <f>IF($A150="","",IFERROR(COUNTIF(Q150:R150,"כן")/(COUNTIF(Q150:R150,"כן")+COUNTIF(Q150:R150,"לא")),""))</f>
        <v/>
      </c>
      <c r="AL150" s="37">
        <f>IF($A150="","",IFERROR(COUNTIF(K150:R150,"כן")/(COUNTIF(K150:R150,"כן")+COUNTIF(K150:R150,"לא")),""))</f>
        <v/>
      </c>
      <c r="AM150" s="37">
        <f>IF($A150="","",IFERROR((COUNTIF(S150:Z150,"רוב הזמן")+0.5*COUNTIF(S150:Z150,"לפעמים"))/(COUNTIF(S150:Z150,"רוב הזמן")+COUNTIF(S150:Z150,"לפעמים")+COUNTIF(S150:Z150,"עדיין לא")),""))</f>
        <v/>
      </c>
      <c r="AN150" s="37">
        <f>IF($A150="","",IFERROR(1-SUMPRODUCT(ABS((K150:R150="כן")-((S150:Z150="רוב הזמן")+0.5*(S150:Z150="לפעמים")))*(((K150:R150="כן")+(K150:R150="לא"))*((S150:Z150="רוב הזמן")+(S150:Z150="לפעמים")+(S150:Z150="עדיין לא"))))/SUMPRODUCT((((K150:R150="כן")+(K150:R150="לא"))*((S150:Z150="רוב הזמן")+(S150:Z150="לפעמים")+(S150:Z150="עדיין לא")))),""))</f>
        <v/>
      </c>
      <c r="AO150" s="36">
        <f>IF($A150="","",SUMPRODUCT((((K150:R150="כן")-((S150:Z150="רוב הזמן")+0.5*(S150:Z150="לפעמים")))&gt;0.01)*(((K150:R150="כן")+(K150:R150="לא"))*((S150:Z150="רוב הזמן")+(S150:Z150="לפעמים")+(S150:Z150="עדיין לא")))))</f>
        <v/>
      </c>
      <c r="AP150" s="36">
        <f>IF($A150="","",SUMPRODUCT(((((S150:Z150="רוב הזמן")+0.5*(S150:Z150="לפעמים"))-(K150:R150="כן"))&gt;0.01)*(((K150:R150="כן")+(K150:R150="לא"))*((S150:Z150="רוב הזמן")+(S150:Z150="לפעמים")+(S150:Z150="עדיין לא")))))</f>
        <v/>
      </c>
      <c r="AQ150" s="36">
        <f>IF($A150="","",COUNTIF(AA150:AC150,"כן"))</f>
        <v/>
      </c>
      <c r="AR150" s="38" t="n"/>
      <c r="AS150" s="38" t="n"/>
      <c r="AT150" s="38" t="n"/>
      <c r="AU150" s="38" t="n"/>
      <c r="AV150" s="36">
        <f>IF($A150="","",IF(AND(AR150="",AT150=""),"לא נבדק",IF(AND(OR(AR150="",AR150=AS150),OR(AT150="",AT150=AU150)),"תואם","לא תואם")))</f>
        <v/>
      </c>
      <c r="AW150" s="36">
        <f>IF($A150="","",IF(AND(AV150&lt;&gt;"לא תואם",G150&lt;&gt;"לא ברור"),"אמין","לפרש בזהירות"))</f>
        <v/>
      </c>
    </row>
    <row r="151">
      <c r="A151" s="38" t="n"/>
      <c r="B151" s="38" t="n"/>
      <c r="C151" s="38" t="n"/>
      <c r="D151" s="38" t="n"/>
      <c r="E151" s="38" t="n"/>
      <c r="F151" s="38" t="n"/>
      <c r="G151" s="38" t="n"/>
      <c r="H151" s="38" t="n"/>
      <c r="I151" s="38" t="n"/>
      <c r="J151" s="38" t="n"/>
      <c r="K151" s="38" t="n"/>
      <c r="L151" s="38" t="n"/>
      <c r="M151" s="38" t="n"/>
      <c r="N151" s="38" t="n"/>
      <c r="O151" s="38" t="n"/>
      <c r="P151" s="38" t="n"/>
      <c r="Q151" s="38" t="n"/>
      <c r="R151" s="38" t="n"/>
      <c r="S151" s="38" t="n"/>
      <c r="T151" s="38" t="n"/>
      <c r="U151" s="38" t="n"/>
      <c r="V151" s="38" t="n"/>
      <c r="W151" s="38" t="n"/>
      <c r="X151" s="38" t="n"/>
      <c r="Y151" s="38" t="n"/>
      <c r="Z151" s="38" t="n"/>
      <c r="AA151" s="38" t="n"/>
      <c r="AB151" s="38" t="n"/>
      <c r="AC151" s="38" t="n"/>
      <c r="AD151" s="38" t="n"/>
      <c r="AE151" s="38" t="n"/>
      <c r="AF151" s="36">
        <f>IF($A151="","",$A151&amp;"|"&amp;$C151)</f>
        <v/>
      </c>
      <c r="AG151" s="36">
        <f>IF($A151="","",IF(OR(H151="לא נבדק",H151=""),"לא נבדק",IF(AND(H151="בחר/ה בעצמו/ה",I151="כן",J151="לא"),"מלא",IF(OR(H151="בחר/ה בעצמו/ה",I151="כן"),"חלקי","עדיין לא"))))</f>
        <v/>
      </c>
      <c r="AH151" s="37">
        <f>IF($A151="","",IFERROR(COUNTIF(K151:L151,"כן")/(COUNTIF(K151:L151,"כן")+COUNTIF(K151:L151,"לא")),""))</f>
        <v/>
      </c>
      <c r="AI151" s="37">
        <f>IF($A151="","",IFERROR(COUNTIF(M151:N151,"כן")/(COUNTIF(M151:N151,"כן")+COUNTIF(M151:N151,"לא")),""))</f>
        <v/>
      </c>
      <c r="AJ151" s="37">
        <f>IF($A151="","",IFERROR(COUNTIF(O151:P151,"כן")/(COUNTIF(O151:P151,"כן")+COUNTIF(O151:P151,"לא")),""))</f>
        <v/>
      </c>
      <c r="AK151" s="37">
        <f>IF($A151="","",IFERROR(COUNTIF(Q151:R151,"כן")/(COUNTIF(Q151:R151,"כן")+COUNTIF(Q151:R151,"לא")),""))</f>
        <v/>
      </c>
      <c r="AL151" s="37">
        <f>IF($A151="","",IFERROR(COUNTIF(K151:R151,"כן")/(COUNTIF(K151:R151,"כן")+COUNTIF(K151:R151,"לא")),""))</f>
        <v/>
      </c>
      <c r="AM151" s="37">
        <f>IF($A151="","",IFERROR((COUNTIF(S151:Z151,"רוב הזמן")+0.5*COUNTIF(S151:Z151,"לפעמים"))/(COUNTIF(S151:Z151,"רוב הזמן")+COUNTIF(S151:Z151,"לפעמים")+COUNTIF(S151:Z151,"עדיין לא")),""))</f>
        <v/>
      </c>
      <c r="AN151" s="37">
        <f>IF($A151="","",IFERROR(1-SUMPRODUCT(ABS((K151:R151="כן")-((S151:Z151="רוב הזמן")+0.5*(S151:Z151="לפעמים")))*(((K151:R151="כן")+(K151:R151="לא"))*((S151:Z151="רוב הזמן")+(S151:Z151="לפעמים")+(S151:Z151="עדיין לא"))))/SUMPRODUCT((((K151:R151="כן")+(K151:R151="לא"))*((S151:Z151="רוב הזמן")+(S151:Z151="לפעמים")+(S151:Z151="עדיין לא")))),""))</f>
        <v/>
      </c>
      <c r="AO151" s="36">
        <f>IF($A151="","",SUMPRODUCT((((K151:R151="כן")-((S151:Z151="רוב הזמן")+0.5*(S151:Z151="לפעמים")))&gt;0.01)*(((K151:R151="כן")+(K151:R151="לא"))*((S151:Z151="רוב הזמן")+(S151:Z151="לפעמים")+(S151:Z151="עדיין לא")))))</f>
        <v/>
      </c>
      <c r="AP151" s="36">
        <f>IF($A151="","",SUMPRODUCT(((((S151:Z151="רוב הזמן")+0.5*(S151:Z151="לפעמים"))-(K151:R151="כן"))&gt;0.01)*(((K151:R151="כן")+(K151:R151="לא"))*((S151:Z151="רוב הזמן")+(S151:Z151="לפעמים")+(S151:Z151="עדיין לא")))))</f>
        <v/>
      </c>
      <c r="AQ151" s="36">
        <f>IF($A151="","",COUNTIF(AA151:AC151,"כן"))</f>
        <v/>
      </c>
      <c r="AR151" s="38" t="n"/>
      <c r="AS151" s="38" t="n"/>
      <c r="AT151" s="38" t="n"/>
      <c r="AU151" s="38" t="n"/>
      <c r="AV151" s="36">
        <f>IF($A151="","",IF(AND(AR151="",AT151=""),"לא נבדק",IF(AND(OR(AR151="",AR151=AS151),OR(AT151="",AT151=AU151)),"תואם","לא תואם")))</f>
        <v/>
      </c>
      <c r="AW151" s="36">
        <f>IF($A151="","",IF(AND(AV151&lt;&gt;"לא תואם",G151&lt;&gt;"לא ברור"),"אמין","לפרש בזהירות"))</f>
        <v/>
      </c>
    </row>
    <row r="152">
      <c r="A152" s="38" t="n"/>
      <c r="B152" s="38" t="n"/>
      <c r="C152" s="38" t="n"/>
      <c r="D152" s="38" t="n"/>
      <c r="E152" s="38" t="n"/>
      <c r="F152" s="38" t="n"/>
      <c r="G152" s="38" t="n"/>
      <c r="H152" s="38" t="n"/>
      <c r="I152" s="38" t="n"/>
      <c r="J152" s="38" t="n"/>
      <c r="K152" s="38" t="n"/>
      <c r="L152" s="38" t="n"/>
      <c r="M152" s="38" t="n"/>
      <c r="N152" s="38" t="n"/>
      <c r="O152" s="38" t="n"/>
      <c r="P152" s="38" t="n"/>
      <c r="Q152" s="38" t="n"/>
      <c r="R152" s="38" t="n"/>
      <c r="S152" s="38" t="n"/>
      <c r="T152" s="38" t="n"/>
      <c r="U152" s="38" t="n"/>
      <c r="V152" s="38" t="n"/>
      <c r="W152" s="38" t="n"/>
      <c r="X152" s="38" t="n"/>
      <c r="Y152" s="38" t="n"/>
      <c r="Z152" s="38" t="n"/>
      <c r="AA152" s="38" t="n"/>
      <c r="AB152" s="38" t="n"/>
      <c r="AC152" s="38" t="n"/>
      <c r="AD152" s="38" t="n"/>
      <c r="AE152" s="38" t="n"/>
      <c r="AF152" s="36">
        <f>IF($A152="","",$A152&amp;"|"&amp;$C152)</f>
        <v/>
      </c>
      <c r="AG152" s="36">
        <f>IF($A152="","",IF(OR(H152="לא נבדק",H152=""),"לא נבדק",IF(AND(H152="בחר/ה בעצמו/ה",I152="כן",J152="לא"),"מלא",IF(OR(H152="בחר/ה בעצמו/ה",I152="כן"),"חלקי","עדיין לא"))))</f>
        <v/>
      </c>
      <c r="AH152" s="37">
        <f>IF($A152="","",IFERROR(COUNTIF(K152:L152,"כן")/(COUNTIF(K152:L152,"כן")+COUNTIF(K152:L152,"לא")),""))</f>
        <v/>
      </c>
      <c r="AI152" s="37">
        <f>IF($A152="","",IFERROR(COUNTIF(M152:N152,"כן")/(COUNTIF(M152:N152,"כן")+COUNTIF(M152:N152,"לא")),""))</f>
        <v/>
      </c>
      <c r="AJ152" s="37">
        <f>IF($A152="","",IFERROR(COUNTIF(O152:P152,"כן")/(COUNTIF(O152:P152,"כן")+COUNTIF(O152:P152,"לא")),""))</f>
        <v/>
      </c>
      <c r="AK152" s="37">
        <f>IF($A152="","",IFERROR(COUNTIF(Q152:R152,"כן")/(COUNTIF(Q152:R152,"כן")+COUNTIF(Q152:R152,"לא")),""))</f>
        <v/>
      </c>
      <c r="AL152" s="37">
        <f>IF($A152="","",IFERROR(COUNTIF(K152:R152,"כן")/(COUNTIF(K152:R152,"כן")+COUNTIF(K152:R152,"לא")),""))</f>
        <v/>
      </c>
      <c r="AM152" s="37">
        <f>IF($A152="","",IFERROR((COUNTIF(S152:Z152,"רוב הזמן")+0.5*COUNTIF(S152:Z152,"לפעמים"))/(COUNTIF(S152:Z152,"רוב הזמן")+COUNTIF(S152:Z152,"לפעמים")+COUNTIF(S152:Z152,"עדיין לא")),""))</f>
        <v/>
      </c>
      <c r="AN152" s="37">
        <f>IF($A152="","",IFERROR(1-SUMPRODUCT(ABS((K152:R152="כן")-((S152:Z152="רוב הזמן")+0.5*(S152:Z152="לפעמים")))*(((K152:R152="כן")+(K152:R152="לא"))*((S152:Z152="רוב הזמן")+(S152:Z152="לפעמים")+(S152:Z152="עדיין לא"))))/SUMPRODUCT((((K152:R152="כן")+(K152:R152="לא"))*((S152:Z152="רוב הזמן")+(S152:Z152="לפעמים")+(S152:Z152="עדיין לא")))),""))</f>
        <v/>
      </c>
      <c r="AO152" s="36">
        <f>IF($A152="","",SUMPRODUCT((((K152:R152="כן")-((S152:Z152="רוב הזמן")+0.5*(S152:Z152="לפעמים")))&gt;0.01)*(((K152:R152="כן")+(K152:R152="לא"))*((S152:Z152="רוב הזמן")+(S152:Z152="לפעמים")+(S152:Z152="עדיין לא")))))</f>
        <v/>
      </c>
      <c r="AP152" s="36">
        <f>IF($A152="","",SUMPRODUCT(((((S152:Z152="רוב הזמן")+0.5*(S152:Z152="לפעמים"))-(K152:R152="כן"))&gt;0.01)*(((K152:R152="כן")+(K152:R152="לא"))*((S152:Z152="רוב הזמן")+(S152:Z152="לפעמים")+(S152:Z152="עדיין לא")))))</f>
        <v/>
      </c>
      <c r="AQ152" s="36">
        <f>IF($A152="","",COUNTIF(AA152:AC152,"כן"))</f>
        <v/>
      </c>
      <c r="AR152" s="38" t="n"/>
      <c r="AS152" s="38" t="n"/>
      <c r="AT152" s="38" t="n"/>
      <c r="AU152" s="38" t="n"/>
      <c r="AV152" s="36">
        <f>IF($A152="","",IF(AND(AR152="",AT152=""),"לא נבדק",IF(AND(OR(AR152="",AR152=AS152),OR(AT152="",AT152=AU152)),"תואם","לא תואם")))</f>
        <v/>
      </c>
      <c r="AW152" s="36">
        <f>IF($A152="","",IF(AND(AV152&lt;&gt;"לא תואם",G152&lt;&gt;"לא ברור"),"אמין","לפרש בזהירות"))</f>
        <v/>
      </c>
    </row>
    <row r="153">
      <c r="A153" s="38" t="n"/>
      <c r="B153" s="38" t="n"/>
      <c r="C153" s="38" t="n"/>
      <c r="D153" s="38" t="n"/>
      <c r="E153" s="38" t="n"/>
      <c r="F153" s="38" t="n"/>
      <c r="G153" s="38" t="n"/>
      <c r="H153" s="38" t="n"/>
      <c r="I153" s="38" t="n"/>
      <c r="J153" s="38" t="n"/>
      <c r="K153" s="38" t="n"/>
      <c r="L153" s="38" t="n"/>
      <c r="M153" s="38" t="n"/>
      <c r="N153" s="38" t="n"/>
      <c r="O153" s="38" t="n"/>
      <c r="P153" s="38" t="n"/>
      <c r="Q153" s="38" t="n"/>
      <c r="R153" s="38" t="n"/>
      <c r="S153" s="38" t="n"/>
      <c r="T153" s="38" t="n"/>
      <c r="U153" s="38" t="n"/>
      <c r="V153" s="38" t="n"/>
      <c r="W153" s="38" t="n"/>
      <c r="X153" s="38" t="n"/>
      <c r="Y153" s="38" t="n"/>
      <c r="Z153" s="38" t="n"/>
      <c r="AA153" s="38" t="n"/>
      <c r="AB153" s="38" t="n"/>
      <c r="AC153" s="38" t="n"/>
      <c r="AD153" s="38" t="n"/>
      <c r="AE153" s="38" t="n"/>
      <c r="AF153" s="36">
        <f>IF($A153="","",$A153&amp;"|"&amp;$C153)</f>
        <v/>
      </c>
      <c r="AG153" s="36">
        <f>IF($A153="","",IF(OR(H153="לא נבדק",H153=""),"לא נבדק",IF(AND(H153="בחר/ה בעצמו/ה",I153="כן",J153="לא"),"מלא",IF(OR(H153="בחר/ה בעצמו/ה",I153="כן"),"חלקי","עדיין לא"))))</f>
        <v/>
      </c>
      <c r="AH153" s="37">
        <f>IF($A153="","",IFERROR(COUNTIF(K153:L153,"כן")/(COUNTIF(K153:L153,"כן")+COUNTIF(K153:L153,"לא")),""))</f>
        <v/>
      </c>
      <c r="AI153" s="37">
        <f>IF($A153="","",IFERROR(COUNTIF(M153:N153,"כן")/(COUNTIF(M153:N153,"כן")+COUNTIF(M153:N153,"לא")),""))</f>
        <v/>
      </c>
      <c r="AJ153" s="37">
        <f>IF($A153="","",IFERROR(COUNTIF(O153:P153,"כן")/(COUNTIF(O153:P153,"כן")+COUNTIF(O153:P153,"לא")),""))</f>
        <v/>
      </c>
      <c r="AK153" s="37">
        <f>IF($A153="","",IFERROR(COUNTIF(Q153:R153,"כן")/(COUNTIF(Q153:R153,"כן")+COUNTIF(Q153:R153,"לא")),""))</f>
        <v/>
      </c>
      <c r="AL153" s="37">
        <f>IF($A153="","",IFERROR(COUNTIF(K153:R153,"כן")/(COUNTIF(K153:R153,"כן")+COUNTIF(K153:R153,"לא")),""))</f>
        <v/>
      </c>
      <c r="AM153" s="37">
        <f>IF($A153="","",IFERROR((COUNTIF(S153:Z153,"רוב הזמן")+0.5*COUNTIF(S153:Z153,"לפעמים"))/(COUNTIF(S153:Z153,"רוב הזמן")+COUNTIF(S153:Z153,"לפעמים")+COUNTIF(S153:Z153,"עדיין לא")),""))</f>
        <v/>
      </c>
      <c r="AN153" s="37">
        <f>IF($A153="","",IFERROR(1-SUMPRODUCT(ABS((K153:R153="כן")-((S153:Z153="רוב הזמן")+0.5*(S153:Z153="לפעמים")))*(((K153:R153="כן")+(K153:R153="לא"))*((S153:Z153="רוב הזמן")+(S153:Z153="לפעמים")+(S153:Z153="עדיין לא"))))/SUMPRODUCT((((K153:R153="כן")+(K153:R153="לא"))*((S153:Z153="רוב הזמן")+(S153:Z153="לפעמים")+(S153:Z153="עדיין לא")))),""))</f>
        <v/>
      </c>
      <c r="AO153" s="36">
        <f>IF($A153="","",SUMPRODUCT((((K153:R153="כן")-((S153:Z153="רוב הזמן")+0.5*(S153:Z153="לפעמים")))&gt;0.01)*(((K153:R153="כן")+(K153:R153="לא"))*((S153:Z153="רוב הזמן")+(S153:Z153="לפעמים")+(S153:Z153="עדיין לא")))))</f>
        <v/>
      </c>
      <c r="AP153" s="36">
        <f>IF($A153="","",SUMPRODUCT(((((S153:Z153="רוב הזמן")+0.5*(S153:Z153="לפעמים"))-(K153:R153="כן"))&gt;0.01)*(((K153:R153="כן")+(K153:R153="לא"))*((S153:Z153="רוב הזמן")+(S153:Z153="לפעמים")+(S153:Z153="עדיין לא")))))</f>
        <v/>
      </c>
      <c r="AQ153" s="36">
        <f>IF($A153="","",COUNTIF(AA153:AC153,"כן"))</f>
        <v/>
      </c>
      <c r="AR153" s="38" t="n"/>
      <c r="AS153" s="38" t="n"/>
      <c r="AT153" s="38" t="n"/>
      <c r="AU153" s="38" t="n"/>
      <c r="AV153" s="36">
        <f>IF($A153="","",IF(AND(AR153="",AT153=""),"לא נבדק",IF(AND(OR(AR153="",AR153=AS153),OR(AT153="",AT153=AU153)),"תואם","לא תואם")))</f>
        <v/>
      </c>
      <c r="AW153" s="36">
        <f>IF($A153="","",IF(AND(AV153&lt;&gt;"לא תואם",G153&lt;&gt;"לא ברור"),"אמין","לפרש בזהירות"))</f>
        <v/>
      </c>
    </row>
    <row r="154">
      <c r="A154" s="38" t="n"/>
      <c r="B154" s="38" t="n"/>
      <c r="C154" s="38" t="n"/>
      <c r="D154" s="38" t="n"/>
      <c r="E154" s="38" t="n"/>
      <c r="F154" s="38" t="n"/>
      <c r="G154" s="38" t="n"/>
      <c r="H154" s="38" t="n"/>
      <c r="I154" s="38" t="n"/>
      <c r="J154" s="38" t="n"/>
      <c r="K154" s="38" t="n"/>
      <c r="L154" s="38" t="n"/>
      <c r="M154" s="38" t="n"/>
      <c r="N154" s="38" t="n"/>
      <c r="O154" s="38" t="n"/>
      <c r="P154" s="38" t="n"/>
      <c r="Q154" s="38" t="n"/>
      <c r="R154" s="38" t="n"/>
      <c r="S154" s="38" t="n"/>
      <c r="T154" s="38" t="n"/>
      <c r="U154" s="38" t="n"/>
      <c r="V154" s="38" t="n"/>
      <c r="W154" s="38" t="n"/>
      <c r="X154" s="38" t="n"/>
      <c r="Y154" s="38" t="n"/>
      <c r="Z154" s="38" t="n"/>
      <c r="AA154" s="38" t="n"/>
      <c r="AB154" s="38" t="n"/>
      <c r="AC154" s="38" t="n"/>
      <c r="AD154" s="38" t="n"/>
      <c r="AE154" s="38" t="n"/>
      <c r="AF154" s="36">
        <f>IF($A154="","",$A154&amp;"|"&amp;$C154)</f>
        <v/>
      </c>
      <c r="AG154" s="36">
        <f>IF($A154="","",IF(OR(H154="לא נבדק",H154=""),"לא נבדק",IF(AND(H154="בחר/ה בעצמו/ה",I154="כן",J154="לא"),"מלא",IF(OR(H154="בחר/ה בעצמו/ה",I154="כן"),"חלקי","עדיין לא"))))</f>
        <v/>
      </c>
      <c r="AH154" s="37">
        <f>IF($A154="","",IFERROR(COUNTIF(K154:L154,"כן")/(COUNTIF(K154:L154,"כן")+COUNTIF(K154:L154,"לא")),""))</f>
        <v/>
      </c>
      <c r="AI154" s="37">
        <f>IF($A154="","",IFERROR(COUNTIF(M154:N154,"כן")/(COUNTIF(M154:N154,"כן")+COUNTIF(M154:N154,"לא")),""))</f>
        <v/>
      </c>
      <c r="AJ154" s="37">
        <f>IF($A154="","",IFERROR(COUNTIF(O154:P154,"כן")/(COUNTIF(O154:P154,"כן")+COUNTIF(O154:P154,"לא")),""))</f>
        <v/>
      </c>
      <c r="AK154" s="37">
        <f>IF($A154="","",IFERROR(COUNTIF(Q154:R154,"כן")/(COUNTIF(Q154:R154,"כן")+COUNTIF(Q154:R154,"לא")),""))</f>
        <v/>
      </c>
      <c r="AL154" s="37">
        <f>IF($A154="","",IFERROR(COUNTIF(K154:R154,"כן")/(COUNTIF(K154:R154,"כן")+COUNTIF(K154:R154,"לא")),""))</f>
        <v/>
      </c>
      <c r="AM154" s="37">
        <f>IF($A154="","",IFERROR((COUNTIF(S154:Z154,"רוב הזמן")+0.5*COUNTIF(S154:Z154,"לפעמים"))/(COUNTIF(S154:Z154,"רוב הזמן")+COUNTIF(S154:Z154,"לפעמים")+COUNTIF(S154:Z154,"עדיין לא")),""))</f>
        <v/>
      </c>
      <c r="AN154" s="37">
        <f>IF($A154="","",IFERROR(1-SUMPRODUCT(ABS((K154:R154="כן")-((S154:Z154="רוב הזמן")+0.5*(S154:Z154="לפעמים")))*(((K154:R154="כן")+(K154:R154="לא"))*((S154:Z154="רוב הזמן")+(S154:Z154="לפעמים")+(S154:Z154="עדיין לא"))))/SUMPRODUCT((((K154:R154="כן")+(K154:R154="לא"))*((S154:Z154="רוב הזמן")+(S154:Z154="לפעמים")+(S154:Z154="עדיין לא")))),""))</f>
        <v/>
      </c>
      <c r="AO154" s="36">
        <f>IF($A154="","",SUMPRODUCT((((K154:R154="כן")-((S154:Z154="רוב הזמן")+0.5*(S154:Z154="לפעמים")))&gt;0.01)*(((K154:R154="כן")+(K154:R154="לא"))*((S154:Z154="רוב הזמן")+(S154:Z154="לפעמים")+(S154:Z154="עדיין לא")))))</f>
        <v/>
      </c>
      <c r="AP154" s="36">
        <f>IF($A154="","",SUMPRODUCT(((((S154:Z154="רוב הזמן")+0.5*(S154:Z154="לפעמים"))-(K154:R154="כן"))&gt;0.01)*(((K154:R154="כן")+(K154:R154="לא"))*((S154:Z154="רוב הזמן")+(S154:Z154="לפעמים")+(S154:Z154="עדיין לא")))))</f>
        <v/>
      </c>
      <c r="AQ154" s="36">
        <f>IF($A154="","",COUNTIF(AA154:AC154,"כן"))</f>
        <v/>
      </c>
      <c r="AR154" s="38" t="n"/>
      <c r="AS154" s="38" t="n"/>
      <c r="AT154" s="38" t="n"/>
      <c r="AU154" s="38" t="n"/>
      <c r="AV154" s="36">
        <f>IF($A154="","",IF(AND(AR154="",AT154=""),"לא נבדק",IF(AND(OR(AR154="",AR154=AS154),OR(AT154="",AT154=AU154)),"תואם","לא תואם")))</f>
        <v/>
      </c>
      <c r="AW154" s="36">
        <f>IF($A154="","",IF(AND(AV154&lt;&gt;"לא תואם",G154&lt;&gt;"לא ברור"),"אמין","לפרש בזהירות"))</f>
        <v/>
      </c>
    </row>
    <row r="155">
      <c r="A155" s="38" t="n"/>
      <c r="B155" s="38" t="n"/>
      <c r="C155" s="38" t="n"/>
      <c r="D155" s="38" t="n"/>
      <c r="E155" s="38" t="n"/>
      <c r="F155" s="38" t="n"/>
      <c r="G155" s="38" t="n"/>
      <c r="H155" s="38" t="n"/>
      <c r="I155" s="38" t="n"/>
      <c r="J155" s="38" t="n"/>
      <c r="K155" s="38" t="n"/>
      <c r="L155" s="38" t="n"/>
      <c r="M155" s="38" t="n"/>
      <c r="N155" s="38" t="n"/>
      <c r="O155" s="38" t="n"/>
      <c r="P155" s="38" t="n"/>
      <c r="Q155" s="38" t="n"/>
      <c r="R155" s="38" t="n"/>
      <c r="S155" s="38" t="n"/>
      <c r="T155" s="38" t="n"/>
      <c r="U155" s="38" t="n"/>
      <c r="V155" s="38" t="n"/>
      <c r="W155" s="38" t="n"/>
      <c r="X155" s="38" t="n"/>
      <c r="Y155" s="38" t="n"/>
      <c r="Z155" s="38" t="n"/>
      <c r="AA155" s="38" t="n"/>
      <c r="AB155" s="38" t="n"/>
      <c r="AC155" s="38" t="n"/>
      <c r="AD155" s="38" t="n"/>
      <c r="AE155" s="38" t="n"/>
      <c r="AF155" s="36">
        <f>IF($A155="","",$A155&amp;"|"&amp;$C155)</f>
        <v/>
      </c>
      <c r="AG155" s="36">
        <f>IF($A155="","",IF(OR(H155="לא נבדק",H155=""),"לא נבדק",IF(AND(H155="בחר/ה בעצמו/ה",I155="כן",J155="לא"),"מלא",IF(OR(H155="בחר/ה בעצמו/ה",I155="כן"),"חלקי","עדיין לא"))))</f>
        <v/>
      </c>
      <c r="AH155" s="37">
        <f>IF($A155="","",IFERROR(COUNTIF(K155:L155,"כן")/(COUNTIF(K155:L155,"כן")+COUNTIF(K155:L155,"לא")),""))</f>
        <v/>
      </c>
      <c r="AI155" s="37">
        <f>IF($A155="","",IFERROR(COUNTIF(M155:N155,"כן")/(COUNTIF(M155:N155,"כן")+COUNTIF(M155:N155,"לא")),""))</f>
        <v/>
      </c>
      <c r="AJ155" s="37">
        <f>IF($A155="","",IFERROR(COUNTIF(O155:P155,"כן")/(COUNTIF(O155:P155,"כן")+COUNTIF(O155:P155,"לא")),""))</f>
        <v/>
      </c>
      <c r="AK155" s="37">
        <f>IF($A155="","",IFERROR(COUNTIF(Q155:R155,"כן")/(COUNTIF(Q155:R155,"כן")+COUNTIF(Q155:R155,"לא")),""))</f>
        <v/>
      </c>
      <c r="AL155" s="37">
        <f>IF($A155="","",IFERROR(COUNTIF(K155:R155,"כן")/(COUNTIF(K155:R155,"כן")+COUNTIF(K155:R155,"לא")),""))</f>
        <v/>
      </c>
      <c r="AM155" s="37">
        <f>IF($A155="","",IFERROR((COUNTIF(S155:Z155,"רוב הזמן")+0.5*COUNTIF(S155:Z155,"לפעמים"))/(COUNTIF(S155:Z155,"רוב הזמן")+COUNTIF(S155:Z155,"לפעמים")+COUNTIF(S155:Z155,"עדיין לא")),""))</f>
        <v/>
      </c>
      <c r="AN155" s="37">
        <f>IF($A155="","",IFERROR(1-SUMPRODUCT(ABS((K155:R155="כן")-((S155:Z155="רוב הזמן")+0.5*(S155:Z155="לפעמים")))*(((K155:R155="כן")+(K155:R155="לא"))*((S155:Z155="רוב הזמן")+(S155:Z155="לפעמים")+(S155:Z155="עדיין לא"))))/SUMPRODUCT((((K155:R155="כן")+(K155:R155="לא"))*((S155:Z155="רוב הזמן")+(S155:Z155="לפעמים")+(S155:Z155="עדיין לא")))),""))</f>
        <v/>
      </c>
      <c r="AO155" s="36">
        <f>IF($A155="","",SUMPRODUCT((((K155:R155="כן")-((S155:Z155="רוב הזמן")+0.5*(S155:Z155="לפעמים")))&gt;0.01)*(((K155:R155="כן")+(K155:R155="לא"))*((S155:Z155="רוב הזמן")+(S155:Z155="לפעמים")+(S155:Z155="עדיין לא")))))</f>
        <v/>
      </c>
      <c r="AP155" s="36">
        <f>IF($A155="","",SUMPRODUCT(((((S155:Z155="רוב הזמן")+0.5*(S155:Z155="לפעמים"))-(K155:R155="כן"))&gt;0.01)*(((K155:R155="כן")+(K155:R155="לא"))*((S155:Z155="רוב הזמן")+(S155:Z155="לפעמים")+(S155:Z155="עדיין לא")))))</f>
        <v/>
      </c>
      <c r="AQ155" s="36">
        <f>IF($A155="","",COUNTIF(AA155:AC155,"כן"))</f>
        <v/>
      </c>
      <c r="AR155" s="38" t="n"/>
      <c r="AS155" s="38" t="n"/>
      <c r="AT155" s="38" t="n"/>
      <c r="AU155" s="38" t="n"/>
      <c r="AV155" s="36">
        <f>IF($A155="","",IF(AND(AR155="",AT155=""),"לא נבדק",IF(AND(OR(AR155="",AR155=AS155),OR(AT155="",AT155=AU155)),"תואם","לא תואם")))</f>
        <v/>
      </c>
      <c r="AW155" s="36">
        <f>IF($A155="","",IF(AND(AV155&lt;&gt;"לא תואם",G155&lt;&gt;"לא ברור"),"אמין","לפרש בזהירות"))</f>
        <v/>
      </c>
    </row>
    <row r="156">
      <c r="A156" s="38" t="n"/>
      <c r="B156" s="38" t="n"/>
      <c r="C156" s="38" t="n"/>
      <c r="D156" s="38" t="n"/>
      <c r="E156" s="38" t="n"/>
      <c r="F156" s="38" t="n"/>
      <c r="G156" s="38" t="n"/>
      <c r="H156" s="38" t="n"/>
      <c r="I156" s="38" t="n"/>
      <c r="J156" s="38" t="n"/>
      <c r="K156" s="38" t="n"/>
      <c r="L156" s="38" t="n"/>
      <c r="M156" s="38" t="n"/>
      <c r="N156" s="38" t="n"/>
      <c r="O156" s="38" t="n"/>
      <c r="P156" s="38" t="n"/>
      <c r="Q156" s="38" t="n"/>
      <c r="R156" s="38" t="n"/>
      <c r="S156" s="38" t="n"/>
      <c r="T156" s="38" t="n"/>
      <c r="U156" s="38" t="n"/>
      <c r="V156" s="38" t="n"/>
      <c r="W156" s="38" t="n"/>
      <c r="X156" s="38" t="n"/>
      <c r="Y156" s="38" t="n"/>
      <c r="Z156" s="38" t="n"/>
      <c r="AA156" s="38" t="n"/>
      <c r="AB156" s="38" t="n"/>
      <c r="AC156" s="38" t="n"/>
      <c r="AD156" s="38" t="n"/>
      <c r="AE156" s="38" t="n"/>
      <c r="AF156" s="36">
        <f>IF($A156="","",$A156&amp;"|"&amp;$C156)</f>
        <v/>
      </c>
      <c r="AG156" s="36">
        <f>IF($A156="","",IF(OR(H156="לא נבדק",H156=""),"לא נבדק",IF(AND(H156="בחר/ה בעצמו/ה",I156="כן",J156="לא"),"מלא",IF(OR(H156="בחר/ה בעצמו/ה",I156="כן"),"חלקי","עדיין לא"))))</f>
        <v/>
      </c>
      <c r="AH156" s="37">
        <f>IF($A156="","",IFERROR(COUNTIF(K156:L156,"כן")/(COUNTIF(K156:L156,"כן")+COUNTIF(K156:L156,"לא")),""))</f>
        <v/>
      </c>
      <c r="AI156" s="37">
        <f>IF($A156="","",IFERROR(COUNTIF(M156:N156,"כן")/(COUNTIF(M156:N156,"כן")+COUNTIF(M156:N156,"לא")),""))</f>
        <v/>
      </c>
      <c r="AJ156" s="37">
        <f>IF($A156="","",IFERROR(COUNTIF(O156:P156,"כן")/(COUNTIF(O156:P156,"כן")+COUNTIF(O156:P156,"לא")),""))</f>
        <v/>
      </c>
      <c r="AK156" s="37">
        <f>IF($A156="","",IFERROR(COUNTIF(Q156:R156,"כן")/(COUNTIF(Q156:R156,"כן")+COUNTIF(Q156:R156,"לא")),""))</f>
        <v/>
      </c>
      <c r="AL156" s="37">
        <f>IF($A156="","",IFERROR(COUNTIF(K156:R156,"כן")/(COUNTIF(K156:R156,"כן")+COUNTIF(K156:R156,"לא")),""))</f>
        <v/>
      </c>
      <c r="AM156" s="37">
        <f>IF($A156="","",IFERROR((COUNTIF(S156:Z156,"רוב הזמן")+0.5*COUNTIF(S156:Z156,"לפעמים"))/(COUNTIF(S156:Z156,"רוב הזמן")+COUNTIF(S156:Z156,"לפעמים")+COUNTIF(S156:Z156,"עדיין לא")),""))</f>
        <v/>
      </c>
      <c r="AN156" s="37">
        <f>IF($A156="","",IFERROR(1-SUMPRODUCT(ABS((K156:R156="כן")-((S156:Z156="רוב הזמן")+0.5*(S156:Z156="לפעמים")))*(((K156:R156="כן")+(K156:R156="לא"))*((S156:Z156="רוב הזמן")+(S156:Z156="לפעמים")+(S156:Z156="עדיין לא"))))/SUMPRODUCT((((K156:R156="כן")+(K156:R156="לא"))*((S156:Z156="רוב הזמן")+(S156:Z156="לפעמים")+(S156:Z156="עדיין לא")))),""))</f>
        <v/>
      </c>
      <c r="AO156" s="36">
        <f>IF($A156="","",SUMPRODUCT((((K156:R156="כן")-((S156:Z156="רוב הזמן")+0.5*(S156:Z156="לפעמים")))&gt;0.01)*(((K156:R156="כן")+(K156:R156="לא"))*((S156:Z156="רוב הזמן")+(S156:Z156="לפעמים")+(S156:Z156="עדיין לא")))))</f>
        <v/>
      </c>
      <c r="AP156" s="36">
        <f>IF($A156="","",SUMPRODUCT(((((S156:Z156="רוב הזמן")+0.5*(S156:Z156="לפעמים"))-(K156:R156="כן"))&gt;0.01)*(((K156:R156="כן")+(K156:R156="לא"))*((S156:Z156="רוב הזמן")+(S156:Z156="לפעמים")+(S156:Z156="עדיין לא")))))</f>
        <v/>
      </c>
      <c r="AQ156" s="36">
        <f>IF($A156="","",COUNTIF(AA156:AC156,"כן"))</f>
        <v/>
      </c>
      <c r="AR156" s="38" t="n"/>
      <c r="AS156" s="38" t="n"/>
      <c r="AT156" s="38" t="n"/>
      <c r="AU156" s="38" t="n"/>
      <c r="AV156" s="36">
        <f>IF($A156="","",IF(AND(AR156="",AT156=""),"לא נבדק",IF(AND(OR(AR156="",AR156=AS156),OR(AT156="",AT156=AU156)),"תואם","לא תואם")))</f>
        <v/>
      </c>
      <c r="AW156" s="36">
        <f>IF($A156="","",IF(AND(AV156&lt;&gt;"לא תואם",G156&lt;&gt;"לא ברור"),"אמין","לפרש בזהירות"))</f>
        <v/>
      </c>
    </row>
    <row r="157">
      <c r="A157" s="38" t="n"/>
      <c r="B157" s="38" t="n"/>
      <c r="C157" s="38" t="n"/>
      <c r="D157" s="38" t="n"/>
      <c r="E157" s="38" t="n"/>
      <c r="F157" s="38" t="n"/>
      <c r="G157" s="38" t="n"/>
      <c r="H157" s="38" t="n"/>
      <c r="I157" s="38" t="n"/>
      <c r="J157" s="38" t="n"/>
      <c r="K157" s="38" t="n"/>
      <c r="L157" s="38" t="n"/>
      <c r="M157" s="38" t="n"/>
      <c r="N157" s="38" t="n"/>
      <c r="O157" s="38" t="n"/>
      <c r="P157" s="38" t="n"/>
      <c r="Q157" s="38" t="n"/>
      <c r="R157" s="38" t="n"/>
      <c r="S157" s="38" t="n"/>
      <c r="T157" s="38" t="n"/>
      <c r="U157" s="38" t="n"/>
      <c r="V157" s="38" t="n"/>
      <c r="W157" s="38" t="n"/>
      <c r="X157" s="38" t="n"/>
      <c r="Y157" s="38" t="n"/>
      <c r="Z157" s="38" t="n"/>
      <c r="AA157" s="38" t="n"/>
      <c r="AB157" s="38" t="n"/>
      <c r="AC157" s="38" t="n"/>
      <c r="AD157" s="38" t="n"/>
      <c r="AE157" s="38" t="n"/>
      <c r="AF157" s="36">
        <f>IF($A157="","",$A157&amp;"|"&amp;$C157)</f>
        <v/>
      </c>
      <c r="AG157" s="36">
        <f>IF($A157="","",IF(OR(H157="לא נבדק",H157=""),"לא נבדק",IF(AND(H157="בחר/ה בעצמו/ה",I157="כן",J157="לא"),"מלא",IF(OR(H157="בחר/ה בעצמו/ה",I157="כן"),"חלקי","עדיין לא"))))</f>
        <v/>
      </c>
      <c r="AH157" s="37">
        <f>IF($A157="","",IFERROR(COUNTIF(K157:L157,"כן")/(COUNTIF(K157:L157,"כן")+COUNTIF(K157:L157,"לא")),""))</f>
        <v/>
      </c>
      <c r="AI157" s="37">
        <f>IF($A157="","",IFERROR(COUNTIF(M157:N157,"כן")/(COUNTIF(M157:N157,"כן")+COUNTIF(M157:N157,"לא")),""))</f>
        <v/>
      </c>
      <c r="AJ157" s="37">
        <f>IF($A157="","",IFERROR(COUNTIF(O157:P157,"כן")/(COUNTIF(O157:P157,"כן")+COUNTIF(O157:P157,"לא")),""))</f>
        <v/>
      </c>
      <c r="AK157" s="37">
        <f>IF($A157="","",IFERROR(COUNTIF(Q157:R157,"כן")/(COUNTIF(Q157:R157,"כן")+COUNTIF(Q157:R157,"לא")),""))</f>
        <v/>
      </c>
      <c r="AL157" s="37">
        <f>IF($A157="","",IFERROR(COUNTIF(K157:R157,"כן")/(COUNTIF(K157:R157,"כן")+COUNTIF(K157:R157,"לא")),""))</f>
        <v/>
      </c>
      <c r="AM157" s="37">
        <f>IF($A157="","",IFERROR((COUNTIF(S157:Z157,"רוב הזמן")+0.5*COUNTIF(S157:Z157,"לפעמים"))/(COUNTIF(S157:Z157,"רוב הזמן")+COUNTIF(S157:Z157,"לפעמים")+COUNTIF(S157:Z157,"עדיין לא")),""))</f>
        <v/>
      </c>
      <c r="AN157" s="37">
        <f>IF($A157="","",IFERROR(1-SUMPRODUCT(ABS((K157:R157="כן")-((S157:Z157="רוב הזמן")+0.5*(S157:Z157="לפעמים")))*(((K157:R157="כן")+(K157:R157="לא"))*((S157:Z157="רוב הזמן")+(S157:Z157="לפעמים")+(S157:Z157="עדיין לא"))))/SUMPRODUCT((((K157:R157="כן")+(K157:R157="לא"))*((S157:Z157="רוב הזמן")+(S157:Z157="לפעמים")+(S157:Z157="עדיין לא")))),""))</f>
        <v/>
      </c>
      <c r="AO157" s="36">
        <f>IF($A157="","",SUMPRODUCT((((K157:R157="כן")-((S157:Z157="רוב הזמן")+0.5*(S157:Z157="לפעמים")))&gt;0.01)*(((K157:R157="כן")+(K157:R157="לא"))*((S157:Z157="רוב הזמן")+(S157:Z157="לפעמים")+(S157:Z157="עדיין לא")))))</f>
        <v/>
      </c>
      <c r="AP157" s="36">
        <f>IF($A157="","",SUMPRODUCT(((((S157:Z157="רוב הזמן")+0.5*(S157:Z157="לפעמים"))-(K157:R157="כן"))&gt;0.01)*(((K157:R157="כן")+(K157:R157="לא"))*((S157:Z157="רוב הזמן")+(S157:Z157="לפעמים")+(S157:Z157="עדיין לא")))))</f>
        <v/>
      </c>
      <c r="AQ157" s="36">
        <f>IF($A157="","",COUNTIF(AA157:AC157,"כן"))</f>
        <v/>
      </c>
      <c r="AR157" s="38" t="n"/>
      <c r="AS157" s="38" t="n"/>
      <c r="AT157" s="38" t="n"/>
      <c r="AU157" s="38" t="n"/>
      <c r="AV157" s="36">
        <f>IF($A157="","",IF(AND(AR157="",AT157=""),"לא נבדק",IF(AND(OR(AR157="",AR157=AS157),OR(AT157="",AT157=AU157)),"תואם","לא תואם")))</f>
        <v/>
      </c>
      <c r="AW157" s="36">
        <f>IF($A157="","",IF(AND(AV157&lt;&gt;"לא תואם",G157&lt;&gt;"לא ברור"),"אמין","לפרש בזהירות"))</f>
        <v/>
      </c>
    </row>
    <row r="158">
      <c r="A158" s="38" t="n"/>
      <c r="B158" s="38" t="n"/>
      <c r="C158" s="38" t="n"/>
      <c r="D158" s="38" t="n"/>
      <c r="E158" s="38" t="n"/>
      <c r="F158" s="38" t="n"/>
      <c r="G158" s="38" t="n"/>
      <c r="H158" s="38" t="n"/>
      <c r="I158" s="38" t="n"/>
      <c r="J158" s="38" t="n"/>
      <c r="K158" s="38" t="n"/>
      <c r="L158" s="38" t="n"/>
      <c r="M158" s="38" t="n"/>
      <c r="N158" s="38" t="n"/>
      <c r="O158" s="38" t="n"/>
      <c r="P158" s="38" t="n"/>
      <c r="Q158" s="38" t="n"/>
      <c r="R158" s="38" t="n"/>
      <c r="S158" s="38" t="n"/>
      <c r="T158" s="38" t="n"/>
      <c r="U158" s="38" t="n"/>
      <c r="V158" s="38" t="n"/>
      <c r="W158" s="38" t="n"/>
      <c r="X158" s="38" t="n"/>
      <c r="Y158" s="38" t="n"/>
      <c r="Z158" s="38" t="n"/>
      <c r="AA158" s="38" t="n"/>
      <c r="AB158" s="38" t="n"/>
      <c r="AC158" s="38" t="n"/>
      <c r="AD158" s="38" t="n"/>
      <c r="AE158" s="38" t="n"/>
      <c r="AF158" s="36">
        <f>IF($A158="","",$A158&amp;"|"&amp;$C158)</f>
        <v/>
      </c>
      <c r="AG158" s="36">
        <f>IF($A158="","",IF(OR(H158="לא נבדק",H158=""),"לא נבדק",IF(AND(H158="בחר/ה בעצמו/ה",I158="כן",J158="לא"),"מלא",IF(OR(H158="בחר/ה בעצמו/ה",I158="כן"),"חלקי","עדיין לא"))))</f>
        <v/>
      </c>
      <c r="AH158" s="37">
        <f>IF($A158="","",IFERROR(COUNTIF(K158:L158,"כן")/(COUNTIF(K158:L158,"כן")+COUNTIF(K158:L158,"לא")),""))</f>
        <v/>
      </c>
      <c r="AI158" s="37">
        <f>IF($A158="","",IFERROR(COUNTIF(M158:N158,"כן")/(COUNTIF(M158:N158,"כן")+COUNTIF(M158:N158,"לא")),""))</f>
        <v/>
      </c>
      <c r="AJ158" s="37">
        <f>IF($A158="","",IFERROR(COUNTIF(O158:P158,"כן")/(COUNTIF(O158:P158,"כן")+COUNTIF(O158:P158,"לא")),""))</f>
        <v/>
      </c>
      <c r="AK158" s="37">
        <f>IF($A158="","",IFERROR(COUNTIF(Q158:R158,"כן")/(COUNTIF(Q158:R158,"כן")+COUNTIF(Q158:R158,"לא")),""))</f>
        <v/>
      </c>
      <c r="AL158" s="37">
        <f>IF($A158="","",IFERROR(COUNTIF(K158:R158,"כן")/(COUNTIF(K158:R158,"כן")+COUNTIF(K158:R158,"לא")),""))</f>
        <v/>
      </c>
      <c r="AM158" s="37">
        <f>IF($A158="","",IFERROR((COUNTIF(S158:Z158,"רוב הזמן")+0.5*COUNTIF(S158:Z158,"לפעמים"))/(COUNTIF(S158:Z158,"רוב הזמן")+COUNTIF(S158:Z158,"לפעמים")+COUNTIF(S158:Z158,"עדיין לא")),""))</f>
        <v/>
      </c>
      <c r="AN158" s="37">
        <f>IF($A158="","",IFERROR(1-SUMPRODUCT(ABS((K158:R158="כן")-((S158:Z158="רוב הזמן")+0.5*(S158:Z158="לפעמים")))*(((K158:R158="כן")+(K158:R158="לא"))*((S158:Z158="רוב הזמן")+(S158:Z158="לפעמים")+(S158:Z158="עדיין לא"))))/SUMPRODUCT((((K158:R158="כן")+(K158:R158="לא"))*((S158:Z158="רוב הזמן")+(S158:Z158="לפעמים")+(S158:Z158="עדיין לא")))),""))</f>
        <v/>
      </c>
      <c r="AO158" s="36">
        <f>IF($A158="","",SUMPRODUCT((((K158:R158="כן")-((S158:Z158="רוב הזמן")+0.5*(S158:Z158="לפעמים")))&gt;0.01)*(((K158:R158="כן")+(K158:R158="לא"))*((S158:Z158="רוב הזמן")+(S158:Z158="לפעמים")+(S158:Z158="עדיין לא")))))</f>
        <v/>
      </c>
      <c r="AP158" s="36">
        <f>IF($A158="","",SUMPRODUCT(((((S158:Z158="רוב הזמן")+0.5*(S158:Z158="לפעמים"))-(K158:R158="כן"))&gt;0.01)*(((K158:R158="כן")+(K158:R158="לא"))*((S158:Z158="רוב הזמן")+(S158:Z158="לפעמים")+(S158:Z158="עדיין לא")))))</f>
        <v/>
      </c>
      <c r="AQ158" s="36">
        <f>IF($A158="","",COUNTIF(AA158:AC158,"כן"))</f>
        <v/>
      </c>
      <c r="AR158" s="38" t="n"/>
      <c r="AS158" s="38" t="n"/>
      <c r="AT158" s="38" t="n"/>
      <c r="AU158" s="38" t="n"/>
      <c r="AV158" s="36">
        <f>IF($A158="","",IF(AND(AR158="",AT158=""),"לא נבדק",IF(AND(OR(AR158="",AR158=AS158),OR(AT158="",AT158=AU158)),"תואם","לא תואם")))</f>
        <v/>
      </c>
      <c r="AW158" s="36">
        <f>IF($A158="","",IF(AND(AV158&lt;&gt;"לא תואם",G158&lt;&gt;"לא ברור"),"אמין","לפרש בזהירות"))</f>
        <v/>
      </c>
    </row>
    <row r="159">
      <c r="A159" s="38" t="n"/>
      <c r="B159" s="38" t="n"/>
      <c r="C159" s="38" t="n"/>
      <c r="D159" s="38" t="n"/>
      <c r="E159" s="38" t="n"/>
      <c r="F159" s="38" t="n"/>
      <c r="G159" s="38" t="n"/>
      <c r="H159" s="38" t="n"/>
      <c r="I159" s="38" t="n"/>
      <c r="J159" s="38" t="n"/>
      <c r="K159" s="38" t="n"/>
      <c r="L159" s="38" t="n"/>
      <c r="M159" s="38" t="n"/>
      <c r="N159" s="38" t="n"/>
      <c r="O159" s="38" t="n"/>
      <c r="P159" s="38" t="n"/>
      <c r="Q159" s="38" t="n"/>
      <c r="R159" s="38" t="n"/>
      <c r="S159" s="38" t="n"/>
      <c r="T159" s="38" t="n"/>
      <c r="U159" s="38" t="n"/>
      <c r="V159" s="38" t="n"/>
      <c r="W159" s="38" t="n"/>
      <c r="X159" s="38" t="n"/>
      <c r="Y159" s="38" t="n"/>
      <c r="Z159" s="38" t="n"/>
      <c r="AA159" s="38" t="n"/>
      <c r="AB159" s="38" t="n"/>
      <c r="AC159" s="38" t="n"/>
      <c r="AD159" s="38" t="n"/>
      <c r="AE159" s="38" t="n"/>
      <c r="AF159" s="36">
        <f>IF($A159="","",$A159&amp;"|"&amp;$C159)</f>
        <v/>
      </c>
      <c r="AG159" s="36">
        <f>IF($A159="","",IF(OR(H159="לא נבדק",H159=""),"לא נבדק",IF(AND(H159="בחר/ה בעצמו/ה",I159="כן",J159="לא"),"מלא",IF(OR(H159="בחר/ה בעצמו/ה",I159="כן"),"חלקי","עדיין לא"))))</f>
        <v/>
      </c>
      <c r="AH159" s="37">
        <f>IF($A159="","",IFERROR(COUNTIF(K159:L159,"כן")/(COUNTIF(K159:L159,"כן")+COUNTIF(K159:L159,"לא")),""))</f>
        <v/>
      </c>
      <c r="AI159" s="37">
        <f>IF($A159="","",IFERROR(COUNTIF(M159:N159,"כן")/(COUNTIF(M159:N159,"כן")+COUNTIF(M159:N159,"לא")),""))</f>
        <v/>
      </c>
      <c r="AJ159" s="37">
        <f>IF($A159="","",IFERROR(COUNTIF(O159:P159,"כן")/(COUNTIF(O159:P159,"כן")+COUNTIF(O159:P159,"לא")),""))</f>
        <v/>
      </c>
      <c r="AK159" s="37">
        <f>IF($A159="","",IFERROR(COUNTIF(Q159:R159,"כן")/(COUNTIF(Q159:R159,"כן")+COUNTIF(Q159:R159,"לא")),""))</f>
        <v/>
      </c>
      <c r="AL159" s="37">
        <f>IF($A159="","",IFERROR(COUNTIF(K159:R159,"כן")/(COUNTIF(K159:R159,"כן")+COUNTIF(K159:R159,"לא")),""))</f>
        <v/>
      </c>
      <c r="AM159" s="37">
        <f>IF($A159="","",IFERROR((COUNTIF(S159:Z159,"רוב הזמן")+0.5*COUNTIF(S159:Z159,"לפעמים"))/(COUNTIF(S159:Z159,"רוב הזמן")+COUNTIF(S159:Z159,"לפעמים")+COUNTIF(S159:Z159,"עדיין לא")),""))</f>
        <v/>
      </c>
      <c r="AN159" s="37">
        <f>IF($A159="","",IFERROR(1-SUMPRODUCT(ABS((K159:R159="כן")-((S159:Z159="רוב הזמן")+0.5*(S159:Z159="לפעמים")))*(((K159:R159="כן")+(K159:R159="לא"))*((S159:Z159="רוב הזמן")+(S159:Z159="לפעמים")+(S159:Z159="עדיין לא"))))/SUMPRODUCT((((K159:R159="כן")+(K159:R159="לא"))*((S159:Z159="רוב הזמן")+(S159:Z159="לפעמים")+(S159:Z159="עדיין לא")))),""))</f>
        <v/>
      </c>
      <c r="AO159" s="36">
        <f>IF($A159="","",SUMPRODUCT((((K159:R159="כן")-((S159:Z159="רוב הזמן")+0.5*(S159:Z159="לפעמים")))&gt;0.01)*(((K159:R159="כן")+(K159:R159="לא"))*((S159:Z159="רוב הזמן")+(S159:Z159="לפעמים")+(S159:Z159="עדיין לא")))))</f>
        <v/>
      </c>
      <c r="AP159" s="36">
        <f>IF($A159="","",SUMPRODUCT(((((S159:Z159="רוב הזמן")+0.5*(S159:Z159="לפעמים"))-(K159:R159="כן"))&gt;0.01)*(((K159:R159="כן")+(K159:R159="לא"))*((S159:Z159="רוב הזמן")+(S159:Z159="לפעמים")+(S159:Z159="עדיין לא")))))</f>
        <v/>
      </c>
      <c r="AQ159" s="36">
        <f>IF($A159="","",COUNTIF(AA159:AC159,"כן"))</f>
        <v/>
      </c>
      <c r="AR159" s="38" t="n"/>
      <c r="AS159" s="38" t="n"/>
      <c r="AT159" s="38" t="n"/>
      <c r="AU159" s="38" t="n"/>
      <c r="AV159" s="36">
        <f>IF($A159="","",IF(AND(AR159="",AT159=""),"לא נבדק",IF(AND(OR(AR159="",AR159=AS159),OR(AT159="",AT159=AU159)),"תואם","לא תואם")))</f>
        <v/>
      </c>
      <c r="AW159" s="36">
        <f>IF($A159="","",IF(AND(AV159&lt;&gt;"לא תואם",G159&lt;&gt;"לא ברור"),"אמין","לפרש בזהירות"))</f>
        <v/>
      </c>
    </row>
    <row r="160">
      <c r="A160" s="38" t="n"/>
      <c r="B160" s="38" t="n"/>
      <c r="C160" s="38" t="n"/>
      <c r="D160" s="38" t="n"/>
      <c r="E160" s="38" t="n"/>
      <c r="F160" s="38" t="n"/>
      <c r="G160" s="38" t="n"/>
      <c r="H160" s="38" t="n"/>
      <c r="I160" s="38" t="n"/>
      <c r="J160" s="38" t="n"/>
      <c r="K160" s="38" t="n"/>
      <c r="L160" s="38" t="n"/>
      <c r="M160" s="38" t="n"/>
      <c r="N160" s="38" t="n"/>
      <c r="O160" s="38" t="n"/>
      <c r="P160" s="38" t="n"/>
      <c r="Q160" s="38" t="n"/>
      <c r="R160" s="38" t="n"/>
      <c r="S160" s="38" t="n"/>
      <c r="T160" s="38" t="n"/>
      <c r="U160" s="38" t="n"/>
      <c r="V160" s="38" t="n"/>
      <c r="W160" s="38" t="n"/>
      <c r="X160" s="38" t="n"/>
      <c r="Y160" s="38" t="n"/>
      <c r="Z160" s="38" t="n"/>
      <c r="AA160" s="38" t="n"/>
      <c r="AB160" s="38" t="n"/>
      <c r="AC160" s="38" t="n"/>
      <c r="AD160" s="38" t="n"/>
      <c r="AE160" s="38" t="n"/>
      <c r="AF160" s="36">
        <f>IF($A160="","",$A160&amp;"|"&amp;$C160)</f>
        <v/>
      </c>
      <c r="AG160" s="36">
        <f>IF($A160="","",IF(OR(H160="לא נבדק",H160=""),"לא נבדק",IF(AND(H160="בחר/ה בעצמו/ה",I160="כן",J160="לא"),"מלא",IF(OR(H160="בחר/ה בעצמו/ה",I160="כן"),"חלקי","עדיין לא"))))</f>
        <v/>
      </c>
      <c r="AH160" s="37">
        <f>IF($A160="","",IFERROR(COUNTIF(K160:L160,"כן")/(COUNTIF(K160:L160,"כן")+COUNTIF(K160:L160,"לא")),""))</f>
        <v/>
      </c>
      <c r="AI160" s="37">
        <f>IF($A160="","",IFERROR(COUNTIF(M160:N160,"כן")/(COUNTIF(M160:N160,"כן")+COUNTIF(M160:N160,"לא")),""))</f>
        <v/>
      </c>
      <c r="AJ160" s="37">
        <f>IF($A160="","",IFERROR(COUNTIF(O160:P160,"כן")/(COUNTIF(O160:P160,"כן")+COUNTIF(O160:P160,"לא")),""))</f>
        <v/>
      </c>
      <c r="AK160" s="37">
        <f>IF($A160="","",IFERROR(COUNTIF(Q160:R160,"כן")/(COUNTIF(Q160:R160,"כן")+COUNTIF(Q160:R160,"לא")),""))</f>
        <v/>
      </c>
      <c r="AL160" s="37">
        <f>IF($A160="","",IFERROR(COUNTIF(K160:R160,"כן")/(COUNTIF(K160:R160,"כן")+COUNTIF(K160:R160,"לא")),""))</f>
        <v/>
      </c>
      <c r="AM160" s="37">
        <f>IF($A160="","",IFERROR((COUNTIF(S160:Z160,"רוב הזמן")+0.5*COUNTIF(S160:Z160,"לפעמים"))/(COUNTIF(S160:Z160,"רוב הזמן")+COUNTIF(S160:Z160,"לפעמים")+COUNTIF(S160:Z160,"עדיין לא")),""))</f>
        <v/>
      </c>
      <c r="AN160" s="37">
        <f>IF($A160="","",IFERROR(1-SUMPRODUCT(ABS((K160:R160="כן")-((S160:Z160="רוב הזמן")+0.5*(S160:Z160="לפעמים")))*(((K160:R160="כן")+(K160:R160="לא"))*((S160:Z160="רוב הזמן")+(S160:Z160="לפעמים")+(S160:Z160="עדיין לא"))))/SUMPRODUCT((((K160:R160="כן")+(K160:R160="לא"))*((S160:Z160="רוב הזמן")+(S160:Z160="לפעמים")+(S160:Z160="עדיין לא")))),""))</f>
        <v/>
      </c>
      <c r="AO160" s="36">
        <f>IF($A160="","",SUMPRODUCT((((K160:R160="כן")-((S160:Z160="רוב הזמן")+0.5*(S160:Z160="לפעמים")))&gt;0.01)*(((K160:R160="כן")+(K160:R160="לא"))*((S160:Z160="רוב הזמן")+(S160:Z160="לפעמים")+(S160:Z160="עדיין לא")))))</f>
        <v/>
      </c>
      <c r="AP160" s="36">
        <f>IF($A160="","",SUMPRODUCT(((((S160:Z160="רוב הזמן")+0.5*(S160:Z160="לפעמים"))-(K160:R160="כן"))&gt;0.01)*(((K160:R160="כן")+(K160:R160="לא"))*((S160:Z160="רוב הזמן")+(S160:Z160="לפעמים")+(S160:Z160="עדיין לא")))))</f>
        <v/>
      </c>
      <c r="AQ160" s="36">
        <f>IF($A160="","",COUNTIF(AA160:AC160,"כן"))</f>
        <v/>
      </c>
      <c r="AR160" s="38" t="n"/>
      <c r="AS160" s="38" t="n"/>
      <c r="AT160" s="38" t="n"/>
      <c r="AU160" s="38" t="n"/>
      <c r="AV160" s="36">
        <f>IF($A160="","",IF(AND(AR160="",AT160=""),"לא נבדק",IF(AND(OR(AR160="",AR160=AS160),OR(AT160="",AT160=AU160)),"תואם","לא תואם")))</f>
        <v/>
      </c>
      <c r="AW160" s="36">
        <f>IF($A160="","",IF(AND(AV160&lt;&gt;"לא תואם",G160&lt;&gt;"לא ברור"),"אמין","לפרש בזהירות"))</f>
        <v/>
      </c>
    </row>
    <row r="161">
      <c r="A161" s="38" t="n"/>
      <c r="B161" s="38" t="n"/>
      <c r="C161" s="38" t="n"/>
      <c r="D161" s="38" t="n"/>
      <c r="E161" s="38" t="n"/>
      <c r="F161" s="38" t="n"/>
      <c r="G161" s="38" t="n"/>
      <c r="H161" s="38" t="n"/>
      <c r="I161" s="38" t="n"/>
      <c r="J161" s="38" t="n"/>
      <c r="K161" s="38" t="n"/>
      <c r="L161" s="38" t="n"/>
      <c r="M161" s="38" t="n"/>
      <c r="N161" s="38" t="n"/>
      <c r="O161" s="38" t="n"/>
      <c r="P161" s="38" t="n"/>
      <c r="Q161" s="38" t="n"/>
      <c r="R161" s="38" t="n"/>
      <c r="S161" s="38" t="n"/>
      <c r="T161" s="38" t="n"/>
      <c r="U161" s="38" t="n"/>
      <c r="V161" s="38" t="n"/>
      <c r="W161" s="38" t="n"/>
      <c r="X161" s="38" t="n"/>
      <c r="Y161" s="38" t="n"/>
      <c r="Z161" s="38" t="n"/>
      <c r="AA161" s="38" t="n"/>
      <c r="AB161" s="38" t="n"/>
      <c r="AC161" s="38" t="n"/>
      <c r="AD161" s="38" t="n"/>
      <c r="AE161" s="38" t="n"/>
      <c r="AF161" s="36">
        <f>IF($A161="","",$A161&amp;"|"&amp;$C161)</f>
        <v/>
      </c>
      <c r="AG161" s="36">
        <f>IF($A161="","",IF(OR(H161="לא נבדק",H161=""),"לא נבדק",IF(AND(H161="בחר/ה בעצמו/ה",I161="כן",J161="לא"),"מלא",IF(OR(H161="בחר/ה בעצמו/ה",I161="כן"),"חלקי","עדיין לא"))))</f>
        <v/>
      </c>
      <c r="AH161" s="37">
        <f>IF($A161="","",IFERROR(COUNTIF(K161:L161,"כן")/(COUNTIF(K161:L161,"כן")+COUNTIF(K161:L161,"לא")),""))</f>
        <v/>
      </c>
      <c r="AI161" s="37">
        <f>IF($A161="","",IFERROR(COUNTIF(M161:N161,"כן")/(COUNTIF(M161:N161,"כן")+COUNTIF(M161:N161,"לא")),""))</f>
        <v/>
      </c>
      <c r="AJ161" s="37">
        <f>IF($A161="","",IFERROR(COUNTIF(O161:P161,"כן")/(COUNTIF(O161:P161,"כן")+COUNTIF(O161:P161,"לא")),""))</f>
        <v/>
      </c>
      <c r="AK161" s="37">
        <f>IF($A161="","",IFERROR(COUNTIF(Q161:R161,"כן")/(COUNTIF(Q161:R161,"כן")+COUNTIF(Q161:R161,"לא")),""))</f>
        <v/>
      </c>
      <c r="AL161" s="37">
        <f>IF($A161="","",IFERROR(COUNTIF(K161:R161,"כן")/(COUNTIF(K161:R161,"כן")+COUNTIF(K161:R161,"לא")),""))</f>
        <v/>
      </c>
      <c r="AM161" s="37">
        <f>IF($A161="","",IFERROR((COUNTIF(S161:Z161,"רוב הזמן")+0.5*COUNTIF(S161:Z161,"לפעמים"))/(COUNTIF(S161:Z161,"רוב הזמן")+COUNTIF(S161:Z161,"לפעמים")+COUNTIF(S161:Z161,"עדיין לא")),""))</f>
        <v/>
      </c>
      <c r="AN161" s="37">
        <f>IF($A161="","",IFERROR(1-SUMPRODUCT(ABS((K161:R161="כן")-((S161:Z161="רוב הזמן")+0.5*(S161:Z161="לפעמים")))*(((K161:R161="כן")+(K161:R161="לא"))*((S161:Z161="רוב הזמן")+(S161:Z161="לפעמים")+(S161:Z161="עדיין לא"))))/SUMPRODUCT((((K161:R161="כן")+(K161:R161="לא"))*((S161:Z161="רוב הזמן")+(S161:Z161="לפעמים")+(S161:Z161="עדיין לא")))),""))</f>
        <v/>
      </c>
      <c r="AO161" s="36">
        <f>IF($A161="","",SUMPRODUCT((((K161:R161="כן")-((S161:Z161="רוב הזמן")+0.5*(S161:Z161="לפעמים")))&gt;0.01)*(((K161:R161="כן")+(K161:R161="לא"))*((S161:Z161="רוב הזמן")+(S161:Z161="לפעמים")+(S161:Z161="עדיין לא")))))</f>
        <v/>
      </c>
      <c r="AP161" s="36">
        <f>IF($A161="","",SUMPRODUCT(((((S161:Z161="רוב הזמן")+0.5*(S161:Z161="לפעמים"))-(K161:R161="כן"))&gt;0.01)*(((K161:R161="כן")+(K161:R161="לא"))*((S161:Z161="רוב הזמן")+(S161:Z161="לפעמים")+(S161:Z161="עדיין לא")))))</f>
        <v/>
      </c>
      <c r="AQ161" s="36">
        <f>IF($A161="","",COUNTIF(AA161:AC161,"כן"))</f>
        <v/>
      </c>
      <c r="AR161" s="38" t="n"/>
      <c r="AS161" s="38" t="n"/>
      <c r="AT161" s="38" t="n"/>
      <c r="AU161" s="38" t="n"/>
      <c r="AV161" s="36">
        <f>IF($A161="","",IF(AND(AR161="",AT161=""),"לא נבדק",IF(AND(OR(AR161="",AR161=AS161),OR(AT161="",AT161=AU161)),"תואם","לא תואם")))</f>
        <v/>
      </c>
      <c r="AW161" s="36">
        <f>IF($A161="","",IF(AND(AV161&lt;&gt;"לא תואם",G161&lt;&gt;"לא ברור"),"אמין","לפרש בזהירות"))</f>
        <v/>
      </c>
    </row>
    <row r="162">
      <c r="A162" s="38" t="n"/>
      <c r="B162" s="38" t="n"/>
      <c r="C162" s="38" t="n"/>
      <c r="D162" s="38" t="n"/>
      <c r="E162" s="38" t="n"/>
      <c r="F162" s="38" t="n"/>
      <c r="G162" s="38" t="n"/>
      <c r="H162" s="38" t="n"/>
      <c r="I162" s="38" t="n"/>
      <c r="J162" s="38" t="n"/>
      <c r="K162" s="38" t="n"/>
      <c r="L162" s="38" t="n"/>
      <c r="M162" s="38" t="n"/>
      <c r="N162" s="38" t="n"/>
      <c r="O162" s="38" t="n"/>
      <c r="P162" s="38" t="n"/>
      <c r="Q162" s="38" t="n"/>
      <c r="R162" s="38" t="n"/>
      <c r="S162" s="38" t="n"/>
      <c r="T162" s="38" t="n"/>
      <c r="U162" s="38" t="n"/>
      <c r="V162" s="38" t="n"/>
      <c r="W162" s="38" t="n"/>
      <c r="X162" s="38" t="n"/>
      <c r="Y162" s="38" t="n"/>
      <c r="Z162" s="38" t="n"/>
      <c r="AA162" s="38" t="n"/>
      <c r="AB162" s="38" t="n"/>
      <c r="AC162" s="38" t="n"/>
      <c r="AD162" s="38" t="n"/>
      <c r="AE162" s="38" t="n"/>
      <c r="AF162" s="36">
        <f>IF($A162="","",$A162&amp;"|"&amp;$C162)</f>
        <v/>
      </c>
      <c r="AG162" s="36">
        <f>IF($A162="","",IF(OR(H162="לא נבדק",H162=""),"לא נבדק",IF(AND(H162="בחר/ה בעצמו/ה",I162="כן",J162="לא"),"מלא",IF(OR(H162="בחר/ה בעצמו/ה",I162="כן"),"חלקי","עדיין לא"))))</f>
        <v/>
      </c>
      <c r="AH162" s="37">
        <f>IF($A162="","",IFERROR(COUNTIF(K162:L162,"כן")/(COUNTIF(K162:L162,"כן")+COUNTIF(K162:L162,"לא")),""))</f>
        <v/>
      </c>
      <c r="AI162" s="37">
        <f>IF($A162="","",IFERROR(COUNTIF(M162:N162,"כן")/(COUNTIF(M162:N162,"כן")+COUNTIF(M162:N162,"לא")),""))</f>
        <v/>
      </c>
      <c r="AJ162" s="37">
        <f>IF($A162="","",IFERROR(COUNTIF(O162:P162,"כן")/(COUNTIF(O162:P162,"כן")+COUNTIF(O162:P162,"לא")),""))</f>
        <v/>
      </c>
      <c r="AK162" s="37">
        <f>IF($A162="","",IFERROR(COUNTIF(Q162:R162,"כן")/(COUNTIF(Q162:R162,"כן")+COUNTIF(Q162:R162,"לא")),""))</f>
        <v/>
      </c>
      <c r="AL162" s="37">
        <f>IF($A162="","",IFERROR(COUNTIF(K162:R162,"כן")/(COUNTIF(K162:R162,"כן")+COUNTIF(K162:R162,"לא")),""))</f>
        <v/>
      </c>
      <c r="AM162" s="37">
        <f>IF($A162="","",IFERROR((COUNTIF(S162:Z162,"רוב הזמן")+0.5*COUNTIF(S162:Z162,"לפעמים"))/(COUNTIF(S162:Z162,"רוב הזמן")+COUNTIF(S162:Z162,"לפעמים")+COUNTIF(S162:Z162,"עדיין לא")),""))</f>
        <v/>
      </c>
      <c r="AN162" s="37">
        <f>IF($A162="","",IFERROR(1-SUMPRODUCT(ABS((K162:R162="כן")-((S162:Z162="רוב הזמן")+0.5*(S162:Z162="לפעמים")))*(((K162:R162="כן")+(K162:R162="לא"))*((S162:Z162="רוב הזמן")+(S162:Z162="לפעמים")+(S162:Z162="עדיין לא"))))/SUMPRODUCT((((K162:R162="כן")+(K162:R162="לא"))*((S162:Z162="רוב הזמן")+(S162:Z162="לפעמים")+(S162:Z162="עדיין לא")))),""))</f>
        <v/>
      </c>
      <c r="AO162" s="36">
        <f>IF($A162="","",SUMPRODUCT((((K162:R162="כן")-((S162:Z162="רוב הזמן")+0.5*(S162:Z162="לפעמים")))&gt;0.01)*(((K162:R162="כן")+(K162:R162="לא"))*((S162:Z162="רוב הזמן")+(S162:Z162="לפעמים")+(S162:Z162="עדיין לא")))))</f>
        <v/>
      </c>
      <c r="AP162" s="36">
        <f>IF($A162="","",SUMPRODUCT(((((S162:Z162="רוב הזמן")+0.5*(S162:Z162="לפעמים"))-(K162:R162="כן"))&gt;0.01)*(((K162:R162="כן")+(K162:R162="לא"))*((S162:Z162="רוב הזמן")+(S162:Z162="לפעמים")+(S162:Z162="עדיין לא")))))</f>
        <v/>
      </c>
      <c r="AQ162" s="36">
        <f>IF($A162="","",COUNTIF(AA162:AC162,"כן"))</f>
        <v/>
      </c>
      <c r="AR162" s="38" t="n"/>
      <c r="AS162" s="38" t="n"/>
      <c r="AT162" s="38" t="n"/>
      <c r="AU162" s="38" t="n"/>
      <c r="AV162" s="36">
        <f>IF($A162="","",IF(AND(AR162="",AT162=""),"לא נבדק",IF(AND(OR(AR162="",AR162=AS162),OR(AT162="",AT162=AU162)),"תואם","לא תואם")))</f>
        <v/>
      </c>
      <c r="AW162" s="36">
        <f>IF($A162="","",IF(AND(AV162&lt;&gt;"לא תואם",G162&lt;&gt;"לא ברור"),"אמין","לפרש בזהירות"))</f>
        <v/>
      </c>
    </row>
    <row r="163">
      <c r="A163" s="38" t="n"/>
      <c r="B163" s="38" t="n"/>
      <c r="C163" s="38" t="n"/>
      <c r="D163" s="38" t="n"/>
      <c r="E163" s="38" t="n"/>
      <c r="F163" s="38" t="n"/>
      <c r="G163" s="38" t="n"/>
      <c r="H163" s="38" t="n"/>
      <c r="I163" s="38" t="n"/>
      <c r="J163" s="38" t="n"/>
      <c r="K163" s="38" t="n"/>
      <c r="L163" s="38" t="n"/>
      <c r="M163" s="38" t="n"/>
      <c r="N163" s="38" t="n"/>
      <c r="O163" s="38" t="n"/>
      <c r="P163" s="38" t="n"/>
      <c r="Q163" s="38" t="n"/>
      <c r="R163" s="38" t="n"/>
      <c r="S163" s="38" t="n"/>
      <c r="T163" s="38" t="n"/>
      <c r="U163" s="38" t="n"/>
      <c r="V163" s="38" t="n"/>
      <c r="W163" s="38" t="n"/>
      <c r="X163" s="38" t="n"/>
      <c r="Y163" s="38" t="n"/>
      <c r="Z163" s="38" t="n"/>
      <c r="AA163" s="38" t="n"/>
      <c r="AB163" s="38" t="n"/>
      <c r="AC163" s="38" t="n"/>
      <c r="AD163" s="38" t="n"/>
      <c r="AE163" s="38" t="n"/>
      <c r="AF163" s="36">
        <f>IF($A163="","",$A163&amp;"|"&amp;$C163)</f>
        <v/>
      </c>
      <c r="AG163" s="36">
        <f>IF($A163="","",IF(OR(H163="לא נבדק",H163=""),"לא נבדק",IF(AND(H163="בחר/ה בעצמו/ה",I163="כן",J163="לא"),"מלא",IF(OR(H163="בחר/ה בעצמו/ה",I163="כן"),"חלקי","עדיין לא"))))</f>
        <v/>
      </c>
      <c r="AH163" s="37">
        <f>IF($A163="","",IFERROR(COUNTIF(K163:L163,"כן")/(COUNTIF(K163:L163,"כן")+COUNTIF(K163:L163,"לא")),""))</f>
        <v/>
      </c>
      <c r="AI163" s="37">
        <f>IF($A163="","",IFERROR(COUNTIF(M163:N163,"כן")/(COUNTIF(M163:N163,"כן")+COUNTIF(M163:N163,"לא")),""))</f>
        <v/>
      </c>
      <c r="AJ163" s="37">
        <f>IF($A163="","",IFERROR(COUNTIF(O163:P163,"כן")/(COUNTIF(O163:P163,"כן")+COUNTIF(O163:P163,"לא")),""))</f>
        <v/>
      </c>
      <c r="AK163" s="37">
        <f>IF($A163="","",IFERROR(COUNTIF(Q163:R163,"כן")/(COUNTIF(Q163:R163,"כן")+COUNTIF(Q163:R163,"לא")),""))</f>
        <v/>
      </c>
      <c r="AL163" s="37">
        <f>IF($A163="","",IFERROR(COUNTIF(K163:R163,"כן")/(COUNTIF(K163:R163,"כן")+COUNTIF(K163:R163,"לא")),""))</f>
        <v/>
      </c>
      <c r="AM163" s="37">
        <f>IF($A163="","",IFERROR((COUNTIF(S163:Z163,"רוב הזמן")+0.5*COUNTIF(S163:Z163,"לפעמים"))/(COUNTIF(S163:Z163,"רוב הזמן")+COUNTIF(S163:Z163,"לפעמים")+COUNTIF(S163:Z163,"עדיין לא")),""))</f>
        <v/>
      </c>
      <c r="AN163" s="37">
        <f>IF($A163="","",IFERROR(1-SUMPRODUCT(ABS((K163:R163="כן")-((S163:Z163="רוב הזמן")+0.5*(S163:Z163="לפעמים")))*(((K163:R163="כן")+(K163:R163="לא"))*((S163:Z163="רוב הזמן")+(S163:Z163="לפעמים")+(S163:Z163="עדיין לא"))))/SUMPRODUCT((((K163:R163="כן")+(K163:R163="לא"))*((S163:Z163="רוב הזמן")+(S163:Z163="לפעמים")+(S163:Z163="עדיין לא")))),""))</f>
        <v/>
      </c>
      <c r="AO163" s="36">
        <f>IF($A163="","",SUMPRODUCT((((K163:R163="כן")-((S163:Z163="רוב הזמן")+0.5*(S163:Z163="לפעמים")))&gt;0.01)*(((K163:R163="כן")+(K163:R163="לא"))*((S163:Z163="רוב הזמן")+(S163:Z163="לפעמים")+(S163:Z163="עדיין לא")))))</f>
        <v/>
      </c>
      <c r="AP163" s="36">
        <f>IF($A163="","",SUMPRODUCT(((((S163:Z163="רוב הזמן")+0.5*(S163:Z163="לפעמים"))-(K163:R163="כן"))&gt;0.01)*(((K163:R163="כן")+(K163:R163="לא"))*((S163:Z163="רוב הזמן")+(S163:Z163="לפעמים")+(S163:Z163="עדיין לא")))))</f>
        <v/>
      </c>
      <c r="AQ163" s="36">
        <f>IF($A163="","",COUNTIF(AA163:AC163,"כן"))</f>
        <v/>
      </c>
      <c r="AR163" s="38" t="n"/>
      <c r="AS163" s="38" t="n"/>
      <c r="AT163" s="38" t="n"/>
      <c r="AU163" s="38" t="n"/>
      <c r="AV163" s="36">
        <f>IF($A163="","",IF(AND(AR163="",AT163=""),"לא נבדק",IF(AND(OR(AR163="",AR163=AS163),OR(AT163="",AT163=AU163)),"תואם","לא תואם")))</f>
        <v/>
      </c>
      <c r="AW163" s="36">
        <f>IF($A163="","",IF(AND(AV163&lt;&gt;"לא תואם",G163&lt;&gt;"לא ברור"),"אמין","לפרש בזהירות"))</f>
        <v/>
      </c>
    </row>
    <row r="164">
      <c r="A164" s="38" t="n"/>
      <c r="B164" s="38" t="n"/>
      <c r="C164" s="38" t="n"/>
      <c r="D164" s="38" t="n"/>
      <c r="E164" s="38" t="n"/>
      <c r="F164" s="38" t="n"/>
      <c r="G164" s="38" t="n"/>
      <c r="H164" s="38" t="n"/>
      <c r="I164" s="38" t="n"/>
      <c r="J164" s="38" t="n"/>
      <c r="K164" s="38" t="n"/>
      <c r="L164" s="38" t="n"/>
      <c r="M164" s="38" t="n"/>
      <c r="N164" s="38" t="n"/>
      <c r="O164" s="38" t="n"/>
      <c r="P164" s="38" t="n"/>
      <c r="Q164" s="38" t="n"/>
      <c r="R164" s="38" t="n"/>
      <c r="S164" s="38" t="n"/>
      <c r="T164" s="38" t="n"/>
      <c r="U164" s="38" t="n"/>
      <c r="V164" s="38" t="n"/>
      <c r="W164" s="38" t="n"/>
      <c r="X164" s="38" t="n"/>
      <c r="Y164" s="38" t="n"/>
      <c r="Z164" s="38" t="n"/>
      <c r="AA164" s="38" t="n"/>
      <c r="AB164" s="38" t="n"/>
      <c r="AC164" s="38" t="n"/>
      <c r="AD164" s="38" t="n"/>
      <c r="AE164" s="38" t="n"/>
      <c r="AF164" s="36">
        <f>IF($A164="","",$A164&amp;"|"&amp;$C164)</f>
        <v/>
      </c>
      <c r="AG164" s="36">
        <f>IF($A164="","",IF(OR(H164="לא נבדק",H164=""),"לא נבדק",IF(AND(H164="בחר/ה בעצמו/ה",I164="כן",J164="לא"),"מלא",IF(OR(H164="בחר/ה בעצמו/ה",I164="כן"),"חלקי","עדיין לא"))))</f>
        <v/>
      </c>
      <c r="AH164" s="37">
        <f>IF($A164="","",IFERROR(COUNTIF(K164:L164,"כן")/(COUNTIF(K164:L164,"כן")+COUNTIF(K164:L164,"לא")),""))</f>
        <v/>
      </c>
      <c r="AI164" s="37">
        <f>IF($A164="","",IFERROR(COUNTIF(M164:N164,"כן")/(COUNTIF(M164:N164,"כן")+COUNTIF(M164:N164,"לא")),""))</f>
        <v/>
      </c>
      <c r="AJ164" s="37">
        <f>IF($A164="","",IFERROR(COUNTIF(O164:P164,"כן")/(COUNTIF(O164:P164,"כן")+COUNTIF(O164:P164,"לא")),""))</f>
        <v/>
      </c>
      <c r="AK164" s="37">
        <f>IF($A164="","",IFERROR(COUNTIF(Q164:R164,"כן")/(COUNTIF(Q164:R164,"כן")+COUNTIF(Q164:R164,"לא")),""))</f>
        <v/>
      </c>
      <c r="AL164" s="37">
        <f>IF($A164="","",IFERROR(COUNTIF(K164:R164,"כן")/(COUNTIF(K164:R164,"כן")+COUNTIF(K164:R164,"לא")),""))</f>
        <v/>
      </c>
      <c r="AM164" s="37">
        <f>IF($A164="","",IFERROR((COUNTIF(S164:Z164,"רוב הזמן")+0.5*COUNTIF(S164:Z164,"לפעמים"))/(COUNTIF(S164:Z164,"רוב הזמן")+COUNTIF(S164:Z164,"לפעמים")+COUNTIF(S164:Z164,"עדיין לא")),""))</f>
        <v/>
      </c>
      <c r="AN164" s="37">
        <f>IF($A164="","",IFERROR(1-SUMPRODUCT(ABS((K164:R164="כן")-((S164:Z164="רוב הזמן")+0.5*(S164:Z164="לפעמים")))*(((K164:R164="כן")+(K164:R164="לא"))*((S164:Z164="רוב הזמן")+(S164:Z164="לפעמים")+(S164:Z164="עדיין לא"))))/SUMPRODUCT((((K164:R164="כן")+(K164:R164="לא"))*((S164:Z164="רוב הזמן")+(S164:Z164="לפעמים")+(S164:Z164="עדיין לא")))),""))</f>
        <v/>
      </c>
      <c r="AO164" s="36">
        <f>IF($A164="","",SUMPRODUCT((((K164:R164="כן")-((S164:Z164="רוב הזמן")+0.5*(S164:Z164="לפעמים")))&gt;0.01)*(((K164:R164="כן")+(K164:R164="לא"))*((S164:Z164="רוב הזמן")+(S164:Z164="לפעמים")+(S164:Z164="עדיין לא")))))</f>
        <v/>
      </c>
      <c r="AP164" s="36">
        <f>IF($A164="","",SUMPRODUCT(((((S164:Z164="רוב הזמן")+0.5*(S164:Z164="לפעמים"))-(K164:R164="כן"))&gt;0.01)*(((K164:R164="כן")+(K164:R164="לא"))*((S164:Z164="רוב הזמן")+(S164:Z164="לפעמים")+(S164:Z164="עדיין לא")))))</f>
        <v/>
      </c>
      <c r="AQ164" s="36">
        <f>IF($A164="","",COUNTIF(AA164:AC164,"כן"))</f>
        <v/>
      </c>
      <c r="AR164" s="38" t="n"/>
      <c r="AS164" s="38" t="n"/>
      <c r="AT164" s="38" t="n"/>
      <c r="AU164" s="38" t="n"/>
      <c r="AV164" s="36">
        <f>IF($A164="","",IF(AND(AR164="",AT164=""),"לא נבדק",IF(AND(OR(AR164="",AR164=AS164),OR(AT164="",AT164=AU164)),"תואם","לא תואם")))</f>
        <v/>
      </c>
      <c r="AW164" s="36">
        <f>IF($A164="","",IF(AND(AV164&lt;&gt;"לא תואם",G164&lt;&gt;"לא ברור"),"אמין","לפרש בזהירות"))</f>
        <v/>
      </c>
    </row>
    <row r="165">
      <c r="A165" s="38" t="n"/>
      <c r="B165" s="38" t="n"/>
      <c r="C165" s="38" t="n"/>
      <c r="D165" s="38" t="n"/>
      <c r="E165" s="38" t="n"/>
      <c r="F165" s="38" t="n"/>
      <c r="G165" s="38" t="n"/>
      <c r="H165" s="38" t="n"/>
      <c r="I165" s="38" t="n"/>
      <c r="J165" s="38" t="n"/>
      <c r="K165" s="38" t="n"/>
      <c r="L165" s="38" t="n"/>
      <c r="M165" s="38" t="n"/>
      <c r="N165" s="38" t="n"/>
      <c r="O165" s="38" t="n"/>
      <c r="P165" s="38" t="n"/>
      <c r="Q165" s="38" t="n"/>
      <c r="R165" s="38" t="n"/>
      <c r="S165" s="38" t="n"/>
      <c r="T165" s="38" t="n"/>
      <c r="U165" s="38" t="n"/>
      <c r="V165" s="38" t="n"/>
      <c r="W165" s="38" t="n"/>
      <c r="X165" s="38" t="n"/>
      <c r="Y165" s="38" t="n"/>
      <c r="Z165" s="38" t="n"/>
      <c r="AA165" s="38" t="n"/>
      <c r="AB165" s="38" t="n"/>
      <c r="AC165" s="38" t="n"/>
      <c r="AD165" s="38" t="n"/>
      <c r="AE165" s="38" t="n"/>
      <c r="AF165" s="36">
        <f>IF($A165="","",$A165&amp;"|"&amp;$C165)</f>
        <v/>
      </c>
      <c r="AG165" s="36">
        <f>IF($A165="","",IF(OR(H165="לא נבדק",H165=""),"לא נבדק",IF(AND(H165="בחר/ה בעצמו/ה",I165="כן",J165="לא"),"מלא",IF(OR(H165="בחר/ה בעצמו/ה",I165="כן"),"חלקי","עדיין לא"))))</f>
        <v/>
      </c>
      <c r="AH165" s="37">
        <f>IF($A165="","",IFERROR(COUNTIF(K165:L165,"כן")/(COUNTIF(K165:L165,"כן")+COUNTIF(K165:L165,"לא")),""))</f>
        <v/>
      </c>
      <c r="AI165" s="37">
        <f>IF($A165="","",IFERROR(COUNTIF(M165:N165,"כן")/(COUNTIF(M165:N165,"כן")+COUNTIF(M165:N165,"לא")),""))</f>
        <v/>
      </c>
      <c r="AJ165" s="37">
        <f>IF($A165="","",IFERROR(COUNTIF(O165:P165,"כן")/(COUNTIF(O165:P165,"כן")+COUNTIF(O165:P165,"לא")),""))</f>
        <v/>
      </c>
      <c r="AK165" s="37">
        <f>IF($A165="","",IFERROR(COUNTIF(Q165:R165,"כן")/(COUNTIF(Q165:R165,"כן")+COUNTIF(Q165:R165,"לא")),""))</f>
        <v/>
      </c>
      <c r="AL165" s="37">
        <f>IF($A165="","",IFERROR(COUNTIF(K165:R165,"כן")/(COUNTIF(K165:R165,"כן")+COUNTIF(K165:R165,"לא")),""))</f>
        <v/>
      </c>
      <c r="AM165" s="37">
        <f>IF($A165="","",IFERROR((COUNTIF(S165:Z165,"רוב הזמן")+0.5*COUNTIF(S165:Z165,"לפעמים"))/(COUNTIF(S165:Z165,"רוב הזמן")+COUNTIF(S165:Z165,"לפעמים")+COUNTIF(S165:Z165,"עדיין לא")),""))</f>
        <v/>
      </c>
      <c r="AN165" s="37">
        <f>IF($A165="","",IFERROR(1-SUMPRODUCT(ABS((K165:R165="כן")-((S165:Z165="רוב הזמן")+0.5*(S165:Z165="לפעמים")))*(((K165:R165="כן")+(K165:R165="לא"))*((S165:Z165="רוב הזמן")+(S165:Z165="לפעמים")+(S165:Z165="עדיין לא"))))/SUMPRODUCT((((K165:R165="כן")+(K165:R165="לא"))*((S165:Z165="רוב הזמן")+(S165:Z165="לפעמים")+(S165:Z165="עדיין לא")))),""))</f>
        <v/>
      </c>
      <c r="AO165" s="36">
        <f>IF($A165="","",SUMPRODUCT((((K165:R165="כן")-((S165:Z165="רוב הזמן")+0.5*(S165:Z165="לפעמים")))&gt;0.01)*(((K165:R165="כן")+(K165:R165="לא"))*((S165:Z165="רוב הזמן")+(S165:Z165="לפעמים")+(S165:Z165="עדיין לא")))))</f>
        <v/>
      </c>
      <c r="AP165" s="36">
        <f>IF($A165="","",SUMPRODUCT(((((S165:Z165="רוב הזמן")+0.5*(S165:Z165="לפעמים"))-(K165:R165="כן"))&gt;0.01)*(((K165:R165="כן")+(K165:R165="לא"))*((S165:Z165="רוב הזמן")+(S165:Z165="לפעמים")+(S165:Z165="עדיין לא")))))</f>
        <v/>
      </c>
      <c r="AQ165" s="36">
        <f>IF($A165="","",COUNTIF(AA165:AC165,"כן"))</f>
        <v/>
      </c>
      <c r="AR165" s="38" t="n"/>
      <c r="AS165" s="38" t="n"/>
      <c r="AT165" s="38" t="n"/>
      <c r="AU165" s="38" t="n"/>
      <c r="AV165" s="36">
        <f>IF($A165="","",IF(AND(AR165="",AT165=""),"לא נבדק",IF(AND(OR(AR165="",AR165=AS165),OR(AT165="",AT165=AU165)),"תואם","לא תואם")))</f>
        <v/>
      </c>
      <c r="AW165" s="36">
        <f>IF($A165="","",IF(AND(AV165&lt;&gt;"לא תואם",G165&lt;&gt;"לא ברור"),"אמין","לפרש בזהירות"))</f>
        <v/>
      </c>
    </row>
    <row r="166">
      <c r="A166" s="38" t="n"/>
      <c r="B166" s="38" t="n"/>
      <c r="C166" s="38" t="n"/>
      <c r="D166" s="38" t="n"/>
      <c r="E166" s="38" t="n"/>
      <c r="F166" s="38" t="n"/>
      <c r="G166" s="38" t="n"/>
      <c r="H166" s="38" t="n"/>
      <c r="I166" s="38" t="n"/>
      <c r="J166" s="38" t="n"/>
      <c r="K166" s="38" t="n"/>
      <c r="L166" s="38" t="n"/>
      <c r="M166" s="38" t="n"/>
      <c r="N166" s="38" t="n"/>
      <c r="O166" s="38" t="n"/>
      <c r="P166" s="38" t="n"/>
      <c r="Q166" s="38" t="n"/>
      <c r="R166" s="38" t="n"/>
      <c r="S166" s="38" t="n"/>
      <c r="T166" s="38" t="n"/>
      <c r="U166" s="38" t="n"/>
      <c r="V166" s="38" t="n"/>
      <c r="W166" s="38" t="n"/>
      <c r="X166" s="38" t="n"/>
      <c r="Y166" s="38" t="n"/>
      <c r="Z166" s="38" t="n"/>
      <c r="AA166" s="38" t="n"/>
      <c r="AB166" s="38" t="n"/>
      <c r="AC166" s="38" t="n"/>
      <c r="AD166" s="38" t="n"/>
      <c r="AE166" s="38" t="n"/>
      <c r="AF166" s="36">
        <f>IF($A166="","",$A166&amp;"|"&amp;$C166)</f>
        <v/>
      </c>
      <c r="AG166" s="36">
        <f>IF($A166="","",IF(OR(H166="לא נבדק",H166=""),"לא נבדק",IF(AND(H166="בחר/ה בעצמו/ה",I166="כן",J166="לא"),"מלא",IF(OR(H166="בחר/ה בעצמו/ה",I166="כן"),"חלקי","עדיין לא"))))</f>
        <v/>
      </c>
      <c r="AH166" s="37">
        <f>IF($A166="","",IFERROR(COUNTIF(K166:L166,"כן")/(COUNTIF(K166:L166,"כן")+COUNTIF(K166:L166,"לא")),""))</f>
        <v/>
      </c>
      <c r="AI166" s="37">
        <f>IF($A166="","",IFERROR(COUNTIF(M166:N166,"כן")/(COUNTIF(M166:N166,"כן")+COUNTIF(M166:N166,"לא")),""))</f>
        <v/>
      </c>
      <c r="AJ166" s="37">
        <f>IF($A166="","",IFERROR(COUNTIF(O166:P166,"כן")/(COUNTIF(O166:P166,"כן")+COUNTIF(O166:P166,"לא")),""))</f>
        <v/>
      </c>
      <c r="AK166" s="37">
        <f>IF($A166="","",IFERROR(COUNTIF(Q166:R166,"כן")/(COUNTIF(Q166:R166,"כן")+COUNTIF(Q166:R166,"לא")),""))</f>
        <v/>
      </c>
      <c r="AL166" s="37">
        <f>IF($A166="","",IFERROR(COUNTIF(K166:R166,"כן")/(COUNTIF(K166:R166,"כן")+COUNTIF(K166:R166,"לא")),""))</f>
        <v/>
      </c>
      <c r="AM166" s="37">
        <f>IF($A166="","",IFERROR((COUNTIF(S166:Z166,"רוב הזמן")+0.5*COUNTIF(S166:Z166,"לפעמים"))/(COUNTIF(S166:Z166,"רוב הזמן")+COUNTIF(S166:Z166,"לפעמים")+COUNTIF(S166:Z166,"עדיין לא")),""))</f>
        <v/>
      </c>
      <c r="AN166" s="37">
        <f>IF($A166="","",IFERROR(1-SUMPRODUCT(ABS((K166:R166="כן")-((S166:Z166="רוב הזמן")+0.5*(S166:Z166="לפעמים")))*(((K166:R166="כן")+(K166:R166="לא"))*((S166:Z166="רוב הזמן")+(S166:Z166="לפעמים")+(S166:Z166="עדיין לא"))))/SUMPRODUCT((((K166:R166="כן")+(K166:R166="לא"))*((S166:Z166="רוב הזמן")+(S166:Z166="לפעמים")+(S166:Z166="עדיין לא")))),""))</f>
        <v/>
      </c>
      <c r="AO166" s="36">
        <f>IF($A166="","",SUMPRODUCT((((K166:R166="כן")-((S166:Z166="רוב הזמן")+0.5*(S166:Z166="לפעמים")))&gt;0.01)*(((K166:R166="כן")+(K166:R166="לא"))*((S166:Z166="רוב הזמן")+(S166:Z166="לפעמים")+(S166:Z166="עדיין לא")))))</f>
        <v/>
      </c>
      <c r="AP166" s="36">
        <f>IF($A166="","",SUMPRODUCT(((((S166:Z166="רוב הזמן")+0.5*(S166:Z166="לפעמים"))-(K166:R166="כן"))&gt;0.01)*(((K166:R166="כן")+(K166:R166="לא"))*((S166:Z166="רוב הזמן")+(S166:Z166="לפעמים")+(S166:Z166="עדיין לא")))))</f>
        <v/>
      </c>
      <c r="AQ166" s="36">
        <f>IF($A166="","",COUNTIF(AA166:AC166,"כן"))</f>
        <v/>
      </c>
      <c r="AR166" s="38" t="n"/>
      <c r="AS166" s="38" t="n"/>
      <c r="AT166" s="38" t="n"/>
      <c r="AU166" s="38" t="n"/>
      <c r="AV166" s="36">
        <f>IF($A166="","",IF(AND(AR166="",AT166=""),"לא נבדק",IF(AND(OR(AR166="",AR166=AS166),OR(AT166="",AT166=AU166)),"תואם","לא תואם")))</f>
        <v/>
      </c>
      <c r="AW166" s="36">
        <f>IF($A166="","",IF(AND(AV166&lt;&gt;"לא תואם",G166&lt;&gt;"לא ברור"),"אמין","לפרש בזהירות"))</f>
        <v/>
      </c>
    </row>
    <row r="167">
      <c r="A167" s="38" t="n"/>
      <c r="B167" s="38" t="n"/>
      <c r="C167" s="38" t="n"/>
      <c r="D167" s="38" t="n"/>
      <c r="E167" s="38" t="n"/>
      <c r="F167" s="38" t="n"/>
      <c r="G167" s="38" t="n"/>
      <c r="H167" s="38" t="n"/>
      <c r="I167" s="38" t="n"/>
      <c r="J167" s="38" t="n"/>
      <c r="K167" s="38" t="n"/>
      <c r="L167" s="38" t="n"/>
      <c r="M167" s="38" t="n"/>
      <c r="N167" s="38" t="n"/>
      <c r="O167" s="38" t="n"/>
      <c r="P167" s="38" t="n"/>
      <c r="Q167" s="38" t="n"/>
      <c r="R167" s="38" t="n"/>
      <c r="S167" s="38" t="n"/>
      <c r="T167" s="38" t="n"/>
      <c r="U167" s="38" t="n"/>
      <c r="V167" s="38" t="n"/>
      <c r="W167" s="38" t="n"/>
      <c r="X167" s="38" t="n"/>
      <c r="Y167" s="38" t="n"/>
      <c r="Z167" s="38" t="n"/>
      <c r="AA167" s="38" t="n"/>
      <c r="AB167" s="38" t="n"/>
      <c r="AC167" s="38" t="n"/>
      <c r="AD167" s="38" t="n"/>
      <c r="AE167" s="38" t="n"/>
      <c r="AF167" s="36">
        <f>IF($A167="","",$A167&amp;"|"&amp;$C167)</f>
        <v/>
      </c>
      <c r="AG167" s="36">
        <f>IF($A167="","",IF(OR(H167="לא נבדק",H167=""),"לא נבדק",IF(AND(H167="בחר/ה בעצמו/ה",I167="כן",J167="לא"),"מלא",IF(OR(H167="בחר/ה בעצמו/ה",I167="כן"),"חלקי","עדיין לא"))))</f>
        <v/>
      </c>
      <c r="AH167" s="37">
        <f>IF($A167="","",IFERROR(COUNTIF(K167:L167,"כן")/(COUNTIF(K167:L167,"כן")+COUNTIF(K167:L167,"לא")),""))</f>
        <v/>
      </c>
      <c r="AI167" s="37">
        <f>IF($A167="","",IFERROR(COUNTIF(M167:N167,"כן")/(COUNTIF(M167:N167,"כן")+COUNTIF(M167:N167,"לא")),""))</f>
        <v/>
      </c>
      <c r="AJ167" s="37">
        <f>IF($A167="","",IFERROR(COUNTIF(O167:P167,"כן")/(COUNTIF(O167:P167,"כן")+COUNTIF(O167:P167,"לא")),""))</f>
        <v/>
      </c>
      <c r="AK167" s="37">
        <f>IF($A167="","",IFERROR(COUNTIF(Q167:R167,"כן")/(COUNTIF(Q167:R167,"כן")+COUNTIF(Q167:R167,"לא")),""))</f>
        <v/>
      </c>
      <c r="AL167" s="37">
        <f>IF($A167="","",IFERROR(COUNTIF(K167:R167,"כן")/(COUNTIF(K167:R167,"כן")+COUNTIF(K167:R167,"לא")),""))</f>
        <v/>
      </c>
      <c r="AM167" s="37">
        <f>IF($A167="","",IFERROR((COUNTIF(S167:Z167,"רוב הזמן")+0.5*COUNTIF(S167:Z167,"לפעמים"))/(COUNTIF(S167:Z167,"רוב הזמן")+COUNTIF(S167:Z167,"לפעמים")+COUNTIF(S167:Z167,"עדיין לא")),""))</f>
        <v/>
      </c>
      <c r="AN167" s="37">
        <f>IF($A167="","",IFERROR(1-SUMPRODUCT(ABS((K167:R167="כן")-((S167:Z167="רוב הזמן")+0.5*(S167:Z167="לפעמים")))*(((K167:R167="כן")+(K167:R167="לא"))*((S167:Z167="רוב הזמן")+(S167:Z167="לפעמים")+(S167:Z167="עדיין לא"))))/SUMPRODUCT((((K167:R167="כן")+(K167:R167="לא"))*((S167:Z167="רוב הזמן")+(S167:Z167="לפעמים")+(S167:Z167="עדיין לא")))),""))</f>
        <v/>
      </c>
      <c r="AO167" s="36">
        <f>IF($A167="","",SUMPRODUCT((((K167:R167="כן")-((S167:Z167="רוב הזמן")+0.5*(S167:Z167="לפעמים")))&gt;0.01)*(((K167:R167="כן")+(K167:R167="לא"))*((S167:Z167="רוב הזמן")+(S167:Z167="לפעמים")+(S167:Z167="עדיין לא")))))</f>
        <v/>
      </c>
      <c r="AP167" s="36">
        <f>IF($A167="","",SUMPRODUCT(((((S167:Z167="רוב הזמן")+0.5*(S167:Z167="לפעמים"))-(K167:R167="כן"))&gt;0.01)*(((K167:R167="כן")+(K167:R167="לא"))*((S167:Z167="רוב הזמן")+(S167:Z167="לפעמים")+(S167:Z167="עדיין לא")))))</f>
        <v/>
      </c>
      <c r="AQ167" s="36">
        <f>IF($A167="","",COUNTIF(AA167:AC167,"כן"))</f>
        <v/>
      </c>
      <c r="AR167" s="38" t="n"/>
      <c r="AS167" s="38" t="n"/>
      <c r="AT167" s="38" t="n"/>
      <c r="AU167" s="38" t="n"/>
      <c r="AV167" s="36">
        <f>IF($A167="","",IF(AND(AR167="",AT167=""),"לא נבדק",IF(AND(OR(AR167="",AR167=AS167),OR(AT167="",AT167=AU167)),"תואם","לא תואם")))</f>
        <v/>
      </c>
      <c r="AW167" s="36">
        <f>IF($A167="","",IF(AND(AV167&lt;&gt;"לא תואם",G167&lt;&gt;"לא ברור"),"אמין","לפרש בזהירות"))</f>
        <v/>
      </c>
    </row>
    <row r="168">
      <c r="A168" s="38" t="n"/>
      <c r="B168" s="38" t="n"/>
      <c r="C168" s="38" t="n"/>
      <c r="D168" s="38" t="n"/>
      <c r="E168" s="38" t="n"/>
      <c r="F168" s="38" t="n"/>
      <c r="G168" s="38" t="n"/>
      <c r="H168" s="38" t="n"/>
      <c r="I168" s="38" t="n"/>
      <c r="J168" s="38" t="n"/>
      <c r="K168" s="38" t="n"/>
      <c r="L168" s="38" t="n"/>
      <c r="M168" s="38" t="n"/>
      <c r="N168" s="38" t="n"/>
      <c r="O168" s="38" t="n"/>
      <c r="P168" s="38" t="n"/>
      <c r="Q168" s="38" t="n"/>
      <c r="R168" s="38" t="n"/>
      <c r="S168" s="38" t="n"/>
      <c r="T168" s="38" t="n"/>
      <c r="U168" s="38" t="n"/>
      <c r="V168" s="38" t="n"/>
      <c r="W168" s="38" t="n"/>
      <c r="X168" s="38" t="n"/>
      <c r="Y168" s="38" t="n"/>
      <c r="Z168" s="38" t="n"/>
      <c r="AA168" s="38" t="n"/>
      <c r="AB168" s="38" t="n"/>
      <c r="AC168" s="38" t="n"/>
      <c r="AD168" s="38" t="n"/>
      <c r="AE168" s="38" t="n"/>
      <c r="AF168" s="36">
        <f>IF($A168="","",$A168&amp;"|"&amp;$C168)</f>
        <v/>
      </c>
      <c r="AG168" s="36">
        <f>IF($A168="","",IF(OR(H168="לא נבדק",H168=""),"לא נבדק",IF(AND(H168="בחר/ה בעצמו/ה",I168="כן",J168="לא"),"מלא",IF(OR(H168="בחר/ה בעצמו/ה",I168="כן"),"חלקי","עדיין לא"))))</f>
        <v/>
      </c>
      <c r="AH168" s="37">
        <f>IF($A168="","",IFERROR(COUNTIF(K168:L168,"כן")/(COUNTIF(K168:L168,"כן")+COUNTIF(K168:L168,"לא")),""))</f>
        <v/>
      </c>
      <c r="AI168" s="37">
        <f>IF($A168="","",IFERROR(COUNTIF(M168:N168,"כן")/(COUNTIF(M168:N168,"כן")+COUNTIF(M168:N168,"לא")),""))</f>
        <v/>
      </c>
      <c r="AJ168" s="37">
        <f>IF($A168="","",IFERROR(COUNTIF(O168:P168,"כן")/(COUNTIF(O168:P168,"כן")+COUNTIF(O168:P168,"לא")),""))</f>
        <v/>
      </c>
      <c r="AK168" s="37">
        <f>IF($A168="","",IFERROR(COUNTIF(Q168:R168,"כן")/(COUNTIF(Q168:R168,"כן")+COUNTIF(Q168:R168,"לא")),""))</f>
        <v/>
      </c>
      <c r="AL168" s="37">
        <f>IF($A168="","",IFERROR(COUNTIF(K168:R168,"כן")/(COUNTIF(K168:R168,"כן")+COUNTIF(K168:R168,"לא")),""))</f>
        <v/>
      </c>
      <c r="AM168" s="37">
        <f>IF($A168="","",IFERROR((COUNTIF(S168:Z168,"רוב הזמן")+0.5*COUNTIF(S168:Z168,"לפעמים"))/(COUNTIF(S168:Z168,"רוב הזמן")+COUNTIF(S168:Z168,"לפעמים")+COUNTIF(S168:Z168,"עדיין לא")),""))</f>
        <v/>
      </c>
      <c r="AN168" s="37">
        <f>IF($A168="","",IFERROR(1-SUMPRODUCT(ABS((K168:R168="כן")-((S168:Z168="רוב הזמן")+0.5*(S168:Z168="לפעמים")))*(((K168:R168="כן")+(K168:R168="לא"))*((S168:Z168="רוב הזמן")+(S168:Z168="לפעמים")+(S168:Z168="עדיין לא"))))/SUMPRODUCT((((K168:R168="כן")+(K168:R168="לא"))*((S168:Z168="רוב הזמן")+(S168:Z168="לפעמים")+(S168:Z168="עדיין לא")))),""))</f>
        <v/>
      </c>
      <c r="AO168" s="36">
        <f>IF($A168="","",SUMPRODUCT((((K168:R168="כן")-((S168:Z168="רוב הזמן")+0.5*(S168:Z168="לפעמים")))&gt;0.01)*(((K168:R168="כן")+(K168:R168="לא"))*((S168:Z168="רוב הזמן")+(S168:Z168="לפעמים")+(S168:Z168="עדיין לא")))))</f>
        <v/>
      </c>
      <c r="AP168" s="36">
        <f>IF($A168="","",SUMPRODUCT(((((S168:Z168="רוב הזמן")+0.5*(S168:Z168="לפעמים"))-(K168:R168="כן"))&gt;0.01)*(((K168:R168="כן")+(K168:R168="לא"))*((S168:Z168="רוב הזמן")+(S168:Z168="לפעמים")+(S168:Z168="עדיין לא")))))</f>
        <v/>
      </c>
      <c r="AQ168" s="36">
        <f>IF($A168="","",COUNTIF(AA168:AC168,"כן"))</f>
        <v/>
      </c>
      <c r="AR168" s="38" t="n"/>
      <c r="AS168" s="38" t="n"/>
      <c r="AT168" s="38" t="n"/>
      <c r="AU168" s="38" t="n"/>
      <c r="AV168" s="36">
        <f>IF($A168="","",IF(AND(AR168="",AT168=""),"לא נבדק",IF(AND(OR(AR168="",AR168=AS168),OR(AT168="",AT168=AU168)),"תואם","לא תואם")))</f>
        <v/>
      </c>
      <c r="AW168" s="36">
        <f>IF($A168="","",IF(AND(AV168&lt;&gt;"לא תואם",G168&lt;&gt;"לא ברור"),"אמין","לפרש בזהירות"))</f>
        <v/>
      </c>
    </row>
    <row r="169">
      <c r="A169" s="38" t="n"/>
      <c r="B169" s="38" t="n"/>
      <c r="C169" s="38" t="n"/>
      <c r="D169" s="38" t="n"/>
      <c r="E169" s="38" t="n"/>
      <c r="F169" s="38" t="n"/>
      <c r="G169" s="38" t="n"/>
      <c r="H169" s="38" t="n"/>
      <c r="I169" s="38" t="n"/>
      <c r="J169" s="38" t="n"/>
      <c r="K169" s="38" t="n"/>
      <c r="L169" s="38" t="n"/>
      <c r="M169" s="38" t="n"/>
      <c r="N169" s="38" t="n"/>
      <c r="O169" s="38" t="n"/>
      <c r="P169" s="38" t="n"/>
      <c r="Q169" s="38" t="n"/>
      <c r="R169" s="38" t="n"/>
      <c r="S169" s="38" t="n"/>
      <c r="T169" s="38" t="n"/>
      <c r="U169" s="38" t="n"/>
      <c r="V169" s="38" t="n"/>
      <c r="W169" s="38" t="n"/>
      <c r="X169" s="38" t="n"/>
      <c r="Y169" s="38" t="n"/>
      <c r="Z169" s="38" t="n"/>
      <c r="AA169" s="38" t="n"/>
      <c r="AB169" s="38" t="n"/>
      <c r="AC169" s="38" t="n"/>
      <c r="AD169" s="38" t="n"/>
      <c r="AE169" s="38" t="n"/>
      <c r="AF169" s="36">
        <f>IF($A169="","",$A169&amp;"|"&amp;$C169)</f>
        <v/>
      </c>
      <c r="AG169" s="36">
        <f>IF($A169="","",IF(OR(H169="לא נבדק",H169=""),"לא נבדק",IF(AND(H169="בחר/ה בעצמו/ה",I169="כן",J169="לא"),"מלא",IF(OR(H169="בחר/ה בעצמו/ה",I169="כן"),"חלקי","עדיין לא"))))</f>
        <v/>
      </c>
      <c r="AH169" s="37">
        <f>IF($A169="","",IFERROR(COUNTIF(K169:L169,"כן")/(COUNTIF(K169:L169,"כן")+COUNTIF(K169:L169,"לא")),""))</f>
        <v/>
      </c>
      <c r="AI169" s="37">
        <f>IF($A169="","",IFERROR(COUNTIF(M169:N169,"כן")/(COUNTIF(M169:N169,"כן")+COUNTIF(M169:N169,"לא")),""))</f>
        <v/>
      </c>
      <c r="AJ169" s="37">
        <f>IF($A169="","",IFERROR(COUNTIF(O169:P169,"כן")/(COUNTIF(O169:P169,"כן")+COUNTIF(O169:P169,"לא")),""))</f>
        <v/>
      </c>
      <c r="AK169" s="37">
        <f>IF($A169="","",IFERROR(COUNTIF(Q169:R169,"כן")/(COUNTIF(Q169:R169,"כן")+COUNTIF(Q169:R169,"לא")),""))</f>
        <v/>
      </c>
      <c r="AL169" s="37">
        <f>IF($A169="","",IFERROR(COUNTIF(K169:R169,"כן")/(COUNTIF(K169:R169,"כן")+COUNTIF(K169:R169,"לא")),""))</f>
        <v/>
      </c>
      <c r="AM169" s="37">
        <f>IF($A169="","",IFERROR((COUNTIF(S169:Z169,"רוב הזמן")+0.5*COUNTIF(S169:Z169,"לפעמים"))/(COUNTIF(S169:Z169,"רוב הזמן")+COUNTIF(S169:Z169,"לפעמים")+COUNTIF(S169:Z169,"עדיין לא")),""))</f>
        <v/>
      </c>
      <c r="AN169" s="37">
        <f>IF($A169="","",IFERROR(1-SUMPRODUCT(ABS((K169:R169="כן")-((S169:Z169="רוב הזמן")+0.5*(S169:Z169="לפעמים")))*(((K169:R169="כן")+(K169:R169="לא"))*((S169:Z169="רוב הזמן")+(S169:Z169="לפעמים")+(S169:Z169="עדיין לא"))))/SUMPRODUCT((((K169:R169="כן")+(K169:R169="לא"))*((S169:Z169="רוב הזמן")+(S169:Z169="לפעמים")+(S169:Z169="עדיין לא")))),""))</f>
        <v/>
      </c>
      <c r="AO169" s="36">
        <f>IF($A169="","",SUMPRODUCT((((K169:R169="כן")-((S169:Z169="רוב הזמן")+0.5*(S169:Z169="לפעמים")))&gt;0.01)*(((K169:R169="כן")+(K169:R169="לא"))*((S169:Z169="רוב הזמן")+(S169:Z169="לפעמים")+(S169:Z169="עדיין לא")))))</f>
        <v/>
      </c>
      <c r="AP169" s="36">
        <f>IF($A169="","",SUMPRODUCT(((((S169:Z169="רוב הזמן")+0.5*(S169:Z169="לפעמים"))-(K169:R169="כן"))&gt;0.01)*(((K169:R169="כן")+(K169:R169="לא"))*((S169:Z169="רוב הזמן")+(S169:Z169="לפעמים")+(S169:Z169="עדיין לא")))))</f>
        <v/>
      </c>
      <c r="AQ169" s="36">
        <f>IF($A169="","",COUNTIF(AA169:AC169,"כן"))</f>
        <v/>
      </c>
      <c r="AR169" s="38" t="n"/>
      <c r="AS169" s="38" t="n"/>
      <c r="AT169" s="38" t="n"/>
      <c r="AU169" s="38" t="n"/>
      <c r="AV169" s="36">
        <f>IF($A169="","",IF(AND(AR169="",AT169=""),"לא נבדק",IF(AND(OR(AR169="",AR169=AS169),OR(AT169="",AT169=AU169)),"תואם","לא תואם")))</f>
        <v/>
      </c>
      <c r="AW169" s="36">
        <f>IF($A169="","",IF(AND(AV169&lt;&gt;"לא תואם",G169&lt;&gt;"לא ברור"),"אמין","לפרש בזהירות"))</f>
        <v/>
      </c>
    </row>
    <row r="170">
      <c r="A170" s="38" t="n"/>
      <c r="B170" s="38" t="n"/>
      <c r="C170" s="38" t="n"/>
      <c r="D170" s="38" t="n"/>
      <c r="E170" s="38" t="n"/>
      <c r="F170" s="38" t="n"/>
      <c r="G170" s="38" t="n"/>
      <c r="H170" s="38" t="n"/>
      <c r="I170" s="38" t="n"/>
      <c r="J170" s="38" t="n"/>
      <c r="K170" s="38" t="n"/>
      <c r="L170" s="38" t="n"/>
      <c r="M170" s="38" t="n"/>
      <c r="N170" s="38" t="n"/>
      <c r="O170" s="38" t="n"/>
      <c r="P170" s="38" t="n"/>
      <c r="Q170" s="38" t="n"/>
      <c r="R170" s="38" t="n"/>
      <c r="S170" s="38" t="n"/>
      <c r="T170" s="38" t="n"/>
      <c r="U170" s="38" t="n"/>
      <c r="V170" s="38" t="n"/>
      <c r="W170" s="38" t="n"/>
      <c r="X170" s="38" t="n"/>
      <c r="Y170" s="38" t="n"/>
      <c r="Z170" s="38" t="n"/>
      <c r="AA170" s="38" t="n"/>
      <c r="AB170" s="38" t="n"/>
      <c r="AC170" s="38" t="n"/>
      <c r="AD170" s="38" t="n"/>
      <c r="AE170" s="38" t="n"/>
      <c r="AF170" s="36">
        <f>IF($A170="","",$A170&amp;"|"&amp;$C170)</f>
        <v/>
      </c>
      <c r="AG170" s="36">
        <f>IF($A170="","",IF(OR(H170="לא נבדק",H170=""),"לא נבדק",IF(AND(H170="בחר/ה בעצמו/ה",I170="כן",J170="לא"),"מלא",IF(OR(H170="בחר/ה בעצמו/ה",I170="כן"),"חלקי","עדיין לא"))))</f>
        <v/>
      </c>
      <c r="AH170" s="37">
        <f>IF($A170="","",IFERROR(COUNTIF(K170:L170,"כן")/(COUNTIF(K170:L170,"כן")+COUNTIF(K170:L170,"לא")),""))</f>
        <v/>
      </c>
      <c r="AI170" s="37">
        <f>IF($A170="","",IFERROR(COUNTIF(M170:N170,"כן")/(COUNTIF(M170:N170,"כן")+COUNTIF(M170:N170,"לא")),""))</f>
        <v/>
      </c>
      <c r="AJ170" s="37">
        <f>IF($A170="","",IFERROR(COUNTIF(O170:P170,"כן")/(COUNTIF(O170:P170,"כן")+COUNTIF(O170:P170,"לא")),""))</f>
        <v/>
      </c>
      <c r="AK170" s="37">
        <f>IF($A170="","",IFERROR(COUNTIF(Q170:R170,"כן")/(COUNTIF(Q170:R170,"כן")+COUNTIF(Q170:R170,"לא")),""))</f>
        <v/>
      </c>
      <c r="AL170" s="37">
        <f>IF($A170="","",IFERROR(COUNTIF(K170:R170,"כן")/(COUNTIF(K170:R170,"כן")+COUNTIF(K170:R170,"לא")),""))</f>
        <v/>
      </c>
      <c r="AM170" s="37">
        <f>IF($A170="","",IFERROR((COUNTIF(S170:Z170,"רוב הזמן")+0.5*COUNTIF(S170:Z170,"לפעמים"))/(COUNTIF(S170:Z170,"רוב הזמן")+COUNTIF(S170:Z170,"לפעמים")+COUNTIF(S170:Z170,"עדיין לא")),""))</f>
        <v/>
      </c>
      <c r="AN170" s="37">
        <f>IF($A170="","",IFERROR(1-SUMPRODUCT(ABS((K170:R170="כן")-((S170:Z170="רוב הזמן")+0.5*(S170:Z170="לפעמים")))*(((K170:R170="כן")+(K170:R170="לא"))*((S170:Z170="רוב הזמן")+(S170:Z170="לפעמים")+(S170:Z170="עדיין לא"))))/SUMPRODUCT((((K170:R170="כן")+(K170:R170="לא"))*((S170:Z170="רוב הזמן")+(S170:Z170="לפעמים")+(S170:Z170="עדיין לא")))),""))</f>
        <v/>
      </c>
      <c r="AO170" s="36">
        <f>IF($A170="","",SUMPRODUCT((((K170:R170="כן")-((S170:Z170="רוב הזמן")+0.5*(S170:Z170="לפעמים")))&gt;0.01)*(((K170:R170="כן")+(K170:R170="לא"))*((S170:Z170="רוב הזמן")+(S170:Z170="לפעמים")+(S170:Z170="עדיין לא")))))</f>
        <v/>
      </c>
      <c r="AP170" s="36">
        <f>IF($A170="","",SUMPRODUCT(((((S170:Z170="רוב הזמן")+0.5*(S170:Z170="לפעמים"))-(K170:R170="כן"))&gt;0.01)*(((K170:R170="כן")+(K170:R170="לא"))*((S170:Z170="רוב הזמן")+(S170:Z170="לפעמים")+(S170:Z170="עדיין לא")))))</f>
        <v/>
      </c>
      <c r="AQ170" s="36">
        <f>IF($A170="","",COUNTIF(AA170:AC170,"כן"))</f>
        <v/>
      </c>
      <c r="AR170" s="38" t="n"/>
      <c r="AS170" s="38" t="n"/>
      <c r="AT170" s="38" t="n"/>
      <c r="AU170" s="38" t="n"/>
      <c r="AV170" s="36">
        <f>IF($A170="","",IF(AND(AR170="",AT170=""),"לא נבדק",IF(AND(OR(AR170="",AR170=AS170),OR(AT170="",AT170=AU170)),"תואם","לא תואם")))</f>
        <v/>
      </c>
      <c r="AW170" s="36">
        <f>IF($A170="","",IF(AND(AV170&lt;&gt;"לא תואם",G170&lt;&gt;"לא ברור"),"אמין","לפרש בזהירות"))</f>
        <v/>
      </c>
    </row>
    <row r="171">
      <c r="A171" s="38" t="n"/>
      <c r="B171" s="38" t="n"/>
      <c r="C171" s="38" t="n"/>
      <c r="D171" s="38" t="n"/>
      <c r="E171" s="38" t="n"/>
      <c r="F171" s="38" t="n"/>
      <c r="G171" s="38" t="n"/>
      <c r="H171" s="38" t="n"/>
      <c r="I171" s="38" t="n"/>
      <c r="J171" s="38" t="n"/>
      <c r="K171" s="38" t="n"/>
      <c r="L171" s="38" t="n"/>
      <c r="M171" s="38" t="n"/>
      <c r="N171" s="38" t="n"/>
      <c r="O171" s="38" t="n"/>
      <c r="P171" s="38" t="n"/>
      <c r="Q171" s="38" t="n"/>
      <c r="R171" s="38" t="n"/>
      <c r="S171" s="38" t="n"/>
      <c r="T171" s="38" t="n"/>
      <c r="U171" s="38" t="n"/>
      <c r="V171" s="38" t="n"/>
      <c r="W171" s="38" t="n"/>
      <c r="X171" s="38" t="n"/>
      <c r="Y171" s="38" t="n"/>
      <c r="Z171" s="38" t="n"/>
      <c r="AA171" s="38" t="n"/>
      <c r="AB171" s="38" t="n"/>
      <c r="AC171" s="38" t="n"/>
      <c r="AD171" s="38" t="n"/>
      <c r="AE171" s="38" t="n"/>
      <c r="AF171" s="36">
        <f>IF($A171="","",$A171&amp;"|"&amp;$C171)</f>
        <v/>
      </c>
      <c r="AG171" s="36">
        <f>IF($A171="","",IF(OR(H171="לא נבדק",H171=""),"לא נבדק",IF(AND(H171="בחר/ה בעצמו/ה",I171="כן",J171="לא"),"מלא",IF(OR(H171="בחר/ה בעצמו/ה",I171="כן"),"חלקי","עדיין לא"))))</f>
        <v/>
      </c>
      <c r="AH171" s="37">
        <f>IF($A171="","",IFERROR(COUNTIF(K171:L171,"כן")/(COUNTIF(K171:L171,"כן")+COUNTIF(K171:L171,"לא")),""))</f>
        <v/>
      </c>
      <c r="AI171" s="37">
        <f>IF($A171="","",IFERROR(COUNTIF(M171:N171,"כן")/(COUNTIF(M171:N171,"כן")+COUNTIF(M171:N171,"לא")),""))</f>
        <v/>
      </c>
      <c r="AJ171" s="37">
        <f>IF($A171="","",IFERROR(COUNTIF(O171:P171,"כן")/(COUNTIF(O171:P171,"כן")+COUNTIF(O171:P171,"לא")),""))</f>
        <v/>
      </c>
      <c r="AK171" s="37">
        <f>IF($A171="","",IFERROR(COUNTIF(Q171:R171,"כן")/(COUNTIF(Q171:R171,"כן")+COUNTIF(Q171:R171,"לא")),""))</f>
        <v/>
      </c>
      <c r="AL171" s="37">
        <f>IF($A171="","",IFERROR(COUNTIF(K171:R171,"כן")/(COUNTIF(K171:R171,"כן")+COUNTIF(K171:R171,"לא")),""))</f>
        <v/>
      </c>
      <c r="AM171" s="37">
        <f>IF($A171="","",IFERROR((COUNTIF(S171:Z171,"רוב הזמן")+0.5*COUNTIF(S171:Z171,"לפעמים"))/(COUNTIF(S171:Z171,"רוב הזמן")+COUNTIF(S171:Z171,"לפעמים")+COUNTIF(S171:Z171,"עדיין לא")),""))</f>
        <v/>
      </c>
      <c r="AN171" s="37">
        <f>IF($A171="","",IFERROR(1-SUMPRODUCT(ABS((K171:R171="כן")-((S171:Z171="רוב הזמן")+0.5*(S171:Z171="לפעמים")))*(((K171:R171="כן")+(K171:R171="לא"))*((S171:Z171="רוב הזמן")+(S171:Z171="לפעמים")+(S171:Z171="עדיין לא"))))/SUMPRODUCT((((K171:R171="כן")+(K171:R171="לא"))*((S171:Z171="רוב הזמן")+(S171:Z171="לפעמים")+(S171:Z171="עדיין לא")))),""))</f>
        <v/>
      </c>
      <c r="AO171" s="36">
        <f>IF($A171="","",SUMPRODUCT((((K171:R171="כן")-((S171:Z171="רוב הזמן")+0.5*(S171:Z171="לפעמים")))&gt;0.01)*(((K171:R171="כן")+(K171:R171="לא"))*((S171:Z171="רוב הזמן")+(S171:Z171="לפעמים")+(S171:Z171="עדיין לא")))))</f>
        <v/>
      </c>
      <c r="AP171" s="36">
        <f>IF($A171="","",SUMPRODUCT(((((S171:Z171="רוב הזמן")+0.5*(S171:Z171="לפעמים"))-(K171:R171="כן"))&gt;0.01)*(((K171:R171="כן")+(K171:R171="לא"))*((S171:Z171="רוב הזמן")+(S171:Z171="לפעמים")+(S171:Z171="עדיין לא")))))</f>
        <v/>
      </c>
      <c r="AQ171" s="36">
        <f>IF($A171="","",COUNTIF(AA171:AC171,"כן"))</f>
        <v/>
      </c>
      <c r="AR171" s="38" t="n"/>
      <c r="AS171" s="38" t="n"/>
      <c r="AT171" s="38" t="n"/>
      <c r="AU171" s="38" t="n"/>
      <c r="AV171" s="36">
        <f>IF($A171="","",IF(AND(AR171="",AT171=""),"לא נבדק",IF(AND(OR(AR171="",AR171=AS171),OR(AT171="",AT171=AU171)),"תואם","לא תואם")))</f>
        <v/>
      </c>
      <c r="AW171" s="36">
        <f>IF($A171="","",IF(AND(AV171&lt;&gt;"לא תואם",G171&lt;&gt;"לא ברור"),"אמין","לפרש בזהירות"))</f>
        <v/>
      </c>
    </row>
    <row r="172">
      <c r="A172" s="38" t="n"/>
      <c r="B172" s="38" t="n"/>
      <c r="C172" s="38" t="n"/>
      <c r="D172" s="38" t="n"/>
      <c r="E172" s="38" t="n"/>
      <c r="F172" s="38" t="n"/>
      <c r="G172" s="38" t="n"/>
      <c r="H172" s="38" t="n"/>
      <c r="I172" s="38" t="n"/>
      <c r="J172" s="38" t="n"/>
      <c r="K172" s="38" t="n"/>
      <c r="L172" s="38" t="n"/>
      <c r="M172" s="38" t="n"/>
      <c r="N172" s="38" t="n"/>
      <c r="O172" s="38" t="n"/>
      <c r="P172" s="38" t="n"/>
      <c r="Q172" s="38" t="n"/>
      <c r="R172" s="38" t="n"/>
      <c r="S172" s="38" t="n"/>
      <c r="T172" s="38" t="n"/>
      <c r="U172" s="38" t="n"/>
      <c r="V172" s="38" t="n"/>
      <c r="W172" s="38" t="n"/>
      <c r="X172" s="38" t="n"/>
      <c r="Y172" s="38" t="n"/>
      <c r="Z172" s="38" t="n"/>
      <c r="AA172" s="38" t="n"/>
      <c r="AB172" s="38" t="n"/>
      <c r="AC172" s="38" t="n"/>
      <c r="AD172" s="38" t="n"/>
      <c r="AE172" s="38" t="n"/>
      <c r="AF172" s="36">
        <f>IF($A172="","",$A172&amp;"|"&amp;$C172)</f>
        <v/>
      </c>
      <c r="AG172" s="36">
        <f>IF($A172="","",IF(OR(H172="לא נבדק",H172=""),"לא נבדק",IF(AND(H172="בחר/ה בעצמו/ה",I172="כן",J172="לא"),"מלא",IF(OR(H172="בחר/ה בעצמו/ה",I172="כן"),"חלקי","עדיין לא"))))</f>
        <v/>
      </c>
      <c r="AH172" s="37">
        <f>IF($A172="","",IFERROR(COUNTIF(K172:L172,"כן")/(COUNTIF(K172:L172,"כן")+COUNTIF(K172:L172,"לא")),""))</f>
        <v/>
      </c>
      <c r="AI172" s="37">
        <f>IF($A172="","",IFERROR(COUNTIF(M172:N172,"כן")/(COUNTIF(M172:N172,"כן")+COUNTIF(M172:N172,"לא")),""))</f>
        <v/>
      </c>
      <c r="AJ172" s="37">
        <f>IF($A172="","",IFERROR(COUNTIF(O172:P172,"כן")/(COUNTIF(O172:P172,"כן")+COUNTIF(O172:P172,"לא")),""))</f>
        <v/>
      </c>
      <c r="AK172" s="37">
        <f>IF($A172="","",IFERROR(COUNTIF(Q172:R172,"כן")/(COUNTIF(Q172:R172,"כן")+COUNTIF(Q172:R172,"לא")),""))</f>
        <v/>
      </c>
      <c r="AL172" s="37">
        <f>IF($A172="","",IFERROR(COUNTIF(K172:R172,"כן")/(COUNTIF(K172:R172,"כן")+COUNTIF(K172:R172,"לא")),""))</f>
        <v/>
      </c>
      <c r="AM172" s="37">
        <f>IF($A172="","",IFERROR((COUNTIF(S172:Z172,"רוב הזמן")+0.5*COUNTIF(S172:Z172,"לפעמים"))/(COUNTIF(S172:Z172,"רוב הזמן")+COUNTIF(S172:Z172,"לפעמים")+COUNTIF(S172:Z172,"עדיין לא")),""))</f>
        <v/>
      </c>
      <c r="AN172" s="37">
        <f>IF($A172="","",IFERROR(1-SUMPRODUCT(ABS((K172:R172="כן")-((S172:Z172="רוב הזמן")+0.5*(S172:Z172="לפעמים")))*(((K172:R172="כן")+(K172:R172="לא"))*((S172:Z172="רוב הזמן")+(S172:Z172="לפעמים")+(S172:Z172="עדיין לא"))))/SUMPRODUCT((((K172:R172="כן")+(K172:R172="לא"))*((S172:Z172="רוב הזמן")+(S172:Z172="לפעמים")+(S172:Z172="עדיין לא")))),""))</f>
        <v/>
      </c>
      <c r="AO172" s="36">
        <f>IF($A172="","",SUMPRODUCT((((K172:R172="כן")-((S172:Z172="רוב הזמן")+0.5*(S172:Z172="לפעמים")))&gt;0.01)*(((K172:R172="כן")+(K172:R172="לא"))*((S172:Z172="רוב הזמן")+(S172:Z172="לפעמים")+(S172:Z172="עדיין לא")))))</f>
        <v/>
      </c>
      <c r="AP172" s="36">
        <f>IF($A172="","",SUMPRODUCT(((((S172:Z172="רוב הזמן")+0.5*(S172:Z172="לפעמים"))-(K172:R172="כן"))&gt;0.01)*(((K172:R172="כן")+(K172:R172="לא"))*((S172:Z172="רוב הזמן")+(S172:Z172="לפעמים")+(S172:Z172="עדיין לא")))))</f>
        <v/>
      </c>
      <c r="AQ172" s="36">
        <f>IF($A172="","",COUNTIF(AA172:AC172,"כן"))</f>
        <v/>
      </c>
      <c r="AR172" s="38" t="n"/>
      <c r="AS172" s="38" t="n"/>
      <c r="AT172" s="38" t="n"/>
      <c r="AU172" s="38" t="n"/>
      <c r="AV172" s="36">
        <f>IF($A172="","",IF(AND(AR172="",AT172=""),"לא נבדק",IF(AND(OR(AR172="",AR172=AS172),OR(AT172="",AT172=AU172)),"תואם","לא תואם")))</f>
        <v/>
      </c>
      <c r="AW172" s="36">
        <f>IF($A172="","",IF(AND(AV172&lt;&gt;"לא תואם",G172&lt;&gt;"לא ברור"),"אמין","לפרש בזהירות"))</f>
        <v/>
      </c>
    </row>
    <row r="173">
      <c r="A173" s="38" t="n"/>
      <c r="B173" s="38" t="n"/>
      <c r="C173" s="38" t="n"/>
      <c r="D173" s="38" t="n"/>
      <c r="E173" s="38" t="n"/>
      <c r="F173" s="38" t="n"/>
      <c r="G173" s="38" t="n"/>
      <c r="H173" s="38" t="n"/>
      <c r="I173" s="38" t="n"/>
      <c r="J173" s="38" t="n"/>
      <c r="K173" s="38" t="n"/>
      <c r="L173" s="38" t="n"/>
      <c r="M173" s="38" t="n"/>
      <c r="N173" s="38" t="n"/>
      <c r="O173" s="38" t="n"/>
      <c r="P173" s="38" t="n"/>
      <c r="Q173" s="38" t="n"/>
      <c r="R173" s="38" t="n"/>
      <c r="S173" s="38" t="n"/>
      <c r="T173" s="38" t="n"/>
      <c r="U173" s="38" t="n"/>
      <c r="V173" s="38" t="n"/>
      <c r="W173" s="38" t="n"/>
      <c r="X173" s="38" t="n"/>
      <c r="Y173" s="38" t="n"/>
      <c r="Z173" s="38" t="n"/>
      <c r="AA173" s="38" t="n"/>
      <c r="AB173" s="38" t="n"/>
      <c r="AC173" s="38" t="n"/>
      <c r="AD173" s="38" t="n"/>
      <c r="AE173" s="38" t="n"/>
      <c r="AF173" s="36">
        <f>IF($A173="","",$A173&amp;"|"&amp;$C173)</f>
        <v/>
      </c>
      <c r="AG173" s="36">
        <f>IF($A173="","",IF(OR(H173="לא נבדק",H173=""),"לא נבדק",IF(AND(H173="בחר/ה בעצמו/ה",I173="כן",J173="לא"),"מלא",IF(OR(H173="בחר/ה בעצמו/ה",I173="כן"),"חלקי","עדיין לא"))))</f>
        <v/>
      </c>
      <c r="AH173" s="37">
        <f>IF($A173="","",IFERROR(COUNTIF(K173:L173,"כן")/(COUNTIF(K173:L173,"כן")+COUNTIF(K173:L173,"לא")),""))</f>
        <v/>
      </c>
      <c r="AI173" s="37">
        <f>IF($A173="","",IFERROR(COUNTIF(M173:N173,"כן")/(COUNTIF(M173:N173,"כן")+COUNTIF(M173:N173,"לא")),""))</f>
        <v/>
      </c>
      <c r="AJ173" s="37">
        <f>IF($A173="","",IFERROR(COUNTIF(O173:P173,"כן")/(COUNTIF(O173:P173,"כן")+COUNTIF(O173:P173,"לא")),""))</f>
        <v/>
      </c>
      <c r="AK173" s="37">
        <f>IF($A173="","",IFERROR(COUNTIF(Q173:R173,"כן")/(COUNTIF(Q173:R173,"כן")+COUNTIF(Q173:R173,"לא")),""))</f>
        <v/>
      </c>
      <c r="AL173" s="37">
        <f>IF($A173="","",IFERROR(COUNTIF(K173:R173,"כן")/(COUNTIF(K173:R173,"כן")+COUNTIF(K173:R173,"לא")),""))</f>
        <v/>
      </c>
      <c r="AM173" s="37">
        <f>IF($A173="","",IFERROR((COUNTIF(S173:Z173,"רוב הזמן")+0.5*COUNTIF(S173:Z173,"לפעמים"))/(COUNTIF(S173:Z173,"רוב הזמן")+COUNTIF(S173:Z173,"לפעמים")+COUNTIF(S173:Z173,"עדיין לא")),""))</f>
        <v/>
      </c>
      <c r="AN173" s="37">
        <f>IF($A173="","",IFERROR(1-SUMPRODUCT(ABS((K173:R173="כן")-((S173:Z173="רוב הזמן")+0.5*(S173:Z173="לפעמים")))*(((K173:R173="כן")+(K173:R173="לא"))*((S173:Z173="רוב הזמן")+(S173:Z173="לפעמים")+(S173:Z173="עדיין לא"))))/SUMPRODUCT((((K173:R173="כן")+(K173:R173="לא"))*((S173:Z173="רוב הזמן")+(S173:Z173="לפעמים")+(S173:Z173="עדיין לא")))),""))</f>
        <v/>
      </c>
      <c r="AO173" s="36">
        <f>IF($A173="","",SUMPRODUCT((((K173:R173="כן")-((S173:Z173="רוב הזמן")+0.5*(S173:Z173="לפעמים")))&gt;0.01)*(((K173:R173="כן")+(K173:R173="לא"))*((S173:Z173="רוב הזמן")+(S173:Z173="לפעמים")+(S173:Z173="עדיין לא")))))</f>
        <v/>
      </c>
      <c r="AP173" s="36">
        <f>IF($A173="","",SUMPRODUCT(((((S173:Z173="רוב הזמן")+0.5*(S173:Z173="לפעמים"))-(K173:R173="כן"))&gt;0.01)*(((K173:R173="כן")+(K173:R173="לא"))*((S173:Z173="רוב הזמן")+(S173:Z173="לפעמים")+(S173:Z173="עדיין לא")))))</f>
        <v/>
      </c>
      <c r="AQ173" s="36">
        <f>IF($A173="","",COUNTIF(AA173:AC173,"כן"))</f>
        <v/>
      </c>
      <c r="AR173" s="38" t="n"/>
      <c r="AS173" s="38" t="n"/>
      <c r="AT173" s="38" t="n"/>
      <c r="AU173" s="38" t="n"/>
      <c r="AV173" s="36">
        <f>IF($A173="","",IF(AND(AR173="",AT173=""),"לא נבדק",IF(AND(OR(AR173="",AR173=AS173),OR(AT173="",AT173=AU173)),"תואם","לא תואם")))</f>
        <v/>
      </c>
      <c r="AW173" s="36">
        <f>IF($A173="","",IF(AND(AV173&lt;&gt;"לא תואם",G173&lt;&gt;"לא ברור"),"אמין","לפרש בזהירות"))</f>
        <v/>
      </c>
    </row>
    <row r="174">
      <c r="A174" s="38" t="n"/>
      <c r="B174" s="38" t="n"/>
      <c r="C174" s="38" t="n"/>
      <c r="D174" s="38" t="n"/>
      <c r="E174" s="38" t="n"/>
      <c r="F174" s="38" t="n"/>
      <c r="G174" s="38" t="n"/>
      <c r="H174" s="38" t="n"/>
      <c r="I174" s="38" t="n"/>
      <c r="J174" s="38" t="n"/>
      <c r="K174" s="38" t="n"/>
      <c r="L174" s="38" t="n"/>
      <c r="M174" s="38" t="n"/>
      <c r="N174" s="38" t="n"/>
      <c r="O174" s="38" t="n"/>
      <c r="P174" s="38" t="n"/>
      <c r="Q174" s="38" t="n"/>
      <c r="R174" s="38" t="n"/>
      <c r="S174" s="38" t="n"/>
      <c r="T174" s="38" t="n"/>
      <c r="U174" s="38" t="n"/>
      <c r="V174" s="38" t="n"/>
      <c r="W174" s="38" t="n"/>
      <c r="X174" s="38" t="n"/>
      <c r="Y174" s="38" t="n"/>
      <c r="Z174" s="38" t="n"/>
      <c r="AA174" s="38" t="n"/>
      <c r="AB174" s="38" t="n"/>
      <c r="AC174" s="38" t="n"/>
      <c r="AD174" s="38" t="n"/>
      <c r="AE174" s="38" t="n"/>
      <c r="AF174" s="36">
        <f>IF($A174="","",$A174&amp;"|"&amp;$C174)</f>
        <v/>
      </c>
      <c r="AG174" s="36">
        <f>IF($A174="","",IF(OR(H174="לא נבדק",H174=""),"לא נבדק",IF(AND(H174="בחר/ה בעצמו/ה",I174="כן",J174="לא"),"מלא",IF(OR(H174="בחר/ה בעצמו/ה",I174="כן"),"חלקי","עדיין לא"))))</f>
        <v/>
      </c>
      <c r="AH174" s="37">
        <f>IF($A174="","",IFERROR(COUNTIF(K174:L174,"כן")/(COUNTIF(K174:L174,"כן")+COUNTIF(K174:L174,"לא")),""))</f>
        <v/>
      </c>
      <c r="AI174" s="37">
        <f>IF($A174="","",IFERROR(COUNTIF(M174:N174,"כן")/(COUNTIF(M174:N174,"כן")+COUNTIF(M174:N174,"לא")),""))</f>
        <v/>
      </c>
      <c r="AJ174" s="37">
        <f>IF($A174="","",IFERROR(COUNTIF(O174:P174,"כן")/(COUNTIF(O174:P174,"כן")+COUNTIF(O174:P174,"לא")),""))</f>
        <v/>
      </c>
      <c r="AK174" s="37">
        <f>IF($A174="","",IFERROR(COUNTIF(Q174:R174,"כן")/(COUNTIF(Q174:R174,"כן")+COUNTIF(Q174:R174,"לא")),""))</f>
        <v/>
      </c>
      <c r="AL174" s="37">
        <f>IF($A174="","",IFERROR(COUNTIF(K174:R174,"כן")/(COUNTIF(K174:R174,"כן")+COUNTIF(K174:R174,"לא")),""))</f>
        <v/>
      </c>
      <c r="AM174" s="37">
        <f>IF($A174="","",IFERROR((COUNTIF(S174:Z174,"רוב הזמן")+0.5*COUNTIF(S174:Z174,"לפעמים"))/(COUNTIF(S174:Z174,"רוב הזמן")+COUNTIF(S174:Z174,"לפעמים")+COUNTIF(S174:Z174,"עדיין לא")),""))</f>
        <v/>
      </c>
      <c r="AN174" s="37">
        <f>IF($A174="","",IFERROR(1-SUMPRODUCT(ABS((K174:R174="כן")-((S174:Z174="רוב הזמן")+0.5*(S174:Z174="לפעמים")))*(((K174:R174="כן")+(K174:R174="לא"))*((S174:Z174="רוב הזמן")+(S174:Z174="לפעמים")+(S174:Z174="עדיין לא"))))/SUMPRODUCT((((K174:R174="כן")+(K174:R174="לא"))*((S174:Z174="רוב הזמן")+(S174:Z174="לפעמים")+(S174:Z174="עדיין לא")))),""))</f>
        <v/>
      </c>
      <c r="AO174" s="36">
        <f>IF($A174="","",SUMPRODUCT((((K174:R174="כן")-((S174:Z174="רוב הזמן")+0.5*(S174:Z174="לפעמים")))&gt;0.01)*(((K174:R174="כן")+(K174:R174="לא"))*((S174:Z174="רוב הזמן")+(S174:Z174="לפעמים")+(S174:Z174="עדיין לא")))))</f>
        <v/>
      </c>
      <c r="AP174" s="36">
        <f>IF($A174="","",SUMPRODUCT(((((S174:Z174="רוב הזמן")+0.5*(S174:Z174="לפעמים"))-(K174:R174="כן"))&gt;0.01)*(((K174:R174="כן")+(K174:R174="לא"))*((S174:Z174="רוב הזמן")+(S174:Z174="לפעמים")+(S174:Z174="עדיין לא")))))</f>
        <v/>
      </c>
      <c r="AQ174" s="36">
        <f>IF($A174="","",COUNTIF(AA174:AC174,"כן"))</f>
        <v/>
      </c>
      <c r="AR174" s="38" t="n"/>
      <c r="AS174" s="38" t="n"/>
      <c r="AT174" s="38" t="n"/>
      <c r="AU174" s="38" t="n"/>
      <c r="AV174" s="36">
        <f>IF($A174="","",IF(AND(AR174="",AT174=""),"לא נבדק",IF(AND(OR(AR174="",AR174=AS174),OR(AT174="",AT174=AU174)),"תואם","לא תואם")))</f>
        <v/>
      </c>
      <c r="AW174" s="36">
        <f>IF($A174="","",IF(AND(AV174&lt;&gt;"לא תואם",G174&lt;&gt;"לא ברור"),"אמין","לפרש בזהירות"))</f>
        <v/>
      </c>
    </row>
    <row r="175">
      <c r="A175" s="38" t="n"/>
      <c r="B175" s="38" t="n"/>
      <c r="C175" s="38" t="n"/>
      <c r="D175" s="38" t="n"/>
      <c r="E175" s="38" t="n"/>
      <c r="F175" s="38" t="n"/>
      <c r="G175" s="38" t="n"/>
      <c r="H175" s="38" t="n"/>
      <c r="I175" s="38" t="n"/>
      <c r="J175" s="38" t="n"/>
      <c r="K175" s="38" t="n"/>
      <c r="L175" s="38" t="n"/>
      <c r="M175" s="38" t="n"/>
      <c r="N175" s="38" t="n"/>
      <c r="O175" s="38" t="n"/>
      <c r="P175" s="38" t="n"/>
      <c r="Q175" s="38" t="n"/>
      <c r="R175" s="38" t="n"/>
      <c r="S175" s="38" t="n"/>
      <c r="T175" s="38" t="n"/>
      <c r="U175" s="38" t="n"/>
      <c r="V175" s="38" t="n"/>
      <c r="W175" s="38" t="n"/>
      <c r="X175" s="38" t="n"/>
      <c r="Y175" s="38" t="n"/>
      <c r="Z175" s="38" t="n"/>
      <c r="AA175" s="38" t="n"/>
      <c r="AB175" s="38" t="n"/>
      <c r="AC175" s="38" t="n"/>
      <c r="AD175" s="38" t="n"/>
      <c r="AE175" s="38" t="n"/>
      <c r="AF175" s="36">
        <f>IF($A175="","",$A175&amp;"|"&amp;$C175)</f>
        <v/>
      </c>
      <c r="AG175" s="36">
        <f>IF($A175="","",IF(OR(H175="לא נבדק",H175=""),"לא נבדק",IF(AND(H175="בחר/ה בעצמו/ה",I175="כן",J175="לא"),"מלא",IF(OR(H175="בחר/ה בעצמו/ה",I175="כן"),"חלקי","עדיין לא"))))</f>
        <v/>
      </c>
      <c r="AH175" s="37">
        <f>IF($A175="","",IFERROR(COUNTIF(K175:L175,"כן")/(COUNTIF(K175:L175,"כן")+COUNTIF(K175:L175,"לא")),""))</f>
        <v/>
      </c>
      <c r="AI175" s="37">
        <f>IF($A175="","",IFERROR(COUNTIF(M175:N175,"כן")/(COUNTIF(M175:N175,"כן")+COUNTIF(M175:N175,"לא")),""))</f>
        <v/>
      </c>
      <c r="AJ175" s="37">
        <f>IF($A175="","",IFERROR(COUNTIF(O175:P175,"כן")/(COUNTIF(O175:P175,"כן")+COUNTIF(O175:P175,"לא")),""))</f>
        <v/>
      </c>
      <c r="AK175" s="37">
        <f>IF($A175="","",IFERROR(COUNTIF(Q175:R175,"כן")/(COUNTIF(Q175:R175,"כן")+COUNTIF(Q175:R175,"לא")),""))</f>
        <v/>
      </c>
      <c r="AL175" s="37">
        <f>IF($A175="","",IFERROR(COUNTIF(K175:R175,"כן")/(COUNTIF(K175:R175,"כן")+COUNTIF(K175:R175,"לא")),""))</f>
        <v/>
      </c>
      <c r="AM175" s="37">
        <f>IF($A175="","",IFERROR((COUNTIF(S175:Z175,"רוב הזמן")+0.5*COUNTIF(S175:Z175,"לפעמים"))/(COUNTIF(S175:Z175,"רוב הזמן")+COUNTIF(S175:Z175,"לפעמים")+COUNTIF(S175:Z175,"עדיין לא")),""))</f>
        <v/>
      </c>
      <c r="AN175" s="37">
        <f>IF($A175="","",IFERROR(1-SUMPRODUCT(ABS((K175:R175="כן")-((S175:Z175="רוב הזמן")+0.5*(S175:Z175="לפעמים")))*(((K175:R175="כן")+(K175:R175="לא"))*((S175:Z175="רוב הזמן")+(S175:Z175="לפעמים")+(S175:Z175="עדיין לא"))))/SUMPRODUCT((((K175:R175="כן")+(K175:R175="לא"))*((S175:Z175="רוב הזמן")+(S175:Z175="לפעמים")+(S175:Z175="עדיין לא")))),""))</f>
        <v/>
      </c>
      <c r="AO175" s="36">
        <f>IF($A175="","",SUMPRODUCT((((K175:R175="כן")-((S175:Z175="רוב הזמן")+0.5*(S175:Z175="לפעמים")))&gt;0.01)*(((K175:R175="כן")+(K175:R175="לא"))*((S175:Z175="רוב הזמן")+(S175:Z175="לפעמים")+(S175:Z175="עדיין לא")))))</f>
        <v/>
      </c>
      <c r="AP175" s="36">
        <f>IF($A175="","",SUMPRODUCT(((((S175:Z175="רוב הזמן")+0.5*(S175:Z175="לפעמים"))-(K175:R175="כן"))&gt;0.01)*(((K175:R175="כן")+(K175:R175="לא"))*((S175:Z175="רוב הזמן")+(S175:Z175="לפעמים")+(S175:Z175="עדיין לא")))))</f>
        <v/>
      </c>
      <c r="AQ175" s="36">
        <f>IF($A175="","",COUNTIF(AA175:AC175,"כן"))</f>
        <v/>
      </c>
      <c r="AR175" s="38" t="n"/>
      <c r="AS175" s="38" t="n"/>
      <c r="AT175" s="38" t="n"/>
      <c r="AU175" s="38" t="n"/>
      <c r="AV175" s="36">
        <f>IF($A175="","",IF(AND(AR175="",AT175=""),"לא נבדק",IF(AND(OR(AR175="",AR175=AS175),OR(AT175="",AT175=AU175)),"תואם","לא תואם")))</f>
        <v/>
      </c>
      <c r="AW175" s="36">
        <f>IF($A175="","",IF(AND(AV175&lt;&gt;"לא תואם",G175&lt;&gt;"לא ברור"),"אמין","לפרש בזהירות"))</f>
        <v/>
      </c>
    </row>
    <row r="176">
      <c r="A176" s="38" t="n"/>
      <c r="B176" s="38" t="n"/>
      <c r="C176" s="38" t="n"/>
      <c r="D176" s="38" t="n"/>
      <c r="E176" s="38" t="n"/>
      <c r="F176" s="38" t="n"/>
      <c r="G176" s="38" t="n"/>
      <c r="H176" s="38" t="n"/>
      <c r="I176" s="38" t="n"/>
      <c r="J176" s="38" t="n"/>
      <c r="K176" s="38" t="n"/>
      <c r="L176" s="38" t="n"/>
      <c r="M176" s="38" t="n"/>
      <c r="N176" s="38" t="n"/>
      <c r="O176" s="38" t="n"/>
      <c r="P176" s="38" t="n"/>
      <c r="Q176" s="38" t="n"/>
      <c r="R176" s="38" t="n"/>
      <c r="S176" s="38" t="n"/>
      <c r="T176" s="38" t="n"/>
      <c r="U176" s="38" t="n"/>
      <c r="V176" s="38" t="n"/>
      <c r="W176" s="38" t="n"/>
      <c r="X176" s="38" t="n"/>
      <c r="Y176" s="38" t="n"/>
      <c r="Z176" s="38" t="n"/>
      <c r="AA176" s="38" t="n"/>
      <c r="AB176" s="38" t="n"/>
      <c r="AC176" s="38" t="n"/>
      <c r="AD176" s="38" t="n"/>
      <c r="AE176" s="38" t="n"/>
      <c r="AF176" s="36">
        <f>IF($A176="","",$A176&amp;"|"&amp;$C176)</f>
        <v/>
      </c>
      <c r="AG176" s="36">
        <f>IF($A176="","",IF(OR(H176="לא נבדק",H176=""),"לא נבדק",IF(AND(H176="בחר/ה בעצמו/ה",I176="כן",J176="לא"),"מלא",IF(OR(H176="בחר/ה בעצמו/ה",I176="כן"),"חלקי","עדיין לא"))))</f>
        <v/>
      </c>
      <c r="AH176" s="37">
        <f>IF($A176="","",IFERROR(COUNTIF(K176:L176,"כן")/(COUNTIF(K176:L176,"כן")+COUNTIF(K176:L176,"לא")),""))</f>
        <v/>
      </c>
      <c r="AI176" s="37">
        <f>IF($A176="","",IFERROR(COUNTIF(M176:N176,"כן")/(COUNTIF(M176:N176,"כן")+COUNTIF(M176:N176,"לא")),""))</f>
        <v/>
      </c>
      <c r="AJ176" s="37">
        <f>IF($A176="","",IFERROR(COUNTIF(O176:P176,"כן")/(COUNTIF(O176:P176,"כן")+COUNTIF(O176:P176,"לא")),""))</f>
        <v/>
      </c>
      <c r="AK176" s="37">
        <f>IF($A176="","",IFERROR(COUNTIF(Q176:R176,"כן")/(COUNTIF(Q176:R176,"כן")+COUNTIF(Q176:R176,"לא")),""))</f>
        <v/>
      </c>
      <c r="AL176" s="37">
        <f>IF($A176="","",IFERROR(COUNTIF(K176:R176,"כן")/(COUNTIF(K176:R176,"כן")+COUNTIF(K176:R176,"לא")),""))</f>
        <v/>
      </c>
      <c r="AM176" s="37">
        <f>IF($A176="","",IFERROR((COUNTIF(S176:Z176,"רוב הזמן")+0.5*COUNTIF(S176:Z176,"לפעמים"))/(COUNTIF(S176:Z176,"רוב הזמן")+COUNTIF(S176:Z176,"לפעמים")+COUNTIF(S176:Z176,"עדיין לא")),""))</f>
        <v/>
      </c>
      <c r="AN176" s="37">
        <f>IF($A176="","",IFERROR(1-SUMPRODUCT(ABS((K176:R176="כן")-((S176:Z176="רוב הזמן")+0.5*(S176:Z176="לפעמים")))*(((K176:R176="כן")+(K176:R176="לא"))*((S176:Z176="רוב הזמן")+(S176:Z176="לפעמים")+(S176:Z176="עדיין לא"))))/SUMPRODUCT((((K176:R176="כן")+(K176:R176="לא"))*((S176:Z176="רוב הזמן")+(S176:Z176="לפעמים")+(S176:Z176="עדיין לא")))),""))</f>
        <v/>
      </c>
      <c r="AO176" s="36">
        <f>IF($A176="","",SUMPRODUCT((((K176:R176="כן")-((S176:Z176="רוב הזמן")+0.5*(S176:Z176="לפעמים")))&gt;0.01)*(((K176:R176="כן")+(K176:R176="לא"))*((S176:Z176="רוב הזמן")+(S176:Z176="לפעמים")+(S176:Z176="עדיין לא")))))</f>
        <v/>
      </c>
      <c r="AP176" s="36">
        <f>IF($A176="","",SUMPRODUCT(((((S176:Z176="רוב הזמן")+0.5*(S176:Z176="לפעמים"))-(K176:R176="כן"))&gt;0.01)*(((K176:R176="כן")+(K176:R176="לא"))*((S176:Z176="רוב הזמן")+(S176:Z176="לפעמים")+(S176:Z176="עדיין לא")))))</f>
        <v/>
      </c>
      <c r="AQ176" s="36">
        <f>IF($A176="","",COUNTIF(AA176:AC176,"כן"))</f>
        <v/>
      </c>
      <c r="AR176" s="38" t="n"/>
      <c r="AS176" s="38" t="n"/>
      <c r="AT176" s="38" t="n"/>
      <c r="AU176" s="38" t="n"/>
      <c r="AV176" s="36">
        <f>IF($A176="","",IF(AND(AR176="",AT176=""),"לא נבדק",IF(AND(OR(AR176="",AR176=AS176),OR(AT176="",AT176=AU176)),"תואם","לא תואם")))</f>
        <v/>
      </c>
      <c r="AW176" s="36">
        <f>IF($A176="","",IF(AND(AV176&lt;&gt;"לא תואם",G176&lt;&gt;"לא ברור"),"אמין","לפרש בזהירות"))</f>
        <v/>
      </c>
    </row>
    <row r="177">
      <c r="A177" s="38" t="n"/>
      <c r="B177" s="38" t="n"/>
      <c r="C177" s="38" t="n"/>
      <c r="D177" s="38" t="n"/>
      <c r="E177" s="38" t="n"/>
      <c r="F177" s="38" t="n"/>
      <c r="G177" s="38" t="n"/>
      <c r="H177" s="38" t="n"/>
      <c r="I177" s="38" t="n"/>
      <c r="J177" s="38" t="n"/>
      <c r="K177" s="38" t="n"/>
      <c r="L177" s="38" t="n"/>
      <c r="M177" s="38" t="n"/>
      <c r="N177" s="38" t="n"/>
      <c r="O177" s="38" t="n"/>
      <c r="P177" s="38" t="n"/>
      <c r="Q177" s="38" t="n"/>
      <c r="R177" s="38" t="n"/>
      <c r="S177" s="38" t="n"/>
      <c r="T177" s="38" t="n"/>
      <c r="U177" s="38" t="n"/>
      <c r="V177" s="38" t="n"/>
      <c r="W177" s="38" t="n"/>
      <c r="X177" s="38" t="n"/>
      <c r="Y177" s="38" t="n"/>
      <c r="Z177" s="38" t="n"/>
      <c r="AA177" s="38" t="n"/>
      <c r="AB177" s="38" t="n"/>
      <c r="AC177" s="38" t="n"/>
      <c r="AD177" s="38" t="n"/>
      <c r="AE177" s="38" t="n"/>
      <c r="AF177" s="36">
        <f>IF($A177="","",$A177&amp;"|"&amp;$C177)</f>
        <v/>
      </c>
      <c r="AG177" s="36">
        <f>IF($A177="","",IF(OR(H177="לא נבדק",H177=""),"לא נבדק",IF(AND(H177="בחר/ה בעצמו/ה",I177="כן",J177="לא"),"מלא",IF(OR(H177="בחר/ה בעצמו/ה",I177="כן"),"חלקי","עדיין לא"))))</f>
        <v/>
      </c>
      <c r="AH177" s="37">
        <f>IF($A177="","",IFERROR(COUNTIF(K177:L177,"כן")/(COUNTIF(K177:L177,"כן")+COUNTIF(K177:L177,"לא")),""))</f>
        <v/>
      </c>
      <c r="AI177" s="37">
        <f>IF($A177="","",IFERROR(COUNTIF(M177:N177,"כן")/(COUNTIF(M177:N177,"כן")+COUNTIF(M177:N177,"לא")),""))</f>
        <v/>
      </c>
      <c r="AJ177" s="37">
        <f>IF($A177="","",IFERROR(COUNTIF(O177:P177,"כן")/(COUNTIF(O177:P177,"כן")+COUNTIF(O177:P177,"לא")),""))</f>
        <v/>
      </c>
      <c r="AK177" s="37">
        <f>IF($A177="","",IFERROR(COUNTIF(Q177:R177,"כן")/(COUNTIF(Q177:R177,"כן")+COUNTIF(Q177:R177,"לא")),""))</f>
        <v/>
      </c>
      <c r="AL177" s="37">
        <f>IF($A177="","",IFERROR(COUNTIF(K177:R177,"כן")/(COUNTIF(K177:R177,"כן")+COUNTIF(K177:R177,"לא")),""))</f>
        <v/>
      </c>
      <c r="AM177" s="37">
        <f>IF($A177="","",IFERROR((COUNTIF(S177:Z177,"רוב הזמן")+0.5*COUNTIF(S177:Z177,"לפעמים"))/(COUNTIF(S177:Z177,"רוב הזמן")+COUNTIF(S177:Z177,"לפעמים")+COUNTIF(S177:Z177,"עדיין לא")),""))</f>
        <v/>
      </c>
      <c r="AN177" s="37">
        <f>IF($A177="","",IFERROR(1-SUMPRODUCT(ABS((K177:R177="כן")-((S177:Z177="רוב הזמן")+0.5*(S177:Z177="לפעמים")))*(((K177:R177="כן")+(K177:R177="לא"))*((S177:Z177="רוב הזמן")+(S177:Z177="לפעמים")+(S177:Z177="עדיין לא"))))/SUMPRODUCT((((K177:R177="כן")+(K177:R177="לא"))*((S177:Z177="רוב הזמן")+(S177:Z177="לפעמים")+(S177:Z177="עדיין לא")))),""))</f>
        <v/>
      </c>
      <c r="AO177" s="36">
        <f>IF($A177="","",SUMPRODUCT((((K177:R177="כן")-((S177:Z177="רוב הזמן")+0.5*(S177:Z177="לפעמים")))&gt;0.01)*(((K177:R177="כן")+(K177:R177="לא"))*((S177:Z177="רוב הזמן")+(S177:Z177="לפעמים")+(S177:Z177="עדיין לא")))))</f>
        <v/>
      </c>
      <c r="AP177" s="36">
        <f>IF($A177="","",SUMPRODUCT(((((S177:Z177="רוב הזמן")+0.5*(S177:Z177="לפעמים"))-(K177:R177="כן"))&gt;0.01)*(((K177:R177="כן")+(K177:R177="לא"))*((S177:Z177="רוב הזמן")+(S177:Z177="לפעמים")+(S177:Z177="עדיין לא")))))</f>
        <v/>
      </c>
      <c r="AQ177" s="36">
        <f>IF($A177="","",COUNTIF(AA177:AC177,"כן"))</f>
        <v/>
      </c>
      <c r="AR177" s="38" t="n"/>
      <c r="AS177" s="38" t="n"/>
      <c r="AT177" s="38" t="n"/>
      <c r="AU177" s="38" t="n"/>
      <c r="AV177" s="36">
        <f>IF($A177="","",IF(AND(AR177="",AT177=""),"לא נבדק",IF(AND(OR(AR177="",AR177=AS177),OR(AT177="",AT177=AU177)),"תואם","לא תואם")))</f>
        <v/>
      </c>
      <c r="AW177" s="36">
        <f>IF($A177="","",IF(AND(AV177&lt;&gt;"לא תואם",G177&lt;&gt;"לא ברור"),"אמין","לפרש בזהירות"))</f>
        <v/>
      </c>
    </row>
    <row r="178">
      <c r="A178" s="38" t="n"/>
      <c r="B178" s="38" t="n"/>
      <c r="C178" s="38" t="n"/>
      <c r="D178" s="38" t="n"/>
      <c r="E178" s="38" t="n"/>
      <c r="F178" s="38" t="n"/>
      <c r="G178" s="38" t="n"/>
      <c r="H178" s="38" t="n"/>
      <c r="I178" s="38" t="n"/>
      <c r="J178" s="38" t="n"/>
      <c r="K178" s="38" t="n"/>
      <c r="L178" s="38" t="n"/>
      <c r="M178" s="38" t="n"/>
      <c r="N178" s="38" t="n"/>
      <c r="O178" s="38" t="n"/>
      <c r="P178" s="38" t="n"/>
      <c r="Q178" s="38" t="n"/>
      <c r="R178" s="38" t="n"/>
      <c r="S178" s="38" t="n"/>
      <c r="T178" s="38" t="n"/>
      <c r="U178" s="38" t="n"/>
      <c r="V178" s="38" t="n"/>
      <c r="W178" s="38" t="n"/>
      <c r="X178" s="38" t="n"/>
      <c r="Y178" s="38" t="n"/>
      <c r="Z178" s="38" t="n"/>
      <c r="AA178" s="38" t="n"/>
      <c r="AB178" s="38" t="n"/>
      <c r="AC178" s="38" t="n"/>
      <c r="AD178" s="38" t="n"/>
      <c r="AE178" s="38" t="n"/>
      <c r="AF178" s="36">
        <f>IF($A178="","",$A178&amp;"|"&amp;$C178)</f>
        <v/>
      </c>
      <c r="AG178" s="36">
        <f>IF($A178="","",IF(OR(H178="לא נבדק",H178=""),"לא נבדק",IF(AND(H178="בחר/ה בעצמו/ה",I178="כן",J178="לא"),"מלא",IF(OR(H178="בחר/ה בעצמו/ה",I178="כן"),"חלקי","עדיין לא"))))</f>
        <v/>
      </c>
      <c r="AH178" s="37">
        <f>IF($A178="","",IFERROR(COUNTIF(K178:L178,"כן")/(COUNTIF(K178:L178,"כן")+COUNTIF(K178:L178,"לא")),""))</f>
        <v/>
      </c>
      <c r="AI178" s="37">
        <f>IF($A178="","",IFERROR(COUNTIF(M178:N178,"כן")/(COUNTIF(M178:N178,"כן")+COUNTIF(M178:N178,"לא")),""))</f>
        <v/>
      </c>
      <c r="AJ178" s="37">
        <f>IF($A178="","",IFERROR(COUNTIF(O178:P178,"כן")/(COUNTIF(O178:P178,"כן")+COUNTIF(O178:P178,"לא")),""))</f>
        <v/>
      </c>
      <c r="AK178" s="37">
        <f>IF($A178="","",IFERROR(COUNTIF(Q178:R178,"כן")/(COUNTIF(Q178:R178,"כן")+COUNTIF(Q178:R178,"לא")),""))</f>
        <v/>
      </c>
      <c r="AL178" s="37">
        <f>IF($A178="","",IFERROR(COUNTIF(K178:R178,"כן")/(COUNTIF(K178:R178,"כן")+COUNTIF(K178:R178,"לא")),""))</f>
        <v/>
      </c>
      <c r="AM178" s="37">
        <f>IF($A178="","",IFERROR((COUNTIF(S178:Z178,"רוב הזמן")+0.5*COUNTIF(S178:Z178,"לפעמים"))/(COUNTIF(S178:Z178,"רוב הזמן")+COUNTIF(S178:Z178,"לפעמים")+COUNTIF(S178:Z178,"עדיין לא")),""))</f>
        <v/>
      </c>
      <c r="AN178" s="37">
        <f>IF($A178="","",IFERROR(1-SUMPRODUCT(ABS((K178:R178="כן")-((S178:Z178="רוב הזמן")+0.5*(S178:Z178="לפעמים")))*(((K178:R178="כן")+(K178:R178="לא"))*((S178:Z178="רוב הזמן")+(S178:Z178="לפעמים")+(S178:Z178="עדיין לא"))))/SUMPRODUCT((((K178:R178="כן")+(K178:R178="לא"))*((S178:Z178="רוב הזמן")+(S178:Z178="לפעמים")+(S178:Z178="עדיין לא")))),""))</f>
        <v/>
      </c>
      <c r="AO178" s="36">
        <f>IF($A178="","",SUMPRODUCT((((K178:R178="כן")-((S178:Z178="רוב הזמן")+0.5*(S178:Z178="לפעמים")))&gt;0.01)*(((K178:R178="כן")+(K178:R178="לא"))*((S178:Z178="רוב הזמן")+(S178:Z178="לפעמים")+(S178:Z178="עדיין לא")))))</f>
        <v/>
      </c>
      <c r="AP178" s="36">
        <f>IF($A178="","",SUMPRODUCT(((((S178:Z178="רוב הזמן")+0.5*(S178:Z178="לפעמים"))-(K178:R178="כן"))&gt;0.01)*(((K178:R178="כן")+(K178:R178="לא"))*((S178:Z178="רוב הזמן")+(S178:Z178="לפעמים")+(S178:Z178="עדיין לא")))))</f>
        <v/>
      </c>
      <c r="AQ178" s="36">
        <f>IF($A178="","",COUNTIF(AA178:AC178,"כן"))</f>
        <v/>
      </c>
      <c r="AR178" s="38" t="n"/>
      <c r="AS178" s="38" t="n"/>
      <c r="AT178" s="38" t="n"/>
      <c r="AU178" s="38" t="n"/>
      <c r="AV178" s="36">
        <f>IF($A178="","",IF(AND(AR178="",AT178=""),"לא נבדק",IF(AND(OR(AR178="",AR178=AS178),OR(AT178="",AT178=AU178)),"תואם","לא תואם")))</f>
        <v/>
      </c>
      <c r="AW178" s="36">
        <f>IF($A178="","",IF(AND(AV178&lt;&gt;"לא תואם",G178&lt;&gt;"לא ברור"),"אמין","לפרש בזהירות"))</f>
        <v/>
      </c>
    </row>
    <row r="179">
      <c r="A179" s="38" t="n"/>
      <c r="B179" s="38" t="n"/>
      <c r="C179" s="38" t="n"/>
      <c r="D179" s="38" t="n"/>
      <c r="E179" s="38" t="n"/>
      <c r="F179" s="38" t="n"/>
      <c r="G179" s="38" t="n"/>
      <c r="H179" s="38" t="n"/>
      <c r="I179" s="38" t="n"/>
      <c r="J179" s="38" t="n"/>
      <c r="K179" s="38" t="n"/>
      <c r="L179" s="38" t="n"/>
      <c r="M179" s="38" t="n"/>
      <c r="N179" s="38" t="n"/>
      <c r="O179" s="38" t="n"/>
      <c r="P179" s="38" t="n"/>
      <c r="Q179" s="38" t="n"/>
      <c r="R179" s="38" t="n"/>
      <c r="S179" s="38" t="n"/>
      <c r="T179" s="38" t="n"/>
      <c r="U179" s="38" t="n"/>
      <c r="V179" s="38" t="n"/>
      <c r="W179" s="38" t="n"/>
      <c r="X179" s="38" t="n"/>
      <c r="Y179" s="38" t="n"/>
      <c r="Z179" s="38" t="n"/>
      <c r="AA179" s="38" t="n"/>
      <c r="AB179" s="38" t="n"/>
      <c r="AC179" s="38" t="n"/>
      <c r="AD179" s="38" t="n"/>
      <c r="AE179" s="38" t="n"/>
      <c r="AF179" s="36">
        <f>IF($A179="","",$A179&amp;"|"&amp;$C179)</f>
        <v/>
      </c>
      <c r="AG179" s="36">
        <f>IF($A179="","",IF(OR(H179="לא נבדק",H179=""),"לא נבדק",IF(AND(H179="בחר/ה בעצמו/ה",I179="כן",J179="לא"),"מלא",IF(OR(H179="בחר/ה בעצמו/ה",I179="כן"),"חלקי","עדיין לא"))))</f>
        <v/>
      </c>
      <c r="AH179" s="37">
        <f>IF($A179="","",IFERROR(COUNTIF(K179:L179,"כן")/(COUNTIF(K179:L179,"כן")+COUNTIF(K179:L179,"לא")),""))</f>
        <v/>
      </c>
      <c r="AI179" s="37">
        <f>IF($A179="","",IFERROR(COUNTIF(M179:N179,"כן")/(COUNTIF(M179:N179,"כן")+COUNTIF(M179:N179,"לא")),""))</f>
        <v/>
      </c>
      <c r="AJ179" s="37">
        <f>IF($A179="","",IFERROR(COUNTIF(O179:P179,"כן")/(COUNTIF(O179:P179,"כן")+COUNTIF(O179:P179,"לא")),""))</f>
        <v/>
      </c>
      <c r="AK179" s="37">
        <f>IF($A179="","",IFERROR(COUNTIF(Q179:R179,"כן")/(COUNTIF(Q179:R179,"כן")+COUNTIF(Q179:R179,"לא")),""))</f>
        <v/>
      </c>
      <c r="AL179" s="37">
        <f>IF($A179="","",IFERROR(COUNTIF(K179:R179,"כן")/(COUNTIF(K179:R179,"כן")+COUNTIF(K179:R179,"לא")),""))</f>
        <v/>
      </c>
      <c r="AM179" s="37">
        <f>IF($A179="","",IFERROR((COUNTIF(S179:Z179,"רוב הזמן")+0.5*COUNTIF(S179:Z179,"לפעמים"))/(COUNTIF(S179:Z179,"רוב הזמן")+COUNTIF(S179:Z179,"לפעמים")+COUNTIF(S179:Z179,"עדיין לא")),""))</f>
        <v/>
      </c>
      <c r="AN179" s="37">
        <f>IF($A179="","",IFERROR(1-SUMPRODUCT(ABS((K179:R179="כן")-((S179:Z179="רוב הזמן")+0.5*(S179:Z179="לפעמים")))*(((K179:R179="כן")+(K179:R179="לא"))*((S179:Z179="רוב הזמן")+(S179:Z179="לפעמים")+(S179:Z179="עדיין לא"))))/SUMPRODUCT((((K179:R179="כן")+(K179:R179="לא"))*((S179:Z179="רוב הזמן")+(S179:Z179="לפעמים")+(S179:Z179="עדיין לא")))),""))</f>
        <v/>
      </c>
      <c r="AO179" s="36">
        <f>IF($A179="","",SUMPRODUCT((((K179:R179="כן")-((S179:Z179="רוב הזמן")+0.5*(S179:Z179="לפעמים")))&gt;0.01)*(((K179:R179="כן")+(K179:R179="לא"))*((S179:Z179="רוב הזמן")+(S179:Z179="לפעמים")+(S179:Z179="עדיין לא")))))</f>
        <v/>
      </c>
      <c r="AP179" s="36">
        <f>IF($A179="","",SUMPRODUCT(((((S179:Z179="רוב הזמן")+0.5*(S179:Z179="לפעמים"))-(K179:R179="כן"))&gt;0.01)*(((K179:R179="כן")+(K179:R179="לא"))*((S179:Z179="רוב הזמן")+(S179:Z179="לפעמים")+(S179:Z179="עדיין לא")))))</f>
        <v/>
      </c>
      <c r="AQ179" s="36">
        <f>IF($A179="","",COUNTIF(AA179:AC179,"כן"))</f>
        <v/>
      </c>
      <c r="AR179" s="38" t="n"/>
      <c r="AS179" s="38" t="n"/>
      <c r="AT179" s="38" t="n"/>
      <c r="AU179" s="38" t="n"/>
      <c r="AV179" s="36">
        <f>IF($A179="","",IF(AND(AR179="",AT179=""),"לא נבדק",IF(AND(OR(AR179="",AR179=AS179),OR(AT179="",AT179=AU179)),"תואם","לא תואם")))</f>
        <v/>
      </c>
      <c r="AW179" s="36">
        <f>IF($A179="","",IF(AND(AV179&lt;&gt;"לא תואם",G179&lt;&gt;"לא ברור"),"אמין","לפרש בזהירות"))</f>
        <v/>
      </c>
    </row>
    <row r="180">
      <c r="A180" s="38" t="n"/>
      <c r="B180" s="38" t="n"/>
      <c r="C180" s="38" t="n"/>
      <c r="D180" s="38" t="n"/>
      <c r="E180" s="38" t="n"/>
      <c r="F180" s="38" t="n"/>
      <c r="G180" s="38" t="n"/>
      <c r="H180" s="38" t="n"/>
      <c r="I180" s="38" t="n"/>
      <c r="J180" s="38" t="n"/>
      <c r="K180" s="38" t="n"/>
      <c r="L180" s="38" t="n"/>
      <c r="M180" s="38" t="n"/>
      <c r="N180" s="38" t="n"/>
      <c r="O180" s="38" t="n"/>
      <c r="P180" s="38" t="n"/>
      <c r="Q180" s="38" t="n"/>
      <c r="R180" s="38" t="n"/>
      <c r="S180" s="38" t="n"/>
      <c r="T180" s="38" t="n"/>
      <c r="U180" s="38" t="n"/>
      <c r="V180" s="38" t="n"/>
      <c r="W180" s="38" t="n"/>
      <c r="X180" s="38" t="n"/>
      <c r="Y180" s="38" t="n"/>
      <c r="Z180" s="38" t="n"/>
      <c r="AA180" s="38" t="n"/>
      <c r="AB180" s="38" t="n"/>
      <c r="AC180" s="38" t="n"/>
      <c r="AD180" s="38" t="n"/>
      <c r="AE180" s="38" t="n"/>
      <c r="AF180" s="36">
        <f>IF($A180="","",$A180&amp;"|"&amp;$C180)</f>
        <v/>
      </c>
      <c r="AG180" s="36">
        <f>IF($A180="","",IF(OR(H180="לא נבדק",H180=""),"לא נבדק",IF(AND(H180="בחר/ה בעצמו/ה",I180="כן",J180="לא"),"מלא",IF(OR(H180="בחר/ה בעצמו/ה",I180="כן"),"חלקי","עדיין לא"))))</f>
        <v/>
      </c>
      <c r="AH180" s="37">
        <f>IF($A180="","",IFERROR(COUNTIF(K180:L180,"כן")/(COUNTIF(K180:L180,"כן")+COUNTIF(K180:L180,"לא")),""))</f>
        <v/>
      </c>
      <c r="AI180" s="37">
        <f>IF($A180="","",IFERROR(COUNTIF(M180:N180,"כן")/(COUNTIF(M180:N180,"כן")+COUNTIF(M180:N180,"לא")),""))</f>
        <v/>
      </c>
      <c r="AJ180" s="37">
        <f>IF($A180="","",IFERROR(COUNTIF(O180:P180,"כן")/(COUNTIF(O180:P180,"כן")+COUNTIF(O180:P180,"לא")),""))</f>
        <v/>
      </c>
      <c r="AK180" s="37">
        <f>IF($A180="","",IFERROR(COUNTIF(Q180:R180,"כן")/(COUNTIF(Q180:R180,"כן")+COUNTIF(Q180:R180,"לא")),""))</f>
        <v/>
      </c>
      <c r="AL180" s="37">
        <f>IF($A180="","",IFERROR(COUNTIF(K180:R180,"כן")/(COUNTIF(K180:R180,"כן")+COUNTIF(K180:R180,"לא")),""))</f>
        <v/>
      </c>
      <c r="AM180" s="37">
        <f>IF($A180="","",IFERROR((COUNTIF(S180:Z180,"רוב הזמן")+0.5*COUNTIF(S180:Z180,"לפעמים"))/(COUNTIF(S180:Z180,"רוב הזמן")+COUNTIF(S180:Z180,"לפעמים")+COUNTIF(S180:Z180,"עדיין לא")),""))</f>
        <v/>
      </c>
      <c r="AN180" s="37">
        <f>IF($A180="","",IFERROR(1-SUMPRODUCT(ABS((K180:R180="כן")-((S180:Z180="רוב הזמן")+0.5*(S180:Z180="לפעמים")))*(((K180:R180="כן")+(K180:R180="לא"))*((S180:Z180="רוב הזמן")+(S180:Z180="לפעמים")+(S180:Z180="עדיין לא"))))/SUMPRODUCT((((K180:R180="כן")+(K180:R180="לא"))*((S180:Z180="רוב הזמן")+(S180:Z180="לפעמים")+(S180:Z180="עדיין לא")))),""))</f>
        <v/>
      </c>
      <c r="AO180" s="36">
        <f>IF($A180="","",SUMPRODUCT((((K180:R180="כן")-((S180:Z180="רוב הזמן")+0.5*(S180:Z180="לפעמים")))&gt;0.01)*(((K180:R180="כן")+(K180:R180="לא"))*((S180:Z180="רוב הזמן")+(S180:Z180="לפעמים")+(S180:Z180="עדיין לא")))))</f>
        <v/>
      </c>
      <c r="AP180" s="36">
        <f>IF($A180="","",SUMPRODUCT(((((S180:Z180="רוב הזמן")+0.5*(S180:Z180="לפעמים"))-(K180:R180="כן"))&gt;0.01)*(((K180:R180="כן")+(K180:R180="לא"))*((S180:Z180="רוב הזמן")+(S180:Z180="לפעמים")+(S180:Z180="עדיין לא")))))</f>
        <v/>
      </c>
      <c r="AQ180" s="36">
        <f>IF($A180="","",COUNTIF(AA180:AC180,"כן"))</f>
        <v/>
      </c>
      <c r="AR180" s="38" t="n"/>
      <c r="AS180" s="38" t="n"/>
      <c r="AT180" s="38" t="n"/>
      <c r="AU180" s="38" t="n"/>
      <c r="AV180" s="36">
        <f>IF($A180="","",IF(AND(AR180="",AT180=""),"לא נבדק",IF(AND(OR(AR180="",AR180=AS180),OR(AT180="",AT180=AU180)),"תואם","לא תואם")))</f>
        <v/>
      </c>
      <c r="AW180" s="36">
        <f>IF($A180="","",IF(AND(AV180&lt;&gt;"לא תואם",G180&lt;&gt;"לא ברור"),"אמין","לפרש בזהירות"))</f>
        <v/>
      </c>
    </row>
    <row r="181">
      <c r="A181" s="38" t="n"/>
      <c r="B181" s="38" t="n"/>
      <c r="C181" s="38" t="n"/>
      <c r="D181" s="38" t="n"/>
      <c r="E181" s="38" t="n"/>
      <c r="F181" s="38" t="n"/>
      <c r="G181" s="38" t="n"/>
      <c r="H181" s="38" t="n"/>
      <c r="I181" s="38" t="n"/>
      <c r="J181" s="38" t="n"/>
      <c r="K181" s="38" t="n"/>
      <c r="L181" s="38" t="n"/>
      <c r="M181" s="38" t="n"/>
      <c r="N181" s="38" t="n"/>
      <c r="O181" s="38" t="n"/>
      <c r="P181" s="38" t="n"/>
      <c r="Q181" s="38" t="n"/>
      <c r="R181" s="38" t="n"/>
      <c r="S181" s="38" t="n"/>
      <c r="T181" s="38" t="n"/>
      <c r="U181" s="38" t="n"/>
      <c r="V181" s="38" t="n"/>
      <c r="W181" s="38" t="n"/>
      <c r="X181" s="38" t="n"/>
      <c r="Y181" s="38" t="n"/>
      <c r="Z181" s="38" t="n"/>
      <c r="AA181" s="38" t="n"/>
      <c r="AB181" s="38" t="n"/>
      <c r="AC181" s="38" t="n"/>
      <c r="AD181" s="38" t="n"/>
      <c r="AE181" s="38" t="n"/>
      <c r="AF181" s="36">
        <f>IF($A181="","",$A181&amp;"|"&amp;$C181)</f>
        <v/>
      </c>
      <c r="AG181" s="36">
        <f>IF($A181="","",IF(OR(H181="לא נבדק",H181=""),"לא נבדק",IF(AND(H181="בחר/ה בעצמו/ה",I181="כן",J181="לא"),"מלא",IF(OR(H181="בחר/ה בעצמו/ה",I181="כן"),"חלקי","עדיין לא"))))</f>
        <v/>
      </c>
      <c r="AH181" s="37">
        <f>IF($A181="","",IFERROR(COUNTIF(K181:L181,"כן")/(COUNTIF(K181:L181,"כן")+COUNTIF(K181:L181,"לא")),""))</f>
        <v/>
      </c>
      <c r="AI181" s="37">
        <f>IF($A181="","",IFERROR(COUNTIF(M181:N181,"כן")/(COUNTIF(M181:N181,"כן")+COUNTIF(M181:N181,"לא")),""))</f>
        <v/>
      </c>
      <c r="AJ181" s="37">
        <f>IF($A181="","",IFERROR(COUNTIF(O181:P181,"כן")/(COUNTIF(O181:P181,"כן")+COUNTIF(O181:P181,"לא")),""))</f>
        <v/>
      </c>
      <c r="AK181" s="37">
        <f>IF($A181="","",IFERROR(COUNTIF(Q181:R181,"כן")/(COUNTIF(Q181:R181,"כן")+COUNTIF(Q181:R181,"לא")),""))</f>
        <v/>
      </c>
      <c r="AL181" s="37">
        <f>IF($A181="","",IFERROR(COUNTIF(K181:R181,"כן")/(COUNTIF(K181:R181,"כן")+COUNTIF(K181:R181,"לא")),""))</f>
        <v/>
      </c>
      <c r="AM181" s="37">
        <f>IF($A181="","",IFERROR((COUNTIF(S181:Z181,"רוב הזמן")+0.5*COUNTIF(S181:Z181,"לפעמים"))/(COUNTIF(S181:Z181,"רוב הזמן")+COUNTIF(S181:Z181,"לפעמים")+COUNTIF(S181:Z181,"עדיין לא")),""))</f>
        <v/>
      </c>
      <c r="AN181" s="37">
        <f>IF($A181="","",IFERROR(1-SUMPRODUCT(ABS((K181:R181="כן")-((S181:Z181="רוב הזמן")+0.5*(S181:Z181="לפעמים")))*(((K181:R181="כן")+(K181:R181="לא"))*((S181:Z181="רוב הזמן")+(S181:Z181="לפעמים")+(S181:Z181="עדיין לא"))))/SUMPRODUCT((((K181:R181="כן")+(K181:R181="לא"))*((S181:Z181="רוב הזמן")+(S181:Z181="לפעמים")+(S181:Z181="עדיין לא")))),""))</f>
        <v/>
      </c>
      <c r="AO181" s="36">
        <f>IF($A181="","",SUMPRODUCT((((K181:R181="כן")-((S181:Z181="רוב הזמן")+0.5*(S181:Z181="לפעמים")))&gt;0.01)*(((K181:R181="כן")+(K181:R181="לא"))*((S181:Z181="רוב הזמן")+(S181:Z181="לפעמים")+(S181:Z181="עדיין לא")))))</f>
        <v/>
      </c>
      <c r="AP181" s="36">
        <f>IF($A181="","",SUMPRODUCT(((((S181:Z181="רוב הזמן")+0.5*(S181:Z181="לפעמים"))-(K181:R181="כן"))&gt;0.01)*(((K181:R181="כן")+(K181:R181="לא"))*((S181:Z181="רוב הזמן")+(S181:Z181="לפעמים")+(S181:Z181="עדיין לא")))))</f>
        <v/>
      </c>
      <c r="AQ181" s="36">
        <f>IF($A181="","",COUNTIF(AA181:AC181,"כן"))</f>
        <v/>
      </c>
      <c r="AR181" s="38" t="n"/>
      <c r="AS181" s="38" t="n"/>
      <c r="AT181" s="38" t="n"/>
      <c r="AU181" s="38" t="n"/>
      <c r="AV181" s="36">
        <f>IF($A181="","",IF(AND(AR181="",AT181=""),"לא נבדק",IF(AND(OR(AR181="",AR181=AS181),OR(AT181="",AT181=AU181)),"תואם","לא תואם")))</f>
        <v/>
      </c>
      <c r="AW181" s="36">
        <f>IF($A181="","",IF(AND(AV181&lt;&gt;"לא תואם",G181&lt;&gt;"לא ברור"),"אמין","לפרש בזהירות"))</f>
        <v/>
      </c>
    </row>
    <row r="182">
      <c r="A182" s="38" t="n"/>
      <c r="B182" s="38" t="n"/>
      <c r="C182" s="38" t="n"/>
      <c r="D182" s="38" t="n"/>
      <c r="E182" s="38" t="n"/>
      <c r="F182" s="38" t="n"/>
      <c r="G182" s="38" t="n"/>
      <c r="H182" s="38" t="n"/>
      <c r="I182" s="38" t="n"/>
      <c r="J182" s="38" t="n"/>
      <c r="K182" s="38" t="n"/>
      <c r="L182" s="38" t="n"/>
      <c r="M182" s="38" t="n"/>
      <c r="N182" s="38" t="n"/>
      <c r="O182" s="38" t="n"/>
      <c r="P182" s="38" t="n"/>
      <c r="Q182" s="38" t="n"/>
      <c r="R182" s="38" t="n"/>
      <c r="S182" s="38" t="n"/>
      <c r="T182" s="38" t="n"/>
      <c r="U182" s="38" t="n"/>
      <c r="V182" s="38" t="n"/>
      <c r="W182" s="38" t="n"/>
      <c r="X182" s="38" t="n"/>
      <c r="Y182" s="38" t="n"/>
      <c r="Z182" s="38" t="n"/>
      <c r="AA182" s="38" t="n"/>
      <c r="AB182" s="38" t="n"/>
      <c r="AC182" s="38" t="n"/>
      <c r="AD182" s="38" t="n"/>
      <c r="AE182" s="38" t="n"/>
      <c r="AF182" s="36">
        <f>IF($A182="","",$A182&amp;"|"&amp;$C182)</f>
        <v/>
      </c>
      <c r="AG182" s="36">
        <f>IF($A182="","",IF(OR(H182="לא נבדק",H182=""),"לא נבדק",IF(AND(H182="בחר/ה בעצמו/ה",I182="כן",J182="לא"),"מלא",IF(OR(H182="בחר/ה בעצמו/ה",I182="כן"),"חלקי","עדיין לא"))))</f>
        <v/>
      </c>
      <c r="AH182" s="37">
        <f>IF($A182="","",IFERROR(COUNTIF(K182:L182,"כן")/(COUNTIF(K182:L182,"כן")+COUNTIF(K182:L182,"לא")),""))</f>
        <v/>
      </c>
      <c r="AI182" s="37">
        <f>IF($A182="","",IFERROR(COUNTIF(M182:N182,"כן")/(COUNTIF(M182:N182,"כן")+COUNTIF(M182:N182,"לא")),""))</f>
        <v/>
      </c>
      <c r="AJ182" s="37">
        <f>IF($A182="","",IFERROR(COUNTIF(O182:P182,"כן")/(COUNTIF(O182:P182,"כן")+COUNTIF(O182:P182,"לא")),""))</f>
        <v/>
      </c>
      <c r="AK182" s="37">
        <f>IF($A182="","",IFERROR(COUNTIF(Q182:R182,"כן")/(COUNTIF(Q182:R182,"כן")+COUNTIF(Q182:R182,"לא")),""))</f>
        <v/>
      </c>
      <c r="AL182" s="37">
        <f>IF($A182="","",IFERROR(COUNTIF(K182:R182,"כן")/(COUNTIF(K182:R182,"כן")+COUNTIF(K182:R182,"לא")),""))</f>
        <v/>
      </c>
      <c r="AM182" s="37">
        <f>IF($A182="","",IFERROR((COUNTIF(S182:Z182,"רוב הזמן")+0.5*COUNTIF(S182:Z182,"לפעמים"))/(COUNTIF(S182:Z182,"רוב הזמן")+COUNTIF(S182:Z182,"לפעמים")+COUNTIF(S182:Z182,"עדיין לא")),""))</f>
        <v/>
      </c>
      <c r="AN182" s="37">
        <f>IF($A182="","",IFERROR(1-SUMPRODUCT(ABS((K182:R182="כן")-((S182:Z182="רוב הזמן")+0.5*(S182:Z182="לפעמים")))*(((K182:R182="כן")+(K182:R182="לא"))*((S182:Z182="רוב הזמן")+(S182:Z182="לפעמים")+(S182:Z182="עדיין לא"))))/SUMPRODUCT((((K182:R182="כן")+(K182:R182="לא"))*((S182:Z182="רוב הזמן")+(S182:Z182="לפעמים")+(S182:Z182="עדיין לא")))),""))</f>
        <v/>
      </c>
      <c r="AO182" s="36">
        <f>IF($A182="","",SUMPRODUCT((((K182:R182="כן")-((S182:Z182="רוב הזמן")+0.5*(S182:Z182="לפעמים")))&gt;0.01)*(((K182:R182="כן")+(K182:R182="לא"))*((S182:Z182="רוב הזמן")+(S182:Z182="לפעמים")+(S182:Z182="עדיין לא")))))</f>
        <v/>
      </c>
      <c r="AP182" s="36">
        <f>IF($A182="","",SUMPRODUCT(((((S182:Z182="רוב הזמן")+0.5*(S182:Z182="לפעמים"))-(K182:R182="כן"))&gt;0.01)*(((K182:R182="כן")+(K182:R182="לא"))*((S182:Z182="רוב הזמן")+(S182:Z182="לפעמים")+(S182:Z182="עדיין לא")))))</f>
        <v/>
      </c>
      <c r="AQ182" s="36">
        <f>IF($A182="","",COUNTIF(AA182:AC182,"כן"))</f>
        <v/>
      </c>
      <c r="AR182" s="38" t="n"/>
      <c r="AS182" s="38" t="n"/>
      <c r="AT182" s="38" t="n"/>
      <c r="AU182" s="38" t="n"/>
      <c r="AV182" s="36">
        <f>IF($A182="","",IF(AND(AR182="",AT182=""),"לא נבדק",IF(AND(OR(AR182="",AR182=AS182),OR(AT182="",AT182=AU182)),"תואם","לא תואם")))</f>
        <v/>
      </c>
      <c r="AW182" s="36">
        <f>IF($A182="","",IF(AND(AV182&lt;&gt;"לא תואם",G182&lt;&gt;"לא ברור"),"אמין","לפרש בזהירות"))</f>
        <v/>
      </c>
    </row>
    <row r="183">
      <c r="A183" s="38" t="n"/>
      <c r="B183" s="38" t="n"/>
      <c r="C183" s="38" t="n"/>
      <c r="D183" s="38" t="n"/>
      <c r="E183" s="38" t="n"/>
      <c r="F183" s="38" t="n"/>
      <c r="G183" s="38" t="n"/>
      <c r="H183" s="38" t="n"/>
      <c r="I183" s="38" t="n"/>
      <c r="J183" s="38" t="n"/>
      <c r="K183" s="38" t="n"/>
      <c r="L183" s="38" t="n"/>
      <c r="M183" s="38" t="n"/>
      <c r="N183" s="38" t="n"/>
      <c r="O183" s="38" t="n"/>
      <c r="P183" s="38" t="n"/>
      <c r="Q183" s="38" t="n"/>
      <c r="R183" s="38" t="n"/>
      <c r="S183" s="38" t="n"/>
      <c r="T183" s="38" t="n"/>
      <c r="U183" s="38" t="n"/>
      <c r="V183" s="38" t="n"/>
      <c r="W183" s="38" t="n"/>
      <c r="X183" s="38" t="n"/>
      <c r="Y183" s="38" t="n"/>
      <c r="Z183" s="38" t="n"/>
      <c r="AA183" s="38" t="n"/>
      <c r="AB183" s="38" t="n"/>
      <c r="AC183" s="38" t="n"/>
      <c r="AD183" s="38" t="n"/>
      <c r="AE183" s="38" t="n"/>
      <c r="AF183" s="36">
        <f>IF($A183="","",$A183&amp;"|"&amp;$C183)</f>
        <v/>
      </c>
      <c r="AG183" s="36">
        <f>IF($A183="","",IF(OR(H183="לא נבדק",H183=""),"לא נבדק",IF(AND(H183="בחר/ה בעצמו/ה",I183="כן",J183="לא"),"מלא",IF(OR(H183="בחר/ה בעצמו/ה",I183="כן"),"חלקי","עדיין לא"))))</f>
        <v/>
      </c>
      <c r="AH183" s="37">
        <f>IF($A183="","",IFERROR(COUNTIF(K183:L183,"כן")/(COUNTIF(K183:L183,"כן")+COUNTIF(K183:L183,"לא")),""))</f>
        <v/>
      </c>
      <c r="AI183" s="37">
        <f>IF($A183="","",IFERROR(COUNTIF(M183:N183,"כן")/(COUNTIF(M183:N183,"כן")+COUNTIF(M183:N183,"לא")),""))</f>
        <v/>
      </c>
      <c r="AJ183" s="37">
        <f>IF($A183="","",IFERROR(COUNTIF(O183:P183,"כן")/(COUNTIF(O183:P183,"כן")+COUNTIF(O183:P183,"לא")),""))</f>
        <v/>
      </c>
      <c r="AK183" s="37">
        <f>IF($A183="","",IFERROR(COUNTIF(Q183:R183,"כן")/(COUNTIF(Q183:R183,"כן")+COUNTIF(Q183:R183,"לא")),""))</f>
        <v/>
      </c>
      <c r="AL183" s="37">
        <f>IF($A183="","",IFERROR(COUNTIF(K183:R183,"כן")/(COUNTIF(K183:R183,"כן")+COUNTIF(K183:R183,"לא")),""))</f>
        <v/>
      </c>
      <c r="AM183" s="37">
        <f>IF($A183="","",IFERROR((COUNTIF(S183:Z183,"רוב הזמן")+0.5*COUNTIF(S183:Z183,"לפעמים"))/(COUNTIF(S183:Z183,"רוב הזמן")+COUNTIF(S183:Z183,"לפעמים")+COUNTIF(S183:Z183,"עדיין לא")),""))</f>
        <v/>
      </c>
      <c r="AN183" s="37">
        <f>IF($A183="","",IFERROR(1-SUMPRODUCT(ABS((K183:R183="כן")-((S183:Z183="רוב הזמן")+0.5*(S183:Z183="לפעמים")))*(((K183:R183="כן")+(K183:R183="לא"))*((S183:Z183="רוב הזמן")+(S183:Z183="לפעמים")+(S183:Z183="עדיין לא"))))/SUMPRODUCT((((K183:R183="כן")+(K183:R183="לא"))*((S183:Z183="רוב הזמן")+(S183:Z183="לפעמים")+(S183:Z183="עדיין לא")))),""))</f>
        <v/>
      </c>
      <c r="AO183" s="36">
        <f>IF($A183="","",SUMPRODUCT((((K183:R183="כן")-((S183:Z183="רוב הזמן")+0.5*(S183:Z183="לפעמים")))&gt;0.01)*(((K183:R183="כן")+(K183:R183="לא"))*((S183:Z183="רוב הזמן")+(S183:Z183="לפעמים")+(S183:Z183="עדיין לא")))))</f>
        <v/>
      </c>
      <c r="AP183" s="36">
        <f>IF($A183="","",SUMPRODUCT(((((S183:Z183="רוב הזמן")+0.5*(S183:Z183="לפעמים"))-(K183:R183="כן"))&gt;0.01)*(((K183:R183="כן")+(K183:R183="לא"))*((S183:Z183="רוב הזמן")+(S183:Z183="לפעמים")+(S183:Z183="עדיין לא")))))</f>
        <v/>
      </c>
      <c r="AQ183" s="36">
        <f>IF($A183="","",COUNTIF(AA183:AC183,"כן"))</f>
        <v/>
      </c>
      <c r="AR183" s="38" t="n"/>
      <c r="AS183" s="38" t="n"/>
      <c r="AT183" s="38" t="n"/>
      <c r="AU183" s="38" t="n"/>
      <c r="AV183" s="36">
        <f>IF($A183="","",IF(AND(AR183="",AT183=""),"לא נבדק",IF(AND(OR(AR183="",AR183=AS183),OR(AT183="",AT183=AU183)),"תואם","לא תואם")))</f>
        <v/>
      </c>
      <c r="AW183" s="36">
        <f>IF($A183="","",IF(AND(AV183&lt;&gt;"לא תואם",G183&lt;&gt;"לא ברור"),"אמין","לפרש בזהירות"))</f>
        <v/>
      </c>
    </row>
    <row r="184">
      <c r="A184" s="38" t="n"/>
      <c r="B184" s="38" t="n"/>
      <c r="C184" s="38" t="n"/>
      <c r="D184" s="38" t="n"/>
      <c r="E184" s="38" t="n"/>
      <c r="F184" s="38" t="n"/>
      <c r="G184" s="38" t="n"/>
      <c r="H184" s="38" t="n"/>
      <c r="I184" s="38" t="n"/>
      <c r="J184" s="38" t="n"/>
      <c r="K184" s="38" t="n"/>
      <c r="L184" s="38" t="n"/>
      <c r="M184" s="38" t="n"/>
      <c r="N184" s="38" t="n"/>
      <c r="O184" s="38" t="n"/>
      <c r="P184" s="38" t="n"/>
      <c r="Q184" s="38" t="n"/>
      <c r="R184" s="38" t="n"/>
      <c r="S184" s="38" t="n"/>
      <c r="T184" s="38" t="n"/>
      <c r="U184" s="38" t="n"/>
      <c r="V184" s="38" t="n"/>
      <c r="W184" s="38" t="n"/>
      <c r="X184" s="38" t="n"/>
      <c r="Y184" s="38" t="n"/>
      <c r="Z184" s="38" t="n"/>
      <c r="AA184" s="38" t="n"/>
      <c r="AB184" s="38" t="n"/>
      <c r="AC184" s="38" t="n"/>
      <c r="AD184" s="38" t="n"/>
      <c r="AE184" s="38" t="n"/>
      <c r="AF184" s="36">
        <f>IF($A184="","",$A184&amp;"|"&amp;$C184)</f>
        <v/>
      </c>
      <c r="AG184" s="36">
        <f>IF($A184="","",IF(OR(H184="לא נבדק",H184=""),"לא נבדק",IF(AND(H184="בחר/ה בעצמו/ה",I184="כן",J184="לא"),"מלא",IF(OR(H184="בחר/ה בעצמו/ה",I184="כן"),"חלקי","עדיין לא"))))</f>
        <v/>
      </c>
      <c r="AH184" s="37">
        <f>IF($A184="","",IFERROR(COUNTIF(K184:L184,"כן")/(COUNTIF(K184:L184,"כן")+COUNTIF(K184:L184,"לא")),""))</f>
        <v/>
      </c>
      <c r="AI184" s="37">
        <f>IF($A184="","",IFERROR(COUNTIF(M184:N184,"כן")/(COUNTIF(M184:N184,"כן")+COUNTIF(M184:N184,"לא")),""))</f>
        <v/>
      </c>
      <c r="AJ184" s="37">
        <f>IF($A184="","",IFERROR(COUNTIF(O184:P184,"כן")/(COUNTIF(O184:P184,"כן")+COUNTIF(O184:P184,"לא")),""))</f>
        <v/>
      </c>
      <c r="AK184" s="37">
        <f>IF($A184="","",IFERROR(COUNTIF(Q184:R184,"כן")/(COUNTIF(Q184:R184,"כן")+COUNTIF(Q184:R184,"לא")),""))</f>
        <v/>
      </c>
      <c r="AL184" s="37">
        <f>IF($A184="","",IFERROR(COUNTIF(K184:R184,"כן")/(COUNTIF(K184:R184,"כן")+COUNTIF(K184:R184,"לא")),""))</f>
        <v/>
      </c>
      <c r="AM184" s="37">
        <f>IF($A184="","",IFERROR((COUNTIF(S184:Z184,"רוב הזמן")+0.5*COUNTIF(S184:Z184,"לפעמים"))/(COUNTIF(S184:Z184,"רוב הזמן")+COUNTIF(S184:Z184,"לפעמים")+COUNTIF(S184:Z184,"עדיין לא")),""))</f>
        <v/>
      </c>
      <c r="AN184" s="37">
        <f>IF($A184="","",IFERROR(1-SUMPRODUCT(ABS((K184:R184="כן")-((S184:Z184="רוב הזמן")+0.5*(S184:Z184="לפעמים")))*(((K184:R184="כן")+(K184:R184="לא"))*((S184:Z184="רוב הזמן")+(S184:Z184="לפעמים")+(S184:Z184="עדיין לא"))))/SUMPRODUCT((((K184:R184="כן")+(K184:R184="לא"))*((S184:Z184="רוב הזמן")+(S184:Z184="לפעמים")+(S184:Z184="עדיין לא")))),""))</f>
        <v/>
      </c>
      <c r="AO184" s="36">
        <f>IF($A184="","",SUMPRODUCT((((K184:R184="כן")-((S184:Z184="רוב הזמן")+0.5*(S184:Z184="לפעמים")))&gt;0.01)*(((K184:R184="כן")+(K184:R184="לא"))*((S184:Z184="רוב הזמן")+(S184:Z184="לפעמים")+(S184:Z184="עדיין לא")))))</f>
        <v/>
      </c>
      <c r="AP184" s="36">
        <f>IF($A184="","",SUMPRODUCT(((((S184:Z184="רוב הזמן")+0.5*(S184:Z184="לפעמים"))-(K184:R184="כן"))&gt;0.01)*(((K184:R184="כן")+(K184:R184="לא"))*((S184:Z184="רוב הזמן")+(S184:Z184="לפעמים")+(S184:Z184="עדיין לא")))))</f>
        <v/>
      </c>
      <c r="AQ184" s="36">
        <f>IF($A184="","",COUNTIF(AA184:AC184,"כן"))</f>
        <v/>
      </c>
      <c r="AR184" s="38" t="n"/>
      <c r="AS184" s="38" t="n"/>
      <c r="AT184" s="38" t="n"/>
      <c r="AU184" s="38" t="n"/>
      <c r="AV184" s="36">
        <f>IF($A184="","",IF(AND(AR184="",AT184=""),"לא נבדק",IF(AND(OR(AR184="",AR184=AS184),OR(AT184="",AT184=AU184)),"תואם","לא תואם")))</f>
        <v/>
      </c>
      <c r="AW184" s="36">
        <f>IF($A184="","",IF(AND(AV184&lt;&gt;"לא תואם",G184&lt;&gt;"לא ברור"),"אמין","לפרש בזהירות"))</f>
        <v/>
      </c>
    </row>
    <row r="185">
      <c r="A185" s="38" t="n"/>
      <c r="B185" s="38" t="n"/>
      <c r="C185" s="38" t="n"/>
      <c r="D185" s="38" t="n"/>
      <c r="E185" s="38" t="n"/>
      <c r="F185" s="38" t="n"/>
      <c r="G185" s="38" t="n"/>
      <c r="H185" s="38" t="n"/>
      <c r="I185" s="38" t="n"/>
      <c r="J185" s="38" t="n"/>
      <c r="K185" s="38" t="n"/>
      <c r="L185" s="38" t="n"/>
      <c r="M185" s="38" t="n"/>
      <c r="N185" s="38" t="n"/>
      <c r="O185" s="38" t="n"/>
      <c r="P185" s="38" t="n"/>
      <c r="Q185" s="38" t="n"/>
      <c r="R185" s="38" t="n"/>
      <c r="S185" s="38" t="n"/>
      <c r="T185" s="38" t="n"/>
      <c r="U185" s="38" t="n"/>
      <c r="V185" s="38" t="n"/>
      <c r="W185" s="38" t="n"/>
      <c r="X185" s="38" t="n"/>
      <c r="Y185" s="38" t="n"/>
      <c r="Z185" s="38" t="n"/>
      <c r="AA185" s="38" t="n"/>
      <c r="AB185" s="38" t="n"/>
      <c r="AC185" s="38" t="n"/>
      <c r="AD185" s="38" t="n"/>
      <c r="AE185" s="38" t="n"/>
      <c r="AF185" s="36">
        <f>IF($A185="","",$A185&amp;"|"&amp;$C185)</f>
        <v/>
      </c>
      <c r="AG185" s="36">
        <f>IF($A185="","",IF(OR(H185="לא נבדק",H185=""),"לא נבדק",IF(AND(H185="בחר/ה בעצמו/ה",I185="כן",J185="לא"),"מלא",IF(OR(H185="בחר/ה בעצמו/ה",I185="כן"),"חלקי","עדיין לא"))))</f>
        <v/>
      </c>
      <c r="AH185" s="37">
        <f>IF($A185="","",IFERROR(COUNTIF(K185:L185,"כן")/(COUNTIF(K185:L185,"כן")+COUNTIF(K185:L185,"לא")),""))</f>
        <v/>
      </c>
      <c r="AI185" s="37">
        <f>IF($A185="","",IFERROR(COUNTIF(M185:N185,"כן")/(COUNTIF(M185:N185,"כן")+COUNTIF(M185:N185,"לא")),""))</f>
        <v/>
      </c>
      <c r="AJ185" s="37">
        <f>IF($A185="","",IFERROR(COUNTIF(O185:P185,"כן")/(COUNTIF(O185:P185,"כן")+COUNTIF(O185:P185,"לא")),""))</f>
        <v/>
      </c>
      <c r="AK185" s="37">
        <f>IF($A185="","",IFERROR(COUNTIF(Q185:R185,"כן")/(COUNTIF(Q185:R185,"כן")+COUNTIF(Q185:R185,"לא")),""))</f>
        <v/>
      </c>
      <c r="AL185" s="37">
        <f>IF($A185="","",IFERROR(COUNTIF(K185:R185,"כן")/(COUNTIF(K185:R185,"כן")+COUNTIF(K185:R185,"לא")),""))</f>
        <v/>
      </c>
      <c r="AM185" s="37">
        <f>IF($A185="","",IFERROR((COUNTIF(S185:Z185,"רוב הזמן")+0.5*COUNTIF(S185:Z185,"לפעמים"))/(COUNTIF(S185:Z185,"רוב הזמן")+COUNTIF(S185:Z185,"לפעמים")+COUNTIF(S185:Z185,"עדיין לא")),""))</f>
        <v/>
      </c>
      <c r="AN185" s="37">
        <f>IF($A185="","",IFERROR(1-SUMPRODUCT(ABS((K185:R185="כן")-((S185:Z185="רוב הזמן")+0.5*(S185:Z185="לפעמים")))*(((K185:R185="כן")+(K185:R185="לא"))*((S185:Z185="רוב הזמן")+(S185:Z185="לפעמים")+(S185:Z185="עדיין לא"))))/SUMPRODUCT((((K185:R185="כן")+(K185:R185="לא"))*((S185:Z185="רוב הזמן")+(S185:Z185="לפעמים")+(S185:Z185="עדיין לא")))),""))</f>
        <v/>
      </c>
      <c r="AO185" s="36">
        <f>IF($A185="","",SUMPRODUCT((((K185:R185="כן")-((S185:Z185="רוב הזמן")+0.5*(S185:Z185="לפעמים")))&gt;0.01)*(((K185:R185="כן")+(K185:R185="לא"))*((S185:Z185="רוב הזמן")+(S185:Z185="לפעמים")+(S185:Z185="עדיין לא")))))</f>
        <v/>
      </c>
      <c r="AP185" s="36">
        <f>IF($A185="","",SUMPRODUCT(((((S185:Z185="רוב הזמן")+0.5*(S185:Z185="לפעמים"))-(K185:R185="כן"))&gt;0.01)*(((K185:R185="כן")+(K185:R185="לא"))*((S185:Z185="רוב הזמן")+(S185:Z185="לפעמים")+(S185:Z185="עדיין לא")))))</f>
        <v/>
      </c>
      <c r="AQ185" s="36">
        <f>IF($A185="","",COUNTIF(AA185:AC185,"כן"))</f>
        <v/>
      </c>
      <c r="AR185" s="38" t="n"/>
      <c r="AS185" s="38" t="n"/>
      <c r="AT185" s="38" t="n"/>
      <c r="AU185" s="38" t="n"/>
      <c r="AV185" s="36">
        <f>IF($A185="","",IF(AND(AR185="",AT185=""),"לא נבדק",IF(AND(OR(AR185="",AR185=AS185),OR(AT185="",AT185=AU185)),"תואם","לא תואם")))</f>
        <v/>
      </c>
      <c r="AW185" s="36">
        <f>IF($A185="","",IF(AND(AV185&lt;&gt;"לא תואם",G185&lt;&gt;"לא ברור"),"אמין","לפרש בזהירות"))</f>
        <v/>
      </c>
    </row>
    <row r="186">
      <c r="A186" s="38" t="n"/>
      <c r="B186" s="38" t="n"/>
      <c r="C186" s="38" t="n"/>
      <c r="D186" s="38" t="n"/>
      <c r="E186" s="38" t="n"/>
      <c r="F186" s="38" t="n"/>
      <c r="G186" s="38" t="n"/>
      <c r="H186" s="38" t="n"/>
      <c r="I186" s="38" t="n"/>
      <c r="J186" s="38" t="n"/>
      <c r="K186" s="38" t="n"/>
      <c r="L186" s="38" t="n"/>
      <c r="M186" s="38" t="n"/>
      <c r="N186" s="38" t="n"/>
      <c r="O186" s="38" t="n"/>
      <c r="P186" s="38" t="n"/>
      <c r="Q186" s="38" t="n"/>
      <c r="R186" s="38" t="n"/>
      <c r="S186" s="38" t="n"/>
      <c r="T186" s="38" t="n"/>
      <c r="U186" s="38" t="n"/>
      <c r="V186" s="38" t="n"/>
      <c r="W186" s="38" t="n"/>
      <c r="X186" s="38" t="n"/>
      <c r="Y186" s="38" t="n"/>
      <c r="Z186" s="38" t="n"/>
      <c r="AA186" s="38" t="n"/>
      <c r="AB186" s="38" t="n"/>
      <c r="AC186" s="38" t="n"/>
      <c r="AD186" s="38" t="n"/>
      <c r="AE186" s="38" t="n"/>
      <c r="AF186" s="36">
        <f>IF($A186="","",$A186&amp;"|"&amp;$C186)</f>
        <v/>
      </c>
      <c r="AG186" s="36">
        <f>IF($A186="","",IF(OR(H186="לא נבדק",H186=""),"לא נבדק",IF(AND(H186="בחר/ה בעצמו/ה",I186="כן",J186="לא"),"מלא",IF(OR(H186="בחר/ה בעצמו/ה",I186="כן"),"חלקי","עדיין לא"))))</f>
        <v/>
      </c>
      <c r="AH186" s="37">
        <f>IF($A186="","",IFERROR(COUNTIF(K186:L186,"כן")/(COUNTIF(K186:L186,"כן")+COUNTIF(K186:L186,"לא")),""))</f>
        <v/>
      </c>
      <c r="AI186" s="37">
        <f>IF($A186="","",IFERROR(COUNTIF(M186:N186,"כן")/(COUNTIF(M186:N186,"כן")+COUNTIF(M186:N186,"לא")),""))</f>
        <v/>
      </c>
      <c r="AJ186" s="37">
        <f>IF($A186="","",IFERROR(COUNTIF(O186:P186,"כן")/(COUNTIF(O186:P186,"כן")+COUNTIF(O186:P186,"לא")),""))</f>
        <v/>
      </c>
      <c r="AK186" s="37">
        <f>IF($A186="","",IFERROR(COUNTIF(Q186:R186,"כן")/(COUNTIF(Q186:R186,"כן")+COUNTIF(Q186:R186,"לא")),""))</f>
        <v/>
      </c>
      <c r="AL186" s="37">
        <f>IF($A186="","",IFERROR(COUNTIF(K186:R186,"כן")/(COUNTIF(K186:R186,"כן")+COUNTIF(K186:R186,"לא")),""))</f>
        <v/>
      </c>
      <c r="AM186" s="37">
        <f>IF($A186="","",IFERROR((COUNTIF(S186:Z186,"רוב הזמן")+0.5*COUNTIF(S186:Z186,"לפעמים"))/(COUNTIF(S186:Z186,"רוב הזמן")+COUNTIF(S186:Z186,"לפעמים")+COUNTIF(S186:Z186,"עדיין לא")),""))</f>
        <v/>
      </c>
      <c r="AN186" s="37">
        <f>IF($A186="","",IFERROR(1-SUMPRODUCT(ABS((K186:R186="כן")-((S186:Z186="רוב הזמן")+0.5*(S186:Z186="לפעמים")))*(((K186:R186="כן")+(K186:R186="לא"))*((S186:Z186="רוב הזמן")+(S186:Z186="לפעמים")+(S186:Z186="עדיין לא"))))/SUMPRODUCT((((K186:R186="כן")+(K186:R186="לא"))*((S186:Z186="רוב הזמן")+(S186:Z186="לפעמים")+(S186:Z186="עדיין לא")))),""))</f>
        <v/>
      </c>
      <c r="AO186" s="36">
        <f>IF($A186="","",SUMPRODUCT((((K186:R186="כן")-((S186:Z186="רוב הזמן")+0.5*(S186:Z186="לפעמים")))&gt;0.01)*(((K186:R186="כן")+(K186:R186="לא"))*((S186:Z186="רוב הזמן")+(S186:Z186="לפעמים")+(S186:Z186="עדיין לא")))))</f>
        <v/>
      </c>
      <c r="AP186" s="36">
        <f>IF($A186="","",SUMPRODUCT(((((S186:Z186="רוב הזמן")+0.5*(S186:Z186="לפעמים"))-(K186:R186="כן"))&gt;0.01)*(((K186:R186="כן")+(K186:R186="לא"))*((S186:Z186="רוב הזמן")+(S186:Z186="לפעמים")+(S186:Z186="עדיין לא")))))</f>
        <v/>
      </c>
      <c r="AQ186" s="36">
        <f>IF($A186="","",COUNTIF(AA186:AC186,"כן"))</f>
        <v/>
      </c>
      <c r="AR186" s="38" t="n"/>
      <c r="AS186" s="38" t="n"/>
      <c r="AT186" s="38" t="n"/>
      <c r="AU186" s="38" t="n"/>
      <c r="AV186" s="36">
        <f>IF($A186="","",IF(AND(AR186="",AT186=""),"לא נבדק",IF(AND(OR(AR186="",AR186=AS186),OR(AT186="",AT186=AU186)),"תואם","לא תואם")))</f>
        <v/>
      </c>
      <c r="AW186" s="36">
        <f>IF($A186="","",IF(AND(AV186&lt;&gt;"לא תואם",G186&lt;&gt;"לא ברור"),"אמין","לפרש בזהירות"))</f>
        <v/>
      </c>
    </row>
    <row r="187">
      <c r="A187" s="38" t="n"/>
      <c r="B187" s="38" t="n"/>
      <c r="C187" s="38" t="n"/>
      <c r="D187" s="38" t="n"/>
      <c r="E187" s="38" t="n"/>
      <c r="F187" s="38" t="n"/>
      <c r="G187" s="38" t="n"/>
      <c r="H187" s="38" t="n"/>
      <c r="I187" s="38" t="n"/>
      <c r="J187" s="38" t="n"/>
      <c r="K187" s="38" t="n"/>
      <c r="L187" s="38" t="n"/>
      <c r="M187" s="38" t="n"/>
      <c r="N187" s="38" t="n"/>
      <c r="O187" s="38" t="n"/>
      <c r="P187" s="38" t="n"/>
      <c r="Q187" s="38" t="n"/>
      <c r="R187" s="38" t="n"/>
      <c r="S187" s="38" t="n"/>
      <c r="T187" s="38" t="n"/>
      <c r="U187" s="38" t="n"/>
      <c r="V187" s="38" t="n"/>
      <c r="W187" s="38" t="n"/>
      <c r="X187" s="38" t="n"/>
      <c r="Y187" s="38" t="n"/>
      <c r="Z187" s="38" t="n"/>
      <c r="AA187" s="38" t="n"/>
      <c r="AB187" s="38" t="n"/>
      <c r="AC187" s="38" t="n"/>
      <c r="AD187" s="38" t="n"/>
      <c r="AE187" s="38" t="n"/>
      <c r="AF187" s="36">
        <f>IF($A187="","",$A187&amp;"|"&amp;$C187)</f>
        <v/>
      </c>
      <c r="AG187" s="36">
        <f>IF($A187="","",IF(OR(H187="לא נבדק",H187=""),"לא נבדק",IF(AND(H187="בחר/ה בעצמו/ה",I187="כן",J187="לא"),"מלא",IF(OR(H187="בחר/ה בעצמו/ה",I187="כן"),"חלקי","עדיין לא"))))</f>
        <v/>
      </c>
      <c r="AH187" s="37">
        <f>IF($A187="","",IFERROR(COUNTIF(K187:L187,"כן")/(COUNTIF(K187:L187,"כן")+COUNTIF(K187:L187,"לא")),""))</f>
        <v/>
      </c>
      <c r="AI187" s="37">
        <f>IF($A187="","",IFERROR(COUNTIF(M187:N187,"כן")/(COUNTIF(M187:N187,"כן")+COUNTIF(M187:N187,"לא")),""))</f>
        <v/>
      </c>
      <c r="AJ187" s="37">
        <f>IF($A187="","",IFERROR(COUNTIF(O187:P187,"כן")/(COUNTIF(O187:P187,"כן")+COUNTIF(O187:P187,"לא")),""))</f>
        <v/>
      </c>
      <c r="AK187" s="37">
        <f>IF($A187="","",IFERROR(COUNTIF(Q187:R187,"כן")/(COUNTIF(Q187:R187,"כן")+COUNTIF(Q187:R187,"לא")),""))</f>
        <v/>
      </c>
      <c r="AL187" s="37">
        <f>IF($A187="","",IFERROR(COUNTIF(K187:R187,"כן")/(COUNTIF(K187:R187,"כן")+COUNTIF(K187:R187,"לא")),""))</f>
        <v/>
      </c>
      <c r="AM187" s="37">
        <f>IF($A187="","",IFERROR((COUNTIF(S187:Z187,"רוב הזמן")+0.5*COUNTIF(S187:Z187,"לפעמים"))/(COUNTIF(S187:Z187,"רוב הזמן")+COUNTIF(S187:Z187,"לפעמים")+COUNTIF(S187:Z187,"עדיין לא")),""))</f>
        <v/>
      </c>
      <c r="AN187" s="37">
        <f>IF($A187="","",IFERROR(1-SUMPRODUCT(ABS((K187:R187="כן")-((S187:Z187="רוב הזמן")+0.5*(S187:Z187="לפעמים")))*(((K187:R187="כן")+(K187:R187="לא"))*((S187:Z187="רוב הזמן")+(S187:Z187="לפעמים")+(S187:Z187="עדיין לא"))))/SUMPRODUCT((((K187:R187="כן")+(K187:R187="לא"))*((S187:Z187="רוב הזמן")+(S187:Z187="לפעמים")+(S187:Z187="עדיין לא")))),""))</f>
        <v/>
      </c>
      <c r="AO187" s="36">
        <f>IF($A187="","",SUMPRODUCT((((K187:R187="כן")-((S187:Z187="רוב הזמן")+0.5*(S187:Z187="לפעמים")))&gt;0.01)*(((K187:R187="כן")+(K187:R187="לא"))*((S187:Z187="רוב הזמן")+(S187:Z187="לפעמים")+(S187:Z187="עדיין לא")))))</f>
        <v/>
      </c>
      <c r="AP187" s="36">
        <f>IF($A187="","",SUMPRODUCT(((((S187:Z187="רוב הזמן")+0.5*(S187:Z187="לפעמים"))-(K187:R187="כן"))&gt;0.01)*(((K187:R187="כן")+(K187:R187="לא"))*((S187:Z187="רוב הזמן")+(S187:Z187="לפעמים")+(S187:Z187="עדיין לא")))))</f>
        <v/>
      </c>
      <c r="AQ187" s="36">
        <f>IF($A187="","",COUNTIF(AA187:AC187,"כן"))</f>
        <v/>
      </c>
      <c r="AR187" s="38" t="n"/>
      <c r="AS187" s="38" t="n"/>
      <c r="AT187" s="38" t="n"/>
      <c r="AU187" s="38" t="n"/>
      <c r="AV187" s="36">
        <f>IF($A187="","",IF(AND(AR187="",AT187=""),"לא נבדק",IF(AND(OR(AR187="",AR187=AS187),OR(AT187="",AT187=AU187)),"תואם","לא תואם")))</f>
        <v/>
      </c>
      <c r="AW187" s="36">
        <f>IF($A187="","",IF(AND(AV187&lt;&gt;"לא תואם",G187&lt;&gt;"לא ברור"),"אמין","לפרש בזהירות"))</f>
        <v/>
      </c>
    </row>
    <row r="188">
      <c r="A188" s="38" t="n"/>
      <c r="B188" s="38" t="n"/>
      <c r="C188" s="38" t="n"/>
      <c r="D188" s="38" t="n"/>
      <c r="E188" s="38" t="n"/>
      <c r="F188" s="38" t="n"/>
      <c r="G188" s="38" t="n"/>
      <c r="H188" s="38" t="n"/>
      <c r="I188" s="38" t="n"/>
      <c r="J188" s="38" t="n"/>
      <c r="K188" s="38" t="n"/>
      <c r="L188" s="38" t="n"/>
      <c r="M188" s="38" t="n"/>
      <c r="N188" s="38" t="n"/>
      <c r="O188" s="38" t="n"/>
      <c r="P188" s="38" t="n"/>
      <c r="Q188" s="38" t="n"/>
      <c r="R188" s="38" t="n"/>
      <c r="S188" s="38" t="n"/>
      <c r="T188" s="38" t="n"/>
      <c r="U188" s="38" t="n"/>
      <c r="V188" s="38" t="n"/>
      <c r="W188" s="38" t="n"/>
      <c r="X188" s="38" t="n"/>
      <c r="Y188" s="38" t="n"/>
      <c r="Z188" s="38" t="n"/>
      <c r="AA188" s="38" t="n"/>
      <c r="AB188" s="38" t="n"/>
      <c r="AC188" s="38" t="n"/>
      <c r="AD188" s="38" t="n"/>
      <c r="AE188" s="38" t="n"/>
      <c r="AF188" s="36">
        <f>IF($A188="","",$A188&amp;"|"&amp;$C188)</f>
        <v/>
      </c>
      <c r="AG188" s="36">
        <f>IF($A188="","",IF(OR(H188="לא נבדק",H188=""),"לא נבדק",IF(AND(H188="בחר/ה בעצמו/ה",I188="כן",J188="לא"),"מלא",IF(OR(H188="בחר/ה בעצמו/ה",I188="כן"),"חלקי","עדיין לא"))))</f>
        <v/>
      </c>
      <c r="AH188" s="37">
        <f>IF($A188="","",IFERROR(COUNTIF(K188:L188,"כן")/(COUNTIF(K188:L188,"כן")+COUNTIF(K188:L188,"לא")),""))</f>
        <v/>
      </c>
      <c r="AI188" s="37">
        <f>IF($A188="","",IFERROR(COUNTIF(M188:N188,"כן")/(COUNTIF(M188:N188,"כן")+COUNTIF(M188:N188,"לא")),""))</f>
        <v/>
      </c>
      <c r="AJ188" s="37">
        <f>IF($A188="","",IFERROR(COUNTIF(O188:P188,"כן")/(COUNTIF(O188:P188,"כן")+COUNTIF(O188:P188,"לא")),""))</f>
        <v/>
      </c>
      <c r="AK188" s="37">
        <f>IF($A188="","",IFERROR(COUNTIF(Q188:R188,"כן")/(COUNTIF(Q188:R188,"כן")+COUNTIF(Q188:R188,"לא")),""))</f>
        <v/>
      </c>
      <c r="AL188" s="37">
        <f>IF($A188="","",IFERROR(COUNTIF(K188:R188,"כן")/(COUNTIF(K188:R188,"כן")+COUNTIF(K188:R188,"לא")),""))</f>
        <v/>
      </c>
      <c r="AM188" s="37">
        <f>IF($A188="","",IFERROR((COUNTIF(S188:Z188,"רוב הזמן")+0.5*COUNTIF(S188:Z188,"לפעמים"))/(COUNTIF(S188:Z188,"רוב הזמן")+COUNTIF(S188:Z188,"לפעמים")+COUNTIF(S188:Z188,"עדיין לא")),""))</f>
        <v/>
      </c>
      <c r="AN188" s="37">
        <f>IF($A188="","",IFERROR(1-SUMPRODUCT(ABS((K188:R188="כן")-((S188:Z188="רוב הזמן")+0.5*(S188:Z188="לפעמים")))*(((K188:R188="כן")+(K188:R188="לא"))*((S188:Z188="רוב הזמן")+(S188:Z188="לפעמים")+(S188:Z188="עדיין לא"))))/SUMPRODUCT((((K188:R188="כן")+(K188:R188="לא"))*((S188:Z188="רוב הזמן")+(S188:Z188="לפעמים")+(S188:Z188="עדיין לא")))),""))</f>
        <v/>
      </c>
      <c r="AO188" s="36">
        <f>IF($A188="","",SUMPRODUCT((((K188:R188="כן")-((S188:Z188="רוב הזמן")+0.5*(S188:Z188="לפעמים")))&gt;0.01)*(((K188:R188="כן")+(K188:R188="לא"))*((S188:Z188="רוב הזמן")+(S188:Z188="לפעמים")+(S188:Z188="עדיין לא")))))</f>
        <v/>
      </c>
      <c r="AP188" s="36">
        <f>IF($A188="","",SUMPRODUCT(((((S188:Z188="רוב הזמן")+0.5*(S188:Z188="לפעמים"))-(K188:R188="כן"))&gt;0.01)*(((K188:R188="כן")+(K188:R188="לא"))*((S188:Z188="רוב הזמן")+(S188:Z188="לפעמים")+(S188:Z188="עדיין לא")))))</f>
        <v/>
      </c>
      <c r="AQ188" s="36">
        <f>IF($A188="","",COUNTIF(AA188:AC188,"כן"))</f>
        <v/>
      </c>
      <c r="AR188" s="38" t="n"/>
      <c r="AS188" s="38" t="n"/>
      <c r="AT188" s="38" t="n"/>
      <c r="AU188" s="38" t="n"/>
      <c r="AV188" s="36">
        <f>IF($A188="","",IF(AND(AR188="",AT188=""),"לא נבדק",IF(AND(OR(AR188="",AR188=AS188),OR(AT188="",AT188=AU188)),"תואם","לא תואם")))</f>
        <v/>
      </c>
      <c r="AW188" s="36">
        <f>IF($A188="","",IF(AND(AV188&lt;&gt;"לא תואם",G188&lt;&gt;"לא ברור"),"אמין","לפרש בזהירות"))</f>
        <v/>
      </c>
    </row>
    <row r="189">
      <c r="A189" s="38" t="n"/>
      <c r="B189" s="38" t="n"/>
      <c r="C189" s="38" t="n"/>
      <c r="D189" s="38" t="n"/>
      <c r="E189" s="38" t="n"/>
      <c r="F189" s="38" t="n"/>
      <c r="G189" s="38" t="n"/>
      <c r="H189" s="38" t="n"/>
      <c r="I189" s="38" t="n"/>
      <c r="J189" s="38" t="n"/>
      <c r="K189" s="38" t="n"/>
      <c r="L189" s="38" t="n"/>
      <c r="M189" s="38" t="n"/>
      <c r="N189" s="38" t="n"/>
      <c r="O189" s="38" t="n"/>
      <c r="P189" s="38" t="n"/>
      <c r="Q189" s="38" t="n"/>
      <c r="R189" s="38" t="n"/>
      <c r="S189" s="38" t="n"/>
      <c r="T189" s="38" t="n"/>
      <c r="U189" s="38" t="n"/>
      <c r="V189" s="38" t="n"/>
      <c r="W189" s="38" t="n"/>
      <c r="X189" s="38" t="n"/>
      <c r="Y189" s="38" t="n"/>
      <c r="Z189" s="38" t="n"/>
      <c r="AA189" s="38" t="n"/>
      <c r="AB189" s="38" t="n"/>
      <c r="AC189" s="38" t="n"/>
      <c r="AD189" s="38" t="n"/>
      <c r="AE189" s="38" t="n"/>
      <c r="AF189" s="36">
        <f>IF($A189="","",$A189&amp;"|"&amp;$C189)</f>
        <v/>
      </c>
      <c r="AG189" s="36">
        <f>IF($A189="","",IF(OR(H189="לא נבדק",H189=""),"לא נבדק",IF(AND(H189="בחר/ה בעצמו/ה",I189="כן",J189="לא"),"מלא",IF(OR(H189="בחר/ה בעצמו/ה",I189="כן"),"חלקי","עדיין לא"))))</f>
        <v/>
      </c>
      <c r="AH189" s="37">
        <f>IF($A189="","",IFERROR(COUNTIF(K189:L189,"כן")/(COUNTIF(K189:L189,"כן")+COUNTIF(K189:L189,"לא")),""))</f>
        <v/>
      </c>
      <c r="AI189" s="37">
        <f>IF($A189="","",IFERROR(COUNTIF(M189:N189,"כן")/(COUNTIF(M189:N189,"כן")+COUNTIF(M189:N189,"לא")),""))</f>
        <v/>
      </c>
      <c r="AJ189" s="37">
        <f>IF($A189="","",IFERROR(COUNTIF(O189:P189,"כן")/(COUNTIF(O189:P189,"כן")+COUNTIF(O189:P189,"לא")),""))</f>
        <v/>
      </c>
      <c r="AK189" s="37">
        <f>IF($A189="","",IFERROR(COUNTIF(Q189:R189,"כן")/(COUNTIF(Q189:R189,"כן")+COUNTIF(Q189:R189,"לא")),""))</f>
        <v/>
      </c>
      <c r="AL189" s="37">
        <f>IF($A189="","",IFERROR(COUNTIF(K189:R189,"כן")/(COUNTIF(K189:R189,"כן")+COUNTIF(K189:R189,"לא")),""))</f>
        <v/>
      </c>
      <c r="AM189" s="37">
        <f>IF($A189="","",IFERROR((COUNTIF(S189:Z189,"רוב הזמן")+0.5*COUNTIF(S189:Z189,"לפעמים"))/(COUNTIF(S189:Z189,"רוב הזמן")+COUNTIF(S189:Z189,"לפעמים")+COUNTIF(S189:Z189,"עדיין לא")),""))</f>
        <v/>
      </c>
      <c r="AN189" s="37">
        <f>IF($A189="","",IFERROR(1-SUMPRODUCT(ABS((K189:R189="כן")-((S189:Z189="רוב הזמן")+0.5*(S189:Z189="לפעמים")))*(((K189:R189="כן")+(K189:R189="לא"))*((S189:Z189="רוב הזמן")+(S189:Z189="לפעמים")+(S189:Z189="עדיין לא"))))/SUMPRODUCT((((K189:R189="כן")+(K189:R189="לא"))*((S189:Z189="רוב הזמן")+(S189:Z189="לפעמים")+(S189:Z189="עדיין לא")))),""))</f>
        <v/>
      </c>
      <c r="AO189" s="36">
        <f>IF($A189="","",SUMPRODUCT((((K189:R189="כן")-((S189:Z189="רוב הזמן")+0.5*(S189:Z189="לפעמים")))&gt;0.01)*(((K189:R189="כן")+(K189:R189="לא"))*((S189:Z189="רוב הזמן")+(S189:Z189="לפעמים")+(S189:Z189="עדיין לא")))))</f>
        <v/>
      </c>
      <c r="AP189" s="36">
        <f>IF($A189="","",SUMPRODUCT(((((S189:Z189="רוב הזמן")+0.5*(S189:Z189="לפעמים"))-(K189:R189="כן"))&gt;0.01)*(((K189:R189="כן")+(K189:R189="לא"))*((S189:Z189="רוב הזמן")+(S189:Z189="לפעמים")+(S189:Z189="עדיין לא")))))</f>
        <v/>
      </c>
      <c r="AQ189" s="36">
        <f>IF($A189="","",COUNTIF(AA189:AC189,"כן"))</f>
        <v/>
      </c>
      <c r="AR189" s="38" t="n"/>
      <c r="AS189" s="38" t="n"/>
      <c r="AT189" s="38" t="n"/>
      <c r="AU189" s="38" t="n"/>
      <c r="AV189" s="36">
        <f>IF($A189="","",IF(AND(AR189="",AT189=""),"לא נבדק",IF(AND(OR(AR189="",AR189=AS189),OR(AT189="",AT189=AU189)),"תואם","לא תואם")))</f>
        <v/>
      </c>
      <c r="AW189" s="36">
        <f>IF($A189="","",IF(AND(AV189&lt;&gt;"לא תואם",G189&lt;&gt;"לא ברור"),"אמין","לפרש בזהירות"))</f>
        <v/>
      </c>
    </row>
    <row r="190">
      <c r="A190" s="38" t="n"/>
      <c r="B190" s="38" t="n"/>
      <c r="C190" s="38" t="n"/>
      <c r="D190" s="38" t="n"/>
      <c r="E190" s="38" t="n"/>
      <c r="F190" s="38" t="n"/>
      <c r="G190" s="38" t="n"/>
      <c r="H190" s="38" t="n"/>
      <c r="I190" s="38" t="n"/>
      <c r="J190" s="38" t="n"/>
      <c r="K190" s="38" t="n"/>
      <c r="L190" s="38" t="n"/>
      <c r="M190" s="38" t="n"/>
      <c r="N190" s="38" t="n"/>
      <c r="O190" s="38" t="n"/>
      <c r="P190" s="38" t="n"/>
      <c r="Q190" s="38" t="n"/>
      <c r="R190" s="38" t="n"/>
      <c r="S190" s="38" t="n"/>
      <c r="T190" s="38" t="n"/>
      <c r="U190" s="38" t="n"/>
      <c r="V190" s="38" t="n"/>
      <c r="W190" s="38" t="n"/>
      <c r="X190" s="38" t="n"/>
      <c r="Y190" s="38" t="n"/>
      <c r="Z190" s="38" t="n"/>
      <c r="AA190" s="38" t="n"/>
      <c r="AB190" s="38" t="n"/>
      <c r="AC190" s="38" t="n"/>
      <c r="AD190" s="38" t="n"/>
      <c r="AE190" s="38" t="n"/>
      <c r="AF190" s="36">
        <f>IF($A190="","",$A190&amp;"|"&amp;$C190)</f>
        <v/>
      </c>
      <c r="AG190" s="36">
        <f>IF($A190="","",IF(OR(H190="לא נבדק",H190=""),"לא נבדק",IF(AND(H190="בחר/ה בעצמו/ה",I190="כן",J190="לא"),"מלא",IF(OR(H190="בחר/ה בעצמו/ה",I190="כן"),"חלקי","עדיין לא"))))</f>
        <v/>
      </c>
      <c r="AH190" s="37">
        <f>IF($A190="","",IFERROR(COUNTIF(K190:L190,"כן")/(COUNTIF(K190:L190,"כן")+COUNTIF(K190:L190,"לא")),""))</f>
        <v/>
      </c>
      <c r="AI190" s="37">
        <f>IF($A190="","",IFERROR(COUNTIF(M190:N190,"כן")/(COUNTIF(M190:N190,"כן")+COUNTIF(M190:N190,"לא")),""))</f>
        <v/>
      </c>
      <c r="AJ190" s="37">
        <f>IF($A190="","",IFERROR(COUNTIF(O190:P190,"כן")/(COUNTIF(O190:P190,"כן")+COUNTIF(O190:P190,"לא")),""))</f>
        <v/>
      </c>
      <c r="AK190" s="37">
        <f>IF($A190="","",IFERROR(COUNTIF(Q190:R190,"כן")/(COUNTIF(Q190:R190,"כן")+COUNTIF(Q190:R190,"לא")),""))</f>
        <v/>
      </c>
      <c r="AL190" s="37">
        <f>IF($A190="","",IFERROR(COUNTIF(K190:R190,"כן")/(COUNTIF(K190:R190,"כן")+COUNTIF(K190:R190,"לא")),""))</f>
        <v/>
      </c>
      <c r="AM190" s="37">
        <f>IF($A190="","",IFERROR((COUNTIF(S190:Z190,"רוב הזמן")+0.5*COUNTIF(S190:Z190,"לפעמים"))/(COUNTIF(S190:Z190,"רוב הזמן")+COUNTIF(S190:Z190,"לפעמים")+COUNTIF(S190:Z190,"עדיין לא")),""))</f>
        <v/>
      </c>
      <c r="AN190" s="37">
        <f>IF($A190="","",IFERROR(1-SUMPRODUCT(ABS((K190:R190="כן")-((S190:Z190="רוב הזמן")+0.5*(S190:Z190="לפעמים")))*(((K190:R190="כן")+(K190:R190="לא"))*((S190:Z190="רוב הזמן")+(S190:Z190="לפעמים")+(S190:Z190="עדיין לא"))))/SUMPRODUCT((((K190:R190="כן")+(K190:R190="לא"))*((S190:Z190="רוב הזמן")+(S190:Z190="לפעמים")+(S190:Z190="עדיין לא")))),""))</f>
        <v/>
      </c>
      <c r="AO190" s="36">
        <f>IF($A190="","",SUMPRODUCT((((K190:R190="כן")-((S190:Z190="רוב הזמן")+0.5*(S190:Z190="לפעמים")))&gt;0.01)*(((K190:R190="כן")+(K190:R190="לא"))*((S190:Z190="רוב הזמן")+(S190:Z190="לפעמים")+(S190:Z190="עדיין לא")))))</f>
        <v/>
      </c>
      <c r="AP190" s="36">
        <f>IF($A190="","",SUMPRODUCT(((((S190:Z190="רוב הזמן")+0.5*(S190:Z190="לפעמים"))-(K190:R190="כן"))&gt;0.01)*(((K190:R190="כן")+(K190:R190="לא"))*((S190:Z190="רוב הזמן")+(S190:Z190="לפעמים")+(S190:Z190="עדיין לא")))))</f>
        <v/>
      </c>
      <c r="AQ190" s="36">
        <f>IF($A190="","",COUNTIF(AA190:AC190,"כן"))</f>
        <v/>
      </c>
      <c r="AR190" s="38" t="n"/>
      <c r="AS190" s="38" t="n"/>
      <c r="AT190" s="38" t="n"/>
      <c r="AU190" s="38" t="n"/>
      <c r="AV190" s="36">
        <f>IF($A190="","",IF(AND(AR190="",AT190=""),"לא נבדק",IF(AND(OR(AR190="",AR190=AS190),OR(AT190="",AT190=AU190)),"תואם","לא תואם")))</f>
        <v/>
      </c>
      <c r="AW190" s="36">
        <f>IF($A190="","",IF(AND(AV190&lt;&gt;"לא תואם",G190&lt;&gt;"לא ברור"),"אמין","לפרש בזהירות"))</f>
        <v/>
      </c>
    </row>
    <row r="191">
      <c r="A191" s="38" t="n"/>
      <c r="B191" s="38" t="n"/>
      <c r="C191" s="38" t="n"/>
      <c r="D191" s="38" t="n"/>
      <c r="E191" s="38" t="n"/>
      <c r="F191" s="38" t="n"/>
      <c r="G191" s="38" t="n"/>
      <c r="H191" s="38" t="n"/>
      <c r="I191" s="38" t="n"/>
      <c r="J191" s="38" t="n"/>
      <c r="K191" s="38" t="n"/>
      <c r="L191" s="38" t="n"/>
      <c r="M191" s="38" t="n"/>
      <c r="N191" s="38" t="n"/>
      <c r="O191" s="38" t="n"/>
      <c r="P191" s="38" t="n"/>
      <c r="Q191" s="38" t="n"/>
      <c r="R191" s="38" t="n"/>
      <c r="S191" s="38" t="n"/>
      <c r="T191" s="38" t="n"/>
      <c r="U191" s="38" t="n"/>
      <c r="V191" s="38" t="n"/>
      <c r="W191" s="38" t="n"/>
      <c r="X191" s="38" t="n"/>
      <c r="Y191" s="38" t="n"/>
      <c r="Z191" s="38" t="n"/>
      <c r="AA191" s="38" t="n"/>
      <c r="AB191" s="38" t="n"/>
      <c r="AC191" s="38" t="n"/>
      <c r="AD191" s="38" t="n"/>
      <c r="AE191" s="38" t="n"/>
      <c r="AF191" s="36">
        <f>IF($A191="","",$A191&amp;"|"&amp;$C191)</f>
        <v/>
      </c>
      <c r="AG191" s="36">
        <f>IF($A191="","",IF(OR(H191="לא נבדק",H191=""),"לא נבדק",IF(AND(H191="בחר/ה בעצמו/ה",I191="כן",J191="לא"),"מלא",IF(OR(H191="בחר/ה בעצמו/ה",I191="כן"),"חלקי","עדיין לא"))))</f>
        <v/>
      </c>
      <c r="AH191" s="37">
        <f>IF($A191="","",IFERROR(COUNTIF(K191:L191,"כן")/(COUNTIF(K191:L191,"כן")+COUNTIF(K191:L191,"לא")),""))</f>
        <v/>
      </c>
      <c r="AI191" s="37">
        <f>IF($A191="","",IFERROR(COUNTIF(M191:N191,"כן")/(COUNTIF(M191:N191,"כן")+COUNTIF(M191:N191,"לא")),""))</f>
        <v/>
      </c>
      <c r="AJ191" s="37">
        <f>IF($A191="","",IFERROR(COUNTIF(O191:P191,"כן")/(COUNTIF(O191:P191,"כן")+COUNTIF(O191:P191,"לא")),""))</f>
        <v/>
      </c>
      <c r="AK191" s="37">
        <f>IF($A191="","",IFERROR(COUNTIF(Q191:R191,"כן")/(COUNTIF(Q191:R191,"כן")+COUNTIF(Q191:R191,"לא")),""))</f>
        <v/>
      </c>
      <c r="AL191" s="37">
        <f>IF($A191="","",IFERROR(COUNTIF(K191:R191,"כן")/(COUNTIF(K191:R191,"כן")+COUNTIF(K191:R191,"לא")),""))</f>
        <v/>
      </c>
      <c r="AM191" s="37">
        <f>IF($A191="","",IFERROR((COUNTIF(S191:Z191,"רוב הזמן")+0.5*COUNTIF(S191:Z191,"לפעמים"))/(COUNTIF(S191:Z191,"רוב הזמן")+COUNTIF(S191:Z191,"לפעמים")+COUNTIF(S191:Z191,"עדיין לא")),""))</f>
        <v/>
      </c>
      <c r="AN191" s="37">
        <f>IF($A191="","",IFERROR(1-SUMPRODUCT(ABS((K191:R191="כן")-((S191:Z191="רוב הזמן")+0.5*(S191:Z191="לפעמים")))*(((K191:R191="כן")+(K191:R191="לא"))*((S191:Z191="רוב הזמן")+(S191:Z191="לפעמים")+(S191:Z191="עדיין לא"))))/SUMPRODUCT((((K191:R191="כן")+(K191:R191="לא"))*((S191:Z191="רוב הזמן")+(S191:Z191="לפעמים")+(S191:Z191="עדיין לא")))),""))</f>
        <v/>
      </c>
      <c r="AO191" s="36">
        <f>IF($A191="","",SUMPRODUCT((((K191:R191="כן")-((S191:Z191="רוב הזמן")+0.5*(S191:Z191="לפעמים")))&gt;0.01)*(((K191:R191="כן")+(K191:R191="לא"))*((S191:Z191="רוב הזמן")+(S191:Z191="לפעמים")+(S191:Z191="עדיין לא")))))</f>
        <v/>
      </c>
      <c r="AP191" s="36">
        <f>IF($A191="","",SUMPRODUCT(((((S191:Z191="רוב הזמן")+0.5*(S191:Z191="לפעמים"))-(K191:R191="כן"))&gt;0.01)*(((K191:R191="כן")+(K191:R191="לא"))*((S191:Z191="רוב הזמן")+(S191:Z191="לפעמים")+(S191:Z191="עדיין לא")))))</f>
        <v/>
      </c>
      <c r="AQ191" s="36">
        <f>IF($A191="","",COUNTIF(AA191:AC191,"כן"))</f>
        <v/>
      </c>
      <c r="AR191" s="38" t="n"/>
      <c r="AS191" s="38" t="n"/>
      <c r="AT191" s="38" t="n"/>
      <c r="AU191" s="38" t="n"/>
      <c r="AV191" s="36">
        <f>IF($A191="","",IF(AND(AR191="",AT191=""),"לא נבדק",IF(AND(OR(AR191="",AR191=AS191),OR(AT191="",AT191=AU191)),"תואם","לא תואם")))</f>
        <v/>
      </c>
      <c r="AW191" s="36">
        <f>IF($A191="","",IF(AND(AV191&lt;&gt;"לא תואם",G191&lt;&gt;"לא ברור"),"אמין","לפרש בזהירות"))</f>
        <v/>
      </c>
    </row>
    <row r="192">
      <c r="A192" s="38" t="n"/>
      <c r="B192" s="38" t="n"/>
      <c r="C192" s="38" t="n"/>
      <c r="D192" s="38" t="n"/>
      <c r="E192" s="38" t="n"/>
      <c r="F192" s="38" t="n"/>
      <c r="G192" s="38" t="n"/>
      <c r="H192" s="38" t="n"/>
      <c r="I192" s="38" t="n"/>
      <c r="J192" s="38" t="n"/>
      <c r="K192" s="38" t="n"/>
      <c r="L192" s="38" t="n"/>
      <c r="M192" s="38" t="n"/>
      <c r="N192" s="38" t="n"/>
      <c r="O192" s="38" t="n"/>
      <c r="P192" s="38" t="n"/>
      <c r="Q192" s="38" t="n"/>
      <c r="R192" s="38" t="n"/>
      <c r="S192" s="38" t="n"/>
      <c r="T192" s="38" t="n"/>
      <c r="U192" s="38" t="n"/>
      <c r="V192" s="38" t="n"/>
      <c r="W192" s="38" t="n"/>
      <c r="X192" s="38" t="n"/>
      <c r="Y192" s="38" t="n"/>
      <c r="Z192" s="38" t="n"/>
      <c r="AA192" s="38" t="n"/>
      <c r="AB192" s="38" t="n"/>
      <c r="AC192" s="38" t="n"/>
      <c r="AD192" s="38" t="n"/>
      <c r="AE192" s="38" t="n"/>
      <c r="AF192" s="36">
        <f>IF($A192="","",$A192&amp;"|"&amp;$C192)</f>
        <v/>
      </c>
      <c r="AG192" s="36">
        <f>IF($A192="","",IF(OR(H192="לא נבדק",H192=""),"לא נבדק",IF(AND(H192="בחר/ה בעצמו/ה",I192="כן",J192="לא"),"מלא",IF(OR(H192="בחר/ה בעצמו/ה",I192="כן"),"חלקי","עדיין לא"))))</f>
        <v/>
      </c>
      <c r="AH192" s="37">
        <f>IF($A192="","",IFERROR(COUNTIF(K192:L192,"כן")/(COUNTIF(K192:L192,"כן")+COUNTIF(K192:L192,"לא")),""))</f>
        <v/>
      </c>
      <c r="AI192" s="37">
        <f>IF($A192="","",IFERROR(COUNTIF(M192:N192,"כן")/(COUNTIF(M192:N192,"כן")+COUNTIF(M192:N192,"לא")),""))</f>
        <v/>
      </c>
      <c r="AJ192" s="37">
        <f>IF($A192="","",IFERROR(COUNTIF(O192:P192,"כן")/(COUNTIF(O192:P192,"כן")+COUNTIF(O192:P192,"לא")),""))</f>
        <v/>
      </c>
      <c r="AK192" s="37">
        <f>IF($A192="","",IFERROR(COUNTIF(Q192:R192,"כן")/(COUNTIF(Q192:R192,"כן")+COUNTIF(Q192:R192,"לא")),""))</f>
        <v/>
      </c>
      <c r="AL192" s="37">
        <f>IF($A192="","",IFERROR(COUNTIF(K192:R192,"כן")/(COUNTIF(K192:R192,"כן")+COUNTIF(K192:R192,"לא")),""))</f>
        <v/>
      </c>
      <c r="AM192" s="37">
        <f>IF($A192="","",IFERROR((COUNTIF(S192:Z192,"רוב הזמן")+0.5*COUNTIF(S192:Z192,"לפעמים"))/(COUNTIF(S192:Z192,"רוב הזמן")+COUNTIF(S192:Z192,"לפעמים")+COUNTIF(S192:Z192,"עדיין לא")),""))</f>
        <v/>
      </c>
      <c r="AN192" s="37">
        <f>IF($A192="","",IFERROR(1-SUMPRODUCT(ABS((K192:R192="כן")-((S192:Z192="רוב הזמן")+0.5*(S192:Z192="לפעמים")))*(((K192:R192="כן")+(K192:R192="לא"))*((S192:Z192="רוב הזמן")+(S192:Z192="לפעמים")+(S192:Z192="עדיין לא"))))/SUMPRODUCT((((K192:R192="כן")+(K192:R192="לא"))*((S192:Z192="רוב הזמן")+(S192:Z192="לפעמים")+(S192:Z192="עדיין לא")))),""))</f>
        <v/>
      </c>
      <c r="AO192" s="36">
        <f>IF($A192="","",SUMPRODUCT((((K192:R192="כן")-((S192:Z192="רוב הזמן")+0.5*(S192:Z192="לפעמים")))&gt;0.01)*(((K192:R192="כן")+(K192:R192="לא"))*((S192:Z192="רוב הזמן")+(S192:Z192="לפעמים")+(S192:Z192="עדיין לא")))))</f>
        <v/>
      </c>
      <c r="AP192" s="36">
        <f>IF($A192="","",SUMPRODUCT(((((S192:Z192="רוב הזמן")+0.5*(S192:Z192="לפעמים"))-(K192:R192="כן"))&gt;0.01)*(((K192:R192="כן")+(K192:R192="לא"))*((S192:Z192="רוב הזמן")+(S192:Z192="לפעמים")+(S192:Z192="עדיין לא")))))</f>
        <v/>
      </c>
      <c r="AQ192" s="36">
        <f>IF($A192="","",COUNTIF(AA192:AC192,"כן"))</f>
        <v/>
      </c>
      <c r="AR192" s="38" t="n"/>
      <c r="AS192" s="38" t="n"/>
      <c r="AT192" s="38" t="n"/>
      <c r="AU192" s="38" t="n"/>
      <c r="AV192" s="36">
        <f>IF($A192="","",IF(AND(AR192="",AT192=""),"לא נבדק",IF(AND(OR(AR192="",AR192=AS192),OR(AT192="",AT192=AU192)),"תואם","לא תואם")))</f>
        <v/>
      </c>
      <c r="AW192" s="36">
        <f>IF($A192="","",IF(AND(AV192&lt;&gt;"לא תואם",G192&lt;&gt;"לא ברור"),"אמין","לפרש בזהירות"))</f>
        <v/>
      </c>
    </row>
    <row r="193">
      <c r="A193" s="38" t="n"/>
      <c r="B193" s="38" t="n"/>
      <c r="C193" s="38" t="n"/>
      <c r="D193" s="38" t="n"/>
      <c r="E193" s="38" t="n"/>
      <c r="F193" s="38" t="n"/>
      <c r="G193" s="38" t="n"/>
      <c r="H193" s="38" t="n"/>
      <c r="I193" s="38" t="n"/>
      <c r="J193" s="38" t="n"/>
      <c r="K193" s="38" t="n"/>
      <c r="L193" s="38" t="n"/>
      <c r="M193" s="38" t="n"/>
      <c r="N193" s="38" t="n"/>
      <c r="O193" s="38" t="n"/>
      <c r="P193" s="38" t="n"/>
      <c r="Q193" s="38" t="n"/>
      <c r="R193" s="38" t="n"/>
      <c r="S193" s="38" t="n"/>
      <c r="T193" s="38" t="n"/>
      <c r="U193" s="38" t="n"/>
      <c r="V193" s="38" t="n"/>
      <c r="W193" s="38" t="n"/>
      <c r="X193" s="38" t="n"/>
      <c r="Y193" s="38" t="n"/>
      <c r="Z193" s="38" t="n"/>
      <c r="AA193" s="38" t="n"/>
      <c r="AB193" s="38" t="n"/>
      <c r="AC193" s="38" t="n"/>
      <c r="AD193" s="38" t="n"/>
      <c r="AE193" s="38" t="n"/>
      <c r="AF193" s="36">
        <f>IF($A193="","",$A193&amp;"|"&amp;$C193)</f>
        <v/>
      </c>
      <c r="AG193" s="36">
        <f>IF($A193="","",IF(OR(H193="לא נבדק",H193=""),"לא נבדק",IF(AND(H193="בחר/ה בעצמו/ה",I193="כן",J193="לא"),"מלא",IF(OR(H193="בחר/ה בעצמו/ה",I193="כן"),"חלקי","עדיין לא"))))</f>
        <v/>
      </c>
      <c r="AH193" s="37">
        <f>IF($A193="","",IFERROR(COUNTIF(K193:L193,"כן")/(COUNTIF(K193:L193,"כן")+COUNTIF(K193:L193,"לא")),""))</f>
        <v/>
      </c>
      <c r="AI193" s="37">
        <f>IF($A193="","",IFERROR(COUNTIF(M193:N193,"כן")/(COUNTIF(M193:N193,"כן")+COUNTIF(M193:N193,"לא")),""))</f>
        <v/>
      </c>
      <c r="AJ193" s="37">
        <f>IF($A193="","",IFERROR(COUNTIF(O193:P193,"כן")/(COUNTIF(O193:P193,"כן")+COUNTIF(O193:P193,"לא")),""))</f>
        <v/>
      </c>
      <c r="AK193" s="37">
        <f>IF($A193="","",IFERROR(COUNTIF(Q193:R193,"כן")/(COUNTIF(Q193:R193,"כן")+COUNTIF(Q193:R193,"לא")),""))</f>
        <v/>
      </c>
      <c r="AL193" s="37">
        <f>IF($A193="","",IFERROR(COUNTIF(K193:R193,"כן")/(COUNTIF(K193:R193,"כן")+COUNTIF(K193:R193,"לא")),""))</f>
        <v/>
      </c>
      <c r="AM193" s="37">
        <f>IF($A193="","",IFERROR((COUNTIF(S193:Z193,"רוב הזמן")+0.5*COUNTIF(S193:Z193,"לפעמים"))/(COUNTIF(S193:Z193,"רוב הזמן")+COUNTIF(S193:Z193,"לפעמים")+COUNTIF(S193:Z193,"עדיין לא")),""))</f>
        <v/>
      </c>
      <c r="AN193" s="37">
        <f>IF($A193="","",IFERROR(1-SUMPRODUCT(ABS((K193:R193="כן")-((S193:Z193="רוב הזמן")+0.5*(S193:Z193="לפעמים")))*(((K193:R193="כן")+(K193:R193="לא"))*((S193:Z193="רוב הזמן")+(S193:Z193="לפעמים")+(S193:Z193="עדיין לא"))))/SUMPRODUCT((((K193:R193="כן")+(K193:R193="לא"))*((S193:Z193="רוב הזמן")+(S193:Z193="לפעמים")+(S193:Z193="עדיין לא")))),""))</f>
        <v/>
      </c>
      <c r="AO193" s="36">
        <f>IF($A193="","",SUMPRODUCT((((K193:R193="כן")-((S193:Z193="רוב הזמן")+0.5*(S193:Z193="לפעמים")))&gt;0.01)*(((K193:R193="כן")+(K193:R193="לא"))*((S193:Z193="רוב הזמן")+(S193:Z193="לפעמים")+(S193:Z193="עדיין לא")))))</f>
        <v/>
      </c>
      <c r="AP193" s="36">
        <f>IF($A193="","",SUMPRODUCT(((((S193:Z193="רוב הזמן")+0.5*(S193:Z193="לפעמים"))-(K193:R193="כן"))&gt;0.01)*(((K193:R193="כן")+(K193:R193="לא"))*((S193:Z193="רוב הזמן")+(S193:Z193="לפעמים")+(S193:Z193="עדיין לא")))))</f>
        <v/>
      </c>
      <c r="AQ193" s="36">
        <f>IF($A193="","",COUNTIF(AA193:AC193,"כן"))</f>
        <v/>
      </c>
      <c r="AR193" s="38" t="n"/>
      <c r="AS193" s="38" t="n"/>
      <c r="AT193" s="38" t="n"/>
      <c r="AU193" s="38" t="n"/>
      <c r="AV193" s="36">
        <f>IF($A193="","",IF(AND(AR193="",AT193=""),"לא נבדק",IF(AND(OR(AR193="",AR193=AS193),OR(AT193="",AT193=AU193)),"תואם","לא תואם")))</f>
        <v/>
      </c>
      <c r="AW193" s="36">
        <f>IF($A193="","",IF(AND(AV193&lt;&gt;"לא תואם",G193&lt;&gt;"לא ברור"),"אמין","לפרש בזהירות"))</f>
        <v/>
      </c>
    </row>
    <row r="194">
      <c r="A194" s="38" t="n"/>
      <c r="B194" s="38" t="n"/>
      <c r="C194" s="38" t="n"/>
      <c r="D194" s="38" t="n"/>
      <c r="E194" s="38" t="n"/>
      <c r="F194" s="38" t="n"/>
      <c r="G194" s="38" t="n"/>
      <c r="H194" s="38" t="n"/>
      <c r="I194" s="38" t="n"/>
      <c r="J194" s="38" t="n"/>
      <c r="K194" s="38" t="n"/>
      <c r="L194" s="38" t="n"/>
      <c r="M194" s="38" t="n"/>
      <c r="N194" s="38" t="n"/>
      <c r="O194" s="38" t="n"/>
      <c r="P194" s="38" t="n"/>
      <c r="Q194" s="38" t="n"/>
      <c r="R194" s="38" t="n"/>
      <c r="S194" s="38" t="n"/>
      <c r="T194" s="38" t="n"/>
      <c r="U194" s="38" t="n"/>
      <c r="V194" s="38" t="n"/>
      <c r="W194" s="38" t="n"/>
      <c r="X194" s="38" t="n"/>
      <c r="Y194" s="38" t="n"/>
      <c r="Z194" s="38" t="n"/>
      <c r="AA194" s="38" t="n"/>
      <c r="AB194" s="38" t="n"/>
      <c r="AC194" s="38" t="n"/>
      <c r="AD194" s="38" t="n"/>
      <c r="AE194" s="38" t="n"/>
      <c r="AF194" s="36">
        <f>IF($A194="","",$A194&amp;"|"&amp;$C194)</f>
        <v/>
      </c>
      <c r="AG194" s="36">
        <f>IF($A194="","",IF(OR(H194="לא נבדק",H194=""),"לא נבדק",IF(AND(H194="בחר/ה בעצמו/ה",I194="כן",J194="לא"),"מלא",IF(OR(H194="בחר/ה בעצמו/ה",I194="כן"),"חלקי","עדיין לא"))))</f>
        <v/>
      </c>
      <c r="AH194" s="37">
        <f>IF($A194="","",IFERROR(COUNTIF(K194:L194,"כן")/(COUNTIF(K194:L194,"כן")+COUNTIF(K194:L194,"לא")),""))</f>
        <v/>
      </c>
      <c r="AI194" s="37">
        <f>IF($A194="","",IFERROR(COUNTIF(M194:N194,"כן")/(COUNTIF(M194:N194,"כן")+COUNTIF(M194:N194,"לא")),""))</f>
        <v/>
      </c>
      <c r="AJ194" s="37">
        <f>IF($A194="","",IFERROR(COUNTIF(O194:P194,"כן")/(COUNTIF(O194:P194,"כן")+COUNTIF(O194:P194,"לא")),""))</f>
        <v/>
      </c>
      <c r="AK194" s="37">
        <f>IF($A194="","",IFERROR(COUNTIF(Q194:R194,"כן")/(COUNTIF(Q194:R194,"כן")+COUNTIF(Q194:R194,"לא")),""))</f>
        <v/>
      </c>
      <c r="AL194" s="37">
        <f>IF($A194="","",IFERROR(COUNTIF(K194:R194,"כן")/(COUNTIF(K194:R194,"כן")+COUNTIF(K194:R194,"לא")),""))</f>
        <v/>
      </c>
      <c r="AM194" s="37">
        <f>IF($A194="","",IFERROR((COUNTIF(S194:Z194,"רוב הזמן")+0.5*COUNTIF(S194:Z194,"לפעמים"))/(COUNTIF(S194:Z194,"רוב הזמן")+COUNTIF(S194:Z194,"לפעמים")+COUNTIF(S194:Z194,"עדיין לא")),""))</f>
        <v/>
      </c>
      <c r="AN194" s="37">
        <f>IF($A194="","",IFERROR(1-SUMPRODUCT(ABS((K194:R194="כן")-((S194:Z194="רוב הזמן")+0.5*(S194:Z194="לפעמים")))*(((K194:R194="כן")+(K194:R194="לא"))*((S194:Z194="רוב הזמן")+(S194:Z194="לפעמים")+(S194:Z194="עדיין לא"))))/SUMPRODUCT((((K194:R194="כן")+(K194:R194="לא"))*((S194:Z194="רוב הזמן")+(S194:Z194="לפעמים")+(S194:Z194="עדיין לא")))),""))</f>
        <v/>
      </c>
      <c r="AO194" s="36">
        <f>IF($A194="","",SUMPRODUCT((((K194:R194="כן")-((S194:Z194="רוב הזמן")+0.5*(S194:Z194="לפעמים")))&gt;0.01)*(((K194:R194="כן")+(K194:R194="לא"))*((S194:Z194="רוב הזמן")+(S194:Z194="לפעמים")+(S194:Z194="עדיין לא")))))</f>
        <v/>
      </c>
      <c r="AP194" s="36">
        <f>IF($A194="","",SUMPRODUCT(((((S194:Z194="רוב הזמן")+0.5*(S194:Z194="לפעמים"))-(K194:R194="כן"))&gt;0.01)*(((K194:R194="כן")+(K194:R194="לא"))*((S194:Z194="רוב הזמן")+(S194:Z194="לפעמים")+(S194:Z194="עדיין לא")))))</f>
        <v/>
      </c>
      <c r="AQ194" s="36">
        <f>IF($A194="","",COUNTIF(AA194:AC194,"כן"))</f>
        <v/>
      </c>
      <c r="AR194" s="38" t="n"/>
      <c r="AS194" s="38" t="n"/>
      <c r="AT194" s="38" t="n"/>
      <c r="AU194" s="38" t="n"/>
      <c r="AV194" s="36">
        <f>IF($A194="","",IF(AND(AR194="",AT194=""),"לא נבדק",IF(AND(OR(AR194="",AR194=AS194),OR(AT194="",AT194=AU194)),"תואם","לא תואם")))</f>
        <v/>
      </c>
      <c r="AW194" s="36">
        <f>IF($A194="","",IF(AND(AV194&lt;&gt;"לא תואם",G194&lt;&gt;"לא ברור"),"אמין","לפרש בזהירות"))</f>
        <v/>
      </c>
    </row>
    <row r="195">
      <c r="A195" s="38" t="n"/>
      <c r="B195" s="38" t="n"/>
      <c r="C195" s="38" t="n"/>
      <c r="D195" s="38" t="n"/>
      <c r="E195" s="38" t="n"/>
      <c r="F195" s="38" t="n"/>
      <c r="G195" s="38" t="n"/>
      <c r="H195" s="38" t="n"/>
      <c r="I195" s="38" t="n"/>
      <c r="J195" s="38" t="n"/>
      <c r="K195" s="38" t="n"/>
      <c r="L195" s="38" t="n"/>
      <c r="M195" s="38" t="n"/>
      <c r="N195" s="38" t="n"/>
      <c r="O195" s="38" t="n"/>
      <c r="P195" s="38" t="n"/>
      <c r="Q195" s="38" t="n"/>
      <c r="R195" s="38" t="n"/>
      <c r="S195" s="38" t="n"/>
      <c r="T195" s="38" t="n"/>
      <c r="U195" s="38" t="n"/>
      <c r="V195" s="38" t="n"/>
      <c r="W195" s="38" t="n"/>
      <c r="X195" s="38" t="n"/>
      <c r="Y195" s="38" t="n"/>
      <c r="Z195" s="38" t="n"/>
      <c r="AA195" s="38" t="n"/>
      <c r="AB195" s="38" t="n"/>
      <c r="AC195" s="38" t="n"/>
      <c r="AD195" s="38" t="n"/>
      <c r="AE195" s="38" t="n"/>
      <c r="AF195" s="36">
        <f>IF($A195="","",$A195&amp;"|"&amp;$C195)</f>
        <v/>
      </c>
      <c r="AG195" s="36">
        <f>IF($A195="","",IF(OR(H195="לא נבדק",H195=""),"לא נבדק",IF(AND(H195="בחר/ה בעצמו/ה",I195="כן",J195="לא"),"מלא",IF(OR(H195="בחר/ה בעצמו/ה",I195="כן"),"חלקי","עדיין לא"))))</f>
        <v/>
      </c>
      <c r="AH195" s="37">
        <f>IF($A195="","",IFERROR(COUNTIF(K195:L195,"כן")/(COUNTIF(K195:L195,"כן")+COUNTIF(K195:L195,"לא")),""))</f>
        <v/>
      </c>
      <c r="AI195" s="37">
        <f>IF($A195="","",IFERROR(COUNTIF(M195:N195,"כן")/(COUNTIF(M195:N195,"כן")+COUNTIF(M195:N195,"לא")),""))</f>
        <v/>
      </c>
      <c r="AJ195" s="37">
        <f>IF($A195="","",IFERROR(COUNTIF(O195:P195,"כן")/(COUNTIF(O195:P195,"כן")+COUNTIF(O195:P195,"לא")),""))</f>
        <v/>
      </c>
      <c r="AK195" s="37">
        <f>IF($A195="","",IFERROR(COUNTIF(Q195:R195,"כן")/(COUNTIF(Q195:R195,"כן")+COUNTIF(Q195:R195,"לא")),""))</f>
        <v/>
      </c>
      <c r="AL195" s="37">
        <f>IF($A195="","",IFERROR(COUNTIF(K195:R195,"כן")/(COUNTIF(K195:R195,"כן")+COUNTIF(K195:R195,"לא")),""))</f>
        <v/>
      </c>
      <c r="AM195" s="37">
        <f>IF($A195="","",IFERROR((COUNTIF(S195:Z195,"רוב הזמן")+0.5*COUNTIF(S195:Z195,"לפעמים"))/(COUNTIF(S195:Z195,"רוב הזמן")+COUNTIF(S195:Z195,"לפעמים")+COUNTIF(S195:Z195,"עדיין לא")),""))</f>
        <v/>
      </c>
      <c r="AN195" s="37">
        <f>IF($A195="","",IFERROR(1-SUMPRODUCT(ABS((K195:R195="כן")-((S195:Z195="רוב הזמן")+0.5*(S195:Z195="לפעמים")))*(((K195:R195="כן")+(K195:R195="לא"))*((S195:Z195="רוב הזמן")+(S195:Z195="לפעמים")+(S195:Z195="עדיין לא"))))/SUMPRODUCT((((K195:R195="כן")+(K195:R195="לא"))*((S195:Z195="רוב הזמן")+(S195:Z195="לפעמים")+(S195:Z195="עדיין לא")))),""))</f>
        <v/>
      </c>
      <c r="AO195" s="36">
        <f>IF($A195="","",SUMPRODUCT((((K195:R195="כן")-((S195:Z195="רוב הזמן")+0.5*(S195:Z195="לפעמים")))&gt;0.01)*(((K195:R195="כן")+(K195:R195="לא"))*((S195:Z195="רוב הזמן")+(S195:Z195="לפעמים")+(S195:Z195="עדיין לא")))))</f>
        <v/>
      </c>
      <c r="AP195" s="36">
        <f>IF($A195="","",SUMPRODUCT(((((S195:Z195="רוב הזמן")+0.5*(S195:Z195="לפעמים"))-(K195:R195="כן"))&gt;0.01)*(((K195:R195="כן")+(K195:R195="לא"))*((S195:Z195="רוב הזמן")+(S195:Z195="לפעמים")+(S195:Z195="עדיין לא")))))</f>
        <v/>
      </c>
      <c r="AQ195" s="36">
        <f>IF($A195="","",COUNTIF(AA195:AC195,"כן"))</f>
        <v/>
      </c>
      <c r="AR195" s="38" t="n"/>
      <c r="AS195" s="38" t="n"/>
      <c r="AT195" s="38" t="n"/>
      <c r="AU195" s="38" t="n"/>
      <c r="AV195" s="36">
        <f>IF($A195="","",IF(AND(AR195="",AT195=""),"לא נבדק",IF(AND(OR(AR195="",AR195=AS195),OR(AT195="",AT195=AU195)),"תואם","לא תואם")))</f>
        <v/>
      </c>
      <c r="AW195" s="36">
        <f>IF($A195="","",IF(AND(AV195&lt;&gt;"לא תואם",G195&lt;&gt;"לא ברור"),"אמין","לפרש בזהירות"))</f>
        <v/>
      </c>
    </row>
    <row r="196">
      <c r="A196" s="38" t="n"/>
      <c r="B196" s="38" t="n"/>
      <c r="C196" s="38" t="n"/>
      <c r="D196" s="38" t="n"/>
      <c r="E196" s="38" t="n"/>
      <c r="F196" s="38" t="n"/>
      <c r="G196" s="38" t="n"/>
      <c r="H196" s="38" t="n"/>
      <c r="I196" s="38" t="n"/>
      <c r="J196" s="38" t="n"/>
      <c r="K196" s="38" t="n"/>
      <c r="L196" s="38" t="n"/>
      <c r="M196" s="38" t="n"/>
      <c r="N196" s="38" t="n"/>
      <c r="O196" s="38" t="n"/>
      <c r="P196" s="38" t="n"/>
      <c r="Q196" s="38" t="n"/>
      <c r="R196" s="38" t="n"/>
      <c r="S196" s="38" t="n"/>
      <c r="T196" s="38" t="n"/>
      <c r="U196" s="38" t="n"/>
      <c r="V196" s="38" t="n"/>
      <c r="W196" s="38" t="n"/>
      <c r="X196" s="38" t="n"/>
      <c r="Y196" s="38" t="n"/>
      <c r="Z196" s="38" t="n"/>
      <c r="AA196" s="38" t="n"/>
      <c r="AB196" s="38" t="n"/>
      <c r="AC196" s="38" t="n"/>
      <c r="AD196" s="38" t="n"/>
      <c r="AE196" s="38" t="n"/>
      <c r="AF196" s="36">
        <f>IF($A196="","",$A196&amp;"|"&amp;$C196)</f>
        <v/>
      </c>
      <c r="AG196" s="36">
        <f>IF($A196="","",IF(OR(H196="לא נבדק",H196=""),"לא נבדק",IF(AND(H196="בחר/ה בעצמו/ה",I196="כן",J196="לא"),"מלא",IF(OR(H196="בחר/ה בעצמו/ה",I196="כן"),"חלקי","עדיין לא"))))</f>
        <v/>
      </c>
      <c r="AH196" s="37">
        <f>IF($A196="","",IFERROR(COUNTIF(K196:L196,"כן")/(COUNTIF(K196:L196,"כן")+COUNTIF(K196:L196,"לא")),""))</f>
        <v/>
      </c>
      <c r="AI196" s="37">
        <f>IF($A196="","",IFERROR(COUNTIF(M196:N196,"כן")/(COUNTIF(M196:N196,"כן")+COUNTIF(M196:N196,"לא")),""))</f>
        <v/>
      </c>
      <c r="AJ196" s="37">
        <f>IF($A196="","",IFERROR(COUNTIF(O196:P196,"כן")/(COUNTIF(O196:P196,"כן")+COUNTIF(O196:P196,"לא")),""))</f>
        <v/>
      </c>
      <c r="AK196" s="37">
        <f>IF($A196="","",IFERROR(COUNTIF(Q196:R196,"כן")/(COUNTIF(Q196:R196,"כן")+COUNTIF(Q196:R196,"לא")),""))</f>
        <v/>
      </c>
      <c r="AL196" s="37">
        <f>IF($A196="","",IFERROR(COUNTIF(K196:R196,"כן")/(COUNTIF(K196:R196,"כן")+COUNTIF(K196:R196,"לא")),""))</f>
        <v/>
      </c>
      <c r="AM196" s="37">
        <f>IF($A196="","",IFERROR((COUNTIF(S196:Z196,"רוב הזמן")+0.5*COUNTIF(S196:Z196,"לפעמים"))/(COUNTIF(S196:Z196,"רוב הזמן")+COUNTIF(S196:Z196,"לפעמים")+COUNTIF(S196:Z196,"עדיין לא")),""))</f>
        <v/>
      </c>
      <c r="AN196" s="37">
        <f>IF($A196="","",IFERROR(1-SUMPRODUCT(ABS((K196:R196="כן")-((S196:Z196="רוב הזמן")+0.5*(S196:Z196="לפעמים")))*(((K196:R196="כן")+(K196:R196="לא"))*((S196:Z196="רוב הזמן")+(S196:Z196="לפעמים")+(S196:Z196="עדיין לא"))))/SUMPRODUCT((((K196:R196="כן")+(K196:R196="לא"))*((S196:Z196="רוב הזמן")+(S196:Z196="לפעמים")+(S196:Z196="עדיין לא")))),""))</f>
        <v/>
      </c>
      <c r="AO196" s="36">
        <f>IF($A196="","",SUMPRODUCT((((K196:R196="כן")-((S196:Z196="רוב הזמן")+0.5*(S196:Z196="לפעמים")))&gt;0.01)*(((K196:R196="כן")+(K196:R196="לא"))*((S196:Z196="רוב הזמן")+(S196:Z196="לפעמים")+(S196:Z196="עדיין לא")))))</f>
        <v/>
      </c>
      <c r="AP196" s="36">
        <f>IF($A196="","",SUMPRODUCT(((((S196:Z196="רוב הזמן")+0.5*(S196:Z196="לפעמים"))-(K196:R196="כן"))&gt;0.01)*(((K196:R196="כן")+(K196:R196="לא"))*((S196:Z196="רוב הזמן")+(S196:Z196="לפעמים")+(S196:Z196="עדיין לא")))))</f>
        <v/>
      </c>
      <c r="AQ196" s="36">
        <f>IF($A196="","",COUNTIF(AA196:AC196,"כן"))</f>
        <v/>
      </c>
      <c r="AR196" s="38" t="n"/>
      <c r="AS196" s="38" t="n"/>
      <c r="AT196" s="38" t="n"/>
      <c r="AU196" s="38" t="n"/>
      <c r="AV196" s="36">
        <f>IF($A196="","",IF(AND(AR196="",AT196=""),"לא נבדק",IF(AND(OR(AR196="",AR196=AS196),OR(AT196="",AT196=AU196)),"תואם","לא תואם")))</f>
        <v/>
      </c>
      <c r="AW196" s="36">
        <f>IF($A196="","",IF(AND(AV196&lt;&gt;"לא תואם",G196&lt;&gt;"לא ברור"),"אמין","לפרש בזהירות"))</f>
        <v/>
      </c>
    </row>
    <row r="197">
      <c r="A197" s="38" t="n"/>
      <c r="B197" s="38" t="n"/>
      <c r="C197" s="38" t="n"/>
      <c r="D197" s="38" t="n"/>
      <c r="E197" s="38" t="n"/>
      <c r="F197" s="38" t="n"/>
      <c r="G197" s="38" t="n"/>
      <c r="H197" s="38" t="n"/>
      <c r="I197" s="38" t="n"/>
      <c r="J197" s="38" t="n"/>
      <c r="K197" s="38" t="n"/>
      <c r="L197" s="38" t="n"/>
      <c r="M197" s="38" t="n"/>
      <c r="N197" s="38" t="n"/>
      <c r="O197" s="38" t="n"/>
      <c r="P197" s="38" t="n"/>
      <c r="Q197" s="38" t="n"/>
      <c r="R197" s="38" t="n"/>
      <c r="S197" s="38" t="n"/>
      <c r="T197" s="38" t="n"/>
      <c r="U197" s="38" t="n"/>
      <c r="V197" s="38" t="n"/>
      <c r="W197" s="38" t="n"/>
      <c r="X197" s="38" t="n"/>
      <c r="Y197" s="38" t="n"/>
      <c r="Z197" s="38" t="n"/>
      <c r="AA197" s="38" t="n"/>
      <c r="AB197" s="38" t="n"/>
      <c r="AC197" s="38" t="n"/>
      <c r="AD197" s="38" t="n"/>
      <c r="AE197" s="38" t="n"/>
      <c r="AF197" s="36">
        <f>IF($A197="","",$A197&amp;"|"&amp;$C197)</f>
        <v/>
      </c>
      <c r="AG197" s="36">
        <f>IF($A197="","",IF(OR(H197="לא נבדק",H197=""),"לא נבדק",IF(AND(H197="בחר/ה בעצמו/ה",I197="כן",J197="לא"),"מלא",IF(OR(H197="בחר/ה בעצמו/ה",I197="כן"),"חלקי","עדיין לא"))))</f>
        <v/>
      </c>
      <c r="AH197" s="37">
        <f>IF($A197="","",IFERROR(COUNTIF(K197:L197,"כן")/(COUNTIF(K197:L197,"כן")+COUNTIF(K197:L197,"לא")),""))</f>
        <v/>
      </c>
      <c r="AI197" s="37">
        <f>IF($A197="","",IFERROR(COUNTIF(M197:N197,"כן")/(COUNTIF(M197:N197,"כן")+COUNTIF(M197:N197,"לא")),""))</f>
        <v/>
      </c>
      <c r="AJ197" s="37">
        <f>IF($A197="","",IFERROR(COUNTIF(O197:P197,"כן")/(COUNTIF(O197:P197,"כן")+COUNTIF(O197:P197,"לא")),""))</f>
        <v/>
      </c>
      <c r="AK197" s="37">
        <f>IF($A197="","",IFERROR(COUNTIF(Q197:R197,"כן")/(COUNTIF(Q197:R197,"כן")+COUNTIF(Q197:R197,"לא")),""))</f>
        <v/>
      </c>
      <c r="AL197" s="37">
        <f>IF($A197="","",IFERROR(COUNTIF(K197:R197,"כן")/(COUNTIF(K197:R197,"כן")+COUNTIF(K197:R197,"לא")),""))</f>
        <v/>
      </c>
      <c r="AM197" s="37">
        <f>IF($A197="","",IFERROR((COUNTIF(S197:Z197,"רוב הזמן")+0.5*COUNTIF(S197:Z197,"לפעמים"))/(COUNTIF(S197:Z197,"רוב הזמן")+COUNTIF(S197:Z197,"לפעמים")+COUNTIF(S197:Z197,"עדיין לא")),""))</f>
        <v/>
      </c>
      <c r="AN197" s="37">
        <f>IF($A197="","",IFERROR(1-SUMPRODUCT(ABS((K197:R197="כן")-((S197:Z197="רוב הזמן")+0.5*(S197:Z197="לפעמים")))*(((K197:R197="כן")+(K197:R197="לא"))*((S197:Z197="רוב הזמן")+(S197:Z197="לפעמים")+(S197:Z197="עדיין לא"))))/SUMPRODUCT((((K197:R197="כן")+(K197:R197="לא"))*((S197:Z197="רוב הזמן")+(S197:Z197="לפעמים")+(S197:Z197="עדיין לא")))),""))</f>
        <v/>
      </c>
      <c r="AO197" s="36">
        <f>IF($A197="","",SUMPRODUCT((((K197:R197="כן")-((S197:Z197="רוב הזמן")+0.5*(S197:Z197="לפעמים")))&gt;0.01)*(((K197:R197="כן")+(K197:R197="לא"))*((S197:Z197="רוב הזמן")+(S197:Z197="לפעמים")+(S197:Z197="עדיין לא")))))</f>
        <v/>
      </c>
      <c r="AP197" s="36">
        <f>IF($A197="","",SUMPRODUCT(((((S197:Z197="רוב הזמן")+0.5*(S197:Z197="לפעמים"))-(K197:R197="כן"))&gt;0.01)*(((K197:R197="כן")+(K197:R197="לא"))*((S197:Z197="רוב הזמן")+(S197:Z197="לפעמים")+(S197:Z197="עדיין לא")))))</f>
        <v/>
      </c>
      <c r="AQ197" s="36">
        <f>IF($A197="","",COUNTIF(AA197:AC197,"כן"))</f>
        <v/>
      </c>
      <c r="AR197" s="38" t="n"/>
      <c r="AS197" s="38" t="n"/>
      <c r="AT197" s="38" t="n"/>
      <c r="AU197" s="38" t="n"/>
      <c r="AV197" s="36">
        <f>IF($A197="","",IF(AND(AR197="",AT197=""),"לא נבדק",IF(AND(OR(AR197="",AR197=AS197),OR(AT197="",AT197=AU197)),"תואם","לא תואם")))</f>
        <v/>
      </c>
      <c r="AW197" s="36">
        <f>IF($A197="","",IF(AND(AV197&lt;&gt;"לא תואם",G197&lt;&gt;"לא ברור"),"אמין","לפרש בזהירות"))</f>
        <v/>
      </c>
    </row>
    <row r="198">
      <c r="A198" s="38" t="n"/>
      <c r="B198" s="38" t="n"/>
      <c r="C198" s="38" t="n"/>
      <c r="D198" s="38" t="n"/>
      <c r="E198" s="38" t="n"/>
      <c r="F198" s="38" t="n"/>
      <c r="G198" s="38" t="n"/>
      <c r="H198" s="38" t="n"/>
      <c r="I198" s="38" t="n"/>
      <c r="J198" s="38" t="n"/>
      <c r="K198" s="38" t="n"/>
      <c r="L198" s="38" t="n"/>
      <c r="M198" s="38" t="n"/>
      <c r="N198" s="38" t="n"/>
      <c r="O198" s="38" t="n"/>
      <c r="P198" s="38" t="n"/>
      <c r="Q198" s="38" t="n"/>
      <c r="R198" s="38" t="n"/>
      <c r="S198" s="38" t="n"/>
      <c r="T198" s="38" t="n"/>
      <c r="U198" s="38" t="n"/>
      <c r="V198" s="38" t="n"/>
      <c r="W198" s="38" t="n"/>
      <c r="X198" s="38" t="n"/>
      <c r="Y198" s="38" t="n"/>
      <c r="Z198" s="38" t="n"/>
      <c r="AA198" s="38" t="n"/>
      <c r="AB198" s="38" t="n"/>
      <c r="AC198" s="38" t="n"/>
      <c r="AD198" s="38" t="n"/>
      <c r="AE198" s="38" t="n"/>
      <c r="AF198" s="36">
        <f>IF($A198="","",$A198&amp;"|"&amp;$C198)</f>
        <v/>
      </c>
      <c r="AG198" s="36">
        <f>IF($A198="","",IF(OR(H198="לא נבדק",H198=""),"לא נבדק",IF(AND(H198="בחר/ה בעצמו/ה",I198="כן",J198="לא"),"מלא",IF(OR(H198="בחר/ה בעצמו/ה",I198="כן"),"חלקי","עדיין לא"))))</f>
        <v/>
      </c>
      <c r="AH198" s="37">
        <f>IF($A198="","",IFERROR(COUNTIF(K198:L198,"כן")/(COUNTIF(K198:L198,"כן")+COUNTIF(K198:L198,"לא")),""))</f>
        <v/>
      </c>
      <c r="AI198" s="37">
        <f>IF($A198="","",IFERROR(COUNTIF(M198:N198,"כן")/(COUNTIF(M198:N198,"כן")+COUNTIF(M198:N198,"לא")),""))</f>
        <v/>
      </c>
      <c r="AJ198" s="37">
        <f>IF($A198="","",IFERROR(COUNTIF(O198:P198,"כן")/(COUNTIF(O198:P198,"כן")+COUNTIF(O198:P198,"לא")),""))</f>
        <v/>
      </c>
      <c r="AK198" s="37">
        <f>IF($A198="","",IFERROR(COUNTIF(Q198:R198,"כן")/(COUNTIF(Q198:R198,"כן")+COUNTIF(Q198:R198,"לא")),""))</f>
        <v/>
      </c>
      <c r="AL198" s="37">
        <f>IF($A198="","",IFERROR(COUNTIF(K198:R198,"כן")/(COUNTIF(K198:R198,"כן")+COUNTIF(K198:R198,"לא")),""))</f>
        <v/>
      </c>
      <c r="AM198" s="37">
        <f>IF($A198="","",IFERROR((COUNTIF(S198:Z198,"רוב הזמן")+0.5*COUNTIF(S198:Z198,"לפעמים"))/(COUNTIF(S198:Z198,"רוב הזמן")+COUNTIF(S198:Z198,"לפעמים")+COUNTIF(S198:Z198,"עדיין לא")),""))</f>
        <v/>
      </c>
      <c r="AN198" s="37">
        <f>IF($A198="","",IFERROR(1-SUMPRODUCT(ABS((K198:R198="כן")-((S198:Z198="רוב הזמן")+0.5*(S198:Z198="לפעמים")))*(((K198:R198="כן")+(K198:R198="לא"))*((S198:Z198="רוב הזמן")+(S198:Z198="לפעמים")+(S198:Z198="עדיין לא"))))/SUMPRODUCT((((K198:R198="כן")+(K198:R198="לא"))*((S198:Z198="רוב הזמן")+(S198:Z198="לפעמים")+(S198:Z198="עדיין לא")))),""))</f>
        <v/>
      </c>
      <c r="AO198" s="36">
        <f>IF($A198="","",SUMPRODUCT((((K198:R198="כן")-((S198:Z198="רוב הזמן")+0.5*(S198:Z198="לפעמים")))&gt;0.01)*(((K198:R198="כן")+(K198:R198="לא"))*((S198:Z198="רוב הזמן")+(S198:Z198="לפעמים")+(S198:Z198="עדיין לא")))))</f>
        <v/>
      </c>
      <c r="AP198" s="36">
        <f>IF($A198="","",SUMPRODUCT(((((S198:Z198="רוב הזמן")+0.5*(S198:Z198="לפעמים"))-(K198:R198="כן"))&gt;0.01)*(((K198:R198="כן")+(K198:R198="לא"))*((S198:Z198="רוב הזמן")+(S198:Z198="לפעמים")+(S198:Z198="עדיין לא")))))</f>
        <v/>
      </c>
      <c r="AQ198" s="36">
        <f>IF($A198="","",COUNTIF(AA198:AC198,"כן"))</f>
        <v/>
      </c>
      <c r="AR198" s="38" t="n"/>
      <c r="AS198" s="38" t="n"/>
      <c r="AT198" s="38" t="n"/>
      <c r="AU198" s="38" t="n"/>
      <c r="AV198" s="36">
        <f>IF($A198="","",IF(AND(AR198="",AT198=""),"לא נבדק",IF(AND(OR(AR198="",AR198=AS198),OR(AT198="",AT198=AU198)),"תואם","לא תואם")))</f>
        <v/>
      </c>
      <c r="AW198" s="36">
        <f>IF($A198="","",IF(AND(AV198&lt;&gt;"לא תואם",G198&lt;&gt;"לא ברור"),"אמין","לפרש בזהירות"))</f>
        <v/>
      </c>
    </row>
    <row r="199">
      <c r="A199" s="38" t="n"/>
      <c r="B199" s="38" t="n"/>
      <c r="C199" s="38" t="n"/>
      <c r="D199" s="38" t="n"/>
      <c r="E199" s="38" t="n"/>
      <c r="F199" s="38" t="n"/>
      <c r="G199" s="38" t="n"/>
      <c r="H199" s="38" t="n"/>
      <c r="I199" s="38" t="n"/>
      <c r="J199" s="38" t="n"/>
      <c r="K199" s="38" t="n"/>
      <c r="L199" s="38" t="n"/>
      <c r="M199" s="38" t="n"/>
      <c r="N199" s="38" t="n"/>
      <c r="O199" s="38" t="n"/>
      <c r="P199" s="38" t="n"/>
      <c r="Q199" s="38" t="n"/>
      <c r="R199" s="38" t="n"/>
      <c r="S199" s="38" t="n"/>
      <c r="T199" s="38" t="n"/>
      <c r="U199" s="38" t="n"/>
      <c r="V199" s="38" t="n"/>
      <c r="W199" s="38" t="n"/>
      <c r="X199" s="38" t="n"/>
      <c r="Y199" s="38" t="n"/>
      <c r="Z199" s="38" t="n"/>
      <c r="AA199" s="38" t="n"/>
      <c r="AB199" s="38" t="n"/>
      <c r="AC199" s="38" t="n"/>
      <c r="AD199" s="38" t="n"/>
      <c r="AE199" s="38" t="n"/>
      <c r="AF199" s="36">
        <f>IF($A199="","",$A199&amp;"|"&amp;$C199)</f>
        <v/>
      </c>
      <c r="AG199" s="36">
        <f>IF($A199="","",IF(OR(H199="לא נבדק",H199=""),"לא נבדק",IF(AND(H199="בחר/ה בעצמו/ה",I199="כן",J199="לא"),"מלא",IF(OR(H199="בחר/ה בעצמו/ה",I199="כן"),"חלקי","עדיין לא"))))</f>
        <v/>
      </c>
      <c r="AH199" s="37">
        <f>IF($A199="","",IFERROR(COUNTIF(K199:L199,"כן")/(COUNTIF(K199:L199,"כן")+COUNTIF(K199:L199,"לא")),""))</f>
        <v/>
      </c>
      <c r="AI199" s="37">
        <f>IF($A199="","",IFERROR(COUNTIF(M199:N199,"כן")/(COUNTIF(M199:N199,"כן")+COUNTIF(M199:N199,"לא")),""))</f>
        <v/>
      </c>
      <c r="AJ199" s="37">
        <f>IF($A199="","",IFERROR(COUNTIF(O199:P199,"כן")/(COUNTIF(O199:P199,"כן")+COUNTIF(O199:P199,"לא")),""))</f>
        <v/>
      </c>
      <c r="AK199" s="37">
        <f>IF($A199="","",IFERROR(COUNTIF(Q199:R199,"כן")/(COUNTIF(Q199:R199,"כן")+COUNTIF(Q199:R199,"לא")),""))</f>
        <v/>
      </c>
      <c r="AL199" s="37">
        <f>IF($A199="","",IFERROR(COUNTIF(K199:R199,"כן")/(COUNTIF(K199:R199,"כן")+COUNTIF(K199:R199,"לא")),""))</f>
        <v/>
      </c>
      <c r="AM199" s="37">
        <f>IF($A199="","",IFERROR((COUNTIF(S199:Z199,"רוב הזמן")+0.5*COUNTIF(S199:Z199,"לפעמים"))/(COUNTIF(S199:Z199,"רוב הזמן")+COUNTIF(S199:Z199,"לפעמים")+COUNTIF(S199:Z199,"עדיין לא")),""))</f>
        <v/>
      </c>
      <c r="AN199" s="37">
        <f>IF($A199="","",IFERROR(1-SUMPRODUCT(ABS((K199:R199="כן")-((S199:Z199="רוב הזמן")+0.5*(S199:Z199="לפעמים")))*(((K199:R199="כן")+(K199:R199="לא"))*((S199:Z199="רוב הזמן")+(S199:Z199="לפעמים")+(S199:Z199="עדיין לא"))))/SUMPRODUCT((((K199:R199="כן")+(K199:R199="לא"))*((S199:Z199="רוב הזמן")+(S199:Z199="לפעמים")+(S199:Z199="עדיין לא")))),""))</f>
        <v/>
      </c>
      <c r="AO199" s="36">
        <f>IF($A199="","",SUMPRODUCT((((K199:R199="כן")-((S199:Z199="רוב הזמן")+0.5*(S199:Z199="לפעמים")))&gt;0.01)*(((K199:R199="כן")+(K199:R199="לא"))*((S199:Z199="רוב הזמן")+(S199:Z199="לפעמים")+(S199:Z199="עדיין לא")))))</f>
        <v/>
      </c>
      <c r="AP199" s="36">
        <f>IF($A199="","",SUMPRODUCT(((((S199:Z199="רוב הזמן")+0.5*(S199:Z199="לפעמים"))-(K199:R199="כן"))&gt;0.01)*(((K199:R199="כן")+(K199:R199="לא"))*((S199:Z199="רוב הזמן")+(S199:Z199="לפעמים")+(S199:Z199="עדיין לא")))))</f>
        <v/>
      </c>
      <c r="AQ199" s="36">
        <f>IF($A199="","",COUNTIF(AA199:AC199,"כן"))</f>
        <v/>
      </c>
      <c r="AR199" s="38" t="n"/>
      <c r="AS199" s="38" t="n"/>
      <c r="AT199" s="38" t="n"/>
      <c r="AU199" s="38" t="n"/>
      <c r="AV199" s="36">
        <f>IF($A199="","",IF(AND(AR199="",AT199=""),"לא נבדק",IF(AND(OR(AR199="",AR199=AS199),OR(AT199="",AT199=AU199)),"תואם","לא תואם")))</f>
        <v/>
      </c>
      <c r="AW199" s="36">
        <f>IF($A199="","",IF(AND(AV199&lt;&gt;"לא תואם",G199&lt;&gt;"לא ברור"),"אמין","לפרש בזהירות"))</f>
        <v/>
      </c>
    </row>
    <row r="200">
      <c r="A200" s="38" t="n"/>
      <c r="B200" s="38" t="n"/>
      <c r="C200" s="38" t="n"/>
      <c r="D200" s="38" t="n"/>
      <c r="E200" s="38" t="n"/>
      <c r="F200" s="38" t="n"/>
      <c r="G200" s="38" t="n"/>
      <c r="H200" s="38" t="n"/>
      <c r="I200" s="38" t="n"/>
      <c r="J200" s="38" t="n"/>
      <c r="K200" s="38" t="n"/>
      <c r="L200" s="38" t="n"/>
      <c r="M200" s="38" t="n"/>
      <c r="N200" s="38" t="n"/>
      <c r="O200" s="38" t="n"/>
      <c r="P200" s="38" t="n"/>
      <c r="Q200" s="38" t="n"/>
      <c r="R200" s="38" t="n"/>
      <c r="S200" s="38" t="n"/>
      <c r="T200" s="38" t="n"/>
      <c r="U200" s="38" t="n"/>
      <c r="V200" s="38" t="n"/>
      <c r="W200" s="38" t="n"/>
      <c r="X200" s="38" t="n"/>
      <c r="Y200" s="38" t="n"/>
      <c r="Z200" s="38" t="n"/>
      <c r="AA200" s="38" t="n"/>
      <c r="AB200" s="38" t="n"/>
      <c r="AC200" s="38" t="n"/>
      <c r="AD200" s="38" t="n"/>
      <c r="AE200" s="38" t="n"/>
      <c r="AF200" s="36">
        <f>IF($A200="","",$A200&amp;"|"&amp;$C200)</f>
        <v/>
      </c>
      <c r="AG200" s="36">
        <f>IF($A200="","",IF(OR(H200="לא נבדק",H200=""),"לא נבדק",IF(AND(H200="בחר/ה בעצמו/ה",I200="כן",J200="לא"),"מלא",IF(OR(H200="בחר/ה בעצמו/ה",I200="כן"),"חלקי","עדיין לא"))))</f>
        <v/>
      </c>
      <c r="AH200" s="37">
        <f>IF($A200="","",IFERROR(COUNTIF(K200:L200,"כן")/(COUNTIF(K200:L200,"כן")+COUNTIF(K200:L200,"לא")),""))</f>
        <v/>
      </c>
      <c r="AI200" s="37">
        <f>IF($A200="","",IFERROR(COUNTIF(M200:N200,"כן")/(COUNTIF(M200:N200,"כן")+COUNTIF(M200:N200,"לא")),""))</f>
        <v/>
      </c>
      <c r="AJ200" s="37">
        <f>IF($A200="","",IFERROR(COUNTIF(O200:P200,"כן")/(COUNTIF(O200:P200,"כן")+COUNTIF(O200:P200,"לא")),""))</f>
        <v/>
      </c>
      <c r="AK200" s="37">
        <f>IF($A200="","",IFERROR(COUNTIF(Q200:R200,"כן")/(COUNTIF(Q200:R200,"כן")+COUNTIF(Q200:R200,"לא")),""))</f>
        <v/>
      </c>
      <c r="AL200" s="37">
        <f>IF($A200="","",IFERROR(COUNTIF(K200:R200,"כן")/(COUNTIF(K200:R200,"כן")+COUNTIF(K200:R200,"לא")),""))</f>
        <v/>
      </c>
      <c r="AM200" s="37">
        <f>IF($A200="","",IFERROR((COUNTIF(S200:Z200,"רוב הזמן")+0.5*COUNTIF(S200:Z200,"לפעמים"))/(COUNTIF(S200:Z200,"רוב הזמן")+COUNTIF(S200:Z200,"לפעמים")+COUNTIF(S200:Z200,"עדיין לא")),""))</f>
        <v/>
      </c>
      <c r="AN200" s="37">
        <f>IF($A200="","",IFERROR(1-SUMPRODUCT(ABS((K200:R200="כן")-((S200:Z200="רוב הזמן")+0.5*(S200:Z200="לפעמים")))*(((K200:R200="כן")+(K200:R200="לא"))*((S200:Z200="רוב הזמן")+(S200:Z200="לפעמים")+(S200:Z200="עדיין לא"))))/SUMPRODUCT((((K200:R200="כן")+(K200:R200="לא"))*((S200:Z200="רוב הזמן")+(S200:Z200="לפעמים")+(S200:Z200="עדיין לא")))),""))</f>
        <v/>
      </c>
      <c r="AO200" s="36">
        <f>IF($A200="","",SUMPRODUCT((((K200:R200="כן")-((S200:Z200="רוב הזמן")+0.5*(S200:Z200="לפעמים")))&gt;0.01)*(((K200:R200="כן")+(K200:R200="לא"))*((S200:Z200="רוב הזמן")+(S200:Z200="לפעמים")+(S200:Z200="עדיין לא")))))</f>
        <v/>
      </c>
      <c r="AP200" s="36">
        <f>IF($A200="","",SUMPRODUCT(((((S200:Z200="רוב הזמן")+0.5*(S200:Z200="לפעמים"))-(K200:R200="כן"))&gt;0.01)*(((K200:R200="כן")+(K200:R200="לא"))*((S200:Z200="רוב הזמן")+(S200:Z200="לפעמים")+(S200:Z200="עדיין לא")))))</f>
        <v/>
      </c>
      <c r="AQ200" s="36">
        <f>IF($A200="","",COUNTIF(AA200:AC200,"כן"))</f>
        <v/>
      </c>
      <c r="AR200" s="38" t="n"/>
      <c r="AS200" s="38" t="n"/>
      <c r="AT200" s="38" t="n"/>
      <c r="AU200" s="38" t="n"/>
      <c r="AV200" s="36">
        <f>IF($A200="","",IF(AND(AR200="",AT200=""),"לא נבדק",IF(AND(OR(AR200="",AR200=AS200),OR(AT200="",AT200=AU200)),"תואם","לא תואם")))</f>
        <v/>
      </c>
      <c r="AW200" s="36">
        <f>IF($A200="","",IF(AND(AV200&lt;&gt;"לא תואם",G200&lt;&gt;"לא ברור"),"אמין","לפרש בזהירות"))</f>
        <v/>
      </c>
    </row>
    <row r="201">
      <c r="A201" s="38" t="n"/>
      <c r="B201" s="38" t="n"/>
      <c r="C201" s="38" t="n"/>
      <c r="D201" s="38" t="n"/>
      <c r="E201" s="38" t="n"/>
      <c r="F201" s="38" t="n"/>
      <c r="G201" s="38" t="n"/>
      <c r="H201" s="38" t="n"/>
      <c r="I201" s="38" t="n"/>
      <c r="J201" s="38" t="n"/>
      <c r="K201" s="38" t="n"/>
      <c r="L201" s="38" t="n"/>
      <c r="M201" s="38" t="n"/>
      <c r="N201" s="38" t="n"/>
      <c r="O201" s="38" t="n"/>
      <c r="P201" s="38" t="n"/>
      <c r="Q201" s="38" t="n"/>
      <c r="R201" s="38" t="n"/>
      <c r="S201" s="38" t="n"/>
      <c r="T201" s="38" t="n"/>
      <c r="U201" s="38" t="n"/>
      <c r="V201" s="38" t="n"/>
      <c r="W201" s="38" t="n"/>
      <c r="X201" s="38" t="n"/>
      <c r="Y201" s="38" t="n"/>
      <c r="Z201" s="38" t="n"/>
      <c r="AA201" s="38" t="n"/>
      <c r="AB201" s="38" t="n"/>
      <c r="AC201" s="38" t="n"/>
      <c r="AD201" s="38" t="n"/>
      <c r="AE201" s="38" t="n"/>
      <c r="AF201" s="36">
        <f>IF($A201="","",$A201&amp;"|"&amp;$C201)</f>
        <v/>
      </c>
      <c r="AG201" s="36">
        <f>IF($A201="","",IF(OR(H201="לא נבדק",H201=""),"לא נבדק",IF(AND(H201="בחר/ה בעצמו/ה",I201="כן",J201="לא"),"מלא",IF(OR(H201="בחר/ה בעצמו/ה",I201="כן"),"חלקי","עדיין לא"))))</f>
        <v/>
      </c>
      <c r="AH201" s="37">
        <f>IF($A201="","",IFERROR(COUNTIF(K201:L201,"כן")/(COUNTIF(K201:L201,"כן")+COUNTIF(K201:L201,"לא")),""))</f>
        <v/>
      </c>
      <c r="AI201" s="37">
        <f>IF($A201="","",IFERROR(COUNTIF(M201:N201,"כן")/(COUNTIF(M201:N201,"כן")+COUNTIF(M201:N201,"לא")),""))</f>
        <v/>
      </c>
      <c r="AJ201" s="37">
        <f>IF($A201="","",IFERROR(COUNTIF(O201:P201,"כן")/(COUNTIF(O201:P201,"כן")+COUNTIF(O201:P201,"לא")),""))</f>
        <v/>
      </c>
      <c r="AK201" s="37">
        <f>IF($A201="","",IFERROR(COUNTIF(Q201:R201,"כן")/(COUNTIF(Q201:R201,"כן")+COUNTIF(Q201:R201,"לא")),""))</f>
        <v/>
      </c>
      <c r="AL201" s="37">
        <f>IF($A201="","",IFERROR(COUNTIF(K201:R201,"כן")/(COUNTIF(K201:R201,"כן")+COUNTIF(K201:R201,"לא")),""))</f>
        <v/>
      </c>
      <c r="AM201" s="37">
        <f>IF($A201="","",IFERROR((COUNTIF(S201:Z201,"רוב הזמן")+0.5*COUNTIF(S201:Z201,"לפעמים"))/(COUNTIF(S201:Z201,"רוב הזמן")+COUNTIF(S201:Z201,"לפעמים")+COUNTIF(S201:Z201,"עדיין לא")),""))</f>
        <v/>
      </c>
      <c r="AN201" s="37">
        <f>IF($A201="","",IFERROR(1-SUMPRODUCT(ABS((K201:R201="כן")-((S201:Z201="רוב הזמן")+0.5*(S201:Z201="לפעמים")))*(((K201:R201="כן")+(K201:R201="לא"))*((S201:Z201="רוב הזמן")+(S201:Z201="לפעמים")+(S201:Z201="עדיין לא"))))/SUMPRODUCT((((K201:R201="כן")+(K201:R201="לא"))*((S201:Z201="רוב הזמן")+(S201:Z201="לפעמים")+(S201:Z201="עדיין לא")))),""))</f>
        <v/>
      </c>
      <c r="AO201" s="36">
        <f>IF($A201="","",SUMPRODUCT((((K201:R201="כן")-((S201:Z201="רוב הזמן")+0.5*(S201:Z201="לפעמים")))&gt;0.01)*(((K201:R201="כן")+(K201:R201="לא"))*((S201:Z201="רוב הזמן")+(S201:Z201="לפעמים")+(S201:Z201="עדיין לא")))))</f>
        <v/>
      </c>
      <c r="AP201" s="36">
        <f>IF($A201="","",SUMPRODUCT(((((S201:Z201="רוב הזמן")+0.5*(S201:Z201="לפעמים"))-(K201:R201="כן"))&gt;0.01)*(((K201:R201="כן")+(K201:R201="לא"))*((S201:Z201="רוב הזמן")+(S201:Z201="לפעמים")+(S201:Z201="עדיין לא")))))</f>
        <v/>
      </c>
      <c r="AQ201" s="36">
        <f>IF($A201="","",COUNTIF(AA201:AC201,"כן"))</f>
        <v/>
      </c>
      <c r="AR201" s="38" t="n"/>
      <c r="AS201" s="38" t="n"/>
      <c r="AT201" s="38" t="n"/>
      <c r="AU201" s="38" t="n"/>
      <c r="AV201" s="36">
        <f>IF($A201="","",IF(AND(AR201="",AT201=""),"לא נבדק",IF(AND(OR(AR201="",AR201=AS201),OR(AT201="",AT201=AU201)),"תואם","לא תואם")))</f>
        <v/>
      </c>
      <c r="AW201" s="36">
        <f>IF($A201="","",IF(AND(AV201&lt;&gt;"לא תואם",G201&lt;&gt;"לא ברור"),"אמין","לפרש בזהירות"))</f>
        <v/>
      </c>
    </row>
    <row r="202">
      <c r="A202" s="38" t="n"/>
      <c r="B202" s="38" t="n"/>
      <c r="C202" s="38" t="n"/>
      <c r="D202" s="38" t="n"/>
      <c r="E202" s="38" t="n"/>
      <c r="F202" s="38" t="n"/>
      <c r="G202" s="38" t="n"/>
      <c r="H202" s="38" t="n"/>
      <c r="I202" s="38" t="n"/>
      <c r="J202" s="38" t="n"/>
      <c r="K202" s="38" t="n"/>
      <c r="L202" s="38" t="n"/>
      <c r="M202" s="38" t="n"/>
      <c r="N202" s="38" t="n"/>
      <c r="O202" s="38" t="n"/>
      <c r="P202" s="38" t="n"/>
      <c r="Q202" s="38" t="n"/>
      <c r="R202" s="38" t="n"/>
      <c r="S202" s="38" t="n"/>
      <c r="T202" s="38" t="n"/>
      <c r="U202" s="38" t="n"/>
      <c r="V202" s="38" t="n"/>
      <c r="W202" s="38" t="n"/>
      <c r="X202" s="38" t="n"/>
      <c r="Y202" s="38" t="n"/>
      <c r="Z202" s="38" t="n"/>
      <c r="AA202" s="38" t="n"/>
      <c r="AB202" s="38" t="n"/>
      <c r="AC202" s="38" t="n"/>
      <c r="AD202" s="38" t="n"/>
      <c r="AE202" s="38" t="n"/>
      <c r="AF202" s="36">
        <f>IF($A202="","",$A202&amp;"|"&amp;$C202)</f>
        <v/>
      </c>
      <c r="AG202" s="36">
        <f>IF($A202="","",IF(OR(H202="לא נבדק",H202=""),"לא נבדק",IF(AND(H202="בחר/ה בעצמו/ה",I202="כן",J202="לא"),"מלא",IF(OR(H202="בחר/ה בעצמו/ה",I202="כן"),"חלקי","עדיין לא"))))</f>
        <v/>
      </c>
      <c r="AH202" s="37">
        <f>IF($A202="","",IFERROR(COUNTIF(K202:L202,"כן")/(COUNTIF(K202:L202,"כן")+COUNTIF(K202:L202,"לא")),""))</f>
        <v/>
      </c>
      <c r="AI202" s="37">
        <f>IF($A202="","",IFERROR(COUNTIF(M202:N202,"כן")/(COUNTIF(M202:N202,"כן")+COUNTIF(M202:N202,"לא")),""))</f>
        <v/>
      </c>
      <c r="AJ202" s="37">
        <f>IF($A202="","",IFERROR(COUNTIF(O202:P202,"כן")/(COUNTIF(O202:P202,"כן")+COUNTIF(O202:P202,"לא")),""))</f>
        <v/>
      </c>
      <c r="AK202" s="37">
        <f>IF($A202="","",IFERROR(COUNTIF(Q202:R202,"כן")/(COUNTIF(Q202:R202,"כן")+COUNTIF(Q202:R202,"לא")),""))</f>
        <v/>
      </c>
      <c r="AL202" s="37">
        <f>IF($A202="","",IFERROR(COUNTIF(K202:R202,"כן")/(COUNTIF(K202:R202,"כן")+COUNTIF(K202:R202,"לא")),""))</f>
        <v/>
      </c>
      <c r="AM202" s="37">
        <f>IF($A202="","",IFERROR((COUNTIF(S202:Z202,"רוב הזמן")+0.5*COUNTIF(S202:Z202,"לפעמים"))/(COUNTIF(S202:Z202,"רוב הזמן")+COUNTIF(S202:Z202,"לפעמים")+COUNTIF(S202:Z202,"עדיין לא")),""))</f>
        <v/>
      </c>
      <c r="AN202" s="37">
        <f>IF($A202="","",IFERROR(1-SUMPRODUCT(ABS((K202:R202="כן")-((S202:Z202="רוב הזמן")+0.5*(S202:Z202="לפעמים")))*(((K202:R202="כן")+(K202:R202="לא"))*((S202:Z202="רוב הזמן")+(S202:Z202="לפעמים")+(S202:Z202="עדיין לא"))))/SUMPRODUCT((((K202:R202="כן")+(K202:R202="לא"))*((S202:Z202="רוב הזמן")+(S202:Z202="לפעמים")+(S202:Z202="עדיין לא")))),""))</f>
        <v/>
      </c>
      <c r="AO202" s="36">
        <f>IF($A202="","",SUMPRODUCT((((K202:R202="כן")-((S202:Z202="רוב הזמן")+0.5*(S202:Z202="לפעמים")))&gt;0.01)*(((K202:R202="כן")+(K202:R202="לא"))*((S202:Z202="רוב הזמן")+(S202:Z202="לפעמים")+(S202:Z202="עדיין לא")))))</f>
        <v/>
      </c>
      <c r="AP202" s="36">
        <f>IF($A202="","",SUMPRODUCT(((((S202:Z202="רוב הזמן")+0.5*(S202:Z202="לפעמים"))-(K202:R202="כן"))&gt;0.01)*(((K202:R202="כן")+(K202:R202="לא"))*((S202:Z202="רוב הזמן")+(S202:Z202="לפעמים")+(S202:Z202="עדיין לא")))))</f>
        <v/>
      </c>
      <c r="AQ202" s="36">
        <f>IF($A202="","",COUNTIF(AA202:AC202,"כן"))</f>
        <v/>
      </c>
      <c r="AR202" s="38" t="n"/>
      <c r="AS202" s="38" t="n"/>
      <c r="AT202" s="38" t="n"/>
      <c r="AU202" s="38" t="n"/>
      <c r="AV202" s="36">
        <f>IF($A202="","",IF(AND(AR202="",AT202=""),"לא נבדק",IF(AND(OR(AR202="",AR202=AS202),OR(AT202="",AT202=AU202)),"תואם","לא תואם")))</f>
        <v/>
      </c>
      <c r="AW202" s="36">
        <f>IF($A202="","",IF(AND(AV202&lt;&gt;"לא תואם",G202&lt;&gt;"לא ברור"),"אמין","לפרש בזהירות"))</f>
        <v/>
      </c>
    </row>
    <row r="203">
      <c r="A203" s="38" t="n"/>
      <c r="B203" s="38" t="n"/>
      <c r="C203" s="38" t="n"/>
      <c r="D203" s="38" t="n"/>
      <c r="E203" s="38" t="n"/>
      <c r="F203" s="38" t="n"/>
      <c r="G203" s="38" t="n"/>
      <c r="H203" s="38" t="n"/>
      <c r="I203" s="38" t="n"/>
      <c r="J203" s="38" t="n"/>
      <c r="K203" s="38" t="n"/>
      <c r="L203" s="38" t="n"/>
      <c r="M203" s="38" t="n"/>
      <c r="N203" s="38" t="n"/>
      <c r="O203" s="38" t="n"/>
      <c r="P203" s="38" t="n"/>
      <c r="Q203" s="38" t="n"/>
      <c r="R203" s="38" t="n"/>
      <c r="S203" s="38" t="n"/>
      <c r="T203" s="38" t="n"/>
      <c r="U203" s="38" t="n"/>
      <c r="V203" s="38" t="n"/>
      <c r="W203" s="38" t="n"/>
      <c r="X203" s="38" t="n"/>
      <c r="Y203" s="38" t="n"/>
      <c r="Z203" s="38" t="n"/>
      <c r="AA203" s="38" t="n"/>
      <c r="AB203" s="38" t="n"/>
      <c r="AC203" s="38" t="n"/>
      <c r="AD203" s="38" t="n"/>
      <c r="AE203" s="38" t="n"/>
      <c r="AF203" s="36">
        <f>IF($A203="","",$A203&amp;"|"&amp;$C203)</f>
        <v/>
      </c>
      <c r="AG203" s="36">
        <f>IF($A203="","",IF(OR(H203="לא נבדק",H203=""),"לא נבדק",IF(AND(H203="בחר/ה בעצמו/ה",I203="כן",J203="לא"),"מלא",IF(OR(H203="בחר/ה בעצמו/ה",I203="כן"),"חלקי","עדיין לא"))))</f>
        <v/>
      </c>
      <c r="AH203" s="37">
        <f>IF($A203="","",IFERROR(COUNTIF(K203:L203,"כן")/(COUNTIF(K203:L203,"כן")+COUNTIF(K203:L203,"לא")),""))</f>
        <v/>
      </c>
      <c r="AI203" s="37">
        <f>IF($A203="","",IFERROR(COUNTIF(M203:N203,"כן")/(COUNTIF(M203:N203,"כן")+COUNTIF(M203:N203,"לא")),""))</f>
        <v/>
      </c>
      <c r="AJ203" s="37">
        <f>IF($A203="","",IFERROR(COUNTIF(O203:P203,"כן")/(COUNTIF(O203:P203,"כן")+COUNTIF(O203:P203,"לא")),""))</f>
        <v/>
      </c>
      <c r="AK203" s="37">
        <f>IF($A203="","",IFERROR(COUNTIF(Q203:R203,"כן")/(COUNTIF(Q203:R203,"כן")+COUNTIF(Q203:R203,"לא")),""))</f>
        <v/>
      </c>
      <c r="AL203" s="37">
        <f>IF($A203="","",IFERROR(COUNTIF(K203:R203,"כן")/(COUNTIF(K203:R203,"כן")+COUNTIF(K203:R203,"לא")),""))</f>
        <v/>
      </c>
      <c r="AM203" s="37">
        <f>IF($A203="","",IFERROR((COUNTIF(S203:Z203,"רוב הזמן")+0.5*COUNTIF(S203:Z203,"לפעמים"))/(COUNTIF(S203:Z203,"רוב הזמן")+COUNTIF(S203:Z203,"לפעמים")+COUNTIF(S203:Z203,"עדיין לא")),""))</f>
        <v/>
      </c>
      <c r="AN203" s="37">
        <f>IF($A203="","",IFERROR(1-SUMPRODUCT(ABS((K203:R203="כן")-((S203:Z203="רוב הזמן")+0.5*(S203:Z203="לפעמים")))*(((K203:R203="כן")+(K203:R203="לא"))*((S203:Z203="רוב הזמן")+(S203:Z203="לפעמים")+(S203:Z203="עדיין לא"))))/SUMPRODUCT((((K203:R203="כן")+(K203:R203="לא"))*((S203:Z203="רוב הזמן")+(S203:Z203="לפעמים")+(S203:Z203="עדיין לא")))),""))</f>
        <v/>
      </c>
      <c r="AO203" s="36">
        <f>IF($A203="","",SUMPRODUCT((((K203:R203="כן")-((S203:Z203="רוב הזמן")+0.5*(S203:Z203="לפעמים")))&gt;0.01)*(((K203:R203="כן")+(K203:R203="לא"))*((S203:Z203="רוב הזמן")+(S203:Z203="לפעמים")+(S203:Z203="עדיין לא")))))</f>
        <v/>
      </c>
      <c r="AP203" s="36">
        <f>IF($A203="","",SUMPRODUCT(((((S203:Z203="רוב הזמן")+0.5*(S203:Z203="לפעמים"))-(K203:R203="כן"))&gt;0.01)*(((K203:R203="כן")+(K203:R203="לא"))*((S203:Z203="רוב הזמן")+(S203:Z203="לפעמים")+(S203:Z203="עדיין לא")))))</f>
        <v/>
      </c>
      <c r="AQ203" s="36">
        <f>IF($A203="","",COUNTIF(AA203:AC203,"כן"))</f>
        <v/>
      </c>
      <c r="AR203" s="38" t="n"/>
      <c r="AS203" s="38" t="n"/>
      <c r="AT203" s="38" t="n"/>
      <c r="AU203" s="38" t="n"/>
      <c r="AV203" s="36">
        <f>IF($A203="","",IF(AND(AR203="",AT203=""),"לא נבדק",IF(AND(OR(AR203="",AR203=AS203),OR(AT203="",AT203=AU203)),"תואם","לא תואם")))</f>
        <v/>
      </c>
      <c r="AW203" s="36">
        <f>IF($A203="","",IF(AND(AV203&lt;&gt;"לא תואם",G203&lt;&gt;"לא ברור"),"אמין","לפרש בזהירות"))</f>
        <v/>
      </c>
    </row>
    <row r="204">
      <c r="A204" s="38" t="n"/>
      <c r="B204" s="38" t="n"/>
      <c r="C204" s="38" t="n"/>
      <c r="D204" s="38" t="n"/>
      <c r="E204" s="38" t="n"/>
      <c r="F204" s="38" t="n"/>
      <c r="G204" s="38" t="n"/>
      <c r="H204" s="38" t="n"/>
      <c r="I204" s="38" t="n"/>
      <c r="J204" s="38" t="n"/>
      <c r="K204" s="38" t="n"/>
      <c r="L204" s="38" t="n"/>
      <c r="M204" s="38" t="n"/>
      <c r="N204" s="38" t="n"/>
      <c r="O204" s="38" t="n"/>
      <c r="P204" s="38" t="n"/>
      <c r="Q204" s="38" t="n"/>
      <c r="R204" s="38" t="n"/>
      <c r="S204" s="38" t="n"/>
      <c r="T204" s="38" t="n"/>
      <c r="U204" s="38" t="n"/>
      <c r="V204" s="38" t="n"/>
      <c r="W204" s="38" t="n"/>
      <c r="X204" s="38" t="n"/>
      <c r="Y204" s="38" t="n"/>
      <c r="Z204" s="38" t="n"/>
      <c r="AA204" s="38" t="n"/>
      <c r="AB204" s="38" t="n"/>
      <c r="AC204" s="38" t="n"/>
      <c r="AD204" s="38" t="n"/>
      <c r="AE204" s="38" t="n"/>
      <c r="AF204" s="36">
        <f>IF($A204="","",$A204&amp;"|"&amp;$C204)</f>
        <v/>
      </c>
      <c r="AG204" s="36">
        <f>IF($A204="","",IF(OR(H204="לא נבדק",H204=""),"לא נבדק",IF(AND(H204="בחר/ה בעצמו/ה",I204="כן",J204="לא"),"מלא",IF(OR(H204="בחר/ה בעצמו/ה",I204="כן"),"חלקי","עדיין לא"))))</f>
        <v/>
      </c>
      <c r="AH204" s="37">
        <f>IF($A204="","",IFERROR(COUNTIF(K204:L204,"כן")/(COUNTIF(K204:L204,"כן")+COUNTIF(K204:L204,"לא")),""))</f>
        <v/>
      </c>
      <c r="AI204" s="37">
        <f>IF($A204="","",IFERROR(COUNTIF(M204:N204,"כן")/(COUNTIF(M204:N204,"כן")+COUNTIF(M204:N204,"לא")),""))</f>
        <v/>
      </c>
      <c r="AJ204" s="37">
        <f>IF($A204="","",IFERROR(COUNTIF(O204:P204,"כן")/(COUNTIF(O204:P204,"כן")+COUNTIF(O204:P204,"לא")),""))</f>
        <v/>
      </c>
      <c r="AK204" s="37">
        <f>IF($A204="","",IFERROR(COUNTIF(Q204:R204,"כן")/(COUNTIF(Q204:R204,"כן")+COUNTIF(Q204:R204,"לא")),""))</f>
        <v/>
      </c>
      <c r="AL204" s="37">
        <f>IF($A204="","",IFERROR(COUNTIF(K204:R204,"כן")/(COUNTIF(K204:R204,"כן")+COUNTIF(K204:R204,"לא")),""))</f>
        <v/>
      </c>
      <c r="AM204" s="37">
        <f>IF($A204="","",IFERROR((COUNTIF(S204:Z204,"רוב הזמן")+0.5*COUNTIF(S204:Z204,"לפעמים"))/(COUNTIF(S204:Z204,"רוב הזמן")+COUNTIF(S204:Z204,"לפעמים")+COUNTIF(S204:Z204,"עדיין לא")),""))</f>
        <v/>
      </c>
      <c r="AN204" s="37">
        <f>IF($A204="","",IFERROR(1-SUMPRODUCT(ABS((K204:R204="כן")-((S204:Z204="רוב הזמן")+0.5*(S204:Z204="לפעמים")))*(((K204:R204="כן")+(K204:R204="לא"))*((S204:Z204="רוב הזמן")+(S204:Z204="לפעמים")+(S204:Z204="עדיין לא"))))/SUMPRODUCT((((K204:R204="כן")+(K204:R204="לא"))*((S204:Z204="רוב הזמן")+(S204:Z204="לפעמים")+(S204:Z204="עדיין לא")))),""))</f>
        <v/>
      </c>
      <c r="AO204" s="36">
        <f>IF($A204="","",SUMPRODUCT((((K204:R204="כן")-((S204:Z204="רוב הזמן")+0.5*(S204:Z204="לפעמים")))&gt;0.01)*(((K204:R204="כן")+(K204:R204="לא"))*((S204:Z204="רוב הזמן")+(S204:Z204="לפעמים")+(S204:Z204="עדיין לא")))))</f>
        <v/>
      </c>
      <c r="AP204" s="36">
        <f>IF($A204="","",SUMPRODUCT(((((S204:Z204="רוב הזמן")+0.5*(S204:Z204="לפעמים"))-(K204:R204="כן"))&gt;0.01)*(((K204:R204="כן")+(K204:R204="לא"))*((S204:Z204="רוב הזמן")+(S204:Z204="לפעמים")+(S204:Z204="עדיין לא")))))</f>
        <v/>
      </c>
      <c r="AQ204" s="36">
        <f>IF($A204="","",COUNTIF(AA204:AC204,"כן"))</f>
        <v/>
      </c>
      <c r="AR204" s="38" t="n"/>
      <c r="AS204" s="38" t="n"/>
      <c r="AT204" s="38" t="n"/>
      <c r="AU204" s="38" t="n"/>
      <c r="AV204" s="36">
        <f>IF($A204="","",IF(AND(AR204="",AT204=""),"לא נבדק",IF(AND(OR(AR204="",AR204=AS204),OR(AT204="",AT204=AU204)),"תואם","לא תואם")))</f>
        <v/>
      </c>
      <c r="AW204" s="36">
        <f>IF($A204="","",IF(AND(AV204&lt;&gt;"לא תואם",G204&lt;&gt;"לא ברור"),"אמין","לפרש בזהירות"))</f>
        <v/>
      </c>
    </row>
  </sheetData>
  <mergeCells count="8">
    <mergeCell ref="AR3:AU3"/>
    <mergeCell ref="AF3:AQ3"/>
    <mergeCell ref="S3:Z3"/>
    <mergeCell ref="AV3:AW3"/>
    <mergeCell ref="K3:R3"/>
    <mergeCell ref="A3:G3"/>
    <mergeCell ref="AA3:AD3"/>
    <mergeCell ref="H3:J3"/>
  </mergeCells>
  <conditionalFormatting sqref="AW5:AW204">
    <cfRule type="cellIs" priority="1" operator="equal" dxfId="0">
      <formula>"לפרש בזהירות"</formula>
    </cfRule>
  </conditionalFormatting>
  <conditionalFormatting sqref="AV5:AV204">
    <cfRule type="cellIs" priority="2" operator="equal" dxfId="1">
      <formula>"לא תואם"</formula>
    </cfRule>
  </conditionalFormatting>
  <conditionalFormatting sqref="AH5:AN204">
    <cfRule type="colorScale" priority="3">
      <colorScale>
        <cfvo type="num" val="0"/>
        <cfvo type="num" val="0.5"/>
        <cfvo type="num" val="1"/>
        <color rgb="00F9B5B8"/>
        <color rgb="00FFE07A"/>
        <color rgb="008FD19E"/>
      </colorScale>
    </cfRule>
  </conditionalFormatting>
  <dataValidations count="10">
    <dataValidation sqref="AR5:AR204 AT5:AT204" showDropDown="0" showInputMessage="1" showErrorMessage="0" allowBlank="1" errorTitle="ערך לא תקין" error="בחרו מהרשימה" prompt="ריק = לא ידוע" type="list">
      <formula1>"כן,לא"</formula1>
    </dataValidation>
    <dataValidation sqref="AS5:AS204 AU5:AU204" showDropDown="0" showInputMessage="0" showErrorMessage="0" allowBlank="1" errorTitle="ערך לא תקין" error="בחרו מהרשימה" type="list">
      <formula1>"כן,לא,לא ענה"</formula1>
    </dataValidation>
    <dataValidation sqref="C5:C204" showDropDown="0" showInputMessage="0" showErrorMessage="0" allowBlank="1" errorTitle="ערך לא תקין" error="בחרו מהרשימה" type="list">
      <formula1>"תחילת שנה,אמצע שנה,סוף שנה"</formula1>
    </dataValidation>
    <dataValidation sqref="F5:F204" showDropDown="0" showInputMessage="0" showErrorMessage="0" allowBlank="1" errorTitle="ערך לא תקין" error="בחרו מהרשימה" type="list">
      <formula1>"מגע או לחיצה,מבט,מתג,תיווך מבוגר/ת"</formula1>
    </dataValidation>
    <dataValidation sqref="G5:G204" showDropDown="0" showInputMessage="0" showErrorMessage="0" allowBlank="1" errorTitle="ערך לא תקין" error="בחרו מהרשימה" type="list">
      <formula1>"הבין/ה,חלקית,לא ברור"</formula1>
    </dataValidation>
    <dataValidation sqref="H5:H204" showDropDown="0" showInputMessage="0" showErrorMessage="0" allowBlank="1" errorTitle="ערך לא תקין" error="בחרו מהרשימה" type="list">
      <formula1>"בחר/ה בעצמו/ה,בחר/ה באחר/ת,לא נבדק"</formula1>
    </dataValidation>
    <dataValidation sqref="I5:J204 AA5:AC204" showDropDown="0" showInputMessage="0" showErrorMessage="0" allowBlank="1" errorTitle="ערך לא תקין" error="בחרו מהרשימה" type="list">
      <formula1>"כן,לא,לא ענה"</formula1>
    </dataValidation>
    <dataValidation sqref="K5:R204" showDropDown="0" showInputMessage="0" showErrorMessage="0" allowBlank="1" errorTitle="ערך לא תקין" error="בחרו מהרשימה" type="list">
      <formula1>"כן,לא,לא ענה"</formula1>
    </dataValidation>
    <dataValidation sqref="S5:Z204" showDropDown="0" showInputMessage="0" showErrorMessage="0" allowBlank="1" errorTitle="ערך לא תקין" error="בחרו מהרשימה" type="list">
      <formula1>"רוב הזמן,לפעמים,עדיין לא"</formula1>
    </dataValidation>
    <dataValidation sqref="AD5:AD204" showDropDown="0" showInputMessage="1" showErrorMessage="0" allowBlank="1" errorTitle="ערך לא תקין" error="בחרו מהרשימה" prompt="3 = הרבה · 2 = לפעמים · 1 = כמעט לא" type="list">
      <formula1>"3,2,1"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2295A"/>
    <outlinePr summaryBelow="1" summaryRight="1"/>
    <pageSetUpPr/>
  </sheetPr>
  <dimension ref="A1:AA204"/>
  <sheetViews>
    <sheetView rightToLeft="1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4" customWidth="1" min="26" max="26"/>
    <col width="12" customWidth="1" min="27" max="27"/>
  </cols>
  <sheetData>
    <row r="1">
      <c r="A1" s="10" t="inlineStr">
        <is>
          <t>״זה אני״ – תפיסת מסוגלות לאורך השנה</t>
        </is>
      </c>
    </row>
    <row r="2">
      <c r="A2" s="11" t="inlineStr">
        <is>
          <t>שם תלמיד/ה בעמודה הצהובה, בדיוק כמו בגיליון הקליטה. השינוי מחושב על המסוגלות הכוללת.</t>
        </is>
      </c>
    </row>
    <row r="3">
      <c r="B3" s="39" t="inlineStr">
        <is>
          <t>תחילת שנה</t>
        </is>
      </c>
      <c r="C3" s="40" t="n"/>
      <c r="D3" s="40" t="n"/>
      <c r="E3" s="40" t="n"/>
      <c r="F3" s="40" t="n"/>
      <c r="G3" s="40" t="n"/>
      <c r="H3" s="40" t="n"/>
      <c r="I3" s="40" t="n"/>
      <c r="J3" s="16" t="inlineStr">
        <is>
          <t>אמצע שנה</t>
        </is>
      </c>
      <c r="K3" s="17" t="n"/>
      <c r="L3" s="17" t="n"/>
      <c r="M3" s="17" t="n"/>
      <c r="N3" s="17" t="n"/>
      <c r="O3" s="17" t="n"/>
      <c r="P3" s="17" t="n"/>
      <c r="Q3" s="17" t="n"/>
      <c r="R3" s="41" t="inlineStr">
        <is>
          <t>סוף שנה</t>
        </is>
      </c>
      <c r="S3" s="42" t="n"/>
      <c r="T3" s="42" t="n"/>
      <c r="U3" s="42" t="n"/>
      <c r="V3" s="42" t="n"/>
      <c r="W3" s="42" t="n"/>
      <c r="X3" s="42" t="n"/>
      <c r="Y3" s="42" t="n"/>
      <c r="Z3" s="22" t="inlineStr">
        <is>
          <t>שינוי לאורך השנה</t>
        </is>
      </c>
      <c r="AA3" s="23" t="n"/>
    </row>
    <row r="4" ht="58" customHeight="1">
      <c r="A4" s="26" t="inlineStr">
        <is>
          <t>שם התלמיד/ה</t>
        </is>
      </c>
      <c r="B4" s="28" t="inlineStr">
        <is>
          <t>חברתי</t>
        </is>
      </c>
      <c r="C4" s="28" t="inlineStr">
        <is>
          <t>למידה</t>
        </is>
      </c>
      <c r="D4" s="28" t="inlineStr">
        <is>
          <t>רגשות</t>
        </is>
      </c>
      <c r="E4" s="28" t="inlineStr">
        <is>
          <t>עצמאות</t>
        </is>
      </c>
      <c r="F4" s="28" t="inlineStr">
        <is>
          <t>מסוגלות כוללת</t>
        </is>
      </c>
      <c r="G4" s="28" t="inlineStr">
        <is>
          <t>זיהוי עצמי</t>
        </is>
      </c>
      <c r="H4" s="28" t="inlineStr">
        <is>
          <t>דיוק</t>
        </is>
      </c>
      <c r="I4" s="28" t="inlineStr">
        <is>
          <t>אמינות</t>
        </is>
      </c>
      <c r="J4" s="29" t="inlineStr">
        <is>
          <t>חברתי</t>
        </is>
      </c>
      <c r="K4" s="29" t="inlineStr">
        <is>
          <t>למידה</t>
        </is>
      </c>
      <c r="L4" s="29" t="inlineStr">
        <is>
          <t>רגשות</t>
        </is>
      </c>
      <c r="M4" s="29" t="inlineStr">
        <is>
          <t>עצמאות</t>
        </is>
      </c>
      <c r="N4" s="29" t="inlineStr">
        <is>
          <t>מסוגלות כוללת</t>
        </is>
      </c>
      <c r="O4" s="29" t="inlineStr">
        <is>
          <t>זיהוי עצמי</t>
        </is>
      </c>
      <c r="P4" s="29" t="inlineStr">
        <is>
          <t>דיוק</t>
        </is>
      </c>
      <c r="Q4" s="29" t="inlineStr">
        <is>
          <t>אמינות</t>
        </is>
      </c>
      <c r="R4" s="31" t="inlineStr">
        <is>
          <t>חברתי</t>
        </is>
      </c>
      <c r="S4" s="31" t="inlineStr">
        <is>
          <t>למידה</t>
        </is>
      </c>
      <c r="T4" s="31" t="inlineStr">
        <is>
          <t>רגשות</t>
        </is>
      </c>
      <c r="U4" s="31" t="inlineStr">
        <is>
          <t>עצמאות</t>
        </is>
      </c>
      <c r="V4" s="31" t="inlineStr">
        <is>
          <t>מסוגלות כוללת</t>
        </is>
      </c>
      <c r="W4" s="31" t="inlineStr">
        <is>
          <t>זיהוי עצמי</t>
        </is>
      </c>
      <c r="X4" s="31" t="inlineStr">
        <is>
          <t>דיוק</t>
        </is>
      </c>
      <c r="Y4" s="31" t="inlineStr">
        <is>
          <t>אמינות</t>
        </is>
      </c>
      <c r="Z4" s="33" t="inlineStr">
        <is>
          <t>שינוי: סוף מול תחילת שנה</t>
        </is>
      </c>
      <c r="AA4" s="33" t="inlineStr">
        <is>
          <t>מגמה</t>
        </is>
      </c>
    </row>
    <row r="5">
      <c r="A5" s="35" t="inlineStr">
        <is>
          <t>תלמיד לדוגמה</t>
        </is>
      </c>
      <c r="B5" s="37">
        <f>IF($A5="","",IFERROR(INDEX('זה אני - קליטה'!$AH$5:$AH$204,MATCH($A5&amp;"|תחילת שנה",'זה אני - קליטה'!$AF$5:$AF$204,0)),""))</f>
        <v/>
      </c>
      <c r="C5" s="37">
        <f>IF($A5="","",IFERROR(INDEX('זה אני - קליטה'!$AI$5:$AI$204,MATCH($A5&amp;"|תחילת שנה",'זה אני - קליטה'!$AF$5:$AF$204,0)),""))</f>
        <v/>
      </c>
      <c r="D5" s="37">
        <f>IF($A5="","",IFERROR(INDEX('זה אני - קליטה'!$AJ$5:$AJ$204,MATCH($A5&amp;"|תחילת שנה",'זה אני - קליטה'!$AF$5:$AF$204,0)),""))</f>
        <v/>
      </c>
      <c r="E5" s="37">
        <f>IF($A5="","",IFERROR(INDEX('זה אני - קליטה'!$AK$5:$AK$204,MATCH($A5&amp;"|תחילת שנה",'זה אני - קליטה'!$AF$5:$AF$204,0)),""))</f>
        <v/>
      </c>
      <c r="F5" s="37">
        <f>IF($A5="","",IFERROR(INDEX('זה אני - קליטה'!$AL$5:$AL$204,MATCH($A5&amp;"|תחילת שנה",'זה אני - קליטה'!$AF$5:$AF$204,0)),""))</f>
        <v/>
      </c>
      <c r="G5" s="36">
        <f>IF($A5="","",IFERROR(INDEX('זה אני - קליטה'!$AG$5:$AG$204,MATCH($A5&amp;"|תחילת שנה",'זה אני - קליטה'!$AF$5:$AF$204,0)),""))</f>
        <v/>
      </c>
      <c r="H5" s="37">
        <f>IF($A5="","",IFERROR(INDEX('זה אני - קליטה'!$AN$5:$AN$204,MATCH($A5&amp;"|תחילת שנה",'זה אני - קליטה'!$AF$5:$AF$204,0)),""))</f>
        <v/>
      </c>
      <c r="I5" s="36">
        <f>IF($A5="","",IFERROR(INDEX('זה אני - קליטה'!$AW$5:$AW$204,MATCH($A5&amp;"|תחילת שנה",'זה אני - קליטה'!$AF$5:$AF$204,0)),""))</f>
        <v/>
      </c>
      <c r="J5" s="37">
        <f>IF($A5="","",IFERROR(INDEX('זה אני - קליטה'!$AH$5:$AH$204,MATCH($A5&amp;"|אמצע שנה",'זה אני - קליטה'!$AF$5:$AF$204,0)),""))</f>
        <v/>
      </c>
      <c r="K5" s="37">
        <f>IF($A5="","",IFERROR(INDEX('זה אני - קליטה'!$AI$5:$AI$204,MATCH($A5&amp;"|אמצע שנה",'זה אני - קליטה'!$AF$5:$AF$204,0)),""))</f>
        <v/>
      </c>
      <c r="L5" s="37">
        <f>IF($A5="","",IFERROR(INDEX('זה אני - קליטה'!$AJ$5:$AJ$204,MATCH($A5&amp;"|אמצע שנה",'זה אני - קליטה'!$AF$5:$AF$204,0)),""))</f>
        <v/>
      </c>
      <c r="M5" s="37">
        <f>IF($A5="","",IFERROR(INDEX('זה אני - קליטה'!$AK$5:$AK$204,MATCH($A5&amp;"|אמצע שנה",'זה אני - קליטה'!$AF$5:$AF$204,0)),""))</f>
        <v/>
      </c>
      <c r="N5" s="37">
        <f>IF($A5="","",IFERROR(INDEX('זה אני - קליטה'!$AL$5:$AL$204,MATCH($A5&amp;"|אמצע שנה",'זה אני - קליטה'!$AF$5:$AF$204,0)),""))</f>
        <v/>
      </c>
      <c r="O5" s="36">
        <f>IF($A5="","",IFERROR(INDEX('זה אני - קליטה'!$AG$5:$AG$204,MATCH($A5&amp;"|אמצע שנה",'זה אני - קליטה'!$AF$5:$AF$204,0)),""))</f>
        <v/>
      </c>
      <c r="P5" s="37">
        <f>IF($A5="","",IFERROR(INDEX('זה אני - קליטה'!$AN$5:$AN$204,MATCH($A5&amp;"|אמצע שנה",'זה אני - קליטה'!$AF$5:$AF$204,0)),""))</f>
        <v/>
      </c>
      <c r="Q5" s="36">
        <f>IF($A5="","",IFERROR(INDEX('זה אני - קליטה'!$AW$5:$AW$204,MATCH($A5&amp;"|אמצע שנה",'זה אני - קליטה'!$AF$5:$AF$204,0)),""))</f>
        <v/>
      </c>
      <c r="R5" s="37">
        <f>IF($A5="","",IFERROR(INDEX('זה אני - קליטה'!$AH$5:$AH$204,MATCH($A5&amp;"|סוף שנה",'זה אני - קליטה'!$AF$5:$AF$204,0)),""))</f>
        <v/>
      </c>
      <c r="S5" s="37">
        <f>IF($A5="","",IFERROR(INDEX('זה אני - קליטה'!$AI$5:$AI$204,MATCH($A5&amp;"|סוף שנה",'זה אני - קליטה'!$AF$5:$AF$204,0)),""))</f>
        <v/>
      </c>
      <c r="T5" s="37">
        <f>IF($A5="","",IFERROR(INDEX('זה אני - קליטה'!$AJ$5:$AJ$204,MATCH($A5&amp;"|סוף שנה",'זה אני - קליטה'!$AF$5:$AF$204,0)),""))</f>
        <v/>
      </c>
      <c r="U5" s="37">
        <f>IF($A5="","",IFERROR(INDEX('זה אני - קליטה'!$AK$5:$AK$204,MATCH($A5&amp;"|סוף שנה",'זה אני - קליטה'!$AF$5:$AF$204,0)),""))</f>
        <v/>
      </c>
      <c r="V5" s="37">
        <f>IF($A5="","",IFERROR(INDEX('זה אני - קליטה'!$AL$5:$AL$204,MATCH($A5&amp;"|סוף שנה",'זה אני - קליטה'!$AF$5:$AF$204,0)),""))</f>
        <v/>
      </c>
      <c r="W5" s="36">
        <f>IF($A5="","",IFERROR(INDEX('זה אני - קליטה'!$AG$5:$AG$204,MATCH($A5&amp;"|סוף שנה",'זה אני - קליטה'!$AF$5:$AF$204,0)),""))</f>
        <v/>
      </c>
      <c r="X5" s="37">
        <f>IF($A5="","",IFERROR(INDEX('זה אני - קליטה'!$AN$5:$AN$204,MATCH($A5&amp;"|סוף שנה",'זה אני - קליטה'!$AF$5:$AF$204,0)),""))</f>
        <v/>
      </c>
      <c r="Y5" s="36">
        <f>IF($A5="","",IFERROR(INDEX('זה אני - קליטה'!$AW$5:$AW$204,MATCH($A5&amp;"|סוף שנה",'זה אני - קליטה'!$AF$5:$AF$204,0)),""))</f>
        <v/>
      </c>
      <c r="Z5" s="43">
        <f>IF(AND(ISNUMBER(F5),ISNUMBER(V5)),V5-F5,"")</f>
        <v/>
      </c>
      <c r="AA5" s="36">
        <f>IF(Z5="","",IF(Z5&gt;=0.25,"עלייה",IF(Z5&lt;=-0.25,"ירידה","יציב")))</f>
        <v/>
      </c>
    </row>
    <row r="6">
      <c r="A6" s="38" t="n"/>
      <c r="B6" s="37">
        <f>IF($A6="","",IFERROR(INDEX('זה אני - קליטה'!$AH$5:$AH$204,MATCH($A6&amp;"|תחילת שנה",'זה אני - קליטה'!$AF$5:$AF$204,0)),""))</f>
        <v/>
      </c>
      <c r="C6" s="37">
        <f>IF($A6="","",IFERROR(INDEX('זה אני - קליטה'!$AI$5:$AI$204,MATCH($A6&amp;"|תחילת שנה",'זה אני - קליטה'!$AF$5:$AF$204,0)),""))</f>
        <v/>
      </c>
      <c r="D6" s="37">
        <f>IF($A6="","",IFERROR(INDEX('זה אני - קליטה'!$AJ$5:$AJ$204,MATCH($A6&amp;"|תחילת שנה",'זה אני - קליטה'!$AF$5:$AF$204,0)),""))</f>
        <v/>
      </c>
      <c r="E6" s="37">
        <f>IF($A6="","",IFERROR(INDEX('זה אני - קליטה'!$AK$5:$AK$204,MATCH($A6&amp;"|תחילת שנה",'זה אני - קליטה'!$AF$5:$AF$204,0)),""))</f>
        <v/>
      </c>
      <c r="F6" s="37">
        <f>IF($A6="","",IFERROR(INDEX('זה אני - קליטה'!$AL$5:$AL$204,MATCH($A6&amp;"|תחילת שנה",'זה אני - קליטה'!$AF$5:$AF$204,0)),""))</f>
        <v/>
      </c>
      <c r="G6" s="36">
        <f>IF($A6="","",IFERROR(INDEX('זה אני - קליטה'!$AG$5:$AG$204,MATCH($A6&amp;"|תחילת שנה",'זה אני - קליטה'!$AF$5:$AF$204,0)),""))</f>
        <v/>
      </c>
      <c r="H6" s="37">
        <f>IF($A6="","",IFERROR(INDEX('זה אני - קליטה'!$AN$5:$AN$204,MATCH($A6&amp;"|תחילת שנה",'זה אני - קליטה'!$AF$5:$AF$204,0)),""))</f>
        <v/>
      </c>
      <c r="I6" s="36">
        <f>IF($A6="","",IFERROR(INDEX('זה אני - קליטה'!$AW$5:$AW$204,MATCH($A6&amp;"|תחילת שנה",'זה אני - קליטה'!$AF$5:$AF$204,0)),""))</f>
        <v/>
      </c>
      <c r="J6" s="37">
        <f>IF($A6="","",IFERROR(INDEX('זה אני - קליטה'!$AH$5:$AH$204,MATCH($A6&amp;"|אמצע שנה",'זה אני - קליטה'!$AF$5:$AF$204,0)),""))</f>
        <v/>
      </c>
      <c r="K6" s="37">
        <f>IF($A6="","",IFERROR(INDEX('זה אני - קליטה'!$AI$5:$AI$204,MATCH($A6&amp;"|אמצע שנה",'זה אני - קליטה'!$AF$5:$AF$204,0)),""))</f>
        <v/>
      </c>
      <c r="L6" s="37">
        <f>IF($A6="","",IFERROR(INDEX('זה אני - קליטה'!$AJ$5:$AJ$204,MATCH($A6&amp;"|אמצע שנה",'זה אני - קליטה'!$AF$5:$AF$204,0)),""))</f>
        <v/>
      </c>
      <c r="M6" s="37">
        <f>IF($A6="","",IFERROR(INDEX('זה אני - קליטה'!$AK$5:$AK$204,MATCH($A6&amp;"|אמצע שנה",'זה אני - קליטה'!$AF$5:$AF$204,0)),""))</f>
        <v/>
      </c>
      <c r="N6" s="37">
        <f>IF($A6="","",IFERROR(INDEX('זה אני - קליטה'!$AL$5:$AL$204,MATCH($A6&amp;"|אמצע שנה",'זה אני - קליטה'!$AF$5:$AF$204,0)),""))</f>
        <v/>
      </c>
      <c r="O6" s="36">
        <f>IF($A6="","",IFERROR(INDEX('זה אני - קליטה'!$AG$5:$AG$204,MATCH($A6&amp;"|אמצע שנה",'זה אני - קליטה'!$AF$5:$AF$204,0)),""))</f>
        <v/>
      </c>
      <c r="P6" s="37">
        <f>IF($A6="","",IFERROR(INDEX('זה אני - קליטה'!$AN$5:$AN$204,MATCH($A6&amp;"|אמצע שנה",'זה אני - קליטה'!$AF$5:$AF$204,0)),""))</f>
        <v/>
      </c>
      <c r="Q6" s="36">
        <f>IF($A6="","",IFERROR(INDEX('זה אני - קליטה'!$AW$5:$AW$204,MATCH($A6&amp;"|אמצע שנה",'זה אני - קליטה'!$AF$5:$AF$204,0)),""))</f>
        <v/>
      </c>
      <c r="R6" s="37">
        <f>IF($A6="","",IFERROR(INDEX('זה אני - קליטה'!$AH$5:$AH$204,MATCH($A6&amp;"|סוף שנה",'זה אני - קליטה'!$AF$5:$AF$204,0)),""))</f>
        <v/>
      </c>
      <c r="S6" s="37">
        <f>IF($A6="","",IFERROR(INDEX('זה אני - קליטה'!$AI$5:$AI$204,MATCH($A6&amp;"|סוף שנה",'זה אני - קליטה'!$AF$5:$AF$204,0)),""))</f>
        <v/>
      </c>
      <c r="T6" s="37">
        <f>IF($A6="","",IFERROR(INDEX('זה אני - קליטה'!$AJ$5:$AJ$204,MATCH($A6&amp;"|סוף שנה",'זה אני - קליטה'!$AF$5:$AF$204,0)),""))</f>
        <v/>
      </c>
      <c r="U6" s="37">
        <f>IF($A6="","",IFERROR(INDEX('זה אני - קליטה'!$AK$5:$AK$204,MATCH($A6&amp;"|סוף שנה",'זה אני - קליטה'!$AF$5:$AF$204,0)),""))</f>
        <v/>
      </c>
      <c r="V6" s="37">
        <f>IF($A6="","",IFERROR(INDEX('זה אני - קליטה'!$AL$5:$AL$204,MATCH($A6&amp;"|סוף שנה",'זה אני - קליטה'!$AF$5:$AF$204,0)),""))</f>
        <v/>
      </c>
      <c r="W6" s="36">
        <f>IF($A6="","",IFERROR(INDEX('זה אני - קליטה'!$AG$5:$AG$204,MATCH($A6&amp;"|סוף שנה",'זה אני - קליטה'!$AF$5:$AF$204,0)),""))</f>
        <v/>
      </c>
      <c r="X6" s="37">
        <f>IF($A6="","",IFERROR(INDEX('זה אני - קליטה'!$AN$5:$AN$204,MATCH($A6&amp;"|סוף שנה",'זה אני - קליטה'!$AF$5:$AF$204,0)),""))</f>
        <v/>
      </c>
      <c r="Y6" s="36">
        <f>IF($A6="","",IFERROR(INDEX('זה אני - קליטה'!$AW$5:$AW$204,MATCH($A6&amp;"|סוף שנה",'זה אני - קליטה'!$AF$5:$AF$204,0)),""))</f>
        <v/>
      </c>
      <c r="Z6" s="43">
        <f>IF(AND(ISNUMBER(F6),ISNUMBER(V6)),V6-F6,"")</f>
        <v/>
      </c>
      <c r="AA6" s="36">
        <f>IF(Z6="","",IF(Z6&gt;=0.25,"עלייה",IF(Z6&lt;=-0.25,"ירידה","יציב")))</f>
        <v/>
      </c>
    </row>
    <row r="7">
      <c r="A7" s="38" t="n"/>
      <c r="B7" s="37">
        <f>IF($A7="","",IFERROR(INDEX('זה אני - קליטה'!$AH$5:$AH$204,MATCH($A7&amp;"|תחילת שנה",'זה אני - קליטה'!$AF$5:$AF$204,0)),""))</f>
        <v/>
      </c>
      <c r="C7" s="37">
        <f>IF($A7="","",IFERROR(INDEX('זה אני - קליטה'!$AI$5:$AI$204,MATCH($A7&amp;"|תחילת שנה",'זה אני - קליטה'!$AF$5:$AF$204,0)),""))</f>
        <v/>
      </c>
      <c r="D7" s="37">
        <f>IF($A7="","",IFERROR(INDEX('זה אני - קליטה'!$AJ$5:$AJ$204,MATCH($A7&amp;"|תחילת שנה",'זה אני - קליטה'!$AF$5:$AF$204,0)),""))</f>
        <v/>
      </c>
      <c r="E7" s="37">
        <f>IF($A7="","",IFERROR(INDEX('זה אני - קליטה'!$AK$5:$AK$204,MATCH($A7&amp;"|תחילת שנה",'זה אני - קליטה'!$AF$5:$AF$204,0)),""))</f>
        <v/>
      </c>
      <c r="F7" s="37">
        <f>IF($A7="","",IFERROR(INDEX('זה אני - קליטה'!$AL$5:$AL$204,MATCH($A7&amp;"|תחילת שנה",'זה אני - קליטה'!$AF$5:$AF$204,0)),""))</f>
        <v/>
      </c>
      <c r="G7" s="36">
        <f>IF($A7="","",IFERROR(INDEX('זה אני - קליטה'!$AG$5:$AG$204,MATCH($A7&amp;"|תחילת שנה",'זה אני - קליטה'!$AF$5:$AF$204,0)),""))</f>
        <v/>
      </c>
      <c r="H7" s="37">
        <f>IF($A7="","",IFERROR(INDEX('זה אני - קליטה'!$AN$5:$AN$204,MATCH($A7&amp;"|תחילת שנה",'זה אני - קליטה'!$AF$5:$AF$204,0)),""))</f>
        <v/>
      </c>
      <c r="I7" s="36">
        <f>IF($A7="","",IFERROR(INDEX('זה אני - קליטה'!$AW$5:$AW$204,MATCH($A7&amp;"|תחילת שנה",'זה אני - קליטה'!$AF$5:$AF$204,0)),""))</f>
        <v/>
      </c>
      <c r="J7" s="37">
        <f>IF($A7="","",IFERROR(INDEX('זה אני - קליטה'!$AH$5:$AH$204,MATCH($A7&amp;"|אמצע שנה",'זה אני - קליטה'!$AF$5:$AF$204,0)),""))</f>
        <v/>
      </c>
      <c r="K7" s="37">
        <f>IF($A7="","",IFERROR(INDEX('זה אני - קליטה'!$AI$5:$AI$204,MATCH($A7&amp;"|אמצע שנה",'זה אני - קליטה'!$AF$5:$AF$204,0)),""))</f>
        <v/>
      </c>
      <c r="L7" s="37">
        <f>IF($A7="","",IFERROR(INDEX('זה אני - קליטה'!$AJ$5:$AJ$204,MATCH($A7&amp;"|אמצע שנה",'זה אני - קליטה'!$AF$5:$AF$204,0)),""))</f>
        <v/>
      </c>
      <c r="M7" s="37">
        <f>IF($A7="","",IFERROR(INDEX('זה אני - קליטה'!$AK$5:$AK$204,MATCH($A7&amp;"|אמצע שנה",'זה אני - קליטה'!$AF$5:$AF$204,0)),""))</f>
        <v/>
      </c>
      <c r="N7" s="37">
        <f>IF($A7="","",IFERROR(INDEX('זה אני - קליטה'!$AL$5:$AL$204,MATCH($A7&amp;"|אמצע שנה",'זה אני - קליטה'!$AF$5:$AF$204,0)),""))</f>
        <v/>
      </c>
      <c r="O7" s="36">
        <f>IF($A7="","",IFERROR(INDEX('זה אני - קליטה'!$AG$5:$AG$204,MATCH($A7&amp;"|אמצע שנה",'זה אני - קליטה'!$AF$5:$AF$204,0)),""))</f>
        <v/>
      </c>
      <c r="P7" s="37">
        <f>IF($A7="","",IFERROR(INDEX('זה אני - קליטה'!$AN$5:$AN$204,MATCH($A7&amp;"|אמצע שנה",'זה אני - קליטה'!$AF$5:$AF$204,0)),""))</f>
        <v/>
      </c>
      <c r="Q7" s="36">
        <f>IF($A7="","",IFERROR(INDEX('זה אני - קליטה'!$AW$5:$AW$204,MATCH($A7&amp;"|אמצע שנה",'זה אני - קליטה'!$AF$5:$AF$204,0)),""))</f>
        <v/>
      </c>
      <c r="R7" s="37">
        <f>IF($A7="","",IFERROR(INDEX('זה אני - קליטה'!$AH$5:$AH$204,MATCH($A7&amp;"|סוף שנה",'זה אני - קליטה'!$AF$5:$AF$204,0)),""))</f>
        <v/>
      </c>
      <c r="S7" s="37">
        <f>IF($A7="","",IFERROR(INDEX('זה אני - קליטה'!$AI$5:$AI$204,MATCH($A7&amp;"|סוף שנה",'זה אני - קליטה'!$AF$5:$AF$204,0)),""))</f>
        <v/>
      </c>
      <c r="T7" s="37">
        <f>IF($A7="","",IFERROR(INDEX('זה אני - קליטה'!$AJ$5:$AJ$204,MATCH($A7&amp;"|סוף שנה",'זה אני - קליטה'!$AF$5:$AF$204,0)),""))</f>
        <v/>
      </c>
      <c r="U7" s="37">
        <f>IF($A7="","",IFERROR(INDEX('זה אני - קליטה'!$AK$5:$AK$204,MATCH($A7&amp;"|סוף שנה",'זה אני - קליטה'!$AF$5:$AF$204,0)),""))</f>
        <v/>
      </c>
      <c r="V7" s="37">
        <f>IF($A7="","",IFERROR(INDEX('זה אני - קליטה'!$AL$5:$AL$204,MATCH($A7&amp;"|סוף שנה",'זה אני - קליטה'!$AF$5:$AF$204,0)),""))</f>
        <v/>
      </c>
      <c r="W7" s="36">
        <f>IF($A7="","",IFERROR(INDEX('זה אני - קליטה'!$AG$5:$AG$204,MATCH($A7&amp;"|סוף שנה",'זה אני - קליטה'!$AF$5:$AF$204,0)),""))</f>
        <v/>
      </c>
      <c r="X7" s="37">
        <f>IF($A7="","",IFERROR(INDEX('זה אני - קליטה'!$AN$5:$AN$204,MATCH($A7&amp;"|סוף שנה",'זה אני - קליטה'!$AF$5:$AF$204,0)),""))</f>
        <v/>
      </c>
      <c r="Y7" s="36">
        <f>IF($A7="","",IFERROR(INDEX('זה אני - קליטה'!$AW$5:$AW$204,MATCH($A7&amp;"|סוף שנה",'זה אני - קליטה'!$AF$5:$AF$204,0)),""))</f>
        <v/>
      </c>
      <c r="Z7" s="43">
        <f>IF(AND(ISNUMBER(F7),ISNUMBER(V7)),V7-F7,"")</f>
        <v/>
      </c>
      <c r="AA7" s="36">
        <f>IF(Z7="","",IF(Z7&gt;=0.25,"עלייה",IF(Z7&lt;=-0.25,"ירידה","יציב")))</f>
        <v/>
      </c>
    </row>
    <row r="8">
      <c r="A8" s="38" t="n"/>
      <c r="B8" s="37">
        <f>IF($A8="","",IFERROR(INDEX('זה אני - קליטה'!$AH$5:$AH$204,MATCH($A8&amp;"|תחילת שנה",'זה אני - קליטה'!$AF$5:$AF$204,0)),""))</f>
        <v/>
      </c>
      <c r="C8" s="37">
        <f>IF($A8="","",IFERROR(INDEX('זה אני - קליטה'!$AI$5:$AI$204,MATCH($A8&amp;"|תחילת שנה",'זה אני - קליטה'!$AF$5:$AF$204,0)),""))</f>
        <v/>
      </c>
      <c r="D8" s="37">
        <f>IF($A8="","",IFERROR(INDEX('זה אני - קליטה'!$AJ$5:$AJ$204,MATCH($A8&amp;"|תחילת שנה",'זה אני - קליטה'!$AF$5:$AF$204,0)),""))</f>
        <v/>
      </c>
      <c r="E8" s="37">
        <f>IF($A8="","",IFERROR(INDEX('זה אני - קליטה'!$AK$5:$AK$204,MATCH($A8&amp;"|תחילת שנה",'זה אני - קליטה'!$AF$5:$AF$204,0)),""))</f>
        <v/>
      </c>
      <c r="F8" s="37">
        <f>IF($A8="","",IFERROR(INDEX('זה אני - קליטה'!$AL$5:$AL$204,MATCH($A8&amp;"|תחילת שנה",'זה אני - קליטה'!$AF$5:$AF$204,0)),""))</f>
        <v/>
      </c>
      <c r="G8" s="36">
        <f>IF($A8="","",IFERROR(INDEX('זה אני - קליטה'!$AG$5:$AG$204,MATCH($A8&amp;"|תחילת שנה",'זה אני - קליטה'!$AF$5:$AF$204,0)),""))</f>
        <v/>
      </c>
      <c r="H8" s="37">
        <f>IF($A8="","",IFERROR(INDEX('זה אני - קליטה'!$AN$5:$AN$204,MATCH($A8&amp;"|תחילת שנה",'זה אני - קליטה'!$AF$5:$AF$204,0)),""))</f>
        <v/>
      </c>
      <c r="I8" s="36">
        <f>IF($A8="","",IFERROR(INDEX('זה אני - קליטה'!$AW$5:$AW$204,MATCH($A8&amp;"|תחילת שנה",'זה אני - קליטה'!$AF$5:$AF$204,0)),""))</f>
        <v/>
      </c>
      <c r="J8" s="37">
        <f>IF($A8="","",IFERROR(INDEX('זה אני - קליטה'!$AH$5:$AH$204,MATCH($A8&amp;"|אמצע שנה",'זה אני - קליטה'!$AF$5:$AF$204,0)),""))</f>
        <v/>
      </c>
      <c r="K8" s="37">
        <f>IF($A8="","",IFERROR(INDEX('זה אני - קליטה'!$AI$5:$AI$204,MATCH($A8&amp;"|אמצע שנה",'זה אני - קליטה'!$AF$5:$AF$204,0)),""))</f>
        <v/>
      </c>
      <c r="L8" s="37">
        <f>IF($A8="","",IFERROR(INDEX('זה אני - קליטה'!$AJ$5:$AJ$204,MATCH($A8&amp;"|אמצע שנה",'זה אני - קליטה'!$AF$5:$AF$204,0)),""))</f>
        <v/>
      </c>
      <c r="M8" s="37">
        <f>IF($A8="","",IFERROR(INDEX('זה אני - קליטה'!$AK$5:$AK$204,MATCH($A8&amp;"|אמצע שנה",'זה אני - קליטה'!$AF$5:$AF$204,0)),""))</f>
        <v/>
      </c>
      <c r="N8" s="37">
        <f>IF($A8="","",IFERROR(INDEX('זה אני - קליטה'!$AL$5:$AL$204,MATCH($A8&amp;"|אמצע שנה",'זה אני - קליטה'!$AF$5:$AF$204,0)),""))</f>
        <v/>
      </c>
      <c r="O8" s="36">
        <f>IF($A8="","",IFERROR(INDEX('זה אני - קליטה'!$AG$5:$AG$204,MATCH($A8&amp;"|אמצע שנה",'זה אני - קליטה'!$AF$5:$AF$204,0)),""))</f>
        <v/>
      </c>
      <c r="P8" s="37">
        <f>IF($A8="","",IFERROR(INDEX('זה אני - קליטה'!$AN$5:$AN$204,MATCH($A8&amp;"|אמצע שנה",'זה אני - קליטה'!$AF$5:$AF$204,0)),""))</f>
        <v/>
      </c>
      <c r="Q8" s="36">
        <f>IF($A8="","",IFERROR(INDEX('זה אני - קליטה'!$AW$5:$AW$204,MATCH($A8&amp;"|אמצע שנה",'זה אני - קליטה'!$AF$5:$AF$204,0)),""))</f>
        <v/>
      </c>
      <c r="R8" s="37">
        <f>IF($A8="","",IFERROR(INDEX('זה אני - קליטה'!$AH$5:$AH$204,MATCH($A8&amp;"|סוף שנה",'זה אני - קליטה'!$AF$5:$AF$204,0)),""))</f>
        <v/>
      </c>
      <c r="S8" s="37">
        <f>IF($A8="","",IFERROR(INDEX('זה אני - קליטה'!$AI$5:$AI$204,MATCH($A8&amp;"|סוף שנה",'זה אני - קליטה'!$AF$5:$AF$204,0)),""))</f>
        <v/>
      </c>
      <c r="T8" s="37">
        <f>IF($A8="","",IFERROR(INDEX('זה אני - קליטה'!$AJ$5:$AJ$204,MATCH($A8&amp;"|סוף שנה",'זה אני - קליטה'!$AF$5:$AF$204,0)),""))</f>
        <v/>
      </c>
      <c r="U8" s="37">
        <f>IF($A8="","",IFERROR(INDEX('זה אני - קליטה'!$AK$5:$AK$204,MATCH($A8&amp;"|סוף שנה",'זה אני - קליטה'!$AF$5:$AF$204,0)),""))</f>
        <v/>
      </c>
      <c r="V8" s="37">
        <f>IF($A8="","",IFERROR(INDEX('זה אני - קליטה'!$AL$5:$AL$204,MATCH($A8&amp;"|סוף שנה",'זה אני - קליטה'!$AF$5:$AF$204,0)),""))</f>
        <v/>
      </c>
      <c r="W8" s="36">
        <f>IF($A8="","",IFERROR(INDEX('זה אני - קליטה'!$AG$5:$AG$204,MATCH($A8&amp;"|סוף שנה",'זה אני - קליטה'!$AF$5:$AF$204,0)),""))</f>
        <v/>
      </c>
      <c r="X8" s="37">
        <f>IF($A8="","",IFERROR(INDEX('זה אני - קליטה'!$AN$5:$AN$204,MATCH($A8&amp;"|סוף שנה",'זה אני - קליטה'!$AF$5:$AF$204,0)),""))</f>
        <v/>
      </c>
      <c r="Y8" s="36">
        <f>IF($A8="","",IFERROR(INDEX('זה אני - קליטה'!$AW$5:$AW$204,MATCH($A8&amp;"|סוף שנה",'זה אני - קליטה'!$AF$5:$AF$204,0)),""))</f>
        <v/>
      </c>
      <c r="Z8" s="43">
        <f>IF(AND(ISNUMBER(F8),ISNUMBER(V8)),V8-F8,"")</f>
        <v/>
      </c>
      <c r="AA8" s="36">
        <f>IF(Z8="","",IF(Z8&gt;=0.25,"עלייה",IF(Z8&lt;=-0.25,"ירידה","יציב")))</f>
        <v/>
      </c>
    </row>
    <row r="9">
      <c r="A9" s="38" t="n"/>
      <c r="B9" s="37">
        <f>IF($A9="","",IFERROR(INDEX('זה אני - קליטה'!$AH$5:$AH$204,MATCH($A9&amp;"|תחילת שנה",'זה אני - קליטה'!$AF$5:$AF$204,0)),""))</f>
        <v/>
      </c>
      <c r="C9" s="37">
        <f>IF($A9="","",IFERROR(INDEX('זה אני - קליטה'!$AI$5:$AI$204,MATCH($A9&amp;"|תחילת שנה",'זה אני - קליטה'!$AF$5:$AF$204,0)),""))</f>
        <v/>
      </c>
      <c r="D9" s="37">
        <f>IF($A9="","",IFERROR(INDEX('זה אני - קליטה'!$AJ$5:$AJ$204,MATCH($A9&amp;"|תחילת שנה",'זה אני - קליטה'!$AF$5:$AF$204,0)),""))</f>
        <v/>
      </c>
      <c r="E9" s="37">
        <f>IF($A9="","",IFERROR(INDEX('זה אני - קליטה'!$AK$5:$AK$204,MATCH($A9&amp;"|תחילת שנה",'זה אני - קליטה'!$AF$5:$AF$204,0)),""))</f>
        <v/>
      </c>
      <c r="F9" s="37">
        <f>IF($A9="","",IFERROR(INDEX('זה אני - קליטה'!$AL$5:$AL$204,MATCH($A9&amp;"|תחילת שנה",'זה אני - קליטה'!$AF$5:$AF$204,0)),""))</f>
        <v/>
      </c>
      <c r="G9" s="36">
        <f>IF($A9="","",IFERROR(INDEX('זה אני - קליטה'!$AG$5:$AG$204,MATCH($A9&amp;"|תחילת שנה",'זה אני - קליטה'!$AF$5:$AF$204,0)),""))</f>
        <v/>
      </c>
      <c r="H9" s="37">
        <f>IF($A9="","",IFERROR(INDEX('זה אני - קליטה'!$AN$5:$AN$204,MATCH($A9&amp;"|תחילת שנה",'זה אני - קליטה'!$AF$5:$AF$204,0)),""))</f>
        <v/>
      </c>
      <c r="I9" s="36">
        <f>IF($A9="","",IFERROR(INDEX('זה אני - קליטה'!$AW$5:$AW$204,MATCH($A9&amp;"|תחילת שנה",'זה אני - קליטה'!$AF$5:$AF$204,0)),""))</f>
        <v/>
      </c>
      <c r="J9" s="37">
        <f>IF($A9="","",IFERROR(INDEX('זה אני - קליטה'!$AH$5:$AH$204,MATCH($A9&amp;"|אמצע שנה",'זה אני - קליטה'!$AF$5:$AF$204,0)),""))</f>
        <v/>
      </c>
      <c r="K9" s="37">
        <f>IF($A9="","",IFERROR(INDEX('זה אני - קליטה'!$AI$5:$AI$204,MATCH($A9&amp;"|אמצע שנה",'זה אני - קליטה'!$AF$5:$AF$204,0)),""))</f>
        <v/>
      </c>
      <c r="L9" s="37">
        <f>IF($A9="","",IFERROR(INDEX('זה אני - קליטה'!$AJ$5:$AJ$204,MATCH($A9&amp;"|אמצע שנה",'זה אני - קליטה'!$AF$5:$AF$204,0)),""))</f>
        <v/>
      </c>
      <c r="M9" s="37">
        <f>IF($A9="","",IFERROR(INDEX('זה אני - קליטה'!$AK$5:$AK$204,MATCH($A9&amp;"|אמצע שנה",'זה אני - קליטה'!$AF$5:$AF$204,0)),""))</f>
        <v/>
      </c>
      <c r="N9" s="37">
        <f>IF($A9="","",IFERROR(INDEX('זה אני - קליטה'!$AL$5:$AL$204,MATCH($A9&amp;"|אמצע שנה",'זה אני - קליטה'!$AF$5:$AF$204,0)),""))</f>
        <v/>
      </c>
      <c r="O9" s="36">
        <f>IF($A9="","",IFERROR(INDEX('זה אני - קליטה'!$AG$5:$AG$204,MATCH($A9&amp;"|אמצע שנה",'זה אני - קליטה'!$AF$5:$AF$204,0)),""))</f>
        <v/>
      </c>
      <c r="P9" s="37">
        <f>IF($A9="","",IFERROR(INDEX('זה אני - קליטה'!$AN$5:$AN$204,MATCH($A9&amp;"|אמצע שנה",'זה אני - קליטה'!$AF$5:$AF$204,0)),""))</f>
        <v/>
      </c>
      <c r="Q9" s="36">
        <f>IF($A9="","",IFERROR(INDEX('זה אני - קליטה'!$AW$5:$AW$204,MATCH($A9&amp;"|אמצע שנה",'זה אני - קליטה'!$AF$5:$AF$204,0)),""))</f>
        <v/>
      </c>
      <c r="R9" s="37">
        <f>IF($A9="","",IFERROR(INDEX('זה אני - קליטה'!$AH$5:$AH$204,MATCH($A9&amp;"|סוף שנה",'זה אני - קליטה'!$AF$5:$AF$204,0)),""))</f>
        <v/>
      </c>
      <c r="S9" s="37">
        <f>IF($A9="","",IFERROR(INDEX('זה אני - קליטה'!$AI$5:$AI$204,MATCH($A9&amp;"|סוף שנה",'זה אני - קליטה'!$AF$5:$AF$204,0)),""))</f>
        <v/>
      </c>
      <c r="T9" s="37">
        <f>IF($A9="","",IFERROR(INDEX('זה אני - קליטה'!$AJ$5:$AJ$204,MATCH($A9&amp;"|סוף שנה",'זה אני - קליטה'!$AF$5:$AF$204,0)),""))</f>
        <v/>
      </c>
      <c r="U9" s="37">
        <f>IF($A9="","",IFERROR(INDEX('זה אני - קליטה'!$AK$5:$AK$204,MATCH($A9&amp;"|סוף שנה",'זה אני - קליטה'!$AF$5:$AF$204,0)),""))</f>
        <v/>
      </c>
      <c r="V9" s="37">
        <f>IF($A9="","",IFERROR(INDEX('זה אני - קליטה'!$AL$5:$AL$204,MATCH($A9&amp;"|סוף שנה",'זה אני - קליטה'!$AF$5:$AF$204,0)),""))</f>
        <v/>
      </c>
      <c r="W9" s="36">
        <f>IF($A9="","",IFERROR(INDEX('זה אני - קליטה'!$AG$5:$AG$204,MATCH($A9&amp;"|סוף שנה",'זה אני - קליטה'!$AF$5:$AF$204,0)),""))</f>
        <v/>
      </c>
      <c r="X9" s="37">
        <f>IF($A9="","",IFERROR(INDEX('זה אני - קליטה'!$AN$5:$AN$204,MATCH($A9&amp;"|סוף שנה",'זה אני - קליטה'!$AF$5:$AF$204,0)),""))</f>
        <v/>
      </c>
      <c r="Y9" s="36">
        <f>IF($A9="","",IFERROR(INDEX('זה אני - קליטה'!$AW$5:$AW$204,MATCH($A9&amp;"|סוף שנה",'זה אני - קליטה'!$AF$5:$AF$204,0)),""))</f>
        <v/>
      </c>
      <c r="Z9" s="43">
        <f>IF(AND(ISNUMBER(F9),ISNUMBER(V9)),V9-F9,"")</f>
        <v/>
      </c>
      <c r="AA9" s="36">
        <f>IF(Z9="","",IF(Z9&gt;=0.25,"עלייה",IF(Z9&lt;=-0.25,"ירידה","יציב")))</f>
        <v/>
      </c>
    </row>
    <row r="10">
      <c r="A10" s="38" t="n"/>
      <c r="B10" s="37">
        <f>IF($A10="","",IFERROR(INDEX('זה אני - קליטה'!$AH$5:$AH$204,MATCH($A10&amp;"|תחילת שנה",'זה אני - קליטה'!$AF$5:$AF$204,0)),""))</f>
        <v/>
      </c>
      <c r="C10" s="37">
        <f>IF($A10="","",IFERROR(INDEX('זה אני - קליטה'!$AI$5:$AI$204,MATCH($A10&amp;"|תחילת שנה",'זה אני - קליטה'!$AF$5:$AF$204,0)),""))</f>
        <v/>
      </c>
      <c r="D10" s="37">
        <f>IF($A10="","",IFERROR(INDEX('זה אני - קליטה'!$AJ$5:$AJ$204,MATCH($A10&amp;"|תחילת שנה",'זה אני - קליטה'!$AF$5:$AF$204,0)),""))</f>
        <v/>
      </c>
      <c r="E10" s="37">
        <f>IF($A10="","",IFERROR(INDEX('זה אני - קליטה'!$AK$5:$AK$204,MATCH($A10&amp;"|תחילת שנה",'זה אני - קליטה'!$AF$5:$AF$204,0)),""))</f>
        <v/>
      </c>
      <c r="F10" s="37">
        <f>IF($A10="","",IFERROR(INDEX('זה אני - קליטה'!$AL$5:$AL$204,MATCH($A10&amp;"|תחילת שנה",'זה אני - קליטה'!$AF$5:$AF$204,0)),""))</f>
        <v/>
      </c>
      <c r="G10" s="36">
        <f>IF($A10="","",IFERROR(INDEX('זה אני - קליטה'!$AG$5:$AG$204,MATCH($A10&amp;"|תחילת שנה",'זה אני - קליטה'!$AF$5:$AF$204,0)),""))</f>
        <v/>
      </c>
      <c r="H10" s="37">
        <f>IF($A10="","",IFERROR(INDEX('זה אני - קליטה'!$AN$5:$AN$204,MATCH($A10&amp;"|תחילת שנה",'זה אני - קליטה'!$AF$5:$AF$204,0)),""))</f>
        <v/>
      </c>
      <c r="I10" s="36">
        <f>IF($A10="","",IFERROR(INDEX('זה אני - קליטה'!$AW$5:$AW$204,MATCH($A10&amp;"|תחילת שנה",'זה אני - קליטה'!$AF$5:$AF$204,0)),""))</f>
        <v/>
      </c>
      <c r="J10" s="37">
        <f>IF($A10="","",IFERROR(INDEX('זה אני - קליטה'!$AH$5:$AH$204,MATCH($A10&amp;"|אמצע שנה",'זה אני - קליטה'!$AF$5:$AF$204,0)),""))</f>
        <v/>
      </c>
      <c r="K10" s="37">
        <f>IF($A10="","",IFERROR(INDEX('זה אני - קליטה'!$AI$5:$AI$204,MATCH($A10&amp;"|אמצע שנה",'זה אני - קליטה'!$AF$5:$AF$204,0)),""))</f>
        <v/>
      </c>
      <c r="L10" s="37">
        <f>IF($A10="","",IFERROR(INDEX('זה אני - קליטה'!$AJ$5:$AJ$204,MATCH($A10&amp;"|אמצע שנה",'זה אני - קליטה'!$AF$5:$AF$204,0)),""))</f>
        <v/>
      </c>
      <c r="M10" s="37">
        <f>IF($A10="","",IFERROR(INDEX('זה אני - קליטה'!$AK$5:$AK$204,MATCH($A10&amp;"|אמצע שנה",'זה אני - קליטה'!$AF$5:$AF$204,0)),""))</f>
        <v/>
      </c>
      <c r="N10" s="37">
        <f>IF($A10="","",IFERROR(INDEX('זה אני - קליטה'!$AL$5:$AL$204,MATCH($A10&amp;"|אמצע שנה",'זה אני - קליטה'!$AF$5:$AF$204,0)),""))</f>
        <v/>
      </c>
      <c r="O10" s="36">
        <f>IF($A10="","",IFERROR(INDEX('זה אני - קליטה'!$AG$5:$AG$204,MATCH($A10&amp;"|אמצע שנה",'זה אני - קליטה'!$AF$5:$AF$204,0)),""))</f>
        <v/>
      </c>
      <c r="P10" s="37">
        <f>IF($A10="","",IFERROR(INDEX('זה אני - קליטה'!$AN$5:$AN$204,MATCH($A10&amp;"|אמצע שנה",'זה אני - קליטה'!$AF$5:$AF$204,0)),""))</f>
        <v/>
      </c>
      <c r="Q10" s="36">
        <f>IF($A10="","",IFERROR(INDEX('זה אני - קליטה'!$AW$5:$AW$204,MATCH($A10&amp;"|אמצע שנה",'זה אני - קליטה'!$AF$5:$AF$204,0)),""))</f>
        <v/>
      </c>
      <c r="R10" s="37">
        <f>IF($A10="","",IFERROR(INDEX('זה אני - קליטה'!$AH$5:$AH$204,MATCH($A10&amp;"|סוף שנה",'זה אני - קליטה'!$AF$5:$AF$204,0)),""))</f>
        <v/>
      </c>
      <c r="S10" s="37">
        <f>IF($A10="","",IFERROR(INDEX('זה אני - קליטה'!$AI$5:$AI$204,MATCH($A10&amp;"|סוף שנה",'זה אני - קליטה'!$AF$5:$AF$204,0)),""))</f>
        <v/>
      </c>
      <c r="T10" s="37">
        <f>IF($A10="","",IFERROR(INDEX('זה אני - קליטה'!$AJ$5:$AJ$204,MATCH($A10&amp;"|סוף שנה",'זה אני - קליטה'!$AF$5:$AF$204,0)),""))</f>
        <v/>
      </c>
      <c r="U10" s="37">
        <f>IF($A10="","",IFERROR(INDEX('זה אני - קליטה'!$AK$5:$AK$204,MATCH($A10&amp;"|סוף שנה",'זה אני - קליטה'!$AF$5:$AF$204,0)),""))</f>
        <v/>
      </c>
      <c r="V10" s="37">
        <f>IF($A10="","",IFERROR(INDEX('זה אני - קליטה'!$AL$5:$AL$204,MATCH($A10&amp;"|סוף שנה",'זה אני - קליטה'!$AF$5:$AF$204,0)),""))</f>
        <v/>
      </c>
      <c r="W10" s="36">
        <f>IF($A10="","",IFERROR(INDEX('זה אני - קליטה'!$AG$5:$AG$204,MATCH($A10&amp;"|סוף שנה",'זה אני - קליטה'!$AF$5:$AF$204,0)),""))</f>
        <v/>
      </c>
      <c r="X10" s="37">
        <f>IF($A10="","",IFERROR(INDEX('זה אני - קליטה'!$AN$5:$AN$204,MATCH($A10&amp;"|סוף שנה",'זה אני - קליטה'!$AF$5:$AF$204,0)),""))</f>
        <v/>
      </c>
      <c r="Y10" s="36">
        <f>IF($A10="","",IFERROR(INDEX('זה אני - קליטה'!$AW$5:$AW$204,MATCH($A10&amp;"|סוף שנה",'זה אני - קליטה'!$AF$5:$AF$204,0)),""))</f>
        <v/>
      </c>
      <c r="Z10" s="43">
        <f>IF(AND(ISNUMBER(F10),ISNUMBER(V10)),V10-F10,"")</f>
        <v/>
      </c>
      <c r="AA10" s="36">
        <f>IF(Z10="","",IF(Z10&gt;=0.25,"עלייה",IF(Z10&lt;=-0.25,"ירידה","יציב")))</f>
        <v/>
      </c>
    </row>
    <row r="11">
      <c r="A11" s="38" t="n"/>
      <c r="B11" s="37">
        <f>IF($A11="","",IFERROR(INDEX('זה אני - קליטה'!$AH$5:$AH$204,MATCH($A11&amp;"|תחילת שנה",'זה אני - קליטה'!$AF$5:$AF$204,0)),""))</f>
        <v/>
      </c>
      <c r="C11" s="37">
        <f>IF($A11="","",IFERROR(INDEX('זה אני - קליטה'!$AI$5:$AI$204,MATCH($A11&amp;"|תחילת שנה",'זה אני - קליטה'!$AF$5:$AF$204,0)),""))</f>
        <v/>
      </c>
      <c r="D11" s="37">
        <f>IF($A11="","",IFERROR(INDEX('זה אני - קליטה'!$AJ$5:$AJ$204,MATCH($A11&amp;"|תחילת שנה",'זה אני - קליטה'!$AF$5:$AF$204,0)),""))</f>
        <v/>
      </c>
      <c r="E11" s="37">
        <f>IF($A11="","",IFERROR(INDEX('זה אני - קליטה'!$AK$5:$AK$204,MATCH($A11&amp;"|תחילת שנה",'זה אני - קליטה'!$AF$5:$AF$204,0)),""))</f>
        <v/>
      </c>
      <c r="F11" s="37">
        <f>IF($A11="","",IFERROR(INDEX('זה אני - קליטה'!$AL$5:$AL$204,MATCH($A11&amp;"|תחילת שנה",'זה אני - קליטה'!$AF$5:$AF$204,0)),""))</f>
        <v/>
      </c>
      <c r="G11" s="36">
        <f>IF($A11="","",IFERROR(INDEX('זה אני - קליטה'!$AG$5:$AG$204,MATCH($A11&amp;"|תחילת שנה",'זה אני - קליטה'!$AF$5:$AF$204,0)),""))</f>
        <v/>
      </c>
      <c r="H11" s="37">
        <f>IF($A11="","",IFERROR(INDEX('זה אני - קליטה'!$AN$5:$AN$204,MATCH($A11&amp;"|תחילת שנה",'זה אני - קליטה'!$AF$5:$AF$204,0)),""))</f>
        <v/>
      </c>
      <c r="I11" s="36">
        <f>IF($A11="","",IFERROR(INDEX('זה אני - קליטה'!$AW$5:$AW$204,MATCH($A11&amp;"|תחילת שנה",'זה אני - קליטה'!$AF$5:$AF$204,0)),""))</f>
        <v/>
      </c>
      <c r="J11" s="37">
        <f>IF($A11="","",IFERROR(INDEX('זה אני - קליטה'!$AH$5:$AH$204,MATCH($A11&amp;"|אמצע שנה",'זה אני - קליטה'!$AF$5:$AF$204,0)),""))</f>
        <v/>
      </c>
      <c r="K11" s="37">
        <f>IF($A11="","",IFERROR(INDEX('זה אני - קליטה'!$AI$5:$AI$204,MATCH($A11&amp;"|אמצע שנה",'זה אני - קליטה'!$AF$5:$AF$204,0)),""))</f>
        <v/>
      </c>
      <c r="L11" s="37">
        <f>IF($A11="","",IFERROR(INDEX('זה אני - קליטה'!$AJ$5:$AJ$204,MATCH($A11&amp;"|אמצע שנה",'זה אני - קליטה'!$AF$5:$AF$204,0)),""))</f>
        <v/>
      </c>
      <c r="M11" s="37">
        <f>IF($A11="","",IFERROR(INDEX('זה אני - קליטה'!$AK$5:$AK$204,MATCH($A11&amp;"|אמצע שנה",'זה אני - קליטה'!$AF$5:$AF$204,0)),""))</f>
        <v/>
      </c>
      <c r="N11" s="37">
        <f>IF($A11="","",IFERROR(INDEX('זה אני - קליטה'!$AL$5:$AL$204,MATCH($A11&amp;"|אמצע שנה",'זה אני - קליטה'!$AF$5:$AF$204,0)),""))</f>
        <v/>
      </c>
      <c r="O11" s="36">
        <f>IF($A11="","",IFERROR(INDEX('זה אני - קליטה'!$AG$5:$AG$204,MATCH($A11&amp;"|אמצע שנה",'זה אני - קליטה'!$AF$5:$AF$204,0)),""))</f>
        <v/>
      </c>
      <c r="P11" s="37">
        <f>IF($A11="","",IFERROR(INDEX('זה אני - קליטה'!$AN$5:$AN$204,MATCH($A11&amp;"|אמצע שנה",'זה אני - קליטה'!$AF$5:$AF$204,0)),""))</f>
        <v/>
      </c>
      <c r="Q11" s="36">
        <f>IF($A11="","",IFERROR(INDEX('זה אני - קליטה'!$AW$5:$AW$204,MATCH($A11&amp;"|אמצע שנה",'זה אני - קליטה'!$AF$5:$AF$204,0)),""))</f>
        <v/>
      </c>
      <c r="R11" s="37">
        <f>IF($A11="","",IFERROR(INDEX('זה אני - קליטה'!$AH$5:$AH$204,MATCH($A11&amp;"|סוף שנה",'זה אני - קליטה'!$AF$5:$AF$204,0)),""))</f>
        <v/>
      </c>
      <c r="S11" s="37">
        <f>IF($A11="","",IFERROR(INDEX('זה אני - קליטה'!$AI$5:$AI$204,MATCH($A11&amp;"|סוף שנה",'זה אני - קליטה'!$AF$5:$AF$204,0)),""))</f>
        <v/>
      </c>
      <c r="T11" s="37">
        <f>IF($A11="","",IFERROR(INDEX('זה אני - קליטה'!$AJ$5:$AJ$204,MATCH($A11&amp;"|סוף שנה",'זה אני - קליטה'!$AF$5:$AF$204,0)),""))</f>
        <v/>
      </c>
      <c r="U11" s="37">
        <f>IF($A11="","",IFERROR(INDEX('זה אני - קליטה'!$AK$5:$AK$204,MATCH($A11&amp;"|סוף שנה",'זה אני - קליטה'!$AF$5:$AF$204,0)),""))</f>
        <v/>
      </c>
      <c r="V11" s="37">
        <f>IF($A11="","",IFERROR(INDEX('זה אני - קליטה'!$AL$5:$AL$204,MATCH($A11&amp;"|סוף שנה",'זה אני - קליטה'!$AF$5:$AF$204,0)),""))</f>
        <v/>
      </c>
      <c r="W11" s="36">
        <f>IF($A11="","",IFERROR(INDEX('זה אני - קליטה'!$AG$5:$AG$204,MATCH($A11&amp;"|סוף שנה",'זה אני - קליטה'!$AF$5:$AF$204,0)),""))</f>
        <v/>
      </c>
      <c r="X11" s="37">
        <f>IF($A11="","",IFERROR(INDEX('זה אני - קליטה'!$AN$5:$AN$204,MATCH($A11&amp;"|סוף שנה",'זה אני - קליטה'!$AF$5:$AF$204,0)),""))</f>
        <v/>
      </c>
      <c r="Y11" s="36">
        <f>IF($A11="","",IFERROR(INDEX('זה אני - קליטה'!$AW$5:$AW$204,MATCH($A11&amp;"|סוף שנה",'זה אני - קליטה'!$AF$5:$AF$204,0)),""))</f>
        <v/>
      </c>
      <c r="Z11" s="43">
        <f>IF(AND(ISNUMBER(F11),ISNUMBER(V11)),V11-F11,"")</f>
        <v/>
      </c>
      <c r="AA11" s="36">
        <f>IF(Z11="","",IF(Z11&gt;=0.25,"עלייה",IF(Z11&lt;=-0.25,"ירידה","יציב")))</f>
        <v/>
      </c>
    </row>
    <row r="12">
      <c r="A12" s="38" t="n"/>
      <c r="B12" s="37">
        <f>IF($A12="","",IFERROR(INDEX('זה אני - קליטה'!$AH$5:$AH$204,MATCH($A12&amp;"|תחילת שנה",'זה אני - קליטה'!$AF$5:$AF$204,0)),""))</f>
        <v/>
      </c>
      <c r="C12" s="37">
        <f>IF($A12="","",IFERROR(INDEX('זה אני - קליטה'!$AI$5:$AI$204,MATCH($A12&amp;"|תחילת שנה",'זה אני - קליטה'!$AF$5:$AF$204,0)),""))</f>
        <v/>
      </c>
      <c r="D12" s="37">
        <f>IF($A12="","",IFERROR(INDEX('זה אני - קליטה'!$AJ$5:$AJ$204,MATCH($A12&amp;"|תחילת שנה",'זה אני - קליטה'!$AF$5:$AF$204,0)),""))</f>
        <v/>
      </c>
      <c r="E12" s="37">
        <f>IF($A12="","",IFERROR(INDEX('זה אני - קליטה'!$AK$5:$AK$204,MATCH($A12&amp;"|תחילת שנה",'זה אני - קליטה'!$AF$5:$AF$204,0)),""))</f>
        <v/>
      </c>
      <c r="F12" s="37">
        <f>IF($A12="","",IFERROR(INDEX('זה אני - קליטה'!$AL$5:$AL$204,MATCH($A12&amp;"|תחילת שנה",'זה אני - קליטה'!$AF$5:$AF$204,0)),""))</f>
        <v/>
      </c>
      <c r="G12" s="36">
        <f>IF($A12="","",IFERROR(INDEX('זה אני - קליטה'!$AG$5:$AG$204,MATCH($A12&amp;"|תחילת שנה",'זה אני - קליטה'!$AF$5:$AF$204,0)),""))</f>
        <v/>
      </c>
      <c r="H12" s="37">
        <f>IF($A12="","",IFERROR(INDEX('זה אני - קליטה'!$AN$5:$AN$204,MATCH($A12&amp;"|תחילת שנה",'זה אני - קליטה'!$AF$5:$AF$204,0)),""))</f>
        <v/>
      </c>
      <c r="I12" s="36">
        <f>IF($A12="","",IFERROR(INDEX('זה אני - קליטה'!$AW$5:$AW$204,MATCH($A12&amp;"|תחילת שנה",'זה אני - קליטה'!$AF$5:$AF$204,0)),""))</f>
        <v/>
      </c>
      <c r="J12" s="37">
        <f>IF($A12="","",IFERROR(INDEX('זה אני - קליטה'!$AH$5:$AH$204,MATCH($A12&amp;"|אמצע שנה",'זה אני - קליטה'!$AF$5:$AF$204,0)),""))</f>
        <v/>
      </c>
      <c r="K12" s="37">
        <f>IF($A12="","",IFERROR(INDEX('זה אני - קליטה'!$AI$5:$AI$204,MATCH($A12&amp;"|אמצע שנה",'זה אני - קליטה'!$AF$5:$AF$204,0)),""))</f>
        <v/>
      </c>
      <c r="L12" s="37">
        <f>IF($A12="","",IFERROR(INDEX('זה אני - קליטה'!$AJ$5:$AJ$204,MATCH($A12&amp;"|אמצע שנה",'זה אני - קליטה'!$AF$5:$AF$204,0)),""))</f>
        <v/>
      </c>
      <c r="M12" s="37">
        <f>IF($A12="","",IFERROR(INDEX('זה אני - קליטה'!$AK$5:$AK$204,MATCH($A12&amp;"|אמצע שנה",'זה אני - קליטה'!$AF$5:$AF$204,0)),""))</f>
        <v/>
      </c>
      <c r="N12" s="37">
        <f>IF($A12="","",IFERROR(INDEX('זה אני - קליטה'!$AL$5:$AL$204,MATCH($A12&amp;"|אמצע שנה",'זה אני - קליטה'!$AF$5:$AF$204,0)),""))</f>
        <v/>
      </c>
      <c r="O12" s="36">
        <f>IF($A12="","",IFERROR(INDEX('זה אני - קליטה'!$AG$5:$AG$204,MATCH($A12&amp;"|אמצע שנה",'זה אני - קליטה'!$AF$5:$AF$204,0)),""))</f>
        <v/>
      </c>
      <c r="P12" s="37">
        <f>IF($A12="","",IFERROR(INDEX('זה אני - קליטה'!$AN$5:$AN$204,MATCH($A12&amp;"|אמצע שנה",'זה אני - קליטה'!$AF$5:$AF$204,0)),""))</f>
        <v/>
      </c>
      <c r="Q12" s="36">
        <f>IF($A12="","",IFERROR(INDEX('זה אני - קליטה'!$AW$5:$AW$204,MATCH($A12&amp;"|אמצע שנה",'זה אני - קליטה'!$AF$5:$AF$204,0)),""))</f>
        <v/>
      </c>
      <c r="R12" s="37">
        <f>IF($A12="","",IFERROR(INDEX('זה אני - קליטה'!$AH$5:$AH$204,MATCH($A12&amp;"|סוף שנה",'זה אני - קליטה'!$AF$5:$AF$204,0)),""))</f>
        <v/>
      </c>
      <c r="S12" s="37">
        <f>IF($A12="","",IFERROR(INDEX('זה אני - קליטה'!$AI$5:$AI$204,MATCH($A12&amp;"|סוף שנה",'זה אני - קליטה'!$AF$5:$AF$204,0)),""))</f>
        <v/>
      </c>
      <c r="T12" s="37">
        <f>IF($A12="","",IFERROR(INDEX('זה אני - קליטה'!$AJ$5:$AJ$204,MATCH($A12&amp;"|סוף שנה",'זה אני - קליטה'!$AF$5:$AF$204,0)),""))</f>
        <v/>
      </c>
      <c r="U12" s="37">
        <f>IF($A12="","",IFERROR(INDEX('זה אני - קליטה'!$AK$5:$AK$204,MATCH($A12&amp;"|סוף שנה",'זה אני - קליטה'!$AF$5:$AF$204,0)),""))</f>
        <v/>
      </c>
      <c r="V12" s="37">
        <f>IF($A12="","",IFERROR(INDEX('זה אני - קליטה'!$AL$5:$AL$204,MATCH($A12&amp;"|סוף שנה",'זה אני - קליטה'!$AF$5:$AF$204,0)),""))</f>
        <v/>
      </c>
      <c r="W12" s="36">
        <f>IF($A12="","",IFERROR(INDEX('זה אני - קליטה'!$AG$5:$AG$204,MATCH($A12&amp;"|סוף שנה",'זה אני - קליטה'!$AF$5:$AF$204,0)),""))</f>
        <v/>
      </c>
      <c r="X12" s="37">
        <f>IF($A12="","",IFERROR(INDEX('זה אני - קליטה'!$AN$5:$AN$204,MATCH($A12&amp;"|סוף שנה",'זה אני - קליטה'!$AF$5:$AF$204,0)),""))</f>
        <v/>
      </c>
      <c r="Y12" s="36">
        <f>IF($A12="","",IFERROR(INDEX('זה אני - קליטה'!$AW$5:$AW$204,MATCH($A12&amp;"|סוף שנה",'זה אני - קליטה'!$AF$5:$AF$204,0)),""))</f>
        <v/>
      </c>
      <c r="Z12" s="43">
        <f>IF(AND(ISNUMBER(F12),ISNUMBER(V12)),V12-F12,"")</f>
        <v/>
      </c>
      <c r="AA12" s="36">
        <f>IF(Z12="","",IF(Z12&gt;=0.25,"עלייה",IF(Z12&lt;=-0.25,"ירידה","יציב")))</f>
        <v/>
      </c>
    </row>
    <row r="13">
      <c r="A13" s="38" t="n"/>
      <c r="B13" s="37">
        <f>IF($A13="","",IFERROR(INDEX('זה אני - קליטה'!$AH$5:$AH$204,MATCH($A13&amp;"|תחילת שנה",'זה אני - קליטה'!$AF$5:$AF$204,0)),""))</f>
        <v/>
      </c>
      <c r="C13" s="37">
        <f>IF($A13="","",IFERROR(INDEX('זה אני - קליטה'!$AI$5:$AI$204,MATCH($A13&amp;"|תחילת שנה",'זה אני - קליטה'!$AF$5:$AF$204,0)),""))</f>
        <v/>
      </c>
      <c r="D13" s="37">
        <f>IF($A13="","",IFERROR(INDEX('זה אני - קליטה'!$AJ$5:$AJ$204,MATCH($A13&amp;"|תחילת שנה",'זה אני - קליטה'!$AF$5:$AF$204,0)),""))</f>
        <v/>
      </c>
      <c r="E13" s="37">
        <f>IF($A13="","",IFERROR(INDEX('זה אני - קליטה'!$AK$5:$AK$204,MATCH($A13&amp;"|תחילת שנה",'זה אני - קליטה'!$AF$5:$AF$204,0)),""))</f>
        <v/>
      </c>
      <c r="F13" s="37">
        <f>IF($A13="","",IFERROR(INDEX('זה אני - קליטה'!$AL$5:$AL$204,MATCH($A13&amp;"|תחילת שנה",'זה אני - קליטה'!$AF$5:$AF$204,0)),""))</f>
        <v/>
      </c>
      <c r="G13" s="36">
        <f>IF($A13="","",IFERROR(INDEX('זה אני - קליטה'!$AG$5:$AG$204,MATCH($A13&amp;"|תחילת שנה",'זה אני - קליטה'!$AF$5:$AF$204,0)),""))</f>
        <v/>
      </c>
      <c r="H13" s="37">
        <f>IF($A13="","",IFERROR(INDEX('זה אני - קליטה'!$AN$5:$AN$204,MATCH($A13&amp;"|תחילת שנה",'זה אני - קליטה'!$AF$5:$AF$204,0)),""))</f>
        <v/>
      </c>
      <c r="I13" s="36">
        <f>IF($A13="","",IFERROR(INDEX('זה אני - קליטה'!$AW$5:$AW$204,MATCH($A13&amp;"|תחילת שנה",'זה אני - קליטה'!$AF$5:$AF$204,0)),""))</f>
        <v/>
      </c>
      <c r="J13" s="37">
        <f>IF($A13="","",IFERROR(INDEX('זה אני - קליטה'!$AH$5:$AH$204,MATCH($A13&amp;"|אמצע שנה",'זה אני - קליטה'!$AF$5:$AF$204,0)),""))</f>
        <v/>
      </c>
      <c r="K13" s="37">
        <f>IF($A13="","",IFERROR(INDEX('זה אני - קליטה'!$AI$5:$AI$204,MATCH($A13&amp;"|אמצע שנה",'זה אני - קליטה'!$AF$5:$AF$204,0)),""))</f>
        <v/>
      </c>
      <c r="L13" s="37">
        <f>IF($A13="","",IFERROR(INDEX('זה אני - קליטה'!$AJ$5:$AJ$204,MATCH($A13&amp;"|אמצע שנה",'זה אני - קליטה'!$AF$5:$AF$204,0)),""))</f>
        <v/>
      </c>
      <c r="M13" s="37">
        <f>IF($A13="","",IFERROR(INDEX('זה אני - קליטה'!$AK$5:$AK$204,MATCH($A13&amp;"|אמצע שנה",'זה אני - קליטה'!$AF$5:$AF$204,0)),""))</f>
        <v/>
      </c>
      <c r="N13" s="37">
        <f>IF($A13="","",IFERROR(INDEX('זה אני - קליטה'!$AL$5:$AL$204,MATCH($A13&amp;"|אמצע שנה",'זה אני - קליטה'!$AF$5:$AF$204,0)),""))</f>
        <v/>
      </c>
      <c r="O13" s="36">
        <f>IF($A13="","",IFERROR(INDEX('זה אני - קליטה'!$AG$5:$AG$204,MATCH($A13&amp;"|אמצע שנה",'זה אני - קליטה'!$AF$5:$AF$204,0)),""))</f>
        <v/>
      </c>
      <c r="P13" s="37">
        <f>IF($A13="","",IFERROR(INDEX('זה אני - קליטה'!$AN$5:$AN$204,MATCH($A13&amp;"|אמצע שנה",'זה אני - קליטה'!$AF$5:$AF$204,0)),""))</f>
        <v/>
      </c>
      <c r="Q13" s="36">
        <f>IF($A13="","",IFERROR(INDEX('זה אני - קליטה'!$AW$5:$AW$204,MATCH($A13&amp;"|אמצע שנה",'זה אני - קליטה'!$AF$5:$AF$204,0)),""))</f>
        <v/>
      </c>
      <c r="R13" s="37">
        <f>IF($A13="","",IFERROR(INDEX('זה אני - קליטה'!$AH$5:$AH$204,MATCH($A13&amp;"|סוף שנה",'זה אני - קליטה'!$AF$5:$AF$204,0)),""))</f>
        <v/>
      </c>
      <c r="S13" s="37">
        <f>IF($A13="","",IFERROR(INDEX('זה אני - קליטה'!$AI$5:$AI$204,MATCH($A13&amp;"|סוף שנה",'זה אני - קליטה'!$AF$5:$AF$204,0)),""))</f>
        <v/>
      </c>
      <c r="T13" s="37">
        <f>IF($A13="","",IFERROR(INDEX('זה אני - קליטה'!$AJ$5:$AJ$204,MATCH($A13&amp;"|סוף שנה",'זה אני - קליטה'!$AF$5:$AF$204,0)),""))</f>
        <v/>
      </c>
      <c r="U13" s="37">
        <f>IF($A13="","",IFERROR(INDEX('זה אני - קליטה'!$AK$5:$AK$204,MATCH($A13&amp;"|סוף שנה",'זה אני - קליטה'!$AF$5:$AF$204,0)),""))</f>
        <v/>
      </c>
      <c r="V13" s="37">
        <f>IF($A13="","",IFERROR(INDEX('זה אני - קליטה'!$AL$5:$AL$204,MATCH($A13&amp;"|סוף שנה",'זה אני - קליטה'!$AF$5:$AF$204,0)),""))</f>
        <v/>
      </c>
      <c r="W13" s="36">
        <f>IF($A13="","",IFERROR(INDEX('זה אני - קליטה'!$AG$5:$AG$204,MATCH($A13&amp;"|סוף שנה",'זה אני - קליטה'!$AF$5:$AF$204,0)),""))</f>
        <v/>
      </c>
      <c r="X13" s="37">
        <f>IF($A13="","",IFERROR(INDEX('זה אני - קליטה'!$AN$5:$AN$204,MATCH($A13&amp;"|סוף שנה",'זה אני - קליטה'!$AF$5:$AF$204,0)),""))</f>
        <v/>
      </c>
      <c r="Y13" s="36">
        <f>IF($A13="","",IFERROR(INDEX('זה אני - קליטה'!$AW$5:$AW$204,MATCH($A13&amp;"|סוף שנה",'זה אני - קליטה'!$AF$5:$AF$204,0)),""))</f>
        <v/>
      </c>
      <c r="Z13" s="43">
        <f>IF(AND(ISNUMBER(F13),ISNUMBER(V13)),V13-F13,"")</f>
        <v/>
      </c>
      <c r="AA13" s="36">
        <f>IF(Z13="","",IF(Z13&gt;=0.25,"עלייה",IF(Z13&lt;=-0.25,"ירידה","יציב")))</f>
        <v/>
      </c>
    </row>
    <row r="14">
      <c r="A14" s="38" t="n"/>
      <c r="B14" s="37">
        <f>IF($A14="","",IFERROR(INDEX('זה אני - קליטה'!$AH$5:$AH$204,MATCH($A14&amp;"|תחילת שנה",'זה אני - קליטה'!$AF$5:$AF$204,0)),""))</f>
        <v/>
      </c>
      <c r="C14" s="37">
        <f>IF($A14="","",IFERROR(INDEX('זה אני - קליטה'!$AI$5:$AI$204,MATCH($A14&amp;"|תחילת שנה",'זה אני - קליטה'!$AF$5:$AF$204,0)),""))</f>
        <v/>
      </c>
      <c r="D14" s="37">
        <f>IF($A14="","",IFERROR(INDEX('זה אני - קליטה'!$AJ$5:$AJ$204,MATCH($A14&amp;"|תחילת שנה",'זה אני - קליטה'!$AF$5:$AF$204,0)),""))</f>
        <v/>
      </c>
      <c r="E14" s="37">
        <f>IF($A14="","",IFERROR(INDEX('זה אני - קליטה'!$AK$5:$AK$204,MATCH($A14&amp;"|תחילת שנה",'זה אני - קליטה'!$AF$5:$AF$204,0)),""))</f>
        <v/>
      </c>
      <c r="F14" s="37">
        <f>IF($A14="","",IFERROR(INDEX('זה אני - קליטה'!$AL$5:$AL$204,MATCH($A14&amp;"|תחילת שנה",'זה אני - קליטה'!$AF$5:$AF$204,0)),""))</f>
        <v/>
      </c>
      <c r="G14" s="36">
        <f>IF($A14="","",IFERROR(INDEX('זה אני - קליטה'!$AG$5:$AG$204,MATCH($A14&amp;"|תחילת שנה",'זה אני - קליטה'!$AF$5:$AF$204,0)),""))</f>
        <v/>
      </c>
      <c r="H14" s="37">
        <f>IF($A14="","",IFERROR(INDEX('זה אני - קליטה'!$AN$5:$AN$204,MATCH($A14&amp;"|תחילת שנה",'זה אני - קליטה'!$AF$5:$AF$204,0)),""))</f>
        <v/>
      </c>
      <c r="I14" s="36">
        <f>IF($A14="","",IFERROR(INDEX('זה אני - קליטה'!$AW$5:$AW$204,MATCH($A14&amp;"|תחילת שנה",'זה אני - קליטה'!$AF$5:$AF$204,0)),""))</f>
        <v/>
      </c>
      <c r="J14" s="37">
        <f>IF($A14="","",IFERROR(INDEX('זה אני - קליטה'!$AH$5:$AH$204,MATCH($A14&amp;"|אמצע שנה",'זה אני - קליטה'!$AF$5:$AF$204,0)),""))</f>
        <v/>
      </c>
      <c r="K14" s="37">
        <f>IF($A14="","",IFERROR(INDEX('זה אני - קליטה'!$AI$5:$AI$204,MATCH($A14&amp;"|אמצע שנה",'זה אני - קליטה'!$AF$5:$AF$204,0)),""))</f>
        <v/>
      </c>
      <c r="L14" s="37">
        <f>IF($A14="","",IFERROR(INDEX('זה אני - קליטה'!$AJ$5:$AJ$204,MATCH($A14&amp;"|אמצע שנה",'זה אני - קליטה'!$AF$5:$AF$204,0)),""))</f>
        <v/>
      </c>
      <c r="M14" s="37">
        <f>IF($A14="","",IFERROR(INDEX('זה אני - קליטה'!$AK$5:$AK$204,MATCH($A14&amp;"|אמצע שנה",'זה אני - קליטה'!$AF$5:$AF$204,0)),""))</f>
        <v/>
      </c>
      <c r="N14" s="37">
        <f>IF($A14="","",IFERROR(INDEX('זה אני - קליטה'!$AL$5:$AL$204,MATCH($A14&amp;"|אמצע שנה",'זה אני - קליטה'!$AF$5:$AF$204,0)),""))</f>
        <v/>
      </c>
      <c r="O14" s="36">
        <f>IF($A14="","",IFERROR(INDEX('זה אני - קליטה'!$AG$5:$AG$204,MATCH($A14&amp;"|אמצע שנה",'זה אני - קליטה'!$AF$5:$AF$204,0)),""))</f>
        <v/>
      </c>
      <c r="P14" s="37">
        <f>IF($A14="","",IFERROR(INDEX('זה אני - קליטה'!$AN$5:$AN$204,MATCH($A14&amp;"|אמצע שנה",'זה אני - קליטה'!$AF$5:$AF$204,0)),""))</f>
        <v/>
      </c>
      <c r="Q14" s="36">
        <f>IF($A14="","",IFERROR(INDEX('זה אני - קליטה'!$AW$5:$AW$204,MATCH($A14&amp;"|אמצע שנה",'זה אני - קליטה'!$AF$5:$AF$204,0)),""))</f>
        <v/>
      </c>
      <c r="R14" s="37">
        <f>IF($A14="","",IFERROR(INDEX('זה אני - קליטה'!$AH$5:$AH$204,MATCH($A14&amp;"|סוף שנה",'זה אני - קליטה'!$AF$5:$AF$204,0)),""))</f>
        <v/>
      </c>
      <c r="S14" s="37">
        <f>IF($A14="","",IFERROR(INDEX('זה אני - קליטה'!$AI$5:$AI$204,MATCH($A14&amp;"|סוף שנה",'זה אני - קליטה'!$AF$5:$AF$204,0)),""))</f>
        <v/>
      </c>
      <c r="T14" s="37">
        <f>IF($A14="","",IFERROR(INDEX('זה אני - קליטה'!$AJ$5:$AJ$204,MATCH($A14&amp;"|סוף שנה",'זה אני - קליטה'!$AF$5:$AF$204,0)),""))</f>
        <v/>
      </c>
      <c r="U14" s="37">
        <f>IF($A14="","",IFERROR(INDEX('זה אני - קליטה'!$AK$5:$AK$204,MATCH($A14&amp;"|סוף שנה",'זה אני - קליטה'!$AF$5:$AF$204,0)),""))</f>
        <v/>
      </c>
      <c r="V14" s="37">
        <f>IF($A14="","",IFERROR(INDEX('זה אני - קליטה'!$AL$5:$AL$204,MATCH($A14&amp;"|סוף שנה",'זה אני - קליטה'!$AF$5:$AF$204,0)),""))</f>
        <v/>
      </c>
      <c r="W14" s="36">
        <f>IF($A14="","",IFERROR(INDEX('זה אני - קליטה'!$AG$5:$AG$204,MATCH($A14&amp;"|סוף שנה",'זה אני - קליטה'!$AF$5:$AF$204,0)),""))</f>
        <v/>
      </c>
      <c r="X14" s="37">
        <f>IF($A14="","",IFERROR(INDEX('זה אני - קליטה'!$AN$5:$AN$204,MATCH($A14&amp;"|סוף שנה",'זה אני - קליטה'!$AF$5:$AF$204,0)),""))</f>
        <v/>
      </c>
      <c r="Y14" s="36">
        <f>IF($A14="","",IFERROR(INDEX('זה אני - קליטה'!$AW$5:$AW$204,MATCH($A14&amp;"|סוף שנה",'זה אני - קליטה'!$AF$5:$AF$204,0)),""))</f>
        <v/>
      </c>
      <c r="Z14" s="43">
        <f>IF(AND(ISNUMBER(F14),ISNUMBER(V14)),V14-F14,"")</f>
        <v/>
      </c>
      <c r="AA14" s="36">
        <f>IF(Z14="","",IF(Z14&gt;=0.25,"עלייה",IF(Z14&lt;=-0.25,"ירידה","יציב")))</f>
        <v/>
      </c>
    </row>
    <row r="15">
      <c r="A15" s="38" t="n"/>
      <c r="B15" s="37">
        <f>IF($A15="","",IFERROR(INDEX('זה אני - קליטה'!$AH$5:$AH$204,MATCH($A15&amp;"|תחילת שנה",'זה אני - קליטה'!$AF$5:$AF$204,0)),""))</f>
        <v/>
      </c>
      <c r="C15" s="37">
        <f>IF($A15="","",IFERROR(INDEX('זה אני - קליטה'!$AI$5:$AI$204,MATCH($A15&amp;"|תחילת שנה",'זה אני - קליטה'!$AF$5:$AF$204,0)),""))</f>
        <v/>
      </c>
      <c r="D15" s="37">
        <f>IF($A15="","",IFERROR(INDEX('זה אני - קליטה'!$AJ$5:$AJ$204,MATCH($A15&amp;"|תחילת שנה",'זה אני - קליטה'!$AF$5:$AF$204,0)),""))</f>
        <v/>
      </c>
      <c r="E15" s="37">
        <f>IF($A15="","",IFERROR(INDEX('זה אני - קליטה'!$AK$5:$AK$204,MATCH($A15&amp;"|תחילת שנה",'זה אני - קליטה'!$AF$5:$AF$204,0)),""))</f>
        <v/>
      </c>
      <c r="F15" s="37">
        <f>IF($A15="","",IFERROR(INDEX('זה אני - קליטה'!$AL$5:$AL$204,MATCH($A15&amp;"|תחילת שנה",'זה אני - קליטה'!$AF$5:$AF$204,0)),""))</f>
        <v/>
      </c>
      <c r="G15" s="36">
        <f>IF($A15="","",IFERROR(INDEX('זה אני - קליטה'!$AG$5:$AG$204,MATCH($A15&amp;"|תחילת שנה",'זה אני - קליטה'!$AF$5:$AF$204,0)),""))</f>
        <v/>
      </c>
      <c r="H15" s="37">
        <f>IF($A15="","",IFERROR(INDEX('זה אני - קליטה'!$AN$5:$AN$204,MATCH($A15&amp;"|תחילת שנה",'זה אני - קליטה'!$AF$5:$AF$204,0)),""))</f>
        <v/>
      </c>
      <c r="I15" s="36">
        <f>IF($A15="","",IFERROR(INDEX('זה אני - קליטה'!$AW$5:$AW$204,MATCH($A15&amp;"|תחילת שנה",'זה אני - קליטה'!$AF$5:$AF$204,0)),""))</f>
        <v/>
      </c>
      <c r="J15" s="37">
        <f>IF($A15="","",IFERROR(INDEX('זה אני - קליטה'!$AH$5:$AH$204,MATCH($A15&amp;"|אמצע שנה",'זה אני - קליטה'!$AF$5:$AF$204,0)),""))</f>
        <v/>
      </c>
      <c r="K15" s="37">
        <f>IF($A15="","",IFERROR(INDEX('זה אני - קליטה'!$AI$5:$AI$204,MATCH($A15&amp;"|אמצע שנה",'זה אני - קליטה'!$AF$5:$AF$204,0)),""))</f>
        <v/>
      </c>
      <c r="L15" s="37">
        <f>IF($A15="","",IFERROR(INDEX('זה אני - קליטה'!$AJ$5:$AJ$204,MATCH($A15&amp;"|אמצע שנה",'זה אני - קליטה'!$AF$5:$AF$204,0)),""))</f>
        <v/>
      </c>
      <c r="M15" s="37">
        <f>IF($A15="","",IFERROR(INDEX('זה אני - קליטה'!$AK$5:$AK$204,MATCH($A15&amp;"|אמצע שנה",'זה אני - קליטה'!$AF$5:$AF$204,0)),""))</f>
        <v/>
      </c>
      <c r="N15" s="37">
        <f>IF($A15="","",IFERROR(INDEX('זה אני - קליטה'!$AL$5:$AL$204,MATCH($A15&amp;"|אמצע שנה",'זה אני - קליטה'!$AF$5:$AF$204,0)),""))</f>
        <v/>
      </c>
      <c r="O15" s="36">
        <f>IF($A15="","",IFERROR(INDEX('זה אני - קליטה'!$AG$5:$AG$204,MATCH($A15&amp;"|אמצע שנה",'זה אני - קליטה'!$AF$5:$AF$204,0)),""))</f>
        <v/>
      </c>
      <c r="P15" s="37">
        <f>IF($A15="","",IFERROR(INDEX('זה אני - קליטה'!$AN$5:$AN$204,MATCH($A15&amp;"|אמצע שנה",'זה אני - קליטה'!$AF$5:$AF$204,0)),""))</f>
        <v/>
      </c>
      <c r="Q15" s="36">
        <f>IF($A15="","",IFERROR(INDEX('זה אני - קליטה'!$AW$5:$AW$204,MATCH($A15&amp;"|אמצע שנה",'זה אני - קליטה'!$AF$5:$AF$204,0)),""))</f>
        <v/>
      </c>
      <c r="R15" s="37">
        <f>IF($A15="","",IFERROR(INDEX('זה אני - קליטה'!$AH$5:$AH$204,MATCH($A15&amp;"|סוף שנה",'זה אני - קליטה'!$AF$5:$AF$204,0)),""))</f>
        <v/>
      </c>
      <c r="S15" s="37">
        <f>IF($A15="","",IFERROR(INDEX('זה אני - קליטה'!$AI$5:$AI$204,MATCH($A15&amp;"|סוף שנה",'זה אני - קליטה'!$AF$5:$AF$204,0)),""))</f>
        <v/>
      </c>
      <c r="T15" s="37">
        <f>IF($A15="","",IFERROR(INDEX('זה אני - קליטה'!$AJ$5:$AJ$204,MATCH($A15&amp;"|סוף שנה",'זה אני - קליטה'!$AF$5:$AF$204,0)),""))</f>
        <v/>
      </c>
      <c r="U15" s="37">
        <f>IF($A15="","",IFERROR(INDEX('זה אני - קליטה'!$AK$5:$AK$204,MATCH($A15&amp;"|סוף שנה",'זה אני - קליטה'!$AF$5:$AF$204,0)),""))</f>
        <v/>
      </c>
      <c r="V15" s="37">
        <f>IF($A15="","",IFERROR(INDEX('זה אני - קליטה'!$AL$5:$AL$204,MATCH($A15&amp;"|סוף שנה",'זה אני - קליטה'!$AF$5:$AF$204,0)),""))</f>
        <v/>
      </c>
      <c r="W15" s="36">
        <f>IF($A15="","",IFERROR(INDEX('זה אני - קליטה'!$AG$5:$AG$204,MATCH($A15&amp;"|סוף שנה",'זה אני - קליטה'!$AF$5:$AF$204,0)),""))</f>
        <v/>
      </c>
      <c r="X15" s="37">
        <f>IF($A15="","",IFERROR(INDEX('זה אני - קליטה'!$AN$5:$AN$204,MATCH($A15&amp;"|סוף שנה",'זה אני - קליטה'!$AF$5:$AF$204,0)),""))</f>
        <v/>
      </c>
      <c r="Y15" s="36">
        <f>IF($A15="","",IFERROR(INDEX('זה אני - קליטה'!$AW$5:$AW$204,MATCH($A15&amp;"|סוף שנה",'זה אני - קליטה'!$AF$5:$AF$204,0)),""))</f>
        <v/>
      </c>
      <c r="Z15" s="43">
        <f>IF(AND(ISNUMBER(F15),ISNUMBER(V15)),V15-F15,"")</f>
        <v/>
      </c>
      <c r="AA15" s="36">
        <f>IF(Z15="","",IF(Z15&gt;=0.25,"עלייה",IF(Z15&lt;=-0.25,"ירידה","יציב")))</f>
        <v/>
      </c>
    </row>
    <row r="16">
      <c r="A16" s="38" t="n"/>
      <c r="B16" s="37">
        <f>IF($A16="","",IFERROR(INDEX('זה אני - קליטה'!$AH$5:$AH$204,MATCH($A16&amp;"|תחילת שנה",'זה אני - קליטה'!$AF$5:$AF$204,0)),""))</f>
        <v/>
      </c>
      <c r="C16" s="37">
        <f>IF($A16="","",IFERROR(INDEX('זה אני - קליטה'!$AI$5:$AI$204,MATCH($A16&amp;"|תחילת שנה",'זה אני - קליטה'!$AF$5:$AF$204,0)),""))</f>
        <v/>
      </c>
      <c r="D16" s="37">
        <f>IF($A16="","",IFERROR(INDEX('זה אני - קליטה'!$AJ$5:$AJ$204,MATCH($A16&amp;"|תחילת שנה",'זה אני - קליטה'!$AF$5:$AF$204,0)),""))</f>
        <v/>
      </c>
      <c r="E16" s="37">
        <f>IF($A16="","",IFERROR(INDEX('זה אני - קליטה'!$AK$5:$AK$204,MATCH($A16&amp;"|תחילת שנה",'זה אני - קליטה'!$AF$5:$AF$204,0)),""))</f>
        <v/>
      </c>
      <c r="F16" s="37">
        <f>IF($A16="","",IFERROR(INDEX('זה אני - קליטה'!$AL$5:$AL$204,MATCH($A16&amp;"|תחילת שנה",'זה אני - קליטה'!$AF$5:$AF$204,0)),""))</f>
        <v/>
      </c>
      <c r="G16" s="36">
        <f>IF($A16="","",IFERROR(INDEX('זה אני - קליטה'!$AG$5:$AG$204,MATCH($A16&amp;"|תחילת שנה",'זה אני - קליטה'!$AF$5:$AF$204,0)),""))</f>
        <v/>
      </c>
      <c r="H16" s="37">
        <f>IF($A16="","",IFERROR(INDEX('זה אני - קליטה'!$AN$5:$AN$204,MATCH($A16&amp;"|תחילת שנה",'זה אני - קליטה'!$AF$5:$AF$204,0)),""))</f>
        <v/>
      </c>
      <c r="I16" s="36">
        <f>IF($A16="","",IFERROR(INDEX('זה אני - קליטה'!$AW$5:$AW$204,MATCH($A16&amp;"|תחילת שנה",'זה אני - קליטה'!$AF$5:$AF$204,0)),""))</f>
        <v/>
      </c>
      <c r="J16" s="37">
        <f>IF($A16="","",IFERROR(INDEX('זה אני - קליטה'!$AH$5:$AH$204,MATCH($A16&amp;"|אמצע שנה",'זה אני - קליטה'!$AF$5:$AF$204,0)),""))</f>
        <v/>
      </c>
      <c r="K16" s="37">
        <f>IF($A16="","",IFERROR(INDEX('זה אני - קליטה'!$AI$5:$AI$204,MATCH($A16&amp;"|אמצע שנה",'זה אני - קליטה'!$AF$5:$AF$204,0)),""))</f>
        <v/>
      </c>
      <c r="L16" s="37">
        <f>IF($A16="","",IFERROR(INDEX('זה אני - קליטה'!$AJ$5:$AJ$204,MATCH($A16&amp;"|אמצע שנה",'זה אני - קליטה'!$AF$5:$AF$204,0)),""))</f>
        <v/>
      </c>
      <c r="M16" s="37">
        <f>IF($A16="","",IFERROR(INDEX('זה אני - קליטה'!$AK$5:$AK$204,MATCH($A16&amp;"|אמצע שנה",'זה אני - קליטה'!$AF$5:$AF$204,0)),""))</f>
        <v/>
      </c>
      <c r="N16" s="37">
        <f>IF($A16="","",IFERROR(INDEX('זה אני - קליטה'!$AL$5:$AL$204,MATCH($A16&amp;"|אמצע שנה",'זה אני - קליטה'!$AF$5:$AF$204,0)),""))</f>
        <v/>
      </c>
      <c r="O16" s="36">
        <f>IF($A16="","",IFERROR(INDEX('זה אני - קליטה'!$AG$5:$AG$204,MATCH($A16&amp;"|אמצע שנה",'זה אני - קליטה'!$AF$5:$AF$204,0)),""))</f>
        <v/>
      </c>
      <c r="P16" s="37">
        <f>IF($A16="","",IFERROR(INDEX('זה אני - קליטה'!$AN$5:$AN$204,MATCH($A16&amp;"|אמצע שנה",'זה אני - קליטה'!$AF$5:$AF$204,0)),""))</f>
        <v/>
      </c>
      <c r="Q16" s="36">
        <f>IF($A16="","",IFERROR(INDEX('זה אני - קליטה'!$AW$5:$AW$204,MATCH($A16&amp;"|אמצע שנה",'זה אני - קליטה'!$AF$5:$AF$204,0)),""))</f>
        <v/>
      </c>
      <c r="R16" s="37">
        <f>IF($A16="","",IFERROR(INDEX('זה אני - קליטה'!$AH$5:$AH$204,MATCH($A16&amp;"|סוף שנה",'זה אני - קליטה'!$AF$5:$AF$204,0)),""))</f>
        <v/>
      </c>
      <c r="S16" s="37">
        <f>IF($A16="","",IFERROR(INDEX('זה אני - קליטה'!$AI$5:$AI$204,MATCH($A16&amp;"|סוף שנה",'זה אני - קליטה'!$AF$5:$AF$204,0)),""))</f>
        <v/>
      </c>
      <c r="T16" s="37">
        <f>IF($A16="","",IFERROR(INDEX('זה אני - קליטה'!$AJ$5:$AJ$204,MATCH($A16&amp;"|סוף שנה",'זה אני - קליטה'!$AF$5:$AF$204,0)),""))</f>
        <v/>
      </c>
      <c r="U16" s="37">
        <f>IF($A16="","",IFERROR(INDEX('זה אני - קליטה'!$AK$5:$AK$204,MATCH($A16&amp;"|סוף שנה",'זה אני - קליטה'!$AF$5:$AF$204,0)),""))</f>
        <v/>
      </c>
      <c r="V16" s="37">
        <f>IF($A16="","",IFERROR(INDEX('זה אני - קליטה'!$AL$5:$AL$204,MATCH($A16&amp;"|סוף שנה",'זה אני - קליטה'!$AF$5:$AF$204,0)),""))</f>
        <v/>
      </c>
      <c r="W16" s="36">
        <f>IF($A16="","",IFERROR(INDEX('זה אני - קליטה'!$AG$5:$AG$204,MATCH($A16&amp;"|סוף שנה",'זה אני - קליטה'!$AF$5:$AF$204,0)),""))</f>
        <v/>
      </c>
      <c r="X16" s="37">
        <f>IF($A16="","",IFERROR(INDEX('זה אני - קליטה'!$AN$5:$AN$204,MATCH($A16&amp;"|סוף שנה",'זה אני - קליטה'!$AF$5:$AF$204,0)),""))</f>
        <v/>
      </c>
      <c r="Y16" s="36">
        <f>IF($A16="","",IFERROR(INDEX('זה אני - קליטה'!$AW$5:$AW$204,MATCH($A16&amp;"|סוף שנה",'זה אני - קליטה'!$AF$5:$AF$204,0)),""))</f>
        <v/>
      </c>
      <c r="Z16" s="43">
        <f>IF(AND(ISNUMBER(F16),ISNUMBER(V16)),V16-F16,"")</f>
        <v/>
      </c>
      <c r="AA16" s="36">
        <f>IF(Z16="","",IF(Z16&gt;=0.25,"עלייה",IF(Z16&lt;=-0.25,"ירידה","יציב")))</f>
        <v/>
      </c>
    </row>
    <row r="17">
      <c r="A17" s="38" t="n"/>
      <c r="B17" s="37">
        <f>IF($A17="","",IFERROR(INDEX('זה אני - קליטה'!$AH$5:$AH$204,MATCH($A17&amp;"|תחילת שנה",'זה אני - קליטה'!$AF$5:$AF$204,0)),""))</f>
        <v/>
      </c>
      <c r="C17" s="37">
        <f>IF($A17="","",IFERROR(INDEX('זה אני - קליטה'!$AI$5:$AI$204,MATCH($A17&amp;"|תחילת שנה",'זה אני - קליטה'!$AF$5:$AF$204,0)),""))</f>
        <v/>
      </c>
      <c r="D17" s="37">
        <f>IF($A17="","",IFERROR(INDEX('זה אני - קליטה'!$AJ$5:$AJ$204,MATCH($A17&amp;"|תחילת שנה",'זה אני - קליטה'!$AF$5:$AF$204,0)),""))</f>
        <v/>
      </c>
      <c r="E17" s="37">
        <f>IF($A17="","",IFERROR(INDEX('זה אני - קליטה'!$AK$5:$AK$204,MATCH($A17&amp;"|תחילת שנה",'זה אני - קליטה'!$AF$5:$AF$204,0)),""))</f>
        <v/>
      </c>
      <c r="F17" s="37">
        <f>IF($A17="","",IFERROR(INDEX('זה אני - קליטה'!$AL$5:$AL$204,MATCH($A17&amp;"|תחילת שנה",'זה אני - קליטה'!$AF$5:$AF$204,0)),""))</f>
        <v/>
      </c>
      <c r="G17" s="36">
        <f>IF($A17="","",IFERROR(INDEX('זה אני - קליטה'!$AG$5:$AG$204,MATCH($A17&amp;"|תחילת שנה",'זה אני - קליטה'!$AF$5:$AF$204,0)),""))</f>
        <v/>
      </c>
      <c r="H17" s="37">
        <f>IF($A17="","",IFERROR(INDEX('זה אני - קליטה'!$AN$5:$AN$204,MATCH($A17&amp;"|תחילת שנה",'זה אני - קליטה'!$AF$5:$AF$204,0)),""))</f>
        <v/>
      </c>
      <c r="I17" s="36">
        <f>IF($A17="","",IFERROR(INDEX('זה אני - קליטה'!$AW$5:$AW$204,MATCH($A17&amp;"|תחילת שנה",'זה אני - קליטה'!$AF$5:$AF$204,0)),""))</f>
        <v/>
      </c>
      <c r="J17" s="37">
        <f>IF($A17="","",IFERROR(INDEX('זה אני - קליטה'!$AH$5:$AH$204,MATCH($A17&amp;"|אמצע שנה",'זה אני - קליטה'!$AF$5:$AF$204,0)),""))</f>
        <v/>
      </c>
      <c r="K17" s="37">
        <f>IF($A17="","",IFERROR(INDEX('זה אני - קליטה'!$AI$5:$AI$204,MATCH($A17&amp;"|אמצע שנה",'זה אני - קליטה'!$AF$5:$AF$204,0)),""))</f>
        <v/>
      </c>
      <c r="L17" s="37">
        <f>IF($A17="","",IFERROR(INDEX('זה אני - קליטה'!$AJ$5:$AJ$204,MATCH($A17&amp;"|אמצע שנה",'זה אני - קליטה'!$AF$5:$AF$204,0)),""))</f>
        <v/>
      </c>
      <c r="M17" s="37">
        <f>IF($A17="","",IFERROR(INDEX('זה אני - קליטה'!$AK$5:$AK$204,MATCH($A17&amp;"|אמצע שנה",'זה אני - קליטה'!$AF$5:$AF$204,0)),""))</f>
        <v/>
      </c>
      <c r="N17" s="37">
        <f>IF($A17="","",IFERROR(INDEX('זה אני - קליטה'!$AL$5:$AL$204,MATCH($A17&amp;"|אמצע שנה",'זה אני - קליטה'!$AF$5:$AF$204,0)),""))</f>
        <v/>
      </c>
      <c r="O17" s="36">
        <f>IF($A17="","",IFERROR(INDEX('זה אני - קליטה'!$AG$5:$AG$204,MATCH($A17&amp;"|אמצע שנה",'זה אני - קליטה'!$AF$5:$AF$204,0)),""))</f>
        <v/>
      </c>
      <c r="P17" s="37">
        <f>IF($A17="","",IFERROR(INDEX('זה אני - קליטה'!$AN$5:$AN$204,MATCH($A17&amp;"|אמצע שנה",'זה אני - קליטה'!$AF$5:$AF$204,0)),""))</f>
        <v/>
      </c>
      <c r="Q17" s="36">
        <f>IF($A17="","",IFERROR(INDEX('זה אני - קליטה'!$AW$5:$AW$204,MATCH($A17&amp;"|אמצע שנה",'זה אני - קליטה'!$AF$5:$AF$204,0)),""))</f>
        <v/>
      </c>
      <c r="R17" s="37">
        <f>IF($A17="","",IFERROR(INDEX('זה אני - קליטה'!$AH$5:$AH$204,MATCH($A17&amp;"|סוף שנה",'זה אני - קליטה'!$AF$5:$AF$204,0)),""))</f>
        <v/>
      </c>
      <c r="S17" s="37">
        <f>IF($A17="","",IFERROR(INDEX('זה אני - קליטה'!$AI$5:$AI$204,MATCH($A17&amp;"|סוף שנה",'זה אני - קליטה'!$AF$5:$AF$204,0)),""))</f>
        <v/>
      </c>
      <c r="T17" s="37">
        <f>IF($A17="","",IFERROR(INDEX('זה אני - קליטה'!$AJ$5:$AJ$204,MATCH($A17&amp;"|סוף שנה",'זה אני - קליטה'!$AF$5:$AF$204,0)),""))</f>
        <v/>
      </c>
      <c r="U17" s="37">
        <f>IF($A17="","",IFERROR(INDEX('זה אני - קליטה'!$AK$5:$AK$204,MATCH($A17&amp;"|סוף שנה",'זה אני - קליטה'!$AF$5:$AF$204,0)),""))</f>
        <v/>
      </c>
      <c r="V17" s="37">
        <f>IF($A17="","",IFERROR(INDEX('זה אני - קליטה'!$AL$5:$AL$204,MATCH($A17&amp;"|סוף שנה",'זה אני - קליטה'!$AF$5:$AF$204,0)),""))</f>
        <v/>
      </c>
      <c r="W17" s="36">
        <f>IF($A17="","",IFERROR(INDEX('זה אני - קליטה'!$AG$5:$AG$204,MATCH($A17&amp;"|סוף שנה",'זה אני - קליטה'!$AF$5:$AF$204,0)),""))</f>
        <v/>
      </c>
      <c r="X17" s="37">
        <f>IF($A17="","",IFERROR(INDEX('זה אני - קליטה'!$AN$5:$AN$204,MATCH($A17&amp;"|סוף שנה",'זה אני - קליטה'!$AF$5:$AF$204,0)),""))</f>
        <v/>
      </c>
      <c r="Y17" s="36">
        <f>IF($A17="","",IFERROR(INDEX('זה אני - קליטה'!$AW$5:$AW$204,MATCH($A17&amp;"|סוף שנה",'זה אני - קליטה'!$AF$5:$AF$204,0)),""))</f>
        <v/>
      </c>
      <c r="Z17" s="43">
        <f>IF(AND(ISNUMBER(F17),ISNUMBER(V17)),V17-F17,"")</f>
        <v/>
      </c>
      <c r="AA17" s="36">
        <f>IF(Z17="","",IF(Z17&gt;=0.25,"עלייה",IF(Z17&lt;=-0.25,"ירידה","יציב")))</f>
        <v/>
      </c>
    </row>
    <row r="18">
      <c r="A18" s="38" t="n"/>
      <c r="B18" s="37">
        <f>IF($A18="","",IFERROR(INDEX('זה אני - קליטה'!$AH$5:$AH$204,MATCH($A18&amp;"|תחילת שנה",'זה אני - קליטה'!$AF$5:$AF$204,0)),""))</f>
        <v/>
      </c>
      <c r="C18" s="37">
        <f>IF($A18="","",IFERROR(INDEX('זה אני - קליטה'!$AI$5:$AI$204,MATCH($A18&amp;"|תחילת שנה",'זה אני - קליטה'!$AF$5:$AF$204,0)),""))</f>
        <v/>
      </c>
      <c r="D18" s="37">
        <f>IF($A18="","",IFERROR(INDEX('זה אני - קליטה'!$AJ$5:$AJ$204,MATCH($A18&amp;"|תחילת שנה",'זה אני - קליטה'!$AF$5:$AF$204,0)),""))</f>
        <v/>
      </c>
      <c r="E18" s="37">
        <f>IF($A18="","",IFERROR(INDEX('זה אני - קליטה'!$AK$5:$AK$204,MATCH($A18&amp;"|תחילת שנה",'זה אני - קליטה'!$AF$5:$AF$204,0)),""))</f>
        <v/>
      </c>
      <c r="F18" s="37">
        <f>IF($A18="","",IFERROR(INDEX('זה אני - קליטה'!$AL$5:$AL$204,MATCH($A18&amp;"|תחילת שנה",'זה אני - קליטה'!$AF$5:$AF$204,0)),""))</f>
        <v/>
      </c>
      <c r="G18" s="36">
        <f>IF($A18="","",IFERROR(INDEX('זה אני - קליטה'!$AG$5:$AG$204,MATCH($A18&amp;"|תחילת שנה",'זה אני - קליטה'!$AF$5:$AF$204,0)),""))</f>
        <v/>
      </c>
      <c r="H18" s="37">
        <f>IF($A18="","",IFERROR(INDEX('זה אני - קליטה'!$AN$5:$AN$204,MATCH($A18&amp;"|תחילת שנה",'זה אני - קליטה'!$AF$5:$AF$204,0)),""))</f>
        <v/>
      </c>
      <c r="I18" s="36">
        <f>IF($A18="","",IFERROR(INDEX('זה אני - קליטה'!$AW$5:$AW$204,MATCH($A18&amp;"|תחילת שנה",'זה אני - קליטה'!$AF$5:$AF$204,0)),""))</f>
        <v/>
      </c>
      <c r="J18" s="37">
        <f>IF($A18="","",IFERROR(INDEX('זה אני - קליטה'!$AH$5:$AH$204,MATCH($A18&amp;"|אמצע שנה",'זה אני - קליטה'!$AF$5:$AF$204,0)),""))</f>
        <v/>
      </c>
      <c r="K18" s="37">
        <f>IF($A18="","",IFERROR(INDEX('זה אני - קליטה'!$AI$5:$AI$204,MATCH($A18&amp;"|אמצע שנה",'זה אני - קליטה'!$AF$5:$AF$204,0)),""))</f>
        <v/>
      </c>
      <c r="L18" s="37">
        <f>IF($A18="","",IFERROR(INDEX('זה אני - קליטה'!$AJ$5:$AJ$204,MATCH($A18&amp;"|אמצע שנה",'זה אני - קליטה'!$AF$5:$AF$204,0)),""))</f>
        <v/>
      </c>
      <c r="M18" s="37">
        <f>IF($A18="","",IFERROR(INDEX('זה אני - קליטה'!$AK$5:$AK$204,MATCH($A18&amp;"|אמצע שנה",'זה אני - קליטה'!$AF$5:$AF$204,0)),""))</f>
        <v/>
      </c>
      <c r="N18" s="37">
        <f>IF($A18="","",IFERROR(INDEX('זה אני - קליטה'!$AL$5:$AL$204,MATCH($A18&amp;"|אמצע שנה",'זה אני - קליטה'!$AF$5:$AF$204,0)),""))</f>
        <v/>
      </c>
      <c r="O18" s="36">
        <f>IF($A18="","",IFERROR(INDEX('זה אני - קליטה'!$AG$5:$AG$204,MATCH($A18&amp;"|אמצע שנה",'זה אני - קליטה'!$AF$5:$AF$204,0)),""))</f>
        <v/>
      </c>
      <c r="P18" s="37">
        <f>IF($A18="","",IFERROR(INDEX('זה אני - קליטה'!$AN$5:$AN$204,MATCH($A18&amp;"|אמצע שנה",'זה אני - קליטה'!$AF$5:$AF$204,0)),""))</f>
        <v/>
      </c>
      <c r="Q18" s="36">
        <f>IF($A18="","",IFERROR(INDEX('זה אני - קליטה'!$AW$5:$AW$204,MATCH($A18&amp;"|אמצע שנה",'זה אני - קליטה'!$AF$5:$AF$204,0)),""))</f>
        <v/>
      </c>
      <c r="R18" s="37">
        <f>IF($A18="","",IFERROR(INDEX('זה אני - קליטה'!$AH$5:$AH$204,MATCH($A18&amp;"|סוף שנה",'זה אני - קליטה'!$AF$5:$AF$204,0)),""))</f>
        <v/>
      </c>
      <c r="S18" s="37">
        <f>IF($A18="","",IFERROR(INDEX('זה אני - קליטה'!$AI$5:$AI$204,MATCH($A18&amp;"|סוף שנה",'זה אני - קליטה'!$AF$5:$AF$204,0)),""))</f>
        <v/>
      </c>
      <c r="T18" s="37">
        <f>IF($A18="","",IFERROR(INDEX('זה אני - קליטה'!$AJ$5:$AJ$204,MATCH($A18&amp;"|סוף שנה",'זה אני - קליטה'!$AF$5:$AF$204,0)),""))</f>
        <v/>
      </c>
      <c r="U18" s="37">
        <f>IF($A18="","",IFERROR(INDEX('זה אני - קליטה'!$AK$5:$AK$204,MATCH($A18&amp;"|סוף שנה",'זה אני - קליטה'!$AF$5:$AF$204,0)),""))</f>
        <v/>
      </c>
      <c r="V18" s="37">
        <f>IF($A18="","",IFERROR(INDEX('זה אני - קליטה'!$AL$5:$AL$204,MATCH($A18&amp;"|סוף שנה",'זה אני - קליטה'!$AF$5:$AF$204,0)),""))</f>
        <v/>
      </c>
      <c r="W18" s="36">
        <f>IF($A18="","",IFERROR(INDEX('זה אני - קליטה'!$AG$5:$AG$204,MATCH($A18&amp;"|סוף שנה",'זה אני - קליטה'!$AF$5:$AF$204,0)),""))</f>
        <v/>
      </c>
      <c r="X18" s="37">
        <f>IF($A18="","",IFERROR(INDEX('זה אני - קליטה'!$AN$5:$AN$204,MATCH($A18&amp;"|סוף שנה",'זה אני - קליטה'!$AF$5:$AF$204,0)),""))</f>
        <v/>
      </c>
      <c r="Y18" s="36">
        <f>IF($A18="","",IFERROR(INDEX('זה אני - קליטה'!$AW$5:$AW$204,MATCH($A18&amp;"|סוף שנה",'זה אני - קליטה'!$AF$5:$AF$204,0)),""))</f>
        <v/>
      </c>
      <c r="Z18" s="43">
        <f>IF(AND(ISNUMBER(F18),ISNUMBER(V18)),V18-F18,"")</f>
        <v/>
      </c>
      <c r="AA18" s="36">
        <f>IF(Z18="","",IF(Z18&gt;=0.25,"עלייה",IF(Z18&lt;=-0.25,"ירידה","יציב")))</f>
        <v/>
      </c>
    </row>
    <row r="19">
      <c r="A19" s="38" t="n"/>
      <c r="B19" s="37">
        <f>IF($A19="","",IFERROR(INDEX('זה אני - קליטה'!$AH$5:$AH$204,MATCH($A19&amp;"|תחילת שנה",'זה אני - קליטה'!$AF$5:$AF$204,0)),""))</f>
        <v/>
      </c>
      <c r="C19" s="37">
        <f>IF($A19="","",IFERROR(INDEX('זה אני - קליטה'!$AI$5:$AI$204,MATCH($A19&amp;"|תחילת שנה",'זה אני - קליטה'!$AF$5:$AF$204,0)),""))</f>
        <v/>
      </c>
      <c r="D19" s="37">
        <f>IF($A19="","",IFERROR(INDEX('זה אני - קליטה'!$AJ$5:$AJ$204,MATCH($A19&amp;"|תחילת שנה",'זה אני - קליטה'!$AF$5:$AF$204,0)),""))</f>
        <v/>
      </c>
      <c r="E19" s="37">
        <f>IF($A19="","",IFERROR(INDEX('זה אני - קליטה'!$AK$5:$AK$204,MATCH($A19&amp;"|תחילת שנה",'זה אני - קליטה'!$AF$5:$AF$204,0)),""))</f>
        <v/>
      </c>
      <c r="F19" s="37">
        <f>IF($A19="","",IFERROR(INDEX('זה אני - קליטה'!$AL$5:$AL$204,MATCH($A19&amp;"|תחילת שנה",'זה אני - קליטה'!$AF$5:$AF$204,0)),""))</f>
        <v/>
      </c>
      <c r="G19" s="36">
        <f>IF($A19="","",IFERROR(INDEX('זה אני - קליטה'!$AG$5:$AG$204,MATCH($A19&amp;"|תחילת שנה",'זה אני - קליטה'!$AF$5:$AF$204,0)),""))</f>
        <v/>
      </c>
      <c r="H19" s="37">
        <f>IF($A19="","",IFERROR(INDEX('זה אני - קליטה'!$AN$5:$AN$204,MATCH($A19&amp;"|תחילת שנה",'זה אני - קליטה'!$AF$5:$AF$204,0)),""))</f>
        <v/>
      </c>
      <c r="I19" s="36">
        <f>IF($A19="","",IFERROR(INDEX('זה אני - קליטה'!$AW$5:$AW$204,MATCH($A19&amp;"|תחילת שנה",'זה אני - קליטה'!$AF$5:$AF$204,0)),""))</f>
        <v/>
      </c>
      <c r="J19" s="37">
        <f>IF($A19="","",IFERROR(INDEX('זה אני - קליטה'!$AH$5:$AH$204,MATCH($A19&amp;"|אמצע שנה",'זה אני - קליטה'!$AF$5:$AF$204,0)),""))</f>
        <v/>
      </c>
      <c r="K19" s="37">
        <f>IF($A19="","",IFERROR(INDEX('זה אני - קליטה'!$AI$5:$AI$204,MATCH($A19&amp;"|אמצע שנה",'זה אני - קליטה'!$AF$5:$AF$204,0)),""))</f>
        <v/>
      </c>
      <c r="L19" s="37">
        <f>IF($A19="","",IFERROR(INDEX('זה אני - קליטה'!$AJ$5:$AJ$204,MATCH($A19&amp;"|אמצע שנה",'זה אני - קליטה'!$AF$5:$AF$204,0)),""))</f>
        <v/>
      </c>
      <c r="M19" s="37">
        <f>IF($A19="","",IFERROR(INDEX('זה אני - קליטה'!$AK$5:$AK$204,MATCH($A19&amp;"|אמצע שנה",'זה אני - קליטה'!$AF$5:$AF$204,0)),""))</f>
        <v/>
      </c>
      <c r="N19" s="37">
        <f>IF($A19="","",IFERROR(INDEX('זה אני - קליטה'!$AL$5:$AL$204,MATCH($A19&amp;"|אמצע שנה",'זה אני - קליטה'!$AF$5:$AF$204,0)),""))</f>
        <v/>
      </c>
      <c r="O19" s="36">
        <f>IF($A19="","",IFERROR(INDEX('זה אני - קליטה'!$AG$5:$AG$204,MATCH($A19&amp;"|אמצע שנה",'זה אני - קליטה'!$AF$5:$AF$204,0)),""))</f>
        <v/>
      </c>
      <c r="P19" s="37">
        <f>IF($A19="","",IFERROR(INDEX('זה אני - קליטה'!$AN$5:$AN$204,MATCH($A19&amp;"|אמצע שנה",'זה אני - קליטה'!$AF$5:$AF$204,0)),""))</f>
        <v/>
      </c>
      <c r="Q19" s="36">
        <f>IF($A19="","",IFERROR(INDEX('זה אני - קליטה'!$AW$5:$AW$204,MATCH($A19&amp;"|אמצע שנה",'זה אני - קליטה'!$AF$5:$AF$204,0)),""))</f>
        <v/>
      </c>
      <c r="R19" s="37">
        <f>IF($A19="","",IFERROR(INDEX('זה אני - קליטה'!$AH$5:$AH$204,MATCH($A19&amp;"|סוף שנה",'זה אני - קליטה'!$AF$5:$AF$204,0)),""))</f>
        <v/>
      </c>
      <c r="S19" s="37">
        <f>IF($A19="","",IFERROR(INDEX('זה אני - קליטה'!$AI$5:$AI$204,MATCH($A19&amp;"|סוף שנה",'זה אני - קליטה'!$AF$5:$AF$204,0)),""))</f>
        <v/>
      </c>
      <c r="T19" s="37">
        <f>IF($A19="","",IFERROR(INDEX('זה אני - קליטה'!$AJ$5:$AJ$204,MATCH($A19&amp;"|סוף שנה",'זה אני - קליטה'!$AF$5:$AF$204,0)),""))</f>
        <v/>
      </c>
      <c r="U19" s="37">
        <f>IF($A19="","",IFERROR(INDEX('זה אני - קליטה'!$AK$5:$AK$204,MATCH($A19&amp;"|סוף שנה",'זה אני - קליטה'!$AF$5:$AF$204,0)),""))</f>
        <v/>
      </c>
      <c r="V19" s="37">
        <f>IF($A19="","",IFERROR(INDEX('זה אני - קליטה'!$AL$5:$AL$204,MATCH($A19&amp;"|סוף שנה",'זה אני - קליטה'!$AF$5:$AF$204,0)),""))</f>
        <v/>
      </c>
      <c r="W19" s="36">
        <f>IF($A19="","",IFERROR(INDEX('זה אני - קליטה'!$AG$5:$AG$204,MATCH($A19&amp;"|סוף שנה",'זה אני - קליטה'!$AF$5:$AF$204,0)),""))</f>
        <v/>
      </c>
      <c r="X19" s="37">
        <f>IF($A19="","",IFERROR(INDEX('זה אני - קליטה'!$AN$5:$AN$204,MATCH($A19&amp;"|סוף שנה",'זה אני - קליטה'!$AF$5:$AF$204,0)),""))</f>
        <v/>
      </c>
      <c r="Y19" s="36">
        <f>IF($A19="","",IFERROR(INDEX('זה אני - קליטה'!$AW$5:$AW$204,MATCH($A19&amp;"|סוף שנה",'זה אני - קליטה'!$AF$5:$AF$204,0)),""))</f>
        <v/>
      </c>
      <c r="Z19" s="43">
        <f>IF(AND(ISNUMBER(F19),ISNUMBER(V19)),V19-F19,"")</f>
        <v/>
      </c>
      <c r="AA19" s="36">
        <f>IF(Z19="","",IF(Z19&gt;=0.25,"עלייה",IF(Z19&lt;=-0.25,"ירידה","יציב")))</f>
        <v/>
      </c>
    </row>
    <row r="20">
      <c r="A20" s="38" t="n"/>
      <c r="B20" s="37">
        <f>IF($A20="","",IFERROR(INDEX('זה אני - קליטה'!$AH$5:$AH$204,MATCH($A20&amp;"|תחילת שנה",'זה אני - קליטה'!$AF$5:$AF$204,0)),""))</f>
        <v/>
      </c>
      <c r="C20" s="37">
        <f>IF($A20="","",IFERROR(INDEX('זה אני - קליטה'!$AI$5:$AI$204,MATCH($A20&amp;"|תחילת שנה",'זה אני - קליטה'!$AF$5:$AF$204,0)),""))</f>
        <v/>
      </c>
      <c r="D20" s="37">
        <f>IF($A20="","",IFERROR(INDEX('זה אני - קליטה'!$AJ$5:$AJ$204,MATCH($A20&amp;"|תחילת שנה",'זה אני - קליטה'!$AF$5:$AF$204,0)),""))</f>
        <v/>
      </c>
      <c r="E20" s="37">
        <f>IF($A20="","",IFERROR(INDEX('זה אני - קליטה'!$AK$5:$AK$204,MATCH($A20&amp;"|תחילת שנה",'זה אני - קליטה'!$AF$5:$AF$204,0)),""))</f>
        <v/>
      </c>
      <c r="F20" s="37">
        <f>IF($A20="","",IFERROR(INDEX('זה אני - קליטה'!$AL$5:$AL$204,MATCH($A20&amp;"|תחילת שנה",'זה אני - קליטה'!$AF$5:$AF$204,0)),""))</f>
        <v/>
      </c>
      <c r="G20" s="36">
        <f>IF($A20="","",IFERROR(INDEX('זה אני - קליטה'!$AG$5:$AG$204,MATCH($A20&amp;"|תחילת שנה",'זה אני - קליטה'!$AF$5:$AF$204,0)),""))</f>
        <v/>
      </c>
      <c r="H20" s="37">
        <f>IF($A20="","",IFERROR(INDEX('זה אני - קליטה'!$AN$5:$AN$204,MATCH($A20&amp;"|תחילת שנה",'זה אני - קליטה'!$AF$5:$AF$204,0)),""))</f>
        <v/>
      </c>
      <c r="I20" s="36">
        <f>IF($A20="","",IFERROR(INDEX('זה אני - קליטה'!$AW$5:$AW$204,MATCH($A20&amp;"|תחילת שנה",'זה אני - קליטה'!$AF$5:$AF$204,0)),""))</f>
        <v/>
      </c>
      <c r="J20" s="37">
        <f>IF($A20="","",IFERROR(INDEX('זה אני - קליטה'!$AH$5:$AH$204,MATCH($A20&amp;"|אמצע שנה",'זה אני - קליטה'!$AF$5:$AF$204,0)),""))</f>
        <v/>
      </c>
      <c r="K20" s="37">
        <f>IF($A20="","",IFERROR(INDEX('זה אני - קליטה'!$AI$5:$AI$204,MATCH($A20&amp;"|אמצע שנה",'זה אני - קליטה'!$AF$5:$AF$204,0)),""))</f>
        <v/>
      </c>
      <c r="L20" s="37">
        <f>IF($A20="","",IFERROR(INDEX('זה אני - קליטה'!$AJ$5:$AJ$204,MATCH($A20&amp;"|אמצע שנה",'זה אני - קליטה'!$AF$5:$AF$204,0)),""))</f>
        <v/>
      </c>
      <c r="M20" s="37">
        <f>IF($A20="","",IFERROR(INDEX('זה אני - קליטה'!$AK$5:$AK$204,MATCH($A20&amp;"|אמצע שנה",'זה אני - קליטה'!$AF$5:$AF$204,0)),""))</f>
        <v/>
      </c>
      <c r="N20" s="37">
        <f>IF($A20="","",IFERROR(INDEX('זה אני - קליטה'!$AL$5:$AL$204,MATCH($A20&amp;"|אמצע שנה",'זה אני - קליטה'!$AF$5:$AF$204,0)),""))</f>
        <v/>
      </c>
      <c r="O20" s="36">
        <f>IF($A20="","",IFERROR(INDEX('זה אני - קליטה'!$AG$5:$AG$204,MATCH($A20&amp;"|אמצע שנה",'זה אני - קליטה'!$AF$5:$AF$204,0)),""))</f>
        <v/>
      </c>
      <c r="P20" s="37">
        <f>IF($A20="","",IFERROR(INDEX('זה אני - קליטה'!$AN$5:$AN$204,MATCH($A20&amp;"|אמצע שנה",'זה אני - קליטה'!$AF$5:$AF$204,0)),""))</f>
        <v/>
      </c>
      <c r="Q20" s="36">
        <f>IF($A20="","",IFERROR(INDEX('זה אני - קליטה'!$AW$5:$AW$204,MATCH($A20&amp;"|אמצע שנה",'זה אני - קליטה'!$AF$5:$AF$204,0)),""))</f>
        <v/>
      </c>
      <c r="R20" s="37">
        <f>IF($A20="","",IFERROR(INDEX('זה אני - קליטה'!$AH$5:$AH$204,MATCH($A20&amp;"|סוף שנה",'זה אני - קליטה'!$AF$5:$AF$204,0)),""))</f>
        <v/>
      </c>
      <c r="S20" s="37">
        <f>IF($A20="","",IFERROR(INDEX('זה אני - קליטה'!$AI$5:$AI$204,MATCH($A20&amp;"|סוף שנה",'זה אני - קליטה'!$AF$5:$AF$204,0)),""))</f>
        <v/>
      </c>
      <c r="T20" s="37">
        <f>IF($A20="","",IFERROR(INDEX('זה אני - קליטה'!$AJ$5:$AJ$204,MATCH($A20&amp;"|סוף שנה",'זה אני - קליטה'!$AF$5:$AF$204,0)),""))</f>
        <v/>
      </c>
      <c r="U20" s="37">
        <f>IF($A20="","",IFERROR(INDEX('זה אני - קליטה'!$AK$5:$AK$204,MATCH($A20&amp;"|סוף שנה",'זה אני - קליטה'!$AF$5:$AF$204,0)),""))</f>
        <v/>
      </c>
      <c r="V20" s="37">
        <f>IF($A20="","",IFERROR(INDEX('זה אני - קליטה'!$AL$5:$AL$204,MATCH($A20&amp;"|סוף שנה",'זה אני - קליטה'!$AF$5:$AF$204,0)),""))</f>
        <v/>
      </c>
      <c r="W20" s="36">
        <f>IF($A20="","",IFERROR(INDEX('זה אני - קליטה'!$AG$5:$AG$204,MATCH($A20&amp;"|סוף שנה",'זה אני - קליטה'!$AF$5:$AF$204,0)),""))</f>
        <v/>
      </c>
      <c r="X20" s="37">
        <f>IF($A20="","",IFERROR(INDEX('זה אני - קליטה'!$AN$5:$AN$204,MATCH($A20&amp;"|סוף שנה",'זה אני - קליטה'!$AF$5:$AF$204,0)),""))</f>
        <v/>
      </c>
      <c r="Y20" s="36">
        <f>IF($A20="","",IFERROR(INDEX('זה אני - קליטה'!$AW$5:$AW$204,MATCH($A20&amp;"|סוף שנה",'זה אני - קליטה'!$AF$5:$AF$204,0)),""))</f>
        <v/>
      </c>
      <c r="Z20" s="43">
        <f>IF(AND(ISNUMBER(F20),ISNUMBER(V20)),V20-F20,"")</f>
        <v/>
      </c>
      <c r="AA20" s="36">
        <f>IF(Z20="","",IF(Z20&gt;=0.25,"עלייה",IF(Z20&lt;=-0.25,"ירידה","יציב")))</f>
        <v/>
      </c>
    </row>
    <row r="21">
      <c r="A21" s="38" t="n"/>
      <c r="B21" s="37">
        <f>IF($A21="","",IFERROR(INDEX('זה אני - קליטה'!$AH$5:$AH$204,MATCH($A21&amp;"|תחילת שנה",'זה אני - קליטה'!$AF$5:$AF$204,0)),""))</f>
        <v/>
      </c>
      <c r="C21" s="37">
        <f>IF($A21="","",IFERROR(INDEX('זה אני - קליטה'!$AI$5:$AI$204,MATCH($A21&amp;"|תחילת שנה",'זה אני - קליטה'!$AF$5:$AF$204,0)),""))</f>
        <v/>
      </c>
      <c r="D21" s="37">
        <f>IF($A21="","",IFERROR(INDEX('זה אני - קליטה'!$AJ$5:$AJ$204,MATCH($A21&amp;"|תחילת שנה",'זה אני - קליטה'!$AF$5:$AF$204,0)),""))</f>
        <v/>
      </c>
      <c r="E21" s="37">
        <f>IF($A21="","",IFERROR(INDEX('זה אני - קליטה'!$AK$5:$AK$204,MATCH($A21&amp;"|תחילת שנה",'זה אני - קליטה'!$AF$5:$AF$204,0)),""))</f>
        <v/>
      </c>
      <c r="F21" s="37">
        <f>IF($A21="","",IFERROR(INDEX('זה אני - קליטה'!$AL$5:$AL$204,MATCH($A21&amp;"|תחילת שנה",'זה אני - קליטה'!$AF$5:$AF$204,0)),""))</f>
        <v/>
      </c>
      <c r="G21" s="36">
        <f>IF($A21="","",IFERROR(INDEX('זה אני - קליטה'!$AG$5:$AG$204,MATCH($A21&amp;"|תחילת שנה",'זה אני - קליטה'!$AF$5:$AF$204,0)),""))</f>
        <v/>
      </c>
      <c r="H21" s="37">
        <f>IF($A21="","",IFERROR(INDEX('זה אני - קליטה'!$AN$5:$AN$204,MATCH($A21&amp;"|תחילת שנה",'זה אני - קליטה'!$AF$5:$AF$204,0)),""))</f>
        <v/>
      </c>
      <c r="I21" s="36">
        <f>IF($A21="","",IFERROR(INDEX('זה אני - קליטה'!$AW$5:$AW$204,MATCH($A21&amp;"|תחילת שנה",'זה אני - קליטה'!$AF$5:$AF$204,0)),""))</f>
        <v/>
      </c>
      <c r="J21" s="37">
        <f>IF($A21="","",IFERROR(INDEX('זה אני - קליטה'!$AH$5:$AH$204,MATCH($A21&amp;"|אמצע שנה",'זה אני - קליטה'!$AF$5:$AF$204,0)),""))</f>
        <v/>
      </c>
      <c r="K21" s="37">
        <f>IF($A21="","",IFERROR(INDEX('זה אני - קליטה'!$AI$5:$AI$204,MATCH($A21&amp;"|אמצע שנה",'זה אני - קליטה'!$AF$5:$AF$204,0)),""))</f>
        <v/>
      </c>
      <c r="L21" s="37">
        <f>IF($A21="","",IFERROR(INDEX('זה אני - קליטה'!$AJ$5:$AJ$204,MATCH($A21&amp;"|אמצע שנה",'זה אני - קליטה'!$AF$5:$AF$204,0)),""))</f>
        <v/>
      </c>
      <c r="M21" s="37">
        <f>IF($A21="","",IFERROR(INDEX('זה אני - קליטה'!$AK$5:$AK$204,MATCH($A21&amp;"|אמצע שנה",'זה אני - קליטה'!$AF$5:$AF$204,0)),""))</f>
        <v/>
      </c>
      <c r="N21" s="37">
        <f>IF($A21="","",IFERROR(INDEX('זה אני - קליטה'!$AL$5:$AL$204,MATCH($A21&amp;"|אמצע שנה",'זה אני - קליטה'!$AF$5:$AF$204,0)),""))</f>
        <v/>
      </c>
      <c r="O21" s="36">
        <f>IF($A21="","",IFERROR(INDEX('זה אני - קליטה'!$AG$5:$AG$204,MATCH($A21&amp;"|אמצע שנה",'זה אני - קליטה'!$AF$5:$AF$204,0)),""))</f>
        <v/>
      </c>
      <c r="P21" s="37">
        <f>IF($A21="","",IFERROR(INDEX('זה אני - קליטה'!$AN$5:$AN$204,MATCH($A21&amp;"|אמצע שנה",'זה אני - קליטה'!$AF$5:$AF$204,0)),""))</f>
        <v/>
      </c>
      <c r="Q21" s="36">
        <f>IF($A21="","",IFERROR(INDEX('זה אני - קליטה'!$AW$5:$AW$204,MATCH($A21&amp;"|אמצע שנה",'זה אני - קליטה'!$AF$5:$AF$204,0)),""))</f>
        <v/>
      </c>
      <c r="R21" s="37">
        <f>IF($A21="","",IFERROR(INDEX('זה אני - קליטה'!$AH$5:$AH$204,MATCH($A21&amp;"|סוף שנה",'זה אני - קליטה'!$AF$5:$AF$204,0)),""))</f>
        <v/>
      </c>
      <c r="S21" s="37">
        <f>IF($A21="","",IFERROR(INDEX('זה אני - קליטה'!$AI$5:$AI$204,MATCH($A21&amp;"|סוף שנה",'זה אני - קליטה'!$AF$5:$AF$204,0)),""))</f>
        <v/>
      </c>
      <c r="T21" s="37">
        <f>IF($A21="","",IFERROR(INDEX('זה אני - קליטה'!$AJ$5:$AJ$204,MATCH($A21&amp;"|סוף שנה",'זה אני - קליטה'!$AF$5:$AF$204,0)),""))</f>
        <v/>
      </c>
      <c r="U21" s="37">
        <f>IF($A21="","",IFERROR(INDEX('זה אני - קליטה'!$AK$5:$AK$204,MATCH($A21&amp;"|סוף שנה",'זה אני - קליטה'!$AF$5:$AF$204,0)),""))</f>
        <v/>
      </c>
      <c r="V21" s="37">
        <f>IF($A21="","",IFERROR(INDEX('זה אני - קליטה'!$AL$5:$AL$204,MATCH($A21&amp;"|סוף שנה",'זה אני - קליטה'!$AF$5:$AF$204,0)),""))</f>
        <v/>
      </c>
      <c r="W21" s="36">
        <f>IF($A21="","",IFERROR(INDEX('זה אני - קליטה'!$AG$5:$AG$204,MATCH($A21&amp;"|סוף שנה",'זה אני - קליטה'!$AF$5:$AF$204,0)),""))</f>
        <v/>
      </c>
      <c r="X21" s="37">
        <f>IF($A21="","",IFERROR(INDEX('זה אני - קליטה'!$AN$5:$AN$204,MATCH($A21&amp;"|סוף שנה",'זה אני - קליטה'!$AF$5:$AF$204,0)),""))</f>
        <v/>
      </c>
      <c r="Y21" s="36">
        <f>IF($A21="","",IFERROR(INDEX('זה אני - קליטה'!$AW$5:$AW$204,MATCH($A21&amp;"|סוף שנה",'זה אני - קליטה'!$AF$5:$AF$204,0)),""))</f>
        <v/>
      </c>
      <c r="Z21" s="43">
        <f>IF(AND(ISNUMBER(F21),ISNUMBER(V21)),V21-F21,"")</f>
        <v/>
      </c>
      <c r="AA21" s="36">
        <f>IF(Z21="","",IF(Z21&gt;=0.25,"עלייה",IF(Z21&lt;=-0.25,"ירידה","יציב")))</f>
        <v/>
      </c>
    </row>
    <row r="22">
      <c r="A22" s="38" t="n"/>
      <c r="B22" s="37">
        <f>IF($A22="","",IFERROR(INDEX('זה אני - קליטה'!$AH$5:$AH$204,MATCH($A22&amp;"|תחילת שנה",'זה אני - קליטה'!$AF$5:$AF$204,0)),""))</f>
        <v/>
      </c>
      <c r="C22" s="37">
        <f>IF($A22="","",IFERROR(INDEX('זה אני - קליטה'!$AI$5:$AI$204,MATCH($A22&amp;"|תחילת שנה",'זה אני - קליטה'!$AF$5:$AF$204,0)),""))</f>
        <v/>
      </c>
      <c r="D22" s="37">
        <f>IF($A22="","",IFERROR(INDEX('זה אני - קליטה'!$AJ$5:$AJ$204,MATCH($A22&amp;"|תחילת שנה",'זה אני - קליטה'!$AF$5:$AF$204,0)),""))</f>
        <v/>
      </c>
      <c r="E22" s="37">
        <f>IF($A22="","",IFERROR(INDEX('זה אני - קליטה'!$AK$5:$AK$204,MATCH($A22&amp;"|תחילת שנה",'זה אני - קליטה'!$AF$5:$AF$204,0)),""))</f>
        <v/>
      </c>
      <c r="F22" s="37">
        <f>IF($A22="","",IFERROR(INDEX('זה אני - קליטה'!$AL$5:$AL$204,MATCH($A22&amp;"|תחילת שנה",'זה אני - קליטה'!$AF$5:$AF$204,0)),""))</f>
        <v/>
      </c>
      <c r="G22" s="36">
        <f>IF($A22="","",IFERROR(INDEX('זה אני - קליטה'!$AG$5:$AG$204,MATCH($A22&amp;"|תחילת שנה",'זה אני - קליטה'!$AF$5:$AF$204,0)),""))</f>
        <v/>
      </c>
      <c r="H22" s="37">
        <f>IF($A22="","",IFERROR(INDEX('זה אני - קליטה'!$AN$5:$AN$204,MATCH($A22&amp;"|תחילת שנה",'זה אני - קליטה'!$AF$5:$AF$204,0)),""))</f>
        <v/>
      </c>
      <c r="I22" s="36">
        <f>IF($A22="","",IFERROR(INDEX('זה אני - קליטה'!$AW$5:$AW$204,MATCH($A22&amp;"|תחילת שנה",'זה אני - קליטה'!$AF$5:$AF$204,0)),""))</f>
        <v/>
      </c>
      <c r="J22" s="37">
        <f>IF($A22="","",IFERROR(INDEX('זה אני - קליטה'!$AH$5:$AH$204,MATCH($A22&amp;"|אמצע שנה",'זה אני - קליטה'!$AF$5:$AF$204,0)),""))</f>
        <v/>
      </c>
      <c r="K22" s="37">
        <f>IF($A22="","",IFERROR(INDEX('זה אני - קליטה'!$AI$5:$AI$204,MATCH($A22&amp;"|אמצע שנה",'זה אני - קליטה'!$AF$5:$AF$204,0)),""))</f>
        <v/>
      </c>
      <c r="L22" s="37">
        <f>IF($A22="","",IFERROR(INDEX('זה אני - קליטה'!$AJ$5:$AJ$204,MATCH($A22&amp;"|אמצע שנה",'זה אני - קליטה'!$AF$5:$AF$204,0)),""))</f>
        <v/>
      </c>
      <c r="M22" s="37">
        <f>IF($A22="","",IFERROR(INDEX('זה אני - קליטה'!$AK$5:$AK$204,MATCH($A22&amp;"|אמצע שנה",'זה אני - קליטה'!$AF$5:$AF$204,0)),""))</f>
        <v/>
      </c>
      <c r="N22" s="37">
        <f>IF($A22="","",IFERROR(INDEX('זה אני - קליטה'!$AL$5:$AL$204,MATCH($A22&amp;"|אמצע שנה",'זה אני - קליטה'!$AF$5:$AF$204,0)),""))</f>
        <v/>
      </c>
      <c r="O22" s="36">
        <f>IF($A22="","",IFERROR(INDEX('זה אני - קליטה'!$AG$5:$AG$204,MATCH($A22&amp;"|אמצע שנה",'זה אני - קליטה'!$AF$5:$AF$204,0)),""))</f>
        <v/>
      </c>
      <c r="P22" s="37">
        <f>IF($A22="","",IFERROR(INDEX('זה אני - קליטה'!$AN$5:$AN$204,MATCH($A22&amp;"|אמצע שנה",'זה אני - קליטה'!$AF$5:$AF$204,0)),""))</f>
        <v/>
      </c>
      <c r="Q22" s="36">
        <f>IF($A22="","",IFERROR(INDEX('זה אני - קליטה'!$AW$5:$AW$204,MATCH($A22&amp;"|אמצע שנה",'זה אני - קליטה'!$AF$5:$AF$204,0)),""))</f>
        <v/>
      </c>
      <c r="R22" s="37">
        <f>IF($A22="","",IFERROR(INDEX('זה אני - קליטה'!$AH$5:$AH$204,MATCH($A22&amp;"|סוף שנה",'זה אני - קליטה'!$AF$5:$AF$204,0)),""))</f>
        <v/>
      </c>
      <c r="S22" s="37">
        <f>IF($A22="","",IFERROR(INDEX('זה אני - קליטה'!$AI$5:$AI$204,MATCH($A22&amp;"|סוף שנה",'זה אני - קליטה'!$AF$5:$AF$204,0)),""))</f>
        <v/>
      </c>
      <c r="T22" s="37">
        <f>IF($A22="","",IFERROR(INDEX('זה אני - קליטה'!$AJ$5:$AJ$204,MATCH($A22&amp;"|סוף שנה",'זה אני - קליטה'!$AF$5:$AF$204,0)),""))</f>
        <v/>
      </c>
      <c r="U22" s="37">
        <f>IF($A22="","",IFERROR(INDEX('זה אני - קליטה'!$AK$5:$AK$204,MATCH($A22&amp;"|סוף שנה",'זה אני - קליטה'!$AF$5:$AF$204,0)),""))</f>
        <v/>
      </c>
      <c r="V22" s="37">
        <f>IF($A22="","",IFERROR(INDEX('זה אני - קליטה'!$AL$5:$AL$204,MATCH($A22&amp;"|סוף שנה",'זה אני - קליטה'!$AF$5:$AF$204,0)),""))</f>
        <v/>
      </c>
      <c r="W22" s="36">
        <f>IF($A22="","",IFERROR(INDEX('זה אני - קליטה'!$AG$5:$AG$204,MATCH($A22&amp;"|סוף שנה",'זה אני - קליטה'!$AF$5:$AF$204,0)),""))</f>
        <v/>
      </c>
      <c r="X22" s="37">
        <f>IF($A22="","",IFERROR(INDEX('זה אני - קליטה'!$AN$5:$AN$204,MATCH($A22&amp;"|סוף שנה",'זה אני - קליטה'!$AF$5:$AF$204,0)),""))</f>
        <v/>
      </c>
      <c r="Y22" s="36">
        <f>IF($A22="","",IFERROR(INDEX('זה אני - קליטה'!$AW$5:$AW$204,MATCH($A22&amp;"|סוף שנה",'זה אני - קליטה'!$AF$5:$AF$204,0)),""))</f>
        <v/>
      </c>
      <c r="Z22" s="43">
        <f>IF(AND(ISNUMBER(F22),ISNUMBER(V22)),V22-F22,"")</f>
        <v/>
      </c>
      <c r="AA22" s="36">
        <f>IF(Z22="","",IF(Z22&gt;=0.25,"עלייה",IF(Z22&lt;=-0.25,"ירידה","יציב")))</f>
        <v/>
      </c>
    </row>
    <row r="23">
      <c r="A23" s="38" t="n"/>
      <c r="B23" s="37">
        <f>IF($A23="","",IFERROR(INDEX('זה אני - קליטה'!$AH$5:$AH$204,MATCH($A23&amp;"|תחילת שנה",'זה אני - קליטה'!$AF$5:$AF$204,0)),""))</f>
        <v/>
      </c>
      <c r="C23" s="37">
        <f>IF($A23="","",IFERROR(INDEX('זה אני - קליטה'!$AI$5:$AI$204,MATCH($A23&amp;"|תחילת שנה",'זה אני - קליטה'!$AF$5:$AF$204,0)),""))</f>
        <v/>
      </c>
      <c r="D23" s="37">
        <f>IF($A23="","",IFERROR(INDEX('זה אני - קליטה'!$AJ$5:$AJ$204,MATCH($A23&amp;"|תחילת שנה",'זה אני - קליטה'!$AF$5:$AF$204,0)),""))</f>
        <v/>
      </c>
      <c r="E23" s="37">
        <f>IF($A23="","",IFERROR(INDEX('זה אני - קליטה'!$AK$5:$AK$204,MATCH($A23&amp;"|תחילת שנה",'זה אני - קליטה'!$AF$5:$AF$204,0)),""))</f>
        <v/>
      </c>
      <c r="F23" s="37">
        <f>IF($A23="","",IFERROR(INDEX('זה אני - קליטה'!$AL$5:$AL$204,MATCH($A23&amp;"|תחילת שנה",'זה אני - קליטה'!$AF$5:$AF$204,0)),""))</f>
        <v/>
      </c>
      <c r="G23" s="36">
        <f>IF($A23="","",IFERROR(INDEX('זה אני - קליטה'!$AG$5:$AG$204,MATCH($A23&amp;"|תחילת שנה",'זה אני - קליטה'!$AF$5:$AF$204,0)),""))</f>
        <v/>
      </c>
      <c r="H23" s="37">
        <f>IF($A23="","",IFERROR(INDEX('זה אני - קליטה'!$AN$5:$AN$204,MATCH($A23&amp;"|תחילת שנה",'זה אני - קליטה'!$AF$5:$AF$204,0)),""))</f>
        <v/>
      </c>
      <c r="I23" s="36">
        <f>IF($A23="","",IFERROR(INDEX('זה אני - קליטה'!$AW$5:$AW$204,MATCH($A23&amp;"|תחילת שנה",'זה אני - קליטה'!$AF$5:$AF$204,0)),""))</f>
        <v/>
      </c>
      <c r="J23" s="37">
        <f>IF($A23="","",IFERROR(INDEX('זה אני - קליטה'!$AH$5:$AH$204,MATCH($A23&amp;"|אמצע שנה",'זה אני - קליטה'!$AF$5:$AF$204,0)),""))</f>
        <v/>
      </c>
      <c r="K23" s="37">
        <f>IF($A23="","",IFERROR(INDEX('זה אני - קליטה'!$AI$5:$AI$204,MATCH($A23&amp;"|אמצע שנה",'זה אני - קליטה'!$AF$5:$AF$204,0)),""))</f>
        <v/>
      </c>
      <c r="L23" s="37">
        <f>IF($A23="","",IFERROR(INDEX('זה אני - קליטה'!$AJ$5:$AJ$204,MATCH($A23&amp;"|אמצע שנה",'זה אני - קליטה'!$AF$5:$AF$204,0)),""))</f>
        <v/>
      </c>
      <c r="M23" s="37">
        <f>IF($A23="","",IFERROR(INDEX('זה אני - קליטה'!$AK$5:$AK$204,MATCH($A23&amp;"|אמצע שנה",'זה אני - קליטה'!$AF$5:$AF$204,0)),""))</f>
        <v/>
      </c>
      <c r="N23" s="37">
        <f>IF($A23="","",IFERROR(INDEX('זה אני - קליטה'!$AL$5:$AL$204,MATCH($A23&amp;"|אמצע שנה",'זה אני - קליטה'!$AF$5:$AF$204,0)),""))</f>
        <v/>
      </c>
      <c r="O23" s="36">
        <f>IF($A23="","",IFERROR(INDEX('זה אני - קליטה'!$AG$5:$AG$204,MATCH($A23&amp;"|אמצע שנה",'זה אני - קליטה'!$AF$5:$AF$204,0)),""))</f>
        <v/>
      </c>
      <c r="P23" s="37">
        <f>IF($A23="","",IFERROR(INDEX('זה אני - קליטה'!$AN$5:$AN$204,MATCH($A23&amp;"|אמצע שנה",'זה אני - קליטה'!$AF$5:$AF$204,0)),""))</f>
        <v/>
      </c>
      <c r="Q23" s="36">
        <f>IF($A23="","",IFERROR(INDEX('זה אני - קליטה'!$AW$5:$AW$204,MATCH($A23&amp;"|אמצע שנה",'זה אני - קליטה'!$AF$5:$AF$204,0)),""))</f>
        <v/>
      </c>
      <c r="R23" s="37">
        <f>IF($A23="","",IFERROR(INDEX('זה אני - קליטה'!$AH$5:$AH$204,MATCH($A23&amp;"|סוף שנה",'זה אני - קליטה'!$AF$5:$AF$204,0)),""))</f>
        <v/>
      </c>
      <c r="S23" s="37">
        <f>IF($A23="","",IFERROR(INDEX('זה אני - קליטה'!$AI$5:$AI$204,MATCH($A23&amp;"|סוף שנה",'זה אני - קליטה'!$AF$5:$AF$204,0)),""))</f>
        <v/>
      </c>
      <c r="T23" s="37">
        <f>IF($A23="","",IFERROR(INDEX('זה אני - קליטה'!$AJ$5:$AJ$204,MATCH($A23&amp;"|סוף שנה",'זה אני - קליטה'!$AF$5:$AF$204,0)),""))</f>
        <v/>
      </c>
      <c r="U23" s="37">
        <f>IF($A23="","",IFERROR(INDEX('זה אני - קליטה'!$AK$5:$AK$204,MATCH($A23&amp;"|סוף שנה",'זה אני - קליטה'!$AF$5:$AF$204,0)),""))</f>
        <v/>
      </c>
      <c r="V23" s="37">
        <f>IF($A23="","",IFERROR(INDEX('זה אני - קליטה'!$AL$5:$AL$204,MATCH($A23&amp;"|סוף שנה",'זה אני - קליטה'!$AF$5:$AF$204,0)),""))</f>
        <v/>
      </c>
      <c r="W23" s="36">
        <f>IF($A23="","",IFERROR(INDEX('זה אני - קליטה'!$AG$5:$AG$204,MATCH($A23&amp;"|סוף שנה",'זה אני - קליטה'!$AF$5:$AF$204,0)),""))</f>
        <v/>
      </c>
      <c r="X23" s="37">
        <f>IF($A23="","",IFERROR(INDEX('זה אני - קליטה'!$AN$5:$AN$204,MATCH($A23&amp;"|סוף שנה",'זה אני - קליטה'!$AF$5:$AF$204,0)),""))</f>
        <v/>
      </c>
      <c r="Y23" s="36">
        <f>IF($A23="","",IFERROR(INDEX('זה אני - קליטה'!$AW$5:$AW$204,MATCH($A23&amp;"|סוף שנה",'זה אני - קליטה'!$AF$5:$AF$204,0)),""))</f>
        <v/>
      </c>
      <c r="Z23" s="43">
        <f>IF(AND(ISNUMBER(F23),ISNUMBER(V23)),V23-F23,"")</f>
        <v/>
      </c>
      <c r="AA23" s="36">
        <f>IF(Z23="","",IF(Z23&gt;=0.25,"עלייה",IF(Z23&lt;=-0.25,"ירידה","יציב")))</f>
        <v/>
      </c>
    </row>
    <row r="24">
      <c r="A24" s="38" t="n"/>
      <c r="B24" s="37">
        <f>IF($A24="","",IFERROR(INDEX('זה אני - קליטה'!$AH$5:$AH$204,MATCH($A24&amp;"|תחילת שנה",'זה אני - קליטה'!$AF$5:$AF$204,0)),""))</f>
        <v/>
      </c>
      <c r="C24" s="37">
        <f>IF($A24="","",IFERROR(INDEX('זה אני - קליטה'!$AI$5:$AI$204,MATCH($A24&amp;"|תחילת שנה",'זה אני - קליטה'!$AF$5:$AF$204,0)),""))</f>
        <v/>
      </c>
      <c r="D24" s="37">
        <f>IF($A24="","",IFERROR(INDEX('זה אני - קליטה'!$AJ$5:$AJ$204,MATCH($A24&amp;"|תחילת שנה",'זה אני - קליטה'!$AF$5:$AF$204,0)),""))</f>
        <v/>
      </c>
      <c r="E24" s="37">
        <f>IF($A24="","",IFERROR(INDEX('זה אני - קליטה'!$AK$5:$AK$204,MATCH($A24&amp;"|תחילת שנה",'זה אני - קליטה'!$AF$5:$AF$204,0)),""))</f>
        <v/>
      </c>
      <c r="F24" s="37">
        <f>IF($A24="","",IFERROR(INDEX('זה אני - קליטה'!$AL$5:$AL$204,MATCH($A24&amp;"|תחילת שנה",'זה אני - קליטה'!$AF$5:$AF$204,0)),""))</f>
        <v/>
      </c>
      <c r="G24" s="36">
        <f>IF($A24="","",IFERROR(INDEX('זה אני - קליטה'!$AG$5:$AG$204,MATCH($A24&amp;"|תחילת שנה",'זה אני - קליטה'!$AF$5:$AF$204,0)),""))</f>
        <v/>
      </c>
      <c r="H24" s="37">
        <f>IF($A24="","",IFERROR(INDEX('זה אני - קליטה'!$AN$5:$AN$204,MATCH($A24&amp;"|תחילת שנה",'זה אני - קליטה'!$AF$5:$AF$204,0)),""))</f>
        <v/>
      </c>
      <c r="I24" s="36">
        <f>IF($A24="","",IFERROR(INDEX('זה אני - קליטה'!$AW$5:$AW$204,MATCH($A24&amp;"|תחילת שנה",'זה אני - קליטה'!$AF$5:$AF$204,0)),""))</f>
        <v/>
      </c>
      <c r="J24" s="37">
        <f>IF($A24="","",IFERROR(INDEX('זה אני - קליטה'!$AH$5:$AH$204,MATCH($A24&amp;"|אמצע שנה",'זה אני - קליטה'!$AF$5:$AF$204,0)),""))</f>
        <v/>
      </c>
      <c r="K24" s="37">
        <f>IF($A24="","",IFERROR(INDEX('זה אני - קליטה'!$AI$5:$AI$204,MATCH($A24&amp;"|אמצע שנה",'זה אני - קליטה'!$AF$5:$AF$204,0)),""))</f>
        <v/>
      </c>
      <c r="L24" s="37">
        <f>IF($A24="","",IFERROR(INDEX('זה אני - קליטה'!$AJ$5:$AJ$204,MATCH($A24&amp;"|אמצע שנה",'זה אני - קליטה'!$AF$5:$AF$204,0)),""))</f>
        <v/>
      </c>
      <c r="M24" s="37">
        <f>IF($A24="","",IFERROR(INDEX('זה אני - קליטה'!$AK$5:$AK$204,MATCH($A24&amp;"|אמצע שנה",'זה אני - קליטה'!$AF$5:$AF$204,0)),""))</f>
        <v/>
      </c>
      <c r="N24" s="37">
        <f>IF($A24="","",IFERROR(INDEX('זה אני - קליטה'!$AL$5:$AL$204,MATCH($A24&amp;"|אמצע שנה",'זה אני - קליטה'!$AF$5:$AF$204,0)),""))</f>
        <v/>
      </c>
      <c r="O24" s="36">
        <f>IF($A24="","",IFERROR(INDEX('זה אני - קליטה'!$AG$5:$AG$204,MATCH($A24&amp;"|אמצע שנה",'זה אני - קליטה'!$AF$5:$AF$204,0)),""))</f>
        <v/>
      </c>
      <c r="P24" s="37">
        <f>IF($A24="","",IFERROR(INDEX('זה אני - קליטה'!$AN$5:$AN$204,MATCH($A24&amp;"|אמצע שנה",'זה אני - קליטה'!$AF$5:$AF$204,0)),""))</f>
        <v/>
      </c>
      <c r="Q24" s="36">
        <f>IF($A24="","",IFERROR(INDEX('זה אני - קליטה'!$AW$5:$AW$204,MATCH($A24&amp;"|אמצע שנה",'זה אני - קליטה'!$AF$5:$AF$204,0)),""))</f>
        <v/>
      </c>
      <c r="R24" s="37">
        <f>IF($A24="","",IFERROR(INDEX('זה אני - קליטה'!$AH$5:$AH$204,MATCH($A24&amp;"|סוף שנה",'זה אני - קליטה'!$AF$5:$AF$204,0)),""))</f>
        <v/>
      </c>
      <c r="S24" s="37">
        <f>IF($A24="","",IFERROR(INDEX('זה אני - קליטה'!$AI$5:$AI$204,MATCH($A24&amp;"|סוף שנה",'זה אני - קליטה'!$AF$5:$AF$204,0)),""))</f>
        <v/>
      </c>
      <c r="T24" s="37">
        <f>IF($A24="","",IFERROR(INDEX('זה אני - קליטה'!$AJ$5:$AJ$204,MATCH($A24&amp;"|סוף שנה",'זה אני - קליטה'!$AF$5:$AF$204,0)),""))</f>
        <v/>
      </c>
      <c r="U24" s="37">
        <f>IF($A24="","",IFERROR(INDEX('זה אני - קליטה'!$AK$5:$AK$204,MATCH($A24&amp;"|סוף שנה",'זה אני - קליטה'!$AF$5:$AF$204,0)),""))</f>
        <v/>
      </c>
      <c r="V24" s="37">
        <f>IF($A24="","",IFERROR(INDEX('זה אני - קליטה'!$AL$5:$AL$204,MATCH($A24&amp;"|סוף שנה",'זה אני - קליטה'!$AF$5:$AF$204,0)),""))</f>
        <v/>
      </c>
      <c r="W24" s="36">
        <f>IF($A24="","",IFERROR(INDEX('זה אני - קליטה'!$AG$5:$AG$204,MATCH($A24&amp;"|סוף שנה",'זה אני - קליטה'!$AF$5:$AF$204,0)),""))</f>
        <v/>
      </c>
      <c r="X24" s="37">
        <f>IF($A24="","",IFERROR(INDEX('זה אני - קליטה'!$AN$5:$AN$204,MATCH($A24&amp;"|סוף שנה",'זה אני - קליטה'!$AF$5:$AF$204,0)),""))</f>
        <v/>
      </c>
      <c r="Y24" s="36">
        <f>IF($A24="","",IFERROR(INDEX('זה אני - קליטה'!$AW$5:$AW$204,MATCH($A24&amp;"|סוף שנה",'זה אני - קליטה'!$AF$5:$AF$204,0)),""))</f>
        <v/>
      </c>
      <c r="Z24" s="43">
        <f>IF(AND(ISNUMBER(F24),ISNUMBER(V24)),V24-F24,"")</f>
        <v/>
      </c>
      <c r="AA24" s="36">
        <f>IF(Z24="","",IF(Z24&gt;=0.25,"עלייה",IF(Z24&lt;=-0.25,"ירידה","יציב")))</f>
        <v/>
      </c>
    </row>
    <row r="25">
      <c r="A25" s="38" t="n"/>
      <c r="B25" s="37">
        <f>IF($A25="","",IFERROR(INDEX('זה אני - קליטה'!$AH$5:$AH$204,MATCH($A25&amp;"|תחילת שנה",'זה אני - קליטה'!$AF$5:$AF$204,0)),""))</f>
        <v/>
      </c>
      <c r="C25" s="37">
        <f>IF($A25="","",IFERROR(INDEX('זה אני - קליטה'!$AI$5:$AI$204,MATCH($A25&amp;"|תחילת שנה",'זה אני - קליטה'!$AF$5:$AF$204,0)),""))</f>
        <v/>
      </c>
      <c r="D25" s="37">
        <f>IF($A25="","",IFERROR(INDEX('זה אני - קליטה'!$AJ$5:$AJ$204,MATCH($A25&amp;"|תחילת שנה",'זה אני - קליטה'!$AF$5:$AF$204,0)),""))</f>
        <v/>
      </c>
      <c r="E25" s="37">
        <f>IF($A25="","",IFERROR(INDEX('זה אני - קליטה'!$AK$5:$AK$204,MATCH($A25&amp;"|תחילת שנה",'זה אני - קליטה'!$AF$5:$AF$204,0)),""))</f>
        <v/>
      </c>
      <c r="F25" s="37">
        <f>IF($A25="","",IFERROR(INDEX('זה אני - קליטה'!$AL$5:$AL$204,MATCH($A25&amp;"|תחילת שנה",'זה אני - קליטה'!$AF$5:$AF$204,0)),""))</f>
        <v/>
      </c>
      <c r="G25" s="36">
        <f>IF($A25="","",IFERROR(INDEX('זה אני - קליטה'!$AG$5:$AG$204,MATCH($A25&amp;"|תחילת שנה",'זה אני - קליטה'!$AF$5:$AF$204,0)),""))</f>
        <v/>
      </c>
      <c r="H25" s="37">
        <f>IF($A25="","",IFERROR(INDEX('זה אני - קליטה'!$AN$5:$AN$204,MATCH($A25&amp;"|תחילת שנה",'זה אני - קליטה'!$AF$5:$AF$204,0)),""))</f>
        <v/>
      </c>
      <c r="I25" s="36">
        <f>IF($A25="","",IFERROR(INDEX('זה אני - קליטה'!$AW$5:$AW$204,MATCH($A25&amp;"|תחילת שנה",'זה אני - קליטה'!$AF$5:$AF$204,0)),""))</f>
        <v/>
      </c>
      <c r="J25" s="37">
        <f>IF($A25="","",IFERROR(INDEX('זה אני - קליטה'!$AH$5:$AH$204,MATCH($A25&amp;"|אמצע שנה",'זה אני - קליטה'!$AF$5:$AF$204,0)),""))</f>
        <v/>
      </c>
      <c r="K25" s="37">
        <f>IF($A25="","",IFERROR(INDEX('זה אני - קליטה'!$AI$5:$AI$204,MATCH($A25&amp;"|אמצע שנה",'זה אני - קליטה'!$AF$5:$AF$204,0)),""))</f>
        <v/>
      </c>
      <c r="L25" s="37">
        <f>IF($A25="","",IFERROR(INDEX('זה אני - קליטה'!$AJ$5:$AJ$204,MATCH($A25&amp;"|אמצע שנה",'זה אני - קליטה'!$AF$5:$AF$204,0)),""))</f>
        <v/>
      </c>
      <c r="M25" s="37">
        <f>IF($A25="","",IFERROR(INDEX('זה אני - קליטה'!$AK$5:$AK$204,MATCH($A25&amp;"|אמצע שנה",'זה אני - קליטה'!$AF$5:$AF$204,0)),""))</f>
        <v/>
      </c>
      <c r="N25" s="37">
        <f>IF($A25="","",IFERROR(INDEX('זה אני - קליטה'!$AL$5:$AL$204,MATCH($A25&amp;"|אמצע שנה",'זה אני - קליטה'!$AF$5:$AF$204,0)),""))</f>
        <v/>
      </c>
      <c r="O25" s="36">
        <f>IF($A25="","",IFERROR(INDEX('זה אני - קליטה'!$AG$5:$AG$204,MATCH($A25&amp;"|אמצע שנה",'זה אני - קליטה'!$AF$5:$AF$204,0)),""))</f>
        <v/>
      </c>
      <c r="P25" s="37">
        <f>IF($A25="","",IFERROR(INDEX('זה אני - קליטה'!$AN$5:$AN$204,MATCH($A25&amp;"|אמצע שנה",'זה אני - קליטה'!$AF$5:$AF$204,0)),""))</f>
        <v/>
      </c>
      <c r="Q25" s="36">
        <f>IF($A25="","",IFERROR(INDEX('זה אני - קליטה'!$AW$5:$AW$204,MATCH($A25&amp;"|אמצע שנה",'זה אני - קליטה'!$AF$5:$AF$204,0)),""))</f>
        <v/>
      </c>
      <c r="R25" s="37">
        <f>IF($A25="","",IFERROR(INDEX('זה אני - קליטה'!$AH$5:$AH$204,MATCH($A25&amp;"|סוף שנה",'זה אני - קליטה'!$AF$5:$AF$204,0)),""))</f>
        <v/>
      </c>
      <c r="S25" s="37">
        <f>IF($A25="","",IFERROR(INDEX('זה אני - קליטה'!$AI$5:$AI$204,MATCH($A25&amp;"|סוף שנה",'זה אני - קליטה'!$AF$5:$AF$204,0)),""))</f>
        <v/>
      </c>
      <c r="T25" s="37">
        <f>IF($A25="","",IFERROR(INDEX('זה אני - קליטה'!$AJ$5:$AJ$204,MATCH($A25&amp;"|סוף שנה",'זה אני - קליטה'!$AF$5:$AF$204,0)),""))</f>
        <v/>
      </c>
      <c r="U25" s="37">
        <f>IF($A25="","",IFERROR(INDEX('זה אני - קליטה'!$AK$5:$AK$204,MATCH($A25&amp;"|סוף שנה",'זה אני - קליטה'!$AF$5:$AF$204,0)),""))</f>
        <v/>
      </c>
      <c r="V25" s="37">
        <f>IF($A25="","",IFERROR(INDEX('זה אני - קליטה'!$AL$5:$AL$204,MATCH($A25&amp;"|סוף שנה",'זה אני - קליטה'!$AF$5:$AF$204,0)),""))</f>
        <v/>
      </c>
      <c r="W25" s="36">
        <f>IF($A25="","",IFERROR(INDEX('זה אני - קליטה'!$AG$5:$AG$204,MATCH($A25&amp;"|סוף שנה",'זה אני - קליטה'!$AF$5:$AF$204,0)),""))</f>
        <v/>
      </c>
      <c r="X25" s="37">
        <f>IF($A25="","",IFERROR(INDEX('זה אני - קליטה'!$AN$5:$AN$204,MATCH($A25&amp;"|סוף שנה",'זה אני - קליטה'!$AF$5:$AF$204,0)),""))</f>
        <v/>
      </c>
      <c r="Y25" s="36">
        <f>IF($A25="","",IFERROR(INDEX('זה אני - קליטה'!$AW$5:$AW$204,MATCH($A25&amp;"|סוף שנה",'זה אני - קליטה'!$AF$5:$AF$204,0)),""))</f>
        <v/>
      </c>
      <c r="Z25" s="43">
        <f>IF(AND(ISNUMBER(F25),ISNUMBER(V25)),V25-F25,"")</f>
        <v/>
      </c>
      <c r="AA25" s="36">
        <f>IF(Z25="","",IF(Z25&gt;=0.25,"עלייה",IF(Z25&lt;=-0.25,"ירידה","יציב")))</f>
        <v/>
      </c>
    </row>
    <row r="26">
      <c r="A26" s="38" t="n"/>
      <c r="B26" s="37">
        <f>IF($A26="","",IFERROR(INDEX('זה אני - קליטה'!$AH$5:$AH$204,MATCH($A26&amp;"|תחילת שנה",'זה אני - קליטה'!$AF$5:$AF$204,0)),""))</f>
        <v/>
      </c>
      <c r="C26" s="37">
        <f>IF($A26="","",IFERROR(INDEX('זה אני - קליטה'!$AI$5:$AI$204,MATCH($A26&amp;"|תחילת שנה",'זה אני - קליטה'!$AF$5:$AF$204,0)),""))</f>
        <v/>
      </c>
      <c r="D26" s="37">
        <f>IF($A26="","",IFERROR(INDEX('זה אני - קליטה'!$AJ$5:$AJ$204,MATCH($A26&amp;"|תחילת שנה",'זה אני - קליטה'!$AF$5:$AF$204,0)),""))</f>
        <v/>
      </c>
      <c r="E26" s="37">
        <f>IF($A26="","",IFERROR(INDEX('זה אני - קליטה'!$AK$5:$AK$204,MATCH($A26&amp;"|תחילת שנה",'זה אני - קליטה'!$AF$5:$AF$204,0)),""))</f>
        <v/>
      </c>
      <c r="F26" s="37">
        <f>IF($A26="","",IFERROR(INDEX('זה אני - קליטה'!$AL$5:$AL$204,MATCH($A26&amp;"|תחילת שנה",'זה אני - קליטה'!$AF$5:$AF$204,0)),""))</f>
        <v/>
      </c>
      <c r="G26" s="36">
        <f>IF($A26="","",IFERROR(INDEX('זה אני - קליטה'!$AG$5:$AG$204,MATCH($A26&amp;"|תחילת שנה",'זה אני - קליטה'!$AF$5:$AF$204,0)),""))</f>
        <v/>
      </c>
      <c r="H26" s="37">
        <f>IF($A26="","",IFERROR(INDEX('זה אני - קליטה'!$AN$5:$AN$204,MATCH($A26&amp;"|תחילת שנה",'זה אני - קליטה'!$AF$5:$AF$204,0)),""))</f>
        <v/>
      </c>
      <c r="I26" s="36">
        <f>IF($A26="","",IFERROR(INDEX('זה אני - קליטה'!$AW$5:$AW$204,MATCH($A26&amp;"|תחילת שנה",'זה אני - קליטה'!$AF$5:$AF$204,0)),""))</f>
        <v/>
      </c>
      <c r="J26" s="37">
        <f>IF($A26="","",IFERROR(INDEX('זה אני - קליטה'!$AH$5:$AH$204,MATCH($A26&amp;"|אמצע שנה",'זה אני - קליטה'!$AF$5:$AF$204,0)),""))</f>
        <v/>
      </c>
      <c r="K26" s="37">
        <f>IF($A26="","",IFERROR(INDEX('זה אני - קליטה'!$AI$5:$AI$204,MATCH($A26&amp;"|אמצע שנה",'זה אני - קליטה'!$AF$5:$AF$204,0)),""))</f>
        <v/>
      </c>
      <c r="L26" s="37">
        <f>IF($A26="","",IFERROR(INDEX('זה אני - קליטה'!$AJ$5:$AJ$204,MATCH($A26&amp;"|אמצע שנה",'זה אני - קליטה'!$AF$5:$AF$204,0)),""))</f>
        <v/>
      </c>
      <c r="M26" s="37">
        <f>IF($A26="","",IFERROR(INDEX('זה אני - קליטה'!$AK$5:$AK$204,MATCH($A26&amp;"|אמצע שנה",'זה אני - קליטה'!$AF$5:$AF$204,0)),""))</f>
        <v/>
      </c>
      <c r="N26" s="37">
        <f>IF($A26="","",IFERROR(INDEX('זה אני - קליטה'!$AL$5:$AL$204,MATCH($A26&amp;"|אמצע שנה",'זה אני - קליטה'!$AF$5:$AF$204,0)),""))</f>
        <v/>
      </c>
      <c r="O26" s="36">
        <f>IF($A26="","",IFERROR(INDEX('זה אני - קליטה'!$AG$5:$AG$204,MATCH($A26&amp;"|אמצע שנה",'זה אני - קליטה'!$AF$5:$AF$204,0)),""))</f>
        <v/>
      </c>
      <c r="P26" s="37">
        <f>IF($A26="","",IFERROR(INDEX('זה אני - קליטה'!$AN$5:$AN$204,MATCH($A26&amp;"|אמצע שנה",'זה אני - קליטה'!$AF$5:$AF$204,0)),""))</f>
        <v/>
      </c>
      <c r="Q26" s="36">
        <f>IF($A26="","",IFERROR(INDEX('זה אני - קליטה'!$AW$5:$AW$204,MATCH($A26&amp;"|אמצע שנה",'זה אני - קליטה'!$AF$5:$AF$204,0)),""))</f>
        <v/>
      </c>
      <c r="R26" s="37">
        <f>IF($A26="","",IFERROR(INDEX('זה אני - קליטה'!$AH$5:$AH$204,MATCH($A26&amp;"|סוף שנה",'זה אני - קליטה'!$AF$5:$AF$204,0)),""))</f>
        <v/>
      </c>
      <c r="S26" s="37">
        <f>IF($A26="","",IFERROR(INDEX('זה אני - קליטה'!$AI$5:$AI$204,MATCH($A26&amp;"|סוף שנה",'זה אני - קליטה'!$AF$5:$AF$204,0)),""))</f>
        <v/>
      </c>
      <c r="T26" s="37">
        <f>IF($A26="","",IFERROR(INDEX('זה אני - קליטה'!$AJ$5:$AJ$204,MATCH($A26&amp;"|סוף שנה",'זה אני - קליטה'!$AF$5:$AF$204,0)),""))</f>
        <v/>
      </c>
      <c r="U26" s="37">
        <f>IF($A26="","",IFERROR(INDEX('זה אני - קליטה'!$AK$5:$AK$204,MATCH($A26&amp;"|סוף שנה",'זה אני - קליטה'!$AF$5:$AF$204,0)),""))</f>
        <v/>
      </c>
      <c r="V26" s="37">
        <f>IF($A26="","",IFERROR(INDEX('זה אני - קליטה'!$AL$5:$AL$204,MATCH($A26&amp;"|סוף שנה",'זה אני - קליטה'!$AF$5:$AF$204,0)),""))</f>
        <v/>
      </c>
      <c r="W26" s="36">
        <f>IF($A26="","",IFERROR(INDEX('זה אני - קליטה'!$AG$5:$AG$204,MATCH($A26&amp;"|סוף שנה",'זה אני - קליטה'!$AF$5:$AF$204,0)),""))</f>
        <v/>
      </c>
      <c r="X26" s="37">
        <f>IF($A26="","",IFERROR(INDEX('זה אני - קליטה'!$AN$5:$AN$204,MATCH($A26&amp;"|סוף שנה",'זה אני - קליטה'!$AF$5:$AF$204,0)),""))</f>
        <v/>
      </c>
      <c r="Y26" s="36">
        <f>IF($A26="","",IFERROR(INDEX('זה אני - קליטה'!$AW$5:$AW$204,MATCH($A26&amp;"|סוף שנה",'זה אני - קליטה'!$AF$5:$AF$204,0)),""))</f>
        <v/>
      </c>
      <c r="Z26" s="43">
        <f>IF(AND(ISNUMBER(F26),ISNUMBER(V26)),V26-F26,"")</f>
        <v/>
      </c>
      <c r="AA26" s="36">
        <f>IF(Z26="","",IF(Z26&gt;=0.25,"עלייה",IF(Z26&lt;=-0.25,"ירידה","יציב")))</f>
        <v/>
      </c>
    </row>
    <row r="27">
      <c r="A27" s="38" t="n"/>
      <c r="B27" s="37">
        <f>IF($A27="","",IFERROR(INDEX('זה אני - קליטה'!$AH$5:$AH$204,MATCH($A27&amp;"|תחילת שנה",'זה אני - קליטה'!$AF$5:$AF$204,0)),""))</f>
        <v/>
      </c>
      <c r="C27" s="37">
        <f>IF($A27="","",IFERROR(INDEX('זה אני - קליטה'!$AI$5:$AI$204,MATCH($A27&amp;"|תחילת שנה",'זה אני - קליטה'!$AF$5:$AF$204,0)),""))</f>
        <v/>
      </c>
      <c r="D27" s="37">
        <f>IF($A27="","",IFERROR(INDEX('זה אני - קליטה'!$AJ$5:$AJ$204,MATCH($A27&amp;"|תחילת שנה",'זה אני - קליטה'!$AF$5:$AF$204,0)),""))</f>
        <v/>
      </c>
      <c r="E27" s="37">
        <f>IF($A27="","",IFERROR(INDEX('זה אני - קליטה'!$AK$5:$AK$204,MATCH($A27&amp;"|תחילת שנה",'זה אני - קליטה'!$AF$5:$AF$204,0)),""))</f>
        <v/>
      </c>
      <c r="F27" s="37">
        <f>IF($A27="","",IFERROR(INDEX('זה אני - קליטה'!$AL$5:$AL$204,MATCH($A27&amp;"|תחילת שנה",'זה אני - קליטה'!$AF$5:$AF$204,0)),""))</f>
        <v/>
      </c>
      <c r="G27" s="36">
        <f>IF($A27="","",IFERROR(INDEX('זה אני - קליטה'!$AG$5:$AG$204,MATCH($A27&amp;"|תחילת שנה",'זה אני - קליטה'!$AF$5:$AF$204,0)),""))</f>
        <v/>
      </c>
      <c r="H27" s="37">
        <f>IF($A27="","",IFERROR(INDEX('זה אני - קליטה'!$AN$5:$AN$204,MATCH($A27&amp;"|תחילת שנה",'זה אני - קליטה'!$AF$5:$AF$204,0)),""))</f>
        <v/>
      </c>
      <c r="I27" s="36">
        <f>IF($A27="","",IFERROR(INDEX('זה אני - קליטה'!$AW$5:$AW$204,MATCH($A27&amp;"|תחילת שנה",'זה אני - קליטה'!$AF$5:$AF$204,0)),""))</f>
        <v/>
      </c>
      <c r="J27" s="37">
        <f>IF($A27="","",IFERROR(INDEX('זה אני - קליטה'!$AH$5:$AH$204,MATCH($A27&amp;"|אמצע שנה",'זה אני - קליטה'!$AF$5:$AF$204,0)),""))</f>
        <v/>
      </c>
      <c r="K27" s="37">
        <f>IF($A27="","",IFERROR(INDEX('זה אני - קליטה'!$AI$5:$AI$204,MATCH($A27&amp;"|אמצע שנה",'זה אני - קליטה'!$AF$5:$AF$204,0)),""))</f>
        <v/>
      </c>
      <c r="L27" s="37">
        <f>IF($A27="","",IFERROR(INDEX('זה אני - קליטה'!$AJ$5:$AJ$204,MATCH($A27&amp;"|אמצע שנה",'זה אני - קליטה'!$AF$5:$AF$204,0)),""))</f>
        <v/>
      </c>
      <c r="M27" s="37">
        <f>IF($A27="","",IFERROR(INDEX('זה אני - קליטה'!$AK$5:$AK$204,MATCH($A27&amp;"|אמצע שנה",'זה אני - קליטה'!$AF$5:$AF$204,0)),""))</f>
        <v/>
      </c>
      <c r="N27" s="37">
        <f>IF($A27="","",IFERROR(INDEX('זה אני - קליטה'!$AL$5:$AL$204,MATCH($A27&amp;"|אמצע שנה",'זה אני - קליטה'!$AF$5:$AF$204,0)),""))</f>
        <v/>
      </c>
      <c r="O27" s="36">
        <f>IF($A27="","",IFERROR(INDEX('זה אני - קליטה'!$AG$5:$AG$204,MATCH($A27&amp;"|אמצע שנה",'זה אני - קליטה'!$AF$5:$AF$204,0)),""))</f>
        <v/>
      </c>
      <c r="P27" s="37">
        <f>IF($A27="","",IFERROR(INDEX('זה אני - קליטה'!$AN$5:$AN$204,MATCH($A27&amp;"|אמצע שנה",'זה אני - קליטה'!$AF$5:$AF$204,0)),""))</f>
        <v/>
      </c>
      <c r="Q27" s="36">
        <f>IF($A27="","",IFERROR(INDEX('זה אני - קליטה'!$AW$5:$AW$204,MATCH($A27&amp;"|אמצע שנה",'זה אני - קליטה'!$AF$5:$AF$204,0)),""))</f>
        <v/>
      </c>
      <c r="R27" s="37">
        <f>IF($A27="","",IFERROR(INDEX('זה אני - קליטה'!$AH$5:$AH$204,MATCH($A27&amp;"|סוף שנה",'זה אני - קליטה'!$AF$5:$AF$204,0)),""))</f>
        <v/>
      </c>
      <c r="S27" s="37">
        <f>IF($A27="","",IFERROR(INDEX('זה אני - קליטה'!$AI$5:$AI$204,MATCH($A27&amp;"|סוף שנה",'זה אני - קליטה'!$AF$5:$AF$204,0)),""))</f>
        <v/>
      </c>
      <c r="T27" s="37">
        <f>IF($A27="","",IFERROR(INDEX('זה אני - קליטה'!$AJ$5:$AJ$204,MATCH($A27&amp;"|סוף שנה",'זה אני - קליטה'!$AF$5:$AF$204,0)),""))</f>
        <v/>
      </c>
      <c r="U27" s="37">
        <f>IF($A27="","",IFERROR(INDEX('זה אני - קליטה'!$AK$5:$AK$204,MATCH($A27&amp;"|סוף שנה",'זה אני - קליטה'!$AF$5:$AF$204,0)),""))</f>
        <v/>
      </c>
      <c r="V27" s="37">
        <f>IF($A27="","",IFERROR(INDEX('זה אני - קליטה'!$AL$5:$AL$204,MATCH($A27&amp;"|סוף שנה",'זה אני - קליטה'!$AF$5:$AF$204,0)),""))</f>
        <v/>
      </c>
      <c r="W27" s="36">
        <f>IF($A27="","",IFERROR(INDEX('זה אני - קליטה'!$AG$5:$AG$204,MATCH($A27&amp;"|סוף שנה",'זה אני - קליטה'!$AF$5:$AF$204,0)),""))</f>
        <v/>
      </c>
      <c r="X27" s="37">
        <f>IF($A27="","",IFERROR(INDEX('זה אני - קליטה'!$AN$5:$AN$204,MATCH($A27&amp;"|סוף שנה",'זה אני - קליטה'!$AF$5:$AF$204,0)),""))</f>
        <v/>
      </c>
      <c r="Y27" s="36">
        <f>IF($A27="","",IFERROR(INDEX('זה אני - קליטה'!$AW$5:$AW$204,MATCH($A27&amp;"|סוף שנה",'זה אני - קליטה'!$AF$5:$AF$204,0)),""))</f>
        <v/>
      </c>
      <c r="Z27" s="43">
        <f>IF(AND(ISNUMBER(F27),ISNUMBER(V27)),V27-F27,"")</f>
        <v/>
      </c>
      <c r="AA27" s="36">
        <f>IF(Z27="","",IF(Z27&gt;=0.25,"עלייה",IF(Z27&lt;=-0.25,"ירידה","יציב")))</f>
        <v/>
      </c>
    </row>
    <row r="28">
      <c r="A28" s="38" t="n"/>
      <c r="B28" s="37">
        <f>IF($A28="","",IFERROR(INDEX('זה אני - קליטה'!$AH$5:$AH$204,MATCH($A28&amp;"|תחילת שנה",'זה אני - קליטה'!$AF$5:$AF$204,0)),""))</f>
        <v/>
      </c>
      <c r="C28" s="37">
        <f>IF($A28="","",IFERROR(INDEX('זה אני - קליטה'!$AI$5:$AI$204,MATCH($A28&amp;"|תחילת שנה",'זה אני - קליטה'!$AF$5:$AF$204,0)),""))</f>
        <v/>
      </c>
      <c r="D28" s="37">
        <f>IF($A28="","",IFERROR(INDEX('זה אני - קליטה'!$AJ$5:$AJ$204,MATCH($A28&amp;"|תחילת שנה",'זה אני - קליטה'!$AF$5:$AF$204,0)),""))</f>
        <v/>
      </c>
      <c r="E28" s="37">
        <f>IF($A28="","",IFERROR(INDEX('זה אני - קליטה'!$AK$5:$AK$204,MATCH($A28&amp;"|תחילת שנה",'זה אני - קליטה'!$AF$5:$AF$204,0)),""))</f>
        <v/>
      </c>
      <c r="F28" s="37">
        <f>IF($A28="","",IFERROR(INDEX('זה אני - קליטה'!$AL$5:$AL$204,MATCH($A28&amp;"|תחילת שנה",'זה אני - קליטה'!$AF$5:$AF$204,0)),""))</f>
        <v/>
      </c>
      <c r="G28" s="36">
        <f>IF($A28="","",IFERROR(INDEX('זה אני - קליטה'!$AG$5:$AG$204,MATCH($A28&amp;"|תחילת שנה",'זה אני - קליטה'!$AF$5:$AF$204,0)),""))</f>
        <v/>
      </c>
      <c r="H28" s="37">
        <f>IF($A28="","",IFERROR(INDEX('זה אני - קליטה'!$AN$5:$AN$204,MATCH($A28&amp;"|תחילת שנה",'זה אני - קליטה'!$AF$5:$AF$204,0)),""))</f>
        <v/>
      </c>
      <c r="I28" s="36">
        <f>IF($A28="","",IFERROR(INDEX('זה אני - קליטה'!$AW$5:$AW$204,MATCH($A28&amp;"|תחילת שנה",'זה אני - קליטה'!$AF$5:$AF$204,0)),""))</f>
        <v/>
      </c>
      <c r="J28" s="37">
        <f>IF($A28="","",IFERROR(INDEX('זה אני - קליטה'!$AH$5:$AH$204,MATCH($A28&amp;"|אמצע שנה",'זה אני - קליטה'!$AF$5:$AF$204,0)),""))</f>
        <v/>
      </c>
      <c r="K28" s="37">
        <f>IF($A28="","",IFERROR(INDEX('זה אני - קליטה'!$AI$5:$AI$204,MATCH($A28&amp;"|אמצע שנה",'זה אני - קליטה'!$AF$5:$AF$204,0)),""))</f>
        <v/>
      </c>
      <c r="L28" s="37">
        <f>IF($A28="","",IFERROR(INDEX('זה אני - קליטה'!$AJ$5:$AJ$204,MATCH($A28&amp;"|אמצע שנה",'זה אני - קליטה'!$AF$5:$AF$204,0)),""))</f>
        <v/>
      </c>
      <c r="M28" s="37">
        <f>IF($A28="","",IFERROR(INDEX('זה אני - קליטה'!$AK$5:$AK$204,MATCH($A28&amp;"|אמצע שנה",'זה אני - קליטה'!$AF$5:$AF$204,0)),""))</f>
        <v/>
      </c>
      <c r="N28" s="37">
        <f>IF($A28="","",IFERROR(INDEX('זה אני - קליטה'!$AL$5:$AL$204,MATCH($A28&amp;"|אמצע שנה",'זה אני - קליטה'!$AF$5:$AF$204,0)),""))</f>
        <v/>
      </c>
      <c r="O28" s="36">
        <f>IF($A28="","",IFERROR(INDEX('זה אני - קליטה'!$AG$5:$AG$204,MATCH($A28&amp;"|אמצע שנה",'זה אני - קליטה'!$AF$5:$AF$204,0)),""))</f>
        <v/>
      </c>
      <c r="P28" s="37">
        <f>IF($A28="","",IFERROR(INDEX('זה אני - קליטה'!$AN$5:$AN$204,MATCH($A28&amp;"|אמצע שנה",'זה אני - קליטה'!$AF$5:$AF$204,0)),""))</f>
        <v/>
      </c>
      <c r="Q28" s="36">
        <f>IF($A28="","",IFERROR(INDEX('זה אני - קליטה'!$AW$5:$AW$204,MATCH($A28&amp;"|אמצע שנה",'זה אני - קליטה'!$AF$5:$AF$204,0)),""))</f>
        <v/>
      </c>
      <c r="R28" s="37">
        <f>IF($A28="","",IFERROR(INDEX('זה אני - קליטה'!$AH$5:$AH$204,MATCH($A28&amp;"|סוף שנה",'זה אני - קליטה'!$AF$5:$AF$204,0)),""))</f>
        <v/>
      </c>
      <c r="S28" s="37">
        <f>IF($A28="","",IFERROR(INDEX('זה אני - קליטה'!$AI$5:$AI$204,MATCH($A28&amp;"|סוף שנה",'זה אני - קליטה'!$AF$5:$AF$204,0)),""))</f>
        <v/>
      </c>
      <c r="T28" s="37">
        <f>IF($A28="","",IFERROR(INDEX('זה אני - קליטה'!$AJ$5:$AJ$204,MATCH($A28&amp;"|סוף שנה",'זה אני - קליטה'!$AF$5:$AF$204,0)),""))</f>
        <v/>
      </c>
      <c r="U28" s="37">
        <f>IF($A28="","",IFERROR(INDEX('זה אני - קליטה'!$AK$5:$AK$204,MATCH($A28&amp;"|סוף שנה",'זה אני - קליטה'!$AF$5:$AF$204,0)),""))</f>
        <v/>
      </c>
      <c r="V28" s="37">
        <f>IF($A28="","",IFERROR(INDEX('זה אני - קליטה'!$AL$5:$AL$204,MATCH($A28&amp;"|סוף שנה",'זה אני - קליטה'!$AF$5:$AF$204,0)),""))</f>
        <v/>
      </c>
      <c r="W28" s="36">
        <f>IF($A28="","",IFERROR(INDEX('זה אני - קליטה'!$AG$5:$AG$204,MATCH($A28&amp;"|סוף שנה",'זה אני - קליטה'!$AF$5:$AF$204,0)),""))</f>
        <v/>
      </c>
      <c r="X28" s="37">
        <f>IF($A28="","",IFERROR(INDEX('זה אני - קליטה'!$AN$5:$AN$204,MATCH($A28&amp;"|סוף שנה",'זה אני - קליטה'!$AF$5:$AF$204,0)),""))</f>
        <v/>
      </c>
      <c r="Y28" s="36">
        <f>IF($A28="","",IFERROR(INDEX('זה אני - קליטה'!$AW$5:$AW$204,MATCH($A28&amp;"|סוף שנה",'זה אני - קליטה'!$AF$5:$AF$204,0)),""))</f>
        <v/>
      </c>
      <c r="Z28" s="43">
        <f>IF(AND(ISNUMBER(F28),ISNUMBER(V28)),V28-F28,"")</f>
        <v/>
      </c>
      <c r="AA28" s="36">
        <f>IF(Z28="","",IF(Z28&gt;=0.25,"עלייה",IF(Z28&lt;=-0.25,"ירידה","יציב")))</f>
        <v/>
      </c>
    </row>
    <row r="29">
      <c r="A29" s="38" t="n"/>
      <c r="B29" s="37">
        <f>IF($A29="","",IFERROR(INDEX('זה אני - קליטה'!$AH$5:$AH$204,MATCH($A29&amp;"|תחילת שנה",'זה אני - קליטה'!$AF$5:$AF$204,0)),""))</f>
        <v/>
      </c>
      <c r="C29" s="37">
        <f>IF($A29="","",IFERROR(INDEX('זה אני - קליטה'!$AI$5:$AI$204,MATCH($A29&amp;"|תחילת שנה",'זה אני - קליטה'!$AF$5:$AF$204,0)),""))</f>
        <v/>
      </c>
      <c r="D29" s="37">
        <f>IF($A29="","",IFERROR(INDEX('זה אני - קליטה'!$AJ$5:$AJ$204,MATCH($A29&amp;"|תחילת שנה",'זה אני - קליטה'!$AF$5:$AF$204,0)),""))</f>
        <v/>
      </c>
      <c r="E29" s="37">
        <f>IF($A29="","",IFERROR(INDEX('זה אני - קליטה'!$AK$5:$AK$204,MATCH($A29&amp;"|תחילת שנה",'זה אני - קליטה'!$AF$5:$AF$204,0)),""))</f>
        <v/>
      </c>
      <c r="F29" s="37">
        <f>IF($A29="","",IFERROR(INDEX('זה אני - קליטה'!$AL$5:$AL$204,MATCH($A29&amp;"|תחילת שנה",'זה אני - קליטה'!$AF$5:$AF$204,0)),""))</f>
        <v/>
      </c>
      <c r="G29" s="36">
        <f>IF($A29="","",IFERROR(INDEX('זה אני - קליטה'!$AG$5:$AG$204,MATCH($A29&amp;"|תחילת שנה",'זה אני - קליטה'!$AF$5:$AF$204,0)),""))</f>
        <v/>
      </c>
      <c r="H29" s="37">
        <f>IF($A29="","",IFERROR(INDEX('זה אני - קליטה'!$AN$5:$AN$204,MATCH($A29&amp;"|תחילת שנה",'זה אני - קליטה'!$AF$5:$AF$204,0)),""))</f>
        <v/>
      </c>
      <c r="I29" s="36">
        <f>IF($A29="","",IFERROR(INDEX('זה אני - קליטה'!$AW$5:$AW$204,MATCH($A29&amp;"|תחילת שנה",'זה אני - קליטה'!$AF$5:$AF$204,0)),""))</f>
        <v/>
      </c>
      <c r="J29" s="37">
        <f>IF($A29="","",IFERROR(INDEX('זה אני - קליטה'!$AH$5:$AH$204,MATCH($A29&amp;"|אמצע שנה",'זה אני - קליטה'!$AF$5:$AF$204,0)),""))</f>
        <v/>
      </c>
      <c r="K29" s="37">
        <f>IF($A29="","",IFERROR(INDEX('זה אני - קליטה'!$AI$5:$AI$204,MATCH($A29&amp;"|אמצע שנה",'זה אני - קליטה'!$AF$5:$AF$204,0)),""))</f>
        <v/>
      </c>
      <c r="L29" s="37">
        <f>IF($A29="","",IFERROR(INDEX('זה אני - קליטה'!$AJ$5:$AJ$204,MATCH($A29&amp;"|אמצע שנה",'זה אני - קליטה'!$AF$5:$AF$204,0)),""))</f>
        <v/>
      </c>
      <c r="M29" s="37">
        <f>IF($A29="","",IFERROR(INDEX('זה אני - קליטה'!$AK$5:$AK$204,MATCH($A29&amp;"|אמצע שנה",'זה אני - קליטה'!$AF$5:$AF$204,0)),""))</f>
        <v/>
      </c>
      <c r="N29" s="37">
        <f>IF($A29="","",IFERROR(INDEX('זה אני - קליטה'!$AL$5:$AL$204,MATCH($A29&amp;"|אמצע שנה",'זה אני - קליטה'!$AF$5:$AF$204,0)),""))</f>
        <v/>
      </c>
      <c r="O29" s="36">
        <f>IF($A29="","",IFERROR(INDEX('זה אני - קליטה'!$AG$5:$AG$204,MATCH($A29&amp;"|אמצע שנה",'זה אני - קליטה'!$AF$5:$AF$204,0)),""))</f>
        <v/>
      </c>
      <c r="P29" s="37">
        <f>IF($A29="","",IFERROR(INDEX('זה אני - קליטה'!$AN$5:$AN$204,MATCH($A29&amp;"|אמצע שנה",'זה אני - קליטה'!$AF$5:$AF$204,0)),""))</f>
        <v/>
      </c>
      <c r="Q29" s="36">
        <f>IF($A29="","",IFERROR(INDEX('זה אני - קליטה'!$AW$5:$AW$204,MATCH($A29&amp;"|אמצע שנה",'זה אני - קליטה'!$AF$5:$AF$204,0)),""))</f>
        <v/>
      </c>
      <c r="R29" s="37">
        <f>IF($A29="","",IFERROR(INDEX('זה אני - קליטה'!$AH$5:$AH$204,MATCH($A29&amp;"|סוף שנה",'זה אני - קליטה'!$AF$5:$AF$204,0)),""))</f>
        <v/>
      </c>
      <c r="S29" s="37">
        <f>IF($A29="","",IFERROR(INDEX('זה אני - קליטה'!$AI$5:$AI$204,MATCH($A29&amp;"|סוף שנה",'זה אני - קליטה'!$AF$5:$AF$204,0)),""))</f>
        <v/>
      </c>
      <c r="T29" s="37">
        <f>IF($A29="","",IFERROR(INDEX('זה אני - קליטה'!$AJ$5:$AJ$204,MATCH($A29&amp;"|סוף שנה",'זה אני - קליטה'!$AF$5:$AF$204,0)),""))</f>
        <v/>
      </c>
      <c r="U29" s="37">
        <f>IF($A29="","",IFERROR(INDEX('זה אני - קליטה'!$AK$5:$AK$204,MATCH($A29&amp;"|סוף שנה",'זה אני - קליטה'!$AF$5:$AF$204,0)),""))</f>
        <v/>
      </c>
      <c r="V29" s="37">
        <f>IF($A29="","",IFERROR(INDEX('זה אני - קליטה'!$AL$5:$AL$204,MATCH($A29&amp;"|סוף שנה",'זה אני - קליטה'!$AF$5:$AF$204,0)),""))</f>
        <v/>
      </c>
      <c r="W29" s="36">
        <f>IF($A29="","",IFERROR(INDEX('זה אני - קליטה'!$AG$5:$AG$204,MATCH($A29&amp;"|סוף שנה",'זה אני - קליטה'!$AF$5:$AF$204,0)),""))</f>
        <v/>
      </c>
      <c r="X29" s="37">
        <f>IF($A29="","",IFERROR(INDEX('זה אני - קליטה'!$AN$5:$AN$204,MATCH($A29&amp;"|סוף שנה",'זה אני - קליטה'!$AF$5:$AF$204,0)),""))</f>
        <v/>
      </c>
      <c r="Y29" s="36">
        <f>IF($A29="","",IFERROR(INDEX('זה אני - קליטה'!$AW$5:$AW$204,MATCH($A29&amp;"|סוף שנה",'זה אני - קליטה'!$AF$5:$AF$204,0)),""))</f>
        <v/>
      </c>
      <c r="Z29" s="43">
        <f>IF(AND(ISNUMBER(F29),ISNUMBER(V29)),V29-F29,"")</f>
        <v/>
      </c>
      <c r="AA29" s="36">
        <f>IF(Z29="","",IF(Z29&gt;=0.25,"עלייה",IF(Z29&lt;=-0.25,"ירידה","יציב")))</f>
        <v/>
      </c>
    </row>
    <row r="30">
      <c r="A30" s="38" t="n"/>
      <c r="B30" s="37">
        <f>IF($A30="","",IFERROR(INDEX('זה אני - קליטה'!$AH$5:$AH$204,MATCH($A30&amp;"|תחילת שנה",'זה אני - קליטה'!$AF$5:$AF$204,0)),""))</f>
        <v/>
      </c>
      <c r="C30" s="37">
        <f>IF($A30="","",IFERROR(INDEX('זה אני - קליטה'!$AI$5:$AI$204,MATCH($A30&amp;"|תחילת שנה",'זה אני - קליטה'!$AF$5:$AF$204,0)),""))</f>
        <v/>
      </c>
      <c r="D30" s="37">
        <f>IF($A30="","",IFERROR(INDEX('זה אני - קליטה'!$AJ$5:$AJ$204,MATCH($A30&amp;"|תחילת שנה",'זה אני - קליטה'!$AF$5:$AF$204,0)),""))</f>
        <v/>
      </c>
      <c r="E30" s="37">
        <f>IF($A30="","",IFERROR(INDEX('זה אני - קליטה'!$AK$5:$AK$204,MATCH($A30&amp;"|תחילת שנה",'זה אני - קליטה'!$AF$5:$AF$204,0)),""))</f>
        <v/>
      </c>
      <c r="F30" s="37">
        <f>IF($A30="","",IFERROR(INDEX('זה אני - קליטה'!$AL$5:$AL$204,MATCH($A30&amp;"|תחילת שנה",'זה אני - קליטה'!$AF$5:$AF$204,0)),""))</f>
        <v/>
      </c>
      <c r="G30" s="36">
        <f>IF($A30="","",IFERROR(INDEX('זה אני - קליטה'!$AG$5:$AG$204,MATCH($A30&amp;"|תחילת שנה",'זה אני - קליטה'!$AF$5:$AF$204,0)),""))</f>
        <v/>
      </c>
      <c r="H30" s="37">
        <f>IF($A30="","",IFERROR(INDEX('זה אני - קליטה'!$AN$5:$AN$204,MATCH($A30&amp;"|תחילת שנה",'זה אני - קליטה'!$AF$5:$AF$204,0)),""))</f>
        <v/>
      </c>
      <c r="I30" s="36">
        <f>IF($A30="","",IFERROR(INDEX('זה אני - קליטה'!$AW$5:$AW$204,MATCH($A30&amp;"|תחילת שנה",'זה אני - קליטה'!$AF$5:$AF$204,0)),""))</f>
        <v/>
      </c>
      <c r="J30" s="37">
        <f>IF($A30="","",IFERROR(INDEX('זה אני - קליטה'!$AH$5:$AH$204,MATCH($A30&amp;"|אמצע שנה",'זה אני - קליטה'!$AF$5:$AF$204,0)),""))</f>
        <v/>
      </c>
      <c r="K30" s="37">
        <f>IF($A30="","",IFERROR(INDEX('זה אני - קליטה'!$AI$5:$AI$204,MATCH($A30&amp;"|אמצע שנה",'זה אני - קליטה'!$AF$5:$AF$204,0)),""))</f>
        <v/>
      </c>
      <c r="L30" s="37">
        <f>IF($A30="","",IFERROR(INDEX('זה אני - קליטה'!$AJ$5:$AJ$204,MATCH($A30&amp;"|אמצע שנה",'זה אני - קליטה'!$AF$5:$AF$204,0)),""))</f>
        <v/>
      </c>
      <c r="M30" s="37">
        <f>IF($A30="","",IFERROR(INDEX('זה אני - קליטה'!$AK$5:$AK$204,MATCH($A30&amp;"|אמצע שנה",'זה אני - קליטה'!$AF$5:$AF$204,0)),""))</f>
        <v/>
      </c>
      <c r="N30" s="37">
        <f>IF($A30="","",IFERROR(INDEX('זה אני - קליטה'!$AL$5:$AL$204,MATCH($A30&amp;"|אמצע שנה",'זה אני - קליטה'!$AF$5:$AF$204,0)),""))</f>
        <v/>
      </c>
      <c r="O30" s="36">
        <f>IF($A30="","",IFERROR(INDEX('זה אני - קליטה'!$AG$5:$AG$204,MATCH($A30&amp;"|אמצע שנה",'זה אני - קליטה'!$AF$5:$AF$204,0)),""))</f>
        <v/>
      </c>
      <c r="P30" s="37">
        <f>IF($A30="","",IFERROR(INDEX('זה אני - קליטה'!$AN$5:$AN$204,MATCH($A30&amp;"|אמצע שנה",'זה אני - קליטה'!$AF$5:$AF$204,0)),""))</f>
        <v/>
      </c>
      <c r="Q30" s="36">
        <f>IF($A30="","",IFERROR(INDEX('זה אני - קליטה'!$AW$5:$AW$204,MATCH($A30&amp;"|אמצע שנה",'זה אני - קליטה'!$AF$5:$AF$204,0)),""))</f>
        <v/>
      </c>
      <c r="R30" s="37">
        <f>IF($A30="","",IFERROR(INDEX('זה אני - קליטה'!$AH$5:$AH$204,MATCH($A30&amp;"|סוף שנה",'זה אני - קליטה'!$AF$5:$AF$204,0)),""))</f>
        <v/>
      </c>
      <c r="S30" s="37">
        <f>IF($A30="","",IFERROR(INDEX('זה אני - קליטה'!$AI$5:$AI$204,MATCH($A30&amp;"|סוף שנה",'זה אני - קליטה'!$AF$5:$AF$204,0)),""))</f>
        <v/>
      </c>
      <c r="T30" s="37">
        <f>IF($A30="","",IFERROR(INDEX('זה אני - קליטה'!$AJ$5:$AJ$204,MATCH($A30&amp;"|סוף שנה",'זה אני - קליטה'!$AF$5:$AF$204,0)),""))</f>
        <v/>
      </c>
      <c r="U30" s="37">
        <f>IF($A30="","",IFERROR(INDEX('זה אני - קליטה'!$AK$5:$AK$204,MATCH($A30&amp;"|סוף שנה",'זה אני - קליטה'!$AF$5:$AF$204,0)),""))</f>
        <v/>
      </c>
      <c r="V30" s="37">
        <f>IF($A30="","",IFERROR(INDEX('זה אני - קליטה'!$AL$5:$AL$204,MATCH($A30&amp;"|סוף שנה",'זה אני - קליטה'!$AF$5:$AF$204,0)),""))</f>
        <v/>
      </c>
      <c r="W30" s="36">
        <f>IF($A30="","",IFERROR(INDEX('זה אני - קליטה'!$AG$5:$AG$204,MATCH($A30&amp;"|סוף שנה",'זה אני - קליטה'!$AF$5:$AF$204,0)),""))</f>
        <v/>
      </c>
      <c r="X30" s="37">
        <f>IF($A30="","",IFERROR(INDEX('זה אני - קליטה'!$AN$5:$AN$204,MATCH($A30&amp;"|סוף שנה",'זה אני - קליטה'!$AF$5:$AF$204,0)),""))</f>
        <v/>
      </c>
      <c r="Y30" s="36">
        <f>IF($A30="","",IFERROR(INDEX('זה אני - קליטה'!$AW$5:$AW$204,MATCH($A30&amp;"|סוף שנה",'זה אני - קליטה'!$AF$5:$AF$204,0)),""))</f>
        <v/>
      </c>
      <c r="Z30" s="43">
        <f>IF(AND(ISNUMBER(F30),ISNUMBER(V30)),V30-F30,"")</f>
        <v/>
      </c>
      <c r="AA30" s="36">
        <f>IF(Z30="","",IF(Z30&gt;=0.25,"עלייה",IF(Z30&lt;=-0.25,"ירידה","יציב")))</f>
        <v/>
      </c>
    </row>
    <row r="31">
      <c r="A31" s="38" t="n"/>
      <c r="B31" s="37">
        <f>IF($A31="","",IFERROR(INDEX('זה אני - קליטה'!$AH$5:$AH$204,MATCH($A31&amp;"|תחילת שנה",'זה אני - קליטה'!$AF$5:$AF$204,0)),""))</f>
        <v/>
      </c>
      <c r="C31" s="37">
        <f>IF($A31="","",IFERROR(INDEX('זה אני - קליטה'!$AI$5:$AI$204,MATCH($A31&amp;"|תחילת שנה",'זה אני - קליטה'!$AF$5:$AF$204,0)),""))</f>
        <v/>
      </c>
      <c r="D31" s="37">
        <f>IF($A31="","",IFERROR(INDEX('זה אני - קליטה'!$AJ$5:$AJ$204,MATCH($A31&amp;"|תחילת שנה",'זה אני - קליטה'!$AF$5:$AF$204,0)),""))</f>
        <v/>
      </c>
      <c r="E31" s="37">
        <f>IF($A31="","",IFERROR(INDEX('זה אני - קליטה'!$AK$5:$AK$204,MATCH($A31&amp;"|תחילת שנה",'זה אני - קליטה'!$AF$5:$AF$204,0)),""))</f>
        <v/>
      </c>
      <c r="F31" s="37">
        <f>IF($A31="","",IFERROR(INDEX('זה אני - קליטה'!$AL$5:$AL$204,MATCH($A31&amp;"|תחילת שנה",'זה אני - קליטה'!$AF$5:$AF$204,0)),""))</f>
        <v/>
      </c>
      <c r="G31" s="36">
        <f>IF($A31="","",IFERROR(INDEX('זה אני - קליטה'!$AG$5:$AG$204,MATCH($A31&amp;"|תחילת שנה",'זה אני - קליטה'!$AF$5:$AF$204,0)),""))</f>
        <v/>
      </c>
      <c r="H31" s="37">
        <f>IF($A31="","",IFERROR(INDEX('זה אני - קליטה'!$AN$5:$AN$204,MATCH($A31&amp;"|תחילת שנה",'זה אני - קליטה'!$AF$5:$AF$204,0)),""))</f>
        <v/>
      </c>
      <c r="I31" s="36">
        <f>IF($A31="","",IFERROR(INDEX('זה אני - קליטה'!$AW$5:$AW$204,MATCH($A31&amp;"|תחילת שנה",'זה אני - קליטה'!$AF$5:$AF$204,0)),""))</f>
        <v/>
      </c>
      <c r="J31" s="37">
        <f>IF($A31="","",IFERROR(INDEX('זה אני - קליטה'!$AH$5:$AH$204,MATCH($A31&amp;"|אמצע שנה",'זה אני - קליטה'!$AF$5:$AF$204,0)),""))</f>
        <v/>
      </c>
      <c r="K31" s="37">
        <f>IF($A31="","",IFERROR(INDEX('זה אני - קליטה'!$AI$5:$AI$204,MATCH($A31&amp;"|אמצע שנה",'זה אני - קליטה'!$AF$5:$AF$204,0)),""))</f>
        <v/>
      </c>
      <c r="L31" s="37">
        <f>IF($A31="","",IFERROR(INDEX('זה אני - קליטה'!$AJ$5:$AJ$204,MATCH($A31&amp;"|אמצע שנה",'זה אני - קליטה'!$AF$5:$AF$204,0)),""))</f>
        <v/>
      </c>
      <c r="M31" s="37">
        <f>IF($A31="","",IFERROR(INDEX('זה אני - קליטה'!$AK$5:$AK$204,MATCH($A31&amp;"|אמצע שנה",'זה אני - קליטה'!$AF$5:$AF$204,0)),""))</f>
        <v/>
      </c>
      <c r="N31" s="37">
        <f>IF($A31="","",IFERROR(INDEX('זה אני - קליטה'!$AL$5:$AL$204,MATCH($A31&amp;"|אמצע שנה",'זה אני - קליטה'!$AF$5:$AF$204,0)),""))</f>
        <v/>
      </c>
      <c r="O31" s="36">
        <f>IF($A31="","",IFERROR(INDEX('זה אני - קליטה'!$AG$5:$AG$204,MATCH($A31&amp;"|אמצע שנה",'זה אני - קליטה'!$AF$5:$AF$204,0)),""))</f>
        <v/>
      </c>
      <c r="P31" s="37">
        <f>IF($A31="","",IFERROR(INDEX('זה אני - קליטה'!$AN$5:$AN$204,MATCH($A31&amp;"|אמצע שנה",'זה אני - קליטה'!$AF$5:$AF$204,0)),""))</f>
        <v/>
      </c>
      <c r="Q31" s="36">
        <f>IF($A31="","",IFERROR(INDEX('זה אני - קליטה'!$AW$5:$AW$204,MATCH($A31&amp;"|אמצע שנה",'זה אני - קליטה'!$AF$5:$AF$204,0)),""))</f>
        <v/>
      </c>
      <c r="R31" s="37">
        <f>IF($A31="","",IFERROR(INDEX('זה אני - קליטה'!$AH$5:$AH$204,MATCH($A31&amp;"|סוף שנה",'זה אני - קליטה'!$AF$5:$AF$204,0)),""))</f>
        <v/>
      </c>
      <c r="S31" s="37">
        <f>IF($A31="","",IFERROR(INDEX('זה אני - קליטה'!$AI$5:$AI$204,MATCH($A31&amp;"|סוף שנה",'זה אני - קליטה'!$AF$5:$AF$204,0)),""))</f>
        <v/>
      </c>
      <c r="T31" s="37">
        <f>IF($A31="","",IFERROR(INDEX('זה אני - קליטה'!$AJ$5:$AJ$204,MATCH($A31&amp;"|סוף שנה",'זה אני - קליטה'!$AF$5:$AF$204,0)),""))</f>
        <v/>
      </c>
      <c r="U31" s="37">
        <f>IF($A31="","",IFERROR(INDEX('זה אני - קליטה'!$AK$5:$AK$204,MATCH($A31&amp;"|סוף שנה",'זה אני - קליטה'!$AF$5:$AF$204,0)),""))</f>
        <v/>
      </c>
      <c r="V31" s="37">
        <f>IF($A31="","",IFERROR(INDEX('זה אני - קליטה'!$AL$5:$AL$204,MATCH($A31&amp;"|סוף שנה",'זה אני - קליטה'!$AF$5:$AF$204,0)),""))</f>
        <v/>
      </c>
      <c r="W31" s="36">
        <f>IF($A31="","",IFERROR(INDEX('זה אני - קליטה'!$AG$5:$AG$204,MATCH($A31&amp;"|סוף שנה",'זה אני - קליטה'!$AF$5:$AF$204,0)),""))</f>
        <v/>
      </c>
      <c r="X31" s="37">
        <f>IF($A31="","",IFERROR(INDEX('זה אני - קליטה'!$AN$5:$AN$204,MATCH($A31&amp;"|סוף שנה",'זה אני - קליטה'!$AF$5:$AF$204,0)),""))</f>
        <v/>
      </c>
      <c r="Y31" s="36">
        <f>IF($A31="","",IFERROR(INDEX('זה אני - קליטה'!$AW$5:$AW$204,MATCH($A31&amp;"|סוף שנה",'זה אני - קליטה'!$AF$5:$AF$204,0)),""))</f>
        <v/>
      </c>
      <c r="Z31" s="43">
        <f>IF(AND(ISNUMBER(F31),ISNUMBER(V31)),V31-F31,"")</f>
        <v/>
      </c>
      <c r="AA31" s="36">
        <f>IF(Z31="","",IF(Z31&gt;=0.25,"עלייה",IF(Z31&lt;=-0.25,"ירידה","יציב")))</f>
        <v/>
      </c>
    </row>
    <row r="32">
      <c r="A32" s="38" t="n"/>
      <c r="B32" s="37">
        <f>IF($A32="","",IFERROR(INDEX('זה אני - קליטה'!$AH$5:$AH$204,MATCH($A32&amp;"|תחילת שנה",'זה אני - קליטה'!$AF$5:$AF$204,0)),""))</f>
        <v/>
      </c>
      <c r="C32" s="37">
        <f>IF($A32="","",IFERROR(INDEX('זה אני - קליטה'!$AI$5:$AI$204,MATCH($A32&amp;"|תחילת שנה",'זה אני - קליטה'!$AF$5:$AF$204,0)),""))</f>
        <v/>
      </c>
      <c r="D32" s="37">
        <f>IF($A32="","",IFERROR(INDEX('זה אני - קליטה'!$AJ$5:$AJ$204,MATCH($A32&amp;"|תחילת שנה",'זה אני - קליטה'!$AF$5:$AF$204,0)),""))</f>
        <v/>
      </c>
      <c r="E32" s="37">
        <f>IF($A32="","",IFERROR(INDEX('זה אני - קליטה'!$AK$5:$AK$204,MATCH($A32&amp;"|תחילת שנה",'זה אני - קליטה'!$AF$5:$AF$204,0)),""))</f>
        <v/>
      </c>
      <c r="F32" s="37">
        <f>IF($A32="","",IFERROR(INDEX('זה אני - קליטה'!$AL$5:$AL$204,MATCH($A32&amp;"|תחילת שנה",'זה אני - קליטה'!$AF$5:$AF$204,0)),""))</f>
        <v/>
      </c>
      <c r="G32" s="36">
        <f>IF($A32="","",IFERROR(INDEX('זה אני - קליטה'!$AG$5:$AG$204,MATCH($A32&amp;"|תחילת שנה",'זה אני - קליטה'!$AF$5:$AF$204,0)),""))</f>
        <v/>
      </c>
      <c r="H32" s="37">
        <f>IF($A32="","",IFERROR(INDEX('זה אני - קליטה'!$AN$5:$AN$204,MATCH($A32&amp;"|תחילת שנה",'זה אני - קליטה'!$AF$5:$AF$204,0)),""))</f>
        <v/>
      </c>
      <c r="I32" s="36">
        <f>IF($A32="","",IFERROR(INDEX('זה אני - קליטה'!$AW$5:$AW$204,MATCH($A32&amp;"|תחילת שנה",'זה אני - קליטה'!$AF$5:$AF$204,0)),""))</f>
        <v/>
      </c>
      <c r="J32" s="37">
        <f>IF($A32="","",IFERROR(INDEX('זה אני - קליטה'!$AH$5:$AH$204,MATCH($A32&amp;"|אמצע שנה",'זה אני - קליטה'!$AF$5:$AF$204,0)),""))</f>
        <v/>
      </c>
      <c r="K32" s="37">
        <f>IF($A32="","",IFERROR(INDEX('זה אני - קליטה'!$AI$5:$AI$204,MATCH($A32&amp;"|אמצע שנה",'זה אני - קליטה'!$AF$5:$AF$204,0)),""))</f>
        <v/>
      </c>
      <c r="L32" s="37">
        <f>IF($A32="","",IFERROR(INDEX('זה אני - קליטה'!$AJ$5:$AJ$204,MATCH($A32&amp;"|אמצע שנה",'זה אני - קליטה'!$AF$5:$AF$204,0)),""))</f>
        <v/>
      </c>
      <c r="M32" s="37">
        <f>IF($A32="","",IFERROR(INDEX('זה אני - קליטה'!$AK$5:$AK$204,MATCH($A32&amp;"|אמצע שנה",'זה אני - קליטה'!$AF$5:$AF$204,0)),""))</f>
        <v/>
      </c>
      <c r="N32" s="37">
        <f>IF($A32="","",IFERROR(INDEX('זה אני - קליטה'!$AL$5:$AL$204,MATCH($A32&amp;"|אמצע שנה",'זה אני - קליטה'!$AF$5:$AF$204,0)),""))</f>
        <v/>
      </c>
      <c r="O32" s="36">
        <f>IF($A32="","",IFERROR(INDEX('זה אני - קליטה'!$AG$5:$AG$204,MATCH($A32&amp;"|אמצע שנה",'זה אני - קליטה'!$AF$5:$AF$204,0)),""))</f>
        <v/>
      </c>
      <c r="P32" s="37">
        <f>IF($A32="","",IFERROR(INDEX('זה אני - קליטה'!$AN$5:$AN$204,MATCH($A32&amp;"|אמצע שנה",'זה אני - קליטה'!$AF$5:$AF$204,0)),""))</f>
        <v/>
      </c>
      <c r="Q32" s="36">
        <f>IF($A32="","",IFERROR(INDEX('זה אני - קליטה'!$AW$5:$AW$204,MATCH($A32&amp;"|אמצע שנה",'זה אני - קליטה'!$AF$5:$AF$204,0)),""))</f>
        <v/>
      </c>
      <c r="R32" s="37">
        <f>IF($A32="","",IFERROR(INDEX('זה אני - קליטה'!$AH$5:$AH$204,MATCH($A32&amp;"|סוף שנה",'זה אני - קליטה'!$AF$5:$AF$204,0)),""))</f>
        <v/>
      </c>
      <c r="S32" s="37">
        <f>IF($A32="","",IFERROR(INDEX('זה אני - קליטה'!$AI$5:$AI$204,MATCH($A32&amp;"|סוף שנה",'זה אני - קליטה'!$AF$5:$AF$204,0)),""))</f>
        <v/>
      </c>
      <c r="T32" s="37">
        <f>IF($A32="","",IFERROR(INDEX('זה אני - קליטה'!$AJ$5:$AJ$204,MATCH($A32&amp;"|סוף שנה",'זה אני - קליטה'!$AF$5:$AF$204,0)),""))</f>
        <v/>
      </c>
      <c r="U32" s="37">
        <f>IF($A32="","",IFERROR(INDEX('זה אני - קליטה'!$AK$5:$AK$204,MATCH($A32&amp;"|סוף שנה",'זה אני - קליטה'!$AF$5:$AF$204,0)),""))</f>
        <v/>
      </c>
      <c r="V32" s="37">
        <f>IF($A32="","",IFERROR(INDEX('זה אני - קליטה'!$AL$5:$AL$204,MATCH($A32&amp;"|סוף שנה",'זה אני - קליטה'!$AF$5:$AF$204,0)),""))</f>
        <v/>
      </c>
      <c r="W32" s="36">
        <f>IF($A32="","",IFERROR(INDEX('זה אני - קליטה'!$AG$5:$AG$204,MATCH($A32&amp;"|סוף שנה",'זה אני - קליטה'!$AF$5:$AF$204,0)),""))</f>
        <v/>
      </c>
      <c r="X32" s="37">
        <f>IF($A32="","",IFERROR(INDEX('זה אני - קליטה'!$AN$5:$AN$204,MATCH($A32&amp;"|סוף שנה",'זה אני - קליטה'!$AF$5:$AF$204,0)),""))</f>
        <v/>
      </c>
      <c r="Y32" s="36">
        <f>IF($A32="","",IFERROR(INDEX('זה אני - קליטה'!$AW$5:$AW$204,MATCH($A32&amp;"|סוף שנה",'זה אני - קליטה'!$AF$5:$AF$204,0)),""))</f>
        <v/>
      </c>
      <c r="Z32" s="43">
        <f>IF(AND(ISNUMBER(F32),ISNUMBER(V32)),V32-F32,"")</f>
        <v/>
      </c>
      <c r="AA32" s="36">
        <f>IF(Z32="","",IF(Z32&gt;=0.25,"עלייה",IF(Z32&lt;=-0.25,"ירידה","יציב")))</f>
        <v/>
      </c>
    </row>
    <row r="33">
      <c r="A33" s="38" t="n"/>
      <c r="B33" s="37">
        <f>IF($A33="","",IFERROR(INDEX('זה אני - קליטה'!$AH$5:$AH$204,MATCH($A33&amp;"|תחילת שנה",'זה אני - קליטה'!$AF$5:$AF$204,0)),""))</f>
        <v/>
      </c>
      <c r="C33" s="37">
        <f>IF($A33="","",IFERROR(INDEX('זה אני - קליטה'!$AI$5:$AI$204,MATCH($A33&amp;"|תחילת שנה",'זה אני - קליטה'!$AF$5:$AF$204,0)),""))</f>
        <v/>
      </c>
      <c r="D33" s="37">
        <f>IF($A33="","",IFERROR(INDEX('זה אני - קליטה'!$AJ$5:$AJ$204,MATCH($A33&amp;"|תחילת שנה",'זה אני - קליטה'!$AF$5:$AF$204,0)),""))</f>
        <v/>
      </c>
      <c r="E33" s="37">
        <f>IF($A33="","",IFERROR(INDEX('זה אני - קליטה'!$AK$5:$AK$204,MATCH($A33&amp;"|תחילת שנה",'זה אני - קליטה'!$AF$5:$AF$204,0)),""))</f>
        <v/>
      </c>
      <c r="F33" s="37">
        <f>IF($A33="","",IFERROR(INDEX('זה אני - קליטה'!$AL$5:$AL$204,MATCH($A33&amp;"|תחילת שנה",'זה אני - קליטה'!$AF$5:$AF$204,0)),""))</f>
        <v/>
      </c>
      <c r="G33" s="36">
        <f>IF($A33="","",IFERROR(INDEX('זה אני - קליטה'!$AG$5:$AG$204,MATCH($A33&amp;"|תחילת שנה",'זה אני - קליטה'!$AF$5:$AF$204,0)),""))</f>
        <v/>
      </c>
      <c r="H33" s="37">
        <f>IF($A33="","",IFERROR(INDEX('זה אני - קליטה'!$AN$5:$AN$204,MATCH($A33&amp;"|תחילת שנה",'זה אני - קליטה'!$AF$5:$AF$204,0)),""))</f>
        <v/>
      </c>
      <c r="I33" s="36">
        <f>IF($A33="","",IFERROR(INDEX('זה אני - קליטה'!$AW$5:$AW$204,MATCH($A33&amp;"|תחילת שנה",'זה אני - קליטה'!$AF$5:$AF$204,0)),""))</f>
        <v/>
      </c>
      <c r="J33" s="37">
        <f>IF($A33="","",IFERROR(INDEX('זה אני - קליטה'!$AH$5:$AH$204,MATCH($A33&amp;"|אמצע שנה",'זה אני - קליטה'!$AF$5:$AF$204,0)),""))</f>
        <v/>
      </c>
      <c r="K33" s="37">
        <f>IF($A33="","",IFERROR(INDEX('זה אני - קליטה'!$AI$5:$AI$204,MATCH($A33&amp;"|אמצע שנה",'זה אני - קליטה'!$AF$5:$AF$204,0)),""))</f>
        <v/>
      </c>
      <c r="L33" s="37">
        <f>IF($A33="","",IFERROR(INDEX('זה אני - קליטה'!$AJ$5:$AJ$204,MATCH($A33&amp;"|אמצע שנה",'זה אני - קליטה'!$AF$5:$AF$204,0)),""))</f>
        <v/>
      </c>
      <c r="M33" s="37">
        <f>IF($A33="","",IFERROR(INDEX('זה אני - קליטה'!$AK$5:$AK$204,MATCH($A33&amp;"|אמצע שנה",'זה אני - קליטה'!$AF$5:$AF$204,0)),""))</f>
        <v/>
      </c>
      <c r="N33" s="37">
        <f>IF($A33="","",IFERROR(INDEX('זה אני - קליטה'!$AL$5:$AL$204,MATCH($A33&amp;"|אמצע שנה",'זה אני - קליטה'!$AF$5:$AF$204,0)),""))</f>
        <v/>
      </c>
      <c r="O33" s="36">
        <f>IF($A33="","",IFERROR(INDEX('זה אני - קליטה'!$AG$5:$AG$204,MATCH($A33&amp;"|אמצע שנה",'זה אני - קליטה'!$AF$5:$AF$204,0)),""))</f>
        <v/>
      </c>
      <c r="P33" s="37">
        <f>IF($A33="","",IFERROR(INDEX('זה אני - קליטה'!$AN$5:$AN$204,MATCH($A33&amp;"|אמצע שנה",'זה אני - קליטה'!$AF$5:$AF$204,0)),""))</f>
        <v/>
      </c>
      <c r="Q33" s="36">
        <f>IF($A33="","",IFERROR(INDEX('זה אני - קליטה'!$AW$5:$AW$204,MATCH($A33&amp;"|אמצע שנה",'זה אני - קליטה'!$AF$5:$AF$204,0)),""))</f>
        <v/>
      </c>
      <c r="R33" s="37">
        <f>IF($A33="","",IFERROR(INDEX('זה אני - קליטה'!$AH$5:$AH$204,MATCH($A33&amp;"|סוף שנה",'זה אני - קליטה'!$AF$5:$AF$204,0)),""))</f>
        <v/>
      </c>
      <c r="S33" s="37">
        <f>IF($A33="","",IFERROR(INDEX('זה אני - קליטה'!$AI$5:$AI$204,MATCH($A33&amp;"|סוף שנה",'זה אני - קליטה'!$AF$5:$AF$204,0)),""))</f>
        <v/>
      </c>
      <c r="T33" s="37">
        <f>IF($A33="","",IFERROR(INDEX('זה אני - קליטה'!$AJ$5:$AJ$204,MATCH($A33&amp;"|סוף שנה",'זה אני - קליטה'!$AF$5:$AF$204,0)),""))</f>
        <v/>
      </c>
      <c r="U33" s="37">
        <f>IF($A33="","",IFERROR(INDEX('זה אני - קליטה'!$AK$5:$AK$204,MATCH($A33&amp;"|סוף שנה",'זה אני - קליטה'!$AF$5:$AF$204,0)),""))</f>
        <v/>
      </c>
      <c r="V33" s="37">
        <f>IF($A33="","",IFERROR(INDEX('זה אני - קליטה'!$AL$5:$AL$204,MATCH($A33&amp;"|סוף שנה",'זה אני - קליטה'!$AF$5:$AF$204,0)),""))</f>
        <v/>
      </c>
      <c r="W33" s="36">
        <f>IF($A33="","",IFERROR(INDEX('זה אני - קליטה'!$AG$5:$AG$204,MATCH($A33&amp;"|סוף שנה",'זה אני - קליטה'!$AF$5:$AF$204,0)),""))</f>
        <v/>
      </c>
      <c r="X33" s="37">
        <f>IF($A33="","",IFERROR(INDEX('זה אני - קליטה'!$AN$5:$AN$204,MATCH($A33&amp;"|סוף שנה",'זה אני - קליטה'!$AF$5:$AF$204,0)),""))</f>
        <v/>
      </c>
      <c r="Y33" s="36">
        <f>IF($A33="","",IFERROR(INDEX('זה אני - קליטה'!$AW$5:$AW$204,MATCH($A33&amp;"|סוף שנה",'זה אני - קליטה'!$AF$5:$AF$204,0)),""))</f>
        <v/>
      </c>
      <c r="Z33" s="43">
        <f>IF(AND(ISNUMBER(F33),ISNUMBER(V33)),V33-F33,"")</f>
        <v/>
      </c>
      <c r="AA33" s="36">
        <f>IF(Z33="","",IF(Z33&gt;=0.25,"עלייה",IF(Z33&lt;=-0.25,"ירידה","יציב")))</f>
        <v/>
      </c>
    </row>
    <row r="34">
      <c r="A34" s="38" t="n"/>
      <c r="B34" s="37">
        <f>IF($A34="","",IFERROR(INDEX('זה אני - קליטה'!$AH$5:$AH$204,MATCH($A34&amp;"|תחילת שנה",'זה אני - קליטה'!$AF$5:$AF$204,0)),""))</f>
        <v/>
      </c>
      <c r="C34" s="37">
        <f>IF($A34="","",IFERROR(INDEX('זה אני - קליטה'!$AI$5:$AI$204,MATCH($A34&amp;"|תחילת שנה",'זה אני - קליטה'!$AF$5:$AF$204,0)),""))</f>
        <v/>
      </c>
      <c r="D34" s="37">
        <f>IF($A34="","",IFERROR(INDEX('זה אני - קליטה'!$AJ$5:$AJ$204,MATCH($A34&amp;"|תחילת שנה",'זה אני - קליטה'!$AF$5:$AF$204,0)),""))</f>
        <v/>
      </c>
      <c r="E34" s="37">
        <f>IF($A34="","",IFERROR(INDEX('זה אני - קליטה'!$AK$5:$AK$204,MATCH($A34&amp;"|תחילת שנה",'זה אני - קליטה'!$AF$5:$AF$204,0)),""))</f>
        <v/>
      </c>
      <c r="F34" s="37">
        <f>IF($A34="","",IFERROR(INDEX('זה אני - קליטה'!$AL$5:$AL$204,MATCH($A34&amp;"|תחילת שנה",'זה אני - קליטה'!$AF$5:$AF$204,0)),""))</f>
        <v/>
      </c>
      <c r="G34" s="36">
        <f>IF($A34="","",IFERROR(INDEX('זה אני - קליטה'!$AG$5:$AG$204,MATCH($A34&amp;"|תחילת שנה",'זה אני - קליטה'!$AF$5:$AF$204,0)),""))</f>
        <v/>
      </c>
      <c r="H34" s="37">
        <f>IF($A34="","",IFERROR(INDEX('זה אני - קליטה'!$AN$5:$AN$204,MATCH($A34&amp;"|תחילת שנה",'זה אני - קליטה'!$AF$5:$AF$204,0)),""))</f>
        <v/>
      </c>
      <c r="I34" s="36">
        <f>IF($A34="","",IFERROR(INDEX('זה אני - קליטה'!$AW$5:$AW$204,MATCH($A34&amp;"|תחילת שנה",'זה אני - קליטה'!$AF$5:$AF$204,0)),""))</f>
        <v/>
      </c>
      <c r="J34" s="37">
        <f>IF($A34="","",IFERROR(INDEX('זה אני - קליטה'!$AH$5:$AH$204,MATCH($A34&amp;"|אמצע שנה",'זה אני - קליטה'!$AF$5:$AF$204,0)),""))</f>
        <v/>
      </c>
      <c r="K34" s="37">
        <f>IF($A34="","",IFERROR(INDEX('זה אני - קליטה'!$AI$5:$AI$204,MATCH($A34&amp;"|אמצע שנה",'זה אני - קליטה'!$AF$5:$AF$204,0)),""))</f>
        <v/>
      </c>
      <c r="L34" s="37">
        <f>IF($A34="","",IFERROR(INDEX('זה אני - קליטה'!$AJ$5:$AJ$204,MATCH($A34&amp;"|אמצע שנה",'זה אני - קליטה'!$AF$5:$AF$204,0)),""))</f>
        <v/>
      </c>
      <c r="M34" s="37">
        <f>IF($A34="","",IFERROR(INDEX('זה אני - קליטה'!$AK$5:$AK$204,MATCH($A34&amp;"|אמצע שנה",'זה אני - קליטה'!$AF$5:$AF$204,0)),""))</f>
        <v/>
      </c>
      <c r="N34" s="37">
        <f>IF($A34="","",IFERROR(INDEX('זה אני - קליטה'!$AL$5:$AL$204,MATCH($A34&amp;"|אמצע שנה",'זה אני - קליטה'!$AF$5:$AF$204,0)),""))</f>
        <v/>
      </c>
      <c r="O34" s="36">
        <f>IF($A34="","",IFERROR(INDEX('זה אני - קליטה'!$AG$5:$AG$204,MATCH($A34&amp;"|אמצע שנה",'זה אני - קליטה'!$AF$5:$AF$204,0)),""))</f>
        <v/>
      </c>
      <c r="P34" s="37">
        <f>IF($A34="","",IFERROR(INDEX('זה אני - קליטה'!$AN$5:$AN$204,MATCH($A34&amp;"|אמצע שנה",'זה אני - קליטה'!$AF$5:$AF$204,0)),""))</f>
        <v/>
      </c>
      <c r="Q34" s="36">
        <f>IF($A34="","",IFERROR(INDEX('זה אני - קליטה'!$AW$5:$AW$204,MATCH($A34&amp;"|אמצע שנה",'זה אני - קליטה'!$AF$5:$AF$204,0)),""))</f>
        <v/>
      </c>
      <c r="R34" s="37">
        <f>IF($A34="","",IFERROR(INDEX('זה אני - קליטה'!$AH$5:$AH$204,MATCH($A34&amp;"|סוף שנה",'זה אני - קליטה'!$AF$5:$AF$204,0)),""))</f>
        <v/>
      </c>
      <c r="S34" s="37">
        <f>IF($A34="","",IFERROR(INDEX('זה אני - קליטה'!$AI$5:$AI$204,MATCH($A34&amp;"|סוף שנה",'זה אני - קליטה'!$AF$5:$AF$204,0)),""))</f>
        <v/>
      </c>
      <c r="T34" s="37">
        <f>IF($A34="","",IFERROR(INDEX('זה אני - קליטה'!$AJ$5:$AJ$204,MATCH($A34&amp;"|סוף שנה",'זה אני - קליטה'!$AF$5:$AF$204,0)),""))</f>
        <v/>
      </c>
      <c r="U34" s="37">
        <f>IF($A34="","",IFERROR(INDEX('זה אני - קליטה'!$AK$5:$AK$204,MATCH($A34&amp;"|סוף שנה",'זה אני - קליטה'!$AF$5:$AF$204,0)),""))</f>
        <v/>
      </c>
      <c r="V34" s="37">
        <f>IF($A34="","",IFERROR(INDEX('זה אני - קליטה'!$AL$5:$AL$204,MATCH($A34&amp;"|סוף שנה",'זה אני - קליטה'!$AF$5:$AF$204,0)),""))</f>
        <v/>
      </c>
      <c r="W34" s="36">
        <f>IF($A34="","",IFERROR(INDEX('זה אני - קליטה'!$AG$5:$AG$204,MATCH($A34&amp;"|סוף שנה",'זה אני - קליטה'!$AF$5:$AF$204,0)),""))</f>
        <v/>
      </c>
      <c r="X34" s="37">
        <f>IF($A34="","",IFERROR(INDEX('זה אני - קליטה'!$AN$5:$AN$204,MATCH($A34&amp;"|סוף שנה",'זה אני - קליטה'!$AF$5:$AF$204,0)),""))</f>
        <v/>
      </c>
      <c r="Y34" s="36">
        <f>IF($A34="","",IFERROR(INDEX('זה אני - קליטה'!$AW$5:$AW$204,MATCH($A34&amp;"|סוף שנה",'זה אני - קליטה'!$AF$5:$AF$204,0)),""))</f>
        <v/>
      </c>
      <c r="Z34" s="43">
        <f>IF(AND(ISNUMBER(F34),ISNUMBER(V34)),V34-F34,"")</f>
        <v/>
      </c>
      <c r="AA34" s="36">
        <f>IF(Z34="","",IF(Z34&gt;=0.25,"עלייה",IF(Z34&lt;=-0.25,"ירידה","יציב")))</f>
        <v/>
      </c>
    </row>
    <row r="35">
      <c r="A35" s="38" t="n"/>
      <c r="B35" s="37">
        <f>IF($A35="","",IFERROR(INDEX('זה אני - קליטה'!$AH$5:$AH$204,MATCH($A35&amp;"|תחילת שנה",'זה אני - קליטה'!$AF$5:$AF$204,0)),""))</f>
        <v/>
      </c>
      <c r="C35" s="37">
        <f>IF($A35="","",IFERROR(INDEX('זה אני - קליטה'!$AI$5:$AI$204,MATCH($A35&amp;"|תחילת שנה",'זה אני - קליטה'!$AF$5:$AF$204,0)),""))</f>
        <v/>
      </c>
      <c r="D35" s="37">
        <f>IF($A35="","",IFERROR(INDEX('זה אני - קליטה'!$AJ$5:$AJ$204,MATCH($A35&amp;"|תחילת שנה",'זה אני - קליטה'!$AF$5:$AF$204,0)),""))</f>
        <v/>
      </c>
      <c r="E35" s="37">
        <f>IF($A35="","",IFERROR(INDEX('זה אני - קליטה'!$AK$5:$AK$204,MATCH($A35&amp;"|תחילת שנה",'זה אני - קליטה'!$AF$5:$AF$204,0)),""))</f>
        <v/>
      </c>
      <c r="F35" s="37">
        <f>IF($A35="","",IFERROR(INDEX('זה אני - קליטה'!$AL$5:$AL$204,MATCH($A35&amp;"|תחילת שנה",'זה אני - קליטה'!$AF$5:$AF$204,0)),""))</f>
        <v/>
      </c>
      <c r="G35" s="36">
        <f>IF($A35="","",IFERROR(INDEX('זה אני - קליטה'!$AG$5:$AG$204,MATCH($A35&amp;"|תחילת שנה",'זה אני - קליטה'!$AF$5:$AF$204,0)),""))</f>
        <v/>
      </c>
      <c r="H35" s="37">
        <f>IF($A35="","",IFERROR(INDEX('זה אני - קליטה'!$AN$5:$AN$204,MATCH($A35&amp;"|תחילת שנה",'זה אני - קליטה'!$AF$5:$AF$204,0)),""))</f>
        <v/>
      </c>
      <c r="I35" s="36">
        <f>IF($A35="","",IFERROR(INDEX('זה אני - קליטה'!$AW$5:$AW$204,MATCH($A35&amp;"|תחילת שנה",'זה אני - קליטה'!$AF$5:$AF$204,0)),""))</f>
        <v/>
      </c>
      <c r="J35" s="37">
        <f>IF($A35="","",IFERROR(INDEX('זה אני - קליטה'!$AH$5:$AH$204,MATCH($A35&amp;"|אמצע שנה",'זה אני - קליטה'!$AF$5:$AF$204,0)),""))</f>
        <v/>
      </c>
      <c r="K35" s="37">
        <f>IF($A35="","",IFERROR(INDEX('זה אני - קליטה'!$AI$5:$AI$204,MATCH($A35&amp;"|אמצע שנה",'זה אני - קליטה'!$AF$5:$AF$204,0)),""))</f>
        <v/>
      </c>
      <c r="L35" s="37">
        <f>IF($A35="","",IFERROR(INDEX('זה אני - קליטה'!$AJ$5:$AJ$204,MATCH($A35&amp;"|אמצע שנה",'זה אני - קליטה'!$AF$5:$AF$204,0)),""))</f>
        <v/>
      </c>
      <c r="M35" s="37">
        <f>IF($A35="","",IFERROR(INDEX('זה אני - קליטה'!$AK$5:$AK$204,MATCH($A35&amp;"|אמצע שנה",'זה אני - קליטה'!$AF$5:$AF$204,0)),""))</f>
        <v/>
      </c>
      <c r="N35" s="37">
        <f>IF($A35="","",IFERROR(INDEX('זה אני - קליטה'!$AL$5:$AL$204,MATCH($A35&amp;"|אמצע שנה",'זה אני - קליטה'!$AF$5:$AF$204,0)),""))</f>
        <v/>
      </c>
      <c r="O35" s="36">
        <f>IF($A35="","",IFERROR(INDEX('זה אני - קליטה'!$AG$5:$AG$204,MATCH($A35&amp;"|אמצע שנה",'זה אני - קליטה'!$AF$5:$AF$204,0)),""))</f>
        <v/>
      </c>
      <c r="P35" s="37">
        <f>IF($A35="","",IFERROR(INDEX('זה אני - קליטה'!$AN$5:$AN$204,MATCH($A35&amp;"|אמצע שנה",'זה אני - קליטה'!$AF$5:$AF$204,0)),""))</f>
        <v/>
      </c>
      <c r="Q35" s="36">
        <f>IF($A35="","",IFERROR(INDEX('זה אני - קליטה'!$AW$5:$AW$204,MATCH($A35&amp;"|אמצע שנה",'זה אני - קליטה'!$AF$5:$AF$204,0)),""))</f>
        <v/>
      </c>
      <c r="R35" s="37">
        <f>IF($A35="","",IFERROR(INDEX('זה אני - קליטה'!$AH$5:$AH$204,MATCH($A35&amp;"|סוף שנה",'זה אני - קליטה'!$AF$5:$AF$204,0)),""))</f>
        <v/>
      </c>
      <c r="S35" s="37">
        <f>IF($A35="","",IFERROR(INDEX('זה אני - קליטה'!$AI$5:$AI$204,MATCH($A35&amp;"|סוף שנה",'זה אני - קליטה'!$AF$5:$AF$204,0)),""))</f>
        <v/>
      </c>
      <c r="T35" s="37">
        <f>IF($A35="","",IFERROR(INDEX('זה אני - קליטה'!$AJ$5:$AJ$204,MATCH($A35&amp;"|סוף שנה",'זה אני - קליטה'!$AF$5:$AF$204,0)),""))</f>
        <v/>
      </c>
      <c r="U35" s="37">
        <f>IF($A35="","",IFERROR(INDEX('זה אני - קליטה'!$AK$5:$AK$204,MATCH($A35&amp;"|סוף שנה",'זה אני - קליטה'!$AF$5:$AF$204,0)),""))</f>
        <v/>
      </c>
      <c r="V35" s="37">
        <f>IF($A35="","",IFERROR(INDEX('זה אני - קליטה'!$AL$5:$AL$204,MATCH($A35&amp;"|סוף שנה",'זה אני - קליטה'!$AF$5:$AF$204,0)),""))</f>
        <v/>
      </c>
      <c r="W35" s="36">
        <f>IF($A35="","",IFERROR(INDEX('זה אני - קליטה'!$AG$5:$AG$204,MATCH($A35&amp;"|סוף שנה",'זה אני - קליטה'!$AF$5:$AF$204,0)),""))</f>
        <v/>
      </c>
      <c r="X35" s="37">
        <f>IF($A35="","",IFERROR(INDEX('זה אני - קליטה'!$AN$5:$AN$204,MATCH($A35&amp;"|סוף שנה",'זה אני - קליטה'!$AF$5:$AF$204,0)),""))</f>
        <v/>
      </c>
      <c r="Y35" s="36">
        <f>IF($A35="","",IFERROR(INDEX('זה אני - קליטה'!$AW$5:$AW$204,MATCH($A35&amp;"|סוף שנה",'זה אני - קליטה'!$AF$5:$AF$204,0)),""))</f>
        <v/>
      </c>
      <c r="Z35" s="43">
        <f>IF(AND(ISNUMBER(F35),ISNUMBER(V35)),V35-F35,"")</f>
        <v/>
      </c>
      <c r="AA35" s="36">
        <f>IF(Z35="","",IF(Z35&gt;=0.25,"עלייה",IF(Z35&lt;=-0.25,"ירידה","יציב")))</f>
        <v/>
      </c>
    </row>
    <row r="36">
      <c r="A36" s="38" t="n"/>
      <c r="B36" s="37">
        <f>IF($A36="","",IFERROR(INDEX('זה אני - קליטה'!$AH$5:$AH$204,MATCH($A36&amp;"|תחילת שנה",'זה אני - קליטה'!$AF$5:$AF$204,0)),""))</f>
        <v/>
      </c>
      <c r="C36" s="37">
        <f>IF($A36="","",IFERROR(INDEX('זה אני - קליטה'!$AI$5:$AI$204,MATCH($A36&amp;"|תחילת שנה",'זה אני - קליטה'!$AF$5:$AF$204,0)),""))</f>
        <v/>
      </c>
      <c r="D36" s="37">
        <f>IF($A36="","",IFERROR(INDEX('זה אני - קליטה'!$AJ$5:$AJ$204,MATCH($A36&amp;"|תחילת שנה",'זה אני - קליטה'!$AF$5:$AF$204,0)),""))</f>
        <v/>
      </c>
      <c r="E36" s="37">
        <f>IF($A36="","",IFERROR(INDEX('זה אני - קליטה'!$AK$5:$AK$204,MATCH($A36&amp;"|תחילת שנה",'זה אני - קליטה'!$AF$5:$AF$204,0)),""))</f>
        <v/>
      </c>
      <c r="F36" s="37">
        <f>IF($A36="","",IFERROR(INDEX('זה אני - קליטה'!$AL$5:$AL$204,MATCH($A36&amp;"|תחילת שנה",'זה אני - קליטה'!$AF$5:$AF$204,0)),""))</f>
        <v/>
      </c>
      <c r="G36" s="36">
        <f>IF($A36="","",IFERROR(INDEX('זה אני - קליטה'!$AG$5:$AG$204,MATCH($A36&amp;"|תחילת שנה",'זה אני - קליטה'!$AF$5:$AF$204,0)),""))</f>
        <v/>
      </c>
      <c r="H36" s="37">
        <f>IF($A36="","",IFERROR(INDEX('זה אני - קליטה'!$AN$5:$AN$204,MATCH($A36&amp;"|תחילת שנה",'זה אני - קליטה'!$AF$5:$AF$204,0)),""))</f>
        <v/>
      </c>
      <c r="I36" s="36">
        <f>IF($A36="","",IFERROR(INDEX('זה אני - קליטה'!$AW$5:$AW$204,MATCH($A36&amp;"|תחילת שנה",'זה אני - קליטה'!$AF$5:$AF$204,0)),""))</f>
        <v/>
      </c>
      <c r="J36" s="37">
        <f>IF($A36="","",IFERROR(INDEX('זה אני - קליטה'!$AH$5:$AH$204,MATCH($A36&amp;"|אמצע שנה",'זה אני - קליטה'!$AF$5:$AF$204,0)),""))</f>
        <v/>
      </c>
      <c r="K36" s="37">
        <f>IF($A36="","",IFERROR(INDEX('זה אני - קליטה'!$AI$5:$AI$204,MATCH($A36&amp;"|אמצע שנה",'זה אני - קליטה'!$AF$5:$AF$204,0)),""))</f>
        <v/>
      </c>
      <c r="L36" s="37">
        <f>IF($A36="","",IFERROR(INDEX('זה אני - קליטה'!$AJ$5:$AJ$204,MATCH($A36&amp;"|אמצע שנה",'זה אני - קליטה'!$AF$5:$AF$204,0)),""))</f>
        <v/>
      </c>
      <c r="M36" s="37">
        <f>IF($A36="","",IFERROR(INDEX('זה אני - קליטה'!$AK$5:$AK$204,MATCH($A36&amp;"|אמצע שנה",'זה אני - קליטה'!$AF$5:$AF$204,0)),""))</f>
        <v/>
      </c>
      <c r="N36" s="37">
        <f>IF($A36="","",IFERROR(INDEX('זה אני - קליטה'!$AL$5:$AL$204,MATCH($A36&amp;"|אמצע שנה",'זה אני - קליטה'!$AF$5:$AF$204,0)),""))</f>
        <v/>
      </c>
      <c r="O36" s="36">
        <f>IF($A36="","",IFERROR(INDEX('זה אני - קליטה'!$AG$5:$AG$204,MATCH($A36&amp;"|אמצע שנה",'זה אני - קליטה'!$AF$5:$AF$204,0)),""))</f>
        <v/>
      </c>
      <c r="P36" s="37">
        <f>IF($A36="","",IFERROR(INDEX('זה אני - קליטה'!$AN$5:$AN$204,MATCH($A36&amp;"|אמצע שנה",'זה אני - קליטה'!$AF$5:$AF$204,0)),""))</f>
        <v/>
      </c>
      <c r="Q36" s="36">
        <f>IF($A36="","",IFERROR(INDEX('זה אני - קליטה'!$AW$5:$AW$204,MATCH($A36&amp;"|אמצע שנה",'זה אני - קליטה'!$AF$5:$AF$204,0)),""))</f>
        <v/>
      </c>
      <c r="R36" s="37">
        <f>IF($A36="","",IFERROR(INDEX('זה אני - קליטה'!$AH$5:$AH$204,MATCH($A36&amp;"|סוף שנה",'זה אני - קליטה'!$AF$5:$AF$204,0)),""))</f>
        <v/>
      </c>
      <c r="S36" s="37">
        <f>IF($A36="","",IFERROR(INDEX('זה אני - קליטה'!$AI$5:$AI$204,MATCH($A36&amp;"|סוף שנה",'זה אני - קליטה'!$AF$5:$AF$204,0)),""))</f>
        <v/>
      </c>
      <c r="T36" s="37">
        <f>IF($A36="","",IFERROR(INDEX('זה אני - קליטה'!$AJ$5:$AJ$204,MATCH($A36&amp;"|סוף שנה",'זה אני - קליטה'!$AF$5:$AF$204,0)),""))</f>
        <v/>
      </c>
      <c r="U36" s="37">
        <f>IF($A36="","",IFERROR(INDEX('זה אני - קליטה'!$AK$5:$AK$204,MATCH($A36&amp;"|סוף שנה",'זה אני - קליטה'!$AF$5:$AF$204,0)),""))</f>
        <v/>
      </c>
      <c r="V36" s="37">
        <f>IF($A36="","",IFERROR(INDEX('זה אני - קליטה'!$AL$5:$AL$204,MATCH($A36&amp;"|סוף שנה",'זה אני - קליטה'!$AF$5:$AF$204,0)),""))</f>
        <v/>
      </c>
      <c r="W36" s="36">
        <f>IF($A36="","",IFERROR(INDEX('זה אני - קליטה'!$AG$5:$AG$204,MATCH($A36&amp;"|סוף שנה",'זה אני - קליטה'!$AF$5:$AF$204,0)),""))</f>
        <v/>
      </c>
      <c r="X36" s="37">
        <f>IF($A36="","",IFERROR(INDEX('זה אני - קליטה'!$AN$5:$AN$204,MATCH($A36&amp;"|סוף שנה",'זה אני - קליטה'!$AF$5:$AF$204,0)),""))</f>
        <v/>
      </c>
      <c r="Y36" s="36">
        <f>IF($A36="","",IFERROR(INDEX('זה אני - קליטה'!$AW$5:$AW$204,MATCH($A36&amp;"|סוף שנה",'זה אני - קליטה'!$AF$5:$AF$204,0)),""))</f>
        <v/>
      </c>
      <c r="Z36" s="43">
        <f>IF(AND(ISNUMBER(F36),ISNUMBER(V36)),V36-F36,"")</f>
        <v/>
      </c>
      <c r="AA36" s="36">
        <f>IF(Z36="","",IF(Z36&gt;=0.25,"עלייה",IF(Z36&lt;=-0.25,"ירידה","יציב")))</f>
        <v/>
      </c>
    </row>
    <row r="37">
      <c r="A37" s="38" t="n"/>
      <c r="B37" s="37">
        <f>IF($A37="","",IFERROR(INDEX('זה אני - קליטה'!$AH$5:$AH$204,MATCH($A37&amp;"|תחילת שנה",'זה אני - קליטה'!$AF$5:$AF$204,0)),""))</f>
        <v/>
      </c>
      <c r="C37" s="37">
        <f>IF($A37="","",IFERROR(INDEX('זה אני - קליטה'!$AI$5:$AI$204,MATCH($A37&amp;"|תחילת שנה",'זה אני - קליטה'!$AF$5:$AF$204,0)),""))</f>
        <v/>
      </c>
      <c r="D37" s="37">
        <f>IF($A37="","",IFERROR(INDEX('זה אני - קליטה'!$AJ$5:$AJ$204,MATCH($A37&amp;"|תחילת שנה",'זה אני - קליטה'!$AF$5:$AF$204,0)),""))</f>
        <v/>
      </c>
      <c r="E37" s="37">
        <f>IF($A37="","",IFERROR(INDEX('זה אני - קליטה'!$AK$5:$AK$204,MATCH($A37&amp;"|תחילת שנה",'זה אני - קליטה'!$AF$5:$AF$204,0)),""))</f>
        <v/>
      </c>
      <c r="F37" s="37">
        <f>IF($A37="","",IFERROR(INDEX('זה אני - קליטה'!$AL$5:$AL$204,MATCH($A37&amp;"|תחילת שנה",'זה אני - קליטה'!$AF$5:$AF$204,0)),""))</f>
        <v/>
      </c>
      <c r="G37" s="36">
        <f>IF($A37="","",IFERROR(INDEX('זה אני - קליטה'!$AG$5:$AG$204,MATCH($A37&amp;"|תחילת שנה",'זה אני - קליטה'!$AF$5:$AF$204,0)),""))</f>
        <v/>
      </c>
      <c r="H37" s="37">
        <f>IF($A37="","",IFERROR(INDEX('זה אני - קליטה'!$AN$5:$AN$204,MATCH($A37&amp;"|תחילת שנה",'זה אני - קליטה'!$AF$5:$AF$204,0)),""))</f>
        <v/>
      </c>
      <c r="I37" s="36">
        <f>IF($A37="","",IFERROR(INDEX('זה אני - קליטה'!$AW$5:$AW$204,MATCH($A37&amp;"|תחילת שנה",'זה אני - קליטה'!$AF$5:$AF$204,0)),""))</f>
        <v/>
      </c>
      <c r="J37" s="37">
        <f>IF($A37="","",IFERROR(INDEX('זה אני - קליטה'!$AH$5:$AH$204,MATCH($A37&amp;"|אמצע שנה",'זה אני - קליטה'!$AF$5:$AF$204,0)),""))</f>
        <v/>
      </c>
      <c r="K37" s="37">
        <f>IF($A37="","",IFERROR(INDEX('זה אני - קליטה'!$AI$5:$AI$204,MATCH($A37&amp;"|אמצע שנה",'זה אני - קליטה'!$AF$5:$AF$204,0)),""))</f>
        <v/>
      </c>
      <c r="L37" s="37">
        <f>IF($A37="","",IFERROR(INDEX('זה אני - קליטה'!$AJ$5:$AJ$204,MATCH($A37&amp;"|אמצע שנה",'זה אני - קליטה'!$AF$5:$AF$204,0)),""))</f>
        <v/>
      </c>
      <c r="M37" s="37">
        <f>IF($A37="","",IFERROR(INDEX('זה אני - קליטה'!$AK$5:$AK$204,MATCH($A37&amp;"|אמצע שנה",'זה אני - קליטה'!$AF$5:$AF$204,0)),""))</f>
        <v/>
      </c>
      <c r="N37" s="37">
        <f>IF($A37="","",IFERROR(INDEX('זה אני - קליטה'!$AL$5:$AL$204,MATCH($A37&amp;"|אמצע שנה",'זה אני - קליטה'!$AF$5:$AF$204,0)),""))</f>
        <v/>
      </c>
      <c r="O37" s="36">
        <f>IF($A37="","",IFERROR(INDEX('זה אני - קליטה'!$AG$5:$AG$204,MATCH($A37&amp;"|אמצע שנה",'זה אני - קליטה'!$AF$5:$AF$204,0)),""))</f>
        <v/>
      </c>
      <c r="P37" s="37">
        <f>IF($A37="","",IFERROR(INDEX('זה אני - קליטה'!$AN$5:$AN$204,MATCH($A37&amp;"|אמצע שנה",'זה אני - קליטה'!$AF$5:$AF$204,0)),""))</f>
        <v/>
      </c>
      <c r="Q37" s="36">
        <f>IF($A37="","",IFERROR(INDEX('זה אני - קליטה'!$AW$5:$AW$204,MATCH($A37&amp;"|אמצע שנה",'זה אני - קליטה'!$AF$5:$AF$204,0)),""))</f>
        <v/>
      </c>
      <c r="R37" s="37">
        <f>IF($A37="","",IFERROR(INDEX('זה אני - קליטה'!$AH$5:$AH$204,MATCH($A37&amp;"|סוף שנה",'זה אני - קליטה'!$AF$5:$AF$204,0)),""))</f>
        <v/>
      </c>
      <c r="S37" s="37">
        <f>IF($A37="","",IFERROR(INDEX('זה אני - קליטה'!$AI$5:$AI$204,MATCH($A37&amp;"|סוף שנה",'זה אני - קליטה'!$AF$5:$AF$204,0)),""))</f>
        <v/>
      </c>
      <c r="T37" s="37">
        <f>IF($A37="","",IFERROR(INDEX('זה אני - קליטה'!$AJ$5:$AJ$204,MATCH($A37&amp;"|סוף שנה",'זה אני - קליטה'!$AF$5:$AF$204,0)),""))</f>
        <v/>
      </c>
      <c r="U37" s="37">
        <f>IF($A37="","",IFERROR(INDEX('זה אני - קליטה'!$AK$5:$AK$204,MATCH($A37&amp;"|סוף שנה",'זה אני - קליטה'!$AF$5:$AF$204,0)),""))</f>
        <v/>
      </c>
      <c r="V37" s="37">
        <f>IF($A37="","",IFERROR(INDEX('זה אני - קליטה'!$AL$5:$AL$204,MATCH($A37&amp;"|סוף שנה",'זה אני - קליטה'!$AF$5:$AF$204,0)),""))</f>
        <v/>
      </c>
      <c r="W37" s="36">
        <f>IF($A37="","",IFERROR(INDEX('זה אני - קליטה'!$AG$5:$AG$204,MATCH($A37&amp;"|סוף שנה",'זה אני - קליטה'!$AF$5:$AF$204,0)),""))</f>
        <v/>
      </c>
      <c r="X37" s="37">
        <f>IF($A37="","",IFERROR(INDEX('זה אני - קליטה'!$AN$5:$AN$204,MATCH($A37&amp;"|סוף שנה",'זה אני - קליטה'!$AF$5:$AF$204,0)),""))</f>
        <v/>
      </c>
      <c r="Y37" s="36">
        <f>IF($A37="","",IFERROR(INDEX('זה אני - קליטה'!$AW$5:$AW$204,MATCH($A37&amp;"|סוף שנה",'זה אני - קליטה'!$AF$5:$AF$204,0)),""))</f>
        <v/>
      </c>
      <c r="Z37" s="43">
        <f>IF(AND(ISNUMBER(F37),ISNUMBER(V37)),V37-F37,"")</f>
        <v/>
      </c>
      <c r="AA37" s="36">
        <f>IF(Z37="","",IF(Z37&gt;=0.25,"עלייה",IF(Z37&lt;=-0.25,"ירידה","יציב")))</f>
        <v/>
      </c>
    </row>
    <row r="38">
      <c r="A38" s="38" t="n"/>
      <c r="B38" s="37">
        <f>IF($A38="","",IFERROR(INDEX('זה אני - קליטה'!$AH$5:$AH$204,MATCH($A38&amp;"|תחילת שנה",'זה אני - קליטה'!$AF$5:$AF$204,0)),""))</f>
        <v/>
      </c>
      <c r="C38" s="37">
        <f>IF($A38="","",IFERROR(INDEX('זה אני - קליטה'!$AI$5:$AI$204,MATCH($A38&amp;"|תחילת שנה",'זה אני - קליטה'!$AF$5:$AF$204,0)),""))</f>
        <v/>
      </c>
      <c r="D38" s="37">
        <f>IF($A38="","",IFERROR(INDEX('זה אני - קליטה'!$AJ$5:$AJ$204,MATCH($A38&amp;"|תחילת שנה",'זה אני - קליטה'!$AF$5:$AF$204,0)),""))</f>
        <v/>
      </c>
      <c r="E38" s="37">
        <f>IF($A38="","",IFERROR(INDEX('זה אני - קליטה'!$AK$5:$AK$204,MATCH($A38&amp;"|תחילת שנה",'זה אני - קליטה'!$AF$5:$AF$204,0)),""))</f>
        <v/>
      </c>
      <c r="F38" s="37">
        <f>IF($A38="","",IFERROR(INDEX('זה אני - קליטה'!$AL$5:$AL$204,MATCH($A38&amp;"|תחילת שנה",'זה אני - קליטה'!$AF$5:$AF$204,0)),""))</f>
        <v/>
      </c>
      <c r="G38" s="36">
        <f>IF($A38="","",IFERROR(INDEX('זה אני - קליטה'!$AG$5:$AG$204,MATCH($A38&amp;"|תחילת שנה",'זה אני - קליטה'!$AF$5:$AF$204,0)),""))</f>
        <v/>
      </c>
      <c r="H38" s="37">
        <f>IF($A38="","",IFERROR(INDEX('זה אני - קליטה'!$AN$5:$AN$204,MATCH($A38&amp;"|תחילת שנה",'זה אני - קליטה'!$AF$5:$AF$204,0)),""))</f>
        <v/>
      </c>
      <c r="I38" s="36">
        <f>IF($A38="","",IFERROR(INDEX('זה אני - קליטה'!$AW$5:$AW$204,MATCH($A38&amp;"|תחילת שנה",'זה אני - קליטה'!$AF$5:$AF$204,0)),""))</f>
        <v/>
      </c>
      <c r="J38" s="37">
        <f>IF($A38="","",IFERROR(INDEX('זה אני - קליטה'!$AH$5:$AH$204,MATCH($A38&amp;"|אמצע שנה",'זה אני - קליטה'!$AF$5:$AF$204,0)),""))</f>
        <v/>
      </c>
      <c r="K38" s="37">
        <f>IF($A38="","",IFERROR(INDEX('זה אני - קליטה'!$AI$5:$AI$204,MATCH($A38&amp;"|אמצע שנה",'זה אני - קליטה'!$AF$5:$AF$204,0)),""))</f>
        <v/>
      </c>
      <c r="L38" s="37">
        <f>IF($A38="","",IFERROR(INDEX('זה אני - קליטה'!$AJ$5:$AJ$204,MATCH($A38&amp;"|אמצע שנה",'זה אני - קליטה'!$AF$5:$AF$204,0)),""))</f>
        <v/>
      </c>
      <c r="M38" s="37">
        <f>IF($A38="","",IFERROR(INDEX('זה אני - קליטה'!$AK$5:$AK$204,MATCH($A38&amp;"|אמצע שנה",'זה אני - קליטה'!$AF$5:$AF$204,0)),""))</f>
        <v/>
      </c>
      <c r="N38" s="37">
        <f>IF($A38="","",IFERROR(INDEX('זה אני - קליטה'!$AL$5:$AL$204,MATCH($A38&amp;"|אמצע שנה",'זה אני - קליטה'!$AF$5:$AF$204,0)),""))</f>
        <v/>
      </c>
      <c r="O38" s="36">
        <f>IF($A38="","",IFERROR(INDEX('זה אני - קליטה'!$AG$5:$AG$204,MATCH($A38&amp;"|אמצע שנה",'זה אני - קליטה'!$AF$5:$AF$204,0)),""))</f>
        <v/>
      </c>
      <c r="P38" s="37">
        <f>IF($A38="","",IFERROR(INDEX('זה אני - קליטה'!$AN$5:$AN$204,MATCH($A38&amp;"|אמצע שנה",'זה אני - קליטה'!$AF$5:$AF$204,0)),""))</f>
        <v/>
      </c>
      <c r="Q38" s="36">
        <f>IF($A38="","",IFERROR(INDEX('זה אני - קליטה'!$AW$5:$AW$204,MATCH($A38&amp;"|אמצע שנה",'זה אני - קליטה'!$AF$5:$AF$204,0)),""))</f>
        <v/>
      </c>
      <c r="R38" s="37">
        <f>IF($A38="","",IFERROR(INDEX('זה אני - קליטה'!$AH$5:$AH$204,MATCH($A38&amp;"|סוף שנה",'זה אני - קליטה'!$AF$5:$AF$204,0)),""))</f>
        <v/>
      </c>
      <c r="S38" s="37">
        <f>IF($A38="","",IFERROR(INDEX('זה אני - קליטה'!$AI$5:$AI$204,MATCH($A38&amp;"|סוף שנה",'זה אני - קליטה'!$AF$5:$AF$204,0)),""))</f>
        <v/>
      </c>
      <c r="T38" s="37">
        <f>IF($A38="","",IFERROR(INDEX('זה אני - קליטה'!$AJ$5:$AJ$204,MATCH($A38&amp;"|סוף שנה",'זה אני - קליטה'!$AF$5:$AF$204,0)),""))</f>
        <v/>
      </c>
      <c r="U38" s="37">
        <f>IF($A38="","",IFERROR(INDEX('זה אני - קליטה'!$AK$5:$AK$204,MATCH($A38&amp;"|סוף שנה",'זה אני - קליטה'!$AF$5:$AF$204,0)),""))</f>
        <v/>
      </c>
      <c r="V38" s="37">
        <f>IF($A38="","",IFERROR(INDEX('זה אני - קליטה'!$AL$5:$AL$204,MATCH($A38&amp;"|סוף שנה",'זה אני - קליטה'!$AF$5:$AF$204,0)),""))</f>
        <v/>
      </c>
      <c r="W38" s="36">
        <f>IF($A38="","",IFERROR(INDEX('זה אני - קליטה'!$AG$5:$AG$204,MATCH($A38&amp;"|סוף שנה",'זה אני - קליטה'!$AF$5:$AF$204,0)),""))</f>
        <v/>
      </c>
      <c r="X38" s="37">
        <f>IF($A38="","",IFERROR(INDEX('זה אני - קליטה'!$AN$5:$AN$204,MATCH($A38&amp;"|סוף שנה",'זה אני - קליטה'!$AF$5:$AF$204,0)),""))</f>
        <v/>
      </c>
      <c r="Y38" s="36">
        <f>IF($A38="","",IFERROR(INDEX('זה אני - קליטה'!$AW$5:$AW$204,MATCH($A38&amp;"|סוף שנה",'זה אני - קליטה'!$AF$5:$AF$204,0)),""))</f>
        <v/>
      </c>
      <c r="Z38" s="43">
        <f>IF(AND(ISNUMBER(F38),ISNUMBER(V38)),V38-F38,"")</f>
        <v/>
      </c>
      <c r="AA38" s="36">
        <f>IF(Z38="","",IF(Z38&gt;=0.25,"עלייה",IF(Z38&lt;=-0.25,"ירידה","יציב")))</f>
        <v/>
      </c>
    </row>
    <row r="39">
      <c r="A39" s="38" t="n"/>
      <c r="B39" s="37">
        <f>IF($A39="","",IFERROR(INDEX('זה אני - קליטה'!$AH$5:$AH$204,MATCH($A39&amp;"|תחילת שנה",'זה אני - קליטה'!$AF$5:$AF$204,0)),""))</f>
        <v/>
      </c>
      <c r="C39" s="37">
        <f>IF($A39="","",IFERROR(INDEX('זה אני - קליטה'!$AI$5:$AI$204,MATCH($A39&amp;"|תחילת שנה",'זה אני - קליטה'!$AF$5:$AF$204,0)),""))</f>
        <v/>
      </c>
      <c r="D39" s="37">
        <f>IF($A39="","",IFERROR(INDEX('זה אני - קליטה'!$AJ$5:$AJ$204,MATCH($A39&amp;"|תחילת שנה",'זה אני - קליטה'!$AF$5:$AF$204,0)),""))</f>
        <v/>
      </c>
      <c r="E39" s="37">
        <f>IF($A39="","",IFERROR(INDEX('זה אני - קליטה'!$AK$5:$AK$204,MATCH($A39&amp;"|תחילת שנה",'זה אני - קליטה'!$AF$5:$AF$204,0)),""))</f>
        <v/>
      </c>
      <c r="F39" s="37">
        <f>IF($A39="","",IFERROR(INDEX('זה אני - קליטה'!$AL$5:$AL$204,MATCH($A39&amp;"|תחילת שנה",'זה אני - קליטה'!$AF$5:$AF$204,0)),""))</f>
        <v/>
      </c>
      <c r="G39" s="36">
        <f>IF($A39="","",IFERROR(INDEX('זה אני - קליטה'!$AG$5:$AG$204,MATCH($A39&amp;"|תחילת שנה",'זה אני - קליטה'!$AF$5:$AF$204,0)),""))</f>
        <v/>
      </c>
      <c r="H39" s="37">
        <f>IF($A39="","",IFERROR(INDEX('זה אני - קליטה'!$AN$5:$AN$204,MATCH($A39&amp;"|תחילת שנה",'זה אני - קליטה'!$AF$5:$AF$204,0)),""))</f>
        <v/>
      </c>
      <c r="I39" s="36">
        <f>IF($A39="","",IFERROR(INDEX('זה אני - קליטה'!$AW$5:$AW$204,MATCH($A39&amp;"|תחילת שנה",'זה אני - קליטה'!$AF$5:$AF$204,0)),""))</f>
        <v/>
      </c>
      <c r="J39" s="37">
        <f>IF($A39="","",IFERROR(INDEX('זה אני - קליטה'!$AH$5:$AH$204,MATCH($A39&amp;"|אמצע שנה",'זה אני - קליטה'!$AF$5:$AF$204,0)),""))</f>
        <v/>
      </c>
      <c r="K39" s="37">
        <f>IF($A39="","",IFERROR(INDEX('זה אני - קליטה'!$AI$5:$AI$204,MATCH($A39&amp;"|אמצע שנה",'זה אני - קליטה'!$AF$5:$AF$204,0)),""))</f>
        <v/>
      </c>
      <c r="L39" s="37">
        <f>IF($A39="","",IFERROR(INDEX('זה אני - קליטה'!$AJ$5:$AJ$204,MATCH($A39&amp;"|אמצע שנה",'זה אני - קליטה'!$AF$5:$AF$204,0)),""))</f>
        <v/>
      </c>
      <c r="M39" s="37">
        <f>IF($A39="","",IFERROR(INDEX('זה אני - קליטה'!$AK$5:$AK$204,MATCH($A39&amp;"|אמצע שנה",'זה אני - קליטה'!$AF$5:$AF$204,0)),""))</f>
        <v/>
      </c>
      <c r="N39" s="37">
        <f>IF($A39="","",IFERROR(INDEX('זה אני - קליטה'!$AL$5:$AL$204,MATCH($A39&amp;"|אמצע שנה",'זה אני - קליטה'!$AF$5:$AF$204,0)),""))</f>
        <v/>
      </c>
      <c r="O39" s="36">
        <f>IF($A39="","",IFERROR(INDEX('זה אני - קליטה'!$AG$5:$AG$204,MATCH($A39&amp;"|אמצע שנה",'זה אני - קליטה'!$AF$5:$AF$204,0)),""))</f>
        <v/>
      </c>
      <c r="P39" s="37">
        <f>IF($A39="","",IFERROR(INDEX('זה אני - קליטה'!$AN$5:$AN$204,MATCH($A39&amp;"|אמצע שנה",'זה אני - קליטה'!$AF$5:$AF$204,0)),""))</f>
        <v/>
      </c>
      <c r="Q39" s="36">
        <f>IF($A39="","",IFERROR(INDEX('זה אני - קליטה'!$AW$5:$AW$204,MATCH($A39&amp;"|אמצע שנה",'זה אני - קליטה'!$AF$5:$AF$204,0)),""))</f>
        <v/>
      </c>
      <c r="R39" s="37">
        <f>IF($A39="","",IFERROR(INDEX('זה אני - קליטה'!$AH$5:$AH$204,MATCH($A39&amp;"|סוף שנה",'זה אני - קליטה'!$AF$5:$AF$204,0)),""))</f>
        <v/>
      </c>
      <c r="S39" s="37">
        <f>IF($A39="","",IFERROR(INDEX('זה אני - קליטה'!$AI$5:$AI$204,MATCH($A39&amp;"|סוף שנה",'זה אני - קליטה'!$AF$5:$AF$204,0)),""))</f>
        <v/>
      </c>
      <c r="T39" s="37">
        <f>IF($A39="","",IFERROR(INDEX('זה אני - קליטה'!$AJ$5:$AJ$204,MATCH($A39&amp;"|סוף שנה",'זה אני - קליטה'!$AF$5:$AF$204,0)),""))</f>
        <v/>
      </c>
      <c r="U39" s="37">
        <f>IF($A39="","",IFERROR(INDEX('זה אני - קליטה'!$AK$5:$AK$204,MATCH($A39&amp;"|סוף שנה",'זה אני - קליטה'!$AF$5:$AF$204,0)),""))</f>
        <v/>
      </c>
      <c r="V39" s="37">
        <f>IF($A39="","",IFERROR(INDEX('זה אני - קליטה'!$AL$5:$AL$204,MATCH($A39&amp;"|סוף שנה",'זה אני - קליטה'!$AF$5:$AF$204,0)),""))</f>
        <v/>
      </c>
      <c r="W39" s="36">
        <f>IF($A39="","",IFERROR(INDEX('זה אני - קליטה'!$AG$5:$AG$204,MATCH($A39&amp;"|סוף שנה",'זה אני - קליטה'!$AF$5:$AF$204,0)),""))</f>
        <v/>
      </c>
      <c r="X39" s="37">
        <f>IF($A39="","",IFERROR(INDEX('זה אני - קליטה'!$AN$5:$AN$204,MATCH($A39&amp;"|סוף שנה",'זה אני - קליטה'!$AF$5:$AF$204,0)),""))</f>
        <v/>
      </c>
      <c r="Y39" s="36">
        <f>IF($A39="","",IFERROR(INDEX('זה אני - קליטה'!$AW$5:$AW$204,MATCH($A39&amp;"|סוף שנה",'זה אני - קליטה'!$AF$5:$AF$204,0)),""))</f>
        <v/>
      </c>
      <c r="Z39" s="43">
        <f>IF(AND(ISNUMBER(F39),ISNUMBER(V39)),V39-F39,"")</f>
        <v/>
      </c>
      <c r="AA39" s="36">
        <f>IF(Z39="","",IF(Z39&gt;=0.25,"עלייה",IF(Z39&lt;=-0.25,"ירידה","יציב")))</f>
        <v/>
      </c>
    </row>
    <row r="40">
      <c r="A40" s="38" t="n"/>
      <c r="B40" s="37">
        <f>IF($A40="","",IFERROR(INDEX('זה אני - קליטה'!$AH$5:$AH$204,MATCH($A40&amp;"|תחילת שנה",'זה אני - קליטה'!$AF$5:$AF$204,0)),""))</f>
        <v/>
      </c>
      <c r="C40" s="37">
        <f>IF($A40="","",IFERROR(INDEX('זה אני - קליטה'!$AI$5:$AI$204,MATCH($A40&amp;"|תחילת שנה",'זה אני - קליטה'!$AF$5:$AF$204,0)),""))</f>
        <v/>
      </c>
      <c r="D40" s="37">
        <f>IF($A40="","",IFERROR(INDEX('זה אני - קליטה'!$AJ$5:$AJ$204,MATCH($A40&amp;"|תחילת שנה",'זה אני - קליטה'!$AF$5:$AF$204,0)),""))</f>
        <v/>
      </c>
      <c r="E40" s="37">
        <f>IF($A40="","",IFERROR(INDEX('זה אני - קליטה'!$AK$5:$AK$204,MATCH($A40&amp;"|תחילת שנה",'זה אני - קליטה'!$AF$5:$AF$204,0)),""))</f>
        <v/>
      </c>
      <c r="F40" s="37">
        <f>IF($A40="","",IFERROR(INDEX('זה אני - קליטה'!$AL$5:$AL$204,MATCH($A40&amp;"|תחילת שנה",'זה אני - קליטה'!$AF$5:$AF$204,0)),""))</f>
        <v/>
      </c>
      <c r="G40" s="36">
        <f>IF($A40="","",IFERROR(INDEX('זה אני - קליטה'!$AG$5:$AG$204,MATCH($A40&amp;"|תחילת שנה",'זה אני - קליטה'!$AF$5:$AF$204,0)),""))</f>
        <v/>
      </c>
      <c r="H40" s="37">
        <f>IF($A40="","",IFERROR(INDEX('זה אני - קליטה'!$AN$5:$AN$204,MATCH($A40&amp;"|תחילת שנה",'זה אני - קליטה'!$AF$5:$AF$204,0)),""))</f>
        <v/>
      </c>
      <c r="I40" s="36">
        <f>IF($A40="","",IFERROR(INDEX('זה אני - קליטה'!$AW$5:$AW$204,MATCH($A40&amp;"|תחילת שנה",'זה אני - קליטה'!$AF$5:$AF$204,0)),""))</f>
        <v/>
      </c>
      <c r="J40" s="37">
        <f>IF($A40="","",IFERROR(INDEX('זה אני - קליטה'!$AH$5:$AH$204,MATCH($A40&amp;"|אמצע שנה",'זה אני - קליטה'!$AF$5:$AF$204,0)),""))</f>
        <v/>
      </c>
      <c r="K40" s="37">
        <f>IF($A40="","",IFERROR(INDEX('זה אני - קליטה'!$AI$5:$AI$204,MATCH($A40&amp;"|אמצע שנה",'זה אני - קליטה'!$AF$5:$AF$204,0)),""))</f>
        <v/>
      </c>
      <c r="L40" s="37">
        <f>IF($A40="","",IFERROR(INDEX('זה אני - קליטה'!$AJ$5:$AJ$204,MATCH($A40&amp;"|אמצע שנה",'זה אני - קליטה'!$AF$5:$AF$204,0)),""))</f>
        <v/>
      </c>
      <c r="M40" s="37">
        <f>IF($A40="","",IFERROR(INDEX('זה אני - קליטה'!$AK$5:$AK$204,MATCH($A40&amp;"|אמצע שנה",'זה אני - קליטה'!$AF$5:$AF$204,0)),""))</f>
        <v/>
      </c>
      <c r="N40" s="37">
        <f>IF($A40="","",IFERROR(INDEX('זה אני - קליטה'!$AL$5:$AL$204,MATCH($A40&amp;"|אמצע שנה",'זה אני - קליטה'!$AF$5:$AF$204,0)),""))</f>
        <v/>
      </c>
      <c r="O40" s="36">
        <f>IF($A40="","",IFERROR(INDEX('זה אני - קליטה'!$AG$5:$AG$204,MATCH($A40&amp;"|אמצע שנה",'זה אני - קליטה'!$AF$5:$AF$204,0)),""))</f>
        <v/>
      </c>
      <c r="P40" s="37">
        <f>IF($A40="","",IFERROR(INDEX('זה אני - קליטה'!$AN$5:$AN$204,MATCH($A40&amp;"|אמצע שנה",'זה אני - קליטה'!$AF$5:$AF$204,0)),""))</f>
        <v/>
      </c>
      <c r="Q40" s="36">
        <f>IF($A40="","",IFERROR(INDEX('זה אני - קליטה'!$AW$5:$AW$204,MATCH($A40&amp;"|אמצע שנה",'זה אני - קליטה'!$AF$5:$AF$204,0)),""))</f>
        <v/>
      </c>
      <c r="R40" s="37">
        <f>IF($A40="","",IFERROR(INDEX('זה אני - קליטה'!$AH$5:$AH$204,MATCH($A40&amp;"|סוף שנה",'זה אני - קליטה'!$AF$5:$AF$204,0)),""))</f>
        <v/>
      </c>
      <c r="S40" s="37">
        <f>IF($A40="","",IFERROR(INDEX('זה אני - קליטה'!$AI$5:$AI$204,MATCH($A40&amp;"|סוף שנה",'זה אני - קליטה'!$AF$5:$AF$204,0)),""))</f>
        <v/>
      </c>
      <c r="T40" s="37">
        <f>IF($A40="","",IFERROR(INDEX('זה אני - קליטה'!$AJ$5:$AJ$204,MATCH($A40&amp;"|סוף שנה",'זה אני - קליטה'!$AF$5:$AF$204,0)),""))</f>
        <v/>
      </c>
      <c r="U40" s="37">
        <f>IF($A40="","",IFERROR(INDEX('זה אני - קליטה'!$AK$5:$AK$204,MATCH($A40&amp;"|סוף שנה",'זה אני - קליטה'!$AF$5:$AF$204,0)),""))</f>
        <v/>
      </c>
      <c r="V40" s="37">
        <f>IF($A40="","",IFERROR(INDEX('זה אני - קליטה'!$AL$5:$AL$204,MATCH($A40&amp;"|סוף שנה",'זה אני - קליטה'!$AF$5:$AF$204,0)),""))</f>
        <v/>
      </c>
      <c r="W40" s="36">
        <f>IF($A40="","",IFERROR(INDEX('זה אני - קליטה'!$AG$5:$AG$204,MATCH($A40&amp;"|סוף שנה",'זה אני - קליטה'!$AF$5:$AF$204,0)),""))</f>
        <v/>
      </c>
      <c r="X40" s="37">
        <f>IF($A40="","",IFERROR(INDEX('זה אני - קליטה'!$AN$5:$AN$204,MATCH($A40&amp;"|סוף שנה",'זה אני - קליטה'!$AF$5:$AF$204,0)),""))</f>
        <v/>
      </c>
      <c r="Y40" s="36">
        <f>IF($A40="","",IFERROR(INDEX('זה אני - קליטה'!$AW$5:$AW$204,MATCH($A40&amp;"|סוף שנה",'זה אני - קליטה'!$AF$5:$AF$204,0)),""))</f>
        <v/>
      </c>
      <c r="Z40" s="43">
        <f>IF(AND(ISNUMBER(F40),ISNUMBER(V40)),V40-F40,"")</f>
        <v/>
      </c>
      <c r="AA40" s="36">
        <f>IF(Z40="","",IF(Z40&gt;=0.25,"עלייה",IF(Z40&lt;=-0.25,"ירידה","יציב")))</f>
        <v/>
      </c>
    </row>
    <row r="41">
      <c r="A41" s="38" t="n"/>
      <c r="B41" s="37">
        <f>IF($A41="","",IFERROR(INDEX('זה אני - קליטה'!$AH$5:$AH$204,MATCH($A41&amp;"|תחילת שנה",'זה אני - קליטה'!$AF$5:$AF$204,0)),""))</f>
        <v/>
      </c>
      <c r="C41" s="37">
        <f>IF($A41="","",IFERROR(INDEX('זה אני - קליטה'!$AI$5:$AI$204,MATCH($A41&amp;"|תחילת שנה",'זה אני - קליטה'!$AF$5:$AF$204,0)),""))</f>
        <v/>
      </c>
      <c r="D41" s="37">
        <f>IF($A41="","",IFERROR(INDEX('זה אני - קליטה'!$AJ$5:$AJ$204,MATCH($A41&amp;"|תחילת שנה",'זה אני - קליטה'!$AF$5:$AF$204,0)),""))</f>
        <v/>
      </c>
      <c r="E41" s="37">
        <f>IF($A41="","",IFERROR(INDEX('זה אני - קליטה'!$AK$5:$AK$204,MATCH($A41&amp;"|תחילת שנה",'זה אני - קליטה'!$AF$5:$AF$204,0)),""))</f>
        <v/>
      </c>
      <c r="F41" s="37">
        <f>IF($A41="","",IFERROR(INDEX('זה אני - קליטה'!$AL$5:$AL$204,MATCH($A41&amp;"|תחילת שנה",'זה אני - קליטה'!$AF$5:$AF$204,0)),""))</f>
        <v/>
      </c>
      <c r="G41" s="36">
        <f>IF($A41="","",IFERROR(INDEX('זה אני - קליטה'!$AG$5:$AG$204,MATCH($A41&amp;"|תחילת שנה",'זה אני - קליטה'!$AF$5:$AF$204,0)),""))</f>
        <v/>
      </c>
      <c r="H41" s="37">
        <f>IF($A41="","",IFERROR(INDEX('זה אני - קליטה'!$AN$5:$AN$204,MATCH($A41&amp;"|תחילת שנה",'זה אני - קליטה'!$AF$5:$AF$204,0)),""))</f>
        <v/>
      </c>
      <c r="I41" s="36">
        <f>IF($A41="","",IFERROR(INDEX('זה אני - קליטה'!$AW$5:$AW$204,MATCH($A41&amp;"|תחילת שנה",'זה אני - קליטה'!$AF$5:$AF$204,0)),""))</f>
        <v/>
      </c>
      <c r="J41" s="37">
        <f>IF($A41="","",IFERROR(INDEX('זה אני - קליטה'!$AH$5:$AH$204,MATCH($A41&amp;"|אמצע שנה",'זה אני - קליטה'!$AF$5:$AF$204,0)),""))</f>
        <v/>
      </c>
      <c r="K41" s="37">
        <f>IF($A41="","",IFERROR(INDEX('זה אני - קליטה'!$AI$5:$AI$204,MATCH($A41&amp;"|אמצע שנה",'זה אני - קליטה'!$AF$5:$AF$204,0)),""))</f>
        <v/>
      </c>
      <c r="L41" s="37">
        <f>IF($A41="","",IFERROR(INDEX('זה אני - קליטה'!$AJ$5:$AJ$204,MATCH($A41&amp;"|אמצע שנה",'זה אני - קליטה'!$AF$5:$AF$204,0)),""))</f>
        <v/>
      </c>
      <c r="M41" s="37">
        <f>IF($A41="","",IFERROR(INDEX('זה אני - קליטה'!$AK$5:$AK$204,MATCH($A41&amp;"|אמצע שנה",'זה אני - קליטה'!$AF$5:$AF$204,0)),""))</f>
        <v/>
      </c>
      <c r="N41" s="37">
        <f>IF($A41="","",IFERROR(INDEX('זה אני - קליטה'!$AL$5:$AL$204,MATCH($A41&amp;"|אמצע שנה",'זה אני - קליטה'!$AF$5:$AF$204,0)),""))</f>
        <v/>
      </c>
      <c r="O41" s="36">
        <f>IF($A41="","",IFERROR(INDEX('זה אני - קליטה'!$AG$5:$AG$204,MATCH($A41&amp;"|אמצע שנה",'זה אני - קליטה'!$AF$5:$AF$204,0)),""))</f>
        <v/>
      </c>
      <c r="P41" s="37">
        <f>IF($A41="","",IFERROR(INDEX('זה אני - קליטה'!$AN$5:$AN$204,MATCH($A41&amp;"|אמצע שנה",'זה אני - קליטה'!$AF$5:$AF$204,0)),""))</f>
        <v/>
      </c>
      <c r="Q41" s="36">
        <f>IF($A41="","",IFERROR(INDEX('זה אני - קליטה'!$AW$5:$AW$204,MATCH($A41&amp;"|אמצע שנה",'זה אני - קליטה'!$AF$5:$AF$204,0)),""))</f>
        <v/>
      </c>
      <c r="R41" s="37">
        <f>IF($A41="","",IFERROR(INDEX('זה אני - קליטה'!$AH$5:$AH$204,MATCH($A41&amp;"|סוף שנה",'זה אני - קליטה'!$AF$5:$AF$204,0)),""))</f>
        <v/>
      </c>
      <c r="S41" s="37">
        <f>IF($A41="","",IFERROR(INDEX('זה אני - קליטה'!$AI$5:$AI$204,MATCH($A41&amp;"|סוף שנה",'זה אני - קליטה'!$AF$5:$AF$204,0)),""))</f>
        <v/>
      </c>
      <c r="T41" s="37">
        <f>IF($A41="","",IFERROR(INDEX('זה אני - קליטה'!$AJ$5:$AJ$204,MATCH($A41&amp;"|סוף שנה",'זה אני - קליטה'!$AF$5:$AF$204,0)),""))</f>
        <v/>
      </c>
      <c r="U41" s="37">
        <f>IF($A41="","",IFERROR(INDEX('זה אני - קליטה'!$AK$5:$AK$204,MATCH($A41&amp;"|סוף שנה",'זה אני - קליטה'!$AF$5:$AF$204,0)),""))</f>
        <v/>
      </c>
      <c r="V41" s="37">
        <f>IF($A41="","",IFERROR(INDEX('זה אני - קליטה'!$AL$5:$AL$204,MATCH($A41&amp;"|סוף שנה",'זה אני - קליטה'!$AF$5:$AF$204,0)),""))</f>
        <v/>
      </c>
      <c r="W41" s="36">
        <f>IF($A41="","",IFERROR(INDEX('זה אני - קליטה'!$AG$5:$AG$204,MATCH($A41&amp;"|סוף שנה",'זה אני - קליטה'!$AF$5:$AF$204,0)),""))</f>
        <v/>
      </c>
      <c r="X41" s="37">
        <f>IF($A41="","",IFERROR(INDEX('זה אני - קליטה'!$AN$5:$AN$204,MATCH($A41&amp;"|סוף שנה",'זה אני - קליטה'!$AF$5:$AF$204,0)),""))</f>
        <v/>
      </c>
      <c r="Y41" s="36">
        <f>IF($A41="","",IFERROR(INDEX('זה אני - קליטה'!$AW$5:$AW$204,MATCH($A41&amp;"|סוף שנה",'זה אני - קליטה'!$AF$5:$AF$204,0)),""))</f>
        <v/>
      </c>
      <c r="Z41" s="43">
        <f>IF(AND(ISNUMBER(F41),ISNUMBER(V41)),V41-F41,"")</f>
        <v/>
      </c>
      <c r="AA41" s="36">
        <f>IF(Z41="","",IF(Z41&gt;=0.25,"עלייה",IF(Z41&lt;=-0.25,"ירידה","יציב")))</f>
        <v/>
      </c>
    </row>
    <row r="42">
      <c r="A42" s="38" t="n"/>
      <c r="B42" s="37">
        <f>IF($A42="","",IFERROR(INDEX('זה אני - קליטה'!$AH$5:$AH$204,MATCH($A42&amp;"|תחילת שנה",'זה אני - קליטה'!$AF$5:$AF$204,0)),""))</f>
        <v/>
      </c>
      <c r="C42" s="37">
        <f>IF($A42="","",IFERROR(INDEX('זה אני - קליטה'!$AI$5:$AI$204,MATCH($A42&amp;"|תחילת שנה",'זה אני - קליטה'!$AF$5:$AF$204,0)),""))</f>
        <v/>
      </c>
      <c r="D42" s="37">
        <f>IF($A42="","",IFERROR(INDEX('זה אני - קליטה'!$AJ$5:$AJ$204,MATCH($A42&amp;"|תחילת שנה",'זה אני - קליטה'!$AF$5:$AF$204,0)),""))</f>
        <v/>
      </c>
      <c r="E42" s="37">
        <f>IF($A42="","",IFERROR(INDEX('זה אני - קליטה'!$AK$5:$AK$204,MATCH($A42&amp;"|תחילת שנה",'זה אני - קליטה'!$AF$5:$AF$204,0)),""))</f>
        <v/>
      </c>
      <c r="F42" s="37">
        <f>IF($A42="","",IFERROR(INDEX('זה אני - קליטה'!$AL$5:$AL$204,MATCH($A42&amp;"|תחילת שנה",'זה אני - קליטה'!$AF$5:$AF$204,0)),""))</f>
        <v/>
      </c>
      <c r="G42" s="36">
        <f>IF($A42="","",IFERROR(INDEX('זה אני - קליטה'!$AG$5:$AG$204,MATCH($A42&amp;"|תחילת שנה",'זה אני - קליטה'!$AF$5:$AF$204,0)),""))</f>
        <v/>
      </c>
      <c r="H42" s="37">
        <f>IF($A42="","",IFERROR(INDEX('זה אני - קליטה'!$AN$5:$AN$204,MATCH($A42&amp;"|תחילת שנה",'זה אני - קליטה'!$AF$5:$AF$204,0)),""))</f>
        <v/>
      </c>
      <c r="I42" s="36">
        <f>IF($A42="","",IFERROR(INDEX('זה אני - קליטה'!$AW$5:$AW$204,MATCH($A42&amp;"|תחילת שנה",'זה אני - קליטה'!$AF$5:$AF$204,0)),""))</f>
        <v/>
      </c>
      <c r="J42" s="37">
        <f>IF($A42="","",IFERROR(INDEX('זה אני - קליטה'!$AH$5:$AH$204,MATCH($A42&amp;"|אמצע שנה",'זה אני - קליטה'!$AF$5:$AF$204,0)),""))</f>
        <v/>
      </c>
      <c r="K42" s="37">
        <f>IF($A42="","",IFERROR(INDEX('זה אני - קליטה'!$AI$5:$AI$204,MATCH($A42&amp;"|אמצע שנה",'זה אני - קליטה'!$AF$5:$AF$204,0)),""))</f>
        <v/>
      </c>
      <c r="L42" s="37">
        <f>IF($A42="","",IFERROR(INDEX('זה אני - קליטה'!$AJ$5:$AJ$204,MATCH($A42&amp;"|אמצע שנה",'זה אני - קליטה'!$AF$5:$AF$204,0)),""))</f>
        <v/>
      </c>
      <c r="M42" s="37">
        <f>IF($A42="","",IFERROR(INDEX('זה אני - קליטה'!$AK$5:$AK$204,MATCH($A42&amp;"|אמצע שנה",'זה אני - קליטה'!$AF$5:$AF$204,0)),""))</f>
        <v/>
      </c>
      <c r="N42" s="37">
        <f>IF($A42="","",IFERROR(INDEX('זה אני - קליטה'!$AL$5:$AL$204,MATCH($A42&amp;"|אמצע שנה",'זה אני - קליטה'!$AF$5:$AF$204,0)),""))</f>
        <v/>
      </c>
      <c r="O42" s="36">
        <f>IF($A42="","",IFERROR(INDEX('זה אני - קליטה'!$AG$5:$AG$204,MATCH($A42&amp;"|אמצע שנה",'זה אני - קליטה'!$AF$5:$AF$204,0)),""))</f>
        <v/>
      </c>
      <c r="P42" s="37">
        <f>IF($A42="","",IFERROR(INDEX('זה אני - קליטה'!$AN$5:$AN$204,MATCH($A42&amp;"|אמצע שנה",'זה אני - קליטה'!$AF$5:$AF$204,0)),""))</f>
        <v/>
      </c>
      <c r="Q42" s="36">
        <f>IF($A42="","",IFERROR(INDEX('זה אני - קליטה'!$AW$5:$AW$204,MATCH($A42&amp;"|אמצע שנה",'זה אני - קליטה'!$AF$5:$AF$204,0)),""))</f>
        <v/>
      </c>
      <c r="R42" s="37">
        <f>IF($A42="","",IFERROR(INDEX('זה אני - קליטה'!$AH$5:$AH$204,MATCH($A42&amp;"|סוף שנה",'זה אני - קליטה'!$AF$5:$AF$204,0)),""))</f>
        <v/>
      </c>
      <c r="S42" s="37">
        <f>IF($A42="","",IFERROR(INDEX('זה אני - קליטה'!$AI$5:$AI$204,MATCH($A42&amp;"|סוף שנה",'זה אני - קליטה'!$AF$5:$AF$204,0)),""))</f>
        <v/>
      </c>
      <c r="T42" s="37">
        <f>IF($A42="","",IFERROR(INDEX('זה אני - קליטה'!$AJ$5:$AJ$204,MATCH($A42&amp;"|סוף שנה",'זה אני - קליטה'!$AF$5:$AF$204,0)),""))</f>
        <v/>
      </c>
      <c r="U42" s="37">
        <f>IF($A42="","",IFERROR(INDEX('זה אני - קליטה'!$AK$5:$AK$204,MATCH($A42&amp;"|סוף שנה",'זה אני - קליטה'!$AF$5:$AF$204,0)),""))</f>
        <v/>
      </c>
      <c r="V42" s="37">
        <f>IF($A42="","",IFERROR(INDEX('זה אני - קליטה'!$AL$5:$AL$204,MATCH($A42&amp;"|סוף שנה",'זה אני - קליטה'!$AF$5:$AF$204,0)),""))</f>
        <v/>
      </c>
      <c r="W42" s="36">
        <f>IF($A42="","",IFERROR(INDEX('זה אני - קליטה'!$AG$5:$AG$204,MATCH($A42&amp;"|סוף שנה",'זה אני - קליטה'!$AF$5:$AF$204,0)),""))</f>
        <v/>
      </c>
      <c r="X42" s="37">
        <f>IF($A42="","",IFERROR(INDEX('זה אני - קליטה'!$AN$5:$AN$204,MATCH($A42&amp;"|סוף שנה",'זה אני - קליטה'!$AF$5:$AF$204,0)),""))</f>
        <v/>
      </c>
      <c r="Y42" s="36">
        <f>IF($A42="","",IFERROR(INDEX('זה אני - קליטה'!$AW$5:$AW$204,MATCH($A42&amp;"|סוף שנה",'זה אני - קליטה'!$AF$5:$AF$204,0)),""))</f>
        <v/>
      </c>
      <c r="Z42" s="43">
        <f>IF(AND(ISNUMBER(F42),ISNUMBER(V42)),V42-F42,"")</f>
        <v/>
      </c>
      <c r="AA42" s="36">
        <f>IF(Z42="","",IF(Z42&gt;=0.25,"עלייה",IF(Z42&lt;=-0.25,"ירידה","יציב")))</f>
        <v/>
      </c>
    </row>
    <row r="43">
      <c r="A43" s="38" t="n"/>
      <c r="B43" s="37">
        <f>IF($A43="","",IFERROR(INDEX('זה אני - קליטה'!$AH$5:$AH$204,MATCH($A43&amp;"|תחילת שנה",'זה אני - קליטה'!$AF$5:$AF$204,0)),""))</f>
        <v/>
      </c>
      <c r="C43" s="37">
        <f>IF($A43="","",IFERROR(INDEX('זה אני - קליטה'!$AI$5:$AI$204,MATCH($A43&amp;"|תחילת שנה",'זה אני - קליטה'!$AF$5:$AF$204,0)),""))</f>
        <v/>
      </c>
      <c r="D43" s="37">
        <f>IF($A43="","",IFERROR(INDEX('זה אני - קליטה'!$AJ$5:$AJ$204,MATCH($A43&amp;"|תחילת שנה",'זה אני - קליטה'!$AF$5:$AF$204,0)),""))</f>
        <v/>
      </c>
      <c r="E43" s="37">
        <f>IF($A43="","",IFERROR(INDEX('זה אני - קליטה'!$AK$5:$AK$204,MATCH($A43&amp;"|תחילת שנה",'זה אני - קליטה'!$AF$5:$AF$204,0)),""))</f>
        <v/>
      </c>
      <c r="F43" s="37">
        <f>IF($A43="","",IFERROR(INDEX('זה אני - קליטה'!$AL$5:$AL$204,MATCH($A43&amp;"|תחילת שנה",'זה אני - קליטה'!$AF$5:$AF$204,0)),""))</f>
        <v/>
      </c>
      <c r="G43" s="36">
        <f>IF($A43="","",IFERROR(INDEX('זה אני - קליטה'!$AG$5:$AG$204,MATCH($A43&amp;"|תחילת שנה",'זה אני - קליטה'!$AF$5:$AF$204,0)),""))</f>
        <v/>
      </c>
      <c r="H43" s="37">
        <f>IF($A43="","",IFERROR(INDEX('זה אני - קליטה'!$AN$5:$AN$204,MATCH($A43&amp;"|תחילת שנה",'זה אני - קליטה'!$AF$5:$AF$204,0)),""))</f>
        <v/>
      </c>
      <c r="I43" s="36">
        <f>IF($A43="","",IFERROR(INDEX('זה אני - קליטה'!$AW$5:$AW$204,MATCH($A43&amp;"|תחילת שנה",'זה אני - קליטה'!$AF$5:$AF$204,0)),""))</f>
        <v/>
      </c>
      <c r="J43" s="37">
        <f>IF($A43="","",IFERROR(INDEX('זה אני - קליטה'!$AH$5:$AH$204,MATCH($A43&amp;"|אמצע שנה",'זה אני - קליטה'!$AF$5:$AF$204,0)),""))</f>
        <v/>
      </c>
      <c r="K43" s="37">
        <f>IF($A43="","",IFERROR(INDEX('זה אני - קליטה'!$AI$5:$AI$204,MATCH($A43&amp;"|אמצע שנה",'זה אני - קליטה'!$AF$5:$AF$204,0)),""))</f>
        <v/>
      </c>
      <c r="L43" s="37">
        <f>IF($A43="","",IFERROR(INDEX('זה אני - קליטה'!$AJ$5:$AJ$204,MATCH($A43&amp;"|אמצע שנה",'זה אני - קליטה'!$AF$5:$AF$204,0)),""))</f>
        <v/>
      </c>
      <c r="M43" s="37">
        <f>IF($A43="","",IFERROR(INDEX('זה אני - קליטה'!$AK$5:$AK$204,MATCH($A43&amp;"|אמצע שנה",'זה אני - קליטה'!$AF$5:$AF$204,0)),""))</f>
        <v/>
      </c>
      <c r="N43" s="37">
        <f>IF($A43="","",IFERROR(INDEX('זה אני - קליטה'!$AL$5:$AL$204,MATCH($A43&amp;"|אמצע שנה",'זה אני - קליטה'!$AF$5:$AF$204,0)),""))</f>
        <v/>
      </c>
      <c r="O43" s="36">
        <f>IF($A43="","",IFERROR(INDEX('זה אני - קליטה'!$AG$5:$AG$204,MATCH($A43&amp;"|אמצע שנה",'זה אני - קליטה'!$AF$5:$AF$204,0)),""))</f>
        <v/>
      </c>
      <c r="P43" s="37">
        <f>IF($A43="","",IFERROR(INDEX('זה אני - קליטה'!$AN$5:$AN$204,MATCH($A43&amp;"|אמצע שנה",'זה אני - קליטה'!$AF$5:$AF$204,0)),""))</f>
        <v/>
      </c>
      <c r="Q43" s="36">
        <f>IF($A43="","",IFERROR(INDEX('זה אני - קליטה'!$AW$5:$AW$204,MATCH($A43&amp;"|אמצע שנה",'זה אני - קליטה'!$AF$5:$AF$204,0)),""))</f>
        <v/>
      </c>
      <c r="R43" s="37">
        <f>IF($A43="","",IFERROR(INDEX('זה אני - קליטה'!$AH$5:$AH$204,MATCH($A43&amp;"|סוף שנה",'זה אני - קליטה'!$AF$5:$AF$204,0)),""))</f>
        <v/>
      </c>
      <c r="S43" s="37">
        <f>IF($A43="","",IFERROR(INDEX('זה אני - קליטה'!$AI$5:$AI$204,MATCH($A43&amp;"|סוף שנה",'זה אני - קליטה'!$AF$5:$AF$204,0)),""))</f>
        <v/>
      </c>
      <c r="T43" s="37">
        <f>IF($A43="","",IFERROR(INDEX('זה אני - קליטה'!$AJ$5:$AJ$204,MATCH($A43&amp;"|סוף שנה",'זה אני - קליטה'!$AF$5:$AF$204,0)),""))</f>
        <v/>
      </c>
      <c r="U43" s="37">
        <f>IF($A43="","",IFERROR(INDEX('זה אני - קליטה'!$AK$5:$AK$204,MATCH($A43&amp;"|סוף שנה",'זה אני - קליטה'!$AF$5:$AF$204,0)),""))</f>
        <v/>
      </c>
      <c r="V43" s="37">
        <f>IF($A43="","",IFERROR(INDEX('זה אני - קליטה'!$AL$5:$AL$204,MATCH($A43&amp;"|סוף שנה",'זה אני - קליטה'!$AF$5:$AF$204,0)),""))</f>
        <v/>
      </c>
      <c r="W43" s="36">
        <f>IF($A43="","",IFERROR(INDEX('זה אני - קליטה'!$AG$5:$AG$204,MATCH($A43&amp;"|סוף שנה",'זה אני - קליטה'!$AF$5:$AF$204,0)),""))</f>
        <v/>
      </c>
      <c r="X43" s="37">
        <f>IF($A43="","",IFERROR(INDEX('זה אני - קליטה'!$AN$5:$AN$204,MATCH($A43&amp;"|סוף שנה",'זה אני - קליטה'!$AF$5:$AF$204,0)),""))</f>
        <v/>
      </c>
      <c r="Y43" s="36">
        <f>IF($A43="","",IFERROR(INDEX('זה אני - קליטה'!$AW$5:$AW$204,MATCH($A43&amp;"|סוף שנה",'זה אני - קליטה'!$AF$5:$AF$204,0)),""))</f>
        <v/>
      </c>
      <c r="Z43" s="43">
        <f>IF(AND(ISNUMBER(F43),ISNUMBER(V43)),V43-F43,"")</f>
        <v/>
      </c>
      <c r="AA43" s="36">
        <f>IF(Z43="","",IF(Z43&gt;=0.25,"עלייה",IF(Z43&lt;=-0.25,"ירידה","יציב")))</f>
        <v/>
      </c>
    </row>
    <row r="44">
      <c r="A44" s="38" t="n"/>
      <c r="B44" s="37">
        <f>IF($A44="","",IFERROR(INDEX('זה אני - קליטה'!$AH$5:$AH$204,MATCH($A44&amp;"|תחילת שנה",'זה אני - קליטה'!$AF$5:$AF$204,0)),""))</f>
        <v/>
      </c>
      <c r="C44" s="37">
        <f>IF($A44="","",IFERROR(INDEX('זה אני - קליטה'!$AI$5:$AI$204,MATCH($A44&amp;"|תחילת שנה",'זה אני - קליטה'!$AF$5:$AF$204,0)),""))</f>
        <v/>
      </c>
      <c r="D44" s="37">
        <f>IF($A44="","",IFERROR(INDEX('זה אני - קליטה'!$AJ$5:$AJ$204,MATCH($A44&amp;"|תחילת שנה",'זה אני - קליטה'!$AF$5:$AF$204,0)),""))</f>
        <v/>
      </c>
      <c r="E44" s="37">
        <f>IF($A44="","",IFERROR(INDEX('זה אני - קליטה'!$AK$5:$AK$204,MATCH($A44&amp;"|תחילת שנה",'זה אני - קליטה'!$AF$5:$AF$204,0)),""))</f>
        <v/>
      </c>
      <c r="F44" s="37">
        <f>IF($A44="","",IFERROR(INDEX('זה אני - קליטה'!$AL$5:$AL$204,MATCH($A44&amp;"|תחילת שנה",'זה אני - קליטה'!$AF$5:$AF$204,0)),""))</f>
        <v/>
      </c>
      <c r="G44" s="36">
        <f>IF($A44="","",IFERROR(INDEX('זה אני - קליטה'!$AG$5:$AG$204,MATCH($A44&amp;"|תחילת שנה",'זה אני - קליטה'!$AF$5:$AF$204,0)),""))</f>
        <v/>
      </c>
      <c r="H44" s="37">
        <f>IF($A44="","",IFERROR(INDEX('זה אני - קליטה'!$AN$5:$AN$204,MATCH($A44&amp;"|תחילת שנה",'זה אני - קליטה'!$AF$5:$AF$204,0)),""))</f>
        <v/>
      </c>
      <c r="I44" s="36">
        <f>IF($A44="","",IFERROR(INDEX('זה אני - קליטה'!$AW$5:$AW$204,MATCH($A44&amp;"|תחילת שנה",'זה אני - קליטה'!$AF$5:$AF$204,0)),""))</f>
        <v/>
      </c>
      <c r="J44" s="37">
        <f>IF($A44="","",IFERROR(INDEX('זה אני - קליטה'!$AH$5:$AH$204,MATCH($A44&amp;"|אמצע שנה",'זה אני - קליטה'!$AF$5:$AF$204,0)),""))</f>
        <v/>
      </c>
      <c r="K44" s="37">
        <f>IF($A44="","",IFERROR(INDEX('זה אני - קליטה'!$AI$5:$AI$204,MATCH($A44&amp;"|אמצע שנה",'זה אני - קליטה'!$AF$5:$AF$204,0)),""))</f>
        <v/>
      </c>
      <c r="L44" s="37">
        <f>IF($A44="","",IFERROR(INDEX('זה אני - קליטה'!$AJ$5:$AJ$204,MATCH($A44&amp;"|אמצע שנה",'זה אני - קליטה'!$AF$5:$AF$204,0)),""))</f>
        <v/>
      </c>
      <c r="M44" s="37">
        <f>IF($A44="","",IFERROR(INDEX('זה אני - קליטה'!$AK$5:$AK$204,MATCH($A44&amp;"|אמצע שנה",'זה אני - קליטה'!$AF$5:$AF$204,0)),""))</f>
        <v/>
      </c>
      <c r="N44" s="37">
        <f>IF($A44="","",IFERROR(INDEX('זה אני - קליטה'!$AL$5:$AL$204,MATCH($A44&amp;"|אמצע שנה",'זה אני - קליטה'!$AF$5:$AF$204,0)),""))</f>
        <v/>
      </c>
      <c r="O44" s="36">
        <f>IF($A44="","",IFERROR(INDEX('זה אני - קליטה'!$AG$5:$AG$204,MATCH($A44&amp;"|אמצע שנה",'זה אני - קליטה'!$AF$5:$AF$204,0)),""))</f>
        <v/>
      </c>
      <c r="P44" s="37">
        <f>IF($A44="","",IFERROR(INDEX('זה אני - קליטה'!$AN$5:$AN$204,MATCH($A44&amp;"|אמצע שנה",'זה אני - קליטה'!$AF$5:$AF$204,0)),""))</f>
        <v/>
      </c>
      <c r="Q44" s="36">
        <f>IF($A44="","",IFERROR(INDEX('זה אני - קליטה'!$AW$5:$AW$204,MATCH($A44&amp;"|אמצע שנה",'זה אני - קליטה'!$AF$5:$AF$204,0)),""))</f>
        <v/>
      </c>
      <c r="R44" s="37">
        <f>IF($A44="","",IFERROR(INDEX('זה אני - קליטה'!$AH$5:$AH$204,MATCH($A44&amp;"|סוף שנה",'זה אני - קליטה'!$AF$5:$AF$204,0)),""))</f>
        <v/>
      </c>
      <c r="S44" s="37">
        <f>IF($A44="","",IFERROR(INDEX('זה אני - קליטה'!$AI$5:$AI$204,MATCH($A44&amp;"|סוף שנה",'זה אני - קליטה'!$AF$5:$AF$204,0)),""))</f>
        <v/>
      </c>
      <c r="T44" s="37">
        <f>IF($A44="","",IFERROR(INDEX('זה אני - קליטה'!$AJ$5:$AJ$204,MATCH($A44&amp;"|סוף שנה",'זה אני - קליטה'!$AF$5:$AF$204,0)),""))</f>
        <v/>
      </c>
      <c r="U44" s="37">
        <f>IF($A44="","",IFERROR(INDEX('זה אני - קליטה'!$AK$5:$AK$204,MATCH($A44&amp;"|סוף שנה",'זה אני - קליטה'!$AF$5:$AF$204,0)),""))</f>
        <v/>
      </c>
      <c r="V44" s="37">
        <f>IF($A44="","",IFERROR(INDEX('זה אני - קליטה'!$AL$5:$AL$204,MATCH($A44&amp;"|סוף שנה",'זה אני - קליטה'!$AF$5:$AF$204,0)),""))</f>
        <v/>
      </c>
      <c r="W44" s="36">
        <f>IF($A44="","",IFERROR(INDEX('זה אני - קליטה'!$AG$5:$AG$204,MATCH($A44&amp;"|סוף שנה",'זה אני - קליטה'!$AF$5:$AF$204,0)),""))</f>
        <v/>
      </c>
      <c r="X44" s="37">
        <f>IF($A44="","",IFERROR(INDEX('זה אני - קליטה'!$AN$5:$AN$204,MATCH($A44&amp;"|סוף שנה",'זה אני - קליטה'!$AF$5:$AF$204,0)),""))</f>
        <v/>
      </c>
      <c r="Y44" s="36">
        <f>IF($A44="","",IFERROR(INDEX('זה אני - קליטה'!$AW$5:$AW$204,MATCH($A44&amp;"|סוף שנה",'זה אני - קליטה'!$AF$5:$AF$204,0)),""))</f>
        <v/>
      </c>
      <c r="Z44" s="43">
        <f>IF(AND(ISNUMBER(F44),ISNUMBER(V44)),V44-F44,"")</f>
        <v/>
      </c>
      <c r="AA44" s="36">
        <f>IF(Z44="","",IF(Z44&gt;=0.25,"עלייה",IF(Z44&lt;=-0.25,"ירידה","יציב")))</f>
        <v/>
      </c>
    </row>
    <row r="45">
      <c r="A45" s="38" t="n"/>
      <c r="B45" s="37">
        <f>IF($A45="","",IFERROR(INDEX('זה אני - קליטה'!$AH$5:$AH$204,MATCH($A45&amp;"|תחילת שנה",'זה אני - קליטה'!$AF$5:$AF$204,0)),""))</f>
        <v/>
      </c>
      <c r="C45" s="37">
        <f>IF($A45="","",IFERROR(INDEX('זה אני - קליטה'!$AI$5:$AI$204,MATCH($A45&amp;"|תחילת שנה",'זה אני - קליטה'!$AF$5:$AF$204,0)),""))</f>
        <v/>
      </c>
      <c r="D45" s="37">
        <f>IF($A45="","",IFERROR(INDEX('זה אני - קליטה'!$AJ$5:$AJ$204,MATCH($A45&amp;"|תחילת שנה",'זה אני - קליטה'!$AF$5:$AF$204,0)),""))</f>
        <v/>
      </c>
      <c r="E45" s="37">
        <f>IF($A45="","",IFERROR(INDEX('זה אני - קליטה'!$AK$5:$AK$204,MATCH($A45&amp;"|תחילת שנה",'זה אני - קליטה'!$AF$5:$AF$204,0)),""))</f>
        <v/>
      </c>
      <c r="F45" s="37">
        <f>IF($A45="","",IFERROR(INDEX('זה אני - קליטה'!$AL$5:$AL$204,MATCH($A45&amp;"|תחילת שנה",'זה אני - קליטה'!$AF$5:$AF$204,0)),""))</f>
        <v/>
      </c>
      <c r="G45" s="36">
        <f>IF($A45="","",IFERROR(INDEX('זה אני - קליטה'!$AG$5:$AG$204,MATCH($A45&amp;"|תחילת שנה",'זה אני - קליטה'!$AF$5:$AF$204,0)),""))</f>
        <v/>
      </c>
      <c r="H45" s="37">
        <f>IF($A45="","",IFERROR(INDEX('זה אני - קליטה'!$AN$5:$AN$204,MATCH($A45&amp;"|תחילת שנה",'זה אני - קליטה'!$AF$5:$AF$204,0)),""))</f>
        <v/>
      </c>
      <c r="I45" s="36">
        <f>IF($A45="","",IFERROR(INDEX('זה אני - קליטה'!$AW$5:$AW$204,MATCH($A45&amp;"|תחילת שנה",'זה אני - קליטה'!$AF$5:$AF$204,0)),""))</f>
        <v/>
      </c>
      <c r="J45" s="37">
        <f>IF($A45="","",IFERROR(INDEX('זה אני - קליטה'!$AH$5:$AH$204,MATCH($A45&amp;"|אמצע שנה",'זה אני - קליטה'!$AF$5:$AF$204,0)),""))</f>
        <v/>
      </c>
      <c r="K45" s="37">
        <f>IF($A45="","",IFERROR(INDEX('זה אני - קליטה'!$AI$5:$AI$204,MATCH($A45&amp;"|אמצע שנה",'זה אני - קליטה'!$AF$5:$AF$204,0)),""))</f>
        <v/>
      </c>
      <c r="L45" s="37">
        <f>IF($A45="","",IFERROR(INDEX('זה אני - קליטה'!$AJ$5:$AJ$204,MATCH($A45&amp;"|אמצע שנה",'זה אני - קליטה'!$AF$5:$AF$204,0)),""))</f>
        <v/>
      </c>
      <c r="M45" s="37">
        <f>IF($A45="","",IFERROR(INDEX('זה אני - קליטה'!$AK$5:$AK$204,MATCH($A45&amp;"|אמצע שנה",'זה אני - קליטה'!$AF$5:$AF$204,0)),""))</f>
        <v/>
      </c>
      <c r="N45" s="37">
        <f>IF($A45="","",IFERROR(INDEX('זה אני - קליטה'!$AL$5:$AL$204,MATCH($A45&amp;"|אמצע שנה",'זה אני - קליטה'!$AF$5:$AF$204,0)),""))</f>
        <v/>
      </c>
      <c r="O45" s="36">
        <f>IF($A45="","",IFERROR(INDEX('זה אני - קליטה'!$AG$5:$AG$204,MATCH($A45&amp;"|אמצע שנה",'זה אני - קליטה'!$AF$5:$AF$204,0)),""))</f>
        <v/>
      </c>
      <c r="P45" s="37">
        <f>IF($A45="","",IFERROR(INDEX('זה אני - קליטה'!$AN$5:$AN$204,MATCH($A45&amp;"|אמצע שנה",'זה אני - קליטה'!$AF$5:$AF$204,0)),""))</f>
        <v/>
      </c>
      <c r="Q45" s="36">
        <f>IF($A45="","",IFERROR(INDEX('זה אני - קליטה'!$AW$5:$AW$204,MATCH($A45&amp;"|אמצע שנה",'זה אני - קליטה'!$AF$5:$AF$204,0)),""))</f>
        <v/>
      </c>
      <c r="R45" s="37">
        <f>IF($A45="","",IFERROR(INDEX('זה אני - קליטה'!$AH$5:$AH$204,MATCH($A45&amp;"|סוף שנה",'זה אני - קליטה'!$AF$5:$AF$204,0)),""))</f>
        <v/>
      </c>
      <c r="S45" s="37">
        <f>IF($A45="","",IFERROR(INDEX('זה אני - קליטה'!$AI$5:$AI$204,MATCH($A45&amp;"|סוף שנה",'זה אני - קליטה'!$AF$5:$AF$204,0)),""))</f>
        <v/>
      </c>
      <c r="T45" s="37">
        <f>IF($A45="","",IFERROR(INDEX('זה אני - קליטה'!$AJ$5:$AJ$204,MATCH($A45&amp;"|סוף שנה",'זה אני - קליטה'!$AF$5:$AF$204,0)),""))</f>
        <v/>
      </c>
      <c r="U45" s="37">
        <f>IF($A45="","",IFERROR(INDEX('זה אני - קליטה'!$AK$5:$AK$204,MATCH($A45&amp;"|סוף שנה",'זה אני - קליטה'!$AF$5:$AF$204,0)),""))</f>
        <v/>
      </c>
      <c r="V45" s="37">
        <f>IF($A45="","",IFERROR(INDEX('זה אני - קליטה'!$AL$5:$AL$204,MATCH($A45&amp;"|סוף שנה",'זה אני - קליטה'!$AF$5:$AF$204,0)),""))</f>
        <v/>
      </c>
      <c r="W45" s="36">
        <f>IF($A45="","",IFERROR(INDEX('זה אני - קליטה'!$AG$5:$AG$204,MATCH($A45&amp;"|סוף שנה",'זה אני - קליטה'!$AF$5:$AF$204,0)),""))</f>
        <v/>
      </c>
      <c r="X45" s="37">
        <f>IF($A45="","",IFERROR(INDEX('זה אני - קליטה'!$AN$5:$AN$204,MATCH($A45&amp;"|סוף שנה",'זה אני - קליטה'!$AF$5:$AF$204,0)),""))</f>
        <v/>
      </c>
      <c r="Y45" s="36">
        <f>IF($A45="","",IFERROR(INDEX('זה אני - קליטה'!$AW$5:$AW$204,MATCH($A45&amp;"|סוף שנה",'זה אני - קליטה'!$AF$5:$AF$204,0)),""))</f>
        <v/>
      </c>
      <c r="Z45" s="43">
        <f>IF(AND(ISNUMBER(F45),ISNUMBER(V45)),V45-F45,"")</f>
        <v/>
      </c>
      <c r="AA45" s="36">
        <f>IF(Z45="","",IF(Z45&gt;=0.25,"עלייה",IF(Z45&lt;=-0.25,"ירידה","יציב")))</f>
        <v/>
      </c>
    </row>
    <row r="46">
      <c r="A46" s="38" t="n"/>
      <c r="B46" s="37">
        <f>IF($A46="","",IFERROR(INDEX('זה אני - קליטה'!$AH$5:$AH$204,MATCH($A46&amp;"|תחילת שנה",'זה אני - קליטה'!$AF$5:$AF$204,0)),""))</f>
        <v/>
      </c>
      <c r="C46" s="37">
        <f>IF($A46="","",IFERROR(INDEX('זה אני - קליטה'!$AI$5:$AI$204,MATCH($A46&amp;"|תחילת שנה",'זה אני - קליטה'!$AF$5:$AF$204,0)),""))</f>
        <v/>
      </c>
      <c r="D46" s="37">
        <f>IF($A46="","",IFERROR(INDEX('זה אני - קליטה'!$AJ$5:$AJ$204,MATCH($A46&amp;"|תחילת שנה",'זה אני - קליטה'!$AF$5:$AF$204,0)),""))</f>
        <v/>
      </c>
      <c r="E46" s="37">
        <f>IF($A46="","",IFERROR(INDEX('זה אני - קליטה'!$AK$5:$AK$204,MATCH($A46&amp;"|תחילת שנה",'זה אני - קליטה'!$AF$5:$AF$204,0)),""))</f>
        <v/>
      </c>
      <c r="F46" s="37">
        <f>IF($A46="","",IFERROR(INDEX('זה אני - קליטה'!$AL$5:$AL$204,MATCH($A46&amp;"|תחילת שנה",'זה אני - קליטה'!$AF$5:$AF$204,0)),""))</f>
        <v/>
      </c>
      <c r="G46" s="36">
        <f>IF($A46="","",IFERROR(INDEX('זה אני - קליטה'!$AG$5:$AG$204,MATCH($A46&amp;"|תחילת שנה",'זה אני - קליטה'!$AF$5:$AF$204,0)),""))</f>
        <v/>
      </c>
      <c r="H46" s="37">
        <f>IF($A46="","",IFERROR(INDEX('זה אני - קליטה'!$AN$5:$AN$204,MATCH($A46&amp;"|תחילת שנה",'זה אני - קליטה'!$AF$5:$AF$204,0)),""))</f>
        <v/>
      </c>
      <c r="I46" s="36">
        <f>IF($A46="","",IFERROR(INDEX('זה אני - קליטה'!$AW$5:$AW$204,MATCH($A46&amp;"|תחילת שנה",'זה אני - קליטה'!$AF$5:$AF$204,0)),""))</f>
        <v/>
      </c>
      <c r="J46" s="37">
        <f>IF($A46="","",IFERROR(INDEX('זה אני - קליטה'!$AH$5:$AH$204,MATCH($A46&amp;"|אמצע שנה",'זה אני - קליטה'!$AF$5:$AF$204,0)),""))</f>
        <v/>
      </c>
      <c r="K46" s="37">
        <f>IF($A46="","",IFERROR(INDEX('זה אני - קליטה'!$AI$5:$AI$204,MATCH($A46&amp;"|אמצע שנה",'זה אני - קליטה'!$AF$5:$AF$204,0)),""))</f>
        <v/>
      </c>
      <c r="L46" s="37">
        <f>IF($A46="","",IFERROR(INDEX('זה אני - קליטה'!$AJ$5:$AJ$204,MATCH($A46&amp;"|אמצע שנה",'זה אני - קליטה'!$AF$5:$AF$204,0)),""))</f>
        <v/>
      </c>
      <c r="M46" s="37">
        <f>IF($A46="","",IFERROR(INDEX('זה אני - קליטה'!$AK$5:$AK$204,MATCH($A46&amp;"|אמצע שנה",'זה אני - קליטה'!$AF$5:$AF$204,0)),""))</f>
        <v/>
      </c>
      <c r="N46" s="37">
        <f>IF($A46="","",IFERROR(INDEX('זה אני - קליטה'!$AL$5:$AL$204,MATCH($A46&amp;"|אמצע שנה",'זה אני - קליטה'!$AF$5:$AF$204,0)),""))</f>
        <v/>
      </c>
      <c r="O46" s="36">
        <f>IF($A46="","",IFERROR(INDEX('זה אני - קליטה'!$AG$5:$AG$204,MATCH($A46&amp;"|אמצע שנה",'זה אני - קליטה'!$AF$5:$AF$204,0)),""))</f>
        <v/>
      </c>
      <c r="P46" s="37">
        <f>IF($A46="","",IFERROR(INDEX('זה אני - קליטה'!$AN$5:$AN$204,MATCH($A46&amp;"|אמצע שנה",'זה אני - קליטה'!$AF$5:$AF$204,0)),""))</f>
        <v/>
      </c>
      <c r="Q46" s="36">
        <f>IF($A46="","",IFERROR(INDEX('זה אני - קליטה'!$AW$5:$AW$204,MATCH($A46&amp;"|אמצע שנה",'זה אני - קליטה'!$AF$5:$AF$204,0)),""))</f>
        <v/>
      </c>
      <c r="R46" s="37">
        <f>IF($A46="","",IFERROR(INDEX('זה אני - קליטה'!$AH$5:$AH$204,MATCH($A46&amp;"|סוף שנה",'זה אני - קליטה'!$AF$5:$AF$204,0)),""))</f>
        <v/>
      </c>
      <c r="S46" s="37">
        <f>IF($A46="","",IFERROR(INDEX('זה אני - קליטה'!$AI$5:$AI$204,MATCH($A46&amp;"|סוף שנה",'זה אני - קליטה'!$AF$5:$AF$204,0)),""))</f>
        <v/>
      </c>
      <c r="T46" s="37">
        <f>IF($A46="","",IFERROR(INDEX('זה אני - קליטה'!$AJ$5:$AJ$204,MATCH($A46&amp;"|סוף שנה",'זה אני - קליטה'!$AF$5:$AF$204,0)),""))</f>
        <v/>
      </c>
      <c r="U46" s="37">
        <f>IF($A46="","",IFERROR(INDEX('זה אני - קליטה'!$AK$5:$AK$204,MATCH($A46&amp;"|סוף שנה",'זה אני - קליטה'!$AF$5:$AF$204,0)),""))</f>
        <v/>
      </c>
      <c r="V46" s="37">
        <f>IF($A46="","",IFERROR(INDEX('זה אני - קליטה'!$AL$5:$AL$204,MATCH($A46&amp;"|סוף שנה",'זה אני - קליטה'!$AF$5:$AF$204,0)),""))</f>
        <v/>
      </c>
      <c r="W46" s="36">
        <f>IF($A46="","",IFERROR(INDEX('זה אני - קליטה'!$AG$5:$AG$204,MATCH($A46&amp;"|סוף שנה",'זה אני - קליטה'!$AF$5:$AF$204,0)),""))</f>
        <v/>
      </c>
      <c r="X46" s="37">
        <f>IF($A46="","",IFERROR(INDEX('זה אני - קליטה'!$AN$5:$AN$204,MATCH($A46&amp;"|סוף שנה",'זה אני - קליטה'!$AF$5:$AF$204,0)),""))</f>
        <v/>
      </c>
      <c r="Y46" s="36">
        <f>IF($A46="","",IFERROR(INDEX('זה אני - קליטה'!$AW$5:$AW$204,MATCH($A46&amp;"|סוף שנה",'זה אני - קליטה'!$AF$5:$AF$204,0)),""))</f>
        <v/>
      </c>
      <c r="Z46" s="43">
        <f>IF(AND(ISNUMBER(F46),ISNUMBER(V46)),V46-F46,"")</f>
        <v/>
      </c>
      <c r="AA46" s="36">
        <f>IF(Z46="","",IF(Z46&gt;=0.25,"עלייה",IF(Z46&lt;=-0.25,"ירידה","יציב")))</f>
        <v/>
      </c>
    </row>
    <row r="47">
      <c r="A47" s="38" t="n"/>
      <c r="B47" s="37">
        <f>IF($A47="","",IFERROR(INDEX('זה אני - קליטה'!$AH$5:$AH$204,MATCH($A47&amp;"|תחילת שנה",'זה אני - קליטה'!$AF$5:$AF$204,0)),""))</f>
        <v/>
      </c>
      <c r="C47" s="37">
        <f>IF($A47="","",IFERROR(INDEX('זה אני - קליטה'!$AI$5:$AI$204,MATCH($A47&amp;"|תחילת שנה",'זה אני - קליטה'!$AF$5:$AF$204,0)),""))</f>
        <v/>
      </c>
      <c r="D47" s="37">
        <f>IF($A47="","",IFERROR(INDEX('זה אני - קליטה'!$AJ$5:$AJ$204,MATCH($A47&amp;"|תחילת שנה",'זה אני - קליטה'!$AF$5:$AF$204,0)),""))</f>
        <v/>
      </c>
      <c r="E47" s="37">
        <f>IF($A47="","",IFERROR(INDEX('זה אני - קליטה'!$AK$5:$AK$204,MATCH($A47&amp;"|תחילת שנה",'זה אני - קליטה'!$AF$5:$AF$204,0)),""))</f>
        <v/>
      </c>
      <c r="F47" s="37">
        <f>IF($A47="","",IFERROR(INDEX('זה אני - קליטה'!$AL$5:$AL$204,MATCH($A47&amp;"|תחילת שנה",'זה אני - קליטה'!$AF$5:$AF$204,0)),""))</f>
        <v/>
      </c>
      <c r="G47" s="36">
        <f>IF($A47="","",IFERROR(INDEX('זה אני - קליטה'!$AG$5:$AG$204,MATCH($A47&amp;"|תחילת שנה",'זה אני - קליטה'!$AF$5:$AF$204,0)),""))</f>
        <v/>
      </c>
      <c r="H47" s="37">
        <f>IF($A47="","",IFERROR(INDEX('זה אני - קליטה'!$AN$5:$AN$204,MATCH($A47&amp;"|תחילת שנה",'זה אני - קליטה'!$AF$5:$AF$204,0)),""))</f>
        <v/>
      </c>
      <c r="I47" s="36">
        <f>IF($A47="","",IFERROR(INDEX('זה אני - קליטה'!$AW$5:$AW$204,MATCH($A47&amp;"|תחילת שנה",'זה אני - קליטה'!$AF$5:$AF$204,0)),""))</f>
        <v/>
      </c>
      <c r="J47" s="37">
        <f>IF($A47="","",IFERROR(INDEX('זה אני - קליטה'!$AH$5:$AH$204,MATCH($A47&amp;"|אמצע שנה",'זה אני - קליטה'!$AF$5:$AF$204,0)),""))</f>
        <v/>
      </c>
      <c r="K47" s="37">
        <f>IF($A47="","",IFERROR(INDEX('זה אני - קליטה'!$AI$5:$AI$204,MATCH($A47&amp;"|אמצע שנה",'זה אני - קליטה'!$AF$5:$AF$204,0)),""))</f>
        <v/>
      </c>
      <c r="L47" s="37">
        <f>IF($A47="","",IFERROR(INDEX('זה אני - קליטה'!$AJ$5:$AJ$204,MATCH($A47&amp;"|אמצע שנה",'זה אני - קליטה'!$AF$5:$AF$204,0)),""))</f>
        <v/>
      </c>
      <c r="M47" s="37">
        <f>IF($A47="","",IFERROR(INDEX('זה אני - קליטה'!$AK$5:$AK$204,MATCH($A47&amp;"|אמצע שנה",'זה אני - קליטה'!$AF$5:$AF$204,0)),""))</f>
        <v/>
      </c>
      <c r="N47" s="37">
        <f>IF($A47="","",IFERROR(INDEX('זה אני - קליטה'!$AL$5:$AL$204,MATCH($A47&amp;"|אמצע שנה",'זה אני - קליטה'!$AF$5:$AF$204,0)),""))</f>
        <v/>
      </c>
      <c r="O47" s="36">
        <f>IF($A47="","",IFERROR(INDEX('זה אני - קליטה'!$AG$5:$AG$204,MATCH($A47&amp;"|אמצע שנה",'זה אני - קליטה'!$AF$5:$AF$204,0)),""))</f>
        <v/>
      </c>
      <c r="P47" s="37">
        <f>IF($A47="","",IFERROR(INDEX('זה אני - קליטה'!$AN$5:$AN$204,MATCH($A47&amp;"|אמצע שנה",'זה אני - קליטה'!$AF$5:$AF$204,0)),""))</f>
        <v/>
      </c>
      <c r="Q47" s="36">
        <f>IF($A47="","",IFERROR(INDEX('זה אני - קליטה'!$AW$5:$AW$204,MATCH($A47&amp;"|אמצע שנה",'זה אני - קליטה'!$AF$5:$AF$204,0)),""))</f>
        <v/>
      </c>
      <c r="R47" s="37">
        <f>IF($A47="","",IFERROR(INDEX('זה אני - קליטה'!$AH$5:$AH$204,MATCH($A47&amp;"|סוף שנה",'זה אני - קליטה'!$AF$5:$AF$204,0)),""))</f>
        <v/>
      </c>
      <c r="S47" s="37">
        <f>IF($A47="","",IFERROR(INDEX('זה אני - קליטה'!$AI$5:$AI$204,MATCH($A47&amp;"|סוף שנה",'זה אני - קליטה'!$AF$5:$AF$204,0)),""))</f>
        <v/>
      </c>
      <c r="T47" s="37">
        <f>IF($A47="","",IFERROR(INDEX('זה אני - קליטה'!$AJ$5:$AJ$204,MATCH($A47&amp;"|סוף שנה",'זה אני - קליטה'!$AF$5:$AF$204,0)),""))</f>
        <v/>
      </c>
      <c r="U47" s="37">
        <f>IF($A47="","",IFERROR(INDEX('זה אני - קליטה'!$AK$5:$AK$204,MATCH($A47&amp;"|סוף שנה",'זה אני - קליטה'!$AF$5:$AF$204,0)),""))</f>
        <v/>
      </c>
      <c r="V47" s="37">
        <f>IF($A47="","",IFERROR(INDEX('זה אני - קליטה'!$AL$5:$AL$204,MATCH($A47&amp;"|סוף שנה",'זה אני - קליטה'!$AF$5:$AF$204,0)),""))</f>
        <v/>
      </c>
      <c r="W47" s="36">
        <f>IF($A47="","",IFERROR(INDEX('זה אני - קליטה'!$AG$5:$AG$204,MATCH($A47&amp;"|סוף שנה",'זה אני - קליטה'!$AF$5:$AF$204,0)),""))</f>
        <v/>
      </c>
      <c r="X47" s="37">
        <f>IF($A47="","",IFERROR(INDEX('זה אני - קליטה'!$AN$5:$AN$204,MATCH($A47&amp;"|סוף שנה",'זה אני - קליטה'!$AF$5:$AF$204,0)),""))</f>
        <v/>
      </c>
      <c r="Y47" s="36">
        <f>IF($A47="","",IFERROR(INDEX('זה אני - קליטה'!$AW$5:$AW$204,MATCH($A47&amp;"|סוף שנה",'זה אני - קליטה'!$AF$5:$AF$204,0)),""))</f>
        <v/>
      </c>
      <c r="Z47" s="43">
        <f>IF(AND(ISNUMBER(F47),ISNUMBER(V47)),V47-F47,"")</f>
        <v/>
      </c>
      <c r="AA47" s="36">
        <f>IF(Z47="","",IF(Z47&gt;=0.25,"עלייה",IF(Z47&lt;=-0.25,"ירידה","יציב")))</f>
        <v/>
      </c>
    </row>
    <row r="48">
      <c r="A48" s="38" t="n"/>
      <c r="B48" s="37">
        <f>IF($A48="","",IFERROR(INDEX('זה אני - קליטה'!$AH$5:$AH$204,MATCH($A48&amp;"|תחילת שנה",'זה אני - קליטה'!$AF$5:$AF$204,0)),""))</f>
        <v/>
      </c>
      <c r="C48" s="37">
        <f>IF($A48="","",IFERROR(INDEX('זה אני - קליטה'!$AI$5:$AI$204,MATCH($A48&amp;"|תחילת שנה",'זה אני - קליטה'!$AF$5:$AF$204,0)),""))</f>
        <v/>
      </c>
      <c r="D48" s="37">
        <f>IF($A48="","",IFERROR(INDEX('זה אני - קליטה'!$AJ$5:$AJ$204,MATCH($A48&amp;"|תחילת שנה",'זה אני - קליטה'!$AF$5:$AF$204,0)),""))</f>
        <v/>
      </c>
      <c r="E48" s="37">
        <f>IF($A48="","",IFERROR(INDEX('זה אני - קליטה'!$AK$5:$AK$204,MATCH($A48&amp;"|תחילת שנה",'זה אני - קליטה'!$AF$5:$AF$204,0)),""))</f>
        <v/>
      </c>
      <c r="F48" s="37">
        <f>IF($A48="","",IFERROR(INDEX('זה אני - קליטה'!$AL$5:$AL$204,MATCH($A48&amp;"|תחילת שנה",'זה אני - קליטה'!$AF$5:$AF$204,0)),""))</f>
        <v/>
      </c>
      <c r="G48" s="36">
        <f>IF($A48="","",IFERROR(INDEX('זה אני - קליטה'!$AG$5:$AG$204,MATCH($A48&amp;"|תחילת שנה",'זה אני - קליטה'!$AF$5:$AF$204,0)),""))</f>
        <v/>
      </c>
      <c r="H48" s="37">
        <f>IF($A48="","",IFERROR(INDEX('זה אני - קליטה'!$AN$5:$AN$204,MATCH($A48&amp;"|תחילת שנה",'זה אני - קליטה'!$AF$5:$AF$204,0)),""))</f>
        <v/>
      </c>
      <c r="I48" s="36">
        <f>IF($A48="","",IFERROR(INDEX('זה אני - קליטה'!$AW$5:$AW$204,MATCH($A48&amp;"|תחילת שנה",'זה אני - קליטה'!$AF$5:$AF$204,0)),""))</f>
        <v/>
      </c>
      <c r="J48" s="37">
        <f>IF($A48="","",IFERROR(INDEX('זה אני - קליטה'!$AH$5:$AH$204,MATCH($A48&amp;"|אמצע שנה",'זה אני - קליטה'!$AF$5:$AF$204,0)),""))</f>
        <v/>
      </c>
      <c r="K48" s="37">
        <f>IF($A48="","",IFERROR(INDEX('זה אני - קליטה'!$AI$5:$AI$204,MATCH($A48&amp;"|אמצע שנה",'זה אני - קליטה'!$AF$5:$AF$204,0)),""))</f>
        <v/>
      </c>
      <c r="L48" s="37">
        <f>IF($A48="","",IFERROR(INDEX('זה אני - קליטה'!$AJ$5:$AJ$204,MATCH($A48&amp;"|אמצע שנה",'זה אני - קליטה'!$AF$5:$AF$204,0)),""))</f>
        <v/>
      </c>
      <c r="M48" s="37">
        <f>IF($A48="","",IFERROR(INDEX('זה אני - קליטה'!$AK$5:$AK$204,MATCH($A48&amp;"|אמצע שנה",'זה אני - קליטה'!$AF$5:$AF$204,0)),""))</f>
        <v/>
      </c>
      <c r="N48" s="37">
        <f>IF($A48="","",IFERROR(INDEX('זה אני - קליטה'!$AL$5:$AL$204,MATCH($A48&amp;"|אמצע שנה",'זה אני - קליטה'!$AF$5:$AF$204,0)),""))</f>
        <v/>
      </c>
      <c r="O48" s="36">
        <f>IF($A48="","",IFERROR(INDEX('זה אני - קליטה'!$AG$5:$AG$204,MATCH($A48&amp;"|אמצע שנה",'זה אני - קליטה'!$AF$5:$AF$204,0)),""))</f>
        <v/>
      </c>
      <c r="P48" s="37">
        <f>IF($A48="","",IFERROR(INDEX('זה אני - קליטה'!$AN$5:$AN$204,MATCH($A48&amp;"|אמצע שנה",'זה אני - קליטה'!$AF$5:$AF$204,0)),""))</f>
        <v/>
      </c>
      <c r="Q48" s="36">
        <f>IF($A48="","",IFERROR(INDEX('זה אני - קליטה'!$AW$5:$AW$204,MATCH($A48&amp;"|אמצע שנה",'זה אני - קליטה'!$AF$5:$AF$204,0)),""))</f>
        <v/>
      </c>
      <c r="R48" s="37">
        <f>IF($A48="","",IFERROR(INDEX('זה אני - קליטה'!$AH$5:$AH$204,MATCH($A48&amp;"|סוף שנה",'זה אני - קליטה'!$AF$5:$AF$204,0)),""))</f>
        <v/>
      </c>
      <c r="S48" s="37">
        <f>IF($A48="","",IFERROR(INDEX('זה אני - קליטה'!$AI$5:$AI$204,MATCH($A48&amp;"|סוף שנה",'זה אני - קליטה'!$AF$5:$AF$204,0)),""))</f>
        <v/>
      </c>
      <c r="T48" s="37">
        <f>IF($A48="","",IFERROR(INDEX('זה אני - קליטה'!$AJ$5:$AJ$204,MATCH($A48&amp;"|סוף שנה",'זה אני - קליטה'!$AF$5:$AF$204,0)),""))</f>
        <v/>
      </c>
      <c r="U48" s="37">
        <f>IF($A48="","",IFERROR(INDEX('זה אני - קליטה'!$AK$5:$AK$204,MATCH($A48&amp;"|סוף שנה",'זה אני - קליטה'!$AF$5:$AF$204,0)),""))</f>
        <v/>
      </c>
      <c r="V48" s="37">
        <f>IF($A48="","",IFERROR(INDEX('זה אני - קליטה'!$AL$5:$AL$204,MATCH($A48&amp;"|סוף שנה",'זה אני - קליטה'!$AF$5:$AF$204,0)),""))</f>
        <v/>
      </c>
      <c r="W48" s="36">
        <f>IF($A48="","",IFERROR(INDEX('זה אני - קליטה'!$AG$5:$AG$204,MATCH($A48&amp;"|סוף שנה",'זה אני - קליטה'!$AF$5:$AF$204,0)),""))</f>
        <v/>
      </c>
      <c r="X48" s="37">
        <f>IF($A48="","",IFERROR(INDEX('זה אני - קליטה'!$AN$5:$AN$204,MATCH($A48&amp;"|סוף שנה",'זה אני - קליטה'!$AF$5:$AF$204,0)),""))</f>
        <v/>
      </c>
      <c r="Y48" s="36">
        <f>IF($A48="","",IFERROR(INDEX('זה אני - קליטה'!$AW$5:$AW$204,MATCH($A48&amp;"|סוף שנה",'זה אני - קליטה'!$AF$5:$AF$204,0)),""))</f>
        <v/>
      </c>
      <c r="Z48" s="43">
        <f>IF(AND(ISNUMBER(F48),ISNUMBER(V48)),V48-F48,"")</f>
        <v/>
      </c>
      <c r="AA48" s="36">
        <f>IF(Z48="","",IF(Z48&gt;=0.25,"עלייה",IF(Z48&lt;=-0.25,"ירידה","יציב")))</f>
        <v/>
      </c>
    </row>
    <row r="49">
      <c r="A49" s="38" t="n"/>
      <c r="B49" s="37">
        <f>IF($A49="","",IFERROR(INDEX('זה אני - קליטה'!$AH$5:$AH$204,MATCH($A49&amp;"|תחילת שנה",'זה אני - קליטה'!$AF$5:$AF$204,0)),""))</f>
        <v/>
      </c>
      <c r="C49" s="37">
        <f>IF($A49="","",IFERROR(INDEX('זה אני - קליטה'!$AI$5:$AI$204,MATCH($A49&amp;"|תחילת שנה",'זה אני - קליטה'!$AF$5:$AF$204,0)),""))</f>
        <v/>
      </c>
      <c r="D49" s="37">
        <f>IF($A49="","",IFERROR(INDEX('זה אני - קליטה'!$AJ$5:$AJ$204,MATCH($A49&amp;"|תחילת שנה",'זה אני - קליטה'!$AF$5:$AF$204,0)),""))</f>
        <v/>
      </c>
      <c r="E49" s="37">
        <f>IF($A49="","",IFERROR(INDEX('זה אני - קליטה'!$AK$5:$AK$204,MATCH($A49&amp;"|תחילת שנה",'זה אני - קליטה'!$AF$5:$AF$204,0)),""))</f>
        <v/>
      </c>
      <c r="F49" s="37">
        <f>IF($A49="","",IFERROR(INDEX('זה אני - קליטה'!$AL$5:$AL$204,MATCH($A49&amp;"|תחילת שנה",'זה אני - קליטה'!$AF$5:$AF$204,0)),""))</f>
        <v/>
      </c>
      <c r="G49" s="36">
        <f>IF($A49="","",IFERROR(INDEX('זה אני - קליטה'!$AG$5:$AG$204,MATCH($A49&amp;"|תחילת שנה",'זה אני - קליטה'!$AF$5:$AF$204,0)),""))</f>
        <v/>
      </c>
      <c r="H49" s="37">
        <f>IF($A49="","",IFERROR(INDEX('זה אני - קליטה'!$AN$5:$AN$204,MATCH($A49&amp;"|תחילת שנה",'זה אני - קליטה'!$AF$5:$AF$204,0)),""))</f>
        <v/>
      </c>
      <c r="I49" s="36">
        <f>IF($A49="","",IFERROR(INDEX('זה אני - קליטה'!$AW$5:$AW$204,MATCH($A49&amp;"|תחילת שנה",'זה אני - קליטה'!$AF$5:$AF$204,0)),""))</f>
        <v/>
      </c>
      <c r="J49" s="37">
        <f>IF($A49="","",IFERROR(INDEX('זה אני - קליטה'!$AH$5:$AH$204,MATCH($A49&amp;"|אמצע שנה",'זה אני - קליטה'!$AF$5:$AF$204,0)),""))</f>
        <v/>
      </c>
      <c r="K49" s="37">
        <f>IF($A49="","",IFERROR(INDEX('זה אני - קליטה'!$AI$5:$AI$204,MATCH($A49&amp;"|אמצע שנה",'זה אני - קליטה'!$AF$5:$AF$204,0)),""))</f>
        <v/>
      </c>
      <c r="L49" s="37">
        <f>IF($A49="","",IFERROR(INDEX('זה אני - קליטה'!$AJ$5:$AJ$204,MATCH($A49&amp;"|אמצע שנה",'זה אני - קליטה'!$AF$5:$AF$204,0)),""))</f>
        <v/>
      </c>
      <c r="M49" s="37">
        <f>IF($A49="","",IFERROR(INDEX('זה אני - קליטה'!$AK$5:$AK$204,MATCH($A49&amp;"|אמצע שנה",'זה אני - קליטה'!$AF$5:$AF$204,0)),""))</f>
        <v/>
      </c>
      <c r="N49" s="37">
        <f>IF($A49="","",IFERROR(INDEX('זה אני - קליטה'!$AL$5:$AL$204,MATCH($A49&amp;"|אמצע שנה",'זה אני - קליטה'!$AF$5:$AF$204,0)),""))</f>
        <v/>
      </c>
      <c r="O49" s="36">
        <f>IF($A49="","",IFERROR(INDEX('זה אני - קליטה'!$AG$5:$AG$204,MATCH($A49&amp;"|אמצע שנה",'זה אני - קליטה'!$AF$5:$AF$204,0)),""))</f>
        <v/>
      </c>
      <c r="P49" s="37">
        <f>IF($A49="","",IFERROR(INDEX('זה אני - קליטה'!$AN$5:$AN$204,MATCH($A49&amp;"|אמצע שנה",'זה אני - קליטה'!$AF$5:$AF$204,0)),""))</f>
        <v/>
      </c>
      <c r="Q49" s="36">
        <f>IF($A49="","",IFERROR(INDEX('זה אני - קליטה'!$AW$5:$AW$204,MATCH($A49&amp;"|אמצע שנה",'זה אני - קליטה'!$AF$5:$AF$204,0)),""))</f>
        <v/>
      </c>
      <c r="R49" s="37">
        <f>IF($A49="","",IFERROR(INDEX('זה אני - קליטה'!$AH$5:$AH$204,MATCH($A49&amp;"|סוף שנה",'זה אני - קליטה'!$AF$5:$AF$204,0)),""))</f>
        <v/>
      </c>
      <c r="S49" s="37">
        <f>IF($A49="","",IFERROR(INDEX('זה אני - קליטה'!$AI$5:$AI$204,MATCH($A49&amp;"|סוף שנה",'זה אני - קליטה'!$AF$5:$AF$204,0)),""))</f>
        <v/>
      </c>
      <c r="T49" s="37">
        <f>IF($A49="","",IFERROR(INDEX('זה אני - קליטה'!$AJ$5:$AJ$204,MATCH($A49&amp;"|סוף שנה",'זה אני - קליטה'!$AF$5:$AF$204,0)),""))</f>
        <v/>
      </c>
      <c r="U49" s="37">
        <f>IF($A49="","",IFERROR(INDEX('זה אני - קליטה'!$AK$5:$AK$204,MATCH($A49&amp;"|סוף שנה",'זה אני - קליטה'!$AF$5:$AF$204,0)),""))</f>
        <v/>
      </c>
      <c r="V49" s="37">
        <f>IF($A49="","",IFERROR(INDEX('זה אני - קליטה'!$AL$5:$AL$204,MATCH($A49&amp;"|סוף שנה",'זה אני - קליטה'!$AF$5:$AF$204,0)),""))</f>
        <v/>
      </c>
      <c r="W49" s="36">
        <f>IF($A49="","",IFERROR(INDEX('זה אני - קליטה'!$AG$5:$AG$204,MATCH($A49&amp;"|סוף שנה",'זה אני - קליטה'!$AF$5:$AF$204,0)),""))</f>
        <v/>
      </c>
      <c r="X49" s="37">
        <f>IF($A49="","",IFERROR(INDEX('זה אני - קליטה'!$AN$5:$AN$204,MATCH($A49&amp;"|סוף שנה",'זה אני - קליטה'!$AF$5:$AF$204,0)),""))</f>
        <v/>
      </c>
      <c r="Y49" s="36">
        <f>IF($A49="","",IFERROR(INDEX('זה אני - קליטה'!$AW$5:$AW$204,MATCH($A49&amp;"|סוף שנה",'זה אני - קליטה'!$AF$5:$AF$204,0)),""))</f>
        <v/>
      </c>
      <c r="Z49" s="43">
        <f>IF(AND(ISNUMBER(F49),ISNUMBER(V49)),V49-F49,"")</f>
        <v/>
      </c>
      <c r="AA49" s="36">
        <f>IF(Z49="","",IF(Z49&gt;=0.25,"עלייה",IF(Z49&lt;=-0.25,"ירידה","יציב")))</f>
        <v/>
      </c>
    </row>
    <row r="50">
      <c r="A50" s="38" t="n"/>
      <c r="B50" s="37">
        <f>IF($A50="","",IFERROR(INDEX('זה אני - קליטה'!$AH$5:$AH$204,MATCH($A50&amp;"|תחילת שנה",'זה אני - קליטה'!$AF$5:$AF$204,0)),""))</f>
        <v/>
      </c>
      <c r="C50" s="37">
        <f>IF($A50="","",IFERROR(INDEX('זה אני - קליטה'!$AI$5:$AI$204,MATCH($A50&amp;"|תחילת שנה",'זה אני - קליטה'!$AF$5:$AF$204,0)),""))</f>
        <v/>
      </c>
      <c r="D50" s="37">
        <f>IF($A50="","",IFERROR(INDEX('זה אני - קליטה'!$AJ$5:$AJ$204,MATCH($A50&amp;"|תחילת שנה",'זה אני - קליטה'!$AF$5:$AF$204,0)),""))</f>
        <v/>
      </c>
      <c r="E50" s="37">
        <f>IF($A50="","",IFERROR(INDEX('זה אני - קליטה'!$AK$5:$AK$204,MATCH($A50&amp;"|תחילת שנה",'זה אני - קליטה'!$AF$5:$AF$204,0)),""))</f>
        <v/>
      </c>
      <c r="F50" s="37">
        <f>IF($A50="","",IFERROR(INDEX('זה אני - קליטה'!$AL$5:$AL$204,MATCH($A50&amp;"|תחילת שנה",'זה אני - קליטה'!$AF$5:$AF$204,0)),""))</f>
        <v/>
      </c>
      <c r="G50" s="36">
        <f>IF($A50="","",IFERROR(INDEX('זה אני - קליטה'!$AG$5:$AG$204,MATCH($A50&amp;"|תחילת שנה",'זה אני - קליטה'!$AF$5:$AF$204,0)),""))</f>
        <v/>
      </c>
      <c r="H50" s="37">
        <f>IF($A50="","",IFERROR(INDEX('זה אני - קליטה'!$AN$5:$AN$204,MATCH($A50&amp;"|תחילת שנה",'זה אני - קליטה'!$AF$5:$AF$204,0)),""))</f>
        <v/>
      </c>
      <c r="I50" s="36">
        <f>IF($A50="","",IFERROR(INDEX('זה אני - קליטה'!$AW$5:$AW$204,MATCH($A50&amp;"|תחילת שנה",'זה אני - קליטה'!$AF$5:$AF$204,0)),""))</f>
        <v/>
      </c>
      <c r="J50" s="37">
        <f>IF($A50="","",IFERROR(INDEX('זה אני - קליטה'!$AH$5:$AH$204,MATCH($A50&amp;"|אמצע שנה",'זה אני - קליטה'!$AF$5:$AF$204,0)),""))</f>
        <v/>
      </c>
      <c r="K50" s="37">
        <f>IF($A50="","",IFERROR(INDEX('זה אני - קליטה'!$AI$5:$AI$204,MATCH($A50&amp;"|אמצע שנה",'זה אני - קליטה'!$AF$5:$AF$204,0)),""))</f>
        <v/>
      </c>
      <c r="L50" s="37">
        <f>IF($A50="","",IFERROR(INDEX('זה אני - קליטה'!$AJ$5:$AJ$204,MATCH($A50&amp;"|אמצע שנה",'זה אני - קליטה'!$AF$5:$AF$204,0)),""))</f>
        <v/>
      </c>
      <c r="M50" s="37">
        <f>IF($A50="","",IFERROR(INDEX('זה אני - קליטה'!$AK$5:$AK$204,MATCH($A50&amp;"|אמצע שנה",'זה אני - קליטה'!$AF$5:$AF$204,0)),""))</f>
        <v/>
      </c>
      <c r="N50" s="37">
        <f>IF($A50="","",IFERROR(INDEX('זה אני - קליטה'!$AL$5:$AL$204,MATCH($A50&amp;"|אמצע שנה",'זה אני - קליטה'!$AF$5:$AF$204,0)),""))</f>
        <v/>
      </c>
      <c r="O50" s="36">
        <f>IF($A50="","",IFERROR(INDEX('זה אני - קליטה'!$AG$5:$AG$204,MATCH($A50&amp;"|אמצע שנה",'זה אני - קליטה'!$AF$5:$AF$204,0)),""))</f>
        <v/>
      </c>
      <c r="P50" s="37">
        <f>IF($A50="","",IFERROR(INDEX('זה אני - קליטה'!$AN$5:$AN$204,MATCH($A50&amp;"|אמצע שנה",'זה אני - קליטה'!$AF$5:$AF$204,0)),""))</f>
        <v/>
      </c>
      <c r="Q50" s="36">
        <f>IF($A50="","",IFERROR(INDEX('זה אני - קליטה'!$AW$5:$AW$204,MATCH($A50&amp;"|אמצע שנה",'זה אני - קליטה'!$AF$5:$AF$204,0)),""))</f>
        <v/>
      </c>
      <c r="R50" s="37">
        <f>IF($A50="","",IFERROR(INDEX('זה אני - קליטה'!$AH$5:$AH$204,MATCH($A50&amp;"|סוף שנה",'זה אני - קליטה'!$AF$5:$AF$204,0)),""))</f>
        <v/>
      </c>
      <c r="S50" s="37">
        <f>IF($A50="","",IFERROR(INDEX('זה אני - קליטה'!$AI$5:$AI$204,MATCH($A50&amp;"|סוף שנה",'זה אני - קליטה'!$AF$5:$AF$204,0)),""))</f>
        <v/>
      </c>
      <c r="T50" s="37">
        <f>IF($A50="","",IFERROR(INDEX('זה אני - קליטה'!$AJ$5:$AJ$204,MATCH($A50&amp;"|סוף שנה",'זה אני - קליטה'!$AF$5:$AF$204,0)),""))</f>
        <v/>
      </c>
      <c r="U50" s="37">
        <f>IF($A50="","",IFERROR(INDEX('זה אני - קליטה'!$AK$5:$AK$204,MATCH($A50&amp;"|סוף שנה",'זה אני - קליטה'!$AF$5:$AF$204,0)),""))</f>
        <v/>
      </c>
      <c r="V50" s="37">
        <f>IF($A50="","",IFERROR(INDEX('זה אני - קליטה'!$AL$5:$AL$204,MATCH($A50&amp;"|סוף שנה",'זה אני - קליטה'!$AF$5:$AF$204,0)),""))</f>
        <v/>
      </c>
      <c r="W50" s="36">
        <f>IF($A50="","",IFERROR(INDEX('זה אני - קליטה'!$AG$5:$AG$204,MATCH($A50&amp;"|סוף שנה",'זה אני - קליטה'!$AF$5:$AF$204,0)),""))</f>
        <v/>
      </c>
      <c r="X50" s="37">
        <f>IF($A50="","",IFERROR(INDEX('זה אני - קליטה'!$AN$5:$AN$204,MATCH($A50&amp;"|סוף שנה",'זה אני - קליטה'!$AF$5:$AF$204,0)),""))</f>
        <v/>
      </c>
      <c r="Y50" s="36">
        <f>IF($A50="","",IFERROR(INDEX('זה אני - קליטה'!$AW$5:$AW$204,MATCH($A50&amp;"|סוף שנה",'זה אני - קליטה'!$AF$5:$AF$204,0)),""))</f>
        <v/>
      </c>
      <c r="Z50" s="43">
        <f>IF(AND(ISNUMBER(F50),ISNUMBER(V50)),V50-F50,"")</f>
        <v/>
      </c>
      <c r="AA50" s="36">
        <f>IF(Z50="","",IF(Z50&gt;=0.25,"עלייה",IF(Z50&lt;=-0.25,"ירידה","יציב")))</f>
        <v/>
      </c>
    </row>
    <row r="51">
      <c r="A51" s="38" t="n"/>
      <c r="B51" s="37">
        <f>IF($A51="","",IFERROR(INDEX('זה אני - קליטה'!$AH$5:$AH$204,MATCH($A51&amp;"|תחילת שנה",'זה אני - קליטה'!$AF$5:$AF$204,0)),""))</f>
        <v/>
      </c>
      <c r="C51" s="37">
        <f>IF($A51="","",IFERROR(INDEX('זה אני - קליטה'!$AI$5:$AI$204,MATCH($A51&amp;"|תחילת שנה",'זה אני - קליטה'!$AF$5:$AF$204,0)),""))</f>
        <v/>
      </c>
      <c r="D51" s="37">
        <f>IF($A51="","",IFERROR(INDEX('זה אני - קליטה'!$AJ$5:$AJ$204,MATCH($A51&amp;"|תחילת שנה",'זה אני - קליטה'!$AF$5:$AF$204,0)),""))</f>
        <v/>
      </c>
      <c r="E51" s="37">
        <f>IF($A51="","",IFERROR(INDEX('זה אני - קליטה'!$AK$5:$AK$204,MATCH($A51&amp;"|תחילת שנה",'זה אני - קליטה'!$AF$5:$AF$204,0)),""))</f>
        <v/>
      </c>
      <c r="F51" s="37">
        <f>IF($A51="","",IFERROR(INDEX('זה אני - קליטה'!$AL$5:$AL$204,MATCH($A51&amp;"|תחילת שנה",'זה אני - קליטה'!$AF$5:$AF$204,0)),""))</f>
        <v/>
      </c>
      <c r="G51" s="36">
        <f>IF($A51="","",IFERROR(INDEX('זה אני - קליטה'!$AG$5:$AG$204,MATCH($A51&amp;"|תחילת שנה",'זה אני - קליטה'!$AF$5:$AF$204,0)),""))</f>
        <v/>
      </c>
      <c r="H51" s="37">
        <f>IF($A51="","",IFERROR(INDEX('זה אני - קליטה'!$AN$5:$AN$204,MATCH($A51&amp;"|תחילת שנה",'זה אני - קליטה'!$AF$5:$AF$204,0)),""))</f>
        <v/>
      </c>
      <c r="I51" s="36">
        <f>IF($A51="","",IFERROR(INDEX('זה אני - קליטה'!$AW$5:$AW$204,MATCH($A51&amp;"|תחילת שנה",'זה אני - קליטה'!$AF$5:$AF$204,0)),""))</f>
        <v/>
      </c>
      <c r="J51" s="37">
        <f>IF($A51="","",IFERROR(INDEX('זה אני - קליטה'!$AH$5:$AH$204,MATCH($A51&amp;"|אמצע שנה",'זה אני - קליטה'!$AF$5:$AF$204,0)),""))</f>
        <v/>
      </c>
      <c r="K51" s="37">
        <f>IF($A51="","",IFERROR(INDEX('זה אני - קליטה'!$AI$5:$AI$204,MATCH($A51&amp;"|אמצע שנה",'זה אני - קליטה'!$AF$5:$AF$204,0)),""))</f>
        <v/>
      </c>
      <c r="L51" s="37">
        <f>IF($A51="","",IFERROR(INDEX('זה אני - קליטה'!$AJ$5:$AJ$204,MATCH($A51&amp;"|אמצע שנה",'זה אני - קליטה'!$AF$5:$AF$204,0)),""))</f>
        <v/>
      </c>
      <c r="M51" s="37">
        <f>IF($A51="","",IFERROR(INDEX('זה אני - קליטה'!$AK$5:$AK$204,MATCH($A51&amp;"|אמצע שנה",'זה אני - קליטה'!$AF$5:$AF$204,0)),""))</f>
        <v/>
      </c>
      <c r="N51" s="37">
        <f>IF($A51="","",IFERROR(INDEX('זה אני - קליטה'!$AL$5:$AL$204,MATCH($A51&amp;"|אמצע שנה",'זה אני - קליטה'!$AF$5:$AF$204,0)),""))</f>
        <v/>
      </c>
      <c r="O51" s="36">
        <f>IF($A51="","",IFERROR(INDEX('זה אני - קליטה'!$AG$5:$AG$204,MATCH($A51&amp;"|אמצע שנה",'זה אני - קליטה'!$AF$5:$AF$204,0)),""))</f>
        <v/>
      </c>
      <c r="P51" s="37">
        <f>IF($A51="","",IFERROR(INDEX('זה אני - קליטה'!$AN$5:$AN$204,MATCH($A51&amp;"|אמצע שנה",'זה אני - קליטה'!$AF$5:$AF$204,0)),""))</f>
        <v/>
      </c>
      <c r="Q51" s="36">
        <f>IF($A51="","",IFERROR(INDEX('זה אני - קליטה'!$AW$5:$AW$204,MATCH($A51&amp;"|אמצע שנה",'זה אני - קליטה'!$AF$5:$AF$204,0)),""))</f>
        <v/>
      </c>
      <c r="R51" s="37">
        <f>IF($A51="","",IFERROR(INDEX('זה אני - קליטה'!$AH$5:$AH$204,MATCH($A51&amp;"|סוף שנה",'זה אני - קליטה'!$AF$5:$AF$204,0)),""))</f>
        <v/>
      </c>
      <c r="S51" s="37">
        <f>IF($A51="","",IFERROR(INDEX('זה אני - קליטה'!$AI$5:$AI$204,MATCH($A51&amp;"|סוף שנה",'זה אני - קליטה'!$AF$5:$AF$204,0)),""))</f>
        <v/>
      </c>
      <c r="T51" s="37">
        <f>IF($A51="","",IFERROR(INDEX('זה אני - קליטה'!$AJ$5:$AJ$204,MATCH($A51&amp;"|סוף שנה",'זה אני - קליטה'!$AF$5:$AF$204,0)),""))</f>
        <v/>
      </c>
      <c r="U51" s="37">
        <f>IF($A51="","",IFERROR(INDEX('זה אני - קליטה'!$AK$5:$AK$204,MATCH($A51&amp;"|סוף שנה",'זה אני - קליטה'!$AF$5:$AF$204,0)),""))</f>
        <v/>
      </c>
      <c r="V51" s="37">
        <f>IF($A51="","",IFERROR(INDEX('זה אני - קליטה'!$AL$5:$AL$204,MATCH($A51&amp;"|סוף שנה",'זה אני - קליטה'!$AF$5:$AF$204,0)),""))</f>
        <v/>
      </c>
      <c r="W51" s="36">
        <f>IF($A51="","",IFERROR(INDEX('זה אני - קליטה'!$AG$5:$AG$204,MATCH($A51&amp;"|סוף שנה",'זה אני - קליטה'!$AF$5:$AF$204,0)),""))</f>
        <v/>
      </c>
      <c r="X51" s="37">
        <f>IF($A51="","",IFERROR(INDEX('זה אני - קליטה'!$AN$5:$AN$204,MATCH($A51&amp;"|סוף שנה",'זה אני - קליטה'!$AF$5:$AF$204,0)),""))</f>
        <v/>
      </c>
      <c r="Y51" s="36">
        <f>IF($A51="","",IFERROR(INDEX('זה אני - קליטה'!$AW$5:$AW$204,MATCH($A51&amp;"|סוף שנה",'זה אני - קליטה'!$AF$5:$AF$204,0)),""))</f>
        <v/>
      </c>
      <c r="Z51" s="43">
        <f>IF(AND(ISNUMBER(F51),ISNUMBER(V51)),V51-F51,"")</f>
        <v/>
      </c>
      <c r="AA51" s="36">
        <f>IF(Z51="","",IF(Z51&gt;=0.25,"עלייה",IF(Z51&lt;=-0.25,"ירידה","יציב")))</f>
        <v/>
      </c>
    </row>
    <row r="52">
      <c r="A52" s="38" t="n"/>
      <c r="B52" s="37">
        <f>IF($A52="","",IFERROR(INDEX('זה אני - קליטה'!$AH$5:$AH$204,MATCH($A52&amp;"|תחילת שנה",'זה אני - קליטה'!$AF$5:$AF$204,0)),""))</f>
        <v/>
      </c>
      <c r="C52" s="37">
        <f>IF($A52="","",IFERROR(INDEX('זה אני - קליטה'!$AI$5:$AI$204,MATCH($A52&amp;"|תחילת שנה",'זה אני - קליטה'!$AF$5:$AF$204,0)),""))</f>
        <v/>
      </c>
      <c r="D52" s="37">
        <f>IF($A52="","",IFERROR(INDEX('זה אני - קליטה'!$AJ$5:$AJ$204,MATCH($A52&amp;"|תחילת שנה",'זה אני - קליטה'!$AF$5:$AF$204,0)),""))</f>
        <v/>
      </c>
      <c r="E52" s="37">
        <f>IF($A52="","",IFERROR(INDEX('זה אני - קליטה'!$AK$5:$AK$204,MATCH($A52&amp;"|תחילת שנה",'זה אני - קליטה'!$AF$5:$AF$204,0)),""))</f>
        <v/>
      </c>
      <c r="F52" s="37">
        <f>IF($A52="","",IFERROR(INDEX('זה אני - קליטה'!$AL$5:$AL$204,MATCH($A52&amp;"|תחילת שנה",'זה אני - קליטה'!$AF$5:$AF$204,0)),""))</f>
        <v/>
      </c>
      <c r="G52" s="36">
        <f>IF($A52="","",IFERROR(INDEX('זה אני - קליטה'!$AG$5:$AG$204,MATCH($A52&amp;"|תחילת שנה",'זה אני - קליטה'!$AF$5:$AF$204,0)),""))</f>
        <v/>
      </c>
      <c r="H52" s="37">
        <f>IF($A52="","",IFERROR(INDEX('זה אני - קליטה'!$AN$5:$AN$204,MATCH($A52&amp;"|תחילת שנה",'זה אני - קליטה'!$AF$5:$AF$204,0)),""))</f>
        <v/>
      </c>
      <c r="I52" s="36">
        <f>IF($A52="","",IFERROR(INDEX('זה אני - קליטה'!$AW$5:$AW$204,MATCH($A52&amp;"|תחילת שנה",'זה אני - קליטה'!$AF$5:$AF$204,0)),""))</f>
        <v/>
      </c>
      <c r="J52" s="37">
        <f>IF($A52="","",IFERROR(INDEX('זה אני - קליטה'!$AH$5:$AH$204,MATCH($A52&amp;"|אמצע שנה",'זה אני - קליטה'!$AF$5:$AF$204,0)),""))</f>
        <v/>
      </c>
      <c r="K52" s="37">
        <f>IF($A52="","",IFERROR(INDEX('זה אני - קליטה'!$AI$5:$AI$204,MATCH($A52&amp;"|אמצע שנה",'זה אני - קליטה'!$AF$5:$AF$204,0)),""))</f>
        <v/>
      </c>
      <c r="L52" s="37">
        <f>IF($A52="","",IFERROR(INDEX('זה אני - קליטה'!$AJ$5:$AJ$204,MATCH($A52&amp;"|אמצע שנה",'זה אני - קליטה'!$AF$5:$AF$204,0)),""))</f>
        <v/>
      </c>
      <c r="M52" s="37">
        <f>IF($A52="","",IFERROR(INDEX('זה אני - קליטה'!$AK$5:$AK$204,MATCH($A52&amp;"|אמצע שנה",'זה אני - קליטה'!$AF$5:$AF$204,0)),""))</f>
        <v/>
      </c>
      <c r="N52" s="37">
        <f>IF($A52="","",IFERROR(INDEX('זה אני - קליטה'!$AL$5:$AL$204,MATCH($A52&amp;"|אמצע שנה",'זה אני - קליטה'!$AF$5:$AF$204,0)),""))</f>
        <v/>
      </c>
      <c r="O52" s="36">
        <f>IF($A52="","",IFERROR(INDEX('זה אני - קליטה'!$AG$5:$AG$204,MATCH($A52&amp;"|אמצע שנה",'זה אני - קליטה'!$AF$5:$AF$204,0)),""))</f>
        <v/>
      </c>
      <c r="P52" s="37">
        <f>IF($A52="","",IFERROR(INDEX('זה אני - קליטה'!$AN$5:$AN$204,MATCH($A52&amp;"|אמצע שנה",'זה אני - קליטה'!$AF$5:$AF$204,0)),""))</f>
        <v/>
      </c>
      <c r="Q52" s="36">
        <f>IF($A52="","",IFERROR(INDEX('זה אני - קליטה'!$AW$5:$AW$204,MATCH($A52&amp;"|אמצע שנה",'זה אני - קליטה'!$AF$5:$AF$204,0)),""))</f>
        <v/>
      </c>
      <c r="R52" s="37">
        <f>IF($A52="","",IFERROR(INDEX('זה אני - קליטה'!$AH$5:$AH$204,MATCH($A52&amp;"|סוף שנה",'זה אני - קליטה'!$AF$5:$AF$204,0)),""))</f>
        <v/>
      </c>
      <c r="S52" s="37">
        <f>IF($A52="","",IFERROR(INDEX('זה אני - קליטה'!$AI$5:$AI$204,MATCH($A52&amp;"|סוף שנה",'זה אני - קליטה'!$AF$5:$AF$204,0)),""))</f>
        <v/>
      </c>
      <c r="T52" s="37">
        <f>IF($A52="","",IFERROR(INDEX('זה אני - קליטה'!$AJ$5:$AJ$204,MATCH($A52&amp;"|סוף שנה",'זה אני - קליטה'!$AF$5:$AF$204,0)),""))</f>
        <v/>
      </c>
      <c r="U52" s="37">
        <f>IF($A52="","",IFERROR(INDEX('זה אני - קליטה'!$AK$5:$AK$204,MATCH($A52&amp;"|סוף שנה",'זה אני - קליטה'!$AF$5:$AF$204,0)),""))</f>
        <v/>
      </c>
      <c r="V52" s="37">
        <f>IF($A52="","",IFERROR(INDEX('זה אני - קליטה'!$AL$5:$AL$204,MATCH($A52&amp;"|סוף שנה",'זה אני - קליטה'!$AF$5:$AF$204,0)),""))</f>
        <v/>
      </c>
      <c r="W52" s="36">
        <f>IF($A52="","",IFERROR(INDEX('זה אני - קליטה'!$AG$5:$AG$204,MATCH($A52&amp;"|סוף שנה",'זה אני - קליטה'!$AF$5:$AF$204,0)),""))</f>
        <v/>
      </c>
      <c r="X52" s="37">
        <f>IF($A52="","",IFERROR(INDEX('זה אני - קליטה'!$AN$5:$AN$204,MATCH($A52&amp;"|סוף שנה",'זה אני - קליטה'!$AF$5:$AF$204,0)),""))</f>
        <v/>
      </c>
      <c r="Y52" s="36">
        <f>IF($A52="","",IFERROR(INDEX('זה אני - קליטה'!$AW$5:$AW$204,MATCH($A52&amp;"|סוף שנה",'זה אני - קליטה'!$AF$5:$AF$204,0)),""))</f>
        <v/>
      </c>
      <c r="Z52" s="43">
        <f>IF(AND(ISNUMBER(F52),ISNUMBER(V52)),V52-F52,"")</f>
        <v/>
      </c>
      <c r="AA52" s="36">
        <f>IF(Z52="","",IF(Z52&gt;=0.25,"עלייה",IF(Z52&lt;=-0.25,"ירידה","יציב")))</f>
        <v/>
      </c>
    </row>
    <row r="53">
      <c r="A53" s="38" t="n"/>
      <c r="B53" s="37">
        <f>IF($A53="","",IFERROR(INDEX('זה אני - קליטה'!$AH$5:$AH$204,MATCH($A53&amp;"|תחילת שנה",'זה אני - קליטה'!$AF$5:$AF$204,0)),""))</f>
        <v/>
      </c>
      <c r="C53" s="37">
        <f>IF($A53="","",IFERROR(INDEX('זה אני - קליטה'!$AI$5:$AI$204,MATCH($A53&amp;"|תחילת שנה",'זה אני - קליטה'!$AF$5:$AF$204,0)),""))</f>
        <v/>
      </c>
      <c r="D53" s="37">
        <f>IF($A53="","",IFERROR(INDEX('זה אני - קליטה'!$AJ$5:$AJ$204,MATCH($A53&amp;"|תחילת שנה",'זה אני - קליטה'!$AF$5:$AF$204,0)),""))</f>
        <v/>
      </c>
      <c r="E53" s="37">
        <f>IF($A53="","",IFERROR(INDEX('זה אני - קליטה'!$AK$5:$AK$204,MATCH($A53&amp;"|תחילת שנה",'זה אני - קליטה'!$AF$5:$AF$204,0)),""))</f>
        <v/>
      </c>
      <c r="F53" s="37">
        <f>IF($A53="","",IFERROR(INDEX('זה אני - קליטה'!$AL$5:$AL$204,MATCH($A53&amp;"|תחילת שנה",'זה אני - קליטה'!$AF$5:$AF$204,0)),""))</f>
        <v/>
      </c>
      <c r="G53" s="36">
        <f>IF($A53="","",IFERROR(INDEX('זה אני - קליטה'!$AG$5:$AG$204,MATCH($A53&amp;"|תחילת שנה",'זה אני - קליטה'!$AF$5:$AF$204,0)),""))</f>
        <v/>
      </c>
      <c r="H53" s="37">
        <f>IF($A53="","",IFERROR(INDEX('זה אני - קליטה'!$AN$5:$AN$204,MATCH($A53&amp;"|תחילת שנה",'זה אני - קליטה'!$AF$5:$AF$204,0)),""))</f>
        <v/>
      </c>
      <c r="I53" s="36">
        <f>IF($A53="","",IFERROR(INDEX('זה אני - קליטה'!$AW$5:$AW$204,MATCH($A53&amp;"|תחילת שנה",'זה אני - קליטה'!$AF$5:$AF$204,0)),""))</f>
        <v/>
      </c>
      <c r="J53" s="37">
        <f>IF($A53="","",IFERROR(INDEX('זה אני - קליטה'!$AH$5:$AH$204,MATCH($A53&amp;"|אמצע שנה",'זה אני - קליטה'!$AF$5:$AF$204,0)),""))</f>
        <v/>
      </c>
      <c r="K53" s="37">
        <f>IF($A53="","",IFERROR(INDEX('זה אני - קליטה'!$AI$5:$AI$204,MATCH($A53&amp;"|אמצע שנה",'זה אני - קליטה'!$AF$5:$AF$204,0)),""))</f>
        <v/>
      </c>
      <c r="L53" s="37">
        <f>IF($A53="","",IFERROR(INDEX('זה אני - קליטה'!$AJ$5:$AJ$204,MATCH($A53&amp;"|אמצע שנה",'זה אני - קליטה'!$AF$5:$AF$204,0)),""))</f>
        <v/>
      </c>
      <c r="M53" s="37">
        <f>IF($A53="","",IFERROR(INDEX('זה אני - קליטה'!$AK$5:$AK$204,MATCH($A53&amp;"|אמצע שנה",'זה אני - קליטה'!$AF$5:$AF$204,0)),""))</f>
        <v/>
      </c>
      <c r="N53" s="37">
        <f>IF($A53="","",IFERROR(INDEX('זה אני - קליטה'!$AL$5:$AL$204,MATCH($A53&amp;"|אמצע שנה",'זה אני - קליטה'!$AF$5:$AF$204,0)),""))</f>
        <v/>
      </c>
      <c r="O53" s="36">
        <f>IF($A53="","",IFERROR(INDEX('זה אני - קליטה'!$AG$5:$AG$204,MATCH($A53&amp;"|אמצע שנה",'זה אני - קליטה'!$AF$5:$AF$204,0)),""))</f>
        <v/>
      </c>
      <c r="P53" s="37">
        <f>IF($A53="","",IFERROR(INDEX('זה אני - קליטה'!$AN$5:$AN$204,MATCH($A53&amp;"|אמצע שנה",'זה אני - קליטה'!$AF$5:$AF$204,0)),""))</f>
        <v/>
      </c>
      <c r="Q53" s="36">
        <f>IF($A53="","",IFERROR(INDEX('זה אני - קליטה'!$AW$5:$AW$204,MATCH($A53&amp;"|אמצע שנה",'זה אני - קליטה'!$AF$5:$AF$204,0)),""))</f>
        <v/>
      </c>
      <c r="R53" s="37">
        <f>IF($A53="","",IFERROR(INDEX('זה אני - קליטה'!$AH$5:$AH$204,MATCH($A53&amp;"|סוף שנה",'זה אני - קליטה'!$AF$5:$AF$204,0)),""))</f>
        <v/>
      </c>
      <c r="S53" s="37">
        <f>IF($A53="","",IFERROR(INDEX('זה אני - קליטה'!$AI$5:$AI$204,MATCH($A53&amp;"|סוף שנה",'זה אני - קליטה'!$AF$5:$AF$204,0)),""))</f>
        <v/>
      </c>
      <c r="T53" s="37">
        <f>IF($A53="","",IFERROR(INDEX('זה אני - קליטה'!$AJ$5:$AJ$204,MATCH($A53&amp;"|סוף שנה",'זה אני - קליטה'!$AF$5:$AF$204,0)),""))</f>
        <v/>
      </c>
      <c r="U53" s="37">
        <f>IF($A53="","",IFERROR(INDEX('זה אני - קליטה'!$AK$5:$AK$204,MATCH($A53&amp;"|סוף שנה",'זה אני - קליטה'!$AF$5:$AF$204,0)),""))</f>
        <v/>
      </c>
      <c r="V53" s="37">
        <f>IF($A53="","",IFERROR(INDEX('זה אני - קליטה'!$AL$5:$AL$204,MATCH($A53&amp;"|סוף שנה",'זה אני - קליטה'!$AF$5:$AF$204,0)),""))</f>
        <v/>
      </c>
      <c r="W53" s="36">
        <f>IF($A53="","",IFERROR(INDEX('זה אני - קליטה'!$AG$5:$AG$204,MATCH($A53&amp;"|סוף שנה",'זה אני - קליטה'!$AF$5:$AF$204,0)),""))</f>
        <v/>
      </c>
      <c r="X53" s="37">
        <f>IF($A53="","",IFERROR(INDEX('זה אני - קליטה'!$AN$5:$AN$204,MATCH($A53&amp;"|סוף שנה",'זה אני - קליטה'!$AF$5:$AF$204,0)),""))</f>
        <v/>
      </c>
      <c r="Y53" s="36">
        <f>IF($A53="","",IFERROR(INDEX('זה אני - קליטה'!$AW$5:$AW$204,MATCH($A53&amp;"|סוף שנה",'זה אני - קליטה'!$AF$5:$AF$204,0)),""))</f>
        <v/>
      </c>
      <c r="Z53" s="43">
        <f>IF(AND(ISNUMBER(F53),ISNUMBER(V53)),V53-F53,"")</f>
        <v/>
      </c>
      <c r="AA53" s="36">
        <f>IF(Z53="","",IF(Z53&gt;=0.25,"עלייה",IF(Z53&lt;=-0.25,"ירידה","יציב")))</f>
        <v/>
      </c>
    </row>
    <row r="54">
      <c r="A54" s="38" t="n"/>
      <c r="B54" s="37">
        <f>IF($A54="","",IFERROR(INDEX('זה אני - קליטה'!$AH$5:$AH$204,MATCH($A54&amp;"|תחילת שנה",'זה אני - קליטה'!$AF$5:$AF$204,0)),""))</f>
        <v/>
      </c>
      <c r="C54" s="37">
        <f>IF($A54="","",IFERROR(INDEX('זה אני - קליטה'!$AI$5:$AI$204,MATCH($A54&amp;"|תחילת שנה",'זה אני - קליטה'!$AF$5:$AF$204,0)),""))</f>
        <v/>
      </c>
      <c r="D54" s="37">
        <f>IF($A54="","",IFERROR(INDEX('זה אני - קליטה'!$AJ$5:$AJ$204,MATCH($A54&amp;"|תחילת שנה",'זה אני - קליטה'!$AF$5:$AF$204,0)),""))</f>
        <v/>
      </c>
      <c r="E54" s="37">
        <f>IF($A54="","",IFERROR(INDEX('זה אני - קליטה'!$AK$5:$AK$204,MATCH($A54&amp;"|תחילת שנה",'זה אני - קליטה'!$AF$5:$AF$204,0)),""))</f>
        <v/>
      </c>
      <c r="F54" s="37">
        <f>IF($A54="","",IFERROR(INDEX('זה אני - קליטה'!$AL$5:$AL$204,MATCH($A54&amp;"|תחילת שנה",'זה אני - קליטה'!$AF$5:$AF$204,0)),""))</f>
        <v/>
      </c>
      <c r="G54" s="36">
        <f>IF($A54="","",IFERROR(INDEX('זה אני - קליטה'!$AG$5:$AG$204,MATCH($A54&amp;"|תחילת שנה",'זה אני - קליטה'!$AF$5:$AF$204,0)),""))</f>
        <v/>
      </c>
      <c r="H54" s="37">
        <f>IF($A54="","",IFERROR(INDEX('זה אני - קליטה'!$AN$5:$AN$204,MATCH($A54&amp;"|תחילת שנה",'זה אני - קליטה'!$AF$5:$AF$204,0)),""))</f>
        <v/>
      </c>
      <c r="I54" s="36">
        <f>IF($A54="","",IFERROR(INDEX('זה אני - קליטה'!$AW$5:$AW$204,MATCH($A54&amp;"|תחילת שנה",'זה אני - קליטה'!$AF$5:$AF$204,0)),""))</f>
        <v/>
      </c>
      <c r="J54" s="37">
        <f>IF($A54="","",IFERROR(INDEX('זה אני - קליטה'!$AH$5:$AH$204,MATCH($A54&amp;"|אמצע שנה",'זה אני - קליטה'!$AF$5:$AF$204,0)),""))</f>
        <v/>
      </c>
      <c r="K54" s="37">
        <f>IF($A54="","",IFERROR(INDEX('זה אני - קליטה'!$AI$5:$AI$204,MATCH($A54&amp;"|אמצע שנה",'זה אני - קליטה'!$AF$5:$AF$204,0)),""))</f>
        <v/>
      </c>
      <c r="L54" s="37">
        <f>IF($A54="","",IFERROR(INDEX('זה אני - קליטה'!$AJ$5:$AJ$204,MATCH($A54&amp;"|אמצע שנה",'זה אני - קליטה'!$AF$5:$AF$204,0)),""))</f>
        <v/>
      </c>
      <c r="M54" s="37">
        <f>IF($A54="","",IFERROR(INDEX('זה אני - קליטה'!$AK$5:$AK$204,MATCH($A54&amp;"|אמצע שנה",'זה אני - קליטה'!$AF$5:$AF$204,0)),""))</f>
        <v/>
      </c>
      <c r="N54" s="37">
        <f>IF($A54="","",IFERROR(INDEX('זה אני - קליטה'!$AL$5:$AL$204,MATCH($A54&amp;"|אמצע שנה",'זה אני - קליטה'!$AF$5:$AF$204,0)),""))</f>
        <v/>
      </c>
      <c r="O54" s="36">
        <f>IF($A54="","",IFERROR(INDEX('זה אני - קליטה'!$AG$5:$AG$204,MATCH($A54&amp;"|אמצע שנה",'זה אני - קליטה'!$AF$5:$AF$204,0)),""))</f>
        <v/>
      </c>
      <c r="P54" s="37">
        <f>IF($A54="","",IFERROR(INDEX('זה אני - קליטה'!$AN$5:$AN$204,MATCH($A54&amp;"|אמצע שנה",'זה אני - קליטה'!$AF$5:$AF$204,0)),""))</f>
        <v/>
      </c>
      <c r="Q54" s="36">
        <f>IF($A54="","",IFERROR(INDEX('זה אני - קליטה'!$AW$5:$AW$204,MATCH($A54&amp;"|אמצע שנה",'זה אני - קליטה'!$AF$5:$AF$204,0)),""))</f>
        <v/>
      </c>
      <c r="R54" s="37">
        <f>IF($A54="","",IFERROR(INDEX('זה אני - קליטה'!$AH$5:$AH$204,MATCH($A54&amp;"|סוף שנה",'זה אני - קליטה'!$AF$5:$AF$204,0)),""))</f>
        <v/>
      </c>
      <c r="S54" s="37">
        <f>IF($A54="","",IFERROR(INDEX('זה אני - קליטה'!$AI$5:$AI$204,MATCH($A54&amp;"|סוף שנה",'זה אני - קליטה'!$AF$5:$AF$204,0)),""))</f>
        <v/>
      </c>
      <c r="T54" s="37">
        <f>IF($A54="","",IFERROR(INDEX('זה אני - קליטה'!$AJ$5:$AJ$204,MATCH($A54&amp;"|סוף שנה",'זה אני - קליטה'!$AF$5:$AF$204,0)),""))</f>
        <v/>
      </c>
      <c r="U54" s="37">
        <f>IF($A54="","",IFERROR(INDEX('זה אני - קליטה'!$AK$5:$AK$204,MATCH($A54&amp;"|סוף שנה",'זה אני - קליטה'!$AF$5:$AF$204,0)),""))</f>
        <v/>
      </c>
      <c r="V54" s="37">
        <f>IF($A54="","",IFERROR(INDEX('זה אני - קליטה'!$AL$5:$AL$204,MATCH($A54&amp;"|סוף שנה",'זה אני - קליטה'!$AF$5:$AF$204,0)),""))</f>
        <v/>
      </c>
      <c r="W54" s="36">
        <f>IF($A54="","",IFERROR(INDEX('זה אני - קליטה'!$AG$5:$AG$204,MATCH($A54&amp;"|סוף שנה",'זה אני - קליטה'!$AF$5:$AF$204,0)),""))</f>
        <v/>
      </c>
      <c r="X54" s="37">
        <f>IF($A54="","",IFERROR(INDEX('זה אני - קליטה'!$AN$5:$AN$204,MATCH($A54&amp;"|סוף שנה",'זה אני - קליטה'!$AF$5:$AF$204,0)),""))</f>
        <v/>
      </c>
      <c r="Y54" s="36">
        <f>IF($A54="","",IFERROR(INDEX('זה אני - קליטה'!$AW$5:$AW$204,MATCH($A54&amp;"|סוף שנה",'זה אני - קליטה'!$AF$5:$AF$204,0)),""))</f>
        <v/>
      </c>
      <c r="Z54" s="43">
        <f>IF(AND(ISNUMBER(F54),ISNUMBER(V54)),V54-F54,"")</f>
        <v/>
      </c>
      <c r="AA54" s="36">
        <f>IF(Z54="","",IF(Z54&gt;=0.25,"עלייה",IF(Z54&lt;=-0.25,"ירידה","יציב")))</f>
        <v/>
      </c>
    </row>
    <row r="55">
      <c r="A55" s="38" t="n"/>
      <c r="B55" s="37">
        <f>IF($A55="","",IFERROR(INDEX('זה אני - קליטה'!$AH$5:$AH$204,MATCH($A55&amp;"|תחילת שנה",'זה אני - קליטה'!$AF$5:$AF$204,0)),""))</f>
        <v/>
      </c>
      <c r="C55" s="37">
        <f>IF($A55="","",IFERROR(INDEX('זה אני - קליטה'!$AI$5:$AI$204,MATCH($A55&amp;"|תחילת שנה",'זה אני - קליטה'!$AF$5:$AF$204,0)),""))</f>
        <v/>
      </c>
      <c r="D55" s="37">
        <f>IF($A55="","",IFERROR(INDEX('זה אני - קליטה'!$AJ$5:$AJ$204,MATCH($A55&amp;"|תחילת שנה",'זה אני - קליטה'!$AF$5:$AF$204,0)),""))</f>
        <v/>
      </c>
      <c r="E55" s="37">
        <f>IF($A55="","",IFERROR(INDEX('זה אני - קליטה'!$AK$5:$AK$204,MATCH($A55&amp;"|תחילת שנה",'זה אני - קליטה'!$AF$5:$AF$204,0)),""))</f>
        <v/>
      </c>
      <c r="F55" s="37">
        <f>IF($A55="","",IFERROR(INDEX('זה אני - קליטה'!$AL$5:$AL$204,MATCH($A55&amp;"|תחילת שנה",'זה אני - קליטה'!$AF$5:$AF$204,0)),""))</f>
        <v/>
      </c>
      <c r="G55" s="36">
        <f>IF($A55="","",IFERROR(INDEX('זה אני - קליטה'!$AG$5:$AG$204,MATCH($A55&amp;"|תחילת שנה",'זה אני - קליטה'!$AF$5:$AF$204,0)),""))</f>
        <v/>
      </c>
      <c r="H55" s="37">
        <f>IF($A55="","",IFERROR(INDEX('זה אני - קליטה'!$AN$5:$AN$204,MATCH($A55&amp;"|תחילת שנה",'זה אני - קליטה'!$AF$5:$AF$204,0)),""))</f>
        <v/>
      </c>
      <c r="I55" s="36">
        <f>IF($A55="","",IFERROR(INDEX('זה אני - קליטה'!$AW$5:$AW$204,MATCH($A55&amp;"|תחילת שנה",'זה אני - קליטה'!$AF$5:$AF$204,0)),""))</f>
        <v/>
      </c>
      <c r="J55" s="37">
        <f>IF($A55="","",IFERROR(INDEX('זה אני - קליטה'!$AH$5:$AH$204,MATCH($A55&amp;"|אמצע שנה",'זה אני - קליטה'!$AF$5:$AF$204,0)),""))</f>
        <v/>
      </c>
      <c r="K55" s="37">
        <f>IF($A55="","",IFERROR(INDEX('זה אני - קליטה'!$AI$5:$AI$204,MATCH($A55&amp;"|אמצע שנה",'זה אני - קליטה'!$AF$5:$AF$204,0)),""))</f>
        <v/>
      </c>
      <c r="L55" s="37">
        <f>IF($A55="","",IFERROR(INDEX('זה אני - קליטה'!$AJ$5:$AJ$204,MATCH($A55&amp;"|אמצע שנה",'זה אני - קליטה'!$AF$5:$AF$204,0)),""))</f>
        <v/>
      </c>
      <c r="M55" s="37">
        <f>IF($A55="","",IFERROR(INDEX('זה אני - קליטה'!$AK$5:$AK$204,MATCH($A55&amp;"|אמצע שנה",'זה אני - קליטה'!$AF$5:$AF$204,0)),""))</f>
        <v/>
      </c>
      <c r="N55" s="37">
        <f>IF($A55="","",IFERROR(INDEX('זה אני - קליטה'!$AL$5:$AL$204,MATCH($A55&amp;"|אמצע שנה",'זה אני - קליטה'!$AF$5:$AF$204,0)),""))</f>
        <v/>
      </c>
      <c r="O55" s="36">
        <f>IF($A55="","",IFERROR(INDEX('זה אני - קליטה'!$AG$5:$AG$204,MATCH($A55&amp;"|אמצע שנה",'זה אני - קליטה'!$AF$5:$AF$204,0)),""))</f>
        <v/>
      </c>
      <c r="P55" s="37">
        <f>IF($A55="","",IFERROR(INDEX('זה אני - קליטה'!$AN$5:$AN$204,MATCH($A55&amp;"|אמצע שנה",'זה אני - קליטה'!$AF$5:$AF$204,0)),""))</f>
        <v/>
      </c>
      <c r="Q55" s="36">
        <f>IF($A55="","",IFERROR(INDEX('זה אני - קליטה'!$AW$5:$AW$204,MATCH($A55&amp;"|אמצע שנה",'זה אני - קליטה'!$AF$5:$AF$204,0)),""))</f>
        <v/>
      </c>
      <c r="R55" s="37">
        <f>IF($A55="","",IFERROR(INDEX('זה אני - קליטה'!$AH$5:$AH$204,MATCH($A55&amp;"|סוף שנה",'זה אני - קליטה'!$AF$5:$AF$204,0)),""))</f>
        <v/>
      </c>
      <c r="S55" s="37">
        <f>IF($A55="","",IFERROR(INDEX('זה אני - קליטה'!$AI$5:$AI$204,MATCH($A55&amp;"|סוף שנה",'זה אני - קליטה'!$AF$5:$AF$204,0)),""))</f>
        <v/>
      </c>
      <c r="T55" s="37">
        <f>IF($A55="","",IFERROR(INDEX('זה אני - קליטה'!$AJ$5:$AJ$204,MATCH($A55&amp;"|סוף שנה",'זה אני - קליטה'!$AF$5:$AF$204,0)),""))</f>
        <v/>
      </c>
      <c r="U55" s="37">
        <f>IF($A55="","",IFERROR(INDEX('זה אני - קליטה'!$AK$5:$AK$204,MATCH($A55&amp;"|סוף שנה",'זה אני - קליטה'!$AF$5:$AF$204,0)),""))</f>
        <v/>
      </c>
      <c r="V55" s="37">
        <f>IF($A55="","",IFERROR(INDEX('זה אני - קליטה'!$AL$5:$AL$204,MATCH($A55&amp;"|סוף שנה",'זה אני - קליטה'!$AF$5:$AF$204,0)),""))</f>
        <v/>
      </c>
      <c r="W55" s="36">
        <f>IF($A55="","",IFERROR(INDEX('זה אני - קליטה'!$AG$5:$AG$204,MATCH($A55&amp;"|סוף שנה",'זה אני - קליטה'!$AF$5:$AF$204,0)),""))</f>
        <v/>
      </c>
      <c r="X55" s="37">
        <f>IF($A55="","",IFERROR(INDEX('זה אני - קליטה'!$AN$5:$AN$204,MATCH($A55&amp;"|סוף שנה",'זה אני - קליטה'!$AF$5:$AF$204,0)),""))</f>
        <v/>
      </c>
      <c r="Y55" s="36">
        <f>IF($A55="","",IFERROR(INDEX('זה אני - קליטה'!$AW$5:$AW$204,MATCH($A55&amp;"|סוף שנה",'זה אני - קליטה'!$AF$5:$AF$204,0)),""))</f>
        <v/>
      </c>
      <c r="Z55" s="43">
        <f>IF(AND(ISNUMBER(F55),ISNUMBER(V55)),V55-F55,"")</f>
        <v/>
      </c>
      <c r="AA55" s="36">
        <f>IF(Z55="","",IF(Z55&gt;=0.25,"עלייה",IF(Z55&lt;=-0.25,"ירידה","יציב")))</f>
        <v/>
      </c>
    </row>
    <row r="56">
      <c r="A56" s="38" t="n"/>
      <c r="B56" s="37">
        <f>IF($A56="","",IFERROR(INDEX('זה אני - קליטה'!$AH$5:$AH$204,MATCH($A56&amp;"|תחילת שנה",'זה אני - קליטה'!$AF$5:$AF$204,0)),""))</f>
        <v/>
      </c>
      <c r="C56" s="37">
        <f>IF($A56="","",IFERROR(INDEX('זה אני - קליטה'!$AI$5:$AI$204,MATCH($A56&amp;"|תחילת שנה",'זה אני - קליטה'!$AF$5:$AF$204,0)),""))</f>
        <v/>
      </c>
      <c r="D56" s="37">
        <f>IF($A56="","",IFERROR(INDEX('זה אני - קליטה'!$AJ$5:$AJ$204,MATCH($A56&amp;"|תחילת שנה",'זה אני - קליטה'!$AF$5:$AF$204,0)),""))</f>
        <v/>
      </c>
      <c r="E56" s="37">
        <f>IF($A56="","",IFERROR(INDEX('זה אני - קליטה'!$AK$5:$AK$204,MATCH($A56&amp;"|תחילת שנה",'זה אני - קליטה'!$AF$5:$AF$204,0)),""))</f>
        <v/>
      </c>
      <c r="F56" s="37">
        <f>IF($A56="","",IFERROR(INDEX('זה אני - קליטה'!$AL$5:$AL$204,MATCH($A56&amp;"|תחילת שנה",'זה אני - קליטה'!$AF$5:$AF$204,0)),""))</f>
        <v/>
      </c>
      <c r="G56" s="36">
        <f>IF($A56="","",IFERROR(INDEX('זה אני - קליטה'!$AG$5:$AG$204,MATCH($A56&amp;"|תחילת שנה",'זה אני - קליטה'!$AF$5:$AF$204,0)),""))</f>
        <v/>
      </c>
      <c r="H56" s="37">
        <f>IF($A56="","",IFERROR(INDEX('זה אני - קליטה'!$AN$5:$AN$204,MATCH($A56&amp;"|תחילת שנה",'זה אני - קליטה'!$AF$5:$AF$204,0)),""))</f>
        <v/>
      </c>
      <c r="I56" s="36">
        <f>IF($A56="","",IFERROR(INDEX('זה אני - קליטה'!$AW$5:$AW$204,MATCH($A56&amp;"|תחילת שנה",'זה אני - קליטה'!$AF$5:$AF$204,0)),""))</f>
        <v/>
      </c>
      <c r="J56" s="37">
        <f>IF($A56="","",IFERROR(INDEX('זה אני - קליטה'!$AH$5:$AH$204,MATCH($A56&amp;"|אמצע שנה",'זה אני - קליטה'!$AF$5:$AF$204,0)),""))</f>
        <v/>
      </c>
      <c r="K56" s="37">
        <f>IF($A56="","",IFERROR(INDEX('זה אני - קליטה'!$AI$5:$AI$204,MATCH($A56&amp;"|אמצע שנה",'זה אני - קליטה'!$AF$5:$AF$204,0)),""))</f>
        <v/>
      </c>
      <c r="L56" s="37">
        <f>IF($A56="","",IFERROR(INDEX('זה אני - קליטה'!$AJ$5:$AJ$204,MATCH($A56&amp;"|אמצע שנה",'זה אני - קליטה'!$AF$5:$AF$204,0)),""))</f>
        <v/>
      </c>
      <c r="M56" s="37">
        <f>IF($A56="","",IFERROR(INDEX('זה אני - קליטה'!$AK$5:$AK$204,MATCH($A56&amp;"|אמצע שנה",'זה אני - קליטה'!$AF$5:$AF$204,0)),""))</f>
        <v/>
      </c>
      <c r="N56" s="37">
        <f>IF($A56="","",IFERROR(INDEX('זה אני - קליטה'!$AL$5:$AL$204,MATCH($A56&amp;"|אמצע שנה",'זה אני - קליטה'!$AF$5:$AF$204,0)),""))</f>
        <v/>
      </c>
      <c r="O56" s="36">
        <f>IF($A56="","",IFERROR(INDEX('זה אני - קליטה'!$AG$5:$AG$204,MATCH($A56&amp;"|אמצע שנה",'זה אני - קליטה'!$AF$5:$AF$204,0)),""))</f>
        <v/>
      </c>
      <c r="P56" s="37">
        <f>IF($A56="","",IFERROR(INDEX('זה אני - קליטה'!$AN$5:$AN$204,MATCH($A56&amp;"|אמצע שנה",'זה אני - קליטה'!$AF$5:$AF$204,0)),""))</f>
        <v/>
      </c>
      <c r="Q56" s="36">
        <f>IF($A56="","",IFERROR(INDEX('זה אני - קליטה'!$AW$5:$AW$204,MATCH($A56&amp;"|אמצע שנה",'זה אני - קליטה'!$AF$5:$AF$204,0)),""))</f>
        <v/>
      </c>
      <c r="R56" s="37">
        <f>IF($A56="","",IFERROR(INDEX('זה אני - קליטה'!$AH$5:$AH$204,MATCH($A56&amp;"|סוף שנה",'זה אני - קליטה'!$AF$5:$AF$204,0)),""))</f>
        <v/>
      </c>
      <c r="S56" s="37">
        <f>IF($A56="","",IFERROR(INDEX('זה אני - קליטה'!$AI$5:$AI$204,MATCH($A56&amp;"|סוף שנה",'זה אני - קליטה'!$AF$5:$AF$204,0)),""))</f>
        <v/>
      </c>
      <c r="T56" s="37">
        <f>IF($A56="","",IFERROR(INDEX('זה אני - קליטה'!$AJ$5:$AJ$204,MATCH($A56&amp;"|סוף שנה",'זה אני - קליטה'!$AF$5:$AF$204,0)),""))</f>
        <v/>
      </c>
      <c r="U56" s="37">
        <f>IF($A56="","",IFERROR(INDEX('זה אני - קליטה'!$AK$5:$AK$204,MATCH($A56&amp;"|סוף שנה",'זה אני - קליטה'!$AF$5:$AF$204,0)),""))</f>
        <v/>
      </c>
      <c r="V56" s="37">
        <f>IF($A56="","",IFERROR(INDEX('זה אני - קליטה'!$AL$5:$AL$204,MATCH($A56&amp;"|סוף שנה",'זה אני - קליטה'!$AF$5:$AF$204,0)),""))</f>
        <v/>
      </c>
      <c r="W56" s="36">
        <f>IF($A56="","",IFERROR(INDEX('זה אני - קליטה'!$AG$5:$AG$204,MATCH($A56&amp;"|סוף שנה",'זה אני - קליטה'!$AF$5:$AF$204,0)),""))</f>
        <v/>
      </c>
      <c r="X56" s="37">
        <f>IF($A56="","",IFERROR(INDEX('זה אני - קליטה'!$AN$5:$AN$204,MATCH($A56&amp;"|סוף שנה",'זה אני - קליטה'!$AF$5:$AF$204,0)),""))</f>
        <v/>
      </c>
      <c r="Y56" s="36">
        <f>IF($A56="","",IFERROR(INDEX('זה אני - קליטה'!$AW$5:$AW$204,MATCH($A56&amp;"|סוף שנה",'זה אני - קליטה'!$AF$5:$AF$204,0)),""))</f>
        <v/>
      </c>
      <c r="Z56" s="43">
        <f>IF(AND(ISNUMBER(F56),ISNUMBER(V56)),V56-F56,"")</f>
        <v/>
      </c>
      <c r="AA56" s="36">
        <f>IF(Z56="","",IF(Z56&gt;=0.25,"עלייה",IF(Z56&lt;=-0.25,"ירידה","יציב")))</f>
        <v/>
      </c>
    </row>
    <row r="57">
      <c r="A57" s="38" t="n"/>
      <c r="B57" s="37">
        <f>IF($A57="","",IFERROR(INDEX('זה אני - קליטה'!$AH$5:$AH$204,MATCH($A57&amp;"|תחילת שנה",'זה אני - קליטה'!$AF$5:$AF$204,0)),""))</f>
        <v/>
      </c>
      <c r="C57" s="37">
        <f>IF($A57="","",IFERROR(INDEX('זה אני - קליטה'!$AI$5:$AI$204,MATCH($A57&amp;"|תחילת שנה",'זה אני - קליטה'!$AF$5:$AF$204,0)),""))</f>
        <v/>
      </c>
      <c r="D57" s="37">
        <f>IF($A57="","",IFERROR(INDEX('זה אני - קליטה'!$AJ$5:$AJ$204,MATCH($A57&amp;"|תחילת שנה",'זה אני - קליטה'!$AF$5:$AF$204,0)),""))</f>
        <v/>
      </c>
      <c r="E57" s="37">
        <f>IF($A57="","",IFERROR(INDEX('זה אני - קליטה'!$AK$5:$AK$204,MATCH($A57&amp;"|תחילת שנה",'זה אני - קליטה'!$AF$5:$AF$204,0)),""))</f>
        <v/>
      </c>
      <c r="F57" s="37">
        <f>IF($A57="","",IFERROR(INDEX('זה אני - קליטה'!$AL$5:$AL$204,MATCH($A57&amp;"|תחילת שנה",'זה אני - קליטה'!$AF$5:$AF$204,0)),""))</f>
        <v/>
      </c>
      <c r="G57" s="36">
        <f>IF($A57="","",IFERROR(INDEX('זה אני - קליטה'!$AG$5:$AG$204,MATCH($A57&amp;"|תחילת שנה",'זה אני - קליטה'!$AF$5:$AF$204,0)),""))</f>
        <v/>
      </c>
      <c r="H57" s="37">
        <f>IF($A57="","",IFERROR(INDEX('זה אני - קליטה'!$AN$5:$AN$204,MATCH($A57&amp;"|תחילת שנה",'זה אני - קליטה'!$AF$5:$AF$204,0)),""))</f>
        <v/>
      </c>
      <c r="I57" s="36">
        <f>IF($A57="","",IFERROR(INDEX('זה אני - קליטה'!$AW$5:$AW$204,MATCH($A57&amp;"|תחילת שנה",'זה אני - קליטה'!$AF$5:$AF$204,0)),""))</f>
        <v/>
      </c>
      <c r="J57" s="37">
        <f>IF($A57="","",IFERROR(INDEX('זה אני - קליטה'!$AH$5:$AH$204,MATCH($A57&amp;"|אמצע שנה",'זה אני - קליטה'!$AF$5:$AF$204,0)),""))</f>
        <v/>
      </c>
      <c r="K57" s="37">
        <f>IF($A57="","",IFERROR(INDEX('זה אני - קליטה'!$AI$5:$AI$204,MATCH($A57&amp;"|אמצע שנה",'זה אני - קליטה'!$AF$5:$AF$204,0)),""))</f>
        <v/>
      </c>
      <c r="L57" s="37">
        <f>IF($A57="","",IFERROR(INDEX('זה אני - קליטה'!$AJ$5:$AJ$204,MATCH($A57&amp;"|אמצע שנה",'זה אני - קליטה'!$AF$5:$AF$204,0)),""))</f>
        <v/>
      </c>
      <c r="M57" s="37">
        <f>IF($A57="","",IFERROR(INDEX('זה אני - קליטה'!$AK$5:$AK$204,MATCH($A57&amp;"|אמצע שנה",'זה אני - קליטה'!$AF$5:$AF$204,0)),""))</f>
        <v/>
      </c>
      <c r="N57" s="37">
        <f>IF($A57="","",IFERROR(INDEX('זה אני - קליטה'!$AL$5:$AL$204,MATCH($A57&amp;"|אמצע שנה",'זה אני - קליטה'!$AF$5:$AF$204,0)),""))</f>
        <v/>
      </c>
      <c r="O57" s="36">
        <f>IF($A57="","",IFERROR(INDEX('זה אני - קליטה'!$AG$5:$AG$204,MATCH($A57&amp;"|אמצע שנה",'זה אני - קליטה'!$AF$5:$AF$204,0)),""))</f>
        <v/>
      </c>
      <c r="P57" s="37">
        <f>IF($A57="","",IFERROR(INDEX('זה אני - קליטה'!$AN$5:$AN$204,MATCH($A57&amp;"|אמצע שנה",'זה אני - קליטה'!$AF$5:$AF$204,0)),""))</f>
        <v/>
      </c>
      <c r="Q57" s="36">
        <f>IF($A57="","",IFERROR(INDEX('זה אני - קליטה'!$AW$5:$AW$204,MATCH($A57&amp;"|אמצע שנה",'זה אני - קליטה'!$AF$5:$AF$204,0)),""))</f>
        <v/>
      </c>
      <c r="R57" s="37">
        <f>IF($A57="","",IFERROR(INDEX('זה אני - קליטה'!$AH$5:$AH$204,MATCH($A57&amp;"|סוף שנה",'זה אני - קליטה'!$AF$5:$AF$204,0)),""))</f>
        <v/>
      </c>
      <c r="S57" s="37">
        <f>IF($A57="","",IFERROR(INDEX('זה אני - קליטה'!$AI$5:$AI$204,MATCH($A57&amp;"|סוף שנה",'זה אני - קליטה'!$AF$5:$AF$204,0)),""))</f>
        <v/>
      </c>
      <c r="T57" s="37">
        <f>IF($A57="","",IFERROR(INDEX('זה אני - קליטה'!$AJ$5:$AJ$204,MATCH($A57&amp;"|סוף שנה",'זה אני - קליטה'!$AF$5:$AF$204,0)),""))</f>
        <v/>
      </c>
      <c r="U57" s="37">
        <f>IF($A57="","",IFERROR(INDEX('זה אני - קליטה'!$AK$5:$AK$204,MATCH($A57&amp;"|סוף שנה",'זה אני - קליטה'!$AF$5:$AF$204,0)),""))</f>
        <v/>
      </c>
      <c r="V57" s="37">
        <f>IF($A57="","",IFERROR(INDEX('זה אני - קליטה'!$AL$5:$AL$204,MATCH($A57&amp;"|סוף שנה",'זה אני - קליטה'!$AF$5:$AF$204,0)),""))</f>
        <v/>
      </c>
      <c r="W57" s="36">
        <f>IF($A57="","",IFERROR(INDEX('זה אני - קליטה'!$AG$5:$AG$204,MATCH($A57&amp;"|סוף שנה",'זה אני - קליטה'!$AF$5:$AF$204,0)),""))</f>
        <v/>
      </c>
      <c r="X57" s="37">
        <f>IF($A57="","",IFERROR(INDEX('זה אני - קליטה'!$AN$5:$AN$204,MATCH($A57&amp;"|סוף שנה",'זה אני - קליטה'!$AF$5:$AF$204,0)),""))</f>
        <v/>
      </c>
      <c r="Y57" s="36">
        <f>IF($A57="","",IFERROR(INDEX('זה אני - קליטה'!$AW$5:$AW$204,MATCH($A57&amp;"|סוף שנה",'זה אני - קליטה'!$AF$5:$AF$204,0)),""))</f>
        <v/>
      </c>
      <c r="Z57" s="43">
        <f>IF(AND(ISNUMBER(F57),ISNUMBER(V57)),V57-F57,"")</f>
        <v/>
      </c>
      <c r="AA57" s="36">
        <f>IF(Z57="","",IF(Z57&gt;=0.25,"עלייה",IF(Z57&lt;=-0.25,"ירידה","יציב")))</f>
        <v/>
      </c>
    </row>
    <row r="58">
      <c r="A58" s="38" t="n"/>
      <c r="B58" s="37">
        <f>IF($A58="","",IFERROR(INDEX('זה אני - קליטה'!$AH$5:$AH$204,MATCH($A58&amp;"|תחילת שנה",'זה אני - קליטה'!$AF$5:$AF$204,0)),""))</f>
        <v/>
      </c>
      <c r="C58" s="37">
        <f>IF($A58="","",IFERROR(INDEX('זה אני - קליטה'!$AI$5:$AI$204,MATCH($A58&amp;"|תחילת שנה",'זה אני - קליטה'!$AF$5:$AF$204,0)),""))</f>
        <v/>
      </c>
      <c r="D58" s="37">
        <f>IF($A58="","",IFERROR(INDEX('זה אני - קליטה'!$AJ$5:$AJ$204,MATCH($A58&amp;"|תחילת שנה",'זה אני - קליטה'!$AF$5:$AF$204,0)),""))</f>
        <v/>
      </c>
      <c r="E58" s="37">
        <f>IF($A58="","",IFERROR(INDEX('זה אני - קליטה'!$AK$5:$AK$204,MATCH($A58&amp;"|תחילת שנה",'זה אני - קליטה'!$AF$5:$AF$204,0)),""))</f>
        <v/>
      </c>
      <c r="F58" s="37">
        <f>IF($A58="","",IFERROR(INDEX('זה אני - קליטה'!$AL$5:$AL$204,MATCH($A58&amp;"|תחילת שנה",'זה אני - קליטה'!$AF$5:$AF$204,0)),""))</f>
        <v/>
      </c>
      <c r="G58" s="36">
        <f>IF($A58="","",IFERROR(INDEX('זה אני - קליטה'!$AG$5:$AG$204,MATCH($A58&amp;"|תחילת שנה",'זה אני - קליטה'!$AF$5:$AF$204,0)),""))</f>
        <v/>
      </c>
      <c r="H58" s="37">
        <f>IF($A58="","",IFERROR(INDEX('זה אני - קליטה'!$AN$5:$AN$204,MATCH($A58&amp;"|תחילת שנה",'זה אני - קליטה'!$AF$5:$AF$204,0)),""))</f>
        <v/>
      </c>
      <c r="I58" s="36">
        <f>IF($A58="","",IFERROR(INDEX('זה אני - קליטה'!$AW$5:$AW$204,MATCH($A58&amp;"|תחילת שנה",'זה אני - קליטה'!$AF$5:$AF$204,0)),""))</f>
        <v/>
      </c>
      <c r="J58" s="37">
        <f>IF($A58="","",IFERROR(INDEX('זה אני - קליטה'!$AH$5:$AH$204,MATCH($A58&amp;"|אמצע שנה",'זה אני - קליטה'!$AF$5:$AF$204,0)),""))</f>
        <v/>
      </c>
      <c r="K58" s="37">
        <f>IF($A58="","",IFERROR(INDEX('זה אני - קליטה'!$AI$5:$AI$204,MATCH($A58&amp;"|אמצע שנה",'זה אני - קליטה'!$AF$5:$AF$204,0)),""))</f>
        <v/>
      </c>
      <c r="L58" s="37">
        <f>IF($A58="","",IFERROR(INDEX('זה אני - קליטה'!$AJ$5:$AJ$204,MATCH($A58&amp;"|אמצע שנה",'זה אני - קליטה'!$AF$5:$AF$204,0)),""))</f>
        <v/>
      </c>
      <c r="M58" s="37">
        <f>IF($A58="","",IFERROR(INDEX('זה אני - קליטה'!$AK$5:$AK$204,MATCH($A58&amp;"|אמצע שנה",'זה אני - קליטה'!$AF$5:$AF$204,0)),""))</f>
        <v/>
      </c>
      <c r="N58" s="37">
        <f>IF($A58="","",IFERROR(INDEX('זה אני - קליטה'!$AL$5:$AL$204,MATCH($A58&amp;"|אמצע שנה",'זה אני - קליטה'!$AF$5:$AF$204,0)),""))</f>
        <v/>
      </c>
      <c r="O58" s="36">
        <f>IF($A58="","",IFERROR(INDEX('זה אני - קליטה'!$AG$5:$AG$204,MATCH($A58&amp;"|אמצע שנה",'זה אני - קליטה'!$AF$5:$AF$204,0)),""))</f>
        <v/>
      </c>
      <c r="P58" s="37">
        <f>IF($A58="","",IFERROR(INDEX('זה אני - קליטה'!$AN$5:$AN$204,MATCH($A58&amp;"|אמצע שנה",'זה אני - קליטה'!$AF$5:$AF$204,0)),""))</f>
        <v/>
      </c>
      <c r="Q58" s="36">
        <f>IF($A58="","",IFERROR(INDEX('זה אני - קליטה'!$AW$5:$AW$204,MATCH($A58&amp;"|אמצע שנה",'זה אני - קליטה'!$AF$5:$AF$204,0)),""))</f>
        <v/>
      </c>
      <c r="R58" s="37">
        <f>IF($A58="","",IFERROR(INDEX('זה אני - קליטה'!$AH$5:$AH$204,MATCH($A58&amp;"|סוף שנה",'זה אני - קליטה'!$AF$5:$AF$204,0)),""))</f>
        <v/>
      </c>
      <c r="S58" s="37">
        <f>IF($A58="","",IFERROR(INDEX('זה אני - קליטה'!$AI$5:$AI$204,MATCH($A58&amp;"|סוף שנה",'זה אני - קליטה'!$AF$5:$AF$204,0)),""))</f>
        <v/>
      </c>
      <c r="T58" s="37">
        <f>IF($A58="","",IFERROR(INDEX('זה אני - קליטה'!$AJ$5:$AJ$204,MATCH($A58&amp;"|סוף שנה",'זה אני - קליטה'!$AF$5:$AF$204,0)),""))</f>
        <v/>
      </c>
      <c r="U58" s="37">
        <f>IF($A58="","",IFERROR(INDEX('זה אני - קליטה'!$AK$5:$AK$204,MATCH($A58&amp;"|סוף שנה",'זה אני - קליטה'!$AF$5:$AF$204,0)),""))</f>
        <v/>
      </c>
      <c r="V58" s="37">
        <f>IF($A58="","",IFERROR(INDEX('זה אני - קליטה'!$AL$5:$AL$204,MATCH($A58&amp;"|סוף שנה",'זה אני - קליטה'!$AF$5:$AF$204,0)),""))</f>
        <v/>
      </c>
      <c r="W58" s="36">
        <f>IF($A58="","",IFERROR(INDEX('זה אני - קליטה'!$AG$5:$AG$204,MATCH($A58&amp;"|סוף שנה",'זה אני - קליטה'!$AF$5:$AF$204,0)),""))</f>
        <v/>
      </c>
      <c r="X58" s="37">
        <f>IF($A58="","",IFERROR(INDEX('זה אני - קליטה'!$AN$5:$AN$204,MATCH($A58&amp;"|סוף שנה",'זה אני - קליטה'!$AF$5:$AF$204,0)),""))</f>
        <v/>
      </c>
      <c r="Y58" s="36">
        <f>IF($A58="","",IFERROR(INDEX('זה אני - קליטה'!$AW$5:$AW$204,MATCH($A58&amp;"|סוף שנה",'זה אני - קליטה'!$AF$5:$AF$204,0)),""))</f>
        <v/>
      </c>
      <c r="Z58" s="43">
        <f>IF(AND(ISNUMBER(F58),ISNUMBER(V58)),V58-F58,"")</f>
        <v/>
      </c>
      <c r="AA58" s="36">
        <f>IF(Z58="","",IF(Z58&gt;=0.25,"עלייה",IF(Z58&lt;=-0.25,"ירידה","יציב")))</f>
        <v/>
      </c>
    </row>
    <row r="59">
      <c r="A59" s="38" t="n"/>
      <c r="B59" s="37">
        <f>IF($A59="","",IFERROR(INDEX('זה אני - קליטה'!$AH$5:$AH$204,MATCH($A59&amp;"|תחילת שנה",'זה אני - קליטה'!$AF$5:$AF$204,0)),""))</f>
        <v/>
      </c>
      <c r="C59" s="37">
        <f>IF($A59="","",IFERROR(INDEX('זה אני - קליטה'!$AI$5:$AI$204,MATCH($A59&amp;"|תחילת שנה",'זה אני - קליטה'!$AF$5:$AF$204,0)),""))</f>
        <v/>
      </c>
      <c r="D59" s="37">
        <f>IF($A59="","",IFERROR(INDEX('זה אני - קליטה'!$AJ$5:$AJ$204,MATCH($A59&amp;"|תחילת שנה",'זה אני - קליטה'!$AF$5:$AF$204,0)),""))</f>
        <v/>
      </c>
      <c r="E59" s="37">
        <f>IF($A59="","",IFERROR(INDEX('זה אני - קליטה'!$AK$5:$AK$204,MATCH($A59&amp;"|תחילת שנה",'זה אני - קליטה'!$AF$5:$AF$204,0)),""))</f>
        <v/>
      </c>
      <c r="F59" s="37">
        <f>IF($A59="","",IFERROR(INDEX('זה אני - קליטה'!$AL$5:$AL$204,MATCH($A59&amp;"|תחילת שנה",'זה אני - קליטה'!$AF$5:$AF$204,0)),""))</f>
        <v/>
      </c>
      <c r="G59" s="36">
        <f>IF($A59="","",IFERROR(INDEX('זה אני - קליטה'!$AG$5:$AG$204,MATCH($A59&amp;"|תחילת שנה",'זה אני - קליטה'!$AF$5:$AF$204,0)),""))</f>
        <v/>
      </c>
      <c r="H59" s="37">
        <f>IF($A59="","",IFERROR(INDEX('זה אני - קליטה'!$AN$5:$AN$204,MATCH($A59&amp;"|תחילת שנה",'זה אני - קליטה'!$AF$5:$AF$204,0)),""))</f>
        <v/>
      </c>
      <c r="I59" s="36">
        <f>IF($A59="","",IFERROR(INDEX('זה אני - קליטה'!$AW$5:$AW$204,MATCH($A59&amp;"|תחילת שנה",'זה אני - קליטה'!$AF$5:$AF$204,0)),""))</f>
        <v/>
      </c>
      <c r="J59" s="37">
        <f>IF($A59="","",IFERROR(INDEX('זה אני - קליטה'!$AH$5:$AH$204,MATCH($A59&amp;"|אמצע שנה",'זה אני - קליטה'!$AF$5:$AF$204,0)),""))</f>
        <v/>
      </c>
      <c r="K59" s="37">
        <f>IF($A59="","",IFERROR(INDEX('זה אני - קליטה'!$AI$5:$AI$204,MATCH($A59&amp;"|אמצע שנה",'זה אני - קליטה'!$AF$5:$AF$204,0)),""))</f>
        <v/>
      </c>
      <c r="L59" s="37">
        <f>IF($A59="","",IFERROR(INDEX('זה אני - קליטה'!$AJ$5:$AJ$204,MATCH($A59&amp;"|אמצע שנה",'זה אני - קליטה'!$AF$5:$AF$204,0)),""))</f>
        <v/>
      </c>
      <c r="M59" s="37">
        <f>IF($A59="","",IFERROR(INDEX('זה אני - קליטה'!$AK$5:$AK$204,MATCH($A59&amp;"|אמצע שנה",'זה אני - קליטה'!$AF$5:$AF$204,0)),""))</f>
        <v/>
      </c>
      <c r="N59" s="37">
        <f>IF($A59="","",IFERROR(INDEX('זה אני - קליטה'!$AL$5:$AL$204,MATCH($A59&amp;"|אמצע שנה",'זה אני - קליטה'!$AF$5:$AF$204,0)),""))</f>
        <v/>
      </c>
      <c r="O59" s="36">
        <f>IF($A59="","",IFERROR(INDEX('זה אני - קליטה'!$AG$5:$AG$204,MATCH($A59&amp;"|אמצע שנה",'זה אני - קליטה'!$AF$5:$AF$204,0)),""))</f>
        <v/>
      </c>
      <c r="P59" s="37">
        <f>IF($A59="","",IFERROR(INDEX('זה אני - קליטה'!$AN$5:$AN$204,MATCH($A59&amp;"|אמצע שנה",'זה אני - קליטה'!$AF$5:$AF$204,0)),""))</f>
        <v/>
      </c>
      <c r="Q59" s="36">
        <f>IF($A59="","",IFERROR(INDEX('זה אני - קליטה'!$AW$5:$AW$204,MATCH($A59&amp;"|אמצע שנה",'זה אני - קליטה'!$AF$5:$AF$204,0)),""))</f>
        <v/>
      </c>
      <c r="R59" s="37">
        <f>IF($A59="","",IFERROR(INDEX('זה אני - קליטה'!$AH$5:$AH$204,MATCH($A59&amp;"|סוף שנה",'זה אני - קליטה'!$AF$5:$AF$204,0)),""))</f>
        <v/>
      </c>
      <c r="S59" s="37">
        <f>IF($A59="","",IFERROR(INDEX('זה אני - קליטה'!$AI$5:$AI$204,MATCH($A59&amp;"|סוף שנה",'זה אני - קליטה'!$AF$5:$AF$204,0)),""))</f>
        <v/>
      </c>
      <c r="T59" s="37">
        <f>IF($A59="","",IFERROR(INDEX('זה אני - קליטה'!$AJ$5:$AJ$204,MATCH($A59&amp;"|סוף שנה",'זה אני - קליטה'!$AF$5:$AF$204,0)),""))</f>
        <v/>
      </c>
      <c r="U59" s="37">
        <f>IF($A59="","",IFERROR(INDEX('זה אני - קליטה'!$AK$5:$AK$204,MATCH($A59&amp;"|סוף שנה",'זה אני - קליטה'!$AF$5:$AF$204,0)),""))</f>
        <v/>
      </c>
      <c r="V59" s="37">
        <f>IF($A59="","",IFERROR(INDEX('זה אני - קליטה'!$AL$5:$AL$204,MATCH($A59&amp;"|סוף שנה",'זה אני - קליטה'!$AF$5:$AF$204,0)),""))</f>
        <v/>
      </c>
      <c r="W59" s="36">
        <f>IF($A59="","",IFERROR(INDEX('זה אני - קליטה'!$AG$5:$AG$204,MATCH($A59&amp;"|סוף שנה",'זה אני - קליטה'!$AF$5:$AF$204,0)),""))</f>
        <v/>
      </c>
      <c r="X59" s="37">
        <f>IF($A59="","",IFERROR(INDEX('זה אני - קליטה'!$AN$5:$AN$204,MATCH($A59&amp;"|סוף שנה",'זה אני - קליטה'!$AF$5:$AF$204,0)),""))</f>
        <v/>
      </c>
      <c r="Y59" s="36">
        <f>IF($A59="","",IFERROR(INDEX('זה אני - קליטה'!$AW$5:$AW$204,MATCH($A59&amp;"|סוף שנה",'זה אני - קליטה'!$AF$5:$AF$204,0)),""))</f>
        <v/>
      </c>
      <c r="Z59" s="43">
        <f>IF(AND(ISNUMBER(F59),ISNUMBER(V59)),V59-F59,"")</f>
        <v/>
      </c>
      <c r="AA59" s="36">
        <f>IF(Z59="","",IF(Z59&gt;=0.25,"עלייה",IF(Z59&lt;=-0.25,"ירידה","יציב")))</f>
        <v/>
      </c>
    </row>
    <row r="60">
      <c r="A60" s="38" t="n"/>
      <c r="B60" s="37">
        <f>IF($A60="","",IFERROR(INDEX('זה אני - קליטה'!$AH$5:$AH$204,MATCH($A60&amp;"|תחילת שנה",'זה אני - קליטה'!$AF$5:$AF$204,0)),""))</f>
        <v/>
      </c>
      <c r="C60" s="37">
        <f>IF($A60="","",IFERROR(INDEX('זה אני - קליטה'!$AI$5:$AI$204,MATCH($A60&amp;"|תחילת שנה",'זה אני - קליטה'!$AF$5:$AF$204,0)),""))</f>
        <v/>
      </c>
      <c r="D60" s="37">
        <f>IF($A60="","",IFERROR(INDEX('זה אני - קליטה'!$AJ$5:$AJ$204,MATCH($A60&amp;"|תחילת שנה",'זה אני - קליטה'!$AF$5:$AF$204,0)),""))</f>
        <v/>
      </c>
      <c r="E60" s="37">
        <f>IF($A60="","",IFERROR(INDEX('זה אני - קליטה'!$AK$5:$AK$204,MATCH($A60&amp;"|תחילת שנה",'זה אני - קליטה'!$AF$5:$AF$204,0)),""))</f>
        <v/>
      </c>
      <c r="F60" s="37">
        <f>IF($A60="","",IFERROR(INDEX('זה אני - קליטה'!$AL$5:$AL$204,MATCH($A60&amp;"|תחילת שנה",'זה אני - קליטה'!$AF$5:$AF$204,0)),""))</f>
        <v/>
      </c>
      <c r="G60" s="36">
        <f>IF($A60="","",IFERROR(INDEX('זה אני - קליטה'!$AG$5:$AG$204,MATCH($A60&amp;"|תחילת שנה",'זה אני - קליטה'!$AF$5:$AF$204,0)),""))</f>
        <v/>
      </c>
      <c r="H60" s="37">
        <f>IF($A60="","",IFERROR(INDEX('זה אני - קליטה'!$AN$5:$AN$204,MATCH($A60&amp;"|תחילת שנה",'זה אני - קליטה'!$AF$5:$AF$204,0)),""))</f>
        <v/>
      </c>
      <c r="I60" s="36">
        <f>IF($A60="","",IFERROR(INDEX('זה אני - קליטה'!$AW$5:$AW$204,MATCH($A60&amp;"|תחילת שנה",'זה אני - קליטה'!$AF$5:$AF$204,0)),""))</f>
        <v/>
      </c>
      <c r="J60" s="37">
        <f>IF($A60="","",IFERROR(INDEX('זה אני - קליטה'!$AH$5:$AH$204,MATCH($A60&amp;"|אמצע שנה",'זה אני - קליטה'!$AF$5:$AF$204,0)),""))</f>
        <v/>
      </c>
      <c r="K60" s="37">
        <f>IF($A60="","",IFERROR(INDEX('זה אני - קליטה'!$AI$5:$AI$204,MATCH($A60&amp;"|אמצע שנה",'זה אני - קליטה'!$AF$5:$AF$204,0)),""))</f>
        <v/>
      </c>
      <c r="L60" s="37">
        <f>IF($A60="","",IFERROR(INDEX('זה אני - קליטה'!$AJ$5:$AJ$204,MATCH($A60&amp;"|אמצע שנה",'זה אני - קליטה'!$AF$5:$AF$204,0)),""))</f>
        <v/>
      </c>
      <c r="M60" s="37">
        <f>IF($A60="","",IFERROR(INDEX('זה אני - קליטה'!$AK$5:$AK$204,MATCH($A60&amp;"|אמצע שנה",'זה אני - קליטה'!$AF$5:$AF$204,0)),""))</f>
        <v/>
      </c>
      <c r="N60" s="37">
        <f>IF($A60="","",IFERROR(INDEX('זה אני - קליטה'!$AL$5:$AL$204,MATCH($A60&amp;"|אמצע שנה",'זה אני - קליטה'!$AF$5:$AF$204,0)),""))</f>
        <v/>
      </c>
      <c r="O60" s="36">
        <f>IF($A60="","",IFERROR(INDEX('זה אני - קליטה'!$AG$5:$AG$204,MATCH($A60&amp;"|אמצע שנה",'זה אני - קליטה'!$AF$5:$AF$204,0)),""))</f>
        <v/>
      </c>
      <c r="P60" s="37">
        <f>IF($A60="","",IFERROR(INDEX('זה אני - קליטה'!$AN$5:$AN$204,MATCH($A60&amp;"|אמצע שנה",'זה אני - קליטה'!$AF$5:$AF$204,0)),""))</f>
        <v/>
      </c>
      <c r="Q60" s="36">
        <f>IF($A60="","",IFERROR(INDEX('זה אני - קליטה'!$AW$5:$AW$204,MATCH($A60&amp;"|אמצע שנה",'זה אני - קליטה'!$AF$5:$AF$204,0)),""))</f>
        <v/>
      </c>
      <c r="R60" s="37">
        <f>IF($A60="","",IFERROR(INDEX('זה אני - קליטה'!$AH$5:$AH$204,MATCH($A60&amp;"|סוף שנה",'זה אני - קליטה'!$AF$5:$AF$204,0)),""))</f>
        <v/>
      </c>
      <c r="S60" s="37">
        <f>IF($A60="","",IFERROR(INDEX('זה אני - קליטה'!$AI$5:$AI$204,MATCH($A60&amp;"|סוף שנה",'זה אני - קליטה'!$AF$5:$AF$204,0)),""))</f>
        <v/>
      </c>
      <c r="T60" s="37">
        <f>IF($A60="","",IFERROR(INDEX('זה אני - קליטה'!$AJ$5:$AJ$204,MATCH($A60&amp;"|סוף שנה",'זה אני - קליטה'!$AF$5:$AF$204,0)),""))</f>
        <v/>
      </c>
      <c r="U60" s="37">
        <f>IF($A60="","",IFERROR(INDEX('זה אני - קליטה'!$AK$5:$AK$204,MATCH($A60&amp;"|סוף שנה",'זה אני - קליטה'!$AF$5:$AF$204,0)),""))</f>
        <v/>
      </c>
      <c r="V60" s="37">
        <f>IF($A60="","",IFERROR(INDEX('זה אני - קליטה'!$AL$5:$AL$204,MATCH($A60&amp;"|סוף שנה",'זה אני - קליטה'!$AF$5:$AF$204,0)),""))</f>
        <v/>
      </c>
      <c r="W60" s="36">
        <f>IF($A60="","",IFERROR(INDEX('זה אני - קליטה'!$AG$5:$AG$204,MATCH($A60&amp;"|סוף שנה",'זה אני - קליטה'!$AF$5:$AF$204,0)),""))</f>
        <v/>
      </c>
      <c r="X60" s="37">
        <f>IF($A60="","",IFERROR(INDEX('זה אני - קליטה'!$AN$5:$AN$204,MATCH($A60&amp;"|סוף שנה",'זה אני - קליטה'!$AF$5:$AF$204,0)),""))</f>
        <v/>
      </c>
      <c r="Y60" s="36">
        <f>IF($A60="","",IFERROR(INDEX('זה אני - קליטה'!$AW$5:$AW$204,MATCH($A60&amp;"|סוף שנה",'זה אני - קליטה'!$AF$5:$AF$204,0)),""))</f>
        <v/>
      </c>
      <c r="Z60" s="43">
        <f>IF(AND(ISNUMBER(F60),ISNUMBER(V60)),V60-F60,"")</f>
        <v/>
      </c>
      <c r="AA60" s="36">
        <f>IF(Z60="","",IF(Z60&gt;=0.25,"עלייה",IF(Z60&lt;=-0.25,"ירידה","יציב")))</f>
        <v/>
      </c>
    </row>
    <row r="61">
      <c r="A61" s="38" t="n"/>
      <c r="B61" s="37">
        <f>IF($A61="","",IFERROR(INDEX('זה אני - קליטה'!$AH$5:$AH$204,MATCH($A61&amp;"|תחילת שנה",'זה אני - קליטה'!$AF$5:$AF$204,0)),""))</f>
        <v/>
      </c>
      <c r="C61" s="37">
        <f>IF($A61="","",IFERROR(INDEX('זה אני - קליטה'!$AI$5:$AI$204,MATCH($A61&amp;"|תחילת שנה",'זה אני - קליטה'!$AF$5:$AF$204,0)),""))</f>
        <v/>
      </c>
      <c r="D61" s="37">
        <f>IF($A61="","",IFERROR(INDEX('זה אני - קליטה'!$AJ$5:$AJ$204,MATCH($A61&amp;"|תחילת שנה",'זה אני - קליטה'!$AF$5:$AF$204,0)),""))</f>
        <v/>
      </c>
      <c r="E61" s="37">
        <f>IF($A61="","",IFERROR(INDEX('זה אני - קליטה'!$AK$5:$AK$204,MATCH($A61&amp;"|תחילת שנה",'זה אני - קליטה'!$AF$5:$AF$204,0)),""))</f>
        <v/>
      </c>
      <c r="F61" s="37">
        <f>IF($A61="","",IFERROR(INDEX('זה אני - קליטה'!$AL$5:$AL$204,MATCH($A61&amp;"|תחילת שנה",'זה אני - קליטה'!$AF$5:$AF$204,0)),""))</f>
        <v/>
      </c>
      <c r="G61" s="36">
        <f>IF($A61="","",IFERROR(INDEX('זה אני - קליטה'!$AG$5:$AG$204,MATCH($A61&amp;"|תחילת שנה",'זה אני - קליטה'!$AF$5:$AF$204,0)),""))</f>
        <v/>
      </c>
      <c r="H61" s="37">
        <f>IF($A61="","",IFERROR(INDEX('זה אני - קליטה'!$AN$5:$AN$204,MATCH($A61&amp;"|תחילת שנה",'זה אני - קליטה'!$AF$5:$AF$204,0)),""))</f>
        <v/>
      </c>
      <c r="I61" s="36">
        <f>IF($A61="","",IFERROR(INDEX('זה אני - קליטה'!$AW$5:$AW$204,MATCH($A61&amp;"|תחילת שנה",'זה אני - קליטה'!$AF$5:$AF$204,0)),""))</f>
        <v/>
      </c>
      <c r="J61" s="37">
        <f>IF($A61="","",IFERROR(INDEX('זה אני - קליטה'!$AH$5:$AH$204,MATCH($A61&amp;"|אמצע שנה",'זה אני - קליטה'!$AF$5:$AF$204,0)),""))</f>
        <v/>
      </c>
      <c r="K61" s="37">
        <f>IF($A61="","",IFERROR(INDEX('זה אני - קליטה'!$AI$5:$AI$204,MATCH($A61&amp;"|אמצע שנה",'זה אני - קליטה'!$AF$5:$AF$204,0)),""))</f>
        <v/>
      </c>
      <c r="L61" s="37">
        <f>IF($A61="","",IFERROR(INDEX('זה אני - קליטה'!$AJ$5:$AJ$204,MATCH($A61&amp;"|אמצע שנה",'זה אני - קליטה'!$AF$5:$AF$204,0)),""))</f>
        <v/>
      </c>
      <c r="M61" s="37">
        <f>IF($A61="","",IFERROR(INDEX('זה אני - קליטה'!$AK$5:$AK$204,MATCH($A61&amp;"|אמצע שנה",'זה אני - קליטה'!$AF$5:$AF$204,0)),""))</f>
        <v/>
      </c>
      <c r="N61" s="37">
        <f>IF($A61="","",IFERROR(INDEX('זה אני - קליטה'!$AL$5:$AL$204,MATCH($A61&amp;"|אמצע שנה",'זה אני - קליטה'!$AF$5:$AF$204,0)),""))</f>
        <v/>
      </c>
      <c r="O61" s="36">
        <f>IF($A61="","",IFERROR(INDEX('זה אני - קליטה'!$AG$5:$AG$204,MATCH($A61&amp;"|אמצע שנה",'זה אני - קליטה'!$AF$5:$AF$204,0)),""))</f>
        <v/>
      </c>
      <c r="P61" s="37">
        <f>IF($A61="","",IFERROR(INDEX('זה אני - קליטה'!$AN$5:$AN$204,MATCH($A61&amp;"|אמצע שנה",'זה אני - קליטה'!$AF$5:$AF$204,0)),""))</f>
        <v/>
      </c>
      <c r="Q61" s="36">
        <f>IF($A61="","",IFERROR(INDEX('זה אני - קליטה'!$AW$5:$AW$204,MATCH($A61&amp;"|אמצע שנה",'זה אני - קליטה'!$AF$5:$AF$204,0)),""))</f>
        <v/>
      </c>
      <c r="R61" s="37">
        <f>IF($A61="","",IFERROR(INDEX('זה אני - קליטה'!$AH$5:$AH$204,MATCH($A61&amp;"|סוף שנה",'זה אני - קליטה'!$AF$5:$AF$204,0)),""))</f>
        <v/>
      </c>
      <c r="S61" s="37">
        <f>IF($A61="","",IFERROR(INDEX('זה אני - קליטה'!$AI$5:$AI$204,MATCH($A61&amp;"|סוף שנה",'זה אני - קליטה'!$AF$5:$AF$204,0)),""))</f>
        <v/>
      </c>
      <c r="T61" s="37">
        <f>IF($A61="","",IFERROR(INDEX('זה אני - קליטה'!$AJ$5:$AJ$204,MATCH($A61&amp;"|סוף שנה",'זה אני - קליטה'!$AF$5:$AF$204,0)),""))</f>
        <v/>
      </c>
      <c r="U61" s="37">
        <f>IF($A61="","",IFERROR(INDEX('זה אני - קליטה'!$AK$5:$AK$204,MATCH($A61&amp;"|סוף שנה",'זה אני - קליטה'!$AF$5:$AF$204,0)),""))</f>
        <v/>
      </c>
      <c r="V61" s="37">
        <f>IF($A61="","",IFERROR(INDEX('זה אני - קליטה'!$AL$5:$AL$204,MATCH($A61&amp;"|סוף שנה",'זה אני - קליטה'!$AF$5:$AF$204,0)),""))</f>
        <v/>
      </c>
      <c r="W61" s="36">
        <f>IF($A61="","",IFERROR(INDEX('זה אני - קליטה'!$AG$5:$AG$204,MATCH($A61&amp;"|סוף שנה",'זה אני - קליטה'!$AF$5:$AF$204,0)),""))</f>
        <v/>
      </c>
      <c r="X61" s="37">
        <f>IF($A61="","",IFERROR(INDEX('זה אני - קליטה'!$AN$5:$AN$204,MATCH($A61&amp;"|סוף שנה",'זה אני - קליטה'!$AF$5:$AF$204,0)),""))</f>
        <v/>
      </c>
      <c r="Y61" s="36">
        <f>IF($A61="","",IFERROR(INDEX('זה אני - קליטה'!$AW$5:$AW$204,MATCH($A61&amp;"|סוף שנה",'זה אני - קליטה'!$AF$5:$AF$204,0)),""))</f>
        <v/>
      </c>
      <c r="Z61" s="43">
        <f>IF(AND(ISNUMBER(F61),ISNUMBER(V61)),V61-F61,"")</f>
        <v/>
      </c>
      <c r="AA61" s="36">
        <f>IF(Z61="","",IF(Z61&gt;=0.25,"עלייה",IF(Z61&lt;=-0.25,"ירידה","יציב")))</f>
        <v/>
      </c>
    </row>
    <row r="62">
      <c r="A62" s="38" t="n"/>
      <c r="B62" s="37">
        <f>IF($A62="","",IFERROR(INDEX('זה אני - קליטה'!$AH$5:$AH$204,MATCH($A62&amp;"|תחילת שנה",'זה אני - קליטה'!$AF$5:$AF$204,0)),""))</f>
        <v/>
      </c>
      <c r="C62" s="37">
        <f>IF($A62="","",IFERROR(INDEX('זה אני - קליטה'!$AI$5:$AI$204,MATCH($A62&amp;"|תחילת שנה",'זה אני - קליטה'!$AF$5:$AF$204,0)),""))</f>
        <v/>
      </c>
      <c r="D62" s="37">
        <f>IF($A62="","",IFERROR(INDEX('זה אני - קליטה'!$AJ$5:$AJ$204,MATCH($A62&amp;"|תחילת שנה",'זה אני - קליטה'!$AF$5:$AF$204,0)),""))</f>
        <v/>
      </c>
      <c r="E62" s="37">
        <f>IF($A62="","",IFERROR(INDEX('זה אני - קליטה'!$AK$5:$AK$204,MATCH($A62&amp;"|תחילת שנה",'זה אני - קליטה'!$AF$5:$AF$204,0)),""))</f>
        <v/>
      </c>
      <c r="F62" s="37">
        <f>IF($A62="","",IFERROR(INDEX('זה אני - קליטה'!$AL$5:$AL$204,MATCH($A62&amp;"|תחילת שנה",'זה אני - קליטה'!$AF$5:$AF$204,0)),""))</f>
        <v/>
      </c>
      <c r="G62" s="36">
        <f>IF($A62="","",IFERROR(INDEX('זה אני - קליטה'!$AG$5:$AG$204,MATCH($A62&amp;"|תחילת שנה",'זה אני - קליטה'!$AF$5:$AF$204,0)),""))</f>
        <v/>
      </c>
      <c r="H62" s="37">
        <f>IF($A62="","",IFERROR(INDEX('זה אני - קליטה'!$AN$5:$AN$204,MATCH($A62&amp;"|תחילת שנה",'זה אני - קליטה'!$AF$5:$AF$204,0)),""))</f>
        <v/>
      </c>
      <c r="I62" s="36">
        <f>IF($A62="","",IFERROR(INDEX('זה אני - קליטה'!$AW$5:$AW$204,MATCH($A62&amp;"|תחילת שנה",'זה אני - קליטה'!$AF$5:$AF$204,0)),""))</f>
        <v/>
      </c>
      <c r="J62" s="37">
        <f>IF($A62="","",IFERROR(INDEX('זה אני - קליטה'!$AH$5:$AH$204,MATCH($A62&amp;"|אמצע שנה",'זה אני - קליטה'!$AF$5:$AF$204,0)),""))</f>
        <v/>
      </c>
      <c r="K62" s="37">
        <f>IF($A62="","",IFERROR(INDEX('זה אני - קליטה'!$AI$5:$AI$204,MATCH($A62&amp;"|אמצע שנה",'זה אני - קליטה'!$AF$5:$AF$204,0)),""))</f>
        <v/>
      </c>
      <c r="L62" s="37">
        <f>IF($A62="","",IFERROR(INDEX('זה אני - קליטה'!$AJ$5:$AJ$204,MATCH($A62&amp;"|אמצע שנה",'זה אני - קליטה'!$AF$5:$AF$204,0)),""))</f>
        <v/>
      </c>
      <c r="M62" s="37">
        <f>IF($A62="","",IFERROR(INDEX('זה אני - קליטה'!$AK$5:$AK$204,MATCH($A62&amp;"|אמצע שנה",'זה אני - קליטה'!$AF$5:$AF$204,0)),""))</f>
        <v/>
      </c>
      <c r="N62" s="37">
        <f>IF($A62="","",IFERROR(INDEX('זה אני - קליטה'!$AL$5:$AL$204,MATCH($A62&amp;"|אמצע שנה",'זה אני - קליטה'!$AF$5:$AF$204,0)),""))</f>
        <v/>
      </c>
      <c r="O62" s="36">
        <f>IF($A62="","",IFERROR(INDEX('זה אני - קליטה'!$AG$5:$AG$204,MATCH($A62&amp;"|אמצע שנה",'זה אני - קליטה'!$AF$5:$AF$204,0)),""))</f>
        <v/>
      </c>
      <c r="P62" s="37">
        <f>IF($A62="","",IFERROR(INDEX('זה אני - קליטה'!$AN$5:$AN$204,MATCH($A62&amp;"|אמצע שנה",'זה אני - קליטה'!$AF$5:$AF$204,0)),""))</f>
        <v/>
      </c>
      <c r="Q62" s="36">
        <f>IF($A62="","",IFERROR(INDEX('זה אני - קליטה'!$AW$5:$AW$204,MATCH($A62&amp;"|אמצע שנה",'זה אני - קליטה'!$AF$5:$AF$204,0)),""))</f>
        <v/>
      </c>
      <c r="R62" s="37">
        <f>IF($A62="","",IFERROR(INDEX('זה אני - קליטה'!$AH$5:$AH$204,MATCH($A62&amp;"|סוף שנה",'זה אני - קליטה'!$AF$5:$AF$204,0)),""))</f>
        <v/>
      </c>
      <c r="S62" s="37">
        <f>IF($A62="","",IFERROR(INDEX('זה אני - קליטה'!$AI$5:$AI$204,MATCH($A62&amp;"|סוף שנה",'זה אני - קליטה'!$AF$5:$AF$204,0)),""))</f>
        <v/>
      </c>
      <c r="T62" s="37">
        <f>IF($A62="","",IFERROR(INDEX('זה אני - קליטה'!$AJ$5:$AJ$204,MATCH($A62&amp;"|סוף שנה",'זה אני - קליטה'!$AF$5:$AF$204,0)),""))</f>
        <v/>
      </c>
      <c r="U62" s="37">
        <f>IF($A62="","",IFERROR(INDEX('זה אני - קליטה'!$AK$5:$AK$204,MATCH($A62&amp;"|סוף שנה",'זה אני - קליטה'!$AF$5:$AF$204,0)),""))</f>
        <v/>
      </c>
      <c r="V62" s="37">
        <f>IF($A62="","",IFERROR(INDEX('זה אני - קליטה'!$AL$5:$AL$204,MATCH($A62&amp;"|סוף שנה",'זה אני - קליטה'!$AF$5:$AF$204,0)),""))</f>
        <v/>
      </c>
      <c r="W62" s="36">
        <f>IF($A62="","",IFERROR(INDEX('זה אני - קליטה'!$AG$5:$AG$204,MATCH($A62&amp;"|סוף שנה",'זה אני - קליטה'!$AF$5:$AF$204,0)),""))</f>
        <v/>
      </c>
      <c r="X62" s="37">
        <f>IF($A62="","",IFERROR(INDEX('זה אני - קליטה'!$AN$5:$AN$204,MATCH($A62&amp;"|סוף שנה",'זה אני - קליטה'!$AF$5:$AF$204,0)),""))</f>
        <v/>
      </c>
      <c r="Y62" s="36">
        <f>IF($A62="","",IFERROR(INDEX('זה אני - קליטה'!$AW$5:$AW$204,MATCH($A62&amp;"|סוף שנה",'זה אני - קליטה'!$AF$5:$AF$204,0)),""))</f>
        <v/>
      </c>
      <c r="Z62" s="43">
        <f>IF(AND(ISNUMBER(F62),ISNUMBER(V62)),V62-F62,"")</f>
        <v/>
      </c>
      <c r="AA62" s="36">
        <f>IF(Z62="","",IF(Z62&gt;=0.25,"עלייה",IF(Z62&lt;=-0.25,"ירידה","יציב")))</f>
        <v/>
      </c>
    </row>
    <row r="63">
      <c r="A63" s="38" t="n"/>
      <c r="B63" s="37">
        <f>IF($A63="","",IFERROR(INDEX('זה אני - קליטה'!$AH$5:$AH$204,MATCH($A63&amp;"|תחילת שנה",'זה אני - קליטה'!$AF$5:$AF$204,0)),""))</f>
        <v/>
      </c>
      <c r="C63" s="37">
        <f>IF($A63="","",IFERROR(INDEX('זה אני - קליטה'!$AI$5:$AI$204,MATCH($A63&amp;"|תחילת שנה",'זה אני - קליטה'!$AF$5:$AF$204,0)),""))</f>
        <v/>
      </c>
      <c r="D63" s="37">
        <f>IF($A63="","",IFERROR(INDEX('זה אני - קליטה'!$AJ$5:$AJ$204,MATCH($A63&amp;"|תחילת שנה",'זה אני - קליטה'!$AF$5:$AF$204,0)),""))</f>
        <v/>
      </c>
      <c r="E63" s="37">
        <f>IF($A63="","",IFERROR(INDEX('זה אני - קליטה'!$AK$5:$AK$204,MATCH($A63&amp;"|תחילת שנה",'זה אני - קליטה'!$AF$5:$AF$204,0)),""))</f>
        <v/>
      </c>
      <c r="F63" s="37">
        <f>IF($A63="","",IFERROR(INDEX('זה אני - קליטה'!$AL$5:$AL$204,MATCH($A63&amp;"|תחילת שנה",'זה אני - קליטה'!$AF$5:$AF$204,0)),""))</f>
        <v/>
      </c>
      <c r="G63" s="36">
        <f>IF($A63="","",IFERROR(INDEX('זה אני - קליטה'!$AG$5:$AG$204,MATCH($A63&amp;"|תחילת שנה",'זה אני - קליטה'!$AF$5:$AF$204,0)),""))</f>
        <v/>
      </c>
      <c r="H63" s="37">
        <f>IF($A63="","",IFERROR(INDEX('זה אני - קליטה'!$AN$5:$AN$204,MATCH($A63&amp;"|תחילת שנה",'זה אני - קליטה'!$AF$5:$AF$204,0)),""))</f>
        <v/>
      </c>
      <c r="I63" s="36">
        <f>IF($A63="","",IFERROR(INDEX('זה אני - קליטה'!$AW$5:$AW$204,MATCH($A63&amp;"|תחילת שנה",'זה אני - קליטה'!$AF$5:$AF$204,0)),""))</f>
        <v/>
      </c>
      <c r="J63" s="37">
        <f>IF($A63="","",IFERROR(INDEX('זה אני - קליטה'!$AH$5:$AH$204,MATCH($A63&amp;"|אמצע שנה",'זה אני - קליטה'!$AF$5:$AF$204,0)),""))</f>
        <v/>
      </c>
      <c r="K63" s="37">
        <f>IF($A63="","",IFERROR(INDEX('זה אני - קליטה'!$AI$5:$AI$204,MATCH($A63&amp;"|אמצע שנה",'זה אני - קליטה'!$AF$5:$AF$204,0)),""))</f>
        <v/>
      </c>
      <c r="L63" s="37">
        <f>IF($A63="","",IFERROR(INDEX('זה אני - קליטה'!$AJ$5:$AJ$204,MATCH($A63&amp;"|אמצע שנה",'זה אני - קליטה'!$AF$5:$AF$204,0)),""))</f>
        <v/>
      </c>
      <c r="M63" s="37">
        <f>IF($A63="","",IFERROR(INDEX('זה אני - קליטה'!$AK$5:$AK$204,MATCH($A63&amp;"|אמצע שנה",'זה אני - קליטה'!$AF$5:$AF$204,0)),""))</f>
        <v/>
      </c>
      <c r="N63" s="37">
        <f>IF($A63="","",IFERROR(INDEX('זה אני - קליטה'!$AL$5:$AL$204,MATCH($A63&amp;"|אמצע שנה",'זה אני - קליטה'!$AF$5:$AF$204,0)),""))</f>
        <v/>
      </c>
      <c r="O63" s="36">
        <f>IF($A63="","",IFERROR(INDEX('זה אני - קליטה'!$AG$5:$AG$204,MATCH($A63&amp;"|אמצע שנה",'זה אני - קליטה'!$AF$5:$AF$204,0)),""))</f>
        <v/>
      </c>
      <c r="P63" s="37">
        <f>IF($A63="","",IFERROR(INDEX('זה אני - קליטה'!$AN$5:$AN$204,MATCH($A63&amp;"|אמצע שנה",'זה אני - קליטה'!$AF$5:$AF$204,0)),""))</f>
        <v/>
      </c>
      <c r="Q63" s="36">
        <f>IF($A63="","",IFERROR(INDEX('זה אני - קליטה'!$AW$5:$AW$204,MATCH($A63&amp;"|אמצע שנה",'זה אני - קליטה'!$AF$5:$AF$204,0)),""))</f>
        <v/>
      </c>
      <c r="R63" s="37">
        <f>IF($A63="","",IFERROR(INDEX('זה אני - קליטה'!$AH$5:$AH$204,MATCH($A63&amp;"|סוף שנה",'זה אני - קליטה'!$AF$5:$AF$204,0)),""))</f>
        <v/>
      </c>
      <c r="S63" s="37">
        <f>IF($A63="","",IFERROR(INDEX('זה אני - קליטה'!$AI$5:$AI$204,MATCH($A63&amp;"|סוף שנה",'זה אני - קליטה'!$AF$5:$AF$204,0)),""))</f>
        <v/>
      </c>
      <c r="T63" s="37">
        <f>IF($A63="","",IFERROR(INDEX('זה אני - קליטה'!$AJ$5:$AJ$204,MATCH($A63&amp;"|סוף שנה",'זה אני - קליטה'!$AF$5:$AF$204,0)),""))</f>
        <v/>
      </c>
      <c r="U63" s="37">
        <f>IF($A63="","",IFERROR(INDEX('זה אני - קליטה'!$AK$5:$AK$204,MATCH($A63&amp;"|סוף שנה",'זה אני - קליטה'!$AF$5:$AF$204,0)),""))</f>
        <v/>
      </c>
      <c r="V63" s="37">
        <f>IF($A63="","",IFERROR(INDEX('זה אני - קליטה'!$AL$5:$AL$204,MATCH($A63&amp;"|סוף שנה",'זה אני - קליטה'!$AF$5:$AF$204,0)),""))</f>
        <v/>
      </c>
      <c r="W63" s="36">
        <f>IF($A63="","",IFERROR(INDEX('זה אני - קליטה'!$AG$5:$AG$204,MATCH($A63&amp;"|סוף שנה",'זה אני - קליטה'!$AF$5:$AF$204,0)),""))</f>
        <v/>
      </c>
      <c r="X63" s="37">
        <f>IF($A63="","",IFERROR(INDEX('זה אני - קליטה'!$AN$5:$AN$204,MATCH($A63&amp;"|סוף שנה",'זה אני - קליטה'!$AF$5:$AF$204,0)),""))</f>
        <v/>
      </c>
      <c r="Y63" s="36">
        <f>IF($A63="","",IFERROR(INDEX('זה אני - קליטה'!$AW$5:$AW$204,MATCH($A63&amp;"|סוף שנה",'זה אני - קליטה'!$AF$5:$AF$204,0)),""))</f>
        <v/>
      </c>
      <c r="Z63" s="43">
        <f>IF(AND(ISNUMBER(F63),ISNUMBER(V63)),V63-F63,"")</f>
        <v/>
      </c>
      <c r="AA63" s="36">
        <f>IF(Z63="","",IF(Z63&gt;=0.25,"עלייה",IF(Z63&lt;=-0.25,"ירידה","יציב")))</f>
        <v/>
      </c>
    </row>
    <row r="64">
      <c r="A64" s="38" t="n"/>
      <c r="B64" s="37">
        <f>IF($A64="","",IFERROR(INDEX('זה אני - קליטה'!$AH$5:$AH$204,MATCH($A64&amp;"|תחילת שנה",'זה אני - קליטה'!$AF$5:$AF$204,0)),""))</f>
        <v/>
      </c>
      <c r="C64" s="37">
        <f>IF($A64="","",IFERROR(INDEX('זה אני - קליטה'!$AI$5:$AI$204,MATCH($A64&amp;"|תחילת שנה",'זה אני - קליטה'!$AF$5:$AF$204,0)),""))</f>
        <v/>
      </c>
      <c r="D64" s="37">
        <f>IF($A64="","",IFERROR(INDEX('זה אני - קליטה'!$AJ$5:$AJ$204,MATCH($A64&amp;"|תחילת שנה",'זה אני - קליטה'!$AF$5:$AF$204,0)),""))</f>
        <v/>
      </c>
      <c r="E64" s="37">
        <f>IF($A64="","",IFERROR(INDEX('זה אני - קליטה'!$AK$5:$AK$204,MATCH($A64&amp;"|תחילת שנה",'זה אני - קליטה'!$AF$5:$AF$204,0)),""))</f>
        <v/>
      </c>
      <c r="F64" s="37">
        <f>IF($A64="","",IFERROR(INDEX('זה אני - קליטה'!$AL$5:$AL$204,MATCH($A64&amp;"|תחילת שנה",'זה אני - קליטה'!$AF$5:$AF$204,0)),""))</f>
        <v/>
      </c>
      <c r="G64" s="36">
        <f>IF($A64="","",IFERROR(INDEX('זה אני - קליטה'!$AG$5:$AG$204,MATCH($A64&amp;"|תחילת שנה",'זה אני - קליטה'!$AF$5:$AF$204,0)),""))</f>
        <v/>
      </c>
      <c r="H64" s="37">
        <f>IF($A64="","",IFERROR(INDEX('זה אני - קליטה'!$AN$5:$AN$204,MATCH($A64&amp;"|תחילת שנה",'זה אני - קליטה'!$AF$5:$AF$204,0)),""))</f>
        <v/>
      </c>
      <c r="I64" s="36">
        <f>IF($A64="","",IFERROR(INDEX('זה אני - קליטה'!$AW$5:$AW$204,MATCH($A64&amp;"|תחילת שנה",'זה אני - קליטה'!$AF$5:$AF$204,0)),""))</f>
        <v/>
      </c>
      <c r="J64" s="37">
        <f>IF($A64="","",IFERROR(INDEX('זה אני - קליטה'!$AH$5:$AH$204,MATCH($A64&amp;"|אמצע שנה",'זה אני - קליטה'!$AF$5:$AF$204,0)),""))</f>
        <v/>
      </c>
      <c r="K64" s="37">
        <f>IF($A64="","",IFERROR(INDEX('זה אני - קליטה'!$AI$5:$AI$204,MATCH($A64&amp;"|אמצע שנה",'זה אני - קליטה'!$AF$5:$AF$204,0)),""))</f>
        <v/>
      </c>
      <c r="L64" s="37">
        <f>IF($A64="","",IFERROR(INDEX('זה אני - קליטה'!$AJ$5:$AJ$204,MATCH($A64&amp;"|אמצע שנה",'זה אני - קליטה'!$AF$5:$AF$204,0)),""))</f>
        <v/>
      </c>
      <c r="M64" s="37">
        <f>IF($A64="","",IFERROR(INDEX('זה אני - קליטה'!$AK$5:$AK$204,MATCH($A64&amp;"|אמצע שנה",'זה אני - קליטה'!$AF$5:$AF$204,0)),""))</f>
        <v/>
      </c>
      <c r="N64" s="37">
        <f>IF($A64="","",IFERROR(INDEX('זה אני - קליטה'!$AL$5:$AL$204,MATCH($A64&amp;"|אמצע שנה",'זה אני - קליטה'!$AF$5:$AF$204,0)),""))</f>
        <v/>
      </c>
      <c r="O64" s="36">
        <f>IF($A64="","",IFERROR(INDEX('זה אני - קליטה'!$AG$5:$AG$204,MATCH($A64&amp;"|אמצע שנה",'זה אני - קליטה'!$AF$5:$AF$204,0)),""))</f>
        <v/>
      </c>
      <c r="P64" s="37">
        <f>IF($A64="","",IFERROR(INDEX('זה אני - קליטה'!$AN$5:$AN$204,MATCH($A64&amp;"|אמצע שנה",'זה אני - קליטה'!$AF$5:$AF$204,0)),""))</f>
        <v/>
      </c>
      <c r="Q64" s="36">
        <f>IF($A64="","",IFERROR(INDEX('זה אני - קליטה'!$AW$5:$AW$204,MATCH($A64&amp;"|אמצע שנה",'זה אני - קליטה'!$AF$5:$AF$204,0)),""))</f>
        <v/>
      </c>
      <c r="R64" s="37">
        <f>IF($A64="","",IFERROR(INDEX('זה אני - קליטה'!$AH$5:$AH$204,MATCH($A64&amp;"|סוף שנה",'זה אני - קליטה'!$AF$5:$AF$204,0)),""))</f>
        <v/>
      </c>
      <c r="S64" s="37">
        <f>IF($A64="","",IFERROR(INDEX('זה אני - קליטה'!$AI$5:$AI$204,MATCH($A64&amp;"|סוף שנה",'זה אני - קליטה'!$AF$5:$AF$204,0)),""))</f>
        <v/>
      </c>
      <c r="T64" s="37">
        <f>IF($A64="","",IFERROR(INDEX('זה אני - קליטה'!$AJ$5:$AJ$204,MATCH($A64&amp;"|סוף שנה",'זה אני - קליטה'!$AF$5:$AF$204,0)),""))</f>
        <v/>
      </c>
      <c r="U64" s="37">
        <f>IF($A64="","",IFERROR(INDEX('זה אני - קליטה'!$AK$5:$AK$204,MATCH($A64&amp;"|סוף שנה",'זה אני - קליטה'!$AF$5:$AF$204,0)),""))</f>
        <v/>
      </c>
      <c r="V64" s="37">
        <f>IF($A64="","",IFERROR(INDEX('זה אני - קליטה'!$AL$5:$AL$204,MATCH($A64&amp;"|סוף שנה",'זה אני - קליטה'!$AF$5:$AF$204,0)),""))</f>
        <v/>
      </c>
      <c r="W64" s="36">
        <f>IF($A64="","",IFERROR(INDEX('זה אני - קליטה'!$AG$5:$AG$204,MATCH($A64&amp;"|סוף שנה",'זה אני - קליטה'!$AF$5:$AF$204,0)),""))</f>
        <v/>
      </c>
      <c r="X64" s="37">
        <f>IF($A64="","",IFERROR(INDEX('זה אני - קליטה'!$AN$5:$AN$204,MATCH($A64&amp;"|סוף שנה",'זה אני - קליטה'!$AF$5:$AF$204,0)),""))</f>
        <v/>
      </c>
      <c r="Y64" s="36">
        <f>IF($A64="","",IFERROR(INDEX('זה אני - קליטה'!$AW$5:$AW$204,MATCH($A64&amp;"|סוף שנה",'זה אני - קליטה'!$AF$5:$AF$204,0)),""))</f>
        <v/>
      </c>
      <c r="Z64" s="43">
        <f>IF(AND(ISNUMBER(F64),ISNUMBER(V64)),V64-F64,"")</f>
        <v/>
      </c>
      <c r="AA64" s="36">
        <f>IF(Z64="","",IF(Z64&gt;=0.25,"עלייה",IF(Z64&lt;=-0.25,"ירידה","יציב")))</f>
        <v/>
      </c>
    </row>
    <row r="65">
      <c r="A65" s="38" t="n"/>
      <c r="B65" s="37">
        <f>IF($A65="","",IFERROR(INDEX('זה אני - קליטה'!$AH$5:$AH$204,MATCH($A65&amp;"|תחילת שנה",'זה אני - קליטה'!$AF$5:$AF$204,0)),""))</f>
        <v/>
      </c>
      <c r="C65" s="37">
        <f>IF($A65="","",IFERROR(INDEX('זה אני - קליטה'!$AI$5:$AI$204,MATCH($A65&amp;"|תחילת שנה",'זה אני - קליטה'!$AF$5:$AF$204,0)),""))</f>
        <v/>
      </c>
      <c r="D65" s="37">
        <f>IF($A65="","",IFERROR(INDEX('זה אני - קליטה'!$AJ$5:$AJ$204,MATCH($A65&amp;"|תחילת שנה",'זה אני - קליטה'!$AF$5:$AF$204,0)),""))</f>
        <v/>
      </c>
      <c r="E65" s="37">
        <f>IF($A65="","",IFERROR(INDEX('זה אני - קליטה'!$AK$5:$AK$204,MATCH($A65&amp;"|תחילת שנה",'זה אני - קליטה'!$AF$5:$AF$204,0)),""))</f>
        <v/>
      </c>
      <c r="F65" s="37">
        <f>IF($A65="","",IFERROR(INDEX('זה אני - קליטה'!$AL$5:$AL$204,MATCH($A65&amp;"|תחילת שנה",'זה אני - קליטה'!$AF$5:$AF$204,0)),""))</f>
        <v/>
      </c>
      <c r="G65" s="36">
        <f>IF($A65="","",IFERROR(INDEX('זה אני - קליטה'!$AG$5:$AG$204,MATCH($A65&amp;"|תחילת שנה",'זה אני - קליטה'!$AF$5:$AF$204,0)),""))</f>
        <v/>
      </c>
      <c r="H65" s="37">
        <f>IF($A65="","",IFERROR(INDEX('זה אני - קליטה'!$AN$5:$AN$204,MATCH($A65&amp;"|תחילת שנה",'זה אני - קליטה'!$AF$5:$AF$204,0)),""))</f>
        <v/>
      </c>
      <c r="I65" s="36">
        <f>IF($A65="","",IFERROR(INDEX('זה אני - קליטה'!$AW$5:$AW$204,MATCH($A65&amp;"|תחילת שנה",'זה אני - קליטה'!$AF$5:$AF$204,0)),""))</f>
        <v/>
      </c>
      <c r="J65" s="37">
        <f>IF($A65="","",IFERROR(INDEX('זה אני - קליטה'!$AH$5:$AH$204,MATCH($A65&amp;"|אמצע שנה",'זה אני - קליטה'!$AF$5:$AF$204,0)),""))</f>
        <v/>
      </c>
      <c r="K65" s="37">
        <f>IF($A65="","",IFERROR(INDEX('זה אני - קליטה'!$AI$5:$AI$204,MATCH($A65&amp;"|אמצע שנה",'זה אני - קליטה'!$AF$5:$AF$204,0)),""))</f>
        <v/>
      </c>
      <c r="L65" s="37">
        <f>IF($A65="","",IFERROR(INDEX('זה אני - קליטה'!$AJ$5:$AJ$204,MATCH($A65&amp;"|אמצע שנה",'זה אני - קליטה'!$AF$5:$AF$204,0)),""))</f>
        <v/>
      </c>
      <c r="M65" s="37">
        <f>IF($A65="","",IFERROR(INDEX('זה אני - קליטה'!$AK$5:$AK$204,MATCH($A65&amp;"|אמצע שנה",'זה אני - קליטה'!$AF$5:$AF$204,0)),""))</f>
        <v/>
      </c>
      <c r="N65" s="37">
        <f>IF($A65="","",IFERROR(INDEX('זה אני - קליטה'!$AL$5:$AL$204,MATCH($A65&amp;"|אמצע שנה",'זה אני - קליטה'!$AF$5:$AF$204,0)),""))</f>
        <v/>
      </c>
      <c r="O65" s="36">
        <f>IF($A65="","",IFERROR(INDEX('זה אני - קליטה'!$AG$5:$AG$204,MATCH($A65&amp;"|אמצע שנה",'זה אני - קליטה'!$AF$5:$AF$204,0)),""))</f>
        <v/>
      </c>
      <c r="P65" s="37">
        <f>IF($A65="","",IFERROR(INDEX('זה אני - קליטה'!$AN$5:$AN$204,MATCH($A65&amp;"|אמצע שנה",'זה אני - קליטה'!$AF$5:$AF$204,0)),""))</f>
        <v/>
      </c>
      <c r="Q65" s="36">
        <f>IF($A65="","",IFERROR(INDEX('זה אני - קליטה'!$AW$5:$AW$204,MATCH($A65&amp;"|אמצע שנה",'זה אני - קליטה'!$AF$5:$AF$204,0)),""))</f>
        <v/>
      </c>
      <c r="R65" s="37">
        <f>IF($A65="","",IFERROR(INDEX('זה אני - קליטה'!$AH$5:$AH$204,MATCH($A65&amp;"|סוף שנה",'זה אני - קליטה'!$AF$5:$AF$204,0)),""))</f>
        <v/>
      </c>
      <c r="S65" s="37">
        <f>IF($A65="","",IFERROR(INDEX('זה אני - קליטה'!$AI$5:$AI$204,MATCH($A65&amp;"|סוף שנה",'זה אני - קליטה'!$AF$5:$AF$204,0)),""))</f>
        <v/>
      </c>
      <c r="T65" s="37">
        <f>IF($A65="","",IFERROR(INDEX('זה אני - קליטה'!$AJ$5:$AJ$204,MATCH($A65&amp;"|סוף שנה",'זה אני - קליטה'!$AF$5:$AF$204,0)),""))</f>
        <v/>
      </c>
      <c r="U65" s="37">
        <f>IF($A65="","",IFERROR(INDEX('זה אני - קליטה'!$AK$5:$AK$204,MATCH($A65&amp;"|סוף שנה",'זה אני - קליטה'!$AF$5:$AF$204,0)),""))</f>
        <v/>
      </c>
      <c r="V65" s="37">
        <f>IF($A65="","",IFERROR(INDEX('זה אני - קליטה'!$AL$5:$AL$204,MATCH($A65&amp;"|סוף שנה",'זה אני - קליטה'!$AF$5:$AF$204,0)),""))</f>
        <v/>
      </c>
      <c r="W65" s="36">
        <f>IF($A65="","",IFERROR(INDEX('זה אני - קליטה'!$AG$5:$AG$204,MATCH($A65&amp;"|סוף שנה",'זה אני - קליטה'!$AF$5:$AF$204,0)),""))</f>
        <v/>
      </c>
      <c r="X65" s="37">
        <f>IF($A65="","",IFERROR(INDEX('זה אני - קליטה'!$AN$5:$AN$204,MATCH($A65&amp;"|סוף שנה",'זה אני - קליטה'!$AF$5:$AF$204,0)),""))</f>
        <v/>
      </c>
      <c r="Y65" s="36">
        <f>IF($A65="","",IFERROR(INDEX('זה אני - קליטה'!$AW$5:$AW$204,MATCH($A65&amp;"|סוף שנה",'זה אני - קליטה'!$AF$5:$AF$204,0)),""))</f>
        <v/>
      </c>
      <c r="Z65" s="43">
        <f>IF(AND(ISNUMBER(F65),ISNUMBER(V65)),V65-F65,"")</f>
        <v/>
      </c>
      <c r="AA65" s="36">
        <f>IF(Z65="","",IF(Z65&gt;=0.25,"עלייה",IF(Z65&lt;=-0.25,"ירידה","יציב")))</f>
        <v/>
      </c>
    </row>
    <row r="66">
      <c r="A66" s="38" t="n"/>
      <c r="B66" s="37">
        <f>IF($A66="","",IFERROR(INDEX('זה אני - קליטה'!$AH$5:$AH$204,MATCH($A66&amp;"|תחילת שנה",'זה אני - קליטה'!$AF$5:$AF$204,0)),""))</f>
        <v/>
      </c>
      <c r="C66" s="37">
        <f>IF($A66="","",IFERROR(INDEX('זה אני - קליטה'!$AI$5:$AI$204,MATCH($A66&amp;"|תחילת שנה",'זה אני - קליטה'!$AF$5:$AF$204,0)),""))</f>
        <v/>
      </c>
      <c r="D66" s="37">
        <f>IF($A66="","",IFERROR(INDEX('זה אני - קליטה'!$AJ$5:$AJ$204,MATCH($A66&amp;"|תחילת שנה",'זה אני - קליטה'!$AF$5:$AF$204,0)),""))</f>
        <v/>
      </c>
      <c r="E66" s="37">
        <f>IF($A66="","",IFERROR(INDEX('זה אני - קליטה'!$AK$5:$AK$204,MATCH($A66&amp;"|תחילת שנה",'זה אני - קליטה'!$AF$5:$AF$204,0)),""))</f>
        <v/>
      </c>
      <c r="F66" s="37">
        <f>IF($A66="","",IFERROR(INDEX('זה אני - קליטה'!$AL$5:$AL$204,MATCH($A66&amp;"|תחילת שנה",'זה אני - קליטה'!$AF$5:$AF$204,0)),""))</f>
        <v/>
      </c>
      <c r="G66" s="36">
        <f>IF($A66="","",IFERROR(INDEX('זה אני - קליטה'!$AG$5:$AG$204,MATCH($A66&amp;"|תחילת שנה",'זה אני - קליטה'!$AF$5:$AF$204,0)),""))</f>
        <v/>
      </c>
      <c r="H66" s="37">
        <f>IF($A66="","",IFERROR(INDEX('זה אני - קליטה'!$AN$5:$AN$204,MATCH($A66&amp;"|תחילת שנה",'זה אני - קליטה'!$AF$5:$AF$204,0)),""))</f>
        <v/>
      </c>
      <c r="I66" s="36">
        <f>IF($A66="","",IFERROR(INDEX('זה אני - קליטה'!$AW$5:$AW$204,MATCH($A66&amp;"|תחילת שנה",'זה אני - קליטה'!$AF$5:$AF$204,0)),""))</f>
        <v/>
      </c>
      <c r="J66" s="37">
        <f>IF($A66="","",IFERROR(INDEX('זה אני - קליטה'!$AH$5:$AH$204,MATCH($A66&amp;"|אמצע שנה",'זה אני - קליטה'!$AF$5:$AF$204,0)),""))</f>
        <v/>
      </c>
      <c r="K66" s="37">
        <f>IF($A66="","",IFERROR(INDEX('זה אני - קליטה'!$AI$5:$AI$204,MATCH($A66&amp;"|אמצע שנה",'זה אני - קליטה'!$AF$5:$AF$204,0)),""))</f>
        <v/>
      </c>
      <c r="L66" s="37">
        <f>IF($A66="","",IFERROR(INDEX('זה אני - קליטה'!$AJ$5:$AJ$204,MATCH($A66&amp;"|אמצע שנה",'זה אני - קליטה'!$AF$5:$AF$204,0)),""))</f>
        <v/>
      </c>
      <c r="M66" s="37">
        <f>IF($A66="","",IFERROR(INDEX('זה אני - קליטה'!$AK$5:$AK$204,MATCH($A66&amp;"|אמצע שנה",'זה אני - קליטה'!$AF$5:$AF$204,0)),""))</f>
        <v/>
      </c>
      <c r="N66" s="37">
        <f>IF($A66="","",IFERROR(INDEX('זה אני - קליטה'!$AL$5:$AL$204,MATCH($A66&amp;"|אמצע שנה",'זה אני - קליטה'!$AF$5:$AF$204,0)),""))</f>
        <v/>
      </c>
      <c r="O66" s="36">
        <f>IF($A66="","",IFERROR(INDEX('זה אני - קליטה'!$AG$5:$AG$204,MATCH($A66&amp;"|אמצע שנה",'זה אני - קליטה'!$AF$5:$AF$204,0)),""))</f>
        <v/>
      </c>
      <c r="P66" s="37">
        <f>IF($A66="","",IFERROR(INDEX('זה אני - קליטה'!$AN$5:$AN$204,MATCH($A66&amp;"|אמצע שנה",'זה אני - קליטה'!$AF$5:$AF$204,0)),""))</f>
        <v/>
      </c>
      <c r="Q66" s="36">
        <f>IF($A66="","",IFERROR(INDEX('זה אני - קליטה'!$AW$5:$AW$204,MATCH($A66&amp;"|אמצע שנה",'זה אני - קליטה'!$AF$5:$AF$204,0)),""))</f>
        <v/>
      </c>
      <c r="R66" s="37">
        <f>IF($A66="","",IFERROR(INDEX('זה אני - קליטה'!$AH$5:$AH$204,MATCH($A66&amp;"|סוף שנה",'זה אני - קליטה'!$AF$5:$AF$204,0)),""))</f>
        <v/>
      </c>
      <c r="S66" s="37">
        <f>IF($A66="","",IFERROR(INDEX('זה אני - קליטה'!$AI$5:$AI$204,MATCH($A66&amp;"|סוף שנה",'זה אני - קליטה'!$AF$5:$AF$204,0)),""))</f>
        <v/>
      </c>
      <c r="T66" s="37">
        <f>IF($A66="","",IFERROR(INDEX('זה אני - קליטה'!$AJ$5:$AJ$204,MATCH($A66&amp;"|סוף שנה",'זה אני - קליטה'!$AF$5:$AF$204,0)),""))</f>
        <v/>
      </c>
      <c r="U66" s="37">
        <f>IF($A66="","",IFERROR(INDEX('זה אני - קליטה'!$AK$5:$AK$204,MATCH($A66&amp;"|סוף שנה",'זה אני - קליטה'!$AF$5:$AF$204,0)),""))</f>
        <v/>
      </c>
      <c r="V66" s="37">
        <f>IF($A66="","",IFERROR(INDEX('זה אני - קליטה'!$AL$5:$AL$204,MATCH($A66&amp;"|סוף שנה",'זה אני - קליטה'!$AF$5:$AF$204,0)),""))</f>
        <v/>
      </c>
      <c r="W66" s="36">
        <f>IF($A66="","",IFERROR(INDEX('זה אני - קליטה'!$AG$5:$AG$204,MATCH($A66&amp;"|סוף שנה",'זה אני - קליטה'!$AF$5:$AF$204,0)),""))</f>
        <v/>
      </c>
      <c r="X66" s="37">
        <f>IF($A66="","",IFERROR(INDEX('זה אני - קליטה'!$AN$5:$AN$204,MATCH($A66&amp;"|סוף שנה",'זה אני - קליטה'!$AF$5:$AF$204,0)),""))</f>
        <v/>
      </c>
      <c r="Y66" s="36">
        <f>IF($A66="","",IFERROR(INDEX('זה אני - קליטה'!$AW$5:$AW$204,MATCH($A66&amp;"|סוף שנה",'זה אני - קליטה'!$AF$5:$AF$204,0)),""))</f>
        <v/>
      </c>
      <c r="Z66" s="43">
        <f>IF(AND(ISNUMBER(F66),ISNUMBER(V66)),V66-F66,"")</f>
        <v/>
      </c>
      <c r="AA66" s="36">
        <f>IF(Z66="","",IF(Z66&gt;=0.25,"עלייה",IF(Z66&lt;=-0.25,"ירידה","יציב")))</f>
        <v/>
      </c>
    </row>
    <row r="67">
      <c r="A67" s="38" t="n"/>
      <c r="B67" s="37">
        <f>IF($A67="","",IFERROR(INDEX('זה אני - קליטה'!$AH$5:$AH$204,MATCH($A67&amp;"|תחילת שנה",'זה אני - קליטה'!$AF$5:$AF$204,0)),""))</f>
        <v/>
      </c>
      <c r="C67" s="37">
        <f>IF($A67="","",IFERROR(INDEX('זה אני - קליטה'!$AI$5:$AI$204,MATCH($A67&amp;"|תחילת שנה",'זה אני - קליטה'!$AF$5:$AF$204,0)),""))</f>
        <v/>
      </c>
      <c r="D67" s="37">
        <f>IF($A67="","",IFERROR(INDEX('זה אני - קליטה'!$AJ$5:$AJ$204,MATCH($A67&amp;"|תחילת שנה",'זה אני - קליטה'!$AF$5:$AF$204,0)),""))</f>
        <v/>
      </c>
      <c r="E67" s="37">
        <f>IF($A67="","",IFERROR(INDEX('זה אני - קליטה'!$AK$5:$AK$204,MATCH($A67&amp;"|תחילת שנה",'זה אני - קליטה'!$AF$5:$AF$204,0)),""))</f>
        <v/>
      </c>
      <c r="F67" s="37">
        <f>IF($A67="","",IFERROR(INDEX('זה אני - קליטה'!$AL$5:$AL$204,MATCH($A67&amp;"|תחילת שנה",'זה אני - קליטה'!$AF$5:$AF$204,0)),""))</f>
        <v/>
      </c>
      <c r="G67" s="36">
        <f>IF($A67="","",IFERROR(INDEX('זה אני - קליטה'!$AG$5:$AG$204,MATCH($A67&amp;"|תחילת שנה",'זה אני - קליטה'!$AF$5:$AF$204,0)),""))</f>
        <v/>
      </c>
      <c r="H67" s="37">
        <f>IF($A67="","",IFERROR(INDEX('זה אני - קליטה'!$AN$5:$AN$204,MATCH($A67&amp;"|תחילת שנה",'זה אני - קליטה'!$AF$5:$AF$204,0)),""))</f>
        <v/>
      </c>
      <c r="I67" s="36">
        <f>IF($A67="","",IFERROR(INDEX('זה אני - קליטה'!$AW$5:$AW$204,MATCH($A67&amp;"|תחילת שנה",'זה אני - קליטה'!$AF$5:$AF$204,0)),""))</f>
        <v/>
      </c>
      <c r="J67" s="37">
        <f>IF($A67="","",IFERROR(INDEX('זה אני - קליטה'!$AH$5:$AH$204,MATCH($A67&amp;"|אמצע שנה",'זה אני - קליטה'!$AF$5:$AF$204,0)),""))</f>
        <v/>
      </c>
      <c r="K67" s="37">
        <f>IF($A67="","",IFERROR(INDEX('זה אני - קליטה'!$AI$5:$AI$204,MATCH($A67&amp;"|אמצע שנה",'זה אני - קליטה'!$AF$5:$AF$204,0)),""))</f>
        <v/>
      </c>
      <c r="L67" s="37">
        <f>IF($A67="","",IFERROR(INDEX('זה אני - קליטה'!$AJ$5:$AJ$204,MATCH($A67&amp;"|אמצע שנה",'זה אני - קליטה'!$AF$5:$AF$204,0)),""))</f>
        <v/>
      </c>
      <c r="M67" s="37">
        <f>IF($A67="","",IFERROR(INDEX('זה אני - קליטה'!$AK$5:$AK$204,MATCH($A67&amp;"|אמצע שנה",'זה אני - קליטה'!$AF$5:$AF$204,0)),""))</f>
        <v/>
      </c>
      <c r="N67" s="37">
        <f>IF($A67="","",IFERROR(INDEX('זה אני - קליטה'!$AL$5:$AL$204,MATCH($A67&amp;"|אמצע שנה",'זה אני - קליטה'!$AF$5:$AF$204,0)),""))</f>
        <v/>
      </c>
      <c r="O67" s="36">
        <f>IF($A67="","",IFERROR(INDEX('זה אני - קליטה'!$AG$5:$AG$204,MATCH($A67&amp;"|אמצע שנה",'זה אני - קליטה'!$AF$5:$AF$204,0)),""))</f>
        <v/>
      </c>
      <c r="P67" s="37">
        <f>IF($A67="","",IFERROR(INDEX('זה אני - קליטה'!$AN$5:$AN$204,MATCH($A67&amp;"|אמצע שנה",'זה אני - קליטה'!$AF$5:$AF$204,0)),""))</f>
        <v/>
      </c>
      <c r="Q67" s="36">
        <f>IF($A67="","",IFERROR(INDEX('זה אני - קליטה'!$AW$5:$AW$204,MATCH($A67&amp;"|אמצע שנה",'זה אני - קליטה'!$AF$5:$AF$204,0)),""))</f>
        <v/>
      </c>
      <c r="R67" s="37">
        <f>IF($A67="","",IFERROR(INDEX('זה אני - קליטה'!$AH$5:$AH$204,MATCH($A67&amp;"|סוף שנה",'זה אני - קליטה'!$AF$5:$AF$204,0)),""))</f>
        <v/>
      </c>
      <c r="S67" s="37">
        <f>IF($A67="","",IFERROR(INDEX('זה אני - קליטה'!$AI$5:$AI$204,MATCH($A67&amp;"|סוף שנה",'זה אני - קליטה'!$AF$5:$AF$204,0)),""))</f>
        <v/>
      </c>
      <c r="T67" s="37">
        <f>IF($A67="","",IFERROR(INDEX('זה אני - קליטה'!$AJ$5:$AJ$204,MATCH($A67&amp;"|סוף שנה",'זה אני - קליטה'!$AF$5:$AF$204,0)),""))</f>
        <v/>
      </c>
      <c r="U67" s="37">
        <f>IF($A67="","",IFERROR(INDEX('זה אני - קליטה'!$AK$5:$AK$204,MATCH($A67&amp;"|סוף שנה",'זה אני - קליטה'!$AF$5:$AF$204,0)),""))</f>
        <v/>
      </c>
      <c r="V67" s="37">
        <f>IF($A67="","",IFERROR(INDEX('זה אני - קליטה'!$AL$5:$AL$204,MATCH($A67&amp;"|סוף שנה",'זה אני - קליטה'!$AF$5:$AF$204,0)),""))</f>
        <v/>
      </c>
      <c r="W67" s="36">
        <f>IF($A67="","",IFERROR(INDEX('זה אני - קליטה'!$AG$5:$AG$204,MATCH($A67&amp;"|סוף שנה",'זה אני - קליטה'!$AF$5:$AF$204,0)),""))</f>
        <v/>
      </c>
      <c r="X67" s="37">
        <f>IF($A67="","",IFERROR(INDEX('זה אני - קליטה'!$AN$5:$AN$204,MATCH($A67&amp;"|סוף שנה",'זה אני - קליטה'!$AF$5:$AF$204,0)),""))</f>
        <v/>
      </c>
      <c r="Y67" s="36">
        <f>IF($A67="","",IFERROR(INDEX('זה אני - קליטה'!$AW$5:$AW$204,MATCH($A67&amp;"|סוף שנה",'זה אני - קליטה'!$AF$5:$AF$204,0)),""))</f>
        <v/>
      </c>
      <c r="Z67" s="43">
        <f>IF(AND(ISNUMBER(F67),ISNUMBER(V67)),V67-F67,"")</f>
        <v/>
      </c>
      <c r="AA67" s="36">
        <f>IF(Z67="","",IF(Z67&gt;=0.25,"עלייה",IF(Z67&lt;=-0.25,"ירידה","יציב")))</f>
        <v/>
      </c>
    </row>
    <row r="68">
      <c r="A68" s="38" t="n"/>
      <c r="B68" s="37">
        <f>IF($A68="","",IFERROR(INDEX('זה אני - קליטה'!$AH$5:$AH$204,MATCH($A68&amp;"|תחילת שנה",'זה אני - קליטה'!$AF$5:$AF$204,0)),""))</f>
        <v/>
      </c>
      <c r="C68" s="37">
        <f>IF($A68="","",IFERROR(INDEX('זה אני - קליטה'!$AI$5:$AI$204,MATCH($A68&amp;"|תחילת שנה",'זה אני - קליטה'!$AF$5:$AF$204,0)),""))</f>
        <v/>
      </c>
      <c r="D68" s="37">
        <f>IF($A68="","",IFERROR(INDEX('זה אני - קליטה'!$AJ$5:$AJ$204,MATCH($A68&amp;"|תחילת שנה",'זה אני - קליטה'!$AF$5:$AF$204,0)),""))</f>
        <v/>
      </c>
      <c r="E68" s="37">
        <f>IF($A68="","",IFERROR(INDEX('זה אני - קליטה'!$AK$5:$AK$204,MATCH($A68&amp;"|תחילת שנה",'זה אני - קליטה'!$AF$5:$AF$204,0)),""))</f>
        <v/>
      </c>
      <c r="F68" s="37">
        <f>IF($A68="","",IFERROR(INDEX('זה אני - קליטה'!$AL$5:$AL$204,MATCH($A68&amp;"|תחילת שנה",'זה אני - קליטה'!$AF$5:$AF$204,0)),""))</f>
        <v/>
      </c>
      <c r="G68" s="36">
        <f>IF($A68="","",IFERROR(INDEX('זה אני - קליטה'!$AG$5:$AG$204,MATCH($A68&amp;"|תחילת שנה",'זה אני - קליטה'!$AF$5:$AF$204,0)),""))</f>
        <v/>
      </c>
      <c r="H68" s="37">
        <f>IF($A68="","",IFERROR(INDEX('זה אני - קליטה'!$AN$5:$AN$204,MATCH($A68&amp;"|תחילת שנה",'זה אני - קליטה'!$AF$5:$AF$204,0)),""))</f>
        <v/>
      </c>
      <c r="I68" s="36">
        <f>IF($A68="","",IFERROR(INDEX('זה אני - קליטה'!$AW$5:$AW$204,MATCH($A68&amp;"|תחילת שנה",'זה אני - קליטה'!$AF$5:$AF$204,0)),""))</f>
        <v/>
      </c>
      <c r="J68" s="37">
        <f>IF($A68="","",IFERROR(INDEX('זה אני - קליטה'!$AH$5:$AH$204,MATCH($A68&amp;"|אמצע שנה",'זה אני - קליטה'!$AF$5:$AF$204,0)),""))</f>
        <v/>
      </c>
      <c r="K68" s="37">
        <f>IF($A68="","",IFERROR(INDEX('זה אני - קליטה'!$AI$5:$AI$204,MATCH($A68&amp;"|אמצע שנה",'זה אני - קליטה'!$AF$5:$AF$204,0)),""))</f>
        <v/>
      </c>
      <c r="L68" s="37">
        <f>IF($A68="","",IFERROR(INDEX('זה אני - קליטה'!$AJ$5:$AJ$204,MATCH($A68&amp;"|אמצע שנה",'זה אני - קליטה'!$AF$5:$AF$204,0)),""))</f>
        <v/>
      </c>
      <c r="M68" s="37">
        <f>IF($A68="","",IFERROR(INDEX('זה אני - קליטה'!$AK$5:$AK$204,MATCH($A68&amp;"|אמצע שנה",'זה אני - קליטה'!$AF$5:$AF$204,0)),""))</f>
        <v/>
      </c>
      <c r="N68" s="37">
        <f>IF($A68="","",IFERROR(INDEX('זה אני - קליטה'!$AL$5:$AL$204,MATCH($A68&amp;"|אמצע שנה",'זה אני - קליטה'!$AF$5:$AF$204,0)),""))</f>
        <v/>
      </c>
      <c r="O68" s="36">
        <f>IF($A68="","",IFERROR(INDEX('זה אני - קליטה'!$AG$5:$AG$204,MATCH($A68&amp;"|אמצע שנה",'זה אני - קליטה'!$AF$5:$AF$204,0)),""))</f>
        <v/>
      </c>
      <c r="P68" s="37">
        <f>IF($A68="","",IFERROR(INDEX('זה אני - קליטה'!$AN$5:$AN$204,MATCH($A68&amp;"|אמצע שנה",'זה אני - קליטה'!$AF$5:$AF$204,0)),""))</f>
        <v/>
      </c>
      <c r="Q68" s="36">
        <f>IF($A68="","",IFERROR(INDEX('זה אני - קליטה'!$AW$5:$AW$204,MATCH($A68&amp;"|אמצע שנה",'זה אני - קליטה'!$AF$5:$AF$204,0)),""))</f>
        <v/>
      </c>
      <c r="R68" s="37">
        <f>IF($A68="","",IFERROR(INDEX('זה אני - קליטה'!$AH$5:$AH$204,MATCH($A68&amp;"|סוף שנה",'זה אני - קליטה'!$AF$5:$AF$204,0)),""))</f>
        <v/>
      </c>
      <c r="S68" s="37">
        <f>IF($A68="","",IFERROR(INDEX('זה אני - קליטה'!$AI$5:$AI$204,MATCH($A68&amp;"|סוף שנה",'זה אני - קליטה'!$AF$5:$AF$204,0)),""))</f>
        <v/>
      </c>
      <c r="T68" s="37">
        <f>IF($A68="","",IFERROR(INDEX('זה אני - קליטה'!$AJ$5:$AJ$204,MATCH($A68&amp;"|סוף שנה",'זה אני - קליטה'!$AF$5:$AF$204,0)),""))</f>
        <v/>
      </c>
      <c r="U68" s="37">
        <f>IF($A68="","",IFERROR(INDEX('זה אני - קליטה'!$AK$5:$AK$204,MATCH($A68&amp;"|סוף שנה",'זה אני - קליטה'!$AF$5:$AF$204,0)),""))</f>
        <v/>
      </c>
      <c r="V68" s="37">
        <f>IF($A68="","",IFERROR(INDEX('זה אני - קליטה'!$AL$5:$AL$204,MATCH($A68&amp;"|סוף שנה",'זה אני - קליטה'!$AF$5:$AF$204,0)),""))</f>
        <v/>
      </c>
      <c r="W68" s="36">
        <f>IF($A68="","",IFERROR(INDEX('זה אני - קליטה'!$AG$5:$AG$204,MATCH($A68&amp;"|סוף שנה",'זה אני - קליטה'!$AF$5:$AF$204,0)),""))</f>
        <v/>
      </c>
      <c r="X68" s="37">
        <f>IF($A68="","",IFERROR(INDEX('זה אני - קליטה'!$AN$5:$AN$204,MATCH($A68&amp;"|סוף שנה",'זה אני - קליטה'!$AF$5:$AF$204,0)),""))</f>
        <v/>
      </c>
      <c r="Y68" s="36">
        <f>IF($A68="","",IFERROR(INDEX('זה אני - קליטה'!$AW$5:$AW$204,MATCH($A68&amp;"|סוף שנה",'זה אני - קליטה'!$AF$5:$AF$204,0)),""))</f>
        <v/>
      </c>
      <c r="Z68" s="43">
        <f>IF(AND(ISNUMBER(F68),ISNUMBER(V68)),V68-F68,"")</f>
        <v/>
      </c>
      <c r="AA68" s="36">
        <f>IF(Z68="","",IF(Z68&gt;=0.25,"עלייה",IF(Z68&lt;=-0.25,"ירידה","יציב")))</f>
        <v/>
      </c>
    </row>
    <row r="69">
      <c r="A69" s="38" t="n"/>
      <c r="B69" s="37">
        <f>IF($A69="","",IFERROR(INDEX('זה אני - קליטה'!$AH$5:$AH$204,MATCH($A69&amp;"|תחילת שנה",'זה אני - קליטה'!$AF$5:$AF$204,0)),""))</f>
        <v/>
      </c>
      <c r="C69" s="37">
        <f>IF($A69="","",IFERROR(INDEX('זה אני - קליטה'!$AI$5:$AI$204,MATCH($A69&amp;"|תחילת שנה",'זה אני - קליטה'!$AF$5:$AF$204,0)),""))</f>
        <v/>
      </c>
      <c r="D69" s="37">
        <f>IF($A69="","",IFERROR(INDEX('זה אני - קליטה'!$AJ$5:$AJ$204,MATCH($A69&amp;"|תחילת שנה",'זה אני - קליטה'!$AF$5:$AF$204,0)),""))</f>
        <v/>
      </c>
      <c r="E69" s="37">
        <f>IF($A69="","",IFERROR(INDEX('זה אני - קליטה'!$AK$5:$AK$204,MATCH($A69&amp;"|תחילת שנה",'זה אני - קליטה'!$AF$5:$AF$204,0)),""))</f>
        <v/>
      </c>
      <c r="F69" s="37">
        <f>IF($A69="","",IFERROR(INDEX('זה אני - קליטה'!$AL$5:$AL$204,MATCH($A69&amp;"|תחילת שנה",'זה אני - קליטה'!$AF$5:$AF$204,0)),""))</f>
        <v/>
      </c>
      <c r="G69" s="36">
        <f>IF($A69="","",IFERROR(INDEX('זה אני - קליטה'!$AG$5:$AG$204,MATCH($A69&amp;"|תחילת שנה",'זה אני - קליטה'!$AF$5:$AF$204,0)),""))</f>
        <v/>
      </c>
      <c r="H69" s="37">
        <f>IF($A69="","",IFERROR(INDEX('זה אני - קליטה'!$AN$5:$AN$204,MATCH($A69&amp;"|תחילת שנה",'זה אני - קליטה'!$AF$5:$AF$204,0)),""))</f>
        <v/>
      </c>
      <c r="I69" s="36">
        <f>IF($A69="","",IFERROR(INDEX('זה אני - קליטה'!$AW$5:$AW$204,MATCH($A69&amp;"|תחילת שנה",'זה אני - קליטה'!$AF$5:$AF$204,0)),""))</f>
        <v/>
      </c>
      <c r="J69" s="37">
        <f>IF($A69="","",IFERROR(INDEX('זה אני - קליטה'!$AH$5:$AH$204,MATCH($A69&amp;"|אמצע שנה",'זה אני - קליטה'!$AF$5:$AF$204,0)),""))</f>
        <v/>
      </c>
      <c r="K69" s="37">
        <f>IF($A69="","",IFERROR(INDEX('זה אני - קליטה'!$AI$5:$AI$204,MATCH($A69&amp;"|אמצע שנה",'זה אני - קליטה'!$AF$5:$AF$204,0)),""))</f>
        <v/>
      </c>
      <c r="L69" s="37">
        <f>IF($A69="","",IFERROR(INDEX('זה אני - קליטה'!$AJ$5:$AJ$204,MATCH($A69&amp;"|אמצע שנה",'זה אני - קליטה'!$AF$5:$AF$204,0)),""))</f>
        <v/>
      </c>
      <c r="M69" s="37">
        <f>IF($A69="","",IFERROR(INDEX('זה אני - קליטה'!$AK$5:$AK$204,MATCH($A69&amp;"|אמצע שנה",'זה אני - קליטה'!$AF$5:$AF$204,0)),""))</f>
        <v/>
      </c>
      <c r="N69" s="37">
        <f>IF($A69="","",IFERROR(INDEX('זה אני - קליטה'!$AL$5:$AL$204,MATCH($A69&amp;"|אמצע שנה",'זה אני - קליטה'!$AF$5:$AF$204,0)),""))</f>
        <v/>
      </c>
      <c r="O69" s="36">
        <f>IF($A69="","",IFERROR(INDEX('זה אני - קליטה'!$AG$5:$AG$204,MATCH($A69&amp;"|אמצע שנה",'זה אני - קליטה'!$AF$5:$AF$204,0)),""))</f>
        <v/>
      </c>
      <c r="P69" s="37">
        <f>IF($A69="","",IFERROR(INDEX('זה אני - קליטה'!$AN$5:$AN$204,MATCH($A69&amp;"|אמצע שנה",'זה אני - קליטה'!$AF$5:$AF$204,0)),""))</f>
        <v/>
      </c>
      <c r="Q69" s="36">
        <f>IF($A69="","",IFERROR(INDEX('זה אני - קליטה'!$AW$5:$AW$204,MATCH($A69&amp;"|אמצע שנה",'זה אני - קליטה'!$AF$5:$AF$204,0)),""))</f>
        <v/>
      </c>
      <c r="R69" s="37">
        <f>IF($A69="","",IFERROR(INDEX('זה אני - קליטה'!$AH$5:$AH$204,MATCH($A69&amp;"|סוף שנה",'זה אני - קליטה'!$AF$5:$AF$204,0)),""))</f>
        <v/>
      </c>
      <c r="S69" s="37">
        <f>IF($A69="","",IFERROR(INDEX('זה אני - קליטה'!$AI$5:$AI$204,MATCH($A69&amp;"|סוף שנה",'זה אני - קליטה'!$AF$5:$AF$204,0)),""))</f>
        <v/>
      </c>
      <c r="T69" s="37">
        <f>IF($A69="","",IFERROR(INDEX('זה אני - קליטה'!$AJ$5:$AJ$204,MATCH($A69&amp;"|סוף שנה",'זה אני - קליטה'!$AF$5:$AF$204,0)),""))</f>
        <v/>
      </c>
      <c r="U69" s="37">
        <f>IF($A69="","",IFERROR(INDEX('זה אני - קליטה'!$AK$5:$AK$204,MATCH($A69&amp;"|סוף שנה",'זה אני - קליטה'!$AF$5:$AF$204,0)),""))</f>
        <v/>
      </c>
      <c r="V69" s="37">
        <f>IF($A69="","",IFERROR(INDEX('זה אני - קליטה'!$AL$5:$AL$204,MATCH($A69&amp;"|סוף שנה",'זה אני - קליטה'!$AF$5:$AF$204,0)),""))</f>
        <v/>
      </c>
      <c r="W69" s="36">
        <f>IF($A69="","",IFERROR(INDEX('זה אני - קליטה'!$AG$5:$AG$204,MATCH($A69&amp;"|סוף שנה",'זה אני - קליטה'!$AF$5:$AF$204,0)),""))</f>
        <v/>
      </c>
      <c r="X69" s="37">
        <f>IF($A69="","",IFERROR(INDEX('זה אני - קליטה'!$AN$5:$AN$204,MATCH($A69&amp;"|סוף שנה",'זה אני - קליטה'!$AF$5:$AF$204,0)),""))</f>
        <v/>
      </c>
      <c r="Y69" s="36">
        <f>IF($A69="","",IFERROR(INDEX('זה אני - קליטה'!$AW$5:$AW$204,MATCH($A69&amp;"|סוף שנה",'זה אני - קליטה'!$AF$5:$AF$204,0)),""))</f>
        <v/>
      </c>
      <c r="Z69" s="43">
        <f>IF(AND(ISNUMBER(F69),ISNUMBER(V69)),V69-F69,"")</f>
        <v/>
      </c>
      <c r="AA69" s="36">
        <f>IF(Z69="","",IF(Z69&gt;=0.25,"עלייה",IF(Z69&lt;=-0.25,"ירידה","יציב")))</f>
        <v/>
      </c>
    </row>
    <row r="70">
      <c r="A70" s="38" t="n"/>
      <c r="B70" s="37">
        <f>IF($A70="","",IFERROR(INDEX('זה אני - קליטה'!$AH$5:$AH$204,MATCH($A70&amp;"|תחילת שנה",'זה אני - קליטה'!$AF$5:$AF$204,0)),""))</f>
        <v/>
      </c>
      <c r="C70" s="37">
        <f>IF($A70="","",IFERROR(INDEX('זה אני - קליטה'!$AI$5:$AI$204,MATCH($A70&amp;"|תחילת שנה",'זה אני - קליטה'!$AF$5:$AF$204,0)),""))</f>
        <v/>
      </c>
      <c r="D70" s="37">
        <f>IF($A70="","",IFERROR(INDEX('זה אני - קליטה'!$AJ$5:$AJ$204,MATCH($A70&amp;"|תחילת שנה",'זה אני - קליטה'!$AF$5:$AF$204,0)),""))</f>
        <v/>
      </c>
      <c r="E70" s="37">
        <f>IF($A70="","",IFERROR(INDEX('זה אני - קליטה'!$AK$5:$AK$204,MATCH($A70&amp;"|תחילת שנה",'זה אני - קליטה'!$AF$5:$AF$204,0)),""))</f>
        <v/>
      </c>
      <c r="F70" s="37">
        <f>IF($A70="","",IFERROR(INDEX('זה אני - קליטה'!$AL$5:$AL$204,MATCH($A70&amp;"|תחילת שנה",'זה אני - קליטה'!$AF$5:$AF$204,0)),""))</f>
        <v/>
      </c>
      <c r="G70" s="36">
        <f>IF($A70="","",IFERROR(INDEX('זה אני - קליטה'!$AG$5:$AG$204,MATCH($A70&amp;"|תחילת שנה",'זה אני - קליטה'!$AF$5:$AF$204,0)),""))</f>
        <v/>
      </c>
      <c r="H70" s="37">
        <f>IF($A70="","",IFERROR(INDEX('זה אני - קליטה'!$AN$5:$AN$204,MATCH($A70&amp;"|תחילת שנה",'זה אני - קליטה'!$AF$5:$AF$204,0)),""))</f>
        <v/>
      </c>
      <c r="I70" s="36">
        <f>IF($A70="","",IFERROR(INDEX('זה אני - קליטה'!$AW$5:$AW$204,MATCH($A70&amp;"|תחילת שנה",'זה אני - קליטה'!$AF$5:$AF$204,0)),""))</f>
        <v/>
      </c>
      <c r="J70" s="37">
        <f>IF($A70="","",IFERROR(INDEX('זה אני - קליטה'!$AH$5:$AH$204,MATCH($A70&amp;"|אמצע שנה",'זה אני - קליטה'!$AF$5:$AF$204,0)),""))</f>
        <v/>
      </c>
      <c r="K70" s="37">
        <f>IF($A70="","",IFERROR(INDEX('זה אני - קליטה'!$AI$5:$AI$204,MATCH($A70&amp;"|אמצע שנה",'זה אני - קליטה'!$AF$5:$AF$204,0)),""))</f>
        <v/>
      </c>
      <c r="L70" s="37">
        <f>IF($A70="","",IFERROR(INDEX('זה אני - קליטה'!$AJ$5:$AJ$204,MATCH($A70&amp;"|אמצע שנה",'זה אני - קליטה'!$AF$5:$AF$204,0)),""))</f>
        <v/>
      </c>
      <c r="M70" s="37">
        <f>IF($A70="","",IFERROR(INDEX('זה אני - קליטה'!$AK$5:$AK$204,MATCH($A70&amp;"|אמצע שנה",'זה אני - קליטה'!$AF$5:$AF$204,0)),""))</f>
        <v/>
      </c>
      <c r="N70" s="37">
        <f>IF($A70="","",IFERROR(INDEX('זה אני - קליטה'!$AL$5:$AL$204,MATCH($A70&amp;"|אמצע שנה",'זה אני - קליטה'!$AF$5:$AF$204,0)),""))</f>
        <v/>
      </c>
      <c r="O70" s="36">
        <f>IF($A70="","",IFERROR(INDEX('זה אני - קליטה'!$AG$5:$AG$204,MATCH($A70&amp;"|אמצע שנה",'זה אני - קליטה'!$AF$5:$AF$204,0)),""))</f>
        <v/>
      </c>
      <c r="P70" s="37">
        <f>IF($A70="","",IFERROR(INDEX('זה אני - קליטה'!$AN$5:$AN$204,MATCH($A70&amp;"|אמצע שנה",'זה אני - קליטה'!$AF$5:$AF$204,0)),""))</f>
        <v/>
      </c>
      <c r="Q70" s="36">
        <f>IF($A70="","",IFERROR(INDEX('זה אני - קליטה'!$AW$5:$AW$204,MATCH($A70&amp;"|אמצע שנה",'זה אני - קליטה'!$AF$5:$AF$204,0)),""))</f>
        <v/>
      </c>
      <c r="R70" s="37">
        <f>IF($A70="","",IFERROR(INDEX('זה אני - קליטה'!$AH$5:$AH$204,MATCH($A70&amp;"|סוף שנה",'זה אני - קליטה'!$AF$5:$AF$204,0)),""))</f>
        <v/>
      </c>
      <c r="S70" s="37">
        <f>IF($A70="","",IFERROR(INDEX('זה אני - קליטה'!$AI$5:$AI$204,MATCH($A70&amp;"|סוף שנה",'זה אני - קליטה'!$AF$5:$AF$204,0)),""))</f>
        <v/>
      </c>
      <c r="T70" s="37">
        <f>IF($A70="","",IFERROR(INDEX('זה אני - קליטה'!$AJ$5:$AJ$204,MATCH($A70&amp;"|סוף שנה",'זה אני - קליטה'!$AF$5:$AF$204,0)),""))</f>
        <v/>
      </c>
      <c r="U70" s="37">
        <f>IF($A70="","",IFERROR(INDEX('זה אני - קליטה'!$AK$5:$AK$204,MATCH($A70&amp;"|סוף שנה",'זה אני - קליטה'!$AF$5:$AF$204,0)),""))</f>
        <v/>
      </c>
      <c r="V70" s="37">
        <f>IF($A70="","",IFERROR(INDEX('זה אני - קליטה'!$AL$5:$AL$204,MATCH($A70&amp;"|סוף שנה",'זה אני - קליטה'!$AF$5:$AF$204,0)),""))</f>
        <v/>
      </c>
      <c r="W70" s="36">
        <f>IF($A70="","",IFERROR(INDEX('זה אני - קליטה'!$AG$5:$AG$204,MATCH($A70&amp;"|סוף שנה",'זה אני - קליטה'!$AF$5:$AF$204,0)),""))</f>
        <v/>
      </c>
      <c r="X70" s="37">
        <f>IF($A70="","",IFERROR(INDEX('זה אני - קליטה'!$AN$5:$AN$204,MATCH($A70&amp;"|סוף שנה",'זה אני - קליטה'!$AF$5:$AF$204,0)),""))</f>
        <v/>
      </c>
      <c r="Y70" s="36">
        <f>IF($A70="","",IFERROR(INDEX('זה אני - קליטה'!$AW$5:$AW$204,MATCH($A70&amp;"|סוף שנה",'זה אני - קליטה'!$AF$5:$AF$204,0)),""))</f>
        <v/>
      </c>
      <c r="Z70" s="43">
        <f>IF(AND(ISNUMBER(F70),ISNUMBER(V70)),V70-F70,"")</f>
        <v/>
      </c>
      <c r="AA70" s="36">
        <f>IF(Z70="","",IF(Z70&gt;=0.25,"עלייה",IF(Z70&lt;=-0.25,"ירידה","יציב")))</f>
        <v/>
      </c>
    </row>
    <row r="71">
      <c r="A71" s="38" t="n"/>
      <c r="B71" s="37">
        <f>IF($A71="","",IFERROR(INDEX('זה אני - קליטה'!$AH$5:$AH$204,MATCH($A71&amp;"|תחילת שנה",'זה אני - קליטה'!$AF$5:$AF$204,0)),""))</f>
        <v/>
      </c>
      <c r="C71" s="37">
        <f>IF($A71="","",IFERROR(INDEX('זה אני - קליטה'!$AI$5:$AI$204,MATCH($A71&amp;"|תחילת שנה",'זה אני - קליטה'!$AF$5:$AF$204,0)),""))</f>
        <v/>
      </c>
      <c r="D71" s="37">
        <f>IF($A71="","",IFERROR(INDEX('זה אני - קליטה'!$AJ$5:$AJ$204,MATCH($A71&amp;"|תחילת שנה",'זה אני - קליטה'!$AF$5:$AF$204,0)),""))</f>
        <v/>
      </c>
      <c r="E71" s="37">
        <f>IF($A71="","",IFERROR(INDEX('זה אני - קליטה'!$AK$5:$AK$204,MATCH($A71&amp;"|תחילת שנה",'זה אני - קליטה'!$AF$5:$AF$204,0)),""))</f>
        <v/>
      </c>
      <c r="F71" s="37">
        <f>IF($A71="","",IFERROR(INDEX('זה אני - קליטה'!$AL$5:$AL$204,MATCH($A71&amp;"|תחילת שנה",'זה אני - קליטה'!$AF$5:$AF$204,0)),""))</f>
        <v/>
      </c>
      <c r="G71" s="36">
        <f>IF($A71="","",IFERROR(INDEX('זה אני - קליטה'!$AG$5:$AG$204,MATCH($A71&amp;"|תחילת שנה",'זה אני - קליטה'!$AF$5:$AF$204,0)),""))</f>
        <v/>
      </c>
      <c r="H71" s="37">
        <f>IF($A71="","",IFERROR(INDEX('זה אני - קליטה'!$AN$5:$AN$204,MATCH($A71&amp;"|תחילת שנה",'זה אני - קליטה'!$AF$5:$AF$204,0)),""))</f>
        <v/>
      </c>
      <c r="I71" s="36">
        <f>IF($A71="","",IFERROR(INDEX('זה אני - קליטה'!$AW$5:$AW$204,MATCH($A71&amp;"|תחילת שנה",'זה אני - קליטה'!$AF$5:$AF$204,0)),""))</f>
        <v/>
      </c>
      <c r="J71" s="37">
        <f>IF($A71="","",IFERROR(INDEX('זה אני - קליטה'!$AH$5:$AH$204,MATCH($A71&amp;"|אמצע שנה",'זה אני - קליטה'!$AF$5:$AF$204,0)),""))</f>
        <v/>
      </c>
      <c r="K71" s="37">
        <f>IF($A71="","",IFERROR(INDEX('זה אני - קליטה'!$AI$5:$AI$204,MATCH($A71&amp;"|אמצע שנה",'זה אני - קליטה'!$AF$5:$AF$204,0)),""))</f>
        <v/>
      </c>
      <c r="L71" s="37">
        <f>IF($A71="","",IFERROR(INDEX('זה אני - קליטה'!$AJ$5:$AJ$204,MATCH($A71&amp;"|אמצע שנה",'זה אני - קליטה'!$AF$5:$AF$204,0)),""))</f>
        <v/>
      </c>
      <c r="M71" s="37">
        <f>IF($A71="","",IFERROR(INDEX('זה אני - קליטה'!$AK$5:$AK$204,MATCH($A71&amp;"|אמצע שנה",'זה אני - קליטה'!$AF$5:$AF$204,0)),""))</f>
        <v/>
      </c>
      <c r="N71" s="37">
        <f>IF($A71="","",IFERROR(INDEX('זה אני - קליטה'!$AL$5:$AL$204,MATCH($A71&amp;"|אמצע שנה",'זה אני - קליטה'!$AF$5:$AF$204,0)),""))</f>
        <v/>
      </c>
      <c r="O71" s="36">
        <f>IF($A71="","",IFERROR(INDEX('זה אני - קליטה'!$AG$5:$AG$204,MATCH($A71&amp;"|אמצע שנה",'זה אני - קליטה'!$AF$5:$AF$204,0)),""))</f>
        <v/>
      </c>
      <c r="P71" s="37">
        <f>IF($A71="","",IFERROR(INDEX('זה אני - קליטה'!$AN$5:$AN$204,MATCH($A71&amp;"|אמצע שנה",'זה אני - קליטה'!$AF$5:$AF$204,0)),""))</f>
        <v/>
      </c>
      <c r="Q71" s="36">
        <f>IF($A71="","",IFERROR(INDEX('זה אני - קליטה'!$AW$5:$AW$204,MATCH($A71&amp;"|אמצע שנה",'זה אני - קליטה'!$AF$5:$AF$204,0)),""))</f>
        <v/>
      </c>
      <c r="R71" s="37">
        <f>IF($A71="","",IFERROR(INDEX('זה אני - קליטה'!$AH$5:$AH$204,MATCH($A71&amp;"|סוף שנה",'זה אני - קליטה'!$AF$5:$AF$204,0)),""))</f>
        <v/>
      </c>
      <c r="S71" s="37">
        <f>IF($A71="","",IFERROR(INDEX('זה אני - קליטה'!$AI$5:$AI$204,MATCH($A71&amp;"|סוף שנה",'זה אני - קליטה'!$AF$5:$AF$204,0)),""))</f>
        <v/>
      </c>
      <c r="T71" s="37">
        <f>IF($A71="","",IFERROR(INDEX('זה אני - קליטה'!$AJ$5:$AJ$204,MATCH($A71&amp;"|סוף שנה",'זה אני - קליטה'!$AF$5:$AF$204,0)),""))</f>
        <v/>
      </c>
      <c r="U71" s="37">
        <f>IF($A71="","",IFERROR(INDEX('זה אני - קליטה'!$AK$5:$AK$204,MATCH($A71&amp;"|סוף שנה",'זה אני - קליטה'!$AF$5:$AF$204,0)),""))</f>
        <v/>
      </c>
      <c r="V71" s="37">
        <f>IF($A71="","",IFERROR(INDEX('זה אני - קליטה'!$AL$5:$AL$204,MATCH($A71&amp;"|סוף שנה",'זה אני - קליטה'!$AF$5:$AF$204,0)),""))</f>
        <v/>
      </c>
      <c r="W71" s="36">
        <f>IF($A71="","",IFERROR(INDEX('זה אני - קליטה'!$AG$5:$AG$204,MATCH($A71&amp;"|סוף שנה",'זה אני - קליטה'!$AF$5:$AF$204,0)),""))</f>
        <v/>
      </c>
      <c r="X71" s="37">
        <f>IF($A71="","",IFERROR(INDEX('זה אני - קליטה'!$AN$5:$AN$204,MATCH($A71&amp;"|סוף שנה",'זה אני - קליטה'!$AF$5:$AF$204,0)),""))</f>
        <v/>
      </c>
      <c r="Y71" s="36">
        <f>IF($A71="","",IFERROR(INDEX('זה אני - קליטה'!$AW$5:$AW$204,MATCH($A71&amp;"|סוף שנה",'זה אני - קליטה'!$AF$5:$AF$204,0)),""))</f>
        <v/>
      </c>
      <c r="Z71" s="43">
        <f>IF(AND(ISNUMBER(F71),ISNUMBER(V71)),V71-F71,"")</f>
        <v/>
      </c>
      <c r="AA71" s="36">
        <f>IF(Z71="","",IF(Z71&gt;=0.25,"עלייה",IF(Z71&lt;=-0.25,"ירידה","יציב")))</f>
        <v/>
      </c>
    </row>
    <row r="72">
      <c r="A72" s="38" t="n"/>
      <c r="B72" s="37">
        <f>IF($A72="","",IFERROR(INDEX('זה אני - קליטה'!$AH$5:$AH$204,MATCH($A72&amp;"|תחילת שנה",'זה אני - קליטה'!$AF$5:$AF$204,0)),""))</f>
        <v/>
      </c>
      <c r="C72" s="37">
        <f>IF($A72="","",IFERROR(INDEX('זה אני - קליטה'!$AI$5:$AI$204,MATCH($A72&amp;"|תחילת שנה",'זה אני - קליטה'!$AF$5:$AF$204,0)),""))</f>
        <v/>
      </c>
      <c r="D72" s="37">
        <f>IF($A72="","",IFERROR(INDEX('זה אני - קליטה'!$AJ$5:$AJ$204,MATCH($A72&amp;"|תחילת שנה",'זה אני - קליטה'!$AF$5:$AF$204,0)),""))</f>
        <v/>
      </c>
      <c r="E72" s="37">
        <f>IF($A72="","",IFERROR(INDEX('זה אני - קליטה'!$AK$5:$AK$204,MATCH($A72&amp;"|תחילת שנה",'זה אני - קליטה'!$AF$5:$AF$204,0)),""))</f>
        <v/>
      </c>
      <c r="F72" s="37">
        <f>IF($A72="","",IFERROR(INDEX('זה אני - קליטה'!$AL$5:$AL$204,MATCH($A72&amp;"|תחילת שנה",'זה אני - קליטה'!$AF$5:$AF$204,0)),""))</f>
        <v/>
      </c>
      <c r="G72" s="36">
        <f>IF($A72="","",IFERROR(INDEX('זה אני - קליטה'!$AG$5:$AG$204,MATCH($A72&amp;"|תחילת שנה",'זה אני - קליטה'!$AF$5:$AF$204,0)),""))</f>
        <v/>
      </c>
      <c r="H72" s="37">
        <f>IF($A72="","",IFERROR(INDEX('זה אני - קליטה'!$AN$5:$AN$204,MATCH($A72&amp;"|תחילת שנה",'זה אני - קליטה'!$AF$5:$AF$204,0)),""))</f>
        <v/>
      </c>
      <c r="I72" s="36">
        <f>IF($A72="","",IFERROR(INDEX('זה אני - קליטה'!$AW$5:$AW$204,MATCH($A72&amp;"|תחילת שנה",'זה אני - קליטה'!$AF$5:$AF$204,0)),""))</f>
        <v/>
      </c>
      <c r="J72" s="37">
        <f>IF($A72="","",IFERROR(INDEX('זה אני - קליטה'!$AH$5:$AH$204,MATCH($A72&amp;"|אמצע שנה",'זה אני - קליטה'!$AF$5:$AF$204,0)),""))</f>
        <v/>
      </c>
      <c r="K72" s="37">
        <f>IF($A72="","",IFERROR(INDEX('זה אני - קליטה'!$AI$5:$AI$204,MATCH($A72&amp;"|אמצע שנה",'זה אני - קליטה'!$AF$5:$AF$204,0)),""))</f>
        <v/>
      </c>
      <c r="L72" s="37">
        <f>IF($A72="","",IFERROR(INDEX('זה אני - קליטה'!$AJ$5:$AJ$204,MATCH($A72&amp;"|אמצע שנה",'זה אני - קליטה'!$AF$5:$AF$204,0)),""))</f>
        <v/>
      </c>
      <c r="M72" s="37">
        <f>IF($A72="","",IFERROR(INDEX('זה אני - קליטה'!$AK$5:$AK$204,MATCH($A72&amp;"|אמצע שנה",'זה אני - קליטה'!$AF$5:$AF$204,0)),""))</f>
        <v/>
      </c>
      <c r="N72" s="37">
        <f>IF($A72="","",IFERROR(INDEX('זה אני - קליטה'!$AL$5:$AL$204,MATCH($A72&amp;"|אמצע שנה",'זה אני - קליטה'!$AF$5:$AF$204,0)),""))</f>
        <v/>
      </c>
      <c r="O72" s="36">
        <f>IF($A72="","",IFERROR(INDEX('זה אני - קליטה'!$AG$5:$AG$204,MATCH($A72&amp;"|אמצע שנה",'זה אני - קליטה'!$AF$5:$AF$204,0)),""))</f>
        <v/>
      </c>
      <c r="P72" s="37">
        <f>IF($A72="","",IFERROR(INDEX('זה אני - קליטה'!$AN$5:$AN$204,MATCH($A72&amp;"|אמצע שנה",'זה אני - קליטה'!$AF$5:$AF$204,0)),""))</f>
        <v/>
      </c>
      <c r="Q72" s="36">
        <f>IF($A72="","",IFERROR(INDEX('זה אני - קליטה'!$AW$5:$AW$204,MATCH($A72&amp;"|אמצע שנה",'זה אני - קליטה'!$AF$5:$AF$204,0)),""))</f>
        <v/>
      </c>
      <c r="R72" s="37">
        <f>IF($A72="","",IFERROR(INDEX('זה אני - קליטה'!$AH$5:$AH$204,MATCH($A72&amp;"|סוף שנה",'זה אני - קליטה'!$AF$5:$AF$204,0)),""))</f>
        <v/>
      </c>
      <c r="S72" s="37">
        <f>IF($A72="","",IFERROR(INDEX('זה אני - קליטה'!$AI$5:$AI$204,MATCH($A72&amp;"|סוף שנה",'זה אני - קליטה'!$AF$5:$AF$204,0)),""))</f>
        <v/>
      </c>
      <c r="T72" s="37">
        <f>IF($A72="","",IFERROR(INDEX('זה אני - קליטה'!$AJ$5:$AJ$204,MATCH($A72&amp;"|סוף שנה",'זה אני - קליטה'!$AF$5:$AF$204,0)),""))</f>
        <v/>
      </c>
      <c r="U72" s="37">
        <f>IF($A72="","",IFERROR(INDEX('זה אני - קליטה'!$AK$5:$AK$204,MATCH($A72&amp;"|סוף שנה",'זה אני - קליטה'!$AF$5:$AF$204,0)),""))</f>
        <v/>
      </c>
      <c r="V72" s="37">
        <f>IF($A72="","",IFERROR(INDEX('זה אני - קליטה'!$AL$5:$AL$204,MATCH($A72&amp;"|סוף שנה",'זה אני - קליטה'!$AF$5:$AF$204,0)),""))</f>
        <v/>
      </c>
      <c r="W72" s="36">
        <f>IF($A72="","",IFERROR(INDEX('זה אני - קליטה'!$AG$5:$AG$204,MATCH($A72&amp;"|סוף שנה",'זה אני - קליטה'!$AF$5:$AF$204,0)),""))</f>
        <v/>
      </c>
      <c r="X72" s="37">
        <f>IF($A72="","",IFERROR(INDEX('זה אני - קליטה'!$AN$5:$AN$204,MATCH($A72&amp;"|סוף שנה",'זה אני - קליטה'!$AF$5:$AF$204,0)),""))</f>
        <v/>
      </c>
      <c r="Y72" s="36">
        <f>IF($A72="","",IFERROR(INDEX('זה אני - קליטה'!$AW$5:$AW$204,MATCH($A72&amp;"|סוף שנה",'זה אני - קליטה'!$AF$5:$AF$204,0)),""))</f>
        <v/>
      </c>
      <c r="Z72" s="43">
        <f>IF(AND(ISNUMBER(F72),ISNUMBER(V72)),V72-F72,"")</f>
        <v/>
      </c>
      <c r="AA72" s="36">
        <f>IF(Z72="","",IF(Z72&gt;=0.25,"עלייה",IF(Z72&lt;=-0.25,"ירידה","יציב")))</f>
        <v/>
      </c>
    </row>
    <row r="73">
      <c r="A73" s="38" t="n"/>
      <c r="B73" s="37">
        <f>IF($A73="","",IFERROR(INDEX('זה אני - קליטה'!$AH$5:$AH$204,MATCH($A73&amp;"|תחילת שנה",'זה אני - קליטה'!$AF$5:$AF$204,0)),""))</f>
        <v/>
      </c>
      <c r="C73" s="37">
        <f>IF($A73="","",IFERROR(INDEX('זה אני - קליטה'!$AI$5:$AI$204,MATCH($A73&amp;"|תחילת שנה",'זה אני - קליטה'!$AF$5:$AF$204,0)),""))</f>
        <v/>
      </c>
      <c r="D73" s="37">
        <f>IF($A73="","",IFERROR(INDEX('זה אני - קליטה'!$AJ$5:$AJ$204,MATCH($A73&amp;"|תחילת שנה",'זה אני - קליטה'!$AF$5:$AF$204,0)),""))</f>
        <v/>
      </c>
      <c r="E73" s="37">
        <f>IF($A73="","",IFERROR(INDEX('זה אני - קליטה'!$AK$5:$AK$204,MATCH($A73&amp;"|תחילת שנה",'זה אני - קליטה'!$AF$5:$AF$204,0)),""))</f>
        <v/>
      </c>
      <c r="F73" s="37">
        <f>IF($A73="","",IFERROR(INDEX('זה אני - קליטה'!$AL$5:$AL$204,MATCH($A73&amp;"|תחילת שנה",'זה אני - קליטה'!$AF$5:$AF$204,0)),""))</f>
        <v/>
      </c>
      <c r="G73" s="36">
        <f>IF($A73="","",IFERROR(INDEX('זה אני - קליטה'!$AG$5:$AG$204,MATCH($A73&amp;"|תחילת שנה",'זה אני - קליטה'!$AF$5:$AF$204,0)),""))</f>
        <v/>
      </c>
      <c r="H73" s="37">
        <f>IF($A73="","",IFERROR(INDEX('זה אני - קליטה'!$AN$5:$AN$204,MATCH($A73&amp;"|תחילת שנה",'זה אני - קליטה'!$AF$5:$AF$204,0)),""))</f>
        <v/>
      </c>
      <c r="I73" s="36">
        <f>IF($A73="","",IFERROR(INDEX('זה אני - קליטה'!$AW$5:$AW$204,MATCH($A73&amp;"|תחילת שנה",'זה אני - קליטה'!$AF$5:$AF$204,0)),""))</f>
        <v/>
      </c>
      <c r="J73" s="37">
        <f>IF($A73="","",IFERROR(INDEX('זה אני - קליטה'!$AH$5:$AH$204,MATCH($A73&amp;"|אמצע שנה",'זה אני - קליטה'!$AF$5:$AF$204,0)),""))</f>
        <v/>
      </c>
      <c r="K73" s="37">
        <f>IF($A73="","",IFERROR(INDEX('זה אני - קליטה'!$AI$5:$AI$204,MATCH($A73&amp;"|אמצע שנה",'זה אני - קליטה'!$AF$5:$AF$204,0)),""))</f>
        <v/>
      </c>
      <c r="L73" s="37">
        <f>IF($A73="","",IFERROR(INDEX('זה אני - קליטה'!$AJ$5:$AJ$204,MATCH($A73&amp;"|אמצע שנה",'זה אני - קליטה'!$AF$5:$AF$204,0)),""))</f>
        <v/>
      </c>
      <c r="M73" s="37">
        <f>IF($A73="","",IFERROR(INDEX('זה אני - קליטה'!$AK$5:$AK$204,MATCH($A73&amp;"|אמצע שנה",'זה אני - קליטה'!$AF$5:$AF$204,0)),""))</f>
        <v/>
      </c>
      <c r="N73" s="37">
        <f>IF($A73="","",IFERROR(INDEX('זה אני - קליטה'!$AL$5:$AL$204,MATCH($A73&amp;"|אמצע שנה",'זה אני - קליטה'!$AF$5:$AF$204,0)),""))</f>
        <v/>
      </c>
      <c r="O73" s="36">
        <f>IF($A73="","",IFERROR(INDEX('זה אני - קליטה'!$AG$5:$AG$204,MATCH($A73&amp;"|אמצע שנה",'זה אני - קליטה'!$AF$5:$AF$204,0)),""))</f>
        <v/>
      </c>
      <c r="P73" s="37">
        <f>IF($A73="","",IFERROR(INDEX('זה אני - קליטה'!$AN$5:$AN$204,MATCH($A73&amp;"|אמצע שנה",'זה אני - קליטה'!$AF$5:$AF$204,0)),""))</f>
        <v/>
      </c>
      <c r="Q73" s="36">
        <f>IF($A73="","",IFERROR(INDEX('זה אני - קליטה'!$AW$5:$AW$204,MATCH($A73&amp;"|אמצע שנה",'זה אני - קליטה'!$AF$5:$AF$204,0)),""))</f>
        <v/>
      </c>
      <c r="R73" s="37">
        <f>IF($A73="","",IFERROR(INDEX('זה אני - קליטה'!$AH$5:$AH$204,MATCH($A73&amp;"|סוף שנה",'זה אני - קליטה'!$AF$5:$AF$204,0)),""))</f>
        <v/>
      </c>
      <c r="S73" s="37">
        <f>IF($A73="","",IFERROR(INDEX('זה אני - קליטה'!$AI$5:$AI$204,MATCH($A73&amp;"|סוף שנה",'זה אני - קליטה'!$AF$5:$AF$204,0)),""))</f>
        <v/>
      </c>
      <c r="T73" s="37">
        <f>IF($A73="","",IFERROR(INDEX('זה אני - קליטה'!$AJ$5:$AJ$204,MATCH($A73&amp;"|סוף שנה",'זה אני - קליטה'!$AF$5:$AF$204,0)),""))</f>
        <v/>
      </c>
      <c r="U73" s="37">
        <f>IF($A73="","",IFERROR(INDEX('זה אני - קליטה'!$AK$5:$AK$204,MATCH($A73&amp;"|סוף שנה",'זה אני - קליטה'!$AF$5:$AF$204,0)),""))</f>
        <v/>
      </c>
      <c r="V73" s="37">
        <f>IF($A73="","",IFERROR(INDEX('זה אני - קליטה'!$AL$5:$AL$204,MATCH($A73&amp;"|סוף שנה",'זה אני - קליטה'!$AF$5:$AF$204,0)),""))</f>
        <v/>
      </c>
      <c r="W73" s="36">
        <f>IF($A73="","",IFERROR(INDEX('זה אני - קליטה'!$AG$5:$AG$204,MATCH($A73&amp;"|סוף שנה",'זה אני - קליטה'!$AF$5:$AF$204,0)),""))</f>
        <v/>
      </c>
      <c r="X73" s="37">
        <f>IF($A73="","",IFERROR(INDEX('זה אני - קליטה'!$AN$5:$AN$204,MATCH($A73&amp;"|סוף שנה",'זה אני - קליטה'!$AF$5:$AF$204,0)),""))</f>
        <v/>
      </c>
      <c r="Y73" s="36">
        <f>IF($A73="","",IFERROR(INDEX('זה אני - קליטה'!$AW$5:$AW$204,MATCH($A73&amp;"|סוף שנה",'זה אני - קליטה'!$AF$5:$AF$204,0)),""))</f>
        <v/>
      </c>
      <c r="Z73" s="43">
        <f>IF(AND(ISNUMBER(F73),ISNUMBER(V73)),V73-F73,"")</f>
        <v/>
      </c>
      <c r="AA73" s="36">
        <f>IF(Z73="","",IF(Z73&gt;=0.25,"עלייה",IF(Z73&lt;=-0.25,"ירידה","יציב")))</f>
        <v/>
      </c>
    </row>
    <row r="74">
      <c r="A74" s="38" t="n"/>
      <c r="B74" s="37">
        <f>IF($A74="","",IFERROR(INDEX('זה אני - קליטה'!$AH$5:$AH$204,MATCH($A74&amp;"|תחילת שנה",'זה אני - קליטה'!$AF$5:$AF$204,0)),""))</f>
        <v/>
      </c>
      <c r="C74" s="37">
        <f>IF($A74="","",IFERROR(INDEX('זה אני - קליטה'!$AI$5:$AI$204,MATCH($A74&amp;"|תחילת שנה",'זה אני - קליטה'!$AF$5:$AF$204,0)),""))</f>
        <v/>
      </c>
      <c r="D74" s="37">
        <f>IF($A74="","",IFERROR(INDEX('זה אני - קליטה'!$AJ$5:$AJ$204,MATCH($A74&amp;"|תחילת שנה",'זה אני - קליטה'!$AF$5:$AF$204,0)),""))</f>
        <v/>
      </c>
      <c r="E74" s="37">
        <f>IF($A74="","",IFERROR(INDEX('זה אני - קליטה'!$AK$5:$AK$204,MATCH($A74&amp;"|תחילת שנה",'זה אני - קליטה'!$AF$5:$AF$204,0)),""))</f>
        <v/>
      </c>
      <c r="F74" s="37">
        <f>IF($A74="","",IFERROR(INDEX('זה אני - קליטה'!$AL$5:$AL$204,MATCH($A74&amp;"|תחילת שנה",'זה אני - קליטה'!$AF$5:$AF$204,0)),""))</f>
        <v/>
      </c>
      <c r="G74" s="36">
        <f>IF($A74="","",IFERROR(INDEX('זה אני - קליטה'!$AG$5:$AG$204,MATCH($A74&amp;"|תחילת שנה",'זה אני - קליטה'!$AF$5:$AF$204,0)),""))</f>
        <v/>
      </c>
      <c r="H74" s="37">
        <f>IF($A74="","",IFERROR(INDEX('זה אני - קליטה'!$AN$5:$AN$204,MATCH($A74&amp;"|תחילת שנה",'זה אני - קליטה'!$AF$5:$AF$204,0)),""))</f>
        <v/>
      </c>
      <c r="I74" s="36">
        <f>IF($A74="","",IFERROR(INDEX('זה אני - קליטה'!$AW$5:$AW$204,MATCH($A74&amp;"|תחילת שנה",'זה אני - קליטה'!$AF$5:$AF$204,0)),""))</f>
        <v/>
      </c>
      <c r="J74" s="37">
        <f>IF($A74="","",IFERROR(INDEX('זה אני - קליטה'!$AH$5:$AH$204,MATCH($A74&amp;"|אמצע שנה",'זה אני - קליטה'!$AF$5:$AF$204,0)),""))</f>
        <v/>
      </c>
      <c r="K74" s="37">
        <f>IF($A74="","",IFERROR(INDEX('זה אני - קליטה'!$AI$5:$AI$204,MATCH($A74&amp;"|אמצע שנה",'זה אני - קליטה'!$AF$5:$AF$204,0)),""))</f>
        <v/>
      </c>
      <c r="L74" s="37">
        <f>IF($A74="","",IFERROR(INDEX('זה אני - קליטה'!$AJ$5:$AJ$204,MATCH($A74&amp;"|אמצע שנה",'זה אני - קליטה'!$AF$5:$AF$204,0)),""))</f>
        <v/>
      </c>
      <c r="M74" s="37">
        <f>IF($A74="","",IFERROR(INDEX('זה אני - קליטה'!$AK$5:$AK$204,MATCH($A74&amp;"|אמצע שנה",'זה אני - קליטה'!$AF$5:$AF$204,0)),""))</f>
        <v/>
      </c>
      <c r="N74" s="37">
        <f>IF($A74="","",IFERROR(INDEX('זה אני - קליטה'!$AL$5:$AL$204,MATCH($A74&amp;"|אמצע שנה",'זה אני - קליטה'!$AF$5:$AF$204,0)),""))</f>
        <v/>
      </c>
      <c r="O74" s="36">
        <f>IF($A74="","",IFERROR(INDEX('זה אני - קליטה'!$AG$5:$AG$204,MATCH($A74&amp;"|אמצע שנה",'זה אני - קליטה'!$AF$5:$AF$204,0)),""))</f>
        <v/>
      </c>
      <c r="P74" s="37">
        <f>IF($A74="","",IFERROR(INDEX('זה אני - קליטה'!$AN$5:$AN$204,MATCH($A74&amp;"|אמצע שנה",'זה אני - קליטה'!$AF$5:$AF$204,0)),""))</f>
        <v/>
      </c>
      <c r="Q74" s="36">
        <f>IF($A74="","",IFERROR(INDEX('זה אני - קליטה'!$AW$5:$AW$204,MATCH($A74&amp;"|אמצע שנה",'זה אני - קליטה'!$AF$5:$AF$204,0)),""))</f>
        <v/>
      </c>
      <c r="R74" s="37">
        <f>IF($A74="","",IFERROR(INDEX('זה אני - קליטה'!$AH$5:$AH$204,MATCH($A74&amp;"|סוף שנה",'זה אני - קליטה'!$AF$5:$AF$204,0)),""))</f>
        <v/>
      </c>
      <c r="S74" s="37">
        <f>IF($A74="","",IFERROR(INDEX('זה אני - קליטה'!$AI$5:$AI$204,MATCH($A74&amp;"|סוף שנה",'זה אני - קליטה'!$AF$5:$AF$204,0)),""))</f>
        <v/>
      </c>
      <c r="T74" s="37">
        <f>IF($A74="","",IFERROR(INDEX('זה אני - קליטה'!$AJ$5:$AJ$204,MATCH($A74&amp;"|סוף שנה",'זה אני - קליטה'!$AF$5:$AF$204,0)),""))</f>
        <v/>
      </c>
      <c r="U74" s="37">
        <f>IF($A74="","",IFERROR(INDEX('זה אני - קליטה'!$AK$5:$AK$204,MATCH($A74&amp;"|סוף שנה",'זה אני - קליטה'!$AF$5:$AF$204,0)),""))</f>
        <v/>
      </c>
      <c r="V74" s="37">
        <f>IF($A74="","",IFERROR(INDEX('זה אני - קליטה'!$AL$5:$AL$204,MATCH($A74&amp;"|סוף שנה",'זה אני - קליטה'!$AF$5:$AF$204,0)),""))</f>
        <v/>
      </c>
      <c r="W74" s="36">
        <f>IF($A74="","",IFERROR(INDEX('זה אני - קליטה'!$AG$5:$AG$204,MATCH($A74&amp;"|סוף שנה",'זה אני - קליטה'!$AF$5:$AF$204,0)),""))</f>
        <v/>
      </c>
      <c r="X74" s="37">
        <f>IF($A74="","",IFERROR(INDEX('זה אני - קליטה'!$AN$5:$AN$204,MATCH($A74&amp;"|סוף שנה",'זה אני - קליטה'!$AF$5:$AF$204,0)),""))</f>
        <v/>
      </c>
      <c r="Y74" s="36">
        <f>IF($A74="","",IFERROR(INDEX('זה אני - קליטה'!$AW$5:$AW$204,MATCH($A74&amp;"|סוף שנה",'זה אני - קליטה'!$AF$5:$AF$204,0)),""))</f>
        <v/>
      </c>
      <c r="Z74" s="43">
        <f>IF(AND(ISNUMBER(F74),ISNUMBER(V74)),V74-F74,"")</f>
        <v/>
      </c>
      <c r="AA74" s="36">
        <f>IF(Z74="","",IF(Z74&gt;=0.25,"עלייה",IF(Z74&lt;=-0.25,"ירידה","יציב")))</f>
        <v/>
      </c>
    </row>
    <row r="75">
      <c r="A75" s="38" t="n"/>
      <c r="B75" s="37">
        <f>IF($A75="","",IFERROR(INDEX('זה אני - קליטה'!$AH$5:$AH$204,MATCH($A75&amp;"|תחילת שנה",'זה אני - קליטה'!$AF$5:$AF$204,0)),""))</f>
        <v/>
      </c>
      <c r="C75" s="37">
        <f>IF($A75="","",IFERROR(INDEX('זה אני - קליטה'!$AI$5:$AI$204,MATCH($A75&amp;"|תחילת שנה",'זה אני - קליטה'!$AF$5:$AF$204,0)),""))</f>
        <v/>
      </c>
      <c r="D75" s="37">
        <f>IF($A75="","",IFERROR(INDEX('זה אני - קליטה'!$AJ$5:$AJ$204,MATCH($A75&amp;"|תחילת שנה",'זה אני - קליטה'!$AF$5:$AF$204,0)),""))</f>
        <v/>
      </c>
      <c r="E75" s="37">
        <f>IF($A75="","",IFERROR(INDEX('זה אני - קליטה'!$AK$5:$AK$204,MATCH($A75&amp;"|תחילת שנה",'זה אני - קליטה'!$AF$5:$AF$204,0)),""))</f>
        <v/>
      </c>
      <c r="F75" s="37">
        <f>IF($A75="","",IFERROR(INDEX('זה אני - קליטה'!$AL$5:$AL$204,MATCH($A75&amp;"|תחילת שנה",'זה אני - קליטה'!$AF$5:$AF$204,0)),""))</f>
        <v/>
      </c>
      <c r="G75" s="36">
        <f>IF($A75="","",IFERROR(INDEX('זה אני - קליטה'!$AG$5:$AG$204,MATCH($A75&amp;"|תחילת שנה",'זה אני - קליטה'!$AF$5:$AF$204,0)),""))</f>
        <v/>
      </c>
      <c r="H75" s="37">
        <f>IF($A75="","",IFERROR(INDEX('זה אני - קליטה'!$AN$5:$AN$204,MATCH($A75&amp;"|תחילת שנה",'זה אני - קליטה'!$AF$5:$AF$204,0)),""))</f>
        <v/>
      </c>
      <c r="I75" s="36">
        <f>IF($A75="","",IFERROR(INDEX('זה אני - קליטה'!$AW$5:$AW$204,MATCH($A75&amp;"|תחילת שנה",'זה אני - קליטה'!$AF$5:$AF$204,0)),""))</f>
        <v/>
      </c>
      <c r="J75" s="37">
        <f>IF($A75="","",IFERROR(INDEX('זה אני - קליטה'!$AH$5:$AH$204,MATCH($A75&amp;"|אמצע שנה",'זה אני - קליטה'!$AF$5:$AF$204,0)),""))</f>
        <v/>
      </c>
      <c r="K75" s="37">
        <f>IF($A75="","",IFERROR(INDEX('זה אני - קליטה'!$AI$5:$AI$204,MATCH($A75&amp;"|אמצע שנה",'זה אני - קליטה'!$AF$5:$AF$204,0)),""))</f>
        <v/>
      </c>
      <c r="L75" s="37">
        <f>IF($A75="","",IFERROR(INDEX('זה אני - קליטה'!$AJ$5:$AJ$204,MATCH($A75&amp;"|אמצע שנה",'זה אני - קליטה'!$AF$5:$AF$204,0)),""))</f>
        <v/>
      </c>
      <c r="M75" s="37">
        <f>IF($A75="","",IFERROR(INDEX('זה אני - קליטה'!$AK$5:$AK$204,MATCH($A75&amp;"|אמצע שנה",'זה אני - קליטה'!$AF$5:$AF$204,0)),""))</f>
        <v/>
      </c>
      <c r="N75" s="37">
        <f>IF($A75="","",IFERROR(INDEX('זה אני - קליטה'!$AL$5:$AL$204,MATCH($A75&amp;"|אמצע שנה",'זה אני - קליטה'!$AF$5:$AF$204,0)),""))</f>
        <v/>
      </c>
      <c r="O75" s="36">
        <f>IF($A75="","",IFERROR(INDEX('זה אני - קליטה'!$AG$5:$AG$204,MATCH($A75&amp;"|אמצע שנה",'זה אני - קליטה'!$AF$5:$AF$204,0)),""))</f>
        <v/>
      </c>
      <c r="P75" s="37">
        <f>IF($A75="","",IFERROR(INDEX('זה אני - קליטה'!$AN$5:$AN$204,MATCH($A75&amp;"|אמצע שנה",'זה אני - קליטה'!$AF$5:$AF$204,0)),""))</f>
        <v/>
      </c>
      <c r="Q75" s="36">
        <f>IF($A75="","",IFERROR(INDEX('זה אני - קליטה'!$AW$5:$AW$204,MATCH($A75&amp;"|אמצע שנה",'זה אני - קליטה'!$AF$5:$AF$204,0)),""))</f>
        <v/>
      </c>
      <c r="R75" s="37">
        <f>IF($A75="","",IFERROR(INDEX('זה אני - קליטה'!$AH$5:$AH$204,MATCH($A75&amp;"|סוף שנה",'זה אני - קליטה'!$AF$5:$AF$204,0)),""))</f>
        <v/>
      </c>
      <c r="S75" s="37">
        <f>IF($A75="","",IFERROR(INDEX('זה אני - קליטה'!$AI$5:$AI$204,MATCH($A75&amp;"|סוף שנה",'זה אני - קליטה'!$AF$5:$AF$204,0)),""))</f>
        <v/>
      </c>
      <c r="T75" s="37">
        <f>IF($A75="","",IFERROR(INDEX('זה אני - קליטה'!$AJ$5:$AJ$204,MATCH($A75&amp;"|סוף שנה",'זה אני - קליטה'!$AF$5:$AF$204,0)),""))</f>
        <v/>
      </c>
      <c r="U75" s="37">
        <f>IF($A75="","",IFERROR(INDEX('זה אני - קליטה'!$AK$5:$AK$204,MATCH($A75&amp;"|סוף שנה",'זה אני - קליטה'!$AF$5:$AF$204,0)),""))</f>
        <v/>
      </c>
      <c r="V75" s="37">
        <f>IF($A75="","",IFERROR(INDEX('זה אני - קליטה'!$AL$5:$AL$204,MATCH($A75&amp;"|סוף שנה",'זה אני - קליטה'!$AF$5:$AF$204,0)),""))</f>
        <v/>
      </c>
      <c r="W75" s="36">
        <f>IF($A75="","",IFERROR(INDEX('זה אני - קליטה'!$AG$5:$AG$204,MATCH($A75&amp;"|סוף שנה",'זה אני - קליטה'!$AF$5:$AF$204,0)),""))</f>
        <v/>
      </c>
      <c r="X75" s="37">
        <f>IF($A75="","",IFERROR(INDEX('זה אני - קליטה'!$AN$5:$AN$204,MATCH($A75&amp;"|סוף שנה",'זה אני - קליטה'!$AF$5:$AF$204,0)),""))</f>
        <v/>
      </c>
      <c r="Y75" s="36">
        <f>IF($A75="","",IFERROR(INDEX('זה אני - קליטה'!$AW$5:$AW$204,MATCH($A75&amp;"|סוף שנה",'זה אני - קליטה'!$AF$5:$AF$204,0)),""))</f>
        <v/>
      </c>
      <c r="Z75" s="43">
        <f>IF(AND(ISNUMBER(F75),ISNUMBER(V75)),V75-F75,"")</f>
        <v/>
      </c>
      <c r="AA75" s="36">
        <f>IF(Z75="","",IF(Z75&gt;=0.25,"עלייה",IF(Z75&lt;=-0.25,"ירידה","יציב")))</f>
        <v/>
      </c>
    </row>
    <row r="76">
      <c r="A76" s="38" t="n"/>
      <c r="B76" s="37">
        <f>IF($A76="","",IFERROR(INDEX('זה אני - קליטה'!$AH$5:$AH$204,MATCH($A76&amp;"|תחילת שנה",'זה אני - קליטה'!$AF$5:$AF$204,0)),""))</f>
        <v/>
      </c>
      <c r="C76" s="37">
        <f>IF($A76="","",IFERROR(INDEX('זה אני - קליטה'!$AI$5:$AI$204,MATCH($A76&amp;"|תחילת שנה",'זה אני - קליטה'!$AF$5:$AF$204,0)),""))</f>
        <v/>
      </c>
      <c r="D76" s="37">
        <f>IF($A76="","",IFERROR(INDEX('זה אני - קליטה'!$AJ$5:$AJ$204,MATCH($A76&amp;"|תחילת שנה",'זה אני - קליטה'!$AF$5:$AF$204,0)),""))</f>
        <v/>
      </c>
      <c r="E76" s="37">
        <f>IF($A76="","",IFERROR(INDEX('זה אני - קליטה'!$AK$5:$AK$204,MATCH($A76&amp;"|תחילת שנה",'זה אני - קליטה'!$AF$5:$AF$204,0)),""))</f>
        <v/>
      </c>
      <c r="F76" s="37">
        <f>IF($A76="","",IFERROR(INDEX('זה אני - קליטה'!$AL$5:$AL$204,MATCH($A76&amp;"|תחילת שנה",'זה אני - קליטה'!$AF$5:$AF$204,0)),""))</f>
        <v/>
      </c>
      <c r="G76" s="36">
        <f>IF($A76="","",IFERROR(INDEX('זה אני - קליטה'!$AG$5:$AG$204,MATCH($A76&amp;"|תחילת שנה",'זה אני - קליטה'!$AF$5:$AF$204,0)),""))</f>
        <v/>
      </c>
      <c r="H76" s="37">
        <f>IF($A76="","",IFERROR(INDEX('זה אני - קליטה'!$AN$5:$AN$204,MATCH($A76&amp;"|תחילת שנה",'זה אני - קליטה'!$AF$5:$AF$204,0)),""))</f>
        <v/>
      </c>
      <c r="I76" s="36">
        <f>IF($A76="","",IFERROR(INDEX('זה אני - קליטה'!$AW$5:$AW$204,MATCH($A76&amp;"|תחילת שנה",'זה אני - קליטה'!$AF$5:$AF$204,0)),""))</f>
        <v/>
      </c>
      <c r="J76" s="37">
        <f>IF($A76="","",IFERROR(INDEX('זה אני - קליטה'!$AH$5:$AH$204,MATCH($A76&amp;"|אמצע שנה",'זה אני - קליטה'!$AF$5:$AF$204,0)),""))</f>
        <v/>
      </c>
      <c r="K76" s="37">
        <f>IF($A76="","",IFERROR(INDEX('זה אני - קליטה'!$AI$5:$AI$204,MATCH($A76&amp;"|אמצע שנה",'זה אני - קליטה'!$AF$5:$AF$204,0)),""))</f>
        <v/>
      </c>
      <c r="L76" s="37">
        <f>IF($A76="","",IFERROR(INDEX('זה אני - קליטה'!$AJ$5:$AJ$204,MATCH($A76&amp;"|אמצע שנה",'זה אני - קליטה'!$AF$5:$AF$204,0)),""))</f>
        <v/>
      </c>
      <c r="M76" s="37">
        <f>IF($A76="","",IFERROR(INDEX('זה אני - קליטה'!$AK$5:$AK$204,MATCH($A76&amp;"|אמצע שנה",'זה אני - קליטה'!$AF$5:$AF$204,0)),""))</f>
        <v/>
      </c>
      <c r="N76" s="37">
        <f>IF($A76="","",IFERROR(INDEX('זה אני - קליטה'!$AL$5:$AL$204,MATCH($A76&amp;"|אמצע שנה",'זה אני - קליטה'!$AF$5:$AF$204,0)),""))</f>
        <v/>
      </c>
      <c r="O76" s="36">
        <f>IF($A76="","",IFERROR(INDEX('זה אני - קליטה'!$AG$5:$AG$204,MATCH($A76&amp;"|אמצע שנה",'זה אני - קליטה'!$AF$5:$AF$204,0)),""))</f>
        <v/>
      </c>
      <c r="P76" s="37">
        <f>IF($A76="","",IFERROR(INDEX('זה אני - קליטה'!$AN$5:$AN$204,MATCH($A76&amp;"|אמצע שנה",'זה אני - קליטה'!$AF$5:$AF$204,0)),""))</f>
        <v/>
      </c>
      <c r="Q76" s="36">
        <f>IF($A76="","",IFERROR(INDEX('זה אני - קליטה'!$AW$5:$AW$204,MATCH($A76&amp;"|אמצע שנה",'זה אני - קליטה'!$AF$5:$AF$204,0)),""))</f>
        <v/>
      </c>
      <c r="R76" s="37">
        <f>IF($A76="","",IFERROR(INDEX('זה אני - קליטה'!$AH$5:$AH$204,MATCH($A76&amp;"|סוף שנה",'זה אני - קליטה'!$AF$5:$AF$204,0)),""))</f>
        <v/>
      </c>
      <c r="S76" s="37">
        <f>IF($A76="","",IFERROR(INDEX('זה אני - קליטה'!$AI$5:$AI$204,MATCH($A76&amp;"|סוף שנה",'זה אני - קליטה'!$AF$5:$AF$204,0)),""))</f>
        <v/>
      </c>
      <c r="T76" s="37">
        <f>IF($A76="","",IFERROR(INDEX('זה אני - קליטה'!$AJ$5:$AJ$204,MATCH($A76&amp;"|סוף שנה",'זה אני - קליטה'!$AF$5:$AF$204,0)),""))</f>
        <v/>
      </c>
      <c r="U76" s="37">
        <f>IF($A76="","",IFERROR(INDEX('זה אני - קליטה'!$AK$5:$AK$204,MATCH($A76&amp;"|סוף שנה",'זה אני - קליטה'!$AF$5:$AF$204,0)),""))</f>
        <v/>
      </c>
      <c r="V76" s="37">
        <f>IF($A76="","",IFERROR(INDEX('זה אני - קליטה'!$AL$5:$AL$204,MATCH($A76&amp;"|סוף שנה",'זה אני - קליטה'!$AF$5:$AF$204,0)),""))</f>
        <v/>
      </c>
      <c r="W76" s="36">
        <f>IF($A76="","",IFERROR(INDEX('זה אני - קליטה'!$AG$5:$AG$204,MATCH($A76&amp;"|סוף שנה",'זה אני - קליטה'!$AF$5:$AF$204,0)),""))</f>
        <v/>
      </c>
      <c r="X76" s="37">
        <f>IF($A76="","",IFERROR(INDEX('זה אני - קליטה'!$AN$5:$AN$204,MATCH($A76&amp;"|סוף שנה",'זה אני - קליטה'!$AF$5:$AF$204,0)),""))</f>
        <v/>
      </c>
      <c r="Y76" s="36">
        <f>IF($A76="","",IFERROR(INDEX('זה אני - קליטה'!$AW$5:$AW$204,MATCH($A76&amp;"|סוף שנה",'זה אני - קליטה'!$AF$5:$AF$204,0)),""))</f>
        <v/>
      </c>
      <c r="Z76" s="43">
        <f>IF(AND(ISNUMBER(F76),ISNUMBER(V76)),V76-F76,"")</f>
        <v/>
      </c>
      <c r="AA76" s="36">
        <f>IF(Z76="","",IF(Z76&gt;=0.25,"עלייה",IF(Z76&lt;=-0.25,"ירידה","יציב")))</f>
        <v/>
      </c>
    </row>
    <row r="77">
      <c r="A77" s="38" t="n"/>
      <c r="B77" s="37">
        <f>IF($A77="","",IFERROR(INDEX('זה אני - קליטה'!$AH$5:$AH$204,MATCH($A77&amp;"|תחילת שנה",'זה אני - קליטה'!$AF$5:$AF$204,0)),""))</f>
        <v/>
      </c>
      <c r="C77" s="37">
        <f>IF($A77="","",IFERROR(INDEX('זה אני - קליטה'!$AI$5:$AI$204,MATCH($A77&amp;"|תחילת שנה",'זה אני - קליטה'!$AF$5:$AF$204,0)),""))</f>
        <v/>
      </c>
      <c r="D77" s="37">
        <f>IF($A77="","",IFERROR(INDEX('זה אני - קליטה'!$AJ$5:$AJ$204,MATCH($A77&amp;"|תחילת שנה",'זה אני - קליטה'!$AF$5:$AF$204,0)),""))</f>
        <v/>
      </c>
      <c r="E77" s="37">
        <f>IF($A77="","",IFERROR(INDEX('זה אני - קליטה'!$AK$5:$AK$204,MATCH($A77&amp;"|תחילת שנה",'זה אני - קליטה'!$AF$5:$AF$204,0)),""))</f>
        <v/>
      </c>
      <c r="F77" s="37">
        <f>IF($A77="","",IFERROR(INDEX('זה אני - קליטה'!$AL$5:$AL$204,MATCH($A77&amp;"|תחילת שנה",'זה אני - קליטה'!$AF$5:$AF$204,0)),""))</f>
        <v/>
      </c>
      <c r="G77" s="36">
        <f>IF($A77="","",IFERROR(INDEX('זה אני - קליטה'!$AG$5:$AG$204,MATCH($A77&amp;"|תחילת שנה",'זה אני - קליטה'!$AF$5:$AF$204,0)),""))</f>
        <v/>
      </c>
      <c r="H77" s="37">
        <f>IF($A77="","",IFERROR(INDEX('זה אני - קליטה'!$AN$5:$AN$204,MATCH($A77&amp;"|תחילת שנה",'זה אני - קליטה'!$AF$5:$AF$204,0)),""))</f>
        <v/>
      </c>
      <c r="I77" s="36">
        <f>IF($A77="","",IFERROR(INDEX('זה אני - קליטה'!$AW$5:$AW$204,MATCH($A77&amp;"|תחילת שנה",'זה אני - קליטה'!$AF$5:$AF$204,0)),""))</f>
        <v/>
      </c>
      <c r="J77" s="37">
        <f>IF($A77="","",IFERROR(INDEX('זה אני - קליטה'!$AH$5:$AH$204,MATCH($A77&amp;"|אמצע שנה",'זה אני - קליטה'!$AF$5:$AF$204,0)),""))</f>
        <v/>
      </c>
      <c r="K77" s="37">
        <f>IF($A77="","",IFERROR(INDEX('זה אני - קליטה'!$AI$5:$AI$204,MATCH($A77&amp;"|אמצע שנה",'זה אני - קליטה'!$AF$5:$AF$204,0)),""))</f>
        <v/>
      </c>
      <c r="L77" s="37">
        <f>IF($A77="","",IFERROR(INDEX('זה אני - קליטה'!$AJ$5:$AJ$204,MATCH($A77&amp;"|אמצע שנה",'זה אני - קליטה'!$AF$5:$AF$204,0)),""))</f>
        <v/>
      </c>
      <c r="M77" s="37">
        <f>IF($A77="","",IFERROR(INDEX('זה אני - קליטה'!$AK$5:$AK$204,MATCH($A77&amp;"|אמצע שנה",'זה אני - קליטה'!$AF$5:$AF$204,0)),""))</f>
        <v/>
      </c>
      <c r="N77" s="37">
        <f>IF($A77="","",IFERROR(INDEX('זה אני - קליטה'!$AL$5:$AL$204,MATCH($A77&amp;"|אמצע שנה",'זה אני - קליטה'!$AF$5:$AF$204,0)),""))</f>
        <v/>
      </c>
      <c r="O77" s="36">
        <f>IF($A77="","",IFERROR(INDEX('זה אני - קליטה'!$AG$5:$AG$204,MATCH($A77&amp;"|אמצע שנה",'זה אני - קליטה'!$AF$5:$AF$204,0)),""))</f>
        <v/>
      </c>
      <c r="P77" s="37">
        <f>IF($A77="","",IFERROR(INDEX('זה אני - קליטה'!$AN$5:$AN$204,MATCH($A77&amp;"|אמצע שנה",'זה אני - קליטה'!$AF$5:$AF$204,0)),""))</f>
        <v/>
      </c>
      <c r="Q77" s="36">
        <f>IF($A77="","",IFERROR(INDEX('זה אני - קליטה'!$AW$5:$AW$204,MATCH($A77&amp;"|אמצע שנה",'זה אני - קליטה'!$AF$5:$AF$204,0)),""))</f>
        <v/>
      </c>
      <c r="R77" s="37">
        <f>IF($A77="","",IFERROR(INDEX('זה אני - קליטה'!$AH$5:$AH$204,MATCH($A77&amp;"|סוף שנה",'זה אני - קליטה'!$AF$5:$AF$204,0)),""))</f>
        <v/>
      </c>
      <c r="S77" s="37">
        <f>IF($A77="","",IFERROR(INDEX('זה אני - קליטה'!$AI$5:$AI$204,MATCH($A77&amp;"|סוף שנה",'זה אני - קליטה'!$AF$5:$AF$204,0)),""))</f>
        <v/>
      </c>
      <c r="T77" s="37">
        <f>IF($A77="","",IFERROR(INDEX('זה אני - קליטה'!$AJ$5:$AJ$204,MATCH($A77&amp;"|סוף שנה",'זה אני - קליטה'!$AF$5:$AF$204,0)),""))</f>
        <v/>
      </c>
      <c r="U77" s="37">
        <f>IF($A77="","",IFERROR(INDEX('זה אני - קליטה'!$AK$5:$AK$204,MATCH($A77&amp;"|סוף שנה",'זה אני - קליטה'!$AF$5:$AF$204,0)),""))</f>
        <v/>
      </c>
      <c r="V77" s="37">
        <f>IF($A77="","",IFERROR(INDEX('זה אני - קליטה'!$AL$5:$AL$204,MATCH($A77&amp;"|סוף שנה",'זה אני - קליטה'!$AF$5:$AF$204,0)),""))</f>
        <v/>
      </c>
      <c r="W77" s="36">
        <f>IF($A77="","",IFERROR(INDEX('זה אני - קליטה'!$AG$5:$AG$204,MATCH($A77&amp;"|סוף שנה",'זה אני - קליטה'!$AF$5:$AF$204,0)),""))</f>
        <v/>
      </c>
      <c r="X77" s="37">
        <f>IF($A77="","",IFERROR(INDEX('זה אני - קליטה'!$AN$5:$AN$204,MATCH($A77&amp;"|סוף שנה",'זה אני - קליטה'!$AF$5:$AF$204,0)),""))</f>
        <v/>
      </c>
      <c r="Y77" s="36">
        <f>IF($A77="","",IFERROR(INDEX('זה אני - קליטה'!$AW$5:$AW$204,MATCH($A77&amp;"|סוף שנה",'זה אני - קליטה'!$AF$5:$AF$204,0)),""))</f>
        <v/>
      </c>
      <c r="Z77" s="43">
        <f>IF(AND(ISNUMBER(F77),ISNUMBER(V77)),V77-F77,"")</f>
        <v/>
      </c>
      <c r="AA77" s="36">
        <f>IF(Z77="","",IF(Z77&gt;=0.25,"עלייה",IF(Z77&lt;=-0.25,"ירידה","יציב")))</f>
        <v/>
      </c>
    </row>
    <row r="78">
      <c r="A78" s="38" t="n"/>
      <c r="B78" s="37">
        <f>IF($A78="","",IFERROR(INDEX('זה אני - קליטה'!$AH$5:$AH$204,MATCH($A78&amp;"|תחילת שנה",'זה אני - קליטה'!$AF$5:$AF$204,0)),""))</f>
        <v/>
      </c>
      <c r="C78" s="37">
        <f>IF($A78="","",IFERROR(INDEX('זה אני - קליטה'!$AI$5:$AI$204,MATCH($A78&amp;"|תחילת שנה",'זה אני - קליטה'!$AF$5:$AF$204,0)),""))</f>
        <v/>
      </c>
      <c r="D78" s="37">
        <f>IF($A78="","",IFERROR(INDEX('זה אני - קליטה'!$AJ$5:$AJ$204,MATCH($A78&amp;"|תחילת שנה",'זה אני - קליטה'!$AF$5:$AF$204,0)),""))</f>
        <v/>
      </c>
      <c r="E78" s="37">
        <f>IF($A78="","",IFERROR(INDEX('זה אני - קליטה'!$AK$5:$AK$204,MATCH($A78&amp;"|תחילת שנה",'זה אני - קליטה'!$AF$5:$AF$204,0)),""))</f>
        <v/>
      </c>
      <c r="F78" s="37">
        <f>IF($A78="","",IFERROR(INDEX('זה אני - קליטה'!$AL$5:$AL$204,MATCH($A78&amp;"|תחילת שנה",'זה אני - קליטה'!$AF$5:$AF$204,0)),""))</f>
        <v/>
      </c>
      <c r="G78" s="36">
        <f>IF($A78="","",IFERROR(INDEX('זה אני - קליטה'!$AG$5:$AG$204,MATCH($A78&amp;"|תחילת שנה",'זה אני - קליטה'!$AF$5:$AF$204,0)),""))</f>
        <v/>
      </c>
      <c r="H78" s="37">
        <f>IF($A78="","",IFERROR(INDEX('זה אני - קליטה'!$AN$5:$AN$204,MATCH($A78&amp;"|תחילת שנה",'זה אני - קליטה'!$AF$5:$AF$204,0)),""))</f>
        <v/>
      </c>
      <c r="I78" s="36">
        <f>IF($A78="","",IFERROR(INDEX('זה אני - קליטה'!$AW$5:$AW$204,MATCH($A78&amp;"|תחילת שנה",'זה אני - קליטה'!$AF$5:$AF$204,0)),""))</f>
        <v/>
      </c>
      <c r="J78" s="37">
        <f>IF($A78="","",IFERROR(INDEX('זה אני - קליטה'!$AH$5:$AH$204,MATCH($A78&amp;"|אמצע שנה",'זה אני - קליטה'!$AF$5:$AF$204,0)),""))</f>
        <v/>
      </c>
      <c r="K78" s="37">
        <f>IF($A78="","",IFERROR(INDEX('זה אני - קליטה'!$AI$5:$AI$204,MATCH($A78&amp;"|אמצע שנה",'זה אני - קליטה'!$AF$5:$AF$204,0)),""))</f>
        <v/>
      </c>
      <c r="L78" s="37">
        <f>IF($A78="","",IFERROR(INDEX('זה אני - קליטה'!$AJ$5:$AJ$204,MATCH($A78&amp;"|אמצע שנה",'זה אני - קליטה'!$AF$5:$AF$204,0)),""))</f>
        <v/>
      </c>
      <c r="M78" s="37">
        <f>IF($A78="","",IFERROR(INDEX('זה אני - קליטה'!$AK$5:$AK$204,MATCH($A78&amp;"|אמצע שנה",'זה אני - קליטה'!$AF$5:$AF$204,0)),""))</f>
        <v/>
      </c>
      <c r="N78" s="37">
        <f>IF($A78="","",IFERROR(INDEX('זה אני - קליטה'!$AL$5:$AL$204,MATCH($A78&amp;"|אמצע שנה",'זה אני - קליטה'!$AF$5:$AF$204,0)),""))</f>
        <v/>
      </c>
      <c r="O78" s="36">
        <f>IF($A78="","",IFERROR(INDEX('זה אני - קליטה'!$AG$5:$AG$204,MATCH($A78&amp;"|אמצע שנה",'זה אני - קליטה'!$AF$5:$AF$204,0)),""))</f>
        <v/>
      </c>
      <c r="P78" s="37">
        <f>IF($A78="","",IFERROR(INDEX('זה אני - קליטה'!$AN$5:$AN$204,MATCH($A78&amp;"|אמצע שנה",'זה אני - קליטה'!$AF$5:$AF$204,0)),""))</f>
        <v/>
      </c>
      <c r="Q78" s="36">
        <f>IF($A78="","",IFERROR(INDEX('זה אני - קליטה'!$AW$5:$AW$204,MATCH($A78&amp;"|אמצע שנה",'זה אני - קליטה'!$AF$5:$AF$204,0)),""))</f>
        <v/>
      </c>
      <c r="R78" s="37">
        <f>IF($A78="","",IFERROR(INDEX('זה אני - קליטה'!$AH$5:$AH$204,MATCH($A78&amp;"|סוף שנה",'זה אני - קליטה'!$AF$5:$AF$204,0)),""))</f>
        <v/>
      </c>
      <c r="S78" s="37">
        <f>IF($A78="","",IFERROR(INDEX('זה אני - קליטה'!$AI$5:$AI$204,MATCH($A78&amp;"|סוף שנה",'זה אני - קליטה'!$AF$5:$AF$204,0)),""))</f>
        <v/>
      </c>
      <c r="T78" s="37">
        <f>IF($A78="","",IFERROR(INDEX('זה אני - קליטה'!$AJ$5:$AJ$204,MATCH($A78&amp;"|סוף שנה",'זה אני - קליטה'!$AF$5:$AF$204,0)),""))</f>
        <v/>
      </c>
      <c r="U78" s="37">
        <f>IF($A78="","",IFERROR(INDEX('זה אני - קליטה'!$AK$5:$AK$204,MATCH($A78&amp;"|סוף שנה",'זה אני - קליטה'!$AF$5:$AF$204,0)),""))</f>
        <v/>
      </c>
      <c r="V78" s="37">
        <f>IF($A78="","",IFERROR(INDEX('זה אני - קליטה'!$AL$5:$AL$204,MATCH($A78&amp;"|סוף שנה",'זה אני - קליטה'!$AF$5:$AF$204,0)),""))</f>
        <v/>
      </c>
      <c r="W78" s="36">
        <f>IF($A78="","",IFERROR(INDEX('זה אני - קליטה'!$AG$5:$AG$204,MATCH($A78&amp;"|סוף שנה",'זה אני - קליטה'!$AF$5:$AF$204,0)),""))</f>
        <v/>
      </c>
      <c r="X78" s="37">
        <f>IF($A78="","",IFERROR(INDEX('זה אני - קליטה'!$AN$5:$AN$204,MATCH($A78&amp;"|סוף שנה",'זה אני - קליטה'!$AF$5:$AF$204,0)),""))</f>
        <v/>
      </c>
      <c r="Y78" s="36">
        <f>IF($A78="","",IFERROR(INDEX('זה אני - קליטה'!$AW$5:$AW$204,MATCH($A78&amp;"|סוף שנה",'זה אני - קליטה'!$AF$5:$AF$204,0)),""))</f>
        <v/>
      </c>
      <c r="Z78" s="43">
        <f>IF(AND(ISNUMBER(F78),ISNUMBER(V78)),V78-F78,"")</f>
        <v/>
      </c>
      <c r="AA78" s="36">
        <f>IF(Z78="","",IF(Z78&gt;=0.25,"עלייה",IF(Z78&lt;=-0.25,"ירידה","יציב")))</f>
        <v/>
      </c>
    </row>
    <row r="79">
      <c r="A79" s="38" t="n"/>
      <c r="B79" s="37">
        <f>IF($A79="","",IFERROR(INDEX('זה אני - קליטה'!$AH$5:$AH$204,MATCH($A79&amp;"|תחילת שנה",'זה אני - קליטה'!$AF$5:$AF$204,0)),""))</f>
        <v/>
      </c>
      <c r="C79" s="37">
        <f>IF($A79="","",IFERROR(INDEX('זה אני - קליטה'!$AI$5:$AI$204,MATCH($A79&amp;"|תחילת שנה",'זה אני - קליטה'!$AF$5:$AF$204,0)),""))</f>
        <v/>
      </c>
      <c r="D79" s="37">
        <f>IF($A79="","",IFERROR(INDEX('זה אני - קליטה'!$AJ$5:$AJ$204,MATCH($A79&amp;"|תחילת שנה",'זה אני - קליטה'!$AF$5:$AF$204,0)),""))</f>
        <v/>
      </c>
      <c r="E79" s="37">
        <f>IF($A79="","",IFERROR(INDEX('זה אני - קליטה'!$AK$5:$AK$204,MATCH($A79&amp;"|תחילת שנה",'זה אני - קליטה'!$AF$5:$AF$204,0)),""))</f>
        <v/>
      </c>
      <c r="F79" s="37">
        <f>IF($A79="","",IFERROR(INDEX('זה אני - קליטה'!$AL$5:$AL$204,MATCH($A79&amp;"|תחילת שנה",'זה אני - קליטה'!$AF$5:$AF$204,0)),""))</f>
        <v/>
      </c>
      <c r="G79" s="36">
        <f>IF($A79="","",IFERROR(INDEX('זה אני - קליטה'!$AG$5:$AG$204,MATCH($A79&amp;"|תחילת שנה",'זה אני - קליטה'!$AF$5:$AF$204,0)),""))</f>
        <v/>
      </c>
      <c r="H79" s="37">
        <f>IF($A79="","",IFERROR(INDEX('זה אני - קליטה'!$AN$5:$AN$204,MATCH($A79&amp;"|תחילת שנה",'זה אני - קליטה'!$AF$5:$AF$204,0)),""))</f>
        <v/>
      </c>
      <c r="I79" s="36">
        <f>IF($A79="","",IFERROR(INDEX('זה אני - קליטה'!$AW$5:$AW$204,MATCH($A79&amp;"|תחילת שנה",'זה אני - קליטה'!$AF$5:$AF$204,0)),""))</f>
        <v/>
      </c>
      <c r="J79" s="37">
        <f>IF($A79="","",IFERROR(INDEX('זה אני - קליטה'!$AH$5:$AH$204,MATCH($A79&amp;"|אמצע שנה",'זה אני - קליטה'!$AF$5:$AF$204,0)),""))</f>
        <v/>
      </c>
      <c r="K79" s="37">
        <f>IF($A79="","",IFERROR(INDEX('זה אני - קליטה'!$AI$5:$AI$204,MATCH($A79&amp;"|אמצע שנה",'זה אני - קליטה'!$AF$5:$AF$204,0)),""))</f>
        <v/>
      </c>
      <c r="L79" s="37">
        <f>IF($A79="","",IFERROR(INDEX('זה אני - קליטה'!$AJ$5:$AJ$204,MATCH($A79&amp;"|אמצע שנה",'זה אני - קליטה'!$AF$5:$AF$204,0)),""))</f>
        <v/>
      </c>
      <c r="M79" s="37">
        <f>IF($A79="","",IFERROR(INDEX('זה אני - קליטה'!$AK$5:$AK$204,MATCH($A79&amp;"|אמצע שנה",'זה אני - קליטה'!$AF$5:$AF$204,0)),""))</f>
        <v/>
      </c>
      <c r="N79" s="37">
        <f>IF($A79="","",IFERROR(INDEX('זה אני - קליטה'!$AL$5:$AL$204,MATCH($A79&amp;"|אמצע שנה",'זה אני - קליטה'!$AF$5:$AF$204,0)),""))</f>
        <v/>
      </c>
      <c r="O79" s="36">
        <f>IF($A79="","",IFERROR(INDEX('זה אני - קליטה'!$AG$5:$AG$204,MATCH($A79&amp;"|אמצע שנה",'זה אני - קליטה'!$AF$5:$AF$204,0)),""))</f>
        <v/>
      </c>
      <c r="P79" s="37">
        <f>IF($A79="","",IFERROR(INDEX('זה אני - קליטה'!$AN$5:$AN$204,MATCH($A79&amp;"|אמצע שנה",'זה אני - קליטה'!$AF$5:$AF$204,0)),""))</f>
        <v/>
      </c>
      <c r="Q79" s="36">
        <f>IF($A79="","",IFERROR(INDEX('זה אני - קליטה'!$AW$5:$AW$204,MATCH($A79&amp;"|אמצע שנה",'זה אני - קליטה'!$AF$5:$AF$204,0)),""))</f>
        <v/>
      </c>
      <c r="R79" s="37">
        <f>IF($A79="","",IFERROR(INDEX('זה אני - קליטה'!$AH$5:$AH$204,MATCH($A79&amp;"|סוף שנה",'זה אני - קליטה'!$AF$5:$AF$204,0)),""))</f>
        <v/>
      </c>
      <c r="S79" s="37">
        <f>IF($A79="","",IFERROR(INDEX('זה אני - קליטה'!$AI$5:$AI$204,MATCH($A79&amp;"|סוף שנה",'זה אני - קליטה'!$AF$5:$AF$204,0)),""))</f>
        <v/>
      </c>
      <c r="T79" s="37">
        <f>IF($A79="","",IFERROR(INDEX('זה אני - קליטה'!$AJ$5:$AJ$204,MATCH($A79&amp;"|סוף שנה",'זה אני - קליטה'!$AF$5:$AF$204,0)),""))</f>
        <v/>
      </c>
      <c r="U79" s="37">
        <f>IF($A79="","",IFERROR(INDEX('זה אני - קליטה'!$AK$5:$AK$204,MATCH($A79&amp;"|סוף שנה",'זה אני - קליטה'!$AF$5:$AF$204,0)),""))</f>
        <v/>
      </c>
      <c r="V79" s="37">
        <f>IF($A79="","",IFERROR(INDEX('זה אני - קליטה'!$AL$5:$AL$204,MATCH($A79&amp;"|סוף שנה",'זה אני - קליטה'!$AF$5:$AF$204,0)),""))</f>
        <v/>
      </c>
      <c r="W79" s="36">
        <f>IF($A79="","",IFERROR(INDEX('זה אני - קליטה'!$AG$5:$AG$204,MATCH($A79&amp;"|סוף שנה",'זה אני - קליטה'!$AF$5:$AF$204,0)),""))</f>
        <v/>
      </c>
      <c r="X79" s="37">
        <f>IF($A79="","",IFERROR(INDEX('זה אני - קליטה'!$AN$5:$AN$204,MATCH($A79&amp;"|סוף שנה",'זה אני - קליטה'!$AF$5:$AF$204,0)),""))</f>
        <v/>
      </c>
      <c r="Y79" s="36">
        <f>IF($A79="","",IFERROR(INDEX('זה אני - קליטה'!$AW$5:$AW$204,MATCH($A79&amp;"|סוף שנה",'זה אני - קליטה'!$AF$5:$AF$204,0)),""))</f>
        <v/>
      </c>
      <c r="Z79" s="43">
        <f>IF(AND(ISNUMBER(F79),ISNUMBER(V79)),V79-F79,"")</f>
        <v/>
      </c>
      <c r="AA79" s="36">
        <f>IF(Z79="","",IF(Z79&gt;=0.25,"עלייה",IF(Z79&lt;=-0.25,"ירידה","יציב")))</f>
        <v/>
      </c>
    </row>
    <row r="80">
      <c r="A80" s="38" t="n"/>
      <c r="B80" s="37">
        <f>IF($A80="","",IFERROR(INDEX('זה אני - קליטה'!$AH$5:$AH$204,MATCH($A80&amp;"|תחילת שנה",'זה אני - קליטה'!$AF$5:$AF$204,0)),""))</f>
        <v/>
      </c>
      <c r="C80" s="37">
        <f>IF($A80="","",IFERROR(INDEX('זה אני - קליטה'!$AI$5:$AI$204,MATCH($A80&amp;"|תחילת שנה",'זה אני - קליטה'!$AF$5:$AF$204,0)),""))</f>
        <v/>
      </c>
      <c r="D80" s="37">
        <f>IF($A80="","",IFERROR(INDEX('זה אני - קליטה'!$AJ$5:$AJ$204,MATCH($A80&amp;"|תחילת שנה",'זה אני - קליטה'!$AF$5:$AF$204,0)),""))</f>
        <v/>
      </c>
      <c r="E80" s="37">
        <f>IF($A80="","",IFERROR(INDEX('זה אני - קליטה'!$AK$5:$AK$204,MATCH($A80&amp;"|תחילת שנה",'זה אני - קליטה'!$AF$5:$AF$204,0)),""))</f>
        <v/>
      </c>
      <c r="F80" s="37">
        <f>IF($A80="","",IFERROR(INDEX('זה אני - קליטה'!$AL$5:$AL$204,MATCH($A80&amp;"|תחילת שנה",'זה אני - קליטה'!$AF$5:$AF$204,0)),""))</f>
        <v/>
      </c>
      <c r="G80" s="36">
        <f>IF($A80="","",IFERROR(INDEX('זה אני - קליטה'!$AG$5:$AG$204,MATCH($A80&amp;"|תחילת שנה",'זה אני - קליטה'!$AF$5:$AF$204,0)),""))</f>
        <v/>
      </c>
      <c r="H80" s="37">
        <f>IF($A80="","",IFERROR(INDEX('זה אני - קליטה'!$AN$5:$AN$204,MATCH($A80&amp;"|תחילת שנה",'זה אני - קליטה'!$AF$5:$AF$204,0)),""))</f>
        <v/>
      </c>
      <c r="I80" s="36">
        <f>IF($A80="","",IFERROR(INDEX('זה אני - קליטה'!$AW$5:$AW$204,MATCH($A80&amp;"|תחילת שנה",'זה אני - קליטה'!$AF$5:$AF$204,0)),""))</f>
        <v/>
      </c>
      <c r="J80" s="37">
        <f>IF($A80="","",IFERROR(INDEX('זה אני - קליטה'!$AH$5:$AH$204,MATCH($A80&amp;"|אמצע שנה",'זה אני - קליטה'!$AF$5:$AF$204,0)),""))</f>
        <v/>
      </c>
      <c r="K80" s="37">
        <f>IF($A80="","",IFERROR(INDEX('זה אני - קליטה'!$AI$5:$AI$204,MATCH($A80&amp;"|אמצע שנה",'זה אני - קליטה'!$AF$5:$AF$204,0)),""))</f>
        <v/>
      </c>
      <c r="L80" s="37">
        <f>IF($A80="","",IFERROR(INDEX('זה אני - קליטה'!$AJ$5:$AJ$204,MATCH($A80&amp;"|אמצע שנה",'זה אני - קליטה'!$AF$5:$AF$204,0)),""))</f>
        <v/>
      </c>
      <c r="M80" s="37">
        <f>IF($A80="","",IFERROR(INDEX('זה אני - קליטה'!$AK$5:$AK$204,MATCH($A80&amp;"|אמצע שנה",'זה אני - קליטה'!$AF$5:$AF$204,0)),""))</f>
        <v/>
      </c>
      <c r="N80" s="37">
        <f>IF($A80="","",IFERROR(INDEX('זה אני - קליטה'!$AL$5:$AL$204,MATCH($A80&amp;"|אמצע שנה",'זה אני - קליטה'!$AF$5:$AF$204,0)),""))</f>
        <v/>
      </c>
      <c r="O80" s="36">
        <f>IF($A80="","",IFERROR(INDEX('זה אני - קליטה'!$AG$5:$AG$204,MATCH($A80&amp;"|אמצע שנה",'זה אני - קליטה'!$AF$5:$AF$204,0)),""))</f>
        <v/>
      </c>
      <c r="P80" s="37">
        <f>IF($A80="","",IFERROR(INDEX('זה אני - קליטה'!$AN$5:$AN$204,MATCH($A80&amp;"|אמצע שנה",'זה אני - קליטה'!$AF$5:$AF$204,0)),""))</f>
        <v/>
      </c>
      <c r="Q80" s="36">
        <f>IF($A80="","",IFERROR(INDEX('זה אני - קליטה'!$AW$5:$AW$204,MATCH($A80&amp;"|אמצע שנה",'זה אני - קליטה'!$AF$5:$AF$204,0)),""))</f>
        <v/>
      </c>
      <c r="R80" s="37">
        <f>IF($A80="","",IFERROR(INDEX('זה אני - קליטה'!$AH$5:$AH$204,MATCH($A80&amp;"|סוף שנה",'זה אני - קליטה'!$AF$5:$AF$204,0)),""))</f>
        <v/>
      </c>
      <c r="S80" s="37">
        <f>IF($A80="","",IFERROR(INDEX('זה אני - קליטה'!$AI$5:$AI$204,MATCH($A80&amp;"|סוף שנה",'זה אני - קליטה'!$AF$5:$AF$204,0)),""))</f>
        <v/>
      </c>
      <c r="T80" s="37">
        <f>IF($A80="","",IFERROR(INDEX('זה אני - קליטה'!$AJ$5:$AJ$204,MATCH($A80&amp;"|סוף שנה",'זה אני - קליטה'!$AF$5:$AF$204,0)),""))</f>
        <v/>
      </c>
      <c r="U80" s="37">
        <f>IF($A80="","",IFERROR(INDEX('זה אני - קליטה'!$AK$5:$AK$204,MATCH($A80&amp;"|סוף שנה",'זה אני - קליטה'!$AF$5:$AF$204,0)),""))</f>
        <v/>
      </c>
      <c r="V80" s="37">
        <f>IF($A80="","",IFERROR(INDEX('זה אני - קליטה'!$AL$5:$AL$204,MATCH($A80&amp;"|סוף שנה",'זה אני - קליטה'!$AF$5:$AF$204,0)),""))</f>
        <v/>
      </c>
      <c r="W80" s="36">
        <f>IF($A80="","",IFERROR(INDEX('זה אני - קליטה'!$AG$5:$AG$204,MATCH($A80&amp;"|סוף שנה",'זה אני - קליטה'!$AF$5:$AF$204,0)),""))</f>
        <v/>
      </c>
      <c r="X80" s="37">
        <f>IF($A80="","",IFERROR(INDEX('זה אני - קליטה'!$AN$5:$AN$204,MATCH($A80&amp;"|סוף שנה",'זה אני - קליטה'!$AF$5:$AF$204,0)),""))</f>
        <v/>
      </c>
      <c r="Y80" s="36">
        <f>IF($A80="","",IFERROR(INDEX('זה אני - קליטה'!$AW$5:$AW$204,MATCH($A80&amp;"|סוף שנה",'זה אני - קליטה'!$AF$5:$AF$204,0)),""))</f>
        <v/>
      </c>
      <c r="Z80" s="43">
        <f>IF(AND(ISNUMBER(F80),ISNUMBER(V80)),V80-F80,"")</f>
        <v/>
      </c>
      <c r="AA80" s="36">
        <f>IF(Z80="","",IF(Z80&gt;=0.25,"עלייה",IF(Z80&lt;=-0.25,"ירידה","יציב")))</f>
        <v/>
      </c>
    </row>
    <row r="81">
      <c r="A81" s="38" t="n"/>
      <c r="B81" s="37">
        <f>IF($A81="","",IFERROR(INDEX('זה אני - קליטה'!$AH$5:$AH$204,MATCH($A81&amp;"|תחילת שנה",'זה אני - קליטה'!$AF$5:$AF$204,0)),""))</f>
        <v/>
      </c>
      <c r="C81" s="37">
        <f>IF($A81="","",IFERROR(INDEX('זה אני - קליטה'!$AI$5:$AI$204,MATCH($A81&amp;"|תחילת שנה",'זה אני - קליטה'!$AF$5:$AF$204,0)),""))</f>
        <v/>
      </c>
      <c r="D81" s="37">
        <f>IF($A81="","",IFERROR(INDEX('זה אני - קליטה'!$AJ$5:$AJ$204,MATCH($A81&amp;"|תחילת שנה",'זה אני - קליטה'!$AF$5:$AF$204,0)),""))</f>
        <v/>
      </c>
      <c r="E81" s="37">
        <f>IF($A81="","",IFERROR(INDEX('זה אני - קליטה'!$AK$5:$AK$204,MATCH($A81&amp;"|תחילת שנה",'זה אני - קליטה'!$AF$5:$AF$204,0)),""))</f>
        <v/>
      </c>
      <c r="F81" s="37">
        <f>IF($A81="","",IFERROR(INDEX('זה אני - קליטה'!$AL$5:$AL$204,MATCH($A81&amp;"|תחילת שנה",'זה אני - קליטה'!$AF$5:$AF$204,0)),""))</f>
        <v/>
      </c>
      <c r="G81" s="36">
        <f>IF($A81="","",IFERROR(INDEX('זה אני - קליטה'!$AG$5:$AG$204,MATCH($A81&amp;"|תחילת שנה",'זה אני - קליטה'!$AF$5:$AF$204,0)),""))</f>
        <v/>
      </c>
      <c r="H81" s="37">
        <f>IF($A81="","",IFERROR(INDEX('זה אני - קליטה'!$AN$5:$AN$204,MATCH($A81&amp;"|תחילת שנה",'זה אני - קליטה'!$AF$5:$AF$204,0)),""))</f>
        <v/>
      </c>
      <c r="I81" s="36">
        <f>IF($A81="","",IFERROR(INDEX('זה אני - קליטה'!$AW$5:$AW$204,MATCH($A81&amp;"|תחילת שנה",'זה אני - קליטה'!$AF$5:$AF$204,0)),""))</f>
        <v/>
      </c>
      <c r="J81" s="37">
        <f>IF($A81="","",IFERROR(INDEX('זה אני - קליטה'!$AH$5:$AH$204,MATCH($A81&amp;"|אמצע שנה",'זה אני - קליטה'!$AF$5:$AF$204,0)),""))</f>
        <v/>
      </c>
      <c r="K81" s="37">
        <f>IF($A81="","",IFERROR(INDEX('זה אני - קליטה'!$AI$5:$AI$204,MATCH($A81&amp;"|אמצע שנה",'זה אני - קליטה'!$AF$5:$AF$204,0)),""))</f>
        <v/>
      </c>
      <c r="L81" s="37">
        <f>IF($A81="","",IFERROR(INDEX('זה אני - קליטה'!$AJ$5:$AJ$204,MATCH($A81&amp;"|אמצע שנה",'זה אני - קליטה'!$AF$5:$AF$204,0)),""))</f>
        <v/>
      </c>
      <c r="M81" s="37">
        <f>IF($A81="","",IFERROR(INDEX('זה אני - קליטה'!$AK$5:$AK$204,MATCH($A81&amp;"|אמצע שנה",'זה אני - קליטה'!$AF$5:$AF$204,0)),""))</f>
        <v/>
      </c>
      <c r="N81" s="37">
        <f>IF($A81="","",IFERROR(INDEX('זה אני - קליטה'!$AL$5:$AL$204,MATCH($A81&amp;"|אמצע שנה",'זה אני - קליטה'!$AF$5:$AF$204,0)),""))</f>
        <v/>
      </c>
      <c r="O81" s="36">
        <f>IF($A81="","",IFERROR(INDEX('זה אני - קליטה'!$AG$5:$AG$204,MATCH($A81&amp;"|אמצע שנה",'זה אני - קליטה'!$AF$5:$AF$204,0)),""))</f>
        <v/>
      </c>
      <c r="P81" s="37">
        <f>IF($A81="","",IFERROR(INDEX('זה אני - קליטה'!$AN$5:$AN$204,MATCH($A81&amp;"|אמצע שנה",'זה אני - קליטה'!$AF$5:$AF$204,0)),""))</f>
        <v/>
      </c>
      <c r="Q81" s="36">
        <f>IF($A81="","",IFERROR(INDEX('זה אני - קליטה'!$AW$5:$AW$204,MATCH($A81&amp;"|אמצע שנה",'זה אני - קליטה'!$AF$5:$AF$204,0)),""))</f>
        <v/>
      </c>
      <c r="R81" s="37">
        <f>IF($A81="","",IFERROR(INDEX('זה אני - קליטה'!$AH$5:$AH$204,MATCH($A81&amp;"|סוף שנה",'זה אני - קליטה'!$AF$5:$AF$204,0)),""))</f>
        <v/>
      </c>
      <c r="S81" s="37">
        <f>IF($A81="","",IFERROR(INDEX('זה אני - קליטה'!$AI$5:$AI$204,MATCH($A81&amp;"|סוף שנה",'זה אני - קליטה'!$AF$5:$AF$204,0)),""))</f>
        <v/>
      </c>
      <c r="T81" s="37">
        <f>IF($A81="","",IFERROR(INDEX('זה אני - קליטה'!$AJ$5:$AJ$204,MATCH($A81&amp;"|סוף שנה",'זה אני - קליטה'!$AF$5:$AF$204,0)),""))</f>
        <v/>
      </c>
      <c r="U81" s="37">
        <f>IF($A81="","",IFERROR(INDEX('זה אני - קליטה'!$AK$5:$AK$204,MATCH($A81&amp;"|סוף שנה",'זה אני - קליטה'!$AF$5:$AF$204,0)),""))</f>
        <v/>
      </c>
      <c r="V81" s="37">
        <f>IF($A81="","",IFERROR(INDEX('זה אני - קליטה'!$AL$5:$AL$204,MATCH($A81&amp;"|סוף שנה",'זה אני - קליטה'!$AF$5:$AF$204,0)),""))</f>
        <v/>
      </c>
      <c r="W81" s="36">
        <f>IF($A81="","",IFERROR(INDEX('זה אני - קליטה'!$AG$5:$AG$204,MATCH($A81&amp;"|סוף שנה",'זה אני - קליטה'!$AF$5:$AF$204,0)),""))</f>
        <v/>
      </c>
      <c r="X81" s="37">
        <f>IF($A81="","",IFERROR(INDEX('זה אני - קליטה'!$AN$5:$AN$204,MATCH($A81&amp;"|סוף שנה",'זה אני - קליטה'!$AF$5:$AF$204,0)),""))</f>
        <v/>
      </c>
      <c r="Y81" s="36">
        <f>IF($A81="","",IFERROR(INDEX('זה אני - קליטה'!$AW$5:$AW$204,MATCH($A81&amp;"|סוף שנה",'זה אני - קליטה'!$AF$5:$AF$204,0)),""))</f>
        <v/>
      </c>
      <c r="Z81" s="43">
        <f>IF(AND(ISNUMBER(F81),ISNUMBER(V81)),V81-F81,"")</f>
        <v/>
      </c>
      <c r="AA81" s="36">
        <f>IF(Z81="","",IF(Z81&gt;=0.25,"עלייה",IF(Z81&lt;=-0.25,"ירידה","יציב")))</f>
        <v/>
      </c>
    </row>
    <row r="82">
      <c r="A82" s="38" t="n"/>
      <c r="B82" s="37">
        <f>IF($A82="","",IFERROR(INDEX('זה אני - קליטה'!$AH$5:$AH$204,MATCH($A82&amp;"|תחילת שנה",'זה אני - קליטה'!$AF$5:$AF$204,0)),""))</f>
        <v/>
      </c>
      <c r="C82" s="37">
        <f>IF($A82="","",IFERROR(INDEX('זה אני - קליטה'!$AI$5:$AI$204,MATCH($A82&amp;"|תחילת שנה",'זה אני - קליטה'!$AF$5:$AF$204,0)),""))</f>
        <v/>
      </c>
      <c r="D82" s="37">
        <f>IF($A82="","",IFERROR(INDEX('זה אני - קליטה'!$AJ$5:$AJ$204,MATCH($A82&amp;"|תחילת שנה",'זה אני - קליטה'!$AF$5:$AF$204,0)),""))</f>
        <v/>
      </c>
      <c r="E82" s="37">
        <f>IF($A82="","",IFERROR(INDEX('זה אני - קליטה'!$AK$5:$AK$204,MATCH($A82&amp;"|תחילת שנה",'זה אני - קליטה'!$AF$5:$AF$204,0)),""))</f>
        <v/>
      </c>
      <c r="F82" s="37">
        <f>IF($A82="","",IFERROR(INDEX('זה אני - קליטה'!$AL$5:$AL$204,MATCH($A82&amp;"|תחילת שנה",'זה אני - קליטה'!$AF$5:$AF$204,0)),""))</f>
        <v/>
      </c>
      <c r="G82" s="36">
        <f>IF($A82="","",IFERROR(INDEX('זה אני - קליטה'!$AG$5:$AG$204,MATCH($A82&amp;"|תחילת שנה",'זה אני - קליטה'!$AF$5:$AF$204,0)),""))</f>
        <v/>
      </c>
      <c r="H82" s="37">
        <f>IF($A82="","",IFERROR(INDEX('זה אני - קליטה'!$AN$5:$AN$204,MATCH($A82&amp;"|תחילת שנה",'זה אני - קליטה'!$AF$5:$AF$204,0)),""))</f>
        <v/>
      </c>
      <c r="I82" s="36">
        <f>IF($A82="","",IFERROR(INDEX('זה אני - קליטה'!$AW$5:$AW$204,MATCH($A82&amp;"|תחילת שנה",'זה אני - קליטה'!$AF$5:$AF$204,0)),""))</f>
        <v/>
      </c>
      <c r="J82" s="37">
        <f>IF($A82="","",IFERROR(INDEX('זה אני - קליטה'!$AH$5:$AH$204,MATCH($A82&amp;"|אמצע שנה",'זה אני - קליטה'!$AF$5:$AF$204,0)),""))</f>
        <v/>
      </c>
      <c r="K82" s="37">
        <f>IF($A82="","",IFERROR(INDEX('זה אני - קליטה'!$AI$5:$AI$204,MATCH($A82&amp;"|אמצע שנה",'זה אני - קליטה'!$AF$5:$AF$204,0)),""))</f>
        <v/>
      </c>
      <c r="L82" s="37">
        <f>IF($A82="","",IFERROR(INDEX('זה אני - קליטה'!$AJ$5:$AJ$204,MATCH($A82&amp;"|אמצע שנה",'זה אני - קליטה'!$AF$5:$AF$204,0)),""))</f>
        <v/>
      </c>
      <c r="M82" s="37">
        <f>IF($A82="","",IFERROR(INDEX('זה אני - קליטה'!$AK$5:$AK$204,MATCH($A82&amp;"|אמצע שנה",'זה אני - קליטה'!$AF$5:$AF$204,0)),""))</f>
        <v/>
      </c>
      <c r="N82" s="37">
        <f>IF($A82="","",IFERROR(INDEX('זה אני - קליטה'!$AL$5:$AL$204,MATCH($A82&amp;"|אמצע שנה",'זה אני - קליטה'!$AF$5:$AF$204,0)),""))</f>
        <v/>
      </c>
      <c r="O82" s="36">
        <f>IF($A82="","",IFERROR(INDEX('זה אני - קליטה'!$AG$5:$AG$204,MATCH($A82&amp;"|אמצע שנה",'זה אני - קליטה'!$AF$5:$AF$204,0)),""))</f>
        <v/>
      </c>
      <c r="P82" s="37">
        <f>IF($A82="","",IFERROR(INDEX('זה אני - קליטה'!$AN$5:$AN$204,MATCH($A82&amp;"|אמצע שנה",'זה אני - קליטה'!$AF$5:$AF$204,0)),""))</f>
        <v/>
      </c>
      <c r="Q82" s="36">
        <f>IF($A82="","",IFERROR(INDEX('זה אני - קליטה'!$AW$5:$AW$204,MATCH($A82&amp;"|אמצע שנה",'זה אני - קליטה'!$AF$5:$AF$204,0)),""))</f>
        <v/>
      </c>
      <c r="R82" s="37">
        <f>IF($A82="","",IFERROR(INDEX('זה אני - קליטה'!$AH$5:$AH$204,MATCH($A82&amp;"|סוף שנה",'זה אני - קליטה'!$AF$5:$AF$204,0)),""))</f>
        <v/>
      </c>
      <c r="S82" s="37">
        <f>IF($A82="","",IFERROR(INDEX('זה אני - קליטה'!$AI$5:$AI$204,MATCH($A82&amp;"|סוף שנה",'זה אני - קליטה'!$AF$5:$AF$204,0)),""))</f>
        <v/>
      </c>
      <c r="T82" s="37">
        <f>IF($A82="","",IFERROR(INDEX('זה אני - קליטה'!$AJ$5:$AJ$204,MATCH($A82&amp;"|סוף שנה",'זה אני - קליטה'!$AF$5:$AF$204,0)),""))</f>
        <v/>
      </c>
      <c r="U82" s="37">
        <f>IF($A82="","",IFERROR(INDEX('זה אני - קליטה'!$AK$5:$AK$204,MATCH($A82&amp;"|סוף שנה",'זה אני - קליטה'!$AF$5:$AF$204,0)),""))</f>
        <v/>
      </c>
      <c r="V82" s="37">
        <f>IF($A82="","",IFERROR(INDEX('זה אני - קליטה'!$AL$5:$AL$204,MATCH($A82&amp;"|סוף שנה",'זה אני - קליטה'!$AF$5:$AF$204,0)),""))</f>
        <v/>
      </c>
      <c r="W82" s="36">
        <f>IF($A82="","",IFERROR(INDEX('זה אני - קליטה'!$AG$5:$AG$204,MATCH($A82&amp;"|סוף שנה",'זה אני - קליטה'!$AF$5:$AF$204,0)),""))</f>
        <v/>
      </c>
      <c r="X82" s="37">
        <f>IF($A82="","",IFERROR(INDEX('זה אני - קליטה'!$AN$5:$AN$204,MATCH($A82&amp;"|סוף שנה",'זה אני - קליטה'!$AF$5:$AF$204,0)),""))</f>
        <v/>
      </c>
      <c r="Y82" s="36">
        <f>IF($A82="","",IFERROR(INDEX('זה אני - קליטה'!$AW$5:$AW$204,MATCH($A82&amp;"|סוף שנה",'זה אני - קליטה'!$AF$5:$AF$204,0)),""))</f>
        <v/>
      </c>
      <c r="Z82" s="43">
        <f>IF(AND(ISNUMBER(F82),ISNUMBER(V82)),V82-F82,"")</f>
        <v/>
      </c>
      <c r="AA82" s="36">
        <f>IF(Z82="","",IF(Z82&gt;=0.25,"עלייה",IF(Z82&lt;=-0.25,"ירידה","יציב")))</f>
        <v/>
      </c>
    </row>
    <row r="83">
      <c r="A83" s="38" t="n"/>
      <c r="B83" s="37">
        <f>IF($A83="","",IFERROR(INDEX('זה אני - קליטה'!$AH$5:$AH$204,MATCH($A83&amp;"|תחילת שנה",'זה אני - קליטה'!$AF$5:$AF$204,0)),""))</f>
        <v/>
      </c>
      <c r="C83" s="37">
        <f>IF($A83="","",IFERROR(INDEX('זה אני - קליטה'!$AI$5:$AI$204,MATCH($A83&amp;"|תחילת שנה",'זה אני - קליטה'!$AF$5:$AF$204,0)),""))</f>
        <v/>
      </c>
      <c r="D83" s="37">
        <f>IF($A83="","",IFERROR(INDEX('זה אני - קליטה'!$AJ$5:$AJ$204,MATCH($A83&amp;"|תחילת שנה",'זה אני - קליטה'!$AF$5:$AF$204,0)),""))</f>
        <v/>
      </c>
      <c r="E83" s="37">
        <f>IF($A83="","",IFERROR(INDEX('זה אני - קליטה'!$AK$5:$AK$204,MATCH($A83&amp;"|תחילת שנה",'זה אני - קליטה'!$AF$5:$AF$204,0)),""))</f>
        <v/>
      </c>
      <c r="F83" s="37">
        <f>IF($A83="","",IFERROR(INDEX('זה אני - קליטה'!$AL$5:$AL$204,MATCH($A83&amp;"|תחילת שנה",'זה אני - קליטה'!$AF$5:$AF$204,0)),""))</f>
        <v/>
      </c>
      <c r="G83" s="36">
        <f>IF($A83="","",IFERROR(INDEX('זה אני - קליטה'!$AG$5:$AG$204,MATCH($A83&amp;"|תחילת שנה",'זה אני - קליטה'!$AF$5:$AF$204,0)),""))</f>
        <v/>
      </c>
      <c r="H83" s="37">
        <f>IF($A83="","",IFERROR(INDEX('זה אני - קליטה'!$AN$5:$AN$204,MATCH($A83&amp;"|תחילת שנה",'זה אני - קליטה'!$AF$5:$AF$204,0)),""))</f>
        <v/>
      </c>
      <c r="I83" s="36">
        <f>IF($A83="","",IFERROR(INDEX('זה אני - קליטה'!$AW$5:$AW$204,MATCH($A83&amp;"|תחילת שנה",'זה אני - קליטה'!$AF$5:$AF$204,0)),""))</f>
        <v/>
      </c>
      <c r="J83" s="37">
        <f>IF($A83="","",IFERROR(INDEX('זה אני - קליטה'!$AH$5:$AH$204,MATCH($A83&amp;"|אמצע שנה",'זה אני - קליטה'!$AF$5:$AF$204,0)),""))</f>
        <v/>
      </c>
      <c r="K83" s="37">
        <f>IF($A83="","",IFERROR(INDEX('זה אני - קליטה'!$AI$5:$AI$204,MATCH($A83&amp;"|אמצע שנה",'זה אני - קליטה'!$AF$5:$AF$204,0)),""))</f>
        <v/>
      </c>
      <c r="L83" s="37">
        <f>IF($A83="","",IFERROR(INDEX('זה אני - קליטה'!$AJ$5:$AJ$204,MATCH($A83&amp;"|אמצע שנה",'זה אני - קליטה'!$AF$5:$AF$204,0)),""))</f>
        <v/>
      </c>
      <c r="M83" s="37">
        <f>IF($A83="","",IFERROR(INDEX('זה אני - קליטה'!$AK$5:$AK$204,MATCH($A83&amp;"|אמצע שנה",'זה אני - קליטה'!$AF$5:$AF$204,0)),""))</f>
        <v/>
      </c>
      <c r="N83" s="37">
        <f>IF($A83="","",IFERROR(INDEX('זה אני - קליטה'!$AL$5:$AL$204,MATCH($A83&amp;"|אמצע שנה",'זה אני - קליטה'!$AF$5:$AF$204,0)),""))</f>
        <v/>
      </c>
      <c r="O83" s="36">
        <f>IF($A83="","",IFERROR(INDEX('זה אני - קליטה'!$AG$5:$AG$204,MATCH($A83&amp;"|אמצע שנה",'זה אני - קליטה'!$AF$5:$AF$204,0)),""))</f>
        <v/>
      </c>
      <c r="P83" s="37">
        <f>IF($A83="","",IFERROR(INDEX('זה אני - קליטה'!$AN$5:$AN$204,MATCH($A83&amp;"|אמצע שנה",'זה אני - קליטה'!$AF$5:$AF$204,0)),""))</f>
        <v/>
      </c>
      <c r="Q83" s="36">
        <f>IF($A83="","",IFERROR(INDEX('זה אני - קליטה'!$AW$5:$AW$204,MATCH($A83&amp;"|אמצע שנה",'זה אני - קליטה'!$AF$5:$AF$204,0)),""))</f>
        <v/>
      </c>
      <c r="R83" s="37">
        <f>IF($A83="","",IFERROR(INDEX('זה אני - קליטה'!$AH$5:$AH$204,MATCH($A83&amp;"|סוף שנה",'זה אני - קליטה'!$AF$5:$AF$204,0)),""))</f>
        <v/>
      </c>
      <c r="S83" s="37">
        <f>IF($A83="","",IFERROR(INDEX('זה אני - קליטה'!$AI$5:$AI$204,MATCH($A83&amp;"|סוף שנה",'זה אני - קליטה'!$AF$5:$AF$204,0)),""))</f>
        <v/>
      </c>
      <c r="T83" s="37">
        <f>IF($A83="","",IFERROR(INDEX('זה אני - קליטה'!$AJ$5:$AJ$204,MATCH($A83&amp;"|סוף שנה",'זה אני - קליטה'!$AF$5:$AF$204,0)),""))</f>
        <v/>
      </c>
      <c r="U83" s="37">
        <f>IF($A83="","",IFERROR(INDEX('זה אני - קליטה'!$AK$5:$AK$204,MATCH($A83&amp;"|סוף שנה",'זה אני - קליטה'!$AF$5:$AF$204,0)),""))</f>
        <v/>
      </c>
      <c r="V83" s="37">
        <f>IF($A83="","",IFERROR(INDEX('זה אני - קליטה'!$AL$5:$AL$204,MATCH($A83&amp;"|סוף שנה",'זה אני - קליטה'!$AF$5:$AF$204,0)),""))</f>
        <v/>
      </c>
      <c r="W83" s="36">
        <f>IF($A83="","",IFERROR(INDEX('זה אני - קליטה'!$AG$5:$AG$204,MATCH($A83&amp;"|סוף שנה",'זה אני - קליטה'!$AF$5:$AF$204,0)),""))</f>
        <v/>
      </c>
      <c r="X83" s="37">
        <f>IF($A83="","",IFERROR(INDEX('זה אני - קליטה'!$AN$5:$AN$204,MATCH($A83&amp;"|סוף שנה",'זה אני - קליטה'!$AF$5:$AF$204,0)),""))</f>
        <v/>
      </c>
      <c r="Y83" s="36">
        <f>IF($A83="","",IFERROR(INDEX('זה אני - קליטה'!$AW$5:$AW$204,MATCH($A83&amp;"|סוף שנה",'זה אני - קליטה'!$AF$5:$AF$204,0)),""))</f>
        <v/>
      </c>
      <c r="Z83" s="43">
        <f>IF(AND(ISNUMBER(F83),ISNUMBER(V83)),V83-F83,"")</f>
        <v/>
      </c>
      <c r="AA83" s="36">
        <f>IF(Z83="","",IF(Z83&gt;=0.25,"עלייה",IF(Z83&lt;=-0.25,"ירידה","יציב")))</f>
        <v/>
      </c>
    </row>
    <row r="84">
      <c r="A84" s="38" t="n"/>
      <c r="B84" s="37">
        <f>IF($A84="","",IFERROR(INDEX('זה אני - קליטה'!$AH$5:$AH$204,MATCH($A84&amp;"|תחילת שנה",'זה אני - קליטה'!$AF$5:$AF$204,0)),""))</f>
        <v/>
      </c>
      <c r="C84" s="37">
        <f>IF($A84="","",IFERROR(INDEX('זה אני - קליטה'!$AI$5:$AI$204,MATCH($A84&amp;"|תחילת שנה",'זה אני - קליטה'!$AF$5:$AF$204,0)),""))</f>
        <v/>
      </c>
      <c r="D84" s="37">
        <f>IF($A84="","",IFERROR(INDEX('זה אני - קליטה'!$AJ$5:$AJ$204,MATCH($A84&amp;"|תחילת שנה",'זה אני - קליטה'!$AF$5:$AF$204,0)),""))</f>
        <v/>
      </c>
      <c r="E84" s="37">
        <f>IF($A84="","",IFERROR(INDEX('זה אני - קליטה'!$AK$5:$AK$204,MATCH($A84&amp;"|תחילת שנה",'זה אני - קליטה'!$AF$5:$AF$204,0)),""))</f>
        <v/>
      </c>
      <c r="F84" s="37">
        <f>IF($A84="","",IFERROR(INDEX('זה אני - קליטה'!$AL$5:$AL$204,MATCH($A84&amp;"|תחילת שנה",'זה אני - קליטה'!$AF$5:$AF$204,0)),""))</f>
        <v/>
      </c>
      <c r="G84" s="36">
        <f>IF($A84="","",IFERROR(INDEX('זה אני - קליטה'!$AG$5:$AG$204,MATCH($A84&amp;"|תחילת שנה",'זה אני - קליטה'!$AF$5:$AF$204,0)),""))</f>
        <v/>
      </c>
      <c r="H84" s="37">
        <f>IF($A84="","",IFERROR(INDEX('זה אני - קליטה'!$AN$5:$AN$204,MATCH($A84&amp;"|תחילת שנה",'זה אני - קליטה'!$AF$5:$AF$204,0)),""))</f>
        <v/>
      </c>
      <c r="I84" s="36">
        <f>IF($A84="","",IFERROR(INDEX('זה אני - קליטה'!$AW$5:$AW$204,MATCH($A84&amp;"|תחילת שנה",'זה אני - קליטה'!$AF$5:$AF$204,0)),""))</f>
        <v/>
      </c>
      <c r="J84" s="37">
        <f>IF($A84="","",IFERROR(INDEX('זה אני - קליטה'!$AH$5:$AH$204,MATCH($A84&amp;"|אמצע שנה",'זה אני - קליטה'!$AF$5:$AF$204,0)),""))</f>
        <v/>
      </c>
      <c r="K84" s="37">
        <f>IF($A84="","",IFERROR(INDEX('זה אני - קליטה'!$AI$5:$AI$204,MATCH($A84&amp;"|אמצע שנה",'זה אני - קליטה'!$AF$5:$AF$204,0)),""))</f>
        <v/>
      </c>
      <c r="L84" s="37">
        <f>IF($A84="","",IFERROR(INDEX('זה אני - קליטה'!$AJ$5:$AJ$204,MATCH($A84&amp;"|אמצע שנה",'זה אני - קליטה'!$AF$5:$AF$204,0)),""))</f>
        <v/>
      </c>
      <c r="M84" s="37">
        <f>IF($A84="","",IFERROR(INDEX('זה אני - קליטה'!$AK$5:$AK$204,MATCH($A84&amp;"|אמצע שנה",'זה אני - קליטה'!$AF$5:$AF$204,0)),""))</f>
        <v/>
      </c>
      <c r="N84" s="37">
        <f>IF($A84="","",IFERROR(INDEX('זה אני - קליטה'!$AL$5:$AL$204,MATCH($A84&amp;"|אמצע שנה",'זה אני - קליטה'!$AF$5:$AF$204,0)),""))</f>
        <v/>
      </c>
      <c r="O84" s="36">
        <f>IF($A84="","",IFERROR(INDEX('זה אני - קליטה'!$AG$5:$AG$204,MATCH($A84&amp;"|אמצע שנה",'זה אני - קליטה'!$AF$5:$AF$204,0)),""))</f>
        <v/>
      </c>
      <c r="P84" s="37">
        <f>IF($A84="","",IFERROR(INDEX('זה אני - קליטה'!$AN$5:$AN$204,MATCH($A84&amp;"|אמצע שנה",'זה אני - קליטה'!$AF$5:$AF$204,0)),""))</f>
        <v/>
      </c>
      <c r="Q84" s="36">
        <f>IF($A84="","",IFERROR(INDEX('זה אני - קליטה'!$AW$5:$AW$204,MATCH($A84&amp;"|אמצע שנה",'זה אני - קליטה'!$AF$5:$AF$204,0)),""))</f>
        <v/>
      </c>
      <c r="R84" s="37">
        <f>IF($A84="","",IFERROR(INDEX('זה אני - קליטה'!$AH$5:$AH$204,MATCH($A84&amp;"|סוף שנה",'זה אני - קליטה'!$AF$5:$AF$204,0)),""))</f>
        <v/>
      </c>
      <c r="S84" s="37">
        <f>IF($A84="","",IFERROR(INDEX('זה אני - קליטה'!$AI$5:$AI$204,MATCH($A84&amp;"|סוף שנה",'זה אני - קליטה'!$AF$5:$AF$204,0)),""))</f>
        <v/>
      </c>
      <c r="T84" s="37">
        <f>IF($A84="","",IFERROR(INDEX('זה אני - קליטה'!$AJ$5:$AJ$204,MATCH($A84&amp;"|סוף שנה",'זה אני - קליטה'!$AF$5:$AF$204,0)),""))</f>
        <v/>
      </c>
      <c r="U84" s="37">
        <f>IF($A84="","",IFERROR(INDEX('זה אני - קליטה'!$AK$5:$AK$204,MATCH($A84&amp;"|סוף שנה",'זה אני - קליטה'!$AF$5:$AF$204,0)),""))</f>
        <v/>
      </c>
      <c r="V84" s="37">
        <f>IF($A84="","",IFERROR(INDEX('זה אני - קליטה'!$AL$5:$AL$204,MATCH($A84&amp;"|סוף שנה",'זה אני - קליטה'!$AF$5:$AF$204,0)),""))</f>
        <v/>
      </c>
      <c r="W84" s="36">
        <f>IF($A84="","",IFERROR(INDEX('זה אני - קליטה'!$AG$5:$AG$204,MATCH($A84&amp;"|סוף שנה",'זה אני - קליטה'!$AF$5:$AF$204,0)),""))</f>
        <v/>
      </c>
      <c r="X84" s="37">
        <f>IF($A84="","",IFERROR(INDEX('זה אני - קליטה'!$AN$5:$AN$204,MATCH($A84&amp;"|סוף שנה",'זה אני - קליטה'!$AF$5:$AF$204,0)),""))</f>
        <v/>
      </c>
      <c r="Y84" s="36">
        <f>IF($A84="","",IFERROR(INDEX('זה אני - קליטה'!$AW$5:$AW$204,MATCH($A84&amp;"|סוף שנה",'זה אני - קליטה'!$AF$5:$AF$204,0)),""))</f>
        <v/>
      </c>
      <c r="Z84" s="43">
        <f>IF(AND(ISNUMBER(F84),ISNUMBER(V84)),V84-F84,"")</f>
        <v/>
      </c>
      <c r="AA84" s="36">
        <f>IF(Z84="","",IF(Z84&gt;=0.25,"עלייה",IF(Z84&lt;=-0.25,"ירידה","יציב")))</f>
        <v/>
      </c>
    </row>
    <row r="85">
      <c r="A85" s="38" t="n"/>
      <c r="B85" s="37">
        <f>IF($A85="","",IFERROR(INDEX('זה אני - קליטה'!$AH$5:$AH$204,MATCH($A85&amp;"|תחילת שנה",'זה אני - קליטה'!$AF$5:$AF$204,0)),""))</f>
        <v/>
      </c>
      <c r="C85" s="37">
        <f>IF($A85="","",IFERROR(INDEX('זה אני - קליטה'!$AI$5:$AI$204,MATCH($A85&amp;"|תחילת שנה",'זה אני - קליטה'!$AF$5:$AF$204,0)),""))</f>
        <v/>
      </c>
      <c r="D85" s="37">
        <f>IF($A85="","",IFERROR(INDEX('זה אני - קליטה'!$AJ$5:$AJ$204,MATCH($A85&amp;"|תחילת שנה",'זה אני - קליטה'!$AF$5:$AF$204,0)),""))</f>
        <v/>
      </c>
      <c r="E85" s="37">
        <f>IF($A85="","",IFERROR(INDEX('זה אני - קליטה'!$AK$5:$AK$204,MATCH($A85&amp;"|תחילת שנה",'זה אני - קליטה'!$AF$5:$AF$204,0)),""))</f>
        <v/>
      </c>
      <c r="F85" s="37">
        <f>IF($A85="","",IFERROR(INDEX('זה אני - קליטה'!$AL$5:$AL$204,MATCH($A85&amp;"|תחילת שנה",'זה אני - קליטה'!$AF$5:$AF$204,0)),""))</f>
        <v/>
      </c>
      <c r="G85" s="36">
        <f>IF($A85="","",IFERROR(INDEX('זה אני - קליטה'!$AG$5:$AG$204,MATCH($A85&amp;"|תחילת שנה",'זה אני - קליטה'!$AF$5:$AF$204,0)),""))</f>
        <v/>
      </c>
      <c r="H85" s="37">
        <f>IF($A85="","",IFERROR(INDEX('זה אני - קליטה'!$AN$5:$AN$204,MATCH($A85&amp;"|תחילת שנה",'זה אני - קליטה'!$AF$5:$AF$204,0)),""))</f>
        <v/>
      </c>
      <c r="I85" s="36">
        <f>IF($A85="","",IFERROR(INDEX('זה אני - קליטה'!$AW$5:$AW$204,MATCH($A85&amp;"|תחילת שנה",'זה אני - קליטה'!$AF$5:$AF$204,0)),""))</f>
        <v/>
      </c>
      <c r="J85" s="37">
        <f>IF($A85="","",IFERROR(INDEX('זה אני - קליטה'!$AH$5:$AH$204,MATCH($A85&amp;"|אמצע שנה",'זה אני - קליטה'!$AF$5:$AF$204,0)),""))</f>
        <v/>
      </c>
      <c r="K85" s="37">
        <f>IF($A85="","",IFERROR(INDEX('זה אני - קליטה'!$AI$5:$AI$204,MATCH($A85&amp;"|אמצע שנה",'זה אני - קליטה'!$AF$5:$AF$204,0)),""))</f>
        <v/>
      </c>
      <c r="L85" s="37">
        <f>IF($A85="","",IFERROR(INDEX('זה אני - קליטה'!$AJ$5:$AJ$204,MATCH($A85&amp;"|אמצע שנה",'זה אני - קליטה'!$AF$5:$AF$204,0)),""))</f>
        <v/>
      </c>
      <c r="M85" s="37">
        <f>IF($A85="","",IFERROR(INDEX('זה אני - קליטה'!$AK$5:$AK$204,MATCH($A85&amp;"|אמצע שנה",'זה אני - קליטה'!$AF$5:$AF$204,0)),""))</f>
        <v/>
      </c>
      <c r="N85" s="37">
        <f>IF($A85="","",IFERROR(INDEX('זה אני - קליטה'!$AL$5:$AL$204,MATCH($A85&amp;"|אמצע שנה",'זה אני - קליטה'!$AF$5:$AF$204,0)),""))</f>
        <v/>
      </c>
      <c r="O85" s="36">
        <f>IF($A85="","",IFERROR(INDEX('זה אני - קליטה'!$AG$5:$AG$204,MATCH($A85&amp;"|אמצע שנה",'זה אני - קליטה'!$AF$5:$AF$204,0)),""))</f>
        <v/>
      </c>
      <c r="P85" s="37">
        <f>IF($A85="","",IFERROR(INDEX('זה אני - קליטה'!$AN$5:$AN$204,MATCH($A85&amp;"|אמצע שנה",'זה אני - קליטה'!$AF$5:$AF$204,0)),""))</f>
        <v/>
      </c>
      <c r="Q85" s="36">
        <f>IF($A85="","",IFERROR(INDEX('זה אני - קליטה'!$AW$5:$AW$204,MATCH($A85&amp;"|אמצע שנה",'זה אני - קליטה'!$AF$5:$AF$204,0)),""))</f>
        <v/>
      </c>
      <c r="R85" s="37">
        <f>IF($A85="","",IFERROR(INDEX('זה אני - קליטה'!$AH$5:$AH$204,MATCH($A85&amp;"|סוף שנה",'זה אני - קליטה'!$AF$5:$AF$204,0)),""))</f>
        <v/>
      </c>
      <c r="S85" s="37">
        <f>IF($A85="","",IFERROR(INDEX('זה אני - קליטה'!$AI$5:$AI$204,MATCH($A85&amp;"|סוף שנה",'זה אני - קליטה'!$AF$5:$AF$204,0)),""))</f>
        <v/>
      </c>
      <c r="T85" s="37">
        <f>IF($A85="","",IFERROR(INDEX('זה אני - קליטה'!$AJ$5:$AJ$204,MATCH($A85&amp;"|סוף שנה",'זה אני - קליטה'!$AF$5:$AF$204,0)),""))</f>
        <v/>
      </c>
      <c r="U85" s="37">
        <f>IF($A85="","",IFERROR(INDEX('זה אני - קליטה'!$AK$5:$AK$204,MATCH($A85&amp;"|סוף שנה",'זה אני - קליטה'!$AF$5:$AF$204,0)),""))</f>
        <v/>
      </c>
      <c r="V85" s="37">
        <f>IF($A85="","",IFERROR(INDEX('זה אני - קליטה'!$AL$5:$AL$204,MATCH($A85&amp;"|סוף שנה",'זה אני - קליטה'!$AF$5:$AF$204,0)),""))</f>
        <v/>
      </c>
      <c r="W85" s="36">
        <f>IF($A85="","",IFERROR(INDEX('זה אני - קליטה'!$AG$5:$AG$204,MATCH($A85&amp;"|סוף שנה",'זה אני - קליטה'!$AF$5:$AF$204,0)),""))</f>
        <v/>
      </c>
      <c r="X85" s="37">
        <f>IF($A85="","",IFERROR(INDEX('זה אני - קליטה'!$AN$5:$AN$204,MATCH($A85&amp;"|סוף שנה",'זה אני - קליטה'!$AF$5:$AF$204,0)),""))</f>
        <v/>
      </c>
      <c r="Y85" s="36">
        <f>IF($A85="","",IFERROR(INDEX('זה אני - קליטה'!$AW$5:$AW$204,MATCH($A85&amp;"|סוף שנה",'זה אני - קליטה'!$AF$5:$AF$204,0)),""))</f>
        <v/>
      </c>
      <c r="Z85" s="43">
        <f>IF(AND(ISNUMBER(F85),ISNUMBER(V85)),V85-F85,"")</f>
        <v/>
      </c>
      <c r="AA85" s="36">
        <f>IF(Z85="","",IF(Z85&gt;=0.25,"עלייה",IF(Z85&lt;=-0.25,"ירידה","יציב")))</f>
        <v/>
      </c>
    </row>
    <row r="86">
      <c r="A86" s="38" t="n"/>
      <c r="B86" s="37">
        <f>IF($A86="","",IFERROR(INDEX('זה אני - קליטה'!$AH$5:$AH$204,MATCH($A86&amp;"|תחילת שנה",'זה אני - קליטה'!$AF$5:$AF$204,0)),""))</f>
        <v/>
      </c>
      <c r="C86" s="37">
        <f>IF($A86="","",IFERROR(INDEX('זה אני - קליטה'!$AI$5:$AI$204,MATCH($A86&amp;"|תחילת שנה",'זה אני - קליטה'!$AF$5:$AF$204,0)),""))</f>
        <v/>
      </c>
      <c r="D86" s="37">
        <f>IF($A86="","",IFERROR(INDEX('זה אני - קליטה'!$AJ$5:$AJ$204,MATCH($A86&amp;"|תחילת שנה",'זה אני - קליטה'!$AF$5:$AF$204,0)),""))</f>
        <v/>
      </c>
      <c r="E86" s="37">
        <f>IF($A86="","",IFERROR(INDEX('זה אני - קליטה'!$AK$5:$AK$204,MATCH($A86&amp;"|תחילת שנה",'זה אני - קליטה'!$AF$5:$AF$204,0)),""))</f>
        <v/>
      </c>
      <c r="F86" s="37">
        <f>IF($A86="","",IFERROR(INDEX('זה אני - קליטה'!$AL$5:$AL$204,MATCH($A86&amp;"|תחילת שנה",'זה אני - קליטה'!$AF$5:$AF$204,0)),""))</f>
        <v/>
      </c>
      <c r="G86" s="36">
        <f>IF($A86="","",IFERROR(INDEX('זה אני - קליטה'!$AG$5:$AG$204,MATCH($A86&amp;"|תחילת שנה",'זה אני - קליטה'!$AF$5:$AF$204,0)),""))</f>
        <v/>
      </c>
      <c r="H86" s="37">
        <f>IF($A86="","",IFERROR(INDEX('זה אני - קליטה'!$AN$5:$AN$204,MATCH($A86&amp;"|תחילת שנה",'זה אני - קליטה'!$AF$5:$AF$204,0)),""))</f>
        <v/>
      </c>
      <c r="I86" s="36">
        <f>IF($A86="","",IFERROR(INDEX('זה אני - קליטה'!$AW$5:$AW$204,MATCH($A86&amp;"|תחילת שנה",'זה אני - קליטה'!$AF$5:$AF$204,0)),""))</f>
        <v/>
      </c>
      <c r="J86" s="37">
        <f>IF($A86="","",IFERROR(INDEX('זה אני - קליטה'!$AH$5:$AH$204,MATCH($A86&amp;"|אמצע שנה",'זה אני - קליטה'!$AF$5:$AF$204,0)),""))</f>
        <v/>
      </c>
      <c r="K86" s="37">
        <f>IF($A86="","",IFERROR(INDEX('זה אני - קליטה'!$AI$5:$AI$204,MATCH($A86&amp;"|אמצע שנה",'זה אני - קליטה'!$AF$5:$AF$204,0)),""))</f>
        <v/>
      </c>
      <c r="L86" s="37">
        <f>IF($A86="","",IFERROR(INDEX('זה אני - קליטה'!$AJ$5:$AJ$204,MATCH($A86&amp;"|אמצע שנה",'זה אני - קליטה'!$AF$5:$AF$204,0)),""))</f>
        <v/>
      </c>
      <c r="M86" s="37">
        <f>IF($A86="","",IFERROR(INDEX('זה אני - קליטה'!$AK$5:$AK$204,MATCH($A86&amp;"|אמצע שנה",'זה אני - קליטה'!$AF$5:$AF$204,0)),""))</f>
        <v/>
      </c>
      <c r="N86" s="37">
        <f>IF($A86="","",IFERROR(INDEX('זה אני - קליטה'!$AL$5:$AL$204,MATCH($A86&amp;"|אמצע שנה",'זה אני - קליטה'!$AF$5:$AF$204,0)),""))</f>
        <v/>
      </c>
      <c r="O86" s="36">
        <f>IF($A86="","",IFERROR(INDEX('זה אני - קליטה'!$AG$5:$AG$204,MATCH($A86&amp;"|אמצע שנה",'זה אני - קליטה'!$AF$5:$AF$204,0)),""))</f>
        <v/>
      </c>
      <c r="P86" s="37">
        <f>IF($A86="","",IFERROR(INDEX('זה אני - קליטה'!$AN$5:$AN$204,MATCH($A86&amp;"|אמצע שנה",'זה אני - קליטה'!$AF$5:$AF$204,0)),""))</f>
        <v/>
      </c>
      <c r="Q86" s="36">
        <f>IF($A86="","",IFERROR(INDEX('זה אני - קליטה'!$AW$5:$AW$204,MATCH($A86&amp;"|אמצע שנה",'זה אני - קליטה'!$AF$5:$AF$204,0)),""))</f>
        <v/>
      </c>
      <c r="R86" s="37">
        <f>IF($A86="","",IFERROR(INDEX('זה אני - קליטה'!$AH$5:$AH$204,MATCH($A86&amp;"|סוף שנה",'זה אני - קליטה'!$AF$5:$AF$204,0)),""))</f>
        <v/>
      </c>
      <c r="S86" s="37">
        <f>IF($A86="","",IFERROR(INDEX('זה אני - קליטה'!$AI$5:$AI$204,MATCH($A86&amp;"|סוף שנה",'זה אני - קליטה'!$AF$5:$AF$204,0)),""))</f>
        <v/>
      </c>
      <c r="T86" s="37">
        <f>IF($A86="","",IFERROR(INDEX('זה אני - קליטה'!$AJ$5:$AJ$204,MATCH($A86&amp;"|סוף שנה",'זה אני - קליטה'!$AF$5:$AF$204,0)),""))</f>
        <v/>
      </c>
      <c r="U86" s="37">
        <f>IF($A86="","",IFERROR(INDEX('זה אני - קליטה'!$AK$5:$AK$204,MATCH($A86&amp;"|סוף שנה",'זה אני - קליטה'!$AF$5:$AF$204,0)),""))</f>
        <v/>
      </c>
      <c r="V86" s="37">
        <f>IF($A86="","",IFERROR(INDEX('זה אני - קליטה'!$AL$5:$AL$204,MATCH($A86&amp;"|סוף שנה",'זה אני - קליטה'!$AF$5:$AF$204,0)),""))</f>
        <v/>
      </c>
      <c r="W86" s="36">
        <f>IF($A86="","",IFERROR(INDEX('זה אני - קליטה'!$AG$5:$AG$204,MATCH($A86&amp;"|סוף שנה",'זה אני - קליטה'!$AF$5:$AF$204,0)),""))</f>
        <v/>
      </c>
      <c r="X86" s="37">
        <f>IF($A86="","",IFERROR(INDEX('זה אני - קליטה'!$AN$5:$AN$204,MATCH($A86&amp;"|סוף שנה",'זה אני - קליטה'!$AF$5:$AF$204,0)),""))</f>
        <v/>
      </c>
      <c r="Y86" s="36">
        <f>IF($A86="","",IFERROR(INDEX('זה אני - קליטה'!$AW$5:$AW$204,MATCH($A86&amp;"|סוף שנה",'זה אני - קליטה'!$AF$5:$AF$204,0)),""))</f>
        <v/>
      </c>
      <c r="Z86" s="43">
        <f>IF(AND(ISNUMBER(F86),ISNUMBER(V86)),V86-F86,"")</f>
        <v/>
      </c>
      <c r="AA86" s="36">
        <f>IF(Z86="","",IF(Z86&gt;=0.25,"עלייה",IF(Z86&lt;=-0.25,"ירידה","יציב")))</f>
        <v/>
      </c>
    </row>
    <row r="87">
      <c r="A87" s="38" t="n"/>
      <c r="B87" s="37">
        <f>IF($A87="","",IFERROR(INDEX('זה אני - קליטה'!$AH$5:$AH$204,MATCH($A87&amp;"|תחילת שנה",'זה אני - קליטה'!$AF$5:$AF$204,0)),""))</f>
        <v/>
      </c>
      <c r="C87" s="37">
        <f>IF($A87="","",IFERROR(INDEX('זה אני - קליטה'!$AI$5:$AI$204,MATCH($A87&amp;"|תחילת שנה",'זה אני - קליטה'!$AF$5:$AF$204,0)),""))</f>
        <v/>
      </c>
      <c r="D87" s="37">
        <f>IF($A87="","",IFERROR(INDEX('זה אני - קליטה'!$AJ$5:$AJ$204,MATCH($A87&amp;"|תחילת שנה",'זה אני - קליטה'!$AF$5:$AF$204,0)),""))</f>
        <v/>
      </c>
      <c r="E87" s="37">
        <f>IF($A87="","",IFERROR(INDEX('זה אני - קליטה'!$AK$5:$AK$204,MATCH($A87&amp;"|תחילת שנה",'זה אני - קליטה'!$AF$5:$AF$204,0)),""))</f>
        <v/>
      </c>
      <c r="F87" s="37">
        <f>IF($A87="","",IFERROR(INDEX('זה אני - קליטה'!$AL$5:$AL$204,MATCH($A87&amp;"|תחילת שנה",'זה אני - קליטה'!$AF$5:$AF$204,0)),""))</f>
        <v/>
      </c>
      <c r="G87" s="36">
        <f>IF($A87="","",IFERROR(INDEX('זה אני - קליטה'!$AG$5:$AG$204,MATCH($A87&amp;"|תחילת שנה",'זה אני - קליטה'!$AF$5:$AF$204,0)),""))</f>
        <v/>
      </c>
      <c r="H87" s="37">
        <f>IF($A87="","",IFERROR(INDEX('זה אני - קליטה'!$AN$5:$AN$204,MATCH($A87&amp;"|תחילת שנה",'זה אני - קליטה'!$AF$5:$AF$204,0)),""))</f>
        <v/>
      </c>
      <c r="I87" s="36">
        <f>IF($A87="","",IFERROR(INDEX('זה אני - קליטה'!$AW$5:$AW$204,MATCH($A87&amp;"|תחילת שנה",'זה אני - קליטה'!$AF$5:$AF$204,0)),""))</f>
        <v/>
      </c>
      <c r="J87" s="37">
        <f>IF($A87="","",IFERROR(INDEX('זה אני - קליטה'!$AH$5:$AH$204,MATCH($A87&amp;"|אמצע שנה",'זה אני - קליטה'!$AF$5:$AF$204,0)),""))</f>
        <v/>
      </c>
      <c r="K87" s="37">
        <f>IF($A87="","",IFERROR(INDEX('זה אני - קליטה'!$AI$5:$AI$204,MATCH($A87&amp;"|אמצע שנה",'זה אני - קליטה'!$AF$5:$AF$204,0)),""))</f>
        <v/>
      </c>
      <c r="L87" s="37">
        <f>IF($A87="","",IFERROR(INDEX('זה אני - קליטה'!$AJ$5:$AJ$204,MATCH($A87&amp;"|אמצע שנה",'זה אני - קליטה'!$AF$5:$AF$204,0)),""))</f>
        <v/>
      </c>
      <c r="M87" s="37">
        <f>IF($A87="","",IFERROR(INDEX('זה אני - קליטה'!$AK$5:$AK$204,MATCH($A87&amp;"|אמצע שנה",'זה אני - קליטה'!$AF$5:$AF$204,0)),""))</f>
        <v/>
      </c>
      <c r="N87" s="37">
        <f>IF($A87="","",IFERROR(INDEX('זה אני - קליטה'!$AL$5:$AL$204,MATCH($A87&amp;"|אמצע שנה",'זה אני - קליטה'!$AF$5:$AF$204,0)),""))</f>
        <v/>
      </c>
      <c r="O87" s="36">
        <f>IF($A87="","",IFERROR(INDEX('זה אני - קליטה'!$AG$5:$AG$204,MATCH($A87&amp;"|אמצע שנה",'זה אני - קליטה'!$AF$5:$AF$204,0)),""))</f>
        <v/>
      </c>
      <c r="P87" s="37">
        <f>IF($A87="","",IFERROR(INDEX('זה אני - קליטה'!$AN$5:$AN$204,MATCH($A87&amp;"|אמצע שנה",'זה אני - קליטה'!$AF$5:$AF$204,0)),""))</f>
        <v/>
      </c>
      <c r="Q87" s="36">
        <f>IF($A87="","",IFERROR(INDEX('זה אני - קליטה'!$AW$5:$AW$204,MATCH($A87&amp;"|אמצע שנה",'זה אני - קליטה'!$AF$5:$AF$204,0)),""))</f>
        <v/>
      </c>
      <c r="R87" s="37">
        <f>IF($A87="","",IFERROR(INDEX('זה אני - קליטה'!$AH$5:$AH$204,MATCH($A87&amp;"|סוף שנה",'זה אני - קליטה'!$AF$5:$AF$204,0)),""))</f>
        <v/>
      </c>
      <c r="S87" s="37">
        <f>IF($A87="","",IFERROR(INDEX('זה אני - קליטה'!$AI$5:$AI$204,MATCH($A87&amp;"|סוף שנה",'זה אני - קליטה'!$AF$5:$AF$204,0)),""))</f>
        <v/>
      </c>
      <c r="T87" s="37">
        <f>IF($A87="","",IFERROR(INDEX('זה אני - קליטה'!$AJ$5:$AJ$204,MATCH($A87&amp;"|סוף שנה",'זה אני - קליטה'!$AF$5:$AF$204,0)),""))</f>
        <v/>
      </c>
      <c r="U87" s="37">
        <f>IF($A87="","",IFERROR(INDEX('זה אני - קליטה'!$AK$5:$AK$204,MATCH($A87&amp;"|סוף שנה",'זה אני - קליטה'!$AF$5:$AF$204,0)),""))</f>
        <v/>
      </c>
      <c r="V87" s="37">
        <f>IF($A87="","",IFERROR(INDEX('זה אני - קליטה'!$AL$5:$AL$204,MATCH($A87&amp;"|סוף שנה",'זה אני - קליטה'!$AF$5:$AF$204,0)),""))</f>
        <v/>
      </c>
      <c r="W87" s="36">
        <f>IF($A87="","",IFERROR(INDEX('זה אני - קליטה'!$AG$5:$AG$204,MATCH($A87&amp;"|סוף שנה",'זה אני - קליטה'!$AF$5:$AF$204,0)),""))</f>
        <v/>
      </c>
      <c r="X87" s="37">
        <f>IF($A87="","",IFERROR(INDEX('זה אני - קליטה'!$AN$5:$AN$204,MATCH($A87&amp;"|סוף שנה",'זה אני - קליטה'!$AF$5:$AF$204,0)),""))</f>
        <v/>
      </c>
      <c r="Y87" s="36">
        <f>IF($A87="","",IFERROR(INDEX('זה אני - קליטה'!$AW$5:$AW$204,MATCH($A87&amp;"|סוף שנה",'זה אני - קליטה'!$AF$5:$AF$204,0)),""))</f>
        <v/>
      </c>
      <c r="Z87" s="43">
        <f>IF(AND(ISNUMBER(F87),ISNUMBER(V87)),V87-F87,"")</f>
        <v/>
      </c>
      <c r="AA87" s="36">
        <f>IF(Z87="","",IF(Z87&gt;=0.25,"עלייה",IF(Z87&lt;=-0.25,"ירידה","יציב")))</f>
        <v/>
      </c>
    </row>
    <row r="88">
      <c r="A88" s="38" t="n"/>
      <c r="B88" s="37">
        <f>IF($A88="","",IFERROR(INDEX('זה אני - קליטה'!$AH$5:$AH$204,MATCH($A88&amp;"|תחילת שנה",'זה אני - קליטה'!$AF$5:$AF$204,0)),""))</f>
        <v/>
      </c>
      <c r="C88" s="37">
        <f>IF($A88="","",IFERROR(INDEX('זה אני - קליטה'!$AI$5:$AI$204,MATCH($A88&amp;"|תחילת שנה",'זה אני - קליטה'!$AF$5:$AF$204,0)),""))</f>
        <v/>
      </c>
      <c r="D88" s="37">
        <f>IF($A88="","",IFERROR(INDEX('זה אני - קליטה'!$AJ$5:$AJ$204,MATCH($A88&amp;"|תחילת שנה",'זה אני - קליטה'!$AF$5:$AF$204,0)),""))</f>
        <v/>
      </c>
      <c r="E88" s="37">
        <f>IF($A88="","",IFERROR(INDEX('זה אני - קליטה'!$AK$5:$AK$204,MATCH($A88&amp;"|תחילת שנה",'זה אני - קליטה'!$AF$5:$AF$204,0)),""))</f>
        <v/>
      </c>
      <c r="F88" s="37">
        <f>IF($A88="","",IFERROR(INDEX('זה אני - קליטה'!$AL$5:$AL$204,MATCH($A88&amp;"|תחילת שנה",'זה אני - קליטה'!$AF$5:$AF$204,0)),""))</f>
        <v/>
      </c>
      <c r="G88" s="36">
        <f>IF($A88="","",IFERROR(INDEX('זה אני - קליטה'!$AG$5:$AG$204,MATCH($A88&amp;"|תחילת שנה",'זה אני - קליטה'!$AF$5:$AF$204,0)),""))</f>
        <v/>
      </c>
      <c r="H88" s="37">
        <f>IF($A88="","",IFERROR(INDEX('זה אני - קליטה'!$AN$5:$AN$204,MATCH($A88&amp;"|תחילת שנה",'זה אני - קליטה'!$AF$5:$AF$204,0)),""))</f>
        <v/>
      </c>
      <c r="I88" s="36">
        <f>IF($A88="","",IFERROR(INDEX('זה אני - קליטה'!$AW$5:$AW$204,MATCH($A88&amp;"|תחילת שנה",'זה אני - קליטה'!$AF$5:$AF$204,0)),""))</f>
        <v/>
      </c>
      <c r="J88" s="37">
        <f>IF($A88="","",IFERROR(INDEX('זה אני - קליטה'!$AH$5:$AH$204,MATCH($A88&amp;"|אמצע שנה",'זה אני - קליטה'!$AF$5:$AF$204,0)),""))</f>
        <v/>
      </c>
      <c r="K88" s="37">
        <f>IF($A88="","",IFERROR(INDEX('זה אני - קליטה'!$AI$5:$AI$204,MATCH($A88&amp;"|אמצע שנה",'זה אני - קליטה'!$AF$5:$AF$204,0)),""))</f>
        <v/>
      </c>
      <c r="L88" s="37">
        <f>IF($A88="","",IFERROR(INDEX('זה אני - קליטה'!$AJ$5:$AJ$204,MATCH($A88&amp;"|אמצע שנה",'זה אני - קליטה'!$AF$5:$AF$204,0)),""))</f>
        <v/>
      </c>
      <c r="M88" s="37">
        <f>IF($A88="","",IFERROR(INDEX('זה אני - קליטה'!$AK$5:$AK$204,MATCH($A88&amp;"|אמצע שנה",'זה אני - קליטה'!$AF$5:$AF$204,0)),""))</f>
        <v/>
      </c>
      <c r="N88" s="37">
        <f>IF($A88="","",IFERROR(INDEX('זה אני - קליטה'!$AL$5:$AL$204,MATCH($A88&amp;"|אמצע שנה",'זה אני - קליטה'!$AF$5:$AF$204,0)),""))</f>
        <v/>
      </c>
      <c r="O88" s="36">
        <f>IF($A88="","",IFERROR(INDEX('זה אני - קליטה'!$AG$5:$AG$204,MATCH($A88&amp;"|אמצע שנה",'זה אני - קליטה'!$AF$5:$AF$204,0)),""))</f>
        <v/>
      </c>
      <c r="P88" s="37">
        <f>IF($A88="","",IFERROR(INDEX('זה אני - קליטה'!$AN$5:$AN$204,MATCH($A88&amp;"|אמצע שנה",'זה אני - קליטה'!$AF$5:$AF$204,0)),""))</f>
        <v/>
      </c>
      <c r="Q88" s="36">
        <f>IF($A88="","",IFERROR(INDEX('זה אני - קליטה'!$AW$5:$AW$204,MATCH($A88&amp;"|אמצע שנה",'זה אני - קליטה'!$AF$5:$AF$204,0)),""))</f>
        <v/>
      </c>
      <c r="R88" s="37">
        <f>IF($A88="","",IFERROR(INDEX('זה אני - קליטה'!$AH$5:$AH$204,MATCH($A88&amp;"|סוף שנה",'זה אני - קליטה'!$AF$5:$AF$204,0)),""))</f>
        <v/>
      </c>
      <c r="S88" s="37">
        <f>IF($A88="","",IFERROR(INDEX('זה אני - קליטה'!$AI$5:$AI$204,MATCH($A88&amp;"|סוף שנה",'זה אני - קליטה'!$AF$5:$AF$204,0)),""))</f>
        <v/>
      </c>
      <c r="T88" s="37">
        <f>IF($A88="","",IFERROR(INDEX('זה אני - קליטה'!$AJ$5:$AJ$204,MATCH($A88&amp;"|סוף שנה",'זה אני - קליטה'!$AF$5:$AF$204,0)),""))</f>
        <v/>
      </c>
      <c r="U88" s="37">
        <f>IF($A88="","",IFERROR(INDEX('זה אני - קליטה'!$AK$5:$AK$204,MATCH($A88&amp;"|סוף שנה",'זה אני - קליטה'!$AF$5:$AF$204,0)),""))</f>
        <v/>
      </c>
      <c r="V88" s="37">
        <f>IF($A88="","",IFERROR(INDEX('זה אני - קליטה'!$AL$5:$AL$204,MATCH($A88&amp;"|סוף שנה",'זה אני - קליטה'!$AF$5:$AF$204,0)),""))</f>
        <v/>
      </c>
      <c r="W88" s="36">
        <f>IF($A88="","",IFERROR(INDEX('זה אני - קליטה'!$AG$5:$AG$204,MATCH($A88&amp;"|סוף שנה",'זה אני - קליטה'!$AF$5:$AF$204,0)),""))</f>
        <v/>
      </c>
      <c r="X88" s="37">
        <f>IF($A88="","",IFERROR(INDEX('זה אני - קליטה'!$AN$5:$AN$204,MATCH($A88&amp;"|סוף שנה",'זה אני - קליטה'!$AF$5:$AF$204,0)),""))</f>
        <v/>
      </c>
      <c r="Y88" s="36">
        <f>IF($A88="","",IFERROR(INDEX('זה אני - קליטה'!$AW$5:$AW$204,MATCH($A88&amp;"|סוף שנה",'זה אני - קליטה'!$AF$5:$AF$204,0)),""))</f>
        <v/>
      </c>
      <c r="Z88" s="43">
        <f>IF(AND(ISNUMBER(F88),ISNUMBER(V88)),V88-F88,"")</f>
        <v/>
      </c>
      <c r="AA88" s="36">
        <f>IF(Z88="","",IF(Z88&gt;=0.25,"עלייה",IF(Z88&lt;=-0.25,"ירידה","יציב")))</f>
        <v/>
      </c>
    </row>
    <row r="89">
      <c r="A89" s="38" t="n"/>
      <c r="B89" s="37">
        <f>IF($A89="","",IFERROR(INDEX('זה אני - קליטה'!$AH$5:$AH$204,MATCH($A89&amp;"|תחילת שנה",'זה אני - קליטה'!$AF$5:$AF$204,0)),""))</f>
        <v/>
      </c>
      <c r="C89" s="37">
        <f>IF($A89="","",IFERROR(INDEX('זה אני - קליטה'!$AI$5:$AI$204,MATCH($A89&amp;"|תחילת שנה",'זה אני - קליטה'!$AF$5:$AF$204,0)),""))</f>
        <v/>
      </c>
      <c r="D89" s="37">
        <f>IF($A89="","",IFERROR(INDEX('זה אני - קליטה'!$AJ$5:$AJ$204,MATCH($A89&amp;"|תחילת שנה",'זה אני - קליטה'!$AF$5:$AF$204,0)),""))</f>
        <v/>
      </c>
      <c r="E89" s="37">
        <f>IF($A89="","",IFERROR(INDEX('זה אני - קליטה'!$AK$5:$AK$204,MATCH($A89&amp;"|תחילת שנה",'זה אני - קליטה'!$AF$5:$AF$204,0)),""))</f>
        <v/>
      </c>
      <c r="F89" s="37">
        <f>IF($A89="","",IFERROR(INDEX('זה אני - קליטה'!$AL$5:$AL$204,MATCH($A89&amp;"|תחילת שנה",'זה אני - קליטה'!$AF$5:$AF$204,0)),""))</f>
        <v/>
      </c>
      <c r="G89" s="36">
        <f>IF($A89="","",IFERROR(INDEX('זה אני - קליטה'!$AG$5:$AG$204,MATCH($A89&amp;"|תחילת שנה",'זה אני - קליטה'!$AF$5:$AF$204,0)),""))</f>
        <v/>
      </c>
      <c r="H89" s="37">
        <f>IF($A89="","",IFERROR(INDEX('זה אני - קליטה'!$AN$5:$AN$204,MATCH($A89&amp;"|תחילת שנה",'זה אני - קליטה'!$AF$5:$AF$204,0)),""))</f>
        <v/>
      </c>
      <c r="I89" s="36">
        <f>IF($A89="","",IFERROR(INDEX('זה אני - קליטה'!$AW$5:$AW$204,MATCH($A89&amp;"|תחילת שנה",'זה אני - קליטה'!$AF$5:$AF$204,0)),""))</f>
        <v/>
      </c>
      <c r="J89" s="37">
        <f>IF($A89="","",IFERROR(INDEX('זה אני - קליטה'!$AH$5:$AH$204,MATCH($A89&amp;"|אמצע שנה",'זה אני - קליטה'!$AF$5:$AF$204,0)),""))</f>
        <v/>
      </c>
      <c r="K89" s="37">
        <f>IF($A89="","",IFERROR(INDEX('זה אני - קליטה'!$AI$5:$AI$204,MATCH($A89&amp;"|אמצע שנה",'זה אני - קליטה'!$AF$5:$AF$204,0)),""))</f>
        <v/>
      </c>
      <c r="L89" s="37">
        <f>IF($A89="","",IFERROR(INDEX('זה אני - קליטה'!$AJ$5:$AJ$204,MATCH($A89&amp;"|אמצע שנה",'זה אני - קליטה'!$AF$5:$AF$204,0)),""))</f>
        <v/>
      </c>
      <c r="M89" s="37">
        <f>IF($A89="","",IFERROR(INDEX('זה אני - קליטה'!$AK$5:$AK$204,MATCH($A89&amp;"|אמצע שנה",'זה אני - קליטה'!$AF$5:$AF$204,0)),""))</f>
        <v/>
      </c>
      <c r="N89" s="37">
        <f>IF($A89="","",IFERROR(INDEX('זה אני - קליטה'!$AL$5:$AL$204,MATCH($A89&amp;"|אמצע שנה",'זה אני - קליטה'!$AF$5:$AF$204,0)),""))</f>
        <v/>
      </c>
      <c r="O89" s="36">
        <f>IF($A89="","",IFERROR(INDEX('זה אני - קליטה'!$AG$5:$AG$204,MATCH($A89&amp;"|אמצע שנה",'זה אני - קליטה'!$AF$5:$AF$204,0)),""))</f>
        <v/>
      </c>
      <c r="P89" s="37">
        <f>IF($A89="","",IFERROR(INDEX('זה אני - קליטה'!$AN$5:$AN$204,MATCH($A89&amp;"|אמצע שנה",'זה אני - קליטה'!$AF$5:$AF$204,0)),""))</f>
        <v/>
      </c>
      <c r="Q89" s="36">
        <f>IF($A89="","",IFERROR(INDEX('זה אני - קליטה'!$AW$5:$AW$204,MATCH($A89&amp;"|אמצע שנה",'זה אני - קליטה'!$AF$5:$AF$204,0)),""))</f>
        <v/>
      </c>
      <c r="R89" s="37">
        <f>IF($A89="","",IFERROR(INDEX('זה אני - קליטה'!$AH$5:$AH$204,MATCH($A89&amp;"|סוף שנה",'זה אני - קליטה'!$AF$5:$AF$204,0)),""))</f>
        <v/>
      </c>
      <c r="S89" s="37">
        <f>IF($A89="","",IFERROR(INDEX('זה אני - קליטה'!$AI$5:$AI$204,MATCH($A89&amp;"|סוף שנה",'זה אני - קליטה'!$AF$5:$AF$204,0)),""))</f>
        <v/>
      </c>
      <c r="T89" s="37">
        <f>IF($A89="","",IFERROR(INDEX('זה אני - קליטה'!$AJ$5:$AJ$204,MATCH($A89&amp;"|סוף שנה",'זה אני - קליטה'!$AF$5:$AF$204,0)),""))</f>
        <v/>
      </c>
      <c r="U89" s="37">
        <f>IF($A89="","",IFERROR(INDEX('זה אני - קליטה'!$AK$5:$AK$204,MATCH($A89&amp;"|סוף שנה",'זה אני - קליטה'!$AF$5:$AF$204,0)),""))</f>
        <v/>
      </c>
      <c r="V89" s="37">
        <f>IF($A89="","",IFERROR(INDEX('זה אני - קליטה'!$AL$5:$AL$204,MATCH($A89&amp;"|סוף שנה",'זה אני - קליטה'!$AF$5:$AF$204,0)),""))</f>
        <v/>
      </c>
      <c r="W89" s="36">
        <f>IF($A89="","",IFERROR(INDEX('זה אני - קליטה'!$AG$5:$AG$204,MATCH($A89&amp;"|סוף שנה",'זה אני - קליטה'!$AF$5:$AF$204,0)),""))</f>
        <v/>
      </c>
      <c r="X89" s="37">
        <f>IF($A89="","",IFERROR(INDEX('זה אני - קליטה'!$AN$5:$AN$204,MATCH($A89&amp;"|סוף שנה",'זה אני - קליטה'!$AF$5:$AF$204,0)),""))</f>
        <v/>
      </c>
      <c r="Y89" s="36">
        <f>IF($A89="","",IFERROR(INDEX('זה אני - קליטה'!$AW$5:$AW$204,MATCH($A89&amp;"|סוף שנה",'זה אני - קליטה'!$AF$5:$AF$204,0)),""))</f>
        <v/>
      </c>
      <c r="Z89" s="43">
        <f>IF(AND(ISNUMBER(F89),ISNUMBER(V89)),V89-F89,"")</f>
        <v/>
      </c>
      <c r="AA89" s="36">
        <f>IF(Z89="","",IF(Z89&gt;=0.25,"עלייה",IF(Z89&lt;=-0.25,"ירידה","יציב")))</f>
        <v/>
      </c>
    </row>
    <row r="90">
      <c r="A90" s="38" t="n"/>
      <c r="B90" s="37">
        <f>IF($A90="","",IFERROR(INDEX('זה אני - קליטה'!$AH$5:$AH$204,MATCH($A90&amp;"|תחילת שנה",'זה אני - קליטה'!$AF$5:$AF$204,0)),""))</f>
        <v/>
      </c>
      <c r="C90" s="37">
        <f>IF($A90="","",IFERROR(INDEX('זה אני - קליטה'!$AI$5:$AI$204,MATCH($A90&amp;"|תחילת שנה",'זה אני - קליטה'!$AF$5:$AF$204,0)),""))</f>
        <v/>
      </c>
      <c r="D90" s="37">
        <f>IF($A90="","",IFERROR(INDEX('זה אני - קליטה'!$AJ$5:$AJ$204,MATCH($A90&amp;"|תחילת שנה",'זה אני - קליטה'!$AF$5:$AF$204,0)),""))</f>
        <v/>
      </c>
      <c r="E90" s="37">
        <f>IF($A90="","",IFERROR(INDEX('זה אני - קליטה'!$AK$5:$AK$204,MATCH($A90&amp;"|תחילת שנה",'זה אני - קליטה'!$AF$5:$AF$204,0)),""))</f>
        <v/>
      </c>
      <c r="F90" s="37">
        <f>IF($A90="","",IFERROR(INDEX('זה אני - קליטה'!$AL$5:$AL$204,MATCH($A90&amp;"|תחילת שנה",'זה אני - קליטה'!$AF$5:$AF$204,0)),""))</f>
        <v/>
      </c>
      <c r="G90" s="36">
        <f>IF($A90="","",IFERROR(INDEX('זה אני - קליטה'!$AG$5:$AG$204,MATCH($A90&amp;"|תחילת שנה",'זה אני - קליטה'!$AF$5:$AF$204,0)),""))</f>
        <v/>
      </c>
      <c r="H90" s="37">
        <f>IF($A90="","",IFERROR(INDEX('זה אני - קליטה'!$AN$5:$AN$204,MATCH($A90&amp;"|תחילת שנה",'זה אני - קליטה'!$AF$5:$AF$204,0)),""))</f>
        <v/>
      </c>
      <c r="I90" s="36">
        <f>IF($A90="","",IFERROR(INDEX('זה אני - קליטה'!$AW$5:$AW$204,MATCH($A90&amp;"|תחילת שנה",'זה אני - קליטה'!$AF$5:$AF$204,0)),""))</f>
        <v/>
      </c>
      <c r="J90" s="37">
        <f>IF($A90="","",IFERROR(INDEX('זה אני - קליטה'!$AH$5:$AH$204,MATCH($A90&amp;"|אמצע שנה",'זה אני - קליטה'!$AF$5:$AF$204,0)),""))</f>
        <v/>
      </c>
      <c r="K90" s="37">
        <f>IF($A90="","",IFERROR(INDEX('זה אני - קליטה'!$AI$5:$AI$204,MATCH($A90&amp;"|אמצע שנה",'זה אני - קליטה'!$AF$5:$AF$204,0)),""))</f>
        <v/>
      </c>
      <c r="L90" s="37">
        <f>IF($A90="","",IFERROR(INDEX('זה אני - קליטה'!$AJ$5:$AJ$204,MATCH($A90&amp;"|אמצע שנה",'זה אני - קליטה'!$AF$5:$AF$204,0)),""))</f>
        <v/>
      </c>
      <c r="M90" s="37">
        <f>IF($A90="","",IFERROR(INDEX('זה אני - קליטה'!$AK$5:$AK$204,MATCH($A90&amp;"|אמצע שנה",'זה אני - קליטה'!$AF$5:$AF$204,0)),""))</f>
        <v/>
      </c>
      <c r="N90" s="37">
        <f>IF($A90="","",IFERROR(INDEX('זה אני - קליטה'!$AL$5:$AL$204,MATCH($A90&amp;"|אמצע שנה",'זה אני - קליטה'!$AF$5:$AF$204,0)),""))</f>
        <v/>
      </c>
      <c r="O90" s="36">
        <f>IF($A90="","",IFERROR(INDEX('זה אני - קליטה'!$AG$5:$AG$204,MATCH($A90&amp;"|אמצע שנה",'זה אני - קליטה'!$AF$5:$AF$204,0)),""))</f>
        <v/>
      </c>
      <c r="P90" s="37">
        <f>IF($A90="","",IFERROR(INDEX('זה אני - קליטה'!$AN$5:$AN$204,MATCH($A90&amp;"|אמצע שנה",'זה אני - קליטה'!$AF$5:$AF$204,0)),""))</f>
        <v/>
      </c>
      <c r="Q90" s="36">
        <f>IF($A90="","",IFERROR(INDEX('זה אני - קליטה'!$AW$5:$AW$204,MATCH($A90&amp;"|אמצע שנה",'זה אני - קליטה'!$AF$5:$AF$204,0)),""))</f>
        <v/>
      </c>
      <c r="R90" s="37">
        <f>IF($A90="","",IFERROR(INDEX('זה אני - קליטה'!$AH$5:$AH$204,MATCH($A90&amp;"|סוף שנה",'זה אני - קליטה'!$AF$5:$AF$204,0)),""))</f>
        <v/>
      </c>
      <c r="S90" s="37">
        <f>IF($A90="","",IFERROR(INDEX('זה אני - קליטה'!$AI$5:$AI$204,MATCH($A90&amp;"|סוף שנה",'זה אני - קליטה'!$AF$5:$AF$204,0)),""))</f>
        <v/>
      </c>
      <c r="T90" s="37">
        <f>IF($A90="","",IFERROR(INDEX('זה אני - קליטה'!$AJ$5:$AJ$204,MATCH($A90&amp;"|סוף שנה",'זה אני - קליטה'!$AF$5:$AF$204,0)),""))</f>
        <v/>
      </c>
      <c r="U90" s="37">
        <f>IF($A90="","",IFERROR(INDEX('זה אני - קליטה'!$AK$5:$AK$204,MATCH($A90&amp;"|סוף שנה",'זה אני - קליטה'!$AF$5:$AF$204,0)),""))</f>
        <v/>
      </c>
      <c r="V90" s="37">
        <f>IF($A90="","",IFERROR(INDEX('זה אני - קליטה'!$AL$5:$AL$204,MATCH($A90&amp;"|סוף שנה",'זה אני - קליטה'!$AF$5:$AF$204,0)),""))</f>
        <v/>
      </c>
      <c r="W90" s="36">
        <f>IF($A90="","",IFERROR(INDEX('זה אני - קליטה'!$AG$5:$AG$204,MATCH($A90&amp;"|סוף שנה",'זה אני - קליטה'!$AF$5:$AF$204,0)),""))</f>
        <v/>
      </c>
      <c r="X90" s="37">
        <f>IF($A90="","",IFERROR(INDEX('זה אני - קליטה'!$AN$5:$AN$204,MATCH($A90&amp;"|סוף שנה",'זה אני - קליטה'!$AF$5:$AF$204,0)),""))</f>
        <v/>
      </c>
      <c r="Y90" s="36">
        <f>IF($A90="","",IFERROR(INDEX('זה אני - קליטה'!$AW$5:$AW$204,MATCH($A90&amp;"|סוף שנה",'זה אני - קליטה'!$AF$5:$AF$204,0)),""))</f>
        <v/>
      </c>
      <c r="Z90" s="43">
        <f>IF(AND(ISNUMBER(F90),ISNUMBER(V90)),V90-F90,"")</f>
        <v/>
      </c>
      <c r="AA90" s="36">
        <f>IF(Z90="","",IF(Z90&gt;=0.25,"עלייה",IF(Z90&lt;=-0.25,"ירידה","יציב")))</f>
        <v/>
      </c>
    </row>
    <row r="91">
      <c r="A91" s="38" t="n"/>
      <c r="B91" s="37">
        <f>IF($A91="","",IFERROR(INDEX('זה אני - קליטה'!$AH$5:$AH$204,MATCH($A91&amp;"|תחילת שנה",'זה אני - קליטה'!$AF$5:$AF$204,0)),""))</f>
        <v/>
      </c>
      <c r="C91" s="37">
        <f>IF($A91="","",IFERROR(INDEX('זה אני - קליטה'!$AI$5:$AI$204,MATCH($A91&amp;"|תחילת שנה",'זה אני - קליטה'!$AF$5:$AF$204,0)),""))</f>
        <v/>
      </c>
      <c r="D91" s="37">
        <f>IF($A91="","",IFERROR(INDEX('זה אני - קליטה'!$AJ$5:$AJ$204,MATCH($A91&amp;"|תחילת שנה",'זה אני - קליטה'!$AF$5:$AF$204,0)),""))</f>
        <v/>
      </c>
      <c r="E91" s="37">
        <f>IF($A91="","",IFERROR(INDEX('זה אני - קליטה'!$AK$5:$AK$204,MATCH($A91&amp;"|תחילת שנה",'זה אני - קליטה'!$AF$5:$AF$204,0)),""))</f>
        <v/>
      </c>
      <c r="F91" s="37">
        <f>IF($A91="","",IFERROR(INDEX('זה אני - קליטה'!$AL$5:$AL$204,MATCH($A91&amp;"|תחילת שנה",'זה אני - קליטה'!$AF$5:$AF$204,0)),""))</f>
        <v/>
      </c>
      <c r="G91" s="36">
        <f>IF($A91="","",IFERROR(INDEX('זה אני - קליטה'!$AG$5:$AG$204,MATCH($A91&amp;"|תחילת שנה",'זה אני - קליטה'!$AF$5:$AF$204,0)),""))</f>
        <v/>
      </c>
      <c r="H91" s="37">
        <f>IF($A91="","",IFERROR(INDEX('זה אני - קליטה'!$AN$5:$AN$204,MATCH($A91&amp;"|תחילת שנה",'זה אני - קליטה'!$AF$5:$AF$204,0)),""))</f>
        <v/>
      </c>
      <c r="I91" s="36">
        <f>IF($A91="","",IFERROR(INDEX('זה אני - קליטה'!$AW$5:$AW$204,MATCH($A91&amp;"|תחילת שנה",'זה אני - קליטה'!$AF$5:$AF$204,0)),""))</f>
        <v/>
      </c>
      <c r="J91" s="37">
        <f>IF($A91="","",IFERROR(INDEX('זה אני - קליטה'!$AH$5:$AH$204,MATCH($A91&amp;"|אמצע שנה",'זה אני - קליטה'!$AF$5:$AF$204,0)),""))</f>
        <v/>
      </c>
      <c r="K91" s="37">
        <f>IF($A91="","",IFERROR(INDEX('זה אני - קליטה'!$AI$5:$AI$204,MATCH($A91&amp;"|אמצע שנה",'זה אני - קליטה'!$AF$5:$AF$204,0)),""))</f>
        <v/>
      </c>
      <c r="L91" s="37">
        <f>IF($A91="","",IFERROR(INDEX('זה אני - קליטה'!$AJ$5:$AJ$204,MATCH($A91&amp;"|אמצע שנה",'זה אני - קליטה'!$AF$5:$AF$204,0)),""))</f>
        <v/>
      </c>
      <c r="M91" s="37">
        <f>IF($A91="","",IFERROR(INDEX('זה אני - קליטה'!$AK$5:$AK$204,MATCH($A91&amp;"|אמצע שנה",'זה אני - קליטה'!$AF$5:$AF$204,0)),""))</f>
        <v/>
      </c>
      <c r="N91" s="37">
        <f>IF($A91="","",IFERROR(INDEX('זה אני - קליטה'!$AL$5:$AL$204,MATCH($A91&amp;"|אמצע שנה",'זה אני - קליטה'!$AF$5:$AF$204,0)),""))</f>
        <v/>
      </c>
      <c r="O91" s="36">
        <f>IF($A91="","",IFERROR(INDEX('זה אני - קליטה'!$AG$5:$AG$204,MATCH($A91&amp;"|אמצע שנה",'זה אני - קליטה'!$AF$5:$AF$204,0)),""))</f>
        <v/>
      </c>
      <c r="P91" s="37">
        <f>IF($A91="","",IFERROR(INDEX('זה אני - קליטה'!$AN$5:$AN$204,MATCH($A91&amp;"|אמצע שנה",'זה אני - קליטה'!$AF$5:$AF$204,0)),""))</f>
        <v/>
      </c>
      <c r="Q91" s="36">
        <f>IF($A91="","",IFERROR(INDEX('זה אני - קליטה'!$AW$5:$AW$204,MATCH($A91&amp;"|אמצע שנה",'זה אני - קליטה'!$AF$5:$AF$204,0)),""))</f>
        <v/>
      </c>
      <c r="R91" s="37">
        <f>IF($A91="","",IFERROR(INDEX('זה אני - קליטה'!$AH$5:$AH$204,MATCH($A91&amp;"|סוף שנה",'זה אני - קליטה'!$AF$5:$AF$204,0)),""))</f>
        <v/>
      </c>
      <c r="S91" s="37">
        <f>IF($A91="","",IFERROR(INDEX('זה אני - קליטה'!$AI$5:$AI$204,MATCH($A91&amp;"|סוף שנה",'זה אני - קליטה'!$AF$5:$AF$204,0)),""))</f>
        <v/>
      </c>
      <c r="T91" s="37">
        <f>IF($A91="","",IFERROR(INDEX('זה אני - קליטה'!$AJ$5:$AJ$204,MATCH($A91&amp;"|סוף שנה",'זה אני - קליטה'!$AF$5:$AF$204,0)),""))</f>
        <v/>
      </c>
      <c r="U91" s="37">
        <f>IF($A91="","",IFERROR(INDEX('זה אני - קליטה'!$AK$5:$AK$204,MATCH($A91&amp;"|סוף שנה",'זה אני - קליטה'!$AF$5:$AF$204,0)),""))</f>
        <v/>
      </c>
      <c r="V91" s="37">
        <f>IF($A91="","",IFERROR(INDEX('זה אני - קליטה'!$AL$5:$AL$204,MATCH($A91&amp;"|סוף שנה",'זה אני - קליטה'!$AF$5:$AF$204,0)),""))</f>
        <v/>
      </c>
      <c r="W91" s="36">
        <f>IF($A91="","",IFERROR(INDEX('זה אני - קליטה'!$AG$5:$AG$204,MATCH($A91&amp;"|סוף שנה",'זה אני - קליטה'!$AF$5:$AF$204,0)),""))</f>
        <v/>
      </c>
      <c r="X91" s="37">
        <f>IF($A91="","",IFERROR(INDEX('זה אני - קליטה'!$AN$5:$AN$204,MATCH($A91&amp;"|סוף שנה",'זה אני - קליטה'!$AF$5:$AF$204,0)),""))</f>
        <v/>
      </c>
      <c r="Y91" s="36">
        <f>IF($A91="","",IFERROR(INDEX('זה אני - קליטה'!$AW$5:$AW$204,MATCH($A91&amp;"|סוף שנה",'זה אני - קליטה'!$AF$5:$AF$204,0)),""))</f>
        <v/>
      </c>
      <c r="Z91" s="43">
        <f>IF(AND(ISNUMBER(F91),ISNUMBER(V91)),V91-F91,"")</f>
        <v/>
      </c>
      <c r="AA91" s="36">
        <f>IF(Z91="","",IF(Z91&gt;=0.25,"עלייה",IF(Z91&lt;=-0.25,"ירידה","יציב")))</f>
        <v/>
      </c>
    </row>
    <row r="92">
      <c r="A92" s="38" t="n"/>
      <c r="B92" s="37">
        <f>IF($A92="","",IFERROR(INDEX('זה אני - קליטה'!$AH$5:$AH$204,MATCH($A92&amp;"|תחילת שנה",'זה אני - קליטה'!$AF$5:$AF$204,0)),""))</f>
        <v/>
      </c>
      <c r="C92" s="37">
        <f>IF($A92="","",IFERROR(INDEX('זה אני - קליטה'!$AI$5:$AI$204,MATCH($A92&amp;"|תחילת שנה",'זה אני - קליטה'!$AF$5:$AF$204,0)),""))</f>
        <v/>
      </c>
      <c r="D92" s="37">
        <f>IF($A92="","",IFERROR(INDEX('זה אני - קליטה'!$AJ$5:$AJ$204,MATCH($A92&amp;"|תחילת שנה",'זה אני - קליטה'!$AF$5:$AF$204,0)),""))</f>
        <v/>
      </c>
      <c r="E92" s="37">
        <f>IF($A92="","",IFERROR(INDEX('זה אני - קליטה'!$AK$5:$AK$204,MATCH($A92&amp;"|תחילת שנה",'זה אני - קליטה'!$AF$5:$AF$204,0)),""))</f>
        <v/>
      </c>
      <c r="F92" s="37">
        <f>IF($A92="","",IFERROR(INDEX('זה אני - קליטה'!$AL$5:$AL$204,MATCH($A92&amp;"|תחילת שנה",'זה אני - קליטה'!$AF$5:$AF$204,0)),""))</f>
        <v/>
      </c>
      <c r="G92" s="36">
        <f>IF($A92="","",IFERROR(INDEX('זה אני - קליטה'!$AG$5:$AG$204,MATCH($A92&amp;"|תחילת שנה",'זה אני - קליטה'!$AF$5:$AF$204,0)),""))</f>
        <v/>
      </c>
      <c r="H92" s="37">
        <f>IF($A92="","",IFERROR(INDEX('זה אני - קליטה'!$AN$5:$AN$204,MATCH($A92&amp;"|תחילת שנה",'זה אני - קליטה'!$AF$5:$AF$204,0)),""))</f>
        <v/>
      </c>
      <c r="I92" s="36">
        <f>IF($A92="","",IFERROR(INDEX('זה אני - קליטה'!$AW$5:$AW$204,MATCH($A92&amp;"|תחילת שנה",'זה אני - קליטה'!$AF$5:$AF$204,0)),""))</f>
        <v/>
      </c>
      <c r="J92" s="37">
        <f>IF($A92="","",IFERROR(INDEX('זה אני - קליטה'!$AH$5:$AH$204,MATCH($A92&amp;"|אמצע שנה",'זה אני - קליטה'!$AF$5:$AF$204,0)),""))</f>
        <v/>
      </c>
      <c r="K92" s="37">
        <f>IF($A92="","",IFERROR(INDEX('זה אני - קליטה'!$AI$5:$AI$204,MATCH($A92&amp;"|אמצע שנה",'זה אני - קליטה'!$AF$5:$AF$204,0)),""))</f>
        <v/>
      </c>
      <c r="L92" s="37">
        <f>IF($A92="","",IFERROR(INDEX('זה אני - קליטה'!$AJ$5:$AJ$204,MATCH($A92&amp;"|אמצע שנה",'זה אני - קליטה'!$AF$5:$AF$204,0)),""))</f>
        <v/>
      </c>
      <c r="M92" s="37">
        <f>IF($A92="","",IFERROR(INDEX('זה אני - קליטה'!$AK$5:$AK$204,MATCH($A92&amp;"|אמצע שנה",'זה אני - קליטה'!$AF$5:$AF$204,0)),""))</f>
        <v/>
      </c>
      <c r="N92" s="37">
        <f>IF($A92="","",IFERROR(INDEX('זה אני - קליטה'!$AL$5:$AL$204,MATCH($A92&amp;"|אמצע שנה",'זה אני - קליטה'!$AF$5:$AF$204,0)),""))</f>
        <v/>
      </c>
      <c r="O92" s="36">
        <f>IF($A92="","",IFERROR(INDEX('זה אני - קליטה'!$AG$5:$AG$204,MATCH($A92&amp;"|אמצע שנה",'זה אני - קליטה'!$AF$5:$AF$204,0)),""))</f>
        <v/>
      </c>
      <c r="P92" s="37">
        <f>IF($A92="","",IFERROR(INDEX('זה אני - קליטה'!$AN$5:$AN$204,MATCH($A92&amp;"|אמצע שנה",'זה אני - קליטה'!$AF$5:$AF$204,0)),""))</f>
        <v/>
      </c>
      <c r="Q92" s="36">
        <f>IF($A92="","",IFERROR(INDEX('זה אני - קליטה'!$AW$5:$AW$204,MATCH($A92&amp;"|אמצע שנה",'זה אני - קליטה'!$AF$5:$AF$204,0)),""))</f>
        <v/>
      </c>
      <c r="R92" s="37">
        <f>IF($A92="","",IFERROR(INDEX('זה אני - קליטה'!$AH$5:$AH$204,MATCH($A92&amp;"|סוף שנה",'זה אני - קליטה'!$AF$5:$AF$204,0)),""))</f>
        <v/>
      </c>
      <c r="S92" s="37">
        <f>IF($A92="","",IFERROR(INDEX('זה אני - קליטה'!$AI$5:$AI$204,MATCH($A92&amp;"|סוף שנה",'זה אני - קליטה'!$AF$5:$AF$204,0)),""))</f>
        <v/>
      </c>
      <c r="T92" s="37">
        <f>IF($A92="","",IFERROR(INDEX('זה אני - קליטה'!$AJ$5:$AJ$204,MATCH($A92&amp;"|סוף שנה",'זה אני - קליטה'!$AF$5:$AF$204,0)),""))</f>
        <v/>
      </c>
      <c r="U92" s="37">
        <f>IF($A92="","",IFERROR(INDEX('זה אני - קליטה'!$AK$5:$AK$204,MATCH($A92&amp;"|סוף שנה",'זה אני - קליטה'!$AF$5:$AF$204,0)),""))</f>
        <v/>
      </c>
      <c r="V92" s="37">
        <f>IF($A92="","",IFERROR(INDEX('זה אני - קליטה'!$AL$5:$AL$204,MATCH($A92&amp;"|סוף שנה",'זה אני - קליטה'!$AF$5:$AF$204,0)),""))</f>
        <v/>
      </c>
      <c r="W92" s="36">
        <f>IF($A92="","",IFERROR(INDEX('זה אני - קליטה'!$AG$5:$AG$204,MATCH($A92&amp;"|סוף שנה",'זה אני - קליטה'!$AF$5:$AF$204,0)),""))</f>
        <v/>
      </c>
      <c r="X92" s="37">
        <f>IF($A92="","",IFERROR(INDEX('זה אני - קליטה'!$AN$5:$AN$204,MATCH($A92&amp;"|סוף שנה",'זה אני - קליטה'!$AF$5:$AF$204,0)),""))</f>
        <v/>
      </c>
      <c r="Y92" s="36">
        <f>IF($A92="","",IFERROR(INDEX('זה אני - קליטה'!$AW$5:$AW$204,MATCH($A92&amp;"|סוף שנה",'זה אני - קליטה'!$AF$5:$AF$204,0)),""))</f>
        <v/>
      </c>
      <c r="Z92" s="43">
        <f>IF(AND(ISNUMBER(F92),ISNUMBER(V92)),V92-F92,"")</f>
        <v/>
      </c>
      <c r="AA92" s="36">
        <f>IF(Z92="","",IF(Z92&gt;=0.25,"עלייה",IF(Z92&lt;=-0.25,"ירידה","יציב")))</f>
        <v/>
      </c>
    </row>
    <row r="93">
      <c r="A93" s="38" t="n"/>
      <c r="B93" s="37">
        <f>IF($A93="","",IFERROR(INDEX('זה אני - קליטה'!$AH$5:$AH$204,MATCH($A93&amp;"|תחילת שנה",'זה אני - קליטה'!$AF$5:$AF$204,0)),""))</f>
        <v/>
      </c>
      <c r="C93" s="37">
        <f>IF($A93="","",IFERROR(INDEX('זה אני - קליטה'!$AI$5:$AI$204,MATCH($A93&amp;"|תחילת שנה",'זה אני - קליטה'!$AF$5:$AF$204,0)),""))</f>
        <v/>
      </c>
      <c r="D93" s="37">
        <f>IF($A93="","",IFERROR(INDEX('זה אני - קליטה'!$AJ$5:$AJ$204,MATCH($A93&amp;"|תחילת שנה",'זה אני - קליטה'!$AF$5:$AF$204,0)),""))</f>
        <v/>
      </c>
      <c r="E93" s="37">
        <f>IF($A93="","",IFERROR(INDEX('זה אני - קליטה'!$AK$5:$AK$204,MATCH($A93&amp;"|תחילת שנה",'זה אני - קליטה'!$AF$5:$AF$204,0)),""))</f>
        <v/>
      </c>
      <c r="F93" s="37">
        <f>IF($A93="","",IFERROR(INDEX('זה אני - קליטה'!$AL$5:$AL$204,MATCH($A93&amp;"|תחילת שנה",'זה אני - קליטה'!$AF$5:$AF$204,0)),""))</f>
        <v/>
      </c>
      <c r="G93" s="36">
        <f>IF($A93="","",IFERROR(INDEX('זה אני - קליטה'!$AG$5:$AG$204,MATCH($A93&amp;"|תחילת שנה",'זה אני - קליטה'!$AF$5:$AF$204,0)),""))</f>
        <v/>
      </c>
      <c r="H93" s="37">
        <f>IF($A93="","",IFERROR(INDEX('זה אני - קליטה'!$AN$5:$AN$204,MATCH($A93&amp;"|תחילת שנה",'זה אני - קליטה'!$AF$5:$AF$204,0)),""))</f>
        <v/>
      </c>
      <c r="I93" s="36">
        <f>IF($A93="","",IFERROR(INDEX('זה אני - קליטה'!$AW$5:$AW$204,MATCH($A93&amp;"|תחילת שנה",'זה אני - קליטה'!$AF$5:$AF$204,0)),""))</f>
        <v/>
      </c>
      <c r="J93" s="37">
        <f>IF($A93="","",IFERROR(INDEX('זה אני - קליטה'!$AH$5:$AH$204,MATCH($A93&amp;"|אמצע שנה",'זה אני - קליטה'!$AF$5:$AF$204,0)),""))</f>
        <v/>
      </c>
      <c r="K93" s="37">
        <f>IF($A93="","",IFERROR(INDEX('זה אני - קליטה'!$AI$5:$AI$204,MATCH($A93&amp;"|אמצע שנה",'זה אני - קליטה'!$AF$5:$AF$204,0)),""))</f>
        <v/>
      </c>
      <c r="L93" s="37">
        <f>IF($A93="","",IFERROR(INDEX('זה אני - קליטה'!$AJ$5:$AJ$204,MATCH($A93&amp;"|אמצע שנה",'זה אני - קליטה'!$AF$5:$AF$204,0)),""))</f>
        <v/>
      </c>
      <c r="M93" s="37">
        <f>IF($A93="","",IFERROR(INDEX('זה אני - קליטה'!$AK$5:$AK$204,MATCH($A93&amp;"|אמצע שנה",'זה אני - קליטה'!$AF$5:$AF$204,0)),""))</f>
        <v/>
      </c>
      <c r="N93" s="37">
        <f>IF($A93="","",IFERROR(INDEX('זה אני - קליטה'!$AL$5:$AL$204,MATCH($A93&amp;"|אמצע שנה",'זה אני - קליטה'!$AF$5:$AF$204,0)),""))</f>
        <v/>
      </c>
      <c r="O93" s="36">
        <f>IF($A93="","",IFERROR(INDEX('זה אני - קליטה'!$AG$5:$AG$204,MATCH($A93&amp;"|אמצע שנה",'זה אני - קליטה'!$AF$5:$AF$204,0)),""))</f>
        <v/>
      </c>
      <c r="P93" s="37">
        <f>IF($A93="","",IFERROR(INDEX('זה אני - קליטה'!$AN$5:$AN$204,MATCH($A93&amp;"|אמצע שנה",'זה אני - קליטה'!$AF$5:$AF$204,0)),""))</f>
        <v/>
      </c>
      <c r="Q93" s="36">
        <f>IF($A93="","",IFERROR(INDEX('זה אני - קליטה'!$AW$5:$AW$204,MATCH($A93&amp;"|אמצע שנה",'זה אני - קליטה'!$AF$5:$AF$204,0)),""))</f>
        <v/>
      </c>
      <c r="R93" s="37">
        <f>IF($A93="","",IFERROR(INDEX('זה אני - קליטה'!$AH$5:$AH$204,MATCH($A93&amp;"|סוף שנה",'זה אני - קליטה'!$AF$5:$AF$204,0)),""))</f>
        <v/>
      </c>
      <c r="S93" s="37">
        <f>IF($A93="","",IFERROR(INDEX('זה אני - קליטה'!$AI$5:$AI$204,MATCH($A93&amp;"|סוף שנה",'זה אני - קליטה'!$AF$5:$AF$204,0)),""))</f>
        <v/>
      </c>
      <c r="T93" s="37">
        <f>IF($A93="","",IFERROR(INDEX('זה אני - קליטה'!$AJ$5:$AJ$204,MATCH($A93&amp;"|סוף שנה",'זה אני - קליטה'!$AF$5:$AF$204,0)),""))</f>
        <v/>
      </c>
      <c r="U93" s="37">
        <f>IF($A93="","",IFERROR(INDEX('זה אני - קליטה'!$AK$5:$AK$204,MATCH($A93&amp;"|סוף שנה",'זה אני - קליטה'!$AF$5:$AF$204,0)),""))</f>
        <v/>
      </c>
      <c r="V93" s="37">
        <f>IF($A93="","",IFERROR(INDEX('זה אני - קליטה'!$AL$5:$AL$204,MATCH($A93&amp;"|סוף שנה",'זה אני - קליטה'!$AF$5:$AF$204,0)),""))</f>
        <v/>
      </c>
      <c r="W93" s="36">
        <f>IF($A93="","",IFERROR(INDEX('זה אני - קליטה'!$AG$5:$AG$204,MATCH($A93&amp;"|סוף שנה",'זה אני - קליטה'!$AF$5:$AF$204,0)),""))</f>
        <v/>
      </c>
      <c r="X93" s="37">
        <f>IF($A93="","",IFERROR(INDEX('זה אני - קליטה'!$AN$5:$AN$204,MATCH($A93&amp;"|סוף שנה",'זה אני - קליטה'!$AF$5:$AF$204,0)),""))</f>
        <v/>
      </c>
      <c r="Y93" s="36">
        <f>IF($A93="","",IFERROR(INDEX('זה אני - קליטה'!$AW$5:$AW$204,MATCH($A93&amp;"|סוף שנה",'זה אני - קליטה'!$AF$5:$AF$204,0)),""))</f>
        <v/>
      </c>
      <c r="Z93" s="43">
        <f>IF(AND(ISNUMBER(F93),ISNUMBER(V93)),V93-F93,"")</f>
        <v/>
      </c>
      <c r="AA93" s="36">
        <f>IF(Z93="","",IF(Z93&gt;=0.25,"עלייה",IF(Z93&lt;=-0.25,"ירידה","יציב")))</f>
        <v/>
      </c>
    </row>
    <row r="94">
      <c r="A94" s="38" t="n"/>
      <c r="B94" s="37">
        <f>IF($A94="","",IFERROR(INDEX('זה אני - קליטה'!$AH$5:$AH$204,MATCH($A94&amp;"|תחילת שנה",'זה אני - קליטה'!$AF$5:$AF$204,0)),""))</f>
        <v/>
      </c>
      <c r="C94" s="37">
        <f>IF($A94="","",IFERROR(INDEX('זה אני - קליטה'!$AI$5:$AI$204,MATCH($A94&amp;"|תחילת שנה",'זה אני - קליטה'!$AF$5:$AF$204,0)),""))</f>
        <v/>
      </c>
      <c r="D94" s="37">
        <f>IF($A94="","",IFERROR(INDEX('זה אני - קליטה'!$AJ$5:$AJ$204,MATCH($A94&amp;"|תחילת שנה",'זה אני - קליטה'!$AF$5:$AF$204,0)),""))</f>
        <v/>
      </c>
      <c r="E94" s="37">
        <f>IF($A94="","",IFERROR(INDEX('זה אני - קליטה'!$AK$5:$AK$204,MATCH($A94&amp;"|תחילת שנה",'זה אני - קליטה'!$AF$5:$AF$204,0)),""))</f>
        <v/>
      </c>
      <c r="F94" s="37">
        <f>IF($A94="","",IFERROR(INDEX('זה אני - קליטה'!$AL$5:$AL$204,MATCH($A94&amp;"|תחילת שנה",'זה אני - קליטה'!$AF$5:$AF$204,0)),""))</f>
        <v/>
      </c>
      <c r="G94" s="36">
        <f>IF($A94="","",IFERROR(INDEX('זה אני - קליטה'!$AG$5:$AG$204,MATCH($A94&amp;"|תחילת שנה",'זה אני - קליטה'!$AF$5:$AF$204,0)),""))</f>
        <v/>
      </c>
      <c r="H94" s="37">
        <f>IF($A94="","",IFERROR(INDEX('זה אני - קליטה'!$AN$5:$AN$204,MATCH($A94&amp;"|תחילת שנה",'זה אני - קליטה'!$AF$5:$AF$204,0)),""))</f>
        <v/>
      </c>
      <c r="I94" s="36">
        <f>IF($A94="","",IFERROR(INDEX('זה אני - קליטה'!$AW$5:$AW$204,MATCH($A94&amp;"|תחילת שנה",'זה אני - קליטה'!$AF$5:$AF$204,0)),""))</f>
        <v/>
      </c>
      <c r="J94" s="37">
        <f>IF($A94="","",IFERROR(INDEX('זה אני - קליטה'!$AH$5:$AH$204,MATCH($A94&amp;"|אמצע שנה",'זה אני - קליטה'!$AF$5:$AF$204,0)),""))</f>
        <v/>
      </c>
      <c r="K94" s="37">
        <f>IF($A94="","",IFERROR(INDEX('זה אני - קליטה'!$AI$5:$AI$204,MATCH($A94&amp;"|אמצע שנה",'זה אני - קליטה'!$AF$5:$AF$204,0)),""))</f>
        <v/>
      </c>
      <c r="L94" s="37">
        <f>IF($A94="","",IFERROR(INDEX('זה אני - קליטה'!$AJ$5:$AJ$204,MATCH($A94&amp;"|אמצע שנה",'זה אני - קליטה'!$AF$5:$AF$204,0)),""))</f>
        <v/>
      </c>
      <c r="M94" s="37">
        <f>IF($A94="","",IFERROR(INDEX('זה אני - קליטה'!$AK$5:$AK$204,MATCH($A94&amp;"|אמצע שנה",'זה אני - קליטה'!$AF$5:$AF$204,0)),""))</f>
        <v/>
      </c>
      <c r="N94" s="37">
        <f>IF($A94="","",IFERROR(INDEX('זה אני - קליטה'!$AL$5:$AL$204,MATCH($A94&amp;"|אמצע שנה",'זה אני - קליטה'!$AF$5:$AF$204,0)),""))</f>
        <v/>
      </c>
      <c r="O94" s="36">
        <f>IF($A94="","",IFERROR(INDEX('זה אני - קליטה'!$AG$5:$AG$204,MATCH($A94&amp;"|אמצע שנה",'זה אני - קליטה'!$AF$5:$AF$204,0)),""))</f>
        <v/>
      </c>
      <c r="P94" s="37">
        <f>IF($A94="","",IFERROR(INDEX('זה אני - קליטה'!$AN$5:$AN$204,MATCH($A94&amp;"|אמצע שנה",'זה אני - קליטה'!$AF$5:$AF$204,0)),""))</f>
        <v/>
      </c>
      <c r="Q94" s="36">
        <f>IF($A94="","",IFERROR(INDEX('זה אני - קליטה'!$AW$5:$AW$204,MATCH($A94&amp;"|אמצע שנה",'זה אני - קליטה'!$AF$5:$AF$204,0)),""))</f>
        <v/>
      </c>
      <c r="R94" s="37">
        <f>IF($A94="","",IFERROR(INDEX('זה אני - קליטה'!$AH$5:$AH$204,MATCH($A94&amp;"|סוף שנה",'זה אני - קליטה'!$AF$5:$AF$204,0)),""))</f>
        <v/>
      </c>
      <c r="S94" s="37">
        <f>IF($A94="","",IFERROR(INDEX('זה אני - קליטה'!$AI$5:$AI$204,MATCH($A94&amp;"|סוף שנה",'זה אני - קליטה'!$AF$5:$AF$204,0)),""))</f>
        <v/>
      </c>
      <c r="T94" s="37">
        <f>IF($A94="","",IFERROR(INDEX('זה אני - קליטה'!$AJ$5:$AJ$204,MATCH($A94&amp;"|סוף שנה",'זה אני - קליטה'!$AF$5:$AF$204,0)),""))</f>
        <v/>
      </c>
      <c r="U94" s="37">
        <f>IF($A94="","",IFERROR(INDEX('זה אני - קליטה'!$AK$5:$AK$204,MATCH($A94&amp;"|סוף שנה",'זה אני - קליטה'!$AF$5:$AF$204,0)),""))</f>
        <v/>
      </c>
      <c r="V94" s="37">
        <f>IF($A94="","",IFERROR(INDEX('זה אני - קליטה'!$AL$5:$AL$204,MATCH($A94&amp;"|סוף שנה",'זה אני - קליטה'!$AF$5:$AF$204,0)),""))</f>
        <v/>
      </c>
      <c r="W94" s="36">
        <f>IF($A94="","",IFERROR(INDEX('זה אני - קליטה'!$AG$5:$AG$204,MATCH($A94&amp;"|סוף שנה",'זה אני - קליטה'!$AF$5:$AF$204,0)),""))</f>
        <v/>
      </c>
      <c r="X94" s="37">
        <f>IF($A94="","",IFERROR(INDEX('זה אני - קליטה'!$AN$5:$AN$204,MATCH($A94&amp;"|סוף שנה",'זה אני - קליטה'!$AF$5:$AF$204,0)),""))</f>
        <v/>
      </c>
      <c r="Y94" s="36">
        <f>IF($A94="","",IFERROR(INDEX('זה אני - קליטה'!$AW$5:$AW$204,MATCH($A94&amp;"|סוף שנה",'זה אני - קליטה'!$AF$5:$AF$204,0)),""))</f>
        <v/>
      </c>
      <c r="Z94" s="43">
        <f>IF(AND(ISNUMBER(F94),ISNUMBER(V94)),V94-F94,"")</f>
        <v/>
      </c>
      <c r="AA94" s="36">
        <f>IF(Z94="","",IF(Z94&gt;=0.25,"עלייה",IF(Z94&lt;=-0.25,"ירידה","יציב")))</f>
        <v/>
      </c>
    </row>
    <row r="95">
      <c r="A95" s="38" t="n"/>
      <c r="B95" s="37">
        <f>IF($A95="","",IFERROR(INDEX('זה אני - קליטה'!$AH$5:$AH$204,MATCH($A95&amp;"|תחילת שנה",'זה אני - קליטה'!$AF$5:$AF$204,0)),""))</f>
        <v/>
      </c>
      <c r="C95" s="37">
        <f>IF($A95="","",IFERROR(INDEX('זה אני - קליטה'!$AI$5:$AI$204,MATCH($A95&amp;"|תחילת שנה",'זה אני - קליטה'!$AF$5:$AF$204,0)),""))</f>
        <v/>
      </c>
      <c r="D95" s="37">
        <f>IF($A95="","",IFERROR(INDEX('זה אני - קליטה'!$AJ$5:$AJ$204,MATCH($A95&amp;"|תחילת שנה",'זה אני - קליטה'!$AF$5:$AF$204,0)),""))</f>
        <v/>
      </c>
      <c r="E95" s="37">
        <f>IF($A95="","",IFERROR(INDEX('זה אני - קליטה'!$AK$5:$AK$204,MATCH($A95&amp;"|תחילת שנה",'זה אני - קליטה'!$AF$5:$AF$204,0)),""))</f>
        <v/>
      </c>
      <c r="F95" s="37">
        <f>IF($A95="","",IFERROR(INDEX('זה אני - קליטה'!$AL$5:$AL$204,MATCH($A95&amp;"|תחילת שנה",'זה אני - קליטה'!$AF$5:$AF$204,0)),""))</f>
        <v/>
      </c>
      <c r="G95" s="36">
        <f>IF($A95="","",IFERROR(INDEX('זה אני - קליטה'!$AG$5:$AG$204,MATCH($A95&amp;"|תחילת שנה",'זה אני - קליטה'!$AF$5:$AF$204,0)),""))</f>
        <v/>
      </c>
      <c r="H95" s="37">
        <f>IF($A95="","",IFERROR(INDEX('זה אני - קליטה'!$AN$5:$AN$204,MATCH($A95&amp;"|תחילת שנה",'זה אני - קליטה'!$AF$5:$AF$204,0)),""))</f>
        <v/>
      </c>
      <c r="I95" s="36">
        <f>IF($A95="","",IFERROR(INDEX('זה אני - קליטה'!$AW$5:$AW$204,MATCH($A95&amp;"|תחילת שנה",'זה אני - קליטה'!$AF$5:$AF$204,0)),""))</f>
        <v/>
      </c>
      <c r="J95" s="37">
        <f>IF($A95="","",IFERROR(INDEX('זה אני - קליטה'!$AH$5:$AH$204,MATCH($A95&amp;"|אמצע שנה",'זה אני - קליטה'!$AF$5:$AF$204,0)),""))</f>
        <v/>
      </c>
      <c r="K95" s="37">
        <f>IF($A95="","",IFERROR(INDEX('זה אני - קליטה'!$AI$5:$AI$204,MATCH($A95&amp;"|אמצע שנה",'זה אני - קליטה'!$AF$5:$AF$204,0)),""))</f>
        <v/>
      </c>
      <c r="L95" s="37">
        <f>IF($A95="","",IFERROR(INDEX('זה אני - קליטה'!$AJ$5:$AJ$204,MATCH($A95&amp;"|אמצע שנה",'זה אני - קליטה'!$AF$5:$AF$204,0)),""))</f>
        <v/>
      </c>
      <c r="M95" s="37">
        <f>IF($A95="","",IFERROR(INDEX('זה אני - קליטה'!$AK$5:$AK$204,MATCH($A95&amp;"|אמצע שנה",'זה אני - קליטה'!$AF$5:$AF$204,0)),""))</f>
        <v/>
      </c>
      <c r="N95" s="37">
        <f>IF($A95="","",IFERROR(INDEX('זה אני - קליטה'!$AL$5:$AL$204,MATCH($A95&amp;"|אמצע שנה",'זה אני - קליטה'!$AF$5:$AF$204,0)),""))</f>
        <v/>
      </c>
      <c r="O95" s="36">
        <f>IF($A95="","",IFERROR(INDEX('זה אני - קליטה'!$AG$5:$AG$204,MATCH($A95&amp;"|אמצע שנה",'זה אני - קליטה'!$AF$5:$AF$204,0)),""))</f>
        <v/>
      </c>
      <c r="P95" s="37">
        <f>IF($A95="","",IFERROR(INDEX('זה אני - קליטה'!$AN$5:$AN$204,MATCH($A95&amp;"|אמצע שנה",'זה אני - קליטה'!$AF$5:$AF$204,0)),""))</f>
        <v/>
      </c>
      <c r="Q95" s="36">
        <f>IF($A95="","",IFERROR(INDEX('זה אני - קליטה'!$AW$5:$AW$204,MATCH($A95&amp;"|אמצע שנה",'זה אני - קליטה'!$AF$5:$AF$204,0)),""))</f>
        <v/>
      </c>
      <c r="R95" s="37">
        <f>IF($A95="","",IFERROR(INDEX('זה אני - קליטה'!$AH$5:$AH$204,MATCH($A95&amp;"|סוף שנה",'זה אני - קליטה'!$AF$5:$AF$204,0)),""))</f>
        <v/>
      </c>
      <c r="S95" s="37">
        <f>IF($A95="","",IFERROR(INDEX('זה אני - קליטה'!$AI$5:$AI$204,MATCH($A95&amp;"|סוף שנה",'זה אני - קליטה'!$AF$5:$AF$204,0)),""))</f>
        <v/>
      </c>
      <c r="T95" s="37">
        <f>IF($A95="","",IFERROR(INDEX('זה אני - קליטה'!$AJ$5:$AJ$204,MATCH($A95&amp;"|סוף שנה",'זה אני - קליטה'!$AF$5:$AF$204,0)),""))</f>
        <v/>
      </c>
      <c r="U95" s="37">
        <f>IF($A95="","",IFERROR(INDEX('זה אני - קליטה'!$AK$5:$AK$204,MATCH($A95&amp;"|סוף שנה",'זה אני - קליטה'!$AF$5:$AF$204,0)),""))</f>
        <v/>
      </c>
      <c r="V95" s="37">
        <f>IF($A95="","",IFERROR(INDEX('זה אני - קליטה'!$AL$5:$AL$204,MATCH($A95&amp;"|סוף שנה",'זה אני - קליטה'!$AF$5:$AF$204,0)),""))</f>
        <v/>
      </c>
      <c r="W95" s="36">
        <f>IF($A95="","",IFERROR(INDEX('זה אני - קליטה'!$AG$5:$AG$204,MATCH($A95&amp;"|סוף שנה",'זה אני - קליטה'!$AF$5:$AF$204,0)),""))</f>
        <v/>
      </c>
      <c r="X95" s="37">
        <f>IF($A95="","",IFERROR(INDEX('זה אני - קליטה'!$AN$5:$AN$204,MATCH($A95&amp;"|סוף שנה",'זה אני - קליטה'!$AF$5:$AF$204,0)),""))</f>
        <v/>
      </c>
      <c r="Y95" s="36">
        <f>IF($A95="","",IFERROR(INDEX('זה אני - קליטה'!$AW$5:$AW$204,MATCH($A95&amp;"|סוף שנה",'זה אני - קליטה'!$AF$5:$AF$204,0)),""))</f>
        <v/>
      </c>
      <c r="Z95" s="43">
        <f>IF(AND(ISNUMBER(F95),ISNUMBER(V95)),V95-F95,"")</f>
        <v/>
      </c>
      <c r="AA95" s="36">
        <f>IF(Z95="","",IF(Z95&gt;=0.25,"עלייה",IF(Z95&lt;=-0.25,"ירידה","יציב")))</f>
        <v/>
      </c>
    </row>
    <row r="96">
      <c r="A96" s="38" t="n"/>
      <c r="B96" s="37">
        <f>IF($A96="","",IFERROR(INDEX('זה אני - קליטה'!$AH$5:$AH$204,MATCH($A96&amp;"|תחילת שנה",'זה אני - קליטה'!$AF$5:$AF$204,0)),""))</f>
        <v/>
      </c>
      <c r="C96" s="37">
        <f>IF($A96="","",IFERROR(INDEX('זה אני - קליטה'!$AI$5:$AI$204,MATCH($A96&amp;"|תחילת שנה",'זה אני - קליטה'!$AF$5:$AF$204,0)),""))</f>
        <v/>
      </c>
      <c r="D96" s="37">
        <f>IF($A96="","",IFERROR(INDEX('זה אני - קליטה'!$AJ$5:$AJ$204,MATCH($A96&amp;"|תחילת שנה",'זה אני - קליטה'!$AF$5:$AF$204,0)),""))</f>
        <v/>
      </c>
      <c r="E96" s="37">
        <f>IF($A96="","",IFERROR(INDEX('זה אני - קליטה'!$AK$5:$AK$204,MATCH($A96&amp;"|תחילת שנה",'זה אני - קליטה'!$AF$5:$AF$204,0)),""))</f>
        <v/>
      </c>
      <c r="F96" s="37">
        <f>IF($A96="","",IFERROR(INDEX('זה אני - קליטה'!$AL$5:$AL$204,MATCH($A96&amp;"|תחילת שנה",'זה אני - קליטה'!$AF$5:$AF$204,0)),""))</f>
        <v/>
      </c>
      <c r="G96" s="36">
        <f>IF($A96="","",IFERROR(INDEX('זה אני - קליטה'!$AG$5:$AG$204,MATCH($A96&amp;"|תחילת שנה",'זה אני - קליטה'!$AF$5:$AF$204,0)),""))</f>
        <v/>
      </c>
      <c r="H96" s="37">
        <f>IF($A96="","",IFERROR(INDEX('זה אני - קליטה'!$AN$5:$AN$204,MATCH($A96&amp;"|תחילת שנה",'זה אני - קליטה'!$AF$5:$AF$204,0)),""))</f>
        <v/>
      </c>
      <c r="I96" s="36">
        <f>IF($A96="","",IFERROR(INDEX('זה אני - קליטה'!$AW$5:$AW$204,MATCH($A96&amp;"|תחילת שנה",'זה אני - קליטה'!$AF$5:$AF$204,0)),""))</f>
        <v/>
      </c>
      <c r="J96" s="37">
        <f>IF($A96="","",IFERROR(INDEX('זה אני - קליטה'!$AH$5:$AH$204,MATCH($A96&amp;"|אמצע שנה",'זה אני - קליטה'!$AF$5:$AF$204,0)),""))</f>
        <v/>
      </c>
      <c r="K96" s="37">
        <f>IF($A96="","",IFERROR(INDEX('זה אני - קליטה'!$AI$5:$AI$204,MATCH($A96&amp;"|אמצע שנה",'זה אני - קליטה'!$AF$5:$AF$204,0)),""))</f>
        <v/>
      </c>
      <c r="L96" s="37">
        <f>IF($A96="","",IFERROR(INDEX('זה אני - קליטה'!$AJ$5:$AJ$204,MATCH($A96&amp;"|אמצע שנה",'זה אני - קליטה'!$AF$5:$AF$204,0)),""))</f>
        <v/>
      </c>
      <c r="M96" s="37">
        <f>IF($A96="","",IFERROR(INDEX('זה אני - קליטה'!$AK$5:$AK$204,MATCH($A96&amp;"|אמצע שנה",'זה אני - קליטה'!$AF$5:$AF$204,0)),""))</f>
        <v/>
      </c>
      <c r="N96" s="37">
        <f>IF($A96="","",IFERROR(INDEX('זה אני - קליטה'!$AL$5:$AL$204,MATCH($A96&amp;"|אמצע שנה",'זה אני - קליטה'!$AF$5:$AF$204,0)),""))</f>
        <v/>
      </c>
      <c r="O96" s="36">
        <f>IF($A96="","",IFERROR(INDEX('זה אני - קליטה'!$AG$5:$AG$204,MATCH($A96&amp;"|אמצע שנה",'זה אני - קליטה'!$AF$5:$AF$204,0)),""))</f>
        <v/>
      </c>
      <c r="P96" s="37">
        <f>IF($A96="","",IFERROR(INDEX('זה אני - קליטה'!$AN$5:$AN$204,MATCH($A96&amp;"|אמצע שנה",'זה אני - קליטה'!$AF$5:$AF$204,0)),""))</f>
        <v/>
      </c>
      <c r="Q96" s="36">
        <f>IF($A96="","",IFERROR(INDEX('זה אני - קליטה'!$AW$5:$AW$204,MATCH($A96&amp;"|אמצע שנה",'זה אני - קליטה'!$AF$5:$AF$204,0)),""))</f>
        <v/>
      </c>
      <c r="R96" s="37">
        <f>IF($A96="","",IFERROR(INDEX('זה אני - קליטה'!$AH$5:$AH$204,MATCH($A96&amp;"|סוף שנה",'זה אני - קליטה'!$AF$5:$AF$204,0)),""))</f>
        <v/>
      </c>
      <c r="S96" s="37">
        <f>IF($A96="","",IFERROR(INDEX('זה אני - קליטה'!$AI$5:$AI$204,MATCH($A96&amp;"|סוף שנה",'זה אני - קליטה'!$AF$5:$AF$204,0)),""))</f>
        <v/>
      </c>
      <c r="T96" s="37">
        <f>IF($A96="","",IFERROR(INDEX('זה אני - קליטה'!$AJ$5:$AJ$204,MATCH($A96&amp;"|סוף שנה",'זה אני - קליטה'!$AF$5:$AF$204,0)),""))</f>
        <v/>
      </c>
      <c r="U96" s="37">
        <f>IF($A96="","",IFERROR(INDEX('זה אני - קליטה'!$AK$5:$AK$204,MATCH($A96&amp;"|סוף שנה",'זה אני - קליטה'!$AF$5:$AF$204,0)),""))</f>
        <v/>
      </c>
      <c r="V96" s="37">
        <f>IF($A96="","",IFERROR(INDEX('זה אני - קליטה'!$AL$5:$AL$204,MATCH($A96&amp;"|סוף שנה",'זה אני - קליטה'!$AF$5:$AF$204,0)),""))</f>
        <v/>
      </c>
      <c r="W96" s="36">
        <f>IF($A96="","",IFERROR(INDEX('זה אני - קליטה'!$AG$5:$AG$204,MATCH($A96&amp;"|סוף שנה",'זה אני - קליטה'!$AF$5:$AF$204,0)),""))</f>
        <v/>
      </c>
      <c r="X96" s="37">
        <f>IF($A96="","",IFERROR(INDEX('זה אני - קליטה'!$AN$5:$AN$204,MATCH($A96&amp;"|סוף שנה",'זה אני - קליטה'!$AF$5:$AF$204,0)),""))</f>
        <v/>
      </c>
      <c r="Y96" s="36">
        <f>IF($A96="","",IFERROR(INDEX('זה אני - קליטה'!$AW$5:$AW$204,MATCH($A96&amp;"|סוף שנה",'זה אני - קליטה'!$AF$5:$AF$204,0)),""))</f>
        <v/>
      </c>
      <c r="Z96" s="43">
        <f>IF(AND(ISNUMBER(F96),ISNUMBER(V96)),V96-F96,"")</f>
        <v/>
      </c>
      <c r="AA96" s="36">
        <f>IF(Z96="","",IF(Z96&gt;=0.25,"עלייה",IF(Z96&lt;=-0.25,"ירידה","יציב")))</f>
        <v/>
      </c>
    </row>
    <row r="97">
      <c r="A97" s="38" t="n"/>
      <c r="B97" s="37">
        <f>IF($A97="","",IFERROR(INDEX('זה אני - קליטה'!$AH$5:$AH$204,MATCH($A97&amp;"|תחילת שנה",'זה אני - קליטה'!$AF$5:$AF$204,0)),""))</f>
        <v/>
      </c>
      <c r="C97" s="37">
        <f>IF($A97="","",IFERROR(INDEX('זה אני - קליטה'!$AI$5:$AI$204,MATCH($A97&amp;"|תחילת שנה",'זה אני - קליטה'!$AF$5:$AF$204,0)),""))</f>
        <v/>
      </c>
      <c r="D97" s="37">
        <f>IF($A97="","",IFERROR(INDEX('זה אני - קליטה'!$AJ$5:$AJ$204,MATCH($A97&amp;"|תחילת שנה",'זה אני - קליטה'!$AF$5:$AF$204,0)),""))</f>
        <v/>
      </c>
      <c r="E97" s="37">
        <f>IF($A97="","",IFERROR(INDEX('זה אני - קליטה'!$AK$5:$AK$204,MATCH($A97&amp;"|תחילת שנה",'זה אני - קליטה'!$AF$5:$AF$204,0)),""))</f>
        <v/>
      </c>
      <c r="F97" s="37">
        <f>IF($A97="","",IFERROR(INDEX('זה אני - קליטה'!$AL$5:$AL$204,MATCH($A97&amp;"|תחילת שנה",'זה אני - קליטה'!$AF$5:$AF$204,0)),""))</f>
        <v/>
      </c>
      <c r="G97" s="36">
        <f>IF($A97="","",IFERROR(INDEX('זה אני - קליטה'!$AG$5:$AG$204,MATCH($A97&amp;"|תחילת שנה",'זה אני - קליטה'!$AF$5:$AF$204,0)),""))</f>
        <v/>
      </c>
      <c r="H97" s="37">
        <f>IF($A97="","",IFERROR(INDEX('זה אני - קליטה'!$AN$5:$AN$204,MATCH($A97&amp;"|תחילת שנה",'זה אני - קליטה'!$AF$5:$AF$204,0)),""))</f>
        <v/>
      </c>
      <c r="I97" s="36">
        <f>IF($A97="","",IFERROR(INDEX('זה אני - קליטה'!$AW$5:$AW$204,MATCH($A97&amp;"|תחילת שנה",'זה אני - קליטה'!$AF$5:$AF$204,0)),""))</f>
        <v/>
      </c>
      <c r="J97" s="37">
        <f>IF($A97="","",IFERROR(INDEX('זה אני - קליטה'!$AH$5:$AH$204,MATCH($A97&amp;"|אמצע שנה",'זה אני - קליטה'!$AF$5:$AF$204,0)),""))</f>
        <v/>
      </c>
      <c r="K97" s="37">
        <f>IF($A97="","",IFERROR(INDEX('זה אני - קליטה'!$AI$5:$AI$204,MATCH($A97&amp;"|אמצע שנה",'זה אני - קליטה'!$AF$5:$AF$204,0)),""))</f>
        <v/>
      </c>
      <c r="L97" s="37">
        <f>IF($A97="","",IFERROR(INDEX('זה אני - קליטה'!$AJ$5:$AJ$204,MATCH($A97&amp;"|אמצע שנה",'זה אני - קליטה'!$AF$5:$AF$204,0)),""))</f>
        <v/>
      </c>
      <c r="M97" s="37">
        <f>IF($A97="","",IFERROR(INDEX('זה אני - קליטה'!$AK$5:$AK$204,MATCH($A97&amp;"|אמצע שנה",'זה אני - קליטה'!$AF$5:$AF$204,0)),""))</f>
        <v/>
      </c>
      <c r="N97" s="37">
        <f>IF($A97="","",IFERROR(INDEX('זה אני - קליטה'!$AL$5:$AL$204,MATCH($A97&amp;"|אמצע שנה",'זה אני - קליטה'!$AF$5:$AF$204,0)),""))</f>
        <v/>
      </c>
      <c r="O97" s="36">
        <f>IF($A97="","",IFERROR(INDEX('זה אני - קליטה'!$AG$5:$AG$204,MATCH($A97&amp;"|אמצע שנה",'זה אני - קליטה'!$AF$5:$AF$204,0)),""))</f>
        <v/>
      </c>
      <c r="P97" s="37">
        <f>IF($A97="","",IFERROR(INDEX('זה אני - קליטה'!$AN$5:$AN$204,MATCH($A97&amp;"|אמצע שנה",'זה אני - קליטה'!$AF$5:$AF$204,0)),""))</f>
        <v/>
      </c>
      <c r="Q97" s="36">
        <f>IF($A97="","",IFERROR(INDEX('זה אני - קליטה'!$AW$5:$AW$204,MATCH($A97&amp;"|אמצע שנה",'זה אני - קליטה'!$AF$5:$AF$204,0)),""))</f>
        <v/>
      </c>
      <c r="R97" s="37">
        <f>IF($A97="","",IFERROR(INDEX('זה אני - קליטה'!$AH$5:$AH$204,MATCH($A97&amp;"|סוף שנה",'זה אני - קליטה'!$AF$5:$AF$204,0)),""))</f>
        <v/>
      </c>
      <c r="S97" s="37">
        <f>IF($A97="","",IFERROR(INDEX('זה אני - קליטה'!$AI$5:$AI$204,MATCH($A97&amp;"|סוף שנה",'זה אני - קליטה'!$AF$5:$AF$204,0)),""))</f>
        <v/>
      </c>
      <c r="T97" s="37">
        <f>IF($A97="","",IFERROR(INDEX('זה אני - קליטה'!$AJ$5:$AJ$204,MATCH($A97&amp;"|סוף שנה",'זה אני - קליטה'!$AF$5:$AF$204,0)),""))</f>
        <v/>
      </c>
      <c r="U97" s="37">
        <f>IF($A97="","",IFERROR(INDEX('זה אני - קליטה'!$AK$5:$AK$204,MATCH($A97&amp;"|סוף שנה",'זה אני - קליטה'!$AF$5:$AF$204,0)),""))</f>
        <v/>
      </c>
      <c r="V97" s="37">
        <f>IF($A97="","",IFERROR(INDEX('זה אני - קליטה'!$AL$5:$AL$204,MATCH($A97&amp;"|סוף שנה",'זה אני - קליטה'!$AF$5:$AF$204,0)),""))</f>
        <v/>
      </c>
      <c r="W97" s="36">
        <f>IF($A97="","",IFERROR(INDEX('זה אני - קליטה'!$AG$5:$AG$204,MATCH($A97&amp;"|סוף שנה",'זה אני - קליטה'!$AF$5:$AF$204,0)),""))</f>
        <v/>
      </c>
      <c r="X97" s="37">
        <f>IF($A97="","",IFERROR(INDEX('זה אני - קליטה'!$AN$5:$AN$204,MATCH($A97&amp;"|סוף שנה",'זה אני - קליטה'!$AF$5:$AF$204,0)),""))</f>
        <v/>
      </c>
      <c r="Y97" s="36">
        <f>IF($A97="","",IFERROR(INDEX('זה אני - קליטה'!$AW$5:$AW$204,MATCH($A97&amp;"|סוף שנה",'זה אני - קליטה'!$AF$5:$AF$204,0)),""))</f>
        <v/>
      </c>
      <c r="Z97" s="43">
        <f>IF(AND(ISNUMBER(F97),ISNUMBER(V97)),V97-F97,"")</f>
        <v/>
      </c>
      <c r="AA97" s="36">
        <f>IF(Z97="","",IF(Z97&gt;=0.25,"עלייה",IF(Z97&lt;=-0.25,"ירידה","יציב")))</f>
        <v/>
      </c>
    </row>
    <row r="98">
      <c r="A98" s="38" t="n"/>
      <c r="B98" s="37">
        <f>IF($A98="","",IFERROR(INDEX('זה אני - קליטה'!$AH$5:$AH$204,MATCH($A98&amp;"|תחילת שנה",'זה אני - קליטה'!$AF$5:$AF$204,0)),""))</f>
        <v/>
      </c>
      <c r="C98" s="37">
        <f>IF($A98="","",IFERROR(INDEX('זה אני - קליטה'!$AI$5:$AI$204,MATCH($A98&amp;"|תחילת שנה",'זה אני - קליטה'!$AF$5:$AF$204,0)),""))</f>
        <v/>
      </c>
      <c r="D98" s="37">
        <f>IF($A98="","",IFERROR(INDEX('זה אני - קליטה'!$AJ$5:$AJ$204,MATCH($A98&amp;"|תחילת שנה",'זה אני - קליטה'!$AF$5:$AF$204,0)),""))</f>
        <v/>
      </c>
      <c r="E98" s="37">
        <f>IF($A98="","",IFERROR(INDEX('זה אני - קליטה'!$AK$5:$AK$204,MATCH($A98&amp;"|תחילת שנה",'זה אני - קליטה'!$AF$5:$AF$204,0)),""))</f>
        <v/>
      </c>
      <c r="F98" s="37">
        <f>IF($A98="","",IFERROR(INDEX('זה אני - קליטה'!$AL$5:$AL$204,MATCH($A98&amp;"|תחילת שנה",'זה אני - קליטה'!$AF$5:$AF$204,0)),""))</f>
        <v/>
      </c>
      <c r="G98" s="36">
        <f>IF($A98="","",IFERROR(INDEX('זה אני - קליטה'!$AG$5:$AG$204,MATCH($A98&amp;"|תחילת שנה",'זה אני - קליטה'!$AF$5:$AF$204,0)),""))</f>
        <v/>
      </c>
      <c r="H98" s="37">
        <f>IF($A98="","",IFERROR(INDEX('זה אני - קליטה'!$AN$5:$AN$204,MATCH($A98&amp;"|תחילת שנה",'זה אני - קליטה'!$AF$5:$AF$204,0)),""))</f>
        <v/>
      </c>
      <c r="I98" s="36">
        <f>IF($A98="","",IFERROR(INDEX('זה אני - קליטה'!$AW$5:$AW$204,MATCH($A98&amp;"|תחילת שנה",'זה אני - קליטה'!$AF$5:$AF$204,0)),""))</f>
        <v/>
      </c>
      <c r="J98" s="37">
        <f>IF($A98="","",IFERROR(INDEX('זה אני - קליטה'!$AH$5:$AH$204,MATCH($A98&amp;"|אמצע שנה",'זה אני - קליטה'!$AF$5:$AF$204,0)),""))</f>
        <v/>
      </c>
      <c r="K98" s="37">
        <f>IF($A98="","",IFERROR(INDEX('זה אני - קליטה'!$AI$5:$AI$204,MATCH($A98&amp;"|אמצע שנה",'זה אני - קליטה'!$AF$5:$AF$204,0)),""))</f>
        <v/>
      </c>
      <c r="L98" s="37">
        <f>IF($A98="","",IFERROR(INDEX('זה אני - קליטה'!$AJ$5:$AJ$204,MATCH($A98&amp;"|אמצע שנה",'זה אני - קליטה'!$AF$5:$AF$204,0)),""))</f>
        <v/>
      </c>
      <c r="M98" s="37">
        <f>IF($A98="","",IFERROR(INDEX('זה אני - קליטה'!$AK$5:$AK$204,MATCH($A98&amp;"|אמצע שנה",'זה אני - קליטה'!$AF$5:$AF$204,0)),""))</f>
        <v/>
      </c>
      <c r="N98" s="37">
        <f>IF($A98="","",IFERROR(INDEX('זה אני - קליטה'!$AL$5:$AL$204,MATCH($A98&amp;"|אמצע שנה",'זה אני - קליטה'!$AF$5:$AF$204,0)),""))</f>
        <v/>
      </c>
      <c r="O98" s="36">
        <f>IF($A98="","",IFERROR(INDEX('זה אני - קליטה'!$AG$5:$AG$204,MATCH($A98&amp;"|אמצע שנה",'זה אני - קליטה'!$AF$5:$AF$204,0)),""))</f>
        <v/>
      </c>
      <c r="P98" s="37">
        <f>IF($A98="","",IFERROR(INDEX('זה אני - קליטה'!$AN$5:$AN$204,MATCH($A98&amp;"|אמצע שנה",'זה אני - קליטה'!$AF$5:$AF$204,0)),""))</f>
        <v/>
      </c>
      <c r="Q98" s="36">
        <f>IF($A98="","",IFERROR(INDEX('זה אני - קליטה'!$AW$5:$AW$204,MATCH($A98&amp;"|אמצע שנה",'זה אני - קליטה'!$AF$5:$AF$204,0)),""))</f>
        <v/>
      </c>
      <c r="R98" s="37">
        <f>IF($A98="","",IFERROR(INDEX('זה אני - קליטה'!$AH$5:$AH$204,MATCH($A98&amp;"|סוף שנה",'זה אני - קליטה'!$AF$5:$AF$204,0)),""))</f>
        <v/>
      </c>
      <c r="S98" s="37">
        <f>IF($A98="","",IFERROR(INDEX('זה אני - קליטה'!$AI$5:$AI$204,MATCH($A98&amp;"|סוף שנה",'זה אני - קליטה'!$AF$5:$AF$204,0)),""))</f>
        <v/>
      </c>
      <c r="T98" s="37">
        <f>IF($A98="","",IFERROR(INDEX('זה אני - קליטה'!$AJ$5:$AJ$204,MATCH($A98&amp;"|סוף שנה",'זה אני - קליטה'!$AF$5:$AF$204,0)),""))</f>
        <v/>
      </c>
      <c r="U98" s="37">
        <f>IF($A98="","",IFERROR(INDEX('זה אני - קליטה'!$AK$5:$AK$204,MATCH($A98&amp;"|סוף שנה",'זה אני - קליטה'!$AF$5:$AF$204,0)),""))</f>
        <v/>
      </c>
      <c r="V98" s="37">
        <f>IF($A98="","",IFERROR(INDEX('זה אני - קליטה'!$AL$5:$AL$204,MATCH($A98&amp;"|סוף שנה",'זה אני - קליטה'!$AF$5:$AF$204,0)),""))</f>
        <v/>
      </c>
      <c r="W98" s="36">
        <f>IF($A98="","",IFERROR(INDEX('זה אני - קליטה'!$AG$5:$AG$204,MATCH($A98&amp;"|סוף שנה",'זה אני - קליטה'!$AF$5:$AF$204,0)),""))</f>
        <v/>
      </c>
      <c r="X98" s="37">
        <f>IF($A98="","",IFERROR(INDEX('זה אני - קליטה'!$AN$5:$AN$204,MATCH($A98&amp;"|סוף שנה",'זה אני - קליטה'!$AF$5:$AF$204,0)),""))</f>
        <v/>
      </c>
      <c r="Y98" s="36">
        <f>IF($A98="","",IFERROR(INDEX('זה אני - קליטה'!$AW$5:$AW$204,MATCH($A98&amp;"|סוף שנה",'זה אני - קליטה'!$AF$5:$AF$204,0)),""))</f>
        <v/>
      </c>
      <c r="Z98" s="43">
        <f>IF(AND(ISNUMBER(F98),ISNUMBER(V98)),V98-F98,"")</f>
        <v/>
      </c>
      <c r="AA98" s="36">
        <f>IF(Z98="","",IF(Z98&gt;=0.25,"עלייה",IF(Z98&lt;=-0.25,"ירידה","יציב")))</f>
        <v/>
      </c>
    </row>
    <row r="99">
      <c r="A99" s="38" t="n"/>
      <c r="B99" s="37">
        <f>IF($A99="","",IFERROR(INDEX('זה אני - קליטה'!$AH$5:$AH$204,MATCH($A99&amp;"|תחילת שנה",'זה אני - קליטה'!$AF$5:$AF$204,0)),""))</f>
        <v/>
      </c>
      <c r="C99" s="37">
        <f>IF($A99="","",IFERROR(INDEX('זה אני - קליטה'!$AI$5:$AI$204,MATCH($A99&amp;"|תחילת שנה",'זה אני - קליטה'!$AF$5:$AF$204,0)),""))</f>
        <v/>
      </c>
      <c r="D99" s="37">
        <f>IF($A99="","",IFERROR(INDEX('זה אני - קליטה'!$AJ$5:$AJ$204,MATCH($A99&amp;"|תחילת שנה",'זה אני - קליטה'!$AF$5:$AF$204,0)),""))</f>
        <v/>
      </c>
      <c r="E99" s="37">
        <f>IF($A99="","",IFERROR(INDEX('זה אני - קליטה'!$AK$5:$AK$204,MATCH($A99&amp;"|תחילת שנה",'זה אני - קליטה'!$AF$5:$AF$204,0)),""))</f>
        <v/>
      </c>
      <c r="F99" s="37">
        <f>IF($A99="","",IFERROR(INDEX('זה אני - קליטה'!$AL$5:$AL$204,MATCH($A99&amp;"|תחילת שנה",'זה אני - קליטה'!$AF$5:$AF$204,0)),""))</f>
        <v/>
      </c>
      <c r="G99" s="36">
        <f>IF($A99="","",IFERROR(INDEX('זה אני - קליטה'!$AG$5:$AG$204,MATCH($A99&amp;"|תחילת שנה",'זה אני - קליטה'!$AF$5:$AF$204,0)),""))</f>
        <v/>
      </c>
      <c r="H99" s="37">
        <f>IF($A99="","",IFERROR(INDEX('זה אני - קליטה'!$AN$5:$AN$204,MATCH($A99&amp;"|תחילת שנה",'זה אני - קליטה'!$AF$5:$AF$204,0)),""))</f>
        <v/>
      </c>
      <c r="I99" s="36">
        <f>IF($A99="","",IFERROR(INDEX('זה אני - קליטה'!$AW$5:$AW$204,MATCH($A99&amp;"|תחילת שנה",'זה אני - קליטה'!$AF$5:$AF$204,0)),""))</f>
        <v/>
      </c>
      <c r="J99" s="37">
        <f>IF($A99="","",IFERROR(INDEX('זה אני - קליטה'!$AH$5:$AH$204,MATCH($A99&amp;"|אמצע שנה",'זה אני - קליטה'!$AF$5:$AF$204,0)),""))</f>
        <v/>
      </c>
      <c r="K99" s="37">
        <f>IF($A99="","",IFERROR(INDEX('זה אני - קליטה'!$AI$5:$AI$204,MATCH($A99&amp;"|אמצע שנה",'זה אני - קליטה'!$AF$5:$AF$204,0)),""))</f>
        <v/>
      </c>
      <c r="L99" s="37">
        <f>IF($A99="","",IFERROR(INDEX('זה אני - קליטה'!$AJ$5:$AJ$204,MATCH($A99&amp;"|אמצע שנה",'זה אני - קליטה'!$AF$5:$AF$204,0)),""))</f>
        <v/>
      </c>
      <c r="M99" s="37">
        <f>IF($A99="","",IFERROR(INDEX('זה אני - קליטה'!$AK$5:$AK$204,MATCH($A99&amp;"|אמצע שנה",'זה אני - קליטה'!$AF$5:$AF$204,0)),""))</f>
        <v/>
      </c>
      <c r="N99" s="37">
        <f>IF($A99="","",IFERROR(INDEX('זה אני - קליטה'!$AL$5:$AL$204,MATCH($A99&amp;"|אמצע שנה",'זה אני - קליטה'!$AF$5:$AF$204,0)),""))</f>
        <v/>
      </c>
      <c r="O99" s="36">
        <f>IF($A99="","",IFERROR(INDEX('זה אני - קליטה'!$AG$5:$AG$204,MATCH($A99&amp;"|אמצע שנה",'זה אני - קליטה'!$AF$5:$AF$204,0)),""))</f>
        <v/>
      </c>
      <c r="P99" s="37">
        <f>IF($A99="","",IFERROR(INDEX('זה אני - קליטה'!$AN$5:$AN$204,MATCH($A99&amp;"|אמצע שנה",'זה אני - קליטה'!$AF$5:$AF$204,0)),""))</f>
        <v/>
      </c>
      <c r="Q99" s="36">
        <f>IF($A99="","",IFERROR(INDEX('זה אני - קליטה'!$AW$5:$AW$204,MATCH($A99&amp;"|אמצע שנה",'זה אני - קליטה'!$AF$5:$AF$204,0)),""))</f>
        <v/>
      </c>
      <c r="R99" s="37">
        <f>IF($A99="","",IFERROR(INDEX('זה אני - קליטה'!$AH$5:$AH$204,MATCH($A99&amp;"|סוף שנה",'זה אני - קליטה'!$AF$5:$AF$204,0)),""))</f>
        <v/>
      </c>
      <c r="S99" s="37">
        <f>IF($A99="","",IFERROR(INDEX('זה אני - קליטה'!$AI$5:$AI$204,MATCH($A99&amp;"|סוף שנה",'זה אני - קליטה'!$AF$5:$AF$204,0)),""))</f>
        <v/>
      </c>
      <c r="T99" s="37">
        <f>IF($A99="","",IFERROR(INDEX('זה אני - קליטה'!$AJ$5:$AJ$204,MATCH($A99&amp;"|סוף שנה",'זה אני - קליטה'!$AF$5:$AF$204,0)),""))</f>
        <v/>
      </c>
      <c r="U99" s="37">
        <f>IF($A99="","",IFERROR(INDEX('זה אני - קליטה'!$AK$5:$AK$204,MATCH($A99&amp;"|סוף שנה",'זה אני - קליטה'!$AF$5:$AF$204,0)),""))</f>
        <v/>
      </c>
      <c r="V99" s="37">
        <f>IF($A99="","",IFERROR(INDEX('זה אני - קליטה'!$AL$5:$AL$204,MATCH($A99&amp;"|סוף שנה",'זה אני - קליטה'!$AF$5:$AF$204,0)),""))</f>
        <v/>
      </c>
      <c r="W99" s="36">
        <f>IF($A99="","",IFERROR(INDEX('זה אני - קליטה'!$AG$5:$AG$204,MATCH($A99&amp;"|סוף שנה",'זה אני - קליטה'!$AF$5:$AF$204,0)),""))</f>
        <v/>
      </c>
      <c r="X99" s="37">
        <f>IF($A99="","",IFERROR(INDEX('זה אני - קליטה'!$AN$5:$AN$204,MATCH($A99&amp;"|סוף שנה",'זה אני - קליטה'!$AF$5:$AF$204,0)),""))</f>
        <v/>
      </c>
      <c r="Y99" s="36">
        <f>IF($A99="","",IFERROR(INDEX('זה אני - קליטה'!$AW$5:$AW$204,MATCH($A99&amp;"|סוף שנה",'זה אני - קליטה'!$AF$5:$AF$204,0)),""))</f>
        <v/>
      </c>
      <c r="Z99" s="43">
        <f>IF(AND(ISNUMBER(F99),ISNUMBER(V99)),V99-F99,"")</f>
        <v/>
      </c>
      <c r="AA99" s="36">
        <f>IF(Z99="","",IF(Z99&gt;=0.25,"עלייה",IF(Z99&lt;=-0.25,"ירידה","יציב")))</f>
        <v/>
      </c>
    </row>
    <row r="100">
      <c r="A100" s="38" t="n"/>
      <c r="B100" s="37">
        <f>IF($A100="","",IFERROR(INDEX('זה אני - קליטה'!$AH$5:$AH$204,MATCH($A100&amp;"|תחילת שנה",'זה אני - קליטה'!$AF$5:$AF$204,0)),""))</f>
        <v/>
      </c>
      <c r="C100" s="37">
        <f>IF($A100="","",IFERROR(INDEX('זה אני - קליטה'!$AI$5:$AI$204,MATCH($A100&amp;"|תחילת שנה",'זה אני - קליטה'!$AF$5:$AF$204,0)),""))</f>
        <v/>
      </c>
      <c r="D100" s="37">
        <f>IF($A100="","",IFERROR(INDEX('זה אני - קליטה'!$AJ$5:$AJ$204,MATCH($A100&amp;"|תחילת שנה",'זה אני - קליטה'!$AF$5:$AF$204,0)),""))</f>
        <v/>
      </c>
      <c r="E100" s="37">
        <f>IF($A100="","",IFERROR(INDEX('זה אני - קליטה'!$AK$5:$AK$204,MATCH($A100&amp;"|תחילת שנה",'זה אני - קליטה'!$AF$5:$AF$204,0)),""))</f>
        <v/>
      </c>
      <c r="F100" s="37">
        <f>IF($A100="","",IFERROR(INDEX('זה אני - קליטה'!$AL$5:$AL$204,MATCH($A100&amp;"|תחילת שנה",'זה אני - קליטה'!$AF$5:$AF$204,0)),""))</f>
        <v/>
      </c>
      <c r="G100" s="36">
        <f>IF($A100="","",IFERROR(INDEX('זה אני - קליטה'!$AG$5:$AG$204,MATCH($A100&amp;"|תחילת שנה",'זה אני - קליטה'!$AF$5:$AF$204,0)),""))</f>
        <v/>
      </c>
      <c r="H100" s="37">
        <f>IF($A100="","",IFERROR(INDEX('זה אני - קליטה'!$AN$5:$AN$204,MATCH($A100&amp;"|תחילת שנה",'זה אני - קליטה'!$AF$5:$AF$204,0)),""))</f>
        <v/>
      </c>
      <c r="I100" s="36">
        <f>IF($A100="","",IFERROR(INDEX('זה אני - קליטה'!$AW$5:$AW$204,MATCH($A100&amp;"|תחילת שנה",'זה אני - קליטה'!$AF$5:$AF$204,0)),""))</f>
        <v/>
      </c>
      <c r="J100" s="37">
        <f>IF($A100="","",IFERROR(INDEX('זה אני - קליטה'!$AH$5:$AH$204,MATCH($A100&amp;"|אמצע שנה",'זה אני - קליטה'!$AF$5:$AF$204,0)),""))</f>
        <v/>
      </c>
      <c r="K100" s="37">
        <f>IF($A100="","",IFERROR(INDEX('זה אני - קליטה'!$AI$5:$AI$204,MATCH($A100&amp;"|אמצע שנה",'זה אני - קליטה'!$AF$5:$AF$204,0)),""))</f>
        <v/>
      </c>
      <c r="L100" s="37">
        <f>IF($A100="","",IFERROR(INDEX('זה אני - קליטה'!$AJ$5:$AJ$204,MATCH($A100&amp;"|אמצע שנה",'זה אני - קליטה'!$AF$5:$AF$204,0)),""))</f>
        <v/>
      </c>
      <c r="M100" s="37">
        <f>IF($A100="","",IFERROR(INDEX('זה אני - קליטה'!$AK$5:$AK$204,MATCH($A100&amp;"|אמצע שנה",'זה אני - קליטה'!$AF$5:$AF$204,0)),""))</f>
        <v/>
      </c>
      <c r="N100" s="37">
        <f>IF($A100="","",IFERROR(INDEX('זה אני - קליטה'!$AL$5:$AL$204,MATCH($A100&amp;"|אמצע שנה",'זה אני - קליטה'!$AF$5:$AF$204,0)),""))</f>
        <v/>
      </c>
      <c r="O100" s="36">
        <f>IF($A100="","",IFERROR(INDEX('זה אני - קליטה'!$AG$5:$AG$204,MATCH($A100&amp;"|אמצע שנה",'זה אני - קליטה'!$AF$5:$AF$204,0)),""))</f>
        <v/>
      </c>
      <c r="P100" s="37">
        <f>IF($A100="","",IFERROR(INDEX('זה אני - קליטה'!$AN$5:$AN$204,MATCH($A100&amp;"|אמצע שנה",'זה אני - קליטה'!$AF$5:$AF$204,0)),""))</f>
        <v/>
      </c>
      <c r="Q100" s="36">
        <f>IF($A100="","",IFERROR(INDEX('זה אני - קליטה'!$AW$5:$AW$204,MATCH($A100&amp;"|אמצע שנה",'זה אני - קליטה'!$AF$5:$AF$204,0)),""))</f>
        <v/>
      </c>
      <c r="R100" s="37">
        <f>IF($A100="","",IFERROR(INDEX('זה אני - קליטה'!$AH$5:$AH$204,MATCH($A100&amp;"|סוף שנה",'זה אני - קליטה'!$AF$5:$AF$204,0)),""))</f>
        <v/>
      </c>
      <c r="S100" s="37">
        <f>IF($A100="","",IFERROR(INDEX('זה אני - קליטה'!$AI$5:$AI$204,MATCH($A100&amp;"|סוף שנה",'זה אני - קליטה'!$AF$5:$AF$204,0)),""))</f>
        <v/>
      </c>
      <c r="T100" s="37">
        <f>IF($A100="","",IFERROR(INDEX('זה אני - קליטה'!$AJ$5:$AJ$204,MATCH($A100&amp;"|סוף שנה",'זה אני - קליטה'!$AF$5:$AF$204,0)),""))</f>
        <v/>
      </c>
      <c r="U100" s="37">
        <f>IF($A100="","",IFERROR(INDEX('זה אני - קליטה'!$AK$5:$AK$204,MATCH($A100&amp;"|סוף שנה",'זה אני - קליטה'!$AF$5:$AF$204,0)),""))</f>
        <v/>
      </c>
      <c r="V100" s="37">
        <f>IF($A100="","",IFERROR(INDEX('זה אני - קליטה'!$AL$5:$AL$204,MATCH($A100&amp;"|סוף שנה",'זה אני - קליטה'!$AF$5:$AF$204,0)),""))</f>
        <v/>
      </c>
      <c r="W100" s="36">
        <f>IF($A100="","",IFERROR(INDEX('זה אני - קליטה'!$AG$5:$AG$204,MATCH($A100&amp;"|סוף שנה",'זה אני - קליטה'!$AF$5:$AF$204,0)),""))</f>
        <v/>
      </c>
      <c r="X100" s="37">
        <f>IF($A100="","",IFERROR(INDEX('זה אני - קליטה'!$AN$5:$AN$204,MATCH($A100&amp;"|סוף שנה",'זה אני - קליטה'!$AF$5:$AF$204,0)),""))</f>
        <v/>
      </c>
      <c r="Y100" s="36">
        <f>IF($A100="","",IFERROR(INDEX('זה אני - קליטה'!$AW$5:$AW$204,MATCH($A100&amp;"|סוף שנה",'זה אני - קליטה'!$AF$5:$AF$204,0)),""))</f>
        <v/>
      </c>
      <c r="Z100" s="43">
        <f>IF(AND(ISNUMBER(F100),ISNUMBER(V100)),V100-F100,"")</f>
        <v/>
      </c>
      <c r="AA100" s="36">
        <f>IF(Z100="","",IF(Z100&gt;=0.25,"עלייה",IF(Z100&lt;=-0.25,"ירידה","יציב")))</f>
        <v/>
      </c>
    </row>
    <row r="101">
      <c r="A101" s="38" t="n"/>
      <c r="B101" s="37">
        <f>IF($A101="","",IFERROR(INDEX('זה אני - קליטה'!$AH$5:$AH$204,MATCH($A101&amp;"|תחילת שנה",'זה אני - קליטה'!$AF$5:$AF$204,0)),""))</f>
        <v/>
      </c>
      <c r="C101" s="37">
        <f>IF($A101="","",IFERROR(INDEX('זה אני - קליטה'!$AI$5:$AI$204,MATCH($A101&amp;"|תחילת שנה",'זה אני - קליטה'!$AF$5:$AF$204,0)),""))</f>
        <v/>
      </c>
      <c r="D101" s="37">
        <f>IF($A101="","",IFERROR(INDEX('זה אני - קליטה'!$AJ$5:$AJ$204,MATCH($A101&amp;"|תחילת שנה",'זה אני - קליטה'!$AF$5:$AF$204,0)),""))</f>
        <v/>
      </c>
      <c r="E101" s="37">
        <f>IF($A101="","",IFERROR(INDEX('זה אני - קליטה'!$AK$5:$AK$204,MATCH($A101&amp;"|תחילת שנה",'זה אני - קליטה'!$AF$5:$AF$204,0)),""))</f>
        <v/>
      </c>
      <c r="F101" s="37">
        <f>IF($A101="","",IFERROR(INDEX('זה אני - קליטה'!$AL$5:$AL$204,MATCH($A101&amp;"|תחילת שנה",'זה אני - קליטה'!$AF$5:$AF$204,0)),""))</f>
        <v/>
      </c>
      <c r="G101" s="36">
        <f>IF($A101="","",IFERROR(INDEX('זה אני - קליטה'!$AG$5:$AG$204,MATCH($A101&amp;"|תחילת שנה",'זה אני - קליטה'!$AF$5:$AF$204,0)),""))</f>
        <v/>
      </c>
      <c r="H101" s="37">
        <f>IF($A101="","",IFERROR(INDEX('זה אני - קליטה'!$AN$5:$AN$204,MATCH($A101&amp;"|תחילת שנה",'זה אני - קליטה'!$AF$5:$AF$204,0)),""))</f>
        <v/>
      </c>
      <c r="I101" s="36">
        <f>IF($A101="","",IFERROR(INDEX('זה אני - קליטה'!$AW$5:$AW$204,MATCH($A101&amp;"|תחילת שנה",'זה אני - קליטה'!$AF$5:$AF$204,0)),""))</f>
        <v/>
      </c>
      <c r="J101" s="37">
        <f>IF($A101="","",IFERROR(INDEX('זה אני - קליטה'!$AH$5:$AH$204,MATCH($A101&amp;"|אמצע שנה",'זה אני - קליטה'!$AF$5:$AF$204,0)),""))</f>
        <v/>
      </c>
      <c r="K101" s="37">
        <f>IF($A101="","",IFERROR(INDEX('זה אני - קליטה'!$AI$5:$AI$204,MATCH($A101&amp;"|אמצע שנה",'זה אני - קליטה'!$AF$5:$AF$204,0)),""))</f>
        <v/>
      </c>
      <c r="L101" s="37">
        <f>IF($A101="","",IFERROR(INDEX('זה אני - קליטה'!$AJ$5:$AJ$204,MATCH($A101&amp;"|אמצע שנה",'זה אני - קליטה'!$AF$5:$AF$204,0)),""))</f>
        <v/>
      </c>
      <c r="M101" s="37">
        <f>IF($A101="","",IFERROR(INDEX('זה אני - קליטה'!$AK$5:$AK$204,MATCH($A101&amp;"|אמצע שנה",'זה אני - קליטה'!$AF$5:$AF$204,0)),""))</f>
        <v/>
      </c>
      <c r="N101" s="37">
        <f>IF($A101="","",IFERROR(INDEX('זה אני - קליטה'!$AL$5:$AL$204,MATCH($A101&amp;"|אמצע שנה",'זה אני - קליטה'!$AF$5:$AF$204,0)),""))</f>
        <v/>
      </c>
      <c r="O101" s="36">
        <f>IF($A101="","",IFERROR(INDEX('זה אני - קליטה'!$AG$5:$AG$204,MATCH($A101&amp;"|אמצע שנה",'זה אני - קליטה'!$AF$5:$AF$204,0)),""))</f>
        <v/>
      </c>
      <c r="P101" s="37">
        <f>IF($A101="","",IFERROR(INDEX('זה אני - קליטה'!$AN$5:$AN$204,MATCH($A101&amp;"|אמצע שנה",'זה אני - קליטה'!$AF$5:$AF$204,0)),""))</f>
        <v/>
      </c>
      <c r="Q101" s="36">
        <f>IF($A101="","",IFERROR(INDEX('זה אני - קליטה'!$AW$5:$AW$204,MATCH($A101&amp;"|אמצע שנה",'זה אני - קליטה'!$AF$5:$AF$204,0)),""))</f>
        <v/>
      </c>
      <c r="R101" s="37">
        <f>IF($A101="","",IFERROR(INDEX('זה אני - קליטה'!$AH$5:$AH$204,MATCH($A101&amp;"|סוף שנה",'זה אני - קליטה'!$AF$5:$AF$204,0)),""))</f>
        <v/>
      </c>
      <c r="S101" s="37">
        <f>IF($A101="","",IFERROR(INDEX('זה אני - קליטה'!$AI$5:$AI$204,MATCH($A101&amp;"|סוף שנה",'זה אני - קליטה'!$AF$5:$AF$204,0)),""))</f>
        <v/>
      </c>
      <c r="T101" s="37">
        <f>IF($A101="","",IFERROR(INDEX('זה אני - קליטה'!$AJ$5:$AJ$204,MATCH($A101&amp;"|סוף שנה",'זה אני - קליטה'!$AF$5:$AF$204,0)),""))</f>
        <v/>
      </c>
      <c r="U101" s="37">
        <f>IF($A101="","",IFERROR(INDEX('זה אני - קליטה'!$AK$5:$AK$204,MATCH($A101&amp;"|סוף שנה",'זה אני - קליטה'!$AF$5:$AF$204,0)),""))</f>
        <v/>
      </c>
      <c r="V101" s="37">
        <f>IF($A101="","",IFERROR(INDEX('זה אני - קליטה'!$AL$5:$AL$204,MATCH($A101&amp;"|סוף שנה",'זה אני - קליטה'!$AF$5:$AF$204,0)),""))</f>
        <v/>
      </c>
      <c r="W101" s="36">
        <f>IF($A101="","",IFERROR(INDEX('זה אני - קליטה'!$AG$5:$AG$204,MATCH($A101&amp;"|סוף שנה",'זה אני - קליטה'!$AF$5:$AF$204,0)),""))</f>
        <v/>
      </c>
      <c r="X101" s="37">
        <f>IF($A101="","",IFERROR(INDEX('זה אני - קליטה'!$AN$5:$AN$204,MATCH($A101&amp;"|סוף שנה",'זה אני - קליטה'!$AF$5:$AF$204,0)),""))</f>
        <v/>
      </c>
      <c r="Y101" s="36">
        <f>IF($A101="","",IFERROR(INDEX('זה אני - קליטה'!$AW$5:$AW$204,MATCH($A101&amp;"|סוף שנה",'זה אני - קליטה'!$AF$5:$AF$204,0)),""))</f>
        <v/>
      </c>
      <c r="Z101" s="43">
        <f>IF(AND(ISNUMBER(F101),ISNUMBER(V101)),V101-F101,"")</f>
        <v/>
      </c>
      <c r="AA101" s="36">
        <f>IF(Z101="","",IF(Z101&gt;=0.25,"עלייה",IF(Z101&lt;=-0.25,"ירידה","יציב")))</f>
        <v/>
      </c>
    </row>
    <row r="102">
      <c r="A102" s="38" t="n"/>
      <c r="B102" s="37">
        <f>IF($A102="","",IFERROR(INDEX('זה אני - קליטה'!$AH$5:$AH$204,MATCH($A102&amp;"|תחילת שנה",'זה אני - קליטה'!$AF$5:$AF$204,0)),""))</f>
        <v/>
      </c>
      <c r="C102" s="37">
        <f>IF($A102="","",IFERROR(INDEX('זה אני - קליטה'!$AI$5:$AI$204,MATCH($A102&amp;"|תחילת שנה",'זה אני - קליטה'!$AF$5:$AF$204,0)),""))</f>
        <v/>
      </c>
      <c r="D102" s="37">
        <f>IF($A102="","",IFERROR(INDEX('זה אני - קליטה'!$AJ$5:$AJ$204,MATCH($A102&amp;"|תחילת שנה",'זה אני - קליטה'!$AF$5:$AF$204,0)),""))</f>
        <v/>
      </c>
      <c r="E102" s="37">
        <f>IF($A102="","",IFERROR(INDEX('זה אני - קליטה'!$AK$5:$AK$204,MATCH($A102&amp;"|תחילת שנה",'זה אני - קליטה'!$AF$5:$AF$204,0)),""))</f>
        <v/>
      </c>
      <c r="F102" s="37">
        <f>IF($A102="","",IFERROR(INDEX('זה אני - קליטה'!$AL$5:$AL$204,MATCH($A102&amp;"|תחילת שנה",'זה אני - קליטה'!$AF$5:$AF$204,0)),""))</f>
        <v/>
      </c>
      <c r="G102" s="36">
        <f>IF($A102="","",IFERROR(INDEX('זה אני - קליטה'!$AG$5:$AG$204,MATCH($A102&amp;"|תחילת שנה",'זה אני - קליטה'!$AF$5:$AF$204,0)),""))</f>
        <v/>
      </c>
      <c r="H102" s="37">
        <f>IF($A102="","",IFERROR(INDEX('זה אני - קליטה'!$AN$5:$AN$204,MATCH($A102&amp;"|תחילת שנה",'זה אני - קליטה'!$AF$5:$AF$204,0)),""))</f>
        <v/>
      </c>
      <c r="I102" s="36">
        <f>IF($A102="","",IFERROR(INDEX('זה אני - קליטה'!$AW$5:$AW$204,MATCH($A102&amp;"|תחילת שנה",'זה אני - קליטה'!$AF$5:$AF$204,0)),""))</f>
        <v/>
      </c>
      <c r="J102" s="37">
        <f>IF($A102="","",IFERROR(INDEX('זה אני - קליטה'!$AH$5:$AH$204,MATCH($A102&amp;"|אמצע שנה",'זה אני - קליטה'!$AF$5:$AF$204,0)),""))</f>
        <v/>
      </c>
      <c r="K102" s="37">
        <f>IF($A102="","",IFERROR(INDEX('זה אני - קליטה'!$AI$5:$AI$204,MATCH($A102&amp;"|אמצע שנה",'זה אני - קליטה'!$AF$5:$AF$204,0)),""))</f>
        <v/>
      </c>
      <c r="L102" s="37">
        <f>IF($A102="","",IFERROR(INDEX('זה אני - קליטה'!$AJ$5:$AJ$204,MATCH($A102&amp;"|אמצע שנה",'זה אני - קליטה'!$AF$5:$AF$204,0)),""))</f>
        <v/>
      </c>
      <c r="M102" s="37">
        <f>IF($A102="","",IFERROR(INDEX('זה אני - קליטה'!$AK$5:$AK$204,MATCH($A102&amp;"|אמצע שנה",'זה אני - קליטה'!$AF$5:$AF$204,0)),""))</f>
        <v/>
      </c>
      <c r="N102" s="37">
        <f>IF($A102="","",IFERROR(INDEX('זה אני - קליטה'!$AL$5:$AL$204,MATCH($A102&amp;"|אמצע שנה",'זה אני - קליטה'!$AF$5:$AF$204,0)),""))</f>
        <v/>
      </c>
      <c r="O102" s="36">
        <f>IF($A102="","",IFERROR(INDEX('זה אני - קליטה'!$AG$5:$AG$204,MATCH($A102&amp;"|אמצע שנה",'זה אני - קליטה'!$AF$5:$AF$204,0)),""))</f>
        <v/>
      </c>
      <c r="P102" s="37">
        <f>IF($A102="","",IFERROR(INDEX('זה אני - קליטה'!$AN$5:$AN$204,MATCH($A102&amp;"|אמצע שנה",'זה אני - קליטה'!$AF$5:$AF$204,0)),""))</f>
        <v/>
      </c>
      <c r="Q102" s="36">
        <f>IF($A102="","",IFERROR(INDEX('זה אני - קליטה'!$AW$5:$AW$204,MATCH($A102&amp;"|אמצע שנה",'זה אני - קליטה'!$AF$5:$AF$204,0)),""))</f>
        <v/>
      </c>
      <c r="R102" s="37">
        <f>IF($A102="","",IFERROR(INDEX('זה אני - קליטה'!$AH$5:$AH$204,MATCH($A102&amp;"|סוף שנה",'זה אני - קליטה'!$AF$5:$AF$204,0)),""))</f>
        <v/>
      </c>
      <c r="S102" s="37">
        <f>IF($A102="","",IFERROR(INDEX('זה אני - קליטה'!$AI$5:$AI$204,MATCH($A102&amp;"|סוף שנה",'זה אני - קליטה'!$AF$5:$AF$204,0)),""))</f>
        <v/>
      </c>
      <c r="T102" s="37">
        <f>IF($A102="","",IFERROR(INDEX('זה אני - קליטה'!$AJ$5:$AJ$204,MATCH($A102&amp;"|סוף שנה",'זה אני - קליטה'!$AF$5:$AF$204,0)),""))</f>
        <v/>
      </c>
      <c r="U102" s="37">
        <f>IF($A102="","",IFERROR(INDEX('זה אני - קליטה'!$AK$5:$AK$204,MATCH($A102&amp;"|סוף שנה",'זה אני - קליטה'!$AF$5:$AF$204,0)),""))</f>
        <v/>
      </c>
      <c r="V102" s="37">
        <f>IF($A102="","",IFERROR(INDEX('זה אני - קליטה'!$AL$5:$AL$204,MATCH($A102&amp;"|סוף שנה",'זה אני - קליטה'!$AF$5:$AF$204,0)),""))</f>
        <v/>
      </c>
      <c r="W102" s="36">
        <f>IF($A102="","",IFERROR(INDEX('זה אני - קליטה'!$AG$5:$AG$204,MATCH($A102&amp;"|סוף שנה",'זה אני - קליטה'!$AF$5:$AF$204,0)),""))</f>
        <v/>
      </c>
      <c r="X102" s="37">
        <f>IF($A102="","",IFERROR(INDEX('זה אני - קליטה'!$AN$5:$AN$204,MATCH($A102&amp;"|סוף שנה",'זה אני - קליטה'!$AF$5:$AF$204,0)),""))</f>
        <v/>
      </c>
      <c r="Y102" s="36">
        <f>IF($A102="","",IFERROR(INDEX('זה אני - קליטה'!$AW$5:$AW$204,MATCH($A102&amp;"|סוף שנה",'זה אני - קליטה'!$AF$5:$AF$204,0)),""))</f>
        <v/>
      </c>
      <c r="Z102" s="43">
        <f>IF(AND(ISNUMBER(F102),ISNUMBER(V102)),V102-F102,"")</f>
        <v/>
      </c>
      <c r="AA102" s="36">
        <f>IF(Z102="","",IF(Z102&gt;=0.25,"עלייה",IF(Z102&lt;=-0.25,"ירידה","יציב")))</f>
        <v/>
      </c>
    </row>
    <row r="103">
      <c r="A103" s="38" t="n"/>
      <c r="B103" s="37">
        <f>IF($A103="","",IFERROR(INDEX('זה אני - קליטה'!$AH$5:$AH$204,MATCH($A103&amp;"|תחילת שנה",'זה אני - קליטה'!$AF$5:$AF$204,0)),""))</f>
        <v/>
      </c>
      <c r="C103" s="37">
        <f>IF($A103="","",IFERROR(INDEX('זה אני - קליטה'!$AI$5:$AI$204,MATCH($A103&amp;"|תחילת שנה",'זה אני - קליטה'!$AF$5:$AF$204,0)),""))</f>
        <v/>
      </c>
      <c r="D103" s="37">
        <f>IF($A103="","",IFERROR(INDEX('זה אני - קליטה'!$AJ$5:$AJ$204,MATCH($A103&amp;"|תחילת שנה",'זה אני - קליטה'!$AF$5:$AF$204,0)),""))</f>
        <v/>
      </c>
      <c r="E103" s="37">
        <f>IF($A103="","",IFERROR(INDEX('זה אני - קליטה'!$AK$5:$AK$204,MATCH($A103&amp;"|תחילת שנה",'זה אני - קליטה'!$AF$5:$AF$204,0)),""))</f>
        <v/>
      </c>
      <c r="F103" s="37">
        <f>IF($A103="","",IFERROR(INDEX('זה אני - קליטה'!$AL$5:$AL$204,MATCH($A103&amp;"|תחילת שנה",'זה אני - קליטה'!$AF$5:$AF$204,0)),""))</f>
        <v/>
      </c>
      <c r="G103" s="36">
        <f>IF($A103="","",IFERROR(INDEX('זה אני - קליטה'!$AG$5:$AG$204,MATCH($A103&amp;"|תחילת שנה",'זה אני - קליטה'!$AF$5:$AF$204,0)),""))</f>
        <v/>
      </c>
      <c r="H103" s="37">
        <f>IF($A103="","",IFERROR(INDEX('זה אני - קליטה'!$AN$5:$AN$204,MATCH($A103&amp;"|תחילת שנה",'זה אני - קליטה'!$AF$5:$AF$204,0)),""))</f>
        <v/>
      </c>
      <c r="I103" s="36">
        <f>IF($A103="","",IFERROR(INDEX('זה אני - קליטה'!$AW$5:$AW$204,MATCH($A103&amp;"|תחילת שנה",'זה אני - קליטה'!$AF$5:$AF$204,0)),""))</f>
        <v/>
      </c>
      <c r="J103" s="37">
        <f>IF($A103="","",IFERROR(INDEX('זה אני - קליטה'!$AH$5:$AH$204,MATCH($A103&amp;"|אמצע שנה",'זה אני - קליטה'!$AF$5:$AF$204,0)),""))</f>
        <v/>
      </c>
      <c r="K103" s="37">
        <f>IF($A103="","",IFERROR(INDEX('זה אני - קליטה'!$AI$5:$AI$204,MATCH($A103&amp;"|אמצע שנה",'זה אני - קליטה'!$AF$5:$AF$204,0)),""))</f>
        <v/>
      </c>
      <c r="L103" s="37">
        <f>IF($A103="","",IFERROR(INDEX('זה אני - קליטה'!$AJ$5:$AJ$204,MATCH($A103&amp;"|אמצע שנה",'זה אני - קליטה'!$AF$5:$AF$204,0)),""))</f>
        <v/>
      </c>
      <c r="M103" s="37">
        <f>IF($A103="","",IFERROR(INDEX('זה אני - קליטה'!$AK$5:$AK$204,MATCH($A103&amp;"|אמצע שנה",'זה אני - קליטה'!$AF$5:$AF$204,0)),""))</f>
        <v/>
      </c>
      <c r="N103" s="37">
        <f>IF($A103="","",IFERROR(INDEX('זה אני - קליטה'!$AL$5:$AL$204,MATCH($A103&amp;"|אמצע שנה",'זה אני - קליטה'!$AF$5:$AF$204,0)),""))</f>
        <v/>
      </c>
      <c r="O103" s="36">
        <f>IF($A103="","",IFERROR(INDEX('זה אני - קליטה'!$AG$5:$AG$204,MATCH($A103&amp;"|אמצע שנה",'זה אני - קליטה'!$AF$5:$AF$204,0)),""))</f>
        <v/>
      </c>
      <c r="P103" s="37">
        <f>IF($A103="","",IFERROR(INDEX('זה אני - קליטה'!$AN$5:$AN$204,MATCH($A103&amp;"|אמצע שנה",'זה אני - קליטה'!$AF$5:$AF$204,0)),""))</f>
        <v/>
      </c>
      <c r="Q103" s="36">
        <f>IF($A103="","",IFERROR(INDEX('זה אני - קליטה'!$AW$5:$AW$204,MATCH($A103&amp;"|אמצע שנה",'זה אני - קליטה'!$AF$5:$AF$204,0)),""))</f>
        <v/>
      </c>
      <c r="R103" s="37">
        <f>IF($A103="","",IFERROR(INDEX('זה אני - קליטה'!$AH$5:$AH$204,MATCH($A103&amp;"|סוף שנה",'זה אני - קליטה'!$AF$5:$AF$204,0)),""))</f>
        <v/>
      </c>
      <c r="S103" s="37">
        <f>IF($A103="","",IFERROR(INDEX('זה אני - קליטה'!$AI$5:$AI$204,MATCH($A103&amp;"|סוף שנה",'זה אני - קליטה'!$AF$5:$AF$204,0)),""))</f>
        <v/>
      </c>
      <c r="T103" s="37">
        <f>IF($A103="","",IFERROR(INDEX('זה אני - קליטה'!$AJ$5:$AJ$204,MATCH($A103&amp;"|סוף שנה",'זה אני - קליטה'!$AF$5:$AF$204,0)),""))</f>
        <v/>
      </c>
      <c r="U103" s="37">
        <f>IF($A103="","",IFERROR(INDEX('זה אני - קליטה'!$AK$5:$AK$204,MATCH($A103&amp;"|סוף שנה",'זה אני - קליטה'!$AF$5:$AF$204,0)),""))</f>
        <v/>
      </c>
      <c r="V103" s="37">
        <f>IF($A103="","",IFERROR(INDEX('זה אני - קליטה'!$AL$5:$AL$204,MATCH($A103&amp;"|סוף שנה",'זה אני - קליטה'!$AF$5:$AF$204,0)),""))</f>
        <v/>
      </c>
      <c r="W103" s="36">
        <f>IF($A103="","",IFERROR(INDEX('זה אני - קליטה'!$AG$5:$AG$204,MATCH($A103&amp;"|סוף שנה",'זה אני - קליטה'!$AF$5:$AF$204,0)),""))</f>
        <v/>
      </c>
      <c r="X103" s="37">
        <f>IF($A103="","",IFERROR(INDEX('זה אני - קליטה'!$AN$5:$AN$204,MATCH($A103&amp;"|סוף שנה",'זה אני - קליטה'!$AF$5:$AF$204,0)),""))</f>
        <v/>
      </c>
      <c r="Y103" s="36">
        <f>IF($A103="","",IFERROR(INDEX('זה אני - קליטה'!$AW$5:$AW$204,MATCH($A103&amp;"|סוף שנה",'זה אני - קליטה'!$AF$5:$AF$204,0)),""))</f>
        <v/>
      </c>
      <c r="Z103" s="43">
        <f>IF(AND(ISNUMBER(F103),ISNUMBER(V103)),V103-F103,"")</f>
        <v/>
      </c>
      <c r="AA103" s="36">
        <f>IF(Z103="","",IF(Z103&gt;=0.25,"עלייה",IF(Z103&lt;=-0.25,"ירידה","יציב")))</f>
        <v/>
      </c>
    </row>
    <row r="104">
      <c r="A104" s="38" t="n"/>
      <c r="B104" s="37">
        <f>IF($A104="","",IFERROR(INDEX('זה אני - קליטה'!$AH$5:$AH$204,MATCH($A104&amp;"|תחילת שנה",'זה אני - קליטה'!$AF$5:$AF$204,0)),""))</f>
        <v/>
      </c>
      <c r="C104" s="37">
        <f>IF($A104="","",IFERROR(INDEX('זה אני - קליטה'!$AI$5:$AI$204,MATCH($A104&amp;"|תחילת שנה",'זה אני - קליטה'!$AF$5:$AF$204,0)),""))</f>
        <v/>
      </c>
      <c r="D104" s="37">
        <f>IF($A104="","",IFERROR(INDEX('זה אני - קליטה'!$AJ$5:$AJ$204,MATCH($A104&amp;"|תחילת שנה",'זה אני - קליטה'!$AF$5:$AF$204,0)),""))</f>
        <v/>
      </c>
      <c r="E104" s="37">
        <f>IF($A104="","",IFERROR(INDEX('זה אני - קליטה'!$AK$5:$AK$204,MATCH($A104&amp;"|תחילת שנה",'זה אני - קליטה'!$AF$5:$AF$204,0)),""))</f>
        <v/>
      </c>
      <c r="F104" s="37">
        <f>IF($A104="","",IFERROR(INDEX('זה אני - קליטה'!$AL$5:$AL$204,MATCH($A104&amp;"|תחילת שנה",'זה אני - קליטה'!$AF$5:$AF$204,0)),""))</f>
        <v/>
      </c>
      <c r="G104" s="36">
        <f>IF($A104="","",IFERROR(INDEX('זה אני - קליטה'!$AG$5:$AG$204,MATCH($A104&amp;"|תחילת שנה",'זה אני - קליטה'!$AF$5:$AF$204,0)),""))</f>
        <v/>
      </c>
      <c r="H104" s="37">
        <f>IF($A104="","",IFERROR(INDEX('זה אני - קליטה'!$AN$5:$AN$204,MATCH($A104&amp;"|תחילת שנה",'זה אני - קליטה'!$AF$5:$AF$204,0)),""))</f>
        <v/>
      </c>
      <c r="I104" s="36">
        <f>IF($A104="","",IFERROR(INDEX('זה אני - קליטה'!$AW$5:$AW$204,MATCH($A104&amp;"|תחילת שנה",'זה אני - קליטה'!$AF$5:$AF$204,0)),""))</f>
        <v/>
      </c>
      <c r="J104" s="37">
        <f>IF($A104="","",IFERROR(INDEX('זה אני - קליטה'!$AH$5:$AH$204,MATCH($A104&amp;"|אמצע שנה",'זה אני - קליטה'!$AF$5:$AF$204,0)),""))</f>
        <v/>
      </c>
      <c r="K104" s="37">
        <f>IF($A104="","",IFERROR(INDEX('זה אני - קליטה'!$AI$5:$AI$204,MATCH($A104&amp;"|אמצע שנה",'זה אני - קליטה'!$AF$5:$AF$204,0)),""))</f>
        <v/>
      </c>
      <c r="L104" s="37">
        <f>IF($A104="","",IFERROR(INDEX('זה אני - קליטה'!$AJ$5:$AJ$204,MATCH($A104&amp;"|אמצע שנה",'זה אני - קליטה'!$AF$5:$AF$204,0)),""))</f>
        <v/>
      </c>
      <c r="M104" s="37">
        <f>IF($A104="","",IFERROR(INDEX('זה אני - קליטה'!$AK$5:$AK$204,MATCH($A104&amp;"|אמצע שנה",'זה אני - קליטה'!$AF$5:$AF$204,0)),""))</f>
        <v/>
      </c>
      <c r="N104" s="37">
        <f>IF($A104="","",IFERROR(INDEX('זה אני - קליטה'!$AL$5:$AL$204,MATCH($A104&amp;"|אמצע שנה",'זה אני - קליטה'!$AF$5:$AF$204,0)),""))</f>
        <v/>
      </c>
      <c r="O104" s="36">
        <f>IF($A104="","",IFERROR(INDEX('זה אני - קליטה'!$AG$5:$AG$204,MATCH($A104&amp;"|אמצע שנה",'זה אני - קליטה'!$AF$5:$AF$204,0)),""))</f>
        <v/>
      </c>
      <c r="P104" s="37">
        <f>IF($A104="","",IFERROR(INDEX('זה אני - קליטה'!$AN$5:$AN$204,MATCH($A104&amp;"|אמצע שנה",'זה אני - קליטה'!$AF$5:$AF$204,0)),""))</f>
        <v/>
      </c>
      <c r="Q104" s="36">
        <f>IF($A104="","",IFERROR(INDEX('זה אני - קליטה'!$AW$5:$AW$204,MATCH($A104&amp;"|אמצע שנה",'זה אני - קליטה'!$AF$5:$AF$204,0)),""))</f>
        <v/>
      </c>
      <c r="R104" s="37">
        <f>IF($A104="","",IFERROR(INDEX('זה אני - קליטה'!$AH$5:$AH$204,MATCH($A104&amp;"|סוף שנה",'זה אני - קליטה'!$AF$5:$AF$204,0)),""))</f>
        <v/>
      </c>
      <c r="S104" s="37">
        <f>IF($A104="","",IFERROR(INDEX('זה אני - קליטה'!$AI$5:$AI$204,MATCH($A104&amp;"|סוף שנה",'זה אני - קליטה'!$AF$5:$AF$204,0)),""))</f>
        <v/>
      </c>
      <c r="T104" s="37">
        <f>IF($A104="","",IFERROR(INDEX('זה אני - קליטה'!$AJ$5:$AJ$204,MATCH($A104&amp;"|סוף שנה",'זה אני - קליטה'!$AF$5:$AF$204,0)),""))</f>
        <v/>
      </c>
      <c r="U104" s="37">
        <f>IF($A104="","",IFERROR(INDEX('זה אני - קליטה'!$AK$5:$AK$204,MATCH($A104&amp;"|סוף שנה",'זה אני - קליטה'!$AF$5:$AF$204,0)),""))</f>
        <v/>
      </c>
      <c r="V104" s="37">
        <f>IF($A104="","",IFERROR(INDEX('זה אני - קליטה'!$AL$5:$AL$204,MATCH($A104&amp;"|סוף שנה",'זה אני - קליטה'!$AF$5:$AF$204,0)),""))</f>
        <v/>
      </c>
      <c r="W104" s="36">
        <f>IF($A104="","",IFERROR(INDEX('זה אני - קליטה'!$AG$5:$AG$204,MATCH($A104&amp;"|סוף שנה",'זה אני - קליטה'!$AF$5:$AF$204,0)),""))</f>
        <v/>
      </c>
      <c r="X104" s="37">
        <f>IF($A104="","",IFERROR(INDEX('זה אני - קליטה'!$AN$5:$AN$204,MATCH($A104&amp;"|סוף שנה",'זה אני - קליטה'!$AF$5:$AF$204,0)),""))</f>
        <v/>
      </c>
      <c r="Y104" s="36">
        <f>IF($A104="","",IFERROR(INDEX('זה אני - קליטה'!$AW$5:$AW$204,MATCH($A104&amp;"|סוף שנה",'זה אני - קליטה'!$AF$5:$AF$204,0)),""))</f>
        <v/>
      </c>
      <c r="Z104" s="43">
        <f>IF(AND(ISNUMBER(F104),ISNUMBER(V104)),V104-F104,"")</f>
        <v/>
      </c>
      <c r="AA104" s="36">
        <f>IF(Z104="","",IF(Z104&gt;=0.25,"עלייה",IF(Z104&lt;=-0.25,"ירידה","יציב")))</f>
        <v/>
      </c>
    </row>
    <row r="105">
      <c r="A105" s="38" t="n"/>
      <c r="B105" s="37">
        <f>IF($A105="","",IFERROR(INDEX('זה אני - קליטה'!$AH$5:$AH$204,MATCH($A105&amp;"|תחילת שנה",'זה אני - קליטה'!$AF$5:$AF$204,0)),""))</f>
        <v/>
      </c>
      <c r="C105" s="37">
        <f>IF($A105="","",IFERROR(INDEX('זה אני - קליטה'!$AI$5:$AI$204,MATCH($A105&amp;"|תחילת שנה",'זה אני - קליטה'!$AF$5:$AF$204,0)),""))</f>
        <v/>
      </c>
      <c r="D105" s="37">
        <f>IF($A105="","",IFERROR(INDEX('זה אני - קליטה'!$AJ$5:$AJ$204,MATCH($A105&amp;"|תחילת שנה",'זה אני - קליטה'!$AF$5:$AF$204,0)),""))</f>
        <v/>
      </c>
      <c r="E105" s="37">
        <f>IF($A105="","",IFERROR(INDEX('זה אני - קליטה'!$AK$5:$AK$204,MATCH($A105&amp;"|תחילת שנה",'זה אני - קליטה'!$AF$5:$AF$204,0)),""))</f>
        <v/>
      </c>
      <c r="F105" s="37">
        <f>IF($A105="","",IFERROR(INDEX('זה אני - קליטה'!$AL$5:$AL$204,MATCH($A105&amp;"|תחילת שנה",'זה אני - קליטה'!$AF$5:$AF$204,0)),""))</f>
        <v/>
      </c>
      <c r="G105" s="36">
        <f>IF($A105="","",IFERROR(INDEX('זה אני - קליטה'!$AG$5:$AG$204,MATCH($A105&amp;"|תחילת שנה",'זה אני - קליטה'!$AF$5:$AF$204,0)),""))</f>
        <v/>
      </c>
      <c r="H105" s="37">
        <f>IF($A105="","",IFERROR(INDEX('זה אני - קליטה'!$AN$5:$AN$204,MATCH($A105&amp;"|תחילת שנה",'זה אני - קליטה'!$AF$5:$AF$204,0)),""))</f>
        <v/>
      </c>
      <c r="I105" s="36">
        <f>IF($A105="","",IFERROR(INDEX('זה אני - קליטה'!$AW$5:$AW$204,MATCH($A105&amp;"|תחילת שנה",'זה אני - קליטה'!$AF$5:$AF$204,0)),""))</f>
        <v/>
      </c>
      <c r="J105" s="37">
        <f>IF($A105="","",IFERROR(INDEX('זה אני - קליטה'!$AH$5:$AH$204,MATCH($A105&amp;"|אמצע שנה",'זה אני - קליטה'!$AF$5:$AF$204,0)),""))</f>
        <v/>
      </c>
      <c r="K105" s="37">
        <f>IF($A105="","",IFERROR(INDEX('זה אני - קליטה'!$AI$5:$AI$204,MATCH($A105&amp;"|אמצע שנה",'זה אני - קליטה'!$AF$5:$AF$204,0)),""))</f>
        <v/>
      </c>
      <c r="L105" s="37">
        <f>IF($A105="","",IFERROR(INDEX('זה אני - קליטה'!$AJ$5:$AJ$204,MATCH($A105&amp;"|אמצע שנה",'זה אני - קליטה'!$AF$5:$AF$204,0)),""))</f>
        <v/>
      </c>
      <c r="M105" s="37">
        <f>IF($A105="","",IFERROR(INDEX('זה אני - קליטה'!$AK$5:$AK$204,MATCH($A105&amp;"|אמצע שנה",'זה אני - קליטה'!$AF$5:$AF$204,0)),""))</f>
        <v/>
      </c>
      <c r="N105" s="37">
        <f>IF($A105="","",IFERROR(INDEX('זה אני - קליטה'!$AL$5:$AL$204,MATCH($A105&amp;"|אמצע שנה",'זה אני - קליטה'!$AF$5:$AF$204,0)),""))</f>
        <v/>
      </c>
      <c r="O105" s="36">
        <f>IF($A105="","",IFERROR(INDEX('זה אני - קליטה'!$AG$5:$AG$204,MATCH($A105&amp;"|אמצע שנה",'זה אני - קליטה'!$AF$5:$AF$204,0)),""))</f>
        <v/>
      </c>
      <c r="P105" s="37">
        <f>IF($A105="","",IFERROR(INDEX('זה אני - קליטה'!$AN$5:$AN$204,MATCH($A105&amp;"|אמצע שנה",'זה אני - קליטה'!$AF$5:$AF$204,0)),""))</f>
        <v/>
      </c>
      <c r="Q105" s="36">
        <f>IF($A105="","",IFERROR(INDEX('זה אני - קליטה'!$AW$5:$AW$204,MATCH($A105&amp;"|אמצע שנה",'זה אני - קליטה'!$AF$5:$AF$204,0)),""))</f>
        <v/>
      </c>
      <c r="R105" s="37">
        <f>IF($A105="","",IFERROR(INDEX('זה אני - קליטה'!$AH$5:$AH$204,MATCH($A105&amp;"|סוף שנה",'זה אני - קליטה'!$AF$5:$AF$204,0)),""))</f>
        <v/>
      </c>
      <c r="S105" s="37">
        <f>IF($A105="","",IFERROR(INDEX('זה אני - קליטה'!$AI$5:$AI$204,MATCH($A105&amp;"|סוף שנה",'זה אני - קליטה'!$AF$5:$AF$204,0)),""))</f>
        <v/>
      </c>
      <c r="T105" s="37">
        <f>IF($A105="","",IFERROR(INDEX('זה אני - קליטה'!$AJ$5:$AJ$204,MATCH($A105&amp;"|סוף שנה",'זה אני - קליטה'!$AF$5:$AF$204,0)),""))</f>
        <v/>
      </c>
      <c r="U105" s="37">
        <f>IF($A105="","",IFERROR(INDEX('זה אני - קליטה'!$AK$5:$AK$204,MATCH($A105&amp;"|סוף שנה",'זה אני - קליטה'!$AF$5:$AF$204,0)),""))</f>
        <v/>
      </c>
      <c r="V105" s="37">
        <f>IF($A105="","",IFERROR(INDEX('זה אני - קליטה'!$AL$5:$AL$204,MATCH($A105&amp;"|סוף שנה",'זה אני - קליטה'!$AF$5:$AF$204,0)),""))</f>
        <v/>
      </c>
      <c r="W105" s="36">
        <f>IF($A105="","",IFERROR(INDEX('זה אני - קליטה'!$AG$5:$AG$204,MATCH($A105&amp;"|סוף שנה",'זה אני - קליטה'!$AF$5:$AF$204,0)),""))</f>
        <v/>
      </c>
      <c r="X105" s="37">
        <f>IF($A105="","",IFERROR(INDEX('זה אני - קליטה'!$AN$5:$AN$204,MATCH($A105&amp;"|סוף שנה",'זה אני - קליטה'!$AF$5:$AF$204,0)),""))</f>
        <v/>
      </c>
      <c r="Y105" s="36">
        <f>IF($A105="","",IFERROR(INDEX('זה אני - קליטה'!$AW$5:$AW$204,MATCH($A105&amp;"|סוף שנה",'זה אני - קליטה'!$AF$5:$AF$204,0)),""))</f>
        <v/>
      </c>
      <c r="Z105" s="43">
        <f>IF(AND(ISNUMBER(F105),ISNUMBER(V105)),V105-F105,"")</f>
        <v/>
      </c>
      <c r="AA105" s="36">
        <f>IF(Z105="","",IF(Z105&gt;=0.25,"עלייה",IF(Z105&lt;=-0.25,"ירידה","יציב")))</f>
        <v/>
      </c>
    </row>
    <row r="106">
      <c r="A106" s="38" t="n"/>
      <c r="B106" s="37">
        <f>IF($A106="","",IFERROR(INDEX('זה אני - קליטה'!$AH$5:$AH$204,MATCH($A106&amp;"|תחילת שנה",'זה אני - קליטה'!$AF$5:$AF$204,0)),""))</f>
        <v/>
      </c>
      <c r="C106" s="37">
        <f>IF($A106="","",IFERROR(INDEX('זה אני - קליטה'!$AI$5:$AI$204,MATCH($A106&amp;"|תחילת שנה",'זה אני - קליטה'!$AF$5:$AF$204,0)),""))</f>
        <v/>
      </c>
      <c r="D106" s="37">
        <f>IF($A106="","",IFERROR(INDEX('זה אני - קליטה'!$AJ$5:$AJ$204,MATCH($A106&amp;"|תחילת שנה",'זה אני - קליטה'!$AF$5:$AF$204,0)),""))</f>
        <v/>
      </c>
      <c r="E106" s="37">
        <f>IF($A106="","",IFERROR(INDEX('זה אני - קליטה'!$AK$5:$AK$204,MATCH($A106&amp;"|תחילת שנה",'זה אני - קליטה'!$AF$5:$AF$204,0)),""))</f>
        <v/>
      </c>
      <c r="F106" s="37">
        <f>IF($A106="","",IFERROR(INDEX('זה אני - קליטה'!$AL$5:$AL$204,MATCH($A106&amp;"|תחילת שנה",'זה אני - קליטה'!$AF$5:$AF$204,0)),""))</f>
        <v/>
      </c>
      <c r="G106" s="36">
        <f>IF($A106="","",IFERROR(INDEX('זה אני - קליטה'!$AG$5:$AG$204,MATCH($A106&amp;"|תחילת שנה",'זה אני - קליטה'!$AF$5:$AF$204,0)),""))</f>
        <v/>
      </c>
      <c r="H106" s="37">
        <f>IF($A106="","",IFERROR(INDEX('זה אני - קליטה'!$AN$5:$AN$204,MATCH($A106&amp;"|תחילת שנה",'זה אני - קליטה'!$AF$5:$AF$204,0)),""))</f>
        <v/>
      </c>
      <c r="I106" s="36">
        <f>IF($A106="","",IFERROR(INDEX('זה אני - קליטה'!$AW$5:$AW$204,MATCH($A106&amp;"|תחילת שנה",'זה אני - קליטה'!$AF$5:$AF$204,0)),""))</f>
        <v/>
      </c>
      <c r="J106" s="37">
        <f>IF($A106="","",IFERROR(INDEX('זה אני - קליטה'!$AH$5:$AH$204,MATCH($A106&amp;"|אמצע שנה",'זה אני - קליטה'!$AF$5:$AF$204,0)),""))</f>
        <v/>
      </c>
      <c r="K106" s="37">
        <f>IF($A106="","",IFERROR(INDEX('זה אני - קליטה'!$AI$5:$AI$204,MATCH($A106&amp;"|אמצע שנה",'זה אני - קליטה'!$AF$5:$AF$204,0)),""))</f>
        <v/>
      </c>
      <c r="L106" s="37">
        <f>IF($A106="","",IFERROR(INDEX('זה אני - קליטה'!$AJ$5:$AJ$204,MATCH($A106&amp;"|אמצע שנה",'זה אני - קליטה'!$AF$5:$AF$204,0)),""))</f>
        <v/>
      </c>
      <c r="M106" s="37">
        <f>IF($A106="","",IFERROR(INDEX('זה אני - קליטה'!$AK$5:$AK$204,MATCH($A106&amp;"|אמצע שנה",'זה אני - קליטה'!$AF$5:$AF$204,0)),""))</f>
        <v/>
      </c>
      <c r="N106" s="37">
        <f>IF($A106="","",IFERROR(INDEX('זה אני - קליטה'!$AL$5:$AL$204,MATCH($A106&amp;"|אמצע שנה",'זה אני - קליטה'!$AF$5:$AF$204,0)),""))</f>
        <v/>
      </c>
      <c r="O106" s="36">
        <f>IF($A106="","",IFERROR(INDEX('זה אני - קליטה'!$AG$5:$AG$204,MATCH($A106&amp;"|אמצע שנה",'זה אני - קליטה'!$AF$5:$AF$204,0)),""))</f>
        <v/>
      </c>
      <c r="P106" s="37">
        <f>IF($A106="","",IFERROR(INDEX('זה אני - קליטה'!$AN$5:$AN$204,MATCH($A106&amp;"|אמצע שנה",'זה אני - קליטה'!$AF$5:$AF$204,0)),""))</f>
        <v/>
      </c>
      <c r="Q106" s="36">
        <f>IF($A106="","",IFERROR(INDEX('זה אני - קליטה'!$AW$5:$AW$204,MATCH($A106&amp;"|אמצע שנה",'זה אני - קליטה'!$AF$5:$AF$204,0)),""))</f>
        <v/>
      </c>
      <c r="R106" s="37">
        <f>IF($A106="","",IFERROR(INDEX('זה אני - קליטה'!$AH$5:$AH$204,MATCH($A106&amp;"|סוף שנה",'זה אני - קליטה'!$AF$5:$AF$204,0)),""))</f>
        <v/>
      </c>
      <c r="S106" s="37">
        <f>IF($A106="","",IFERROR(INDEX('זה אני - קליטה'!$AI$5:$AI$204,MATCH($A106&amp;"|סוף שנה",'זה אני - קליטה'!$AF$5:$AF$204,0)),""))</f>
        <v/>
      </c>
      <c r="T106" s="37">
        <f>IF($A106="","",IFERROR(INDEX('זה אני - קליטה'!$AJ$5:$AJ$204,MATCH($A106&amp;"|סוף שנה",'זה אני - קליטה'!$AF$5:$AF$204,0)),""))</f>
        <v/>
      </c>
      <c r="U106" s="37">
        <f>IF($A106="","",IFERROR(INDEX('זה אני - קליטה'!$AK$5:$AK$204,MATCH($A106&amp;"|סוף שנה",'זה אני - קליטה'!$AF$5:$AF$204,0)),""))</f>
        <v/>
      </c>
      <c r="V106" s="37">
        <f>IF($A106="","",IFERROR(INDEX('זה אני - קליטה'!$AL$5:$AL$204,MATCH($A106&amp;"|סוף שנה",'זה אני - קליטה'!$AF$5:$AF$204,0)),""))</f>
        <v/>
      </c>
      <c r="W106" s="36">
        <f>IF($A106="","",IFERROR(INDEX('זה אני - קליטה'!$AG$5:$AG$204,MATCH($A106&amp;"|סוף שנה",'זה אני - קליטה'!$AF$5:$AF$204,0)),""))</f>
        <v/>
      </c>
      <c r="X106" s="37">
        <f>IF($A106="","",IFERROR(INDEX('זה אני - קליטה'!$AN$5:$AN$204,MATCH($A106&amp;"|סוף שנה",'זה אני - קליטה'!$AF$5:$AF$204,0)),""))</f>
        <v/>
      </c>
      <c r="Y106" s="36">
        <f>IF($A106="","",IFERROR(INDEX('זה אני - קליטה'!$AW$5:$AW$204,MATCH($A106&amp;"|סוף שנה",'זה אני - קליטה'!$AF$5:$AF$204,0)),""))</f>
        <v/>
      </c>
      <c r="Z106" s="43">
        <f>IF(AND(ISNUMBER(F106),ISNUMBER(V106)),V106-F106,"")</f>
        <v/>
      </c>
      <c r="AA106" s="36">
        <f>IF(Z106="","",IF(Z106&gt;=0.25,"עלייה",IF(Z106&lt;=-0.25,"ירידה","יציב")))</f>
        <v/>
      </c>
    </row>
    <row r="107">
      <c r="A107" s="38" t="n"/>
      <c r="B107" s="37">
        <f>IF($A107="","",IFERROR(INDEX('זה אני - קליטה'!$AH$5:$AH$204,MATCH($A107&amp;"|תחילת שנה",'זה אני - קליטה'!$AF$5:$AF$204,0)),""))</f>
        <v/>
      </c>
      <c r="C107" s="37">
        <f>IF($A107="","",IFERROR(INDEX('זה אני - קליטה'!$AI$5:$AI$204,MATCH($A107&amp;"|תחילת שנה",'זה אני - קליטה'!$AF$5:$AF$204,0)),""))</f>
        <v/>
      </c>
      <c r="D107" s="37">
        <f>IF($A107="","",IFERROR(INDEX('זה אני - קליטה'!$AJ$5:$AJ$204,MATCH($A107&amp;"|תחילת שנה",'זה אני - קליטה'!$AF$5:$AF$204,0)),""))</f>
        <v/>
      </c>
      <c r="E107" s="37">
        <f>IF($A107="","",IFERROR(INDEX('זה אני - קליטה'!$AK$5:$AK$204,MATCH($A107&amp;"|תחילת שנה",'זה אני - קליטה'!$AF$5:$AF$204,0)),""))</f>
        <v/>
      </c>
      <c r="F107" s="37">
        <f>IF($A107="","",IFERROR(INDEX('זה אני - קליטה'!$AL$5:$AL$204,MATCH($A107&amp;"|תחילת שנה",'זה אני - קליטה'!$AF$5:$AF$204,0)),""))</f>
        <v/>
      </c>
      <c r="G107" s="36">
        <f>IF($A107="","",IFERROR(INDEX('זה אני - קליטה'!$AG$5:$AG$204,MATCH($A107&amp;"|תחילת שנה",'זה אני - קליטה'!$AF$5:$AF$204,0)),""))</f>
        <v/>
      </c>
      <c r="H107" s="37">
        <f>IF($A107="","",IFERROR(INDEX('זה אני - קליטה'!$AN$5:$AN$204,MATCH($A107&amp;"|תחילת שנה",'זה אני - קליטה'!$AF$5:$AF$204,0)),""))</f>
        <v/>
      </c>
      <c r="I107" s="36">
        <f>IF($A107="","",IFERROR(INDEX('זה אני - קליטה'!$AW$5:$AW$204,MATCH($A107&amp;"|תחילת שנה",'זה אני - קליטה'!$AF$5:$AF$204,0)),""))</f>
        <v/>
      </c>
      <c r="J107" s="37">
        <f>IF($A107="","",IFERROR(INDEX('זה אני - קליטה'!$AH$5:$AH$204,MATCH($A107&amp;"|אמצע שנה",'זה אני - קליטה'!$AF$5:$AF$204,0)),""))</f>
        <v/>
      </c>
      <c r="K107" s="37">
        <f>IF($A107="","",IFERROR(INDEX('זה אני - קליטה'!$AI$5:$AI$204,MATCH($A107&amp;"|אמצע שנה",'זה אני - קליטה'!$AF$5:$AF$204,0)),""))</f>
        <v/>
      </c>
      <c r="L107" s="37">
        <f>IF($A107="","",IFERROR(INDEX('זה אני - קליטה'!$AJ$5:$AJ$204,MATCH($A107&amp;"|אמצע שנה",'זה אני - קליטה'!$AF$5:$AF$204,0)),""))</f>
        <v/>
      </c>
      <c r="M107" s="37">
        <f>IF($A107="","",IFERROR(INDEX('זה אני - קליטה'!$AK$5:$AK$204,MATCH($A107&amp;"|אמצע שנה",'זה אני - קליטה'!$AF$5:$AF$204,0)),""))</f>
        <v/>
      </c>
      <c r="N107" s="37">
        <f>IF($A107="","",IFERROR(INDEX('זה אני - קליטה'!$AL$5:$AL$204,MATCH($A107&amp;"|אמצע שנה",'זה אני - קליטה'!$AF$5:$AF$204,0)),""))</f>
        <v/>
      </c>
      <c r="O107" s="36">
        <f>IF($A107="","",IFERROR(INDEX('זה אני - קליטה'!$AG$5:$AG$204,MATCH($A107&amp;"|אמצע שנה",'זה אני - קליטה'!$AF$5:$AF$204,0)),""))</f>
        <v/>
      </c>
      <c r="P107" s="37">
        <f>IF($A107="","",IFERROR(INDEX('זה אני - קליטה'!$AN$5:$AN$204,MATCH($A107&amp;"|אמצע שנה",'זה אני - קליטה'!$AF$5:$AF$204,0)),""))</f>
        <v/>
      </c>
      <c r="Q107" s="36">
        <f>IF($A107="","",IFERROR(INDEX('זה אני - קליטה'!$AW$5:$AW$204,MATCH($A107&amp;"|אמצע שנה",'זה אני - קליטה'!$AF$5:$AF$204,0)),""))</f>
        <v/>
      </c>
      <c r="R107" s="37">
        <f>IF($A107="","",IFERROR(INDEX('זה אני - קליטה'!$AH$5:$AH$204,MATCH($A107&amp;"|סוף שנה",'זה אני - קליטה'!$AF$5:$AF$204,0)),""))</f>
        <v/>
      </c>
      <c r="S107" s="37">
        <f>IF($A107="","",IFERROR(INDEX('זה אני - קליטה'!$AI$5:$AI$204,MATCH($A107&amp;"|סוף שנה",'זה אני - קליטה'!$AF$5:$AF$204,0)),""))</f>
        <v/>
      </c>
      <c r="T107" s="37">
        <f>IF($A107="","",IFERROR(INDEX('זה אני - קליטה'!$AJ$5:$AJ$204,MATCH($A107&amp;"|סוף שנה",'זה אני - קליטה'!$AF$5:$AF$204,0)),""))</f>
        <v/>
      </c>
      <c r="U107" s="37">
        <f>IF($A107="","",IFERROR(INDEX('זה אני - קליטה'!$AK$5:$AK$204,MATCH($A107&amp;"|סוף שנה",'זה אני - קליטה'!$AF$5:$AF$204,0)),""))</f>
        <v/>
      </c>
      <c r="V107" s="37">
        <f>IF($A107="","",IFERROR(INDEX('זה אני - קליטה'!$AL$5:$AL$204,MATCH($A107&amp;"|סוף שנה",'זה אני - קליטה'!$AF$5:$AF$204,0)),""))</f>
        <v/>
      </c>
      <c r="W107" s="36">
        <f>IF($A107="","",IFERROR(INDEX('זה אני - קליטה'!$AG$5:$AG$204,MATCH($A107&amp;"|סוף שנה",'זה אני - קליטה'!$AF$5:$AF$204,0)),""))</f>
        <v/>
      </c>
      <c r="X107" s="37">
        <f>IF($A107="","",IFERROR(INDEX('זה אני - קליטה'!$AN$5:$AN$204,MATCH($A107&amp;"|סוף שנה",'זה אני - קליטה'!$AF$5:$AF$204,0)),""))</f>
        <v/>
      </c>
      <c r="Y107" s="36">
        <f>IF($A107="","",IFERROR(INDEX('זה אני - קליטה'!$AW$5:$AW$204,MATCH($A107&amp;"|סוף שנה",'זה אני - קליטה'!$AF$5:$AF$204,0)),""))</f>
        <v/>
      </c>
      <c r="Z107" s="43">
        <f>IF(AND(ISNUMBER(F107),ISNUMBER(V107)),V107-F107,"")</f>
        <v/>
      </c>
      <c r="AA107" s="36">
        <f>IF(Z107="","",IF(Z107&gt;=0.25,"עלייה",IF(Z107&lt;=-0.25,"ירידה","יציב")))</f>
        <v/>
      </c>
    </row>
    <row r="108">
      <c r="A108" s="38" t="n"/>
      <c r="B108" s="37">
        <f>IF($A108="","",IFERROR(INDEX('זה אני - קליטה'!$AH$5:$AH$204,MATCH($A108&amp;"|תחילת שנה",'זה אני - קליטה'!$AF$5:$AF$204,0)),""))</f>
        <v/>
      </c>
      <c r="C108" s="37">
        <f>IF($A108="","",IFERROR(INDEX('זה אני - קליטה'!$AI$5:$AI$204,MATCH($A108&amp;"|תחילת שנה",'זה אני - קליטה'!$AF$5:$AF$204,0)),""))</f>
        <v/>
      </c>
      <c r="D108" s="37">
        <f>IF($A108="","",IFERROR(INDEX('זה אני - קליטה'!$AJ$5:$AJ$204,MATCH($A108&amp;"|תחילת שנה",'זה אני - קליטה'!$AF$5:$AF$204,0)),""))</f>
        <v/>
      </c>
      <c r="E108" s="37">
        <f>IF($A108="","",IFERROR(INDEX('זה אני - קליטה'!$AK$5:$AK$204,MATCH($A108&amp;"|תחילת שנה",'זה אני - קליטה'!$AF$5:$AF$204,0)),""))</f>
        <v/>
      </c>
      <c r="F108" s="37">
        <f>IF($A108="","",IFERROR(INDEX('זה אני - קליטה'!$AL$5:$AL$204,MATCH($A108&amp;"|תחילת שנה",'זה אני - קליטה'!$AF$5:$AF$204,0)),""))</f>
        <v/>
      </c>
      <c r="G108" s="36">
        <f>IF($A108="","",IFERROR(INDEX('זה אני - קליטה'!$AG$5:$AG$204,MATCH($A108&amp;"|תחילת שנה",'זה אני - קליטה'!$AF$5:$AF$204,0)),""))</f>
        <v/>
      </c>
      <c r="H108" s="37">
        <f>IF($A108="","",IFERROR(INDEX('זה אני - קליטה'!$AN$5:$AN$204,MATCH($A108&amp;"|תחילת שנה",'זה אני - קליטה'!$AF$5:$AF$204,0)),""))</f>
        <v/>
      </c>
      <c r="I108" s="36">
        <f>IF($A108="","",IFERROR(INDEX('זה אני - קליטה'!$AW$5:$AW$204,MATCH($A108&amp;"|תחילת שנה",'זה אני - קליטה'!$AF$5:$AF$204,0)),""))</f>
        <v/>
      </c>
      <c r="J108" s="37">
        <f>IF($A108="","",IFERROR(INDEX('זה אני - קליטה'!$AH$5:$AH$204,MATCH($A108&amp;"|אמצע שנה",'זה אני - קליטה'!$AF$5:$AF$204,0)),""))</f>
        <v/>
      </c>
      <c r="K108" s="37">
        <f>IF($A108="","",IFERROR(INDEX('זה אני - קליטה'!$AI$5:$AI$204,MATCH($A108&amp;"|אמצע שנה",'זה אני - קליטה'!$AF$5:$AF$204,0)),""))</f>
        <v/>
      </c>
      <c r="L108" s="37">
        <f>IF($A108="","",IFERROR(INDEX('זה אני - קליטה'!$AJ$5:$AJ$204,MATCH($A108&amp;"|אמצע שנה",'זה אני - קליטה'!$AF$5:$AF$204,0)),""))</f>
        <v/>
      </c>
      <c r="M108" s="37">
        <f>IF($A108="","",IFERROR(INDEX('זה אני - קליטה'!$AK$5:$AK$204,MATCH($A108&amp;"|אמצע שנה",'זה אני - קליטה'!$AF$5:$AF$204,0)),""))</f>
        <v/>
      </c>
      <c r="N108" s="37">
        <f>IF($A108="","",IFERROR(INDEX('זה אני - קליטה'!$AL$5:$AL$204,MATCH($A108&amp;"|אמצע שנה",'זה אני - קליטה'!$AF$5:$AF$204,0)),""))</f>
        <v/>
      </c>
      <c r="O108" s="36">
        <f>IF($A108="","",IFERROR(INDEX('זה אני - קליטה'!$AG$5:$AG$204,MATCH($A108&amp;"|אמצע שנה",'זה אני - קליטה'!$AF$5:$AF$204,0)),""))</f>
        <v/>
      </c>
      <c r="P108" s="37">
        <f>IF($A108="","",IFERROR(INDEX('זה אני - קליטה'!$AN$5:$AN$204,MATCH($A108&amp;"|אמצע שנה",'זה אני - קליטה'!$AF$5:$AF$204,0)),""))</f>
        <v/>
      </c>
      <c r="Q108" s="36">
        <f>IF($A108="","",IFERROR(INDEX('זה אני - קליטה'!$AW$5:$AW$204,MATCH($A108&amp;"|אמצע שנה",'זה אני - קליטה'!$AF$5:$AF$204,0)),""))</f>
        <v/>
      </c>
      <c r="R108" s="37">
        <f>IF($A108="","",IFERROR(INDEX('זה אני - קליטה'!$AH$5:$AH$204,MATCH($A108&amp;"|סוף שנה",'זה אני - קליטה'!$AF$5:$AF$204,0)),""))</f>
        <v/>
      </c>
      <c r="S108" s="37">
        <f>IF($A108="","",IFERROR(INDEX('זה אני - קליטה'!$AI$5:$AI$204,MATCH($A108&amp;"|סוף שנה",'זה אני - קליטה'!$AF$5:$AF$204,0)),""))</f>
        <v/>
      </c>
      <c r="T108" s="37">
        <f>IF($A108="","",IFERROR(INDEX('זה אני - קליטה'!$AJ$5:$AJ$204,MATCH($A108&amp;"|סוף שנה",'זה אני - קליטה'!$AF$5:$AF$204,0)),""))</f>
        <v/>
      </c>
      <c r="U108" s="37">
        <f>IF($A108="","",IFERROR(INDEX('זה אני - קליטה'!$AK$5:$AK$204,MATCH($A108&amp;"|סוף שנה",'זה אני - קליטה'!$AF$5:$AF$204,0)),""))</f>
        <v/>
      </c>
      <c r="V108" s="37">
        <f>IF($A108="","",IFERROR(INDEX('זה אני - קליטה'!$AL$5:$AL$204,MATCH($A108&amp;"|סוף שנה",'זה אני - קליטה'!$AF$5:$AF$204,0)),""))</f>
        <v/>
      </c>
      <c r="W108" s="36">
        <f>IF($A108="","",IFERROR(INDEX('זה אני - קליטה'!$AG$5:$AG$204,MATCH($A108&amp;"|סוף שנה",'זה אני - קליטה'!$AF$5:$AF$204,0)),""))</f>
        <v/>
      </c>
      <c r="X108" s="37">
        <f>IF($A108="","",IFERROR(INDEX('זה אני - קליטה'!$AN$5:$AN$204,MATCH($A108&amp;"|סוף שנה",'זה אני - קליטה'!$AF$5:$AF$204,0)),""))</f>
        <v/>
      </c>
      <c r="Y108" s="36">
        <f>IF($A108="","",IFERROR(INDEX('זה אני - קליטה'!$AW$5:$AW$204,MATCH($A108&amp;"|סוף שנה",'זה אני - קליטה'!$AF$5:$AF$204,0)),""))</f>
        <v/>
      </c>
      <c r="Z108" s="43">
        <f>IF(AND(ISNUMBER(F108),ISNUMBER(V108)),V108-F108,"")</f>
        <v/>
      </c>
      <c r="AA108" s="36">
        <f>IF(Z108="","",IF(Z108&gt;=0.25,"עלייה",IF(Z108&lt;=-0.25,"ירידה","יציב")))</f>
        <v/>
      </c>
    </row>
    <row r="109">
      <c r="A109" s="38" t="n"/>
      <c r="B109" s="37">
        <f>IF($A109="","",IFERROR(INDEX('זה אני - קליטה'!$AH$5:$AH$204,MATCH($A109&amp;"|תחילת שנה",'זה אני - קליטה'!$AF$5:$AF$204,0)),""))</f>
        <v/>
      </c>
      <c r="C109" s="37">
        <f>IF($A109="","",IFERROR(INDEX('זה אני - קליטה'!$AI$5:$AI$204,MATCH($A109&amp;"|תחילת שנה",'זה אני - קליטה'!$AF$5:$AF$204,0)),""))</f>
        <v/>
      </c>
      <c r="D109" s="37">
        <f>IF($A109="","",IFERROR(INDEX('זה אני - קליטה'!$AJ$5:$AJ$204,MATCH($A109&amp;"|תחילת שנה",'זה אני - קליטה'!$AF$5:$AF$204,0)),""))</f>
        <v/>
      </c>
      <c r="E109" s="37">
        <f>IF($A109="","",IFERROR(INDEX('זה אני - קליטה'!$AK$5:$AK$204,MATCH($A109&amp;"|תחילת שנה",'זה אני - קליטה'!$AF$5:$AF$204,0)),""))</f>
        <v/>
      </c>
      <c r="F109" s="37">
        <f>IF($A109="","",IFERROR(INDEX('זה אני - קליטה'!$AL$5:$AL$204,MATCH($A109&amp;"|תחילת שנה",'זה אני - קליטה'!$AF$5:$AF$204,0)),""))</f>
        <v/>
      </c>
      <c r="G109" s="36">
        <f>IF($A109="","",IFERROR(INDEX('זה אני - קליטה'!$AG$5:$AG$204,MATCH($A109&amp;"|תחילת שנה",'זה אני - קליטה'!$AF$5:$AF$204,0)),""))</f>
        <v/>
      </c>
      <c r="H109" s="37">
        <f>IF($A109="","",IFERROR(INDEX('זה אני - קליטה'!$AN$5:$AN$204,MATCH($A109&amp;"|תחילת שנה",'זה אני - קליטה'!$AF$5:$AF$204,0)),""))</f>
        <v/>
      </c>
      <c r="I109" s="36">
        <f>IF($A109="","",IFERROR(INDEX('זה אני - קליטה'!$AW$5:$AW$204,MATCH($A109&amp;"|תחילת שנה",'זה אני - קליטה'!$AF$5:$AF$204,0)),""))</f>
        <v/>
      </c>
      <c r="J109" s="37">
        <f>IF($A109="","",IFERROR(INDEX('זה אני - קליטה'!$AH$5:$AH$204,MATCH($A109&amp;"|אמצע שנה",'זה אני - קליטה'!$AF$5:$AF$204,0)),""))</f>
        <v/>
      </c>
      <c r="K109" s="37">
        <f>IF($A109="","",IFERROR(INDEX('זה אני - קליטה'!$AI$5:$AI$204,MATCH($A109&amp;"|אמצע שנה",'זה אני - קליטה'!$AF$5:$AF$204,0)),""))</f>
        <v/>
      </c>
      <c r="L109" s="37">
        <f>IF($A109="","",IFERROR(INDEX('זה אני - קליטה'!$AJ$5:$AJ$204,MATCH($A109&amp;"|אמצע שנה",'זה אני - קליטה'!$AF$5:$AF$204,0)),""))</f>
        <v/>
      </c>
      <c r="M109" s="37">
        <f>IF($A109="","",IFERROR(INDEX('זה אני - קליטה'!$AK$5:$AK$204,MATCH($A109&amp;"|אמצע שנה",'זה אני - קליטה'!$AF$5:$AF$204,0)),""))</f>
        <v/>
      </c>
      <c r="N109" s="37">
        <f>IF($A109="","",IFERROR(INDEX('זה אני - קליטה'!$AL$5:$AL$204,MATCH($A109&amp;"|אמצע שנה",'זה אני - קליטה'!$AF$5:$AF$204,0)),""))</f>
        <v/>
      </c>
      <c r="O109" s="36">
        <f>IF($A109="","",IFERROR(INDEX('זה אני - קליטה'!$AG$5:$AG$204,MATCH($A109&amp;"|אמצע שנה",'זה אני - קליטה'!$AF$5:$AF$204,0)),""))</f>
        <v/>
      </c>
      <c r="P109" s="37">
        <f>IF($A109="","",IFERROR(INDEX('זה אני - קליטה'!$AN$5:$AN$204,MATCH($A109&amp;"|אמצע שנה",'זה אני - קליטה'!$AF$5:$AF$204,0)),""))</f>
        <v/>
      </c>
      <c r="Q109" s="36">
        <f>IF($A109="","",IFERROR(INDEX('זה אני - קליטה'!$AW$5:$AW$204,MATCH($A109&amp;"|אמצע שנה",'זה אני - קליטה'!$AF$5:$AF$204,0)),""))</f>
        <v/>
      </c>
      <c r="R109" s="37">
        <f>IF($A109="","",IFERROR(INDEX('זה אני - קליטה'!$AH$5:$AH$204,MATCH($A109&amp;"|סוף שנה",'זה אני - קליטה'!$AF$5:$AF$204,0)),""))</f>
        <v/>
      </c>
      <c r="S109" s="37">
        <f>IF($A109="","",IFERROR(INDEX('זה אני - קליטה'!$AI$5:$AI$204,MATCH($A109&amp;"|סוף שנה",'זה אני - קליטה'!$AF$5:$AF$204,0)),""))</f>
        <v/>
      </c>
      <c r="T109" s="37">
        <f>IF($A109="","",IFERROR(INDEX('זה אני - קליטה'!$AJ$5:$AJ$204,MATCH($A109&amp;"|סוף שנה",'זה אני - קליטה'!$AF$5:$AF$204,0)),""))</f>
        <v/>
      </c>
      <c r="U109" s="37">
        <f>IF($A109="","",IFERROR(INDEX('זה אני - קליטה'!$AK$5:$AK$204,MATCH($A109&amp;"|סוף שנה",'זה אני - קליטה'!$AF$5:$AF$204,0)),""))</f>
        <v/>
      </c>
      <c r="V109" s="37">
        <f>IF($A109="","",IFERROR(INDEX('זה אני - קליטה'!$AL$5:$AL$204,MATCH($A109&amp;"|סוף שנה",'זה אני - קליטה'!$AF$5:$AF$204,0)),""))</f>
        <v/>
      </c>
      <c r="W109" s="36">
        <f>IF($A109="","",IFERROR(INDEX('זה אני - קליטה'!$AG$5:$AG$204,MATCH($A109&amp;"|סוף שנה",'זה אני - קליטה'!$AF$5:$AF$204,0)),""))</f>
        <v/>
      </c>
      <c r="X109" s="37">
        <f>IF($A109="","",IFERROR(INDEX('זה אני - קליטה'!$AN$5:$AN$204,MATCH($A109&amp;"|סוף שנה",'זה אני - קליטה'!$AF$5:$AF$204,0)),""))</f>
        <v/>
      </c>
      <c r="Y109" s="36">
        <f>IF($A109="","",IFERROR(INDEX('זה אני - קליטה'!$AW$5:$AW$204,MATCH($A109&amp;"|סוף שנה",'זה אני - קליטה'!$AF$5:$AF$204,0)),""))</f>
        <v/>
      </c>
      <c r="Z109" s="43">
        <f>IF(AND(ISNUMBER(F109),ISNUMBER(V109)),V109-F109,"")</f>
        <v/>
      </c>
      <c r="AA109" s="36">
        <f>IF(Z109="","",IF(Z109&gt;=0.25,"עלייה",IF(Z109&lt;=-0.25,"ירידה","יציב")))</f>
        <v/>
      </c>
    </row>
    <row r="110">
      <c r="A110" s="38" t="n"/>
      <c r="B110" s="37">
        <f>IF($A110="","",IFERROR(INDEX('זה אני - קליטה'!$AH$5:$AH$204,MATCH($A110&amp;"|תחילת שנה",'זה אני - קליטה'!$AF$5:$AF$204,0)),""))</f>
        <v/>
      </c>
      <c r="C110" s="37">
        <f>IF($A110="","",IFERROR(INDEX('זה אני - קליטה'!$AI$5:$AI$204,MATCH($A110&amp;"|תחילת שנה",'זה אני - קליטה'!$AF$5:$AF$204,0)),""))</f>
        <v/>
      </c>
      <c r="D110" s="37">
        <f>IF($A110="","",IFERROR(INDEX('זה אני - קליטה'!$AJ$5:$AJ$204,MATCH($A110&amp;"|תחילת שנה",'זה אני - קליטה'!$AF$5:$AF$204,0)),""))</f>
        <v/>
      </c>
      <c r="E110" s="37">
        <f>IF($A110="","",IFERROR(INDEX('זה אני - קליטה'!$AK$5:$AK$204,MATCH($A110&amp;"|תחילת שנה",'זה אני - קליטה'!$AF$5:$AF$204,0)),""))</f>
        <v/>
      </c>
      <c r="F110" s="37">
        <f>IF($A110="","",IFERROR(INDEX('זה אני - קליטה'!$AL$5:$AL$204,MATCH($A110&amp;"|תחילת שנה",'זה אני - קליטה'!$AF$5:$AF$204,0)),""))</f>
        <v/>
      </c>
      <c r="G110" s="36">
        <f>IF($A110="","",IFERROR(INDEX('זה אני - קליטה'!$AG$5:$AG$204,MATCH($A110&amp;"|תחילת שנה",'זה אני - קליטה'!$AF$5:$AF$204,0)),""))</f>
        <v/>
      </c>
      <c r="H110" s="37">
        <f>IF($A110="","",IFERROR(INDEX('זה אני - קליטה'!$AN$5:$AN$204,MATCH($A110&amp;"|תחילת שנה",'זה אני - קליטה'!$AF$5:$AF$204,0)),""))</f>
        <v/>
      </c>
      <c r="I110" s="36">
        <f>IF($A110="","",IFERROR(INDEX('זה אני - קליטה'!$AW$5:$AW$204,MATCH($A110&amp;"|תחילת שנה",'זה אני - קליטה'!$AF$5:$AF$204,0)),""))</f>
        <v/>
      </c>
      <c r="J110" s="37">
        <f>IF($A110="","",IFERROR(INDEX('זה אני - קליטה'!$AH$5:$AH$204,MATCH($A110&amp;"|אמצע שנה",'זה אני - קליטה'!$AF$5:$AF$204,0)),""))</f>
        <v/>
      </c>
      <c r="K110" s="37">
        <f>IF($A110="","",IFERROR(INDEX('זה אני - קליטה'!$AI$5:$AI$204,MATCH($A110&amp;"|אמצע שנה",'זה אני - קליטה'!$AF$5:$AF$204,0)),""))</f>
        <v/>
      </c>
      <c r="L110" s="37">
        <f>IF($A110="","",IFERROR(INDEX('זה אני - קליטה'!$AJ$5:$AJ$204,MATCH($A110&amp;"|אמצע שנה",'זה אני - קליטה'!$AF$5:$AF$204,0)),""))</f>
        <v/>
      </c>
      <c r="M110" s="37">
        <f>IF($A110="","",IFERROR(INDEX('זה אני - קליטה'!$AK$5:$AK$204,MATCH($A110&amp;"|אמצע שנה",'זה אני - קליטה'!$AF$5:$AF$204,0)),""))</f>
        <v/>
      </c>
      <c r="N110" s="37">
        <f>IF($A110="","",IFERROR(INDEX('זה אני - קליטה'!$AL$5:$AL$204,MATCH($A110&amp;"|אמצע שנה",'זה אני - קליטה'!$AF$5:$AF$204,0)),""))</f>
        <v/>
      </c>
      <c r="O110" s="36">
        <f>IF($A110="","",IFERROR(INDEX('זה אני - קליטה'!$AG$5:$AG$204,MATCH($A110&amp;"|אמצע שנה",'זה אני - קליטה'!$AF$5:$AF$204,0)),""))</f>
        <v/>
      </c>
      <c r="P110" s="37">
        <f>IF($A110="","",IFERROR(INDEX('זה אני - קליטה'!$AN$5:$AN$204,MATCH($A110&amp;"|אמצע שנה",'זה אני - קליטה'!$AF$5:$AF$204,0)),""))</f>
        <v/>
      </c>
      <c r="Q110" s="36">
        <f>IF($A110="","",IFERROR(INDEX('זה אני - קליטה'!$AW$5:$AW$204,MATCH($A110&amp;"|אמצע שנה",'זה אני - קליטה'!$AF$5:$AF$204,0)),""))</f>
        <v/>
      </c>
      <c r="R110" s="37">
        <f>IF($A110="","",IFERROR(INDEX('זה אני - קליטה'!$AH$5:$AH$204,MATCH($A110&amp;"|סוף שנה",'זה אני - קליטה'!$AF$5:$AF$204,0)),""))</f>
        <v/>
      </c>
      <c r="S110" s="37">
        <f>IF($A110="","",IFERROR(INDEX('זה אני - קליטה'!$AI$5:$AI$204,MATCH($A110&amp;"|סוף שנה",'זה אני - קליטה'!$AF$5:$AF$204,0)),""))</f>
        <v/>
      </c>
      <c r="T110" s="37">
        <f>IF($A110="","",IFERROR(INDEX('זה אני - קליטה'!$AJ$5:$AJ$204,MATCH($A110&amp;"|סוף שנה",'זה אני - קליטה'!$AF$5:$AF$204,0)),""))</f>
        <v/>
      </c>
      <c r="U110" s="37">
        <f>IF($A110="","",IFERROR(INDEX('זה אני - קליטה'!$AK$5:$AK$204,MATCH($A110&amp;"|סוף שנה",'זה אני - קליטה'!$AF$5:$AF$204,0)),""))</f>
        <v/>
      </c>
      <c r="V110" s="37">
        <f>IF($A110="","",IFERROR(INDEX('זה אני - קליטה'!$AL$5:$AL$204,MATCH($A110&amp;"|סוף שנה",'זה אני - קליטה'!$AF$5:$AF$204,0)),""))</f>
        <v/>
      </c>
      <c r="W110" s="36">
        <f>IF($A110="","",IFERROR(INDEX('זה אני - קליטה'!$AG$5:$AG$204,MATCH($A110&amp;"|סוף שנה",'זה אני - קליטה'!$AF$5:$AF$204,0)),""))</f>
        <v/>
      </c>
      <c r="X110" s="37">
        <f>IF($A110="","",IFERROR(INDEX('זה אני - קליטה'!$AN$5:$AN$204,MATCH($A110&amp;"|סוף שנה",'זה אני - קליטה'!$AF$5:$AF$204,0)),""))</f>
        <v/>
      </c>
      <c r="Y110" s="36">
        <f>IF($A110="","",IFERROR(INDEX('זה אני - קליטה'!$AW$5:$AW$204,MATCH($A110&amp;"|סוף שנה",'זה אני - קליטה'!$AF$5:$AF$204,0)),""))</f>
        <v/>
      </c>
      <c r="Z110" s="43">
        <f>IF(AND(ISNUMBER(F110),ISNUMBER(V110)),V110-F110,"")</f>
        <v/>
      </c>
      <c r="AA110" s="36">
        <f>IF(Z110="","",IF(Z110&gt;=0.25,"עלייה",IF(Z110&lt;=-0.25,"ירידה","יציב")))</f>
        <v/>
      </c>
    </row>
    <row r="111">
      <c r="A111" s="38" t="n"/>
      <c r="B111" s="37">
        <f>IF($A111="","",IFERROR(INDEX('זה אני - קליטה'!$AH$5:$AH$204,MATCH($A111&amp;"|תחילת שנה",'זה אני - קליטה'!$AF$5:$AF$204,0)),""))</f>
        <v/>
      </c>
      <c r="C111" s="37">
        <f>IF($A111="","",IFERROR(INDEX('זה אני - קליטה'!$AI$5:$AI$204,MATCH($A111&amp;"|תחילת שנה",'זה אני - קליטה'!$AF$5:$AF$204,0)),""))</f>
        <v/>
      </c>
      <c r="D111" s="37">
        <f>IF($A111="","",IFERROR(INDEX('זה אני - קליטה'!$AJ$5:$AJ$204,MATCH($A111&amp;"|תחילת שנה",'זה אני - קליטה'!$AF$5:$AF$204,0)),""))</f>
        <v/>
      </c>
      <c r="E111" s="37">
        <f>IF($A111="","",IFERROR(INDEX('זה אני - קליטה'!$AK$5:$AK$204,MATCH($A111&amp;"|תחילת שנה",'זה אני - קליטה'!$AF$5:$AF$204,0)),""))</f>
        <v/>
      </c>
      <c r="F111" s="37">
        <f>IF($A111="","",IFERROR(INDEX('זה אני - קליטה'!$AL$5:$AL$204,MATCH($A111&amp;"|תחילת שנה",'זה אני - קליטה'!$AF$5:$AF$204,0)),""))</f>
        <v/>
      </c>
      <c r="G111" s="36">
        <f>IF($A111="","",IFERROR(INDEX('זה אני - קליטה'!$AG$5:$AG$204,MATCH($A111&amp;"|תחילת שנה",'זה אני - קליטה'!$AF$5:$AF$204,0)),""))</f>
        <v/>
      </c>
      <c r="H111" s="37">
        <f>IF($A111="","",IFERROR(INDEX('זה אני - קליטה'!$AN$5:$AN$204,MATCH($A111&amp;"|תחילת שנה",'זה אני - קליטה'!$AF$5:$AF$204,0)),""))</f>
        <v/>
      </c>
      <c r="I111" s="36">
        <f>IF($A111="","",IFERROR(INDEX('זה אני - קליטה'!$AW$5:$AW$204,MATCH($A111&amp;"|תחילת שנה",'זה אני - קליטה'!$AF$5:$AF$204,0)),""))</f>
        <v/>
      </c>
      <c r="J111" s="37">
        <f>IF($A111="","",IFERROR(INDEX('זה אני - קליטה'!$AH$5:$AH$204,MATCH($A111&amp;"|אמצע שנה",'זה אני - קליטה'!$AF$5:$AF$204,0)),""))</f>
        <v/>
      </c>
      <c r="K111" s="37">
        <f>IF($A111="","",IFERROR(INDEX('זה אני - קליטה'!$AI$5:$AI$204,MATCH($A111&amp;"|אמצע שנה",'זה אני - קליטה'!$AF$5:$AF$204,0)),""))</f>
        <v/>
      </c>
      <c r="L111" s="37">
        <f>IF($A111="","",IFERROR(INDEX('זה אני - קליטה'!$AJ$5:$AJ$204,MATCH($A111&amp;"|אמצע שנה",'זה אני - קליטה'!$AF$5:$AF$204,0)),""))</f>
        <v/>
      </c>
      <c r="M111" s="37">
        <f>IF($A111="","",IFERROR(INDEX('זה אני - קליטה'!$AK$5:$AK$204,MATCH($A111&amp;"|אמצע שנה",'זה אני - קליטה'!$AF$5:$AF$204,0)),""))</f>
        <v/>
      </c>
      <c r="N111" s="37">
        <f>IF($A111="","",IFERROR(INDEX('זה אני - קליטה'!$AL$5:$AL$204,MATCH($A111&amp;"|אמצע שנה",'זה אני - קליטה'!$AF$5:$AF$204,0)),""))</f>
        <v/>
      </c>
      <c r="O111" s="36">
        <f>IF($A111="","",IFERROR(INDEX('זה אני - קליטה'!$AG$5:$AG$204,MATCH($A111&amp;"|אמצע שנה",'זה אני - קליטה'!$AF$5:$AF$204,0)),""))</f>
        <v/>
      </c>
      <c r="P111" s="37">
        <f>IF($A111="","",IFERROR(INDEX('זה אני - קליטה'!$AN$5:$AN$204,MATCH($A111&amp;"|אמצע שנה",'זה אני - קליטה'!$AF$5:$AF$204,0)),""))</f>
        <v/>
      </c>
      <c r="Q111" s="36">
        <f>IF($A111="","",IFERROR(INDEX('זה אני - קליטה'!$AW$5:$AW$204,MATCH($A111&amp;"|אמצע שנה",'זה אני - קליטה'!$AF$5:$AF$204,0)),""))</f>
        <v/>
      </c>
      <c r="R111" s="37">
        <f>IF($A111="","",IFERROR(INDEX('זה אני - קליטה'!$AH$5:$AH$204,MATCH($A111&amp;"|סוף שנה",'זה אני - קליטה'!$AF$5:$AF$204,0)),""))</f>
        <v/>
      </c>
      <c r="S111" s="37">
        <f>IF($A111="","",IFERROR(INDEX('זה אני - קליטה'!$AI$5:$AI$204,MATCH($A111&amp;"|סוף שנה",'זה אני - קליטה'!$AF$5:$AF$204,0)),""))</f>
        <v/>
      </c>
      <c r="T111" s="37">
        <f>IF($A111="","",IFERROR(INDEX('זה אני - קליטה'!$AJ$5:$AJ$204,MATCH($A111&amp;"|סוף שנה",'זה אני - קליטה'!$AF$5:$AF$204,0)),""))</f>
        <v/>
      </c>
      <c r="U111" s="37">
        <f>IF($A111="","",IFERROR(INDEX('זה אני - קליטה'!$AK$5:$AK$204,MATCH($A111&amp;"|סוף שנה",'זה אני - קליטה'!$AF$5:$AF$204,0)),""))</f>
        <v/>
      </c>
      <c r="V111" s="37">
        <f>IF($A111="","",IFERROR(INDEX('זה אני - קליטה'!$AL$5:$AL$204,MATCH($A111&amp;"|סוף שנה",'זה אני - קליטה'!$AF$5:$AF$204,0)),""))</f>
        <v/>
      </c>
      <c r="W111" s="36">
        <f>IF($A111="","",IFERROR(INDEX('זה אני - קליטה'!$AG$5:$AG$204,MATCH($A111&amp;"|סוף שנה",'זה אני - קליטה'!$AF$5:$AF$204,0)),""))</f>
        <v/>
      </c>
      <c r="X111" s="37">
        <f>IF($A111="","",IFERROR(INDEX('זה אני - קליטה'!$AN$5:$AN$204,MATCH($A111&amp;"|סוף שנה",'זה אני - קליטה'!$AF$5:$AF$204,0)),""))</f>
        <v/>
      </c>
      <c r="Y111" s="36">
        <f>IF($A111="","",IFERROR(INDEX('זה אני - קליטה'!$AW$5:$AW$204,MATCH($A111&amp;"|סוף שנה",'זה אני - קליטה'!$AF$5:$AF$204,0)),""))</f>
        <v/>
      </c>
      <c r="Z111" s="43">
        <f>IF(AND(ISNUMBER(F111),ISNUMBER(V111)),V111-F111,"")</f>
        <v/>
      </c>
      <c r="AA111" s="36">
        <f>IF(Z111="","",IF(Z111&gt;=0.25,"עלייה",IF(Z111&lt;=-0.25,"ירידה","יציב")))</f>
        <v/>
      </c>
    </row>
    <row r="112">
      <c r="A112" s="38" t="n"/>
      <c r="B112" s="37">
        <f>IF($A112="","",IFERROR(INDEX('זה אני - קליטה'!$AH$5:$AH$204,MATCH($A112&amp;"|תחילת שנה",'זה אני - קליטה'!$AF$5:$AF$204,0)),""))</f>
        <v/>
      </c>
      <c r="C112" s="37">
        <f>IF($A112="","",IFERROR(INDEX('זה אני - קליטה'!$AI$5:$AI$204,MATCH($A112&amp;"|תחילת שנה",'זה אני - קליטה'!$AF$5:$AF$204,0)),""))</f>
        <v/>
      </c>
      <c r="D112" s="37">
        <f>IF($A112="","",IFERROR(INDEX('זה אני - קליטה'!$AJ$5:$AJ$204,MATCH($A112&amp;"|תחילת שנה",'זה אני - קליטה'!$AF$5:$AF$204,0)),""))</f>
        <v/>
      </c>
      <c r="E112" s="37">
        <f>IF($A112="","",IFERROR(INDEX('זה אני - קליטה'!$AK$5:$AK$204,MATCH($A112&amp;"|תחילת שנה",'זה אני - קליטה'!$AF$5:$AF$204,0)),""))</f>
        <v/>
      </c>
      <c r="F112" s="37">
        <f>IF($A112="","",IFERROR(INDEX('זה אני - קליטה'!$AL$5:$AL$204,MATCH($A112&amp;"|תחילת שנה",'זה אני - קליטה'!$AF$5:$AF$204,0)),""))</f>
        <v/>
      </c>
      <c r="G112" s="36">
        <f>IF($A112="","",IFERROR(INDEX('זה אני - קליטה'!$AG$5:$AG$204,MATCH($A112&amp;"|תחילת שנה",'זה אני - קליטה'!$AF$5:$AF$204,0)),""))</f>
        <v/>
      </c>
      <c r="H112" s="37">
        <f>IF($A112="","",IFERROR(INDEX('זה אני - קליטה'!$AN$5:$AN$204,MATCH($A112&amp;"|תחילת שנה",'זה אני - קליטה'!$AF$5:$AF$204,0)),""))</f>
        <v/>
      </c>
      <c r="I112" s="36">
        <f>IF($A112="","",IFERROR(INDEX('זה אני - קליטה'!$AW$5:$AW$204,MATCH($A112&amp;"|תחילת שנה",'זה אני - קליטה'!$AF$5:$AF$204,0)),""))</f>
        <v/>
      </c>
      <c r="J112" s="37">
        <f>IF($A112="","",IFERROR(INDEX('זה אני - קליטה'!$AH$5:$AH$204,MATCH($A112&amp;"|אמצע שנה",'זה אני - קליטה'!$AF$5:$AF$204,0)),""))</f>
        <v/>
      </c>
      <c r="K112" s="37">
        <f>IF($A112="","",IFERROR(INDEX('זה אני - קליטה'!$AI$5:$AI$204,MATCH($A112&amp;"|אמצע שנה",'זה אני - קליטה'!$AF$5:$AF$204,0)),""))</f>
        <v/>
      </c>
      <c r="L112" s="37">
        <f>IF($A112="","",IFERROR(INDEX('זה אני - קליטה'!$AJ$5:$AJ$204,MATCH($A112&amp;"|אמצע שנה",'זה אני - קליטה'!$AF$5:$AF$204,0)),""))</f>
        <v/>
      </c>
      <c r="M112" s="37">
        <f>IF($A112="","",IFERROR(INDEX('זה אני - קליטה'!$AK$5:$AK$204,MATCH($A112&amp;"|אמצע שנה",'זה אני - קליטה'!$AF$5:$AF$204,0)),""))</f>
        <v/>
      </c>
      <c r="N112" s="37">
        <f>IF($A112="","",IFERROR(INDEX('זה אני - קליטה'!$AL$5:$AL$204,MATCH($A112&amp;"|אמצע שנה",'זה אני - קליטה'!$AF$5:$AF$204,0)),""))</f>
        <v/>
      </c>
      <c r="O112" s="36">
        <f>IF($A112="","",IFERROR(INDEX('זה אני - קליטה'!$AG$5:$AG$204,MATCH($A112&amp;"|אמצע שנה",'זה אני - קליטה'!$AF$5:$AF$204,0)),""))</f>
        <v/>
      </c>
      <c r="P112" s="37">
        <f>IF($A112="","",IFERROR(INDEX('זה אני - קליטה'!$AN$5:$AN$204,MATCH($A112&amp;"|אמצע שנה",'זה אני - קליטה'!$AF$5:$AF$204,0)),""))</f>
        <v/>
      </c>
      <c r="Q112" s="36">
        <f>IF($A112="","",IFERROR(INDEX('זה אני - קליטה'!$AW$5:$AW$204,MATCH($A112&amp;"|אמצע שנה",'זה אני - קליטה'!$AF$5:$AF$204,0)),""))</f>
        <v/>
      </c>
      <c r="R112" s="37">
        <f>IF($A112="","",IFERROR(INDEX('זה אני - קליטה'!$AH$5:$AH$204,MATCH($A112&amp;"|סוף שנה",'זה אני - קליטה'!$AF$5:$AF$204,0)),""))</f>
        <v/>
      </c>
      <c r="S112" s="37">
        <f>IF($A112="","",IFERROR(INDEX('זה אני - קליטה'!$AI$5:$AI$204,MATCH($A112&amp;"|סוף שנה",'זה אני - קליטה'!$AF$5:$AF$204,0)),""))</f>
        <v/>
      </c>
      <c r="T112" s="37">
        <f>IF($A112="","",IFERROR(INDEX('זה אני - קליטה'!$AJ$5:$AJ$204,MATCH($A112&amp;"|סוף שנה",'זה אני - קליטה'!$AF$5:$AF$204,0)),""))</f>
        <v/>
      </c>
      <c r="U112" s="37">
        <f>IF($A112="","",IFERROR(INDEX('זה אני - קליטה'!$AK$5:$AK$204,MATCH($A112&amp;"|סוף שנה",'זה אני - קליטה'!$AF$5:$AF$204,0)),""))</f>
        <v/>
      </c>
      <c r="V112" s="37">
        <f>IF($A112="","",IFERROR(INDEX('זה אני - קליטה'!$AL$5:$AL$204,MATCH($A112&amp;"|סוף שנה",'זה אני - קליטה'!$AF$5:$AF$204,0)),""))</f>
        <v/>
      </c>
      <c r="W112" s="36">
        <f>IF($A112="","",IFERROR(INDEX('זה אני - קליטה'!$AG$5:$AG$204,MATCH($A112&amp;"|סוף שנה",'זה אני - קליטה'!$AF$5:$AF$204,0)),""))</f>
        <v/>
      </c>
      <c r="X112" s="37">
        <f>IF($A112="","",IFERROR(INDEX('זה אני - קליטה'!$AN$5:$AN$204,MATCH($A112&amp;"|סוף שנה",'זה אני - קליטה'!$AF$5:$AF$204,0)),""))</f>
        <v/>
      </c>
      <c r="Y112" s="36">
        <f>IF($A112="","",IFERROR(INDEX('זה אני - קליטה'!$AW$5:$AW$204,MATCH($A112&amp;"|סוף שנה",'זה אני - קליטה'!$AF$5:$AF$204,0)),""))</f>
        <v/>
      </c>
      <c r="Z112" s="43">
        <f>IF(AND(ISNUMBER(F112),ISNUMBER(V112)),V112-F112,"")</f>
        <v/>
      </c>
      <c r="AA112" s="36">
        <f>IF(Z112="","",IF(Z112&gt;=0.25,"עלייה",IF(Z112&lt;=-0.25,"ירידה","יציב")))</f>
        <v/>
      </c>
    </row>
    <row r="113">
      <c r="A113" s="38" t="n"/>
      <c r="B113" s="37">
        <f>IF($A113="","",IFERROR(INDEX('זה אני - קליטה'!$AH$5:$AH$204,MATCH($A113&amp;"|תחילת שנה",'זה אני - קליטה'!$AF$5:$AF$204,0)),""))</f>
        <v/>
      </c>
      <c r="C113" s="37">
        <f>IF($A113="","",IFERROR(INDEX('זה אני - קליטה'!$AI$5:$AI$204,MATCH($A113&amp;"|תחילת שנה",'זה אני - קליטה'!$AF$5:$AF$204,0)),""))</f>
        <v/>
      </c>
      <c r="D113" s="37">
        <f>IF($A113="","",IFERROR(INDEX('זה אני - קליטה'!$AJ$5:$AJ$204,MATCH($A113&amp;"|תחילת שנה",'זה אני - קליטה'!$AF$5:$AF$204,0)),""))</f>
        <v/>
      </c>
      <c r="E113" s="37">
        <f>IF($A113="","",IFERROR(INDEX('זה אני - קליטה'!$AK$5:$AK$204,MATCH($A113&amp;"|תחילת שנה",'זה אני - קליטה'!$AF$5:$AF$204,0)),""))</f>
        <v/>
      </c>
      <c r="F113" s="37">
        <f>IF($A113="","",IFERROR(INDEX('זה אני - קליטה'!$AL$5:$AL$204,MATCH($A113&amp;"|תחילת שנה",'זה אני - קליטה'!$AF$5:$AF$204,0)),""))</f>
        <v/>
      </c>
      <c r="G113" s="36">
        <f>IF($A113="","",IFERROR(INDEX('זה אני - קליטה'!$AG$5:$AG$204,MATCH($A113&amp;"|תחילת שנה",'זה אני - קליטה'!$AF$5:$AF$204,0)),""))</f>
        <v/>
      </c>
      <c r="H113" s="37">
        <f>IF($A113="","",IFERROR(INDEX('זה אני - קליטה'!$AN$5:$AN$204,MATCH($A113&amp;"|תחילת שנה",'זה אני - קליטה'!$AF$5:$AF$204,0)),""))</f>
        <v/>
      </c>
      <c r="I113" s="36">
        <f>IF($A113="","",IFERROR(INDEX('זה אני - קליטה'!$AW$5:$AW$204,MATCH($A113&amp;"|תחילת שנה",'זה אני - קליטה'!$AF$5:$AF$204,0)),""))</f>
        <v/>
      </c>
      <c r="J113" s="37">
        <f>IF($A113="","",IFERROR(INDEX('זה אני - קליטה'!$AH$5:$AH$204,MATCH($A113&amp;"|אמצע שנה",'זה אני - קליטה'!$AF$5:$AF$204,0)),""))</f>
        <v/>
      </c>
      <c r="K113" s="37">
        <f>IF($A113="","",IFERROR(INDEX('זה אני - קליטה'!$AI$5:$AI$204,MATCH($A113&amp;"|אמצע שנה",'זה אני - קליטה'!$AF$5:$AF$204,0)),""))</f>
        <v/>
      </c>
      <c r="L113" s="37">
        <f>IF($A113="","",IFERROR(INDEX('זה אני - קליטה'!$AJ$5:$AJ$204,MATCH($A113&amp;"|אמצע שנה",'זה אני - קליטה'!$AF$5:$AF$204,0)),""))</f>
        <v/>
      </c>
      <c r="M113" s="37">
        <f>IF($A113="","",IFERROR(INDEX('זה אני - קליטה'!$AK$5:$AK$204,MATCH($A113&amp;"|אמצע שנה",'זה אני - קליטה'!$AF$5:$AF$204,0)),""))</f>
        <v/>
      </c>
      <c r="N113" s="37">
        <f>IF($A113="","",IFERROR(INDEX('זה אני - קליטה'!$AL$5:$AL$204,MATCH($A113&amp;"|אמצע שנה",'זה אני - קליטה'!$AF$5:$AF$204,0)),""))</f>
        <v/>
      </c>
      <c r="O113" s="36">
        <f>IF($A113="","",IFERROR(INDEX('זה אני - קליטה'!$AG$5:$AG$204,MATCH($A113&amp;"|אמצע שנה",'זה אני - קליטה'!$AF$5:$AF$204,0)),""))</f>
        <v/>
      </c>
      <c r="P113" s="37">
        <f>IF($A113="","",IFERROR(INDEX('זה אני - קליטה'!$AN$5:$AN$204,MATCH($A113&amp;"|אמצע שנה",'זה אני - קליטה'!$AF$5:$AF$204,0)),""))</f>
        <v/>
      </c>
      <c r="Q113" s="36">
        <f>IF($A113="","",IFERROR(INDEX('זה אני - קליטה'!$AW$5:$AW$204,MATCH($A113&amp;"|אמצע שנה",'זה אני - קליטה'!$AF$5:$AF$204,0)),""))</f>
        <v/>
      </c>
      <c r="R113" s="37">
        <f>IF($A113="","",IFERROR(INDEX('זה אני - קליטה'!$AH$5:$AH$204,MATCH($A113&amp;"|סוף שנה",'זה אני - קליטה'!$AF$5:$AF$204,0)),""))</f>
        <v/>
      </c>
      <c r="S113" s="37">
        <f>IF($A113="","",IFERROR(INDEX('זה אני - קליטה'!$AI$5:$AI$204,MATCH($A113&amp;"|סוף שנה",'זה אני - קליטה'!$AF$5:$AF$204,0)),""))</f>
        <v/>
      </c>
      <c r="T113" s="37">
        <f>IF($A113="","",IFERROR(INDEX('זה אני - קליטה'!$AJ$5:$AJ$204,MATCH($A113&amp;"|סוף שנה",'זה אני - קליטה'!$AF$5:$AF$204,0)),""))</f>
        <v/>
      </c>
      <c r="U113" s="37">
        <f>IF($A113="","",IFERROR(INDEX('זה אני - קליטה'!$AK$5:$AK$204,MATCH($A113&amp;"|סוף שנה",'זה אני - קליטה'!$AF$5:$AF$204,0)),""))</f>
        <v/>
      </c>
      <c r="V113" s="37">
        <f>IF($A113="","",IFERROR(INDEX('זה אני - קליטה'!$AL$5:$AL$204,MATCH($A113&amp;"|סוף שנה",'זה אני - קליטה'!$AF$5:$AF$204,0)),""))</f>
        <v/>
      </c>
      <c r="W113" s="36">
        <f>IF($A113="","",IFERROR(INDEX('זה אני - קליטה'!$AG$5:$AG$204,MATCH($A113&amp;"|סוף שנה",'זה אני - קליטה'!$AF$5:$AF$204,0)),""))</f>
        <v/>
      </c>
      <c r="X113" s="37">
        <f>IF($A113="","",IFERROR(INDEX('זה אני - קליטה'!$AN$5:$AN$204,MATCH($A113&amp;"|סוף שנה",'זה אני - קליטה'!$AF$5:$AF$204,0)),""))</f>
        <v/>
      </c>
      <c r="Y113" s="36">
        <f>IF($A113="","",IFERROR(INDEX('זה אני - קליטה'!$AW$5:$AW$204,MATCH($A113&amp;"|סוף שנה",'זה אני - קליטה'!$AF$5:$AF$204,0)),""))</f>
        <v/>
      </c>
      <c r="Z113" s="43">
        <f>IF(AND(ISNUMBER(F113),ISNUMBER(V113)),V113-F113,"")</f>
        <v/>
      </c>
      <c r="AA113" s="36">
        <f>IF(Z113="","",IF(Z113&gt;=0.25,"עלייה",IF(Z113&lt;=-0.25,"ירידה","יציב")))</f>
        <v/>
      </c>
    </row>
    <row r="114">
      <c r="A114" s="38" t="n"/>
      <c r="B114" s="37">
        <f>IF($A114="","",IFERROR(INDEX('זה אני - קליטה'!$AH$5:$AH$204,MATCH($A114&amp;"|תחילת שנה",'זה אני - קליטה'!$AF$5:$AF$204,0)),""))</f>
        <v/>
      </c>
      <c r="C114" s="37">
        <f>IF($A114="","",IFERROR(INDEX('זה אני - קליטה'!$AI$5:$AI$204,MATCH($A114&amp;"|תחילת שנה",'זה אני - קליטה'!$AF$5:$AF$204,0)),""))</f>
        <v/>
      </c>
      <c r="D114" s="37">
        <f>IF($A114="","",IFERROR(INDEX('זה אני - קליטה'!$AJ$5:$AJ$204,MATCH($A114&amp;"|תחילת שנה",'זה אני - קליטה'!$AF$5:$AF$204,0)),""))</f>
        <v/>
      </c>
      <c r="E114" s="37">
        <f>IF($A114="","",IFERROR(INDEX('זה אני - קליטה'!$AK$5:$AK$204,MATCH($A114&amp;"|תחילת שנה",'זה אני - קליטה'!$AF$5:$AF$204,0)),""))</f>
        <v/>
      </c>
      <c r="F114" s="37">
        <f>IF($A114="","",IFERROR(INDEX('זה אני - קליטה'!$AL$5:$AL$204,MATCH($A114&amp;"|תחילת שנה",'זה אני - קליטה'!$AF$5:$AF$204,0)),""))</f>
        <v/>
      </c>
      <c r="G114" s="36">
        <f>IF($A114="","",IFERROR(INDEX('זה אני - קליטה'!$AG$5:$AG$204,MATCH($A114&amp;"|תחילת שנה",'זה אני - קליטה'!$AF$5:$AF$204,0)),""))</f>
        <v/>
      </c>
      <c r="H114" s="37">
        <f>IF($A114="","",IFERROR(INDEX('זה אני - קליטה'!$AN$5:$AN$204,MATCH($A114&amp;"|תחילת שנה",'זה אני - קליטה'!$AF$5:$AF$204,0)),""))</f>
        <v/>
      </c>
      <c r="I114" s="36">
        <f>IF($A114="","",IFERROR(INDEX('זה אני - קליטה'!$AW$5:$AW$204,MATCH($A114&amp;"|תחילת שנה",'זה אני - קליטה'!$AF$5:$AF$204,0)),""))</f>
        <v/>
      </c>
      <c r="J114" s="37">
        <f>IF($A114="","",IFERROR(INDEX('זה אני - קליטה'!$AH$5:$AH$204,MATCH($A114&amp;"|אמצע שנה",'זה אני - קליטה'!$AF$5:$AF$204,0)),""))</f>
        <v/>
      </c>
      <c r="K114" s="37">
        <f>IF($A114="","",IFERROR(INDEX('זה אני - קליטה'!$AI$5:$AI$204,MATCH($A114&amp;"|אמצע שנה",'זה אני - קליטה'!$AF$5:$AF$204,0)),""))</f>
        <v/>
      </c>
      <c r="L114" s="37">
        <f>IF($A114="","",IFERROR(INDEX('זה אני - קליטה'!$AJ$5:$AJ$204,MATCH($A114&amp;"|אמצע שנה",'זה אני - קליטה'!$AF$5:$AF$204,0)),""))</f>
        <v/>
      </c>
      <c r="M114" s="37">
        <f>IF($A114="","",IFERROR(INDEX('זה אני - קליטה'!$AK$5:$AK$204,MATCH($A114&amp;"|אמצע שנה",'זה אני - קליטה'!$AF$5:$AF$204,0)),""))</f>
        <v/>
      </c>
      <c r="N114" s="37">
        <f>IF($A114="","",IFERROR(INDEX('זה אני - קליטה'!$AL$5:$AL$204,MATCH($A114&amp;"|אמצע שנה",'זה אני - קליטה'!$AF$5:$AF$204,0)),""))</f>
        <v/>
      </c>
      <c r="O114" s="36">
        <f>IF($A114="","",IFERROR(INDEX('זה אני - קליטה'!$AG$5:$AG$204,MATCH($A114&amp;"|אמצע שנה",'זה אני - קליטה'!$AF$5:$AF$204,0)),""))</f>
        <v/>
      </c>
      <c r="P114" s="37">
        <f>IF($A114="","",IFERROR(INDEX('זה אני - קליטה'!$AN$5:$AN$204,MATCH($A114&amp;"|אמצע שנה",'זה אני - קליטה'!$AF$5:$AF$204,0)),""))</f>
        <v/>
      </c>
      <c r="Q114" s="36">
        <f>IF($A114="","",IFERROR(INDEX('זה אני - קליטה'!$AW$5:$AW$204,MATCH($A114&amp;"|אמצע שנה",'זה אני - קליטה'!$AF$5:$AF$204,0)),""))</f>
        <v/>
      </c>
      <c r="R114" s="37">
        <f>IF($A114="","",IFERROR(INDEX('זה אני - קליטה'!$AH$5:$AH$204,MATCH($A114&amp;"|סוף שנה",'זה אני - קליטה'!$AF$5:$AF$204,0)),""))</f>
        <v/>
      </c>
      <c r="S114" s="37">
        <f>IF($A114="","",IFERROR(INDEX('זה אני - קליטה'!$AI$5:$AI$204,MATCH($A114&amp;"|סוף שנה",'זה אני - קליטה'!$AF$5:$AF$204,0)),""))</f>
        <v/>
      </c>
      <c r="T114" s="37">
        <f>IF($A114="","",IFERROR(INDEX('זה אני - קליטה'!$AJ$5:$AJ$204,MATCH($A114&amp;"|סוף שנה",'זה אני - קליטה'!$AF$5:$AF$204,0)),""))</f>
        <v/>
      </c>
      <c r="U114" s="37">
        <f>IF($A114="","",IFERROR(INDEX('זה אני - קליטה'!$AK$5:$AK$204,MATCH($A114&amp;"|סוף שנה",'זה אני - קליטה'!$AF$5:$AF$204,0)),""))</f>
        <v/>
      </c>
      <c r="V114" s="37">
        <f>IF($A114="","",IFERROR(INDEX('זה אני - קליטה'!$AL$5:$AL$204,MATCH($A114&amp;"|סוף שנה",'זה אני - קליטה'!$AF$5:$AF$204,0)),""))</f>
        <v/>
      </c>
      <c r="W114" s="36">
        <f>IF($A114="","",IFERROR(INDEX('זה אני - קליטה'!$AG$5:$AG$204,MATCH($A114&amp;"|סוף שנה",'זה אני - קליטה'!$AF$5:$AF$204,0)),""))</f>
        <v/>
      </c>
      <c r="X114" s="37">
        <f>IF($A114="","",IFERROR(INDEX('זה אני - קליטה'!$AN$5:$AN$204,MATCH($A114&amp;"|סוף שנה",'זה אני - קליטה'!$AF$5:$AF$204,0)),""))</f>
        <v/>
      </c>
      <c r="Y114" s="36">
        <f>IF($A114="","",IFERROR(INDEX('זה אני - קליטה'!$AW$5:$AW$204,MATCH($A114&amp;"|סוף שנה",'זה אני - קליטה'!$AF$5:$AF$204,0)),""))</f>
        <v/>
      </c>
      <c r="Z114" s="43">
        <f>IF(AND(ISNUMBER(F114),ISNUMBER(V114)),V114-F114,"")</f>
        <v/>
      </c>
      <c r="AA114" s="36">
        <f>IF(Z114="","",IF(Z114&gt;=0.25,"עלייה",IF(Z114&lt;=-0.25,"ירידה","יציב")))</f>
        <v/>
      </c>
    </row>
    <row r="115">
      <c r="A115" s="38" t="n"/>
      <c r="B115" s="37">
        <f>IF($A115="","",IFERROR(INDEX('זה אני - קליטה'!$AH$5:$AH$204,MATCH($A115&amp;"|תחילת שנה",'זה אני - קליטה'!$AF$5:$AF$204,0)),""))</f>
        <v/>
      </c>
      <c r="C115" s="37">
        <f>IF($A115="","",IFERROR(INDEX('זה אני - קליטה'!$AI$5:$AI$204,MATCH($A115&amp;"|תחילת שנה",'זה אני - קליטה'!$AF$5:$AF$204,0)),""))</f>
        <v/>
      </c>
      <c r="D115" s="37">
        <f>IF($A115="","",IFERROR(INDEX('זה אני - קליטה'!$AJ$5:$AJ$204,MATCH($A115&amp;"|תחילת שנה",'זה אני - קליטה'!$AF$5:$AF$204,0)),""))</f>
        <v/>
      </c>
      <c r="E115" s="37">
        <f>IF($A115="","",IFERROR(INDEX('זה אני - קליטה'!$AK$5:$AK$204,MATCH($A115&amp;"|תחילת שנה",'זה אני - קליטה'!$AF$5:$AF$204,0)),""))</f>
        <v/>
      </c>
      <c r="F115" s="37">
        <f>IF($A115="","",IFERROR(INDEX('זה אני - קליטה'!$AL$5:$AL$204,MATCH($A115&amp;"|תחילת שנה",'זה אני - קליטה'!$AF$5:$AF$204,0)),""))</f>
        <v/>
      </c>
      <c r="G115" s="36">
        <f>IF($A115="","",IFERROR(INDEX('זה אני - קליטה'!$AG$5:$AG$204,MATCH($A115&amp;"|תחילת שנה",'זה אני - קליטה'!$AF$5:$AF$204,0)),""))</f>
        <v/>
      </c>
      <c r="H115" s="37">
        <f>IF($A115="","",IFERROR(INDEX('זה אני - קליטה'!$AN$5:$AN$204,MATCH($A115&amp;"|תחילת שנה",'זה אני - קליטה'!$AF$5:$AF$204,0)),""))</f>
        <v/>
      </c>
      <c r="I115" s="36">
        <f>IF($A115="","",IFERROR(INDEX('זה אני - קליטה'!$AW$5:$AW$204,MATCH($A115&amp;"|תחילת שנה",'זה אני - קליטה'!$AF$5:$AF$204,0)),""))</f>
        <v/>
      </c>
      <c r="J115" s="37">
        <f>IF($A115="","",IFERROR(INDEX('זה אני - קליטה'!$AH$5:$AH$204,MATCH($A115&amp;"|אמצע שנה",'זה אני - קליטה'!$AF$5:$AF$204,0)),""))</f>
        <v/>
      </c>
      <c r="K115" s="37">
        <f>IF($A115="","",IFERROR(INDEX('זה אני - קליטה'!$AI$5:$AI$204,MATCH($A115&amp;"|אמצע שנה",'זה אני - קליטה'!$AF$5:$AF$204,0)),""))</f>
        <v/>
      </c>
      <c r="L115" s="37">
        <f>IF($A115="","",IFERROR(INDEX('זה אני - קליטה'!$AJ$5:$AJ$204,MATCH($A115&amp;"|אמצע שנה",'זה אני - קליטה'!$AF$5:$AF$204,0)),""))</f>
        <v/>
      </c>
      <c r="M115" s="37">
        <f>IF($A115="","",IFERROR(INDEX('זה אני - קליטה'!$AK$5:$AK$204,MATCH($A115&amp;"|אמצע שנה",'זה אני - קליטה'!$AF$5:$AF$204,0)),""))</f>
        <v/>
      </c>
      <c r="N115" s="37">
        <f>IF($A115="","",IFERROR(INDEX('זה אני - קליטה'!$AL$5:$AL$204,MATCH($A115&amp;"|אמצע שנה",'זה אני - קליטה'!$AF$5:$AF$204,0)),""))</f>
        <v/>
      </c>
      <c r="O115" s="36">
        <f>IF($A115="","",IFERROR(INDEX('זה אני - קליטה'!$AG$5:$AG$204,MATCH($A115&amp;"|אמצע שנה",'זה אני - קליטה'!$AF$5:$AF$204,0)),""))</f>
        <v/>
      </c>
      <c r="P115" s="37">
        <f>IF($A115="","",IFERROR(INDEX('זה אני - קליטה'!$AN$5:$AN$204,MATCH($A115&amp;"|אמצע שנה",'זה אני - קליטה'!$AF$5:$AF$204,0)),""))</f>
        <v/>
      </c>
      <c r="Q115" s="36">
        <f>IF($A115="","",IFERROR(INDEX('זה אני - קליטה'!$AW$5:$AW$204,MATCH($A115&amp;"|אמצע שנה",'זה אני - קליטה'!$AF$5:$AF$204,0)),""))</f>
        <v/>
      </c>
      <c r="R115" s="37">
        <f>IF($A115="","",IFERROR(INDEX('זה אני - קליטה'!$AH$5:$AH$204,MATCH($A115&amp;"|סוף שנה",'זה אני - קליטה'!$AF$5:$AF$204,0)),""))</f>
        <v/>
      </c>
      <c r="S115" s="37">
        <f>IF($A115="","",IFERROR(INDEX('זה אני - קליטה'!$AI$5:$AI$204,MATCH($A115&amp;"|סוף שנה",'זה אני - קליטה'!$AF$5:$AF$204,0)),""))</f>
        <v/>
      </c>
      <c r="T115" s="37">
        <f>IF($A115="","",IFERROR(INDEX('זה אני - קליטה'!$AJ$5:$AJ$204,MATCH($A115&amp;"|סוף שנה",'זה אני - קליטה'!$AF$5:$AF$204,0)),""))</f>
        <v/>
      </c>
      <c r="U115" s="37">
        <f>IF($A115="","",IFERROR(INDEX('זה אני - קליטה'!$AK$5:$AK$204,MATCH($A115&amp;"|סוף שנה",'זה אני - קליטה'!$AF$5:$AF$204,0)),""))</f>
        <v/>
      </c>
      <c r="V115" s="37">
        <f>IF($A115="","",IFERROR(INDEX('זה אני - קליטה'!$AL$5:$AL$204,MATCH($A115&amp;"|סוף שנה",'זה אני - קליטה'!$AF$5:$AF$204,0)),""))</f>
        <v/>
      </c>
      <c r="W115" s="36">
        <f>IF($A115="","",IFERROR(INDEX('זה אני - קליטה'!$AG$5:$AG$204,MATCH($A115&amp;"|סוף שנה",'זה אני - קליטה'!$AF$5:$AF$204,0)),""))</f>
        <v/>
      </c>
      <c r="X115" s="37">
        <f>IF($A115="","",IFERROR(INDEX('זה אני - קליטה'!$AN$5:$AN$204,MATCH($A115&amp;"|סוף שנה",'זה אני - קליטה'!$AF$5:$AF$204,0)),""))</f>
        <v/>
      </c>
      <c r="Y115" s="36">
        <f>IF($A115="","",IFERROR(INDEX('זה אני - קליטה'!$AW$5:$AW$204,MATCH($A115&amp;"|סוף שנה",'זה אני - קליטה'!$AF$5:$AF$204,0)),""))</f>
        <v/>
      </c>
      <c r="Z115" s="43">
        <f>IF(AND(ISNUMBER(F115),ISNUMBER(V115)),V115-F115,"")</f>
        <v/>
      </c>
      <c r="AA115" s="36">
        <f>IF(Z115="","",IF(Z115&gt;=0.25,"עלייה",IF(Z115&lt;=-0.25,"ירידה","יציב")))</f>
        <v/>
      </c>
    </row>
    <row r="116">
      <c r="A116" s="38" t="n"/>
      <c r="B116" s="37">
        <f>IF($A116="","",IFERROR(INDEX('זה אני - קליטה'!$AH$5:$AH$204,MATCH($A116&amp;"|תחילת שנה",'זה אני - קליטה'!$AF$5:$AF$204,0)),""))</f>
        <v/>
      </c>
      <c r="C116" s="37">
        <f>IF($A116="","",IFERROR(INDEX('זה אני - קליטה'!$AI$5:$AI$204,MATCH($A116&amp;"|תחילת שנה",'זה אני - קליטה'!$AF$5:$AF$204,0)),""))</f>
        <v/>
      </c>
      <c r="D116" s="37">
        <f>IF($A116="","",IFERROR(INDEX('זה אני - קליטה'!$AJ$5:$AJ$204,MATCH($A116&amp;"|תחילת שנה",'זה אני - קליטה'!$AF$5:$AF$204,0)),""))</f>
        <v/>
      </c>
      <c r="E116" s="37">
        <f>IF($A116="","",IFERROR(INDEX('זה אני - קליטה'!$AK$5:$AK$204,MATCH($A116&amp;"|תחילת שנה",'זה אני - קליטה'!$AF$5:$AF$204,0)),""))</f>
        <v/>
      </c>
      <c r="F116" s="37">
        <f>IF($A116="","",IFERROR(INDEX('זה אני - קליטה'!$AL$5:$AL$204,MATCH($A116&amp;"|תחילת שנה",'זה אני - קליטה'!$AF$5:$AF$204,0)),""))</f>
        <v/>
      </c>
      <c r="G116" s="36">
        <f>IF($A116="","",IFERROR(INDEX('זה אני - קליטה'!$AG$5:$AG$204,MATCH($A116&amp;"|תחילת שנה",'זה אני - קליטה'!$AF$5:$AF$204,0)),""))</f>
        <v/>
      </c>
      <c r="H116" s="37">
        <f>IF($A116="","",IFERROR(INDEX('זה אני - קליטה'!$AN$5:$AN$204,MATCH($A116&amp;"|תחילת שנה",'זה אני - קליטה'!$AF$5:$AF$204,0)),""))</f>
        <v/>
      </c>
      <c r="I116" s="36">
        <f>IF($A116="","",IFERROR(INDEX('זה אני - קליטה'!$AW$5:$AW$204,MATCH($A116&amp;"|תחילת שנה",'זה אני - קליטה'!$AF$5:$AF$204,0)),""))</f>
        <v/>
      </c>
      <c r="J116" s="37">
        <f>IF($A116="","",IFERROR(INDEX('זה אני - קליטה'!$AH$5:$AH$204,MATCH($A116&amp;"|אמצע שנה",'זה אני - קליטה'!$AF$5:$AF$204,0)),""))</f>
        <v/>
      </c>
      <c r="K116" s="37">
        <f>IF($A116="","",IFERROR(INDEX('זה אני - קליטה'!$AI$5:$AI$204,MATCH($A116&amp;"|אמצע שנה",'זה אני - קליטה'!$AF$5:$AF$204,0)),""))</f>
        <v/>
      </c>
      <c r="L116" s="37">
        <f>IF($A116="","",IFERROR(INDEX('זה אני - קליטה'!$AJ$5:$AJ$204,MATCH($A116&amp;"|אמצע שנה",'זה אני - קליטה'!$AF$5:$AF$204,0)),""))</f>
        <v/>
      </c>
      <c r="M116" s="37">
        <f>IF($A116="","",IFERROR(INDEX('זה אני - קליטה'!$AK$5:$AK$204,MATCH($A116&amp;"|אמצע שנה",'זה אני - קליטה'!$AF$5:$AF$204,0)),""))</f>
        <v/>
      </c>
      <c r="N116" s="37">
        <f>IF($A116="","",IFERROR(INDEX('זה אני - קליטה'!$AL$5:$AL$204,MATCH($A116&amp;"|אמצע שנה",'זה אני - קליטה'!$AF$5:$AF$204,0)),""))</f>
        <v/>
      </c>
      <c r="O116" s="36">
        <f>IF($A116="","",IFERROR(INDEX('זה אני - קליטה'!$AG$5:$AG$204,MATCH($A116&amp;"|אמצע שנה",'זה אני - קליטה'!$AF$5:$AF$204,0)),""))</f>
        <v/>
      </c>
      <c r="P116" s="37">
        <f>IF($A116="","",IFERROR(INDEX('זה אני - קליטה'!$AN$5:$AN$204,MATCH($A116&amp;"|אמצע שנה",'זה אני - קליטה'!$AF$5:$AF$204,0)),""))</f>
        <v/>
      </c>
      <c r="Q116" s="36">
        <f>IF($A116="","",IFERROR(INDEX('זה אני - קליטה'!$AW$5:$AW$204,MATCH($A116&amp;"|אמצע שנה",'זה אני - קליטה'!$AF$5:$AF$204,0)),""))</f>
        <v/>
      </c>
      <c r="R116" s="37">
        <f>IF($A116="","",IFERROR(INDEX('זה אני - קליטה'!$AH$5:$AH$204,MATCH($A116&amp;"|סוף שנה",'זה אני - קליטה'!$AF$5:$AF$204,0)),""))</f>
        <v/>
      </c>
      <c r="S116" s="37">
        <f>IF($A116="","",IFERROR(INDEX('זה אני - קליטה'!$AI$5:$AI$204,MATCH($A116&amp;"|סוף שנה",'זה אני - קליטה'!$AF$5:$AF$204,0)),""))</f>
        <v/>
      </c>
      <c r="T116" s="37">
        <f>IF($A116="","",IFERROR(INDEX('זה אני - קליטה'!$AJ$5:$AJ$204,MATCH($A116&amp;"|סוף שנה",'זה אני - קליטה'!$AF$5:$AF$204,0)),""))</f>
        <v/>
      </c>
      <c r="U116" s="37">
        <f>IF($A116="","",IFERROR(INDEX('זה אני - קליטה'!$AK$5:$AK$204,MATCH($A116&amp;"|סוף שנה",'זה אני - קליטה'!$AF$5:$AF$204,0)),""))</f>
        <v/>
      </c>
      <c r="V116" s="37">
        <f>IF($A116="","",IFERROR(INDEX('זה אני - קליטה'!$AL$5:$AL$204,MATCH($A116&amp;"|סוף שנה",'זה אני - קליטה'!$AF$5:$AF$204,0)),""))</f>
        <v/>
      </c>
      <c r="W116" s="36">
        <f>IF($A116="","",IFERROR(INDEX('זה אני - קליטה'!$AG$5:$AG$204,MATCH($A116&amp;"|סוף שנה",'זה אני - קליטה'!$AF$5:$AF$204,0)),""))</f>
        <v/>
      </c>
      <c r="X116" s="37">
        <f>IF($A116="","",IFERROR(INDEX('זה אני - קליטה'!$AN$5:$AN$204,MATCH($A116&amp;"|סוף שנה",'זה אני - קליטה'!$AF$5:$AF$204,0)),""))</f>
        <v/>
      </c>
      <c r="Y116" s="36">
        <f>IF($A116="","",IFERROR(INDEX('זה אני - קליטה'!$AW$5:$AW$204,MATCH($A116&amp;"|סוף שנה",'זה אני - קליטה'!$AF$5:$AF$204,0)),""))</f>
        <v/>
      </c>
      <c r="Z116" s="43">
        <f>IF(AND(ISNUMBER(F116),ISNUMBER(V116)),V116-F116,"")</f>
        <v/>
      </c>
      <c r="AA116" s="36">
        <f>IF(Z116="","",IF(Z116&gt;=0.25,"עלייה",IF(Z116&lt;=-0.25,"ירידה","יציב")))</f>
        <v/>
      </c>
    </row>
    <row r="117">
      <c r="A117" s="38" t="n"/>
      <c r="B117" s="37">
        <f>IF($A117="","",IFERROR(INDEX('זה אני - קליטה'!$AH$5:$AH$204,MATCH($A117&amp;"|תחילת שנה",'זה אני - קליטה'!$AF$5:$AF$204,0)),""))</f>
        <v/>
      </c>
      <c r="C117" s="37">
        <f>IF($A117="","",IFERROR(INDEX('זה אני - קליטה'!$AI$5:$AI$204,MATCH($A117&amp;"|תחילת שנה",'זה אני - קליטה'!$AF$5:$AF$204,0)),""))</f>
        <v/>
      </c>
      <c r="D117" s="37">
        <f>IF($A117="","",IFERROR(INDEX('זה אני - קליטה'!$AJ$5:$AJ$204,MATCH($A117&amp;"|תחילת שנה",'זה אני - קליטה'!$AF$5:$AF$204,0)),""))</f>
        <v/>
      </c>
      <c r="E117" s="37">
        <f>IF($A117="","",IFERROR(INDEX('זה אני - קליטה'!$AK$5:$AK$204,MATCH($A117&amp;"|תחילת שנה",'זה אני - קליטה'!$AF$5:$AF$204,0)),""))</f>
        <v/>
      </c>
      <c r="F117" s="37">
        <f>IF($A117="","",IFERROR(INDEX('זה אני - קליטה'!$AL$5:$AL$204,MATCH($A117&amp;"|תחילת שנה",'זה אני - קליטה'!$AF$5:$AF$204,0)),""))</f>
        <v/>
      </c>
      <c r="G117" s="36">
        <f>IF($A117="","",IFERROR(INDEX('זה אני - קליטה'!$AG$5:$AG$204,MATCH($A117&amp;"|תחילת שנה",'זה אני - קליטה'!$AF$5:$AF$204,0)),""))</f>
        <v/>
      </c>
      <c r="H117" s="37">
        <f>IF($A117="","",IFERROR(INDEX('זה אני - קליטה'!$AN$5:$AN$204,MATCH($A117&amp;"|תחילת שנה",'זה אני - קליטה'!$AF$5:$AF$204,0)),""))</f>
        <v/>
      </c>
      <c r="I117" s="36">
        <f>IF($A117="","",IFERROR(INDEX('זה אני - קליטה'!$AW$5:$AW$204,MATCH($A117&amp;"|תחילת שנה",'זה אני - קליטה'!$AF$5:$AF$204,0)),""))</f>
        <v/>
      </c>
      <c r="J117" s="37">
        <f>IF($A117="","",IFERROR(INDEX('זה אני - קליטה'!$AH$5:$AH$204,MATCH($A117&amp;"|אמצע שנה",'זה אני - קליטה'!$AF$5:$AF$204,0)),""))</f>
        <v/>
      </c>
      <c r="K117" s="37">
        <f>IF($A117="","",IFERROR(INDEX('זה אני - קליטה'!$AI$5:$AI$204,MATCH($A117&amp;"|אמצע שנה",'זה אני - קליטה'!$AF$5:$AF$204,0)),""))</f>
        <v/>
      </c>
      <c r="L117" s="37">
        <f>IF($A117="","",IFERROR(INDEX('זה אני - קליטה'!$AJ$5:$AJ$204,MATCH($A117&amp;"|אמצע שנה",'זה אני - קליטה'!$AF$5:$AF$204,0)),""))</f>
        <v/>
      </c>
      <c r="M117" s="37">
        <f>IF($A117="","",IFERROR(INDEX('זה אני - קליטה'!$AK$5:$AK$204,MATCH($A117&amp;"|אמצע שנה",'זה אני - קליטה'!$AF$5:$AF$204,0)),""))</f>
        <v/>
      </c>
      <c r="N117" s="37">
        <f>IF($A117="","",IFERROR(INDEX('זה אני - קליטה'!$AL$5:$AL$204,MATCH($A117&amp;"|אמצע שנה",'זה אני - קליטה'!$AF$5:$AF$204,0)),""))</f>
        <v/>
      </c>
      <c r="O117" s="36">
        <f>IF($A117="","",IFERROR(INDEX('זה אני - קליטה'!$AG$5:$AG$204,MATCH($A117&amp;"|אמצע שנה",'זה אני - קליטה'!$AF$5:$AF$204,0)),""))</f>
        <v/>
      </c>
      <c r="P117" s="37">
        <f>IF($A117="","",IFERROR(INDEX('זה אני - קליטה'!$AN$5:$AN$204,MATCH($A117&amp;"|אמצע שנה",'זה אני - קליטה'!$AF$5:$AF$204,0)),""))</f>
        <v/>
      </c>
      <c r="Q117" s="36">
        <f>IF($A117="","",IFERROR(INDEX('זה אני - קליטה'!$AW$5:$AW$204,MATCH($A117&amp;"|אמצע שנה",'זה אני - קליטה'!$AF$5:$AF$204,0)),""))</f>
        <v/>
      </c>
      <c r="R117" s="37">
        <f>IF($A117="","",IFERROR(INDEX('זה אני - קליטה'!$AH$5:$AH$204,MATCH($A117&amp;"|סוף שנה",'זה אני - קליטה'!$AF$5:$AF$204,0)),""))</f>
        <v/>
      </c>
      <c r="S117" s="37">
        <f>IF($A117="","",IFERROR(INDEX('זה אני - קליטה'!$AI$5:$AI$204,MATCH($A117&amp;"|סוף שנה",'זה אני - קליטה'!$AF$5:$AF$204,0)),""))</f>
        <v/>
      </c>
      <c r="T117" s="37">
        <f>IF($A117="","",IFERROR(INDEX('זה אני - קליטה'!$AJ$5:$AJ$204,MATCH($A117&amp;"|סוף שנה",'זה אני - קליטה'!$AF$5:$AF$204,0)),""))</f>
        <v/>
      </c>
      <c r="U117" s="37">
        <f>IF($A117="","",IFERROR(INDEX('זה אני - קליטה'!$AK$5:$AK$204,MATCH($A117&amp;"|סוף שנה",'זה אני - קליטה'!$AF$5:$AF$204,0)),""))</f>
        <v/>
      </c>
      <c r="V117" s="37">
        <f>IF($A117="","",IFERROR(INDEX('זה אני - קליטה'!$AL$5:$AL$204,MATCH($A117&amp;"|סוף שנה",'זה אני - קליטה'!$AF$5:$AF$204,0)),""))</f>
        <v/>
      </c>
      <c r="W117" s="36">
        <f>IF($A117="","",IFERROR(INDEX('זה אני - קליטה'!$AG$5:$AG$204,MATCH($A117&amp;"|סוף שנה",'זה אני - קליטה'!$AF$5:$AF$204,0)),""))</f>
        <v/>
      </c>
      <c r="X117" s="37">
        <f>IF($A117="","",IFERROR(INDEX('זה אני - קליטה'!$AN$5:$AN$204,MATCH($A117&amp;"|סוף שנה",'זה אני - קליטה'!$AF$5:$AF$204,0)),""))</f>
        <v/>
      </c>
      <c r="Y117" s="36">
        <f>IF($A117="","",IFERROR(INDEX('זה אני - קליטה'!$AW$5:$AW$204,MATCH($A117&amp;"|סוף שנה",'זה אני - קליטה'!$AF$5:$AF$204,0)),""))</f>
        <v/>
      </c>
      <c r="Z117" s="43">
        <f>IF(AND(ISNUMBER(F117),ISNUMBER(V117)),V117-F117,"")</f>
        <v/>
      </c>
      <c r="AA117" s="36">
        <f>IF(Z117="","",IF(Z117&gt;=0.25,"עלייה",IF(Z117&lt;=-0.25,"ירידה","יציב")))</f>
        <v/>
      </c>
    </row>
    <row r="118">
      <c r="A118" s="38" t="n"/>
      <c r="B118" s="37">
        <f>IF($A118="","",IFERROR(INDEX('זה אני - קליטה'!$AH$5:$AH$204,MATCH($A118&amp;"|תחילת שנה",'זה אני - קליטה'!$AF$5:$AF$204,0)),""))</f>
        <v/>
      </c>
      <c r="C118" s="37">
        <f>IF($A118="","",IFERROR(INDEX('זה אני - קליטה'!$AI$5:$AI$204,MATCH($A118&amp;"|תחילת שנה",'זה אני - קליטה'!$AF$5:$AF$204,0)),""))</f>
        <v/>
      </c>
      <c r="D118" s="37">
        <f>IF($A118="","",IFERROR(INDEX('זה אני - קליטה'!$AJ$5:$AJ$204,MATCH($A118&amp;"|תחילת שנה",'זה אני - קליטה'!$AF$5:$AF$204,0)),""))</f>
        <v/>
      </c>
      <c r="E118" s="37">
        <f>IF($A118="","",IFERROR(INDEX('זה אני - קליטה'!$AK$5:$AK$204,MATCH($A118&amp;"|תחילת שנה",'זה אני - קליטה'!$AF$5:$AF$204,0)),""))</f>
        <v/>
      </c>
      <c r="F118" s="37">
        <f>IF($A118="","",IFERROR(INDEX('זה אני - קליטה'!$AL$5:$AL$204,MATCH($A118&amp;"|תחילת שנה",'זה אני - קליטה'!$AF$5:$AF$204,0)),""))</f>
        <v/>
      </c>
      <c r="G118" s="36">
        <f>IF($A118="","",IFERROR(INDEX('זה אני - קליטה'!$AG$5:$AG$204,MATCH($A118&amp;"|תחילת שנה",'זה אני - קליטה'!$AF$5:$AF$204,0)),""))</f>
        <v/>
      </c>
      <c r="H118" s="37">
        <f>IF($A118="","",IFERROR(INDEX('זה אני - קליטה'!$AN$5:$AN$204,MATCH($A118&amp;"|תחילת שנה",'זה אני - קליטה'!$AF$5:$AF$204,0)),""))</f>
        <v/>
      </c>
      <c r="I118" s="36">
        <f>IF($A118="","",IFERROR(INDEX('זה אני - קליטה'!$AW$5:$AW$204,MATCH($A118&amp;"|תחילת שנה",'זה אני - קליטה'!$AF$5:$AF$204,0)),""))</f>
        <v/>
      </c>
      <c r="J118" s="37">
        <f>IF($A118="","",IFERROR(INDEX('זה אני - קליטה'!$AH$5:$AH$204,MATCH($A118&amp;"|אמצע שנה",'זה אני - קליטה'!$AF$5:$AF$204,0)),""))</f>
        <v/>
      </c>
      <c r="K118" s="37">
        <f>IF($A118="","",IFERROR(INDEX('זה אני - קליטה'!$AI$5:$AI$204,MATCH($A118&amp;"|אמצע שנה",'זה אני - קליטה'!$AF$5:$AF$204,0)),""))</f>
        <v/>
      </c>
      <c r="L118" s="37">
        <f>IF($A118="","",IFERROR(INDEX('זה אני - קליטה'!$AJ$5:$AJ$204,MATCH($A118&amp;"|אמצע שנה",'זה אני - קליטה'!$AF$5:$AF$204,0)),""))</f>
        <v/>
      </c>
      <c r="M118" s="37">
        <f>IF($A118="","",IFERROR(INDEX('זה אני - קליטה'!$AK$5:$AK$204,MATCH($A118&amp;"|אמצע שנה",'זה אני - קליטה'!$AF$5:$AF$204,0)),""))</f>
        <v/>
      </c>
      <c r="N118" s="37">
        <f>IF($A118="","",IFERROR(INDEX('זה אני - קליטה'!$AL$5:$AL$204,MATCH($A118&amp;"|אמצע שנה",'זה אני - קליטה'!$AF$5:$AF$204,0)),""))</f>
        <v/>
      </c>
      <c r="O118" s="36">
        <f>IF($A118="","",IFERROR(INDEX('זה אני - קליטה'!$AG$5:$AG$204,MATCH($A118&amp;"|אמצע שנה",'זה אני - קליטה'!$AF$5:$AF$204,0)),""))</f>
        <v/>
      </c>
      <c r="P118" s="37">
        <f>IF($A118="","",IFERROR(INDEX('זה אני - קליטה'!$AN$5:$AN$204,MATCH($A118&amp;"|אמצע שנה",'זה אני - קליטה'!$AF$5:$AF$204,0)),""))</f>
        <v/>
      </c>
      <c r="Q118" s="36">
        <f>IF($A118="","",IFERROR(INDEX('זה אני - קליטה'!$AW$5:$AW$204,MATCH($A118&amp;"|אמצע שנה",'זה אני - קליטה'!$AF$5:$AF$204,0)),""))</f>
        <v/>
      </c>
      <c r="R118" s="37">
        <f>IF($A118="","",IFERROR(INDEX('זה אני - קליטה'!$AH$5:$AH$204,MATCH($A118&amp;"|סוף שנה",'זה אני - קליטה'!$AF$5:$AF$204,0)),""))</f>
        <v/>
      </c>
      <c r="S118" s="37">
        <f>IF($A118="","",IFERROR(INDEX('זה אני - קליטה'!$AI$5:$AI$204,MATCH($A118&amp;"|סוף שנה",'זה אני - קליטה'!$AF$5:$AF$204,0)),""))</f>
        <v/>
      </c>
      <c r="T118" s="37">
        <f>IF($A118="","",IFERROR(INDEX('זה אני - קליטה'!$AJ$5:$AJ$204,MATCH($A118&amp;"|סוף שנה",'זה אני - קליטה'!$AF$5:$AF$204,0)),""))</f>
        <v/>
      </c>
      <c r="U118" s="37">
        <f>IF($A118="","",IFERROR(INDEX('זה אני - קליטה'!$AK$5:$AK$204,MATCH($A118&amp;"|סוף שנה",'זה אני - קליטה'!$AF$5:$AF$204,0)),""))</f>
        <v/>
      </c>
      <c r="V118" s="37">
        <f>IF($A118="","",IFERROR(INDEX('זה אני - קליטה'!$AL$5:$AL$204,MATCH($A118&amp;"|סוף שנה",'זה אני - קליטה'!$AF$5:$AF$204,0)),""))</f>
        <v/>
      </c>
      <c r="W118" s="36">
        <f>IF($A118="","",IFERROR(INDEX('זה אני - קליטה'!$AG$5:$AG$204,MATCH($A118&amp;"|סוף שנה",'זה אני - קליטה'!$AF$5:$AF$204,0)),""))</f>
        <v/>
      </c>
      <c r="X118" s="37">
        <f>IF($A118="","",IFERROR(INDEX('זה אני - קליטה'!$AN$5:$AN$204,MATCH($A118&amp;"|סוף שנה",'זה אני - קליטה'!$AF$5:$AF$204,0)),""))</f>
        <v/>
      </c>
      <c r="Y118" s="36">
        <f>IF($A118="","",IFERROR(INDEX('זה אני - קליטה'!$AW$5:$AW$204,MATCH($A118&amp;"|סוף שנה",'זה אני - קליטה'!$AF$5:$AF$204,0)),""))</f>
        <v/>
      </c>
      <c r="Z118" s="43">
        <f>IF(AND(ISNUMBER(F118),ISNUMBER(V118)),V118-F118,"")</f>
        <v/>
      </c>
      <c r="AA118" s="36">
        <f>IF(Z118="","",IF(Z118&gt;=0.25,"עלייה",IF(Z118&lt;=-0.25,"ירידה","יציב")))</f>
        <v/>
      </c>
    </row>
    <row r="119">
      <c r="A119" s="38" t="n"/>
      <c r="B119" s="37">
        <f>IF($A119="","",IFERROR(INDEX('זה אני - קליטה'!$AH$5:$AH$204,MATCH($A119&amp;"|תחילת שנה",'זה אני - קליטה'!$AF$5:$AF$204,0)),""))</f>
        <v/>
      </c>
      <c r="C119" s="37">
        <f>IF($A119="","",IFERROR(INDEX('זה אני - קליטה'!$AI$5:$AI$204,MATCH($A119&amp;"|תחילת שנה",'זה אני - קליטה'!$AF$5:$AF$204,0)),""))</f>
        <v/>
      </c>
      <c r="D119" s="37">
        <f>IF($A119="","",IFERROR(INDEX('זה אני - קליטה'!$AJ$5:$AJ$204,MATCH($A119&amp;"|תחילת שנה",'זה אני - קליטה'!$AF$5:$AF$204,0)),""))</f>
        <v/>
      </c>
      <c r="E119" s="37">
        <f>IF($A119="","",IFERROR(INDEX('זה אני - קליטה'!$AK$5:$AK$204,MATCH($A119&amp;"|תחילת שנה",'זה אני - קליטה'!$AF$5:$AF$204,0)),""))</f>
        <v/>
      </c>
      <c r="F119" s="37">
        <f>IF($A119="","",IFERROR(INDEX('זה אני - קליטה'!$AL$5:$AL$204,MATCH($A119&amp;"|תחילת שנה",'זה אני - קליטה'!$AF$5:$AF$204,0)),""))</f>
        <v/>
      </c>
      <c r="G119" s="36">
        <f>IF($A119="","",IFERROR(INDEX('זה אני - קליטה'!$AG$5:$AG$204,MATCH($A119&amp;"|תחילת שנה",'זה אני - קליטה'!$AF$5:$AF$204,0)),""))</f>
        <v/>
      </c>
      <c r="H119" s="37">
        <f>IF($A119="","",IFERROR(INDEX('זה אני - קליטה'!$AN$5:$AN$204,MATCH($A119&amp;"|תחילת שנה",'זה אני - קליטה'!$AF$5:$AF$204,0)),""))</f>
        <v/>
      </c>
      <c r="I119" s="36">
        <f>IF($A119="","",IFERROR(INDEX('זה אני - קליטה'!$AW$5:$AW$204,MATCH($A119&amp;"|תחילת שנה",'זה אני - קליטה'!$AF$5:$AF$204,0)),""))</f>
        <v/>
      </c>
      <c r="J119" s="37">
        <f>IF($A119="","",IFERROR(INDEX('זה אני - קליטה'!$AH$5:$AH$204,MATCH($A119&amp;"|אמצע שנה",'זה אני - קליטה'!$AF$5:$AF$204,0)),""))</f>
        <v/>
      </c>
      <c r="K119" s="37">
        <f>IF($A119="","",IFERROR(INDEX('זה אני - קליטה'!$AI$5:$AI$204,MATCH($A119&amp;"|אמצע שנה",'זה אני - קליטה'!$AF$5:$AF$204,0)),""))</f>
        <v/>
      </c>
      <c r="L119" s="37">
        <f>IF($A119="","",IFERROR(INDEX('זה אני - קליטה'!$AJ$5:$AJ$204,MATCH($A119&amp;"|אמצע שנה",'זה אני - קליטה'!$AF$5:$AF$204,0)),""))</f>
        <v/>
      </c>
      <c r="M119" s="37">
        <f>IF($A119="","",IFERROR(INDEX('זה אני - קליטה'!$AK$5:$AK$204,MATCH($A119&amp;"|אמצע שנה",'זה אני - קליטה'!$AF$5:$AF$204,0)),""))</f>
        <v/>
      </c>
      <c r="N119" s="37">
        <f>IF($A119="","",IFERROR(INDEX('זה אני - קליטה'!$AL$5:$AL$204,MATCH($A119&amp;"|אמצע שנה",'זה אני - קליטה'!$AF$5:$AF$204,0)),""))</f>
        <v/>
      </c>
      <c r="O119" s="36">
        <f>IF($A119="","",IFERROR(INDEX('זה אני - קליטה'!$AG$5:$AG$204,MATCH($A119&amp;"|אמצע שנה",'זה אני - קליטה'!$AF$5:$AF$204,0)),""))</f>
        <v/>
      </c>
      <c r="P119" s="37">
        <f>IF($A119="","",IFERROR(INDEX('זה אני - קליטה'!$AN$5:$AN$204,MATCH($A119&amp;"|אמצע שנה",'זה אני - קליטה'!$AF$5:$AF$204,0)),""))</f>
        <v/>
      </c>
      <c r="Q119" s="36">
        <f>IF($A119="","",IFERROR(INDEX('זה אני - קליטה'!$AW$5:$AW$204,MATCH($A119&amp;"|אמצע שנה",'זה אני - קליטה'!$AF$5:$AF$204,0)),""))</f>
        <v/>
      </c>
      <c r="R119" s="37">
        <f>IF($A119="","",IFERROR(INDEX('זה אני - קליטה'!$AH$5:$AH$204,MATCH($A119&amp;"|סוף שנה",'זה אני - קליטה'!$AF$5:$AF$204,0)),""))</f>
        <v/>
      </c>
      <c r="S119" s="37">
        <f>IF($A119="","",IFERROR(INDEX('זה אני - קליטה'!$AI$5:$AI$204,MATCH($A119&amp;"|סוף שנה",'זה אני - קליטה'!$AF$5:$AF$204,0)),""))</f>
        <v/>
      </c>
      <c r="T119" s="37">
        <f>IF($A119="","",IFERROR(INDEX('זה אני - קליטה'!$AJ$5:$AJ$204,MATCH($A119&amp;"|סוף שנה",'זה אני - קליטה'!$AF$5:$AF$204,0)),""))</f>
        <v/>
      </c>
      <c r="U119" s="37">
        <f>IF($A119="","",IFERROR(INDEX('זה אני - קליטה'!$AK$5:$AK$204,MATCH($A119&amp;"|סוף שנה",'זה אני - קליטה'!$AF$5:$AF$204,0)),""))</f>
        <v/>
      </c>
      <c r="V119" s="37">
        <f>IF($A119="","",IFERROR(INDEX('זה אני - קליטה'!$AL$5:$AL$204,MATCH($A119&amp;"|סוף שנה",'זה אני - קליטה'!$AF$5:$AF$204,0)),""))</f>
        <v/>
      </c>
      <c r="W119" s="36">
        <f>IF($A119="","",IFERROR(INDEX('זה אני - קליטה'!$AG$5:$AG$204,MATCH($A119&amp;"|סוף שנה",'זה אני - קליטה'!$AF$5:$AF$204,0)),""))</f>
        <v/>
      </c>
      <c r="X119" s="37">
        <f>IF($A119="","",IFERROR(INDEX('זה אני - קליטה'!$AN$5:$AN$204,MATCH($A119&amp;"|סוף שנה",'זה אני - קליטה'!$AF$5:$AF$204,0)),""))</f>
        <v/>
      </c>
      <c r="Y119" s="36">
        <f>IF($A119="","",IFERROR(INDEX('זה אני - קליטה'!$AW$5:$AW$204,MATCH($A119&amp;"|סוף שנה",'זה אני - קליטה'!$AF$5:$AF$204,0)),""))</f>
        <v/>
      </c>
      <c r="Z119" s="43">
        <f>IF(AND(ISNUMBER(F119),ISNUMBER(V119)),V119-F119,"")</f>
        <v/>
      </c>
      <c r="AA119" s="36">
        <f>IF(Z119="","",IF(Z119&gt;=0.25,"עלייה",IF(Z119&lt;=-0.25,"ירידה","יציב")))</f>
        <v/>
      </c>
    </row>
    <row r="120">
      <c r="A120" s="38" t="n"/>
      <c r="B120" s="37">
        <f>IF($A120="","",IFERROR(INDEX('זה אני - קליטה'!$AH$5:$AH$204,MATCH($A120&amp;"|תחילת שנה",'זה אני - קליטה'!$AF$5:$AF$204,0)),""))</f>
        <v/>
      </c>
      <c r="C120" s="37">
        <f>IF($A120="","",IFERROR(INDEX('זה אני - קליטה'!$AI$5:$AI$204,MATCH($A120&amp;"|תחילת שנה",'זה אני - קליטה'!$AF$5:$AF$204,0)),""))</f>
        <v/>
      </c>
      <c r="D120" s="37">
        <f>IF($A120="","",IFERROR(INDEX('זה אני - קליטה'!$AJ$5:$AJ$204,MATCH($A120&amp;"|תחילת שנה",'זה אני - קליטה'!$AF$5:$AF$204,0)),""))</f>
        <v/>
      </c>
      <c r="E120" s="37">
        <f>IF($A120="","",IFERROR(INDEX('זה אני - קליטה'!$AK$5:$AK$204,MATCH($A120&amp;"|תחילת שנה",'זה אני - קליטה'!$AF$5:$AF$204,0)),""))</f>
        <v/>
      </c>
      <c r="F120" s="37">
        <f>IF($A120="","",IFERROR(INDEX('זה אני - קליטה'!$AL$5:$AL$204,MATCH($A120&amp;"|תחילת שנה",'זה אני - קליטה'!$AF$5:$AF$204,0)),""))</f>
        <v/>
      </c>
      <c r="G120" s="36">
        <f>IF($A120="","",IFERROR(INDEX('זה אני - קליטה'!$AG$5:$AG$204,MATCH($A120&amp;"|תחילת שנה",'זה אני - קליטה'!$AF$5:$AF$204,0)),""))</f>
        <v/>
      </c>
      <c r="H120" s="37">
        <f>IF($A120="","",IFERROR(INDEX('זה אני - קליטה'!$AN$5:$AN$204,MATCH($A120&amp;"|תחילת שנה",'זה אני - קליטה'!$AF$5:$AF$204,0)),""))</f>
        <v/>
      </c>
      <c r="I120" s="36">
        <f>IF($A120="","",IFERROR(INDEX('זה אני - קליטה'!$AW$5:$AW$204,MATCH($A120&amp;"|תחילת שנה",'זה אני - קליטה'!$AF$5:$AF$204,0)),""))</f>
        <v/>
      </c>
      <c r="J120" s="37">
        <f>IF($A120="","",IFERROR(INDEX('זה אני - קליטה'!$AH$5:$AH$204,MATCH($A120&amp;"|אמצע שנה",'זה אני - קליטה'!$AF$5:$AF$204,0)),""))</f>
        <v/>
      </c>
      <c r="K120" s="37">
        <f>IF($A120="","",IFERROR(INDEX('זה אני - קליטה'!$AI$5:$AI$204,MATCH($A120&amp;"|אמצע שנה",'זה אני - קליטה'!$AF$5:$AF$204,0)),""))</f>
        <v/>
      </c>
      <c r="L120" s="37">
        <f>IF($A120="","",IFERROR(INDEX('זה אני - קליטה'!$AJ$5:$AJ$204,MATCH($A120&amp;"|אמצע שנה",'זה אני - קליטה'!$AF$5:$AF$204,0)),""))</f>
        <v/>
      </c>
      <c r="M120" s="37">
        <f>IF($A120="","",IFERROR(INDEX('זה אני - קליטה'!$AK$5:$AK$204,MATCH($A120&amp;"|אמצע שנה",'זה אני - קליטה'!$AF$5:$AF$204,0)),""))</f>
        <v/>
      </c>
      <c r="N120" s="37">
        <f>IF($A120="","",IFERROR(INDEX('זה אני - קליטה'!$AL$5:$AL$204,MATCH($A120&amp;"|אמצע שנה",'זה אני - קליטה'!$AF$5:$AF$204,0)),""))</f>
        <v/>
      </c>
      <c r="O120" s="36">
        <f>IF($A120="","",IFERROR(INDEX('זה אני - קליטה'!$AG$5:$AG$204,MATCH($A120&amp;"|אמצע שנה",'זה אני - קליטה'!$AF$5:$AF$204,0)),""))</f>
        <v/>
      </c>
      <c r="P120" s="37">
        <f>IF($A120="","",IFERROR(INDEX('זה אני - קליטה'!$AN$5:$AN$204,MATCH($A120&amp;"|אמצע שנה",'זה אני - קליטה'!$AF$5:$AF$204,0)),""))</f>
        <v/>
      </c>
      <c r="Q120" s="36">
        <f>IF($A120="","",IFERROR(INDEX('זה אני - קליטה'!$AW$5:$AW$204,MATCH($A120&amp;"|אמצע שנה",'זה אני - קליטה'!$AF$5:$AF$204,0)),""))</f>
        <v/>
      </c>
      <c r="R120" s="37">
        <f>IF($A120="","",IFERROR(INDEX('זה אני - קליטה'!$AH$5:$AH$204,MATCH($A120&amp;"|סוף שנה",'זה אני - קליטה'!$AF$5:$AF$204,0)),""))</f>
        <v/>
      </c>
      <c r="S120" s="37">
        <f>IF($A120="","",IFERROR(INDEX('זה אני - קליטה'!$AI$5:$AI$204,MATCH($A120&amp;"|סוף שנה",'זה אני - קליטה'!$AF$5:$AF$204,0)),""))</f>
        <v/>
      </c>
      <c r="T120" s="37">
        <f>IF($A120="","",IFERROR(INDEX('זה אני - קליטה'!$AJ$5:$AJ$204,MATCH($A120&amp;"|סוף שנה",'זה אני - קליטה'!$AF$5:$AF$204,0)),""))</f>
        <v/>
      </c>
      <c r="U120" s="37">
        <f>IF($A120="","",IFERROR(INDEX('זה אני - קליטה'!$AK$5:$AK$204,MATCH($A120&amp;"|סוף שנה",'זה אני - קליטה'!$AF$5:$AF$204,0)),""))</f>
        <v/>
      </c>
      <c r="V120" s="37">
        <f>IF($A120="","",IFERROR(INDEX('זה אני - קליטה'!$AL$5:$AL$204,MATCH($A120&amp;"|סוף שנה",'זה אני - קליטה'!$AF$5:$AF$204,0)),""))</f>
        <v/>
      </c>
      <c r="W120" s="36">
        <f>IF($A120="","",IFERROR(INDEX('זה אני - קליטה'!$AG$5:$AG$204,MATCH($A120&amp;"|סוף שנה",'זה אני - קליטה'!$AF$5:$AF$204,0)),""))</f>
        <v/>
      </c>
      <c r="X120" s="37">
        <f>IF($A120="","",IFERROR(INDEX('זה אני - קליטה'!$AN$5:$AN$204,MATCH($A120&amp;"|סוף שנה",'זה אני - קליטה'!$AF$5:$AF$204,0)),""))</f>
        <v/>
      </c>
      <c r="Y120" s="36">
        <f>IF($A120="","",IFERROR(INDEX('זה אני - קליטה'!$AW$5:$AW$204,MATCH($A120&amp;"|סוף שנה",'זה אני - קליטה'!$AF$5:$AF$204,0)),""))</f>
        <v/>
      </c>
      <c r="Z120" s="43">
        <f>IF(AND(ISNUMBER(F120),ISNUMBER(V120)),V120-F120,"")</f>
        <v/>
      </c>
      <c r="AA120" s="36">
        <f>IF(Z120="","",IF(Z120&gt;=0.25,"עלייה",IF(Z120&lt;=-0.25,"ירידה","יציב")))</f>
        <v/>
      </c>
    </row>
    <row r="121">
      <c r="A121" s="38" t="n"/>
      <c r="B121" s="37">
        <f>IF($A121="","",IFERROR(INDEX('זה אני - קליטה'!$AH$5:$AH$204,MATCH($A121&amp;"|תחילת שנה",'זה אני - קליטה'!$AF$5:$AF$204,0)),""))</f>
        <v/>
      </c>
      <c r="C121" s="37">
        <f>IF($A121="","",IFERROR(INDEX('זה אני - קליטה'!$AI$5:$AI$204,MATCH($A121&amp;"|תחילת שנה",'זה אני - קליטה'!$AF$5:$AF$204,0)),""))</f>
        <v/>
      </c>
      <c r="D121" s="37">
        <f>IF($A121="","",IFERROR(INDEX('זה אני - קליטה'!$AJ$5:$AJ$204,MATCH($A121&amp;"|תחילת שנה",'זה אני - קליטה'!$AF$5:$AF$204,0)),""))</f>
        <v/>
      </c>
      <c r="E121" s="37">
        <f>IF($A121="","",IFERROR(INDEX('זה אני - קליטה'!$AK$5:$AK$204,MATCH($A121&amp;"|תחילת שנה",'זה אני - קליטה'!$AF$5:$AF$204,0)),""))</f>
        <v/>
      </c>
      <c r="F121" s="37">
        <f>IF($A121="","",IFERROR(INDEX('זה אני - קליטה'!$AL$5:$AL$204,MATCH($A121&amp;"|תחילת שנה",'זה אני - קליטה'!$AF$5:$AF$204,0)),""))</f>
        <v/>
      </c>
      <c r="G121" s="36">
        <f>IF($A121="","",IFERROR(INDEX('זה אני - קליטה'!$AG$5:$AG$204,MATCH($A121&amp;"|תחילת שנה",'זה אני - קליטה'!$AF$5:$AF$204,0)),""))</f>
        <v/>
      </c>
      <c r="H121" s="37">
        <f>IF($A121="","",IFERROR(INDEX('זה אני - קליטה'!$AN$5:$AN$204,MATCH($A121&amp;"|תחילת שנה",'זה אני - קליטה'!$AF$5:$AF$204,0)),""))</f>
        <v/>
      </c>
      <c r="I121" s="36">
        <f>IF($A121="","",IFERROR(INDEX('זה אני - קליטה'!$AW$5:$AW$204,MATCH($A121&amp;"|תחילת שנה",'זה אני - קליטה'!$AF$5:$AF$204,0)),""))</f>
        <v/>
      </c>
      <c r="J121" s="37">
        <f>IF($A121="","",IFERROR(INDEX('זה אני - קליטה'!$AH$5:$AH$204,MATCH($A121&amp;"|אמצע שנה",'זה אני - קליטה'!$AF$5:$AF$204,0)),""))</f>
        <v/>
      </c>
      <c r="K121" s="37">
        <f>IF($A121="","",IFERROR(INDEX('זה אני - קליטה'!$AI$5:$AI$204,MATCH($A121&amp;"|אמצע שנה",'זה אני - קליטה'!$AF$5:$AF$204,0)),""))</f>
        <v/>
      </c>
      <c r="L121" s="37">
        <f>IF($A121="","",IFERROR(INDEX('זה אני - קליטה'!$AJ$5:$AJ$204,MATCH($A121&amp;"|אמצע שנה",'זה אני - קליטה'!$AF$5:$AF$204,0)),""))</f>
        <v/>
      </c>
      <c r="M121" s="37">
        <f>IF($A121="","",IFERROR(INDEX('זה אני - קליטה'!$AK$5:$AK$204,MATCH($A121&amp;"|אמצע שנה",'זה אני - קליטה'!$AF$5:$AF$204,0)),""))</f>
        <v/>
      </c>
      <c r="N121" s="37">
        <f>IF($A121="","",IFERROR(INDEX('זה אני - קליטה'!$AL$5:$AL$204,MATCH($A121&amp;"|אמצע שנה",'זה אני - קליטה'!$AF$5:$AF$204,0)),""))</f>
        <v/>
      </c>
      <c r="O121" s="36">
        <f>IF($A121="","",IFERROR(INDEX('זה אני - קליטה'!$AG$5:$AG$204,MATCH($A121&amp;"|אמצע שנה",'זה אני - קליטה'!$AF$5:$AF$204,0)),""))</f>
        <v/>
      </c>
      <c r="P121" s="37">
        <f>IF($A121="","",IFERROR(INDEX('זה אני - קליטה'!$AN$5:$AN$204,MATCH($A121&amp;"|אמצע שנה",'זה אני - קליטה'!$AF$5:$AF$204,0)),""))</f>
        <v/>
      </c>
      <c r="Q121" s="36">
        <f>IF($A121="","",IFERROR(INDEX('זה אני - קליטה'!$AW$5:$AW$204,MATCH($A121&amp;"|אמצע שנה",'זה אני - קליטה'!$AF$5:$AF$204,0)),""))</f>
        <v/>
      </c>
      <c r="R121" s="37">
        <f>IF($A121="","",IFERROR(INDEX('זה אני - קליטה'!$AH$5:$AH$204,MATCH($A121&amp;"|סוף שנה",'זה אני - קליטה'!$AF$5:$AF$204,0)),""))</f>
        <v/>
      </c>
      <c r="S121" s="37">
        <f>IF($A121="","",IFERROR(INDEX('זה אני - קליטה'!$AI$5:$AI$204,MATCH($A121&amp;"|סוף שנה",'זה אני - קליטה'!$AF$5:$AF$204,0)),""))</f>
        <v/>
      </c>
      <c r="T121" s="37">
        <f>IF($A121="","",IFERROR(INDEX('זה אני - קליטה'!$AJ$5:$AJ$204,MATCH($A121&amp;"|סוף שנה",'זה אני - קליטה'!$AF$5:$AF$204,0)),""))</f>
        <v/>
      </c>
      <c r="U121" s="37">
        <f>IF($A121="","",IFERROR(INDEX('זה אני - קליטה'!$AK$5:$AK$204,MATCH($A121&amp;"|סוף שנה",'זה אני - קליטה'!$AF$5:$AF$204,0)),""))</f>
        <v/>
      </c>
      <c r="V121" s="37">
        <f>IF($A121="","",IFERROR(INDEX('זה אני - קליטה'!$AL$5:$AL$204,MATCH($A121&amp;"|סוף שנה",'זה אני - קליטה'!$AF$5:$AF$204,0)),""))</f>
        <v/>
      </c>
      <c r="W121" s="36">
        <f>IF($A121="","",IFERROR(INDEX('זה אני - קליטה'!$AG$5:$AG$204,MATCH($A121&amp;"|סוף שנה",'זה אני - קליטה'!$AF$5:$AF$204,0)),""))</f>
        <v/>
      </c>
      <c r="X121" s="37">
        <f>IF($A121="","",IFERROR(INDEX('זה אני - קליטה'!$AN$5:$AN$204,MATCH($A121&amp;"|סוף שנה",'זה אני - קליטה'!$AF$5:$AF$204,0)),""))</f>
        <v/>
      </c>
      <c r="Y121" s="36">
        <f>IF($A121="","",IFERROR(INDEX('זה אני - קליטה'!$AW$5:$AW$204,MATCH($A121&amp;"|סוף שנה",'זה אני - קליטה'!$AF$5:$AF$204,0)),""))</f>
        <v/>
      </c>
      <c r="Z121" s="43">
        <f>IF(AND(ISNUMBER(F121),ISNUMBER(V121)),V121-F121,"")</f>
        <v/>
      </c>
      <c r="AA121" s="36">
        <f>IF(Z121="","",IF(Z121&gt;=0.25,"עלייה",IF(Z121&lt;=-0.25,"ירידה","יציב")))</f>
        <v/>
      </c>
    </row>
    <row r="122">
      <c r="A122" s="38" t="n"/>
      <c r="B122" s="37">
        <f>IF($A122="","",IFERROR(INDEX('זה אני - קליטה'!$AH$5:$AH$204,MATCH($A122&amp;"|תחילת שנה",'זה אני - קליטה'!$AF$5:$AF$204,0)),""))</f>
        <v/>
      </c>
      <c r="C122" s="37">
        <f>IF($A122="","",IFERROR(INDEX('זה אני - קליטה'!$AI$5:$AI$204,MATCH($A122&amp;"|תחילת שנה",'זה אני - קליטה'!$AF$5:$AF$204,0)),""))</f>
        <v/>
      </c>
      <c r="D122" s="37">
        <f>IF($A122="","",IFERROR(INDEX('זה אני - קליטה'!$AJ$5:$AJ$204,MATCH($A122&amp;"|תחילת שנה",'זה אני - קליטה'!$AF$5:$AF$204,0)),""))</f>
        <v/>
      </c>
      <c r="E122" s="37">
        <f>IF($A122="","",IFERROR(INDEX('זה אני - קליטה'!$AK$5:$AK$204,MATCH($A122&amp;"|תחילת שנה",'זה אני - קליטה'!$AF$5:$AF$204,0)),""))</f>
        <v/>
      </c>
      <c r="F122" s="37">
        <f>IF($A122="","",IFERROR(INDEX('זה אני - קליטה'!$AL$5:$AL$204,MATCH($A122&amp;"|תחילת שנה",'זה אני - קליטה'!$AF$5:$AF$204,0)),""))</f>
        <v/>
      </c>
      <c r="G122" s="36">
        <f>IF($A122="","",IFERROR(INDEX('זה אני - קליטה'!$AG$5:$AG$204,MATCH($A122&amp;"|תחילת שנה",'זה אני - קליטה'!$AF$5:$AF$204,0)),""))</f>
        <v/>
      </c>
      <c r="H122" s="37">
        <f>IF($A122="","",IFERROR(INDEX('זה אני - קליטה'!$AN$5:$AN$204,MATCH($A122&amp;"|תחילת שנה",'זה אני - קליטה'!$AF$5:$AF$204,0)),""))</f>
        <v/>
      </c>
      <c r="I122" s="36">
        <f>IF($A122="","",IFERROR(INDEX('זה אני - קליטה'!$AW$5:$AW$204,MATCH($A122&amp;"|תחילת שנה",'זה אני - קליטה'!$AF$5:$AF$204,0)),""))</f>
        <v/>
      </c>
      <c r="J122" s="37">
        <f>IF($A122="","",IFERROR(INDEX('זה אני - קליטה'!$AH$5:$AH$204,MATCH($A122&amp;"|אמצע שנה",'זה אני - קליטה'!$AF$5:$AF$204,0)),""))</f>
        <v/>
      </c>
      <c r="K122" s="37">
        <f>IF($A122="","",IFERROR(INDEX('זה אני - קליטה'!$AI$5:$AI$204,MATCH($A122&amp;"|אמצע שנה",'זה אני - קליטה'!$AF$5:$AF$204,0)),""))</f>
        <v/>
      </c>
      <c r="L122" s="37">
        <f>IF($A122="","",IFERROR(INDEX('זה אני - קליטה'!$AJ$5:$AJ$204,MATCH($A122&amp;"|אמצע שנה",'זה אני - קליטה'!$AF$5:$AF$204,0)),""))</f>
        <v/>
      </c>
      <c r="M122" s="37">
        <f>IF($A122="","",IFERROR(INDEX('זה אני - קליטה'!$AK$5:$AK$204,MATCH($A122&amp;"|אמצע שנה",'זה אני - קליטה'!$AF$5:$AF$204,0)),""))</f>
        <v/>
      </c>
      <c r="N122" s="37">
        <f>IF($A122="","",IFERROR(INDEX('זה אני - קליטה'!$AL$5:$AL$204,MATCH($A122&amp;"|אמצע שנה",'זה אני - קליטה'!$AF$5:$AF$204,0)),""))</f>
        <v/>
      </c>
      <c r="O122" s="36">
        <f>IF($A122="","",IFERROR(INDEX('זה אני - קליטה'!$AG$5:$AG$204,MATCH($A122&amp;"|אמצע שנה",'זה אני - קליטה'!$AF$5:$AF$204,0)),""))</f>
        <v/>
      </c>
      <c r="P122" s="37">
        <f>IF($A122="","",IFERROR(INDEX('זה אני - קליטה'!$AN$5:$AN$204,MATCH($A122&amp;"|אמצע שנה",'זה אני - קליטה'!$AF$5:$AF$204,0)),""))</f>
        <v/>
      </c>
      <c r="Q122" s="36">
        <f>IF($A122="","",IFERROR(INDEX('זה אני - קליטה'!$AW$5:$AW$204,MATCH($A122&amp;"|אמצע שנה",'זה אני - קליטה'!$AF$5:$AF$204,0)),""))</f>
        <v/>
      </c>
      <c r="R122" s="37">
        <f>IF($A122="","",IFERROR(INDEX('זה אני - קליטה'!$AH$5:$AH$204,MATCH($A122&amp;"|סוף שנה",'זה אני - קליטה'!$AF$5:$AF$204,0)),""))</f>
        <v/>
      </c>
      <c r="S122" s="37">
        <f>IF($A122="","",IFERROR(INDEX('זה אני - קליטה'!$AI$5:$AI$204,MATCH($A122&amp;"|סוף שנה",'זה אני - קליטה'!$AF$5:$AF$204,0)),""))</f>
        <v/>
      </c>
      <c r="T122" s="37">
        <f>IF($A122="","",IFERROR(INDEX('זה אני - קליטה'!$AJ$5:$AJ$204,MATCH($A122&amp;"|סוף שנה",'זה אני - קליטה'!$AF$5:$AF$204,0)),""))</f>
        <v/>
      </c>
      <c r="U122" s="37">
        <f>IF($A122="","",IFERROR(INDEX('זה אני - קליטה'!$AK$5:$AK$204,MATCH($A122&amp;"|סוף שנה",'זה אני - קליטה'!$AF$5:$AF$204,0)),""))</f>
        <v/>
      </c>
      <c r="V122" s="37">
        <f>IF($A122="","",IFERROR(INDEX('זה אני - קליטה'!$AL$5:$AL$204,MATCH($A122&amp;"|סוף שנה",'זה אני - קליטה'!$AF$5:$AF$204,0)),""))</f>
        <v/>
      </c>
      <c r="W122" s="36">
        <f>IF($A122="","",IFERROR(INDEX('זה אני - קליטה'!$AG$5:$AG$204,MATCH($A122&amp;"|סוף שנה",'זה אני - קליטה'!$AF$5:$AF$204,0)),""))</f>
        <v/>
      </c>
      <c r="X122" s="37">
        <f>IF($A122="","",IFERROR(INDEX('זה אני - קליטה'!$AN$5:$AN$204,MATCH($A122&amp;"|סוף שנה",'זה אני - קליטה'!$AF$5:$AF$204,0)),""))</f>
        <v/>
      </c>
      <c r="Y122" s="36">
        <f>IF($A122="","",IFERROR(INDEX('זה אני - קליטה'!$AW$5:$AW$204,MATCH($A122&amp;"|סוף שנה",'זה אני - קליטה'!$AF$5:$AF$204,0)),""))</f>
        <v/>
      </c>
      <c r="Z122" s="43">
        <f>IF(AND(ISNUMBER(F122),ISNUMBER(V122)),V122-F122,"")</f>
        <v/>
      </c>
      <c r="AA122" s="36">
        <f>IF(Z122="","",IF(Z122&gt;=0.25,"עלייה",IF(Z122&lt;=-0.25,"ירידה","יציב")))</f>
        <v/>
      </c>
    </row>
    <row r="123">
      <c r="A123" s="38" t="n"/>
      <c r="B123" s="37">
        <f>IF($A123="","",IFERROR(INDEX('זה אני - קליטה'!$AH$5:$AH$204,MATCH($A123&amp;"|תחילת שנה",'זה אני - קליטה'!$AF$5:$AF$204,0)),""))</f>
        <v/>
      </c>
      <c r="C123" s="37">
        <f>IF($A123="","",IFERROR(INDEX('זה אני - קליטה'!$AI$5:$AI$204,MATCH($A123&amp;"|תחילת שנה",'זה אני - קליטה'!$AF$5:$AF$204,0)),""))</f>
        <v/>
      </c>
      <c r="D123" s="37">
        <f>IF($A123="","",IFERROR(INDEX('זה אני - קליטה'!$AJ$5:$AJ$204,MATCH($A123&amp;"|תחילת שנה",'זה אני - קליטה'!$AF$5:$AF$204,0)),""))</f>
        <v/>
      </c>
      <c r="E123" s="37">
        <f>IF($A123="","",IFERROR(INDEX('זה אני - קליטה'!$AK$5:$AK$204,MATCH($A123&amp;"|תחילת שנה",'זה אני - קליטה'!$AF$5:$AF$204,0)),""))</f>
        <v/>
      </c>
      <c r="F123" s="37">
        <f>IF($A123="","",IFERROR(INDEX('זה אני - קליטה'!$AL$5:$AL$204,MATCH($A123&amp;"|תחילת שנה",'זה אני - קליטה'!$AF$5:$AF$204,0)),""))</f>
        <v/>
      </c>
      <c r="G123" s="36">
        <f>IF($A123="","",IFERROR(INDEX('זה אני - קליטה'!$AG$5:$AG$204,MATCH($A123&amp;"|תחילת שנה",'זה אני - קליטה'!$AF$5:$AF$204,0)),""))</f>
        <v/>
      </c>
      <c r="H123" s="37">
        <f>IF($A123="","",IFERROR(INDEX('זה אני - קליטה'!$AN$5:$AN$204,MATCH($A123&amp;"|תחילת שנה",'זה אני - קליטה'!$AF$5:$AF$204,0)),""))</f>
        <v/>
      </c>
      <c r="I123" s="36">
        <f>IF($A123="","",IFERROR(INDEX('זה אני - קליטה'!$AW$5:$AW$204,MATCH($A123&amp;"|תחילת שנה",'זה אני - קליטה'!$AF$5:$AF$204,0)),""))</f>
        <v/>
      </c>
      <c r="J123" s="37">
        <f>IF($A123="","",IFERROR(INDEX('זה אני - קליטה'!$AH$5:$AH$204,MATCH($A123&amp;"|אמצע שנה",'זה אני - קליטה'!$AF$5:$AF$204,0)),""))</f>
        <v/>
      </c>
      <c r="K123" s="37">
        <f>IF($A123="","",IFERROR(INDEX('זה אני - קליטה'!$AI$5:$AI$204,MATCH($A123&amp;"|אמצע שנה",'זה אני - קליטה'!$AF$5:$AF$204,0)),""))</f>
        <v/>
      </c>
      <c r="L123" s="37">
        <f>IF($A123="","",IFERROR(INDEX('זה אני - קליטה'!$AJ$5:$AJ$204,MATCH($A123&amp;"|אמצע שנה",'זה אני - קליטה'!$AF$5:$AF$204,0)),""))</f>
        <v/>
      </c>
      <c r="M123" s="37">
        <f>IF($A123="","",IFERROR(INDEX('זה אני - קליטה'!$AK$5:$AK$204,MATCH($A123&amp;"|אמצע שנה",'זה אני - קליטה'!$AF$5:$AF$204,0)),""))</f>
        <v/>
      </c>
      <c r="N123" s="37">
        <f>IF($A123="","",IFERROR(INDEX('זה אני - קליטה'!$AL$5:$AL$204,MATCH($A123&amp;"|אמצע שנה",'זה אני - קליטה'!$AF$5:$AF$204,0)),""))</f>
        <v/>
      </c>
      <c r="O123" s="36">
        <f>IF($A123="","",IFERROR(INDEX('זה אני - קליטה'!$AG$5:$AG$204,MATCH($A123&amp;"|אמצע שנה",'זה אני - קליטה'!$AF$5:$AF$204,0)),""))</f>
        <v/>
      </c>
      <c r="P123" s="37">
        <f>IF($A123="","",IFERROR(INDEX('זה אני - קליטה'!$AN$5:$AN$204,MATCH($A123&amp;"|אמצע שנה",'זה אני - קליטה'!$AF$5:$AF$204,0)),""))</f>
        <v/>
      </c>
      <c r="Q123" s="36">
        <f>IF($A123="","",IFERROR(INDEX('זה אני - קליטה'!$AW$5:$AW$204,MATCH($A123&amp;"|אמצע שנה",'זה אני - קליטה'!$AF$5:$AF$204,0)),""))</f>
        <v/>
      </c>
      <c r="R123" s="37">
        <f>IF($A123="","",IFERROR(INDEX('זה אני - קליטה'!$AH$5:$AH$204,MATCH($A123&amp;"|סוף שנה",'זה אני - קליטה'!$AF$5:$AF$204,0)),""))</f>
        <v/>
      </c>
      <c r="S123" s="37">
        <f>IF($A123="","",IFERROR(INDEX('זה אני - קליטה'!$AI$5:$AI$204,MATCH($A123&amp;"|סוף שנה",'זה אני - קליטה'!$AF$5:$AF$204,0)),""))</f>
        <v/>
      </c>
      <c r="T123" s="37">
        <f>IF($A123="","",IFERROR(INDEX('זה אני - קליטה'!$AJ$5:$AJ$204,MATCH($A123&amp;"|סוף שנה",'זה אני - קליטה'!$AF$5:$AF$204,0)),""))</f>
        <v/>
      </c>
      <c r="U123" s="37">
        <f>IF($A123="","",IFERROR(INDEX('זה אני - קליטה'!$AK$5:$AK$204,MATCH($A123&amp;"|סוף שנה",'זה אני - קליטה'!$AF$5:$AF$204,0)),""))</f>
        <v/>
      </c>
      <c r="V123" s="37">
        <f>IF($A123="","",IFERROR(INDEX('זה אני - קליטה'!$AL$5:$AL$204,MATCH($A123&amp;"|סוף שנה",'זה אני - קליטה'!$AF$5:$AF$204,0)),""))</f>
        <v/>
      </c>
      <c r="W123" s="36">
        <f>IF($A123="","",IFERROR(INDEX('זה אני - קליטה'!$AG$5:$AG$204,MATCH($A123&amp;"|סוף שנה",'זה אני - קליטה'!$AF$5:$AF$204,0)),""))</f>
        <v/>
      </c>
      <c r="X123" s="37">
        <f>IF($A123="","",IFERROR(INDEX('זה אני - קליטה'!$AN$5:$AN$204,MATCH($A123&amp;"|סוף שנה",'זה אני - קליטה'!$AF$5:$AF$204,0)),""))</f>
        <v/>
      </c>
      <c r="Y123" s="36">
        <f>IF($A123="","",IFERROR(INDEX('זה אני - קליטה'!$AW$5:$AW$204,MATCH($A123&amp;"|סוף שנה",'זה אני - קליטה'!$AF$5:$AF$204,0)),""))</f>
        <v/>
      </c>
      <c r="Z123" s="43">
        <f>IF(AND(ISNUMBER(F123),ISNUMBER(V123)),V123-F123,"")</f>
        <v/>
      </c>
      <c r="AA123" s="36">
        <f>IF(Z123="","",IF(Z123&gt;=0.25,"עלייה",IF(Z123&lt;=-0.25,"ירידה","יציב")))</f>
        <v/>
      </c>
    </row>
    <row r="124">
      <c r="A124" s="38" t="n"/>
      <c r="B124" s="37">
        <f>IF($A124="","",IFERROR(INDEX('זה אני - קליטה'!$AH$5:$AH$204,MATCH($A124&amp;"|תחילת שנה",'זה אני - קליטה'!$AF$5:$AF$204,0)),""))</f>
        <v/>
      </c>
      <c r="C124" s="37">
        <f>IF($A124="","",IFERROR(INDEX('זה אני - קליטה'!$AI$5:$AI$204,MATCH($A124&amp;"|תחילת שנה",'זה אני - קליטה'!$AF$5:$AF$204,0)),""))</f>
        <v/>
      </c>
      <c r="D124" s="37">
        <f>IF($A124="","",IFERROR(INDEX('זה אני - קליטה'!$AJ$5:$AJ$204,MATCH($A124&amp;"|תחילת שנה",'זה אני - קליטה'!$AF$5:$AF$204,0)),""))</f>
        <v/>
      </c>
      <c r="E124" s="37">
        <f>IF($A124="","",IFERROR(INDEX('זה אני - קליטה'!$AK$5:$AK$204,MATCH($A124&amp;"|תחילת שנה",'זה אני - קליטה'!$AF$5:$AF$204,0)),""))</f>
        <v/>
      </c>
      <c r="F124" s="37">
        <f>IF($A124="","",IFERROR(INDEX('זה אני - קליטה'!$AL$5:$AL$204,MATCH($A124&amp;"|תחילת שנה",'זה אני - קליטה'!$AF$5:$AF$204,0)),""))</f>
        <v/>
      </c>
      <c r="G124" s="36">
        <f>IF($A124="","",IFERROR(INDEX('זה אני - קליטה'!$AG$5:$AG$204,MATCH($A124&amp;"|תחילת שנה",'זה אני - קליטה'!$AF$5:$AF$204,0)),""))</f>
        <v/>
      </c>
      <c r="H124" s="37">
        <f>IF($A124="","",IFERROR(INDEX('זה אני - קליטה'!$AN$5:$AN$204,MATCH($A124&amp;"|תחילת שנה",'זה אני - קליטה'!$AF$5:$AF$204,0)),""))</f>
        <v/>
      </c>
      <c r="I124" s="36">
        <f>IF($A124="","",IFERROR(INDEX('זה אני - קליטה'!$AW$5:$AW$204,MATCH($A124&amp;"|תחילת שנה",'זה אני - קליטה'!$AF$5:$AF$204,0)),""))</f>
        <v/>
      </c>
      <c r="J124" s="37">
        <f>IF($A124="","",IFERROR(INDEX('זה אני - קליטה'!$AH$5:$AH$204,MATCH($A124&amp;"|אמצע שנה",'זה אני - קליטה'!$AF$5:$AF$204,0)),""))</f>
        <v/>
      </c>
      <c r="K124" s="37">
        <f>IF($A124="","",IFERROR(INDEX('זה אני - קליטה'!$AI$5:$AI$204,MATCH($A124&amp;"|אמצע שנה",'זה אני - קליטה'!$AF$5:$AF$204,0)),""))</f>
        <v/>
      </c>
      <c r="L124" s="37">
        <f>IF($A124="","",IFERROR(INDEX('זה אני - קליטה'!$AJ$5:$AJ$204,MATCH($A124&amp;"|אמצע שנה",'זה אני - קליטה'!$AF$5:$AF$204,0)),""))</f>
        <v/>
      </c>
      <c r="M124" s="37">
        <f>IF($A124="","",IFERROR(INDEX('זה אני - קליטה'!$AK$5:$AK$204,MATCH($A124&amp;"|אמצע שנה",'זה אני - קליטה'!$AF$5:$AF$204,0)),""))</f>
        <v/>
      </c>
      <c r="N124" s="37">
        <f>IF($A124="","",IFERROR(INDEX('זה אני - קליטה'!$AL$5:$AL$204,MATCH($A124&amp;"|אמצע שנה",'זה אני - קליטה'!$AF$5:$AF$204,0)),""))</f>
        <v/>
      </c>
      <c r="O124" s="36">
        <f>IF($A124="","",IFERROR(INDEX('זה אני - קליטה'!$AG$5:$AG$204,MATCH($A124&amp;"|אמצע שנה",'זה אני - קליטה'!$AF$5:$AF$204,0)),""))</f>
        <v/>
      </c>
      <c r="P124" s="37">
        <f>IF($A124="","",IFERROR(INDEX('זה אני - קליטה'!$AN$5:$AN$204,MATCH($A124&amp;"|אמצע שנה",'זה אני - קליטה'!$AF$5:$AF$204,0)),""))</f>
        <v/>
      </c>
      <c r="Q124" s="36">
        <f>IF($A124="","",IFERROR(INDEX('זה אני - קליטה'!$AW$5:$AW$204,MATCH($A124&amp;"|אמצע שנה",'זה אני - קליטה'!$AF$5:$AF$204,0)),""))</f>
        <v/>
      </c>
      <c r="R124" s="37">
        <f>IF($A124="","",IFERROR(INDEX('זה אני - קליטה'!$AH$5:$AH$204,MATCH($A124&amp;"|סוף שנה",'זה אני - קליטה'!$AF$5:$AF$204,0)),""))</f>
        <v/>
      </c>
      <c r="S124" s="37">
        <f>IF($A124="","",IFERROR(INDEX('זה אני - קליטה'!$AI$5:$AI$204,MATCH($A124&amp;"|סוף שנה",'זה אני - קליטה'!$AF$5:$AF$204,0)),""))</f>
        <v/>
      </c>
      <c r="T124" s="37">
        <f>IF($A124="","",IFERROR(INDEX('זה אני - קליטה'!$AJ$5:$AJ$204,MATCH($A124&amp;"|סוף שנה",'זה אני - קליטה'!$AF$5:$AF$204,0)),""))</f>
        <v/>
      </c>
      <c r="U124" s="37">
        <f>IF($A124="","",IFERROR(INDEX('זה אני - קליטה'!$AK$5:$AK$204,MATCH($A124&amp;"|סוף שנה",'זה אני - קליטה'!$AF$5:$AF$204,0)),""))</f>
        <v/>
      </c>
      <c r="V124" s="37">
        <f>IF($A124="","",IFERROR(INDEX('זה אני - קליטה'!$AL$5:$AL$204,MATCH($A124&amp;"|סוף שנה",'זה אני - קליטה'!$AF$5:$AF$204,0)),""))</f>
        <v/>
      </c>
      <c r="W124" s="36">
        <f>IF($A124="","",IFERROR(INDEX('זה אני - קליטה'!$AG$5:$AG$204,MATCH($A124&amp;"|סוף שנה",'זה אני - קליטה'!$AF$5:$AF$204,0)),""))</f>
        <v/>
      </c>
      <c r="X124" s="37">
        <f>IF($A124="","",IFERROR(INDEX('זה אני - קליטה'!$AN$5:$AN$204,MATCH($A124&amp;"|סוף שנה",'זה אני - קליטה'!$AF$5:$AF$204,0)),""))</f>
        <v/>
      </c>
      <c r="Y124" s="36">
        <f>IF($A124="","",IFERROR(INDEX('זה אני - קליטה'!$AW$5:$AW$204,MATCH($A124&amp;"|סוף שנה",'זה אני - קליטה'!$AF$5:$AF$204,0)),""))</f>
        <v/>
      </c>
      <c r="Z124" s="43">
        <f>IF(AND(ISNUMBER(F124),ISNUMBER(V124)),V124-F124,"")</f>
        <v/>
      </c>
      <c r="AA124" s="36">
        <f>IF(Z124="","",IF(Z124&gt;=0.25,"עלייה",IF(Z124&lt;=-0.25,"ירידה","יציב")))</f>
        <v/>
      </c>
    </row>
    <row r="125">
      <c r="A125" s="38" t="n"/>
      <c r="B125" s="37">
        <f>IF($A125="","",IFERROR(INDEX('זה אני - קליטה'!$AH$5:$AH$204,MATCH($A125&amp;"|תחילת שנה",'זה אני - קליטה'!$AF$5:$AF$204,0)),""))</f>
        <v/>
      </c>
      <c r="C125" s="37">
        <f>IF($A125="","",IFERROR(INDEX('זה אני - קליטה'!$AI$5:$AI$204,MATCH($A125&amp;"|תחילת שנה",'זה אני - קליטה'!$AF$5:$AF$204,0)),""))</f>
        <v/>
      </c>
      <c r="D125" s="37">
        <f>IF($A125="","",IFERROR(INDEX('זה אני - קליטה'!$AJ$5:$AJ$204,MATCH($A125&amp;"|תחילת שנה",'זה אני - קליטה'!$AF$5:$AF$204,0)),""))</f>
        <v/>
      </c>
      <c r="E125" s="37">
        <f>IF($A125="","",IFERROR(INDEX('זה אני - קליטה'!$AK$5:$AK$204,MATCH($A125&amp;"|תחילת שנה",'זה אני - קליטה'!$AF$5:$AF$204,0)),""))</f>
        <v/>
      </c>
      <c r="F125" s="37">
        <f>IF($A125="","",IFERROR(INDEX('זה אני - קליטה'!$AL$5:$AL$204,MATCH($A125&amp;"|תחילת שנה",'זה אני - קליטה'!$AF$5:$AF$204,0)),""))</f>
        <v/>
      </c>
      <c r="G125" s="36">
        <f>IF($A125="","",IFERROR(INDEX('זה אני - קליטה'!$AG$5:$AG$204,MATCH($A125&amp;"|תחילת שנה",'זה אני - קליטה'!$AF$5:$AF$204,0)),""))</f>
        <v/>
      </c>
      <c r="H125" s="37">
        <f>IF($A125="","",IFERROR(INDEX('זה אני - קליטה'!$AN$5:$AN$204,MATCH($A125&amp;"|תחילת שנה",'זה אני - קליטה'!$AF$5:$AF$204,0)),""))</f>
        <v/>
      </c>
      <c r="I125" s="36">
        <f>IF($A125="","",IFERROR(INDEX('זה אני - קליטה'!$AW$5:$AW$204,MATCH($A125&amp;"|תחילת שנה",'זה אני - קליטה'!$AF$5:$AF$204,0)),""))</f>
        <v/>
      </c>
      <c r="J125" s="37">
        <f>IF($A125="","",IFERROR(INDEX('זה אני - קליטה'!$AH$5:$AH$204,MATCH($A125&amp;"|אמצע שנה",'זה אני - קליטה'!$AF$5:$AF$204,0)),""))</f>
        <v/>
      </c>
      <c r="K125" s="37">
        <f>IF($A125="","",IFERROR(INDEX('זה אני - קליטה'!$AI$5:$AI$204,MATCH($A125&amp;"|אמצע שנה",'זה אני - קליטה'!$AF$5:$AF$204,0)),""))</f>
        <v/>
      </c>
      <c r="L125" s="37">
        <f>IF($A125="","",IFERROR(INDEX('זה אני - קליטה'!$AJ$5:$AJ$204,MATCH($A125&amp;"|אמצע שנה",'זה אני - קליטה'!$AF$5:$AF$204,0)),""))</f>
        <v/>
      </c>
      <c r="M125" s="37">
        <f>IF($A125="","",IFERROR(INDEX('זה אני - קליטה'!$AK$5:$AK$204,MATCH($A125&amp;"|אמצע שנה",'זה אני - קליטה'!$AF$5:$AF$204,0)),""))</f>
        <v/>
      </c>
      <c r="N125" s="37">
        <f>IF($A125="","",IFERROR(INDEX('זה אני - קליטה'!$AL$5:$AL$204,MATCH($A125&amp;"|אמצע שנה",'זה אני - קליטה'!$AF$5:$AF$204,0)),""))</f>
        <v/>
      </c>
      <c r="O125" s="36">
        <f>IF($A125="","",IFERROR(INDEX('זה אני - קליטה'!$AG$5:$AG$204,MATCH($A125&amp;"|אמצע שנה",'זה אני - קליטה'!$AF$5:$AF$204,0)),""))</f>
        <v/>
      </c>
      <c r="P125" s="37">
        <f>IF($A125="","",IFERROR(INDEX('זה אני - קליטה'!$AN$5:$AN$204,MATCH($A125&amp;"|אמצע שנה",'זה אני - קליטה'!$AF$5:$AF$204,0)),""))</f>
        <v/>
      </c>
      <c r="Q125" s="36">
        <f>IF($A125="","",IFERROR(INDEX('זה אני - קליטה'!$AW$5:$AW$204,MATCH($A125&amp;"|אמצע שנה",'זה אני - קליטה'!$AF$5:$AF$204,0)),""))</f>
        <v/>
      </c>
      <c r="R125" s="37">
        <f>IF($A125="","",IFERROR(INDEX('זה אני - קליטה'!$AH$5:$AH$204,MATCH($A125&amp;"|סוף שנה",'זה אני - קליטה'!$AF$5:$AF$204,0)),""))</f>
        <v/>
      </c>
      <c r="S125" s="37">
        <f>IF($A125="","",IFERROR(INDEX('זה אני - קליטה'!$AI$5:$AI$204,MATCH($A125&amp;"|סוף שנה",'זה אני - קליטה'!$AF$5:$AF$204,0)),""))</f>
        <v/>
      </c>
      <c r="T125" s="37">
        <f>IF($A125="","",IFERROR(INDEX('זה אני - קליטה'!$AJ$5:$AJ$204,MATCH($A125&amp;"|סוף שנה",'זה אני - קליטה'!$AF$5:$AF$204,0)),""))</f>
        <v/>
      </c>
      <c r="U125" s="37">
        <f>IF($A125="","",IFERROR(INDEX('זה אני - קליטה'!$AK$5:$AK$204,MATCH($A125&amp;"|סוף שנה",'זה אני - קליטה'!$AF$5:$AF$204,0)),""))</f>
        <v/>
      </c>
      <c r="V125" s="37">
        <f>IF($A125="","",IFERROR(INDEX('זה אני - קליטה'!$AL$5:$AL$204,MATCH($A125&amp;"|סוף שנה",'זה אני - קליטה'!$AF$5:$AF$204,0)),""))</f>
        <v/>
      </c>
      <c r="W125" s="36">
        <f>IF($A125="","",IFERROR(INDEX('זה אני - קליטה'!$AG$5:$AG$204,MATCH($A125&amp;"|סוף שנה",'זה אני - קליטה'!$AF$5:$AF$204,0)),""))</f>
        <v/>
      </c>
      <c r="X125" s="37">
        <f>IF($A125="","",IFERROR(INDEX('זה אני - קליטה'!$AN$5:$AN$204,MATCH($A125&amp;"|סוף שנה",'זה אני - קליטה'!$AF$5:$AF$204,0)),""))</f>
        <v/>
      </c>
      <c r="Y125" s="36">
        <f>IF($A125="","",IFERROR(INDEX('זה אני - קליטה'!$AW$5:$AW$204,MATCH($A125&amp;"|סוף שנה",'זה אני - קליטה'!$AF$5:$AF$204,0)),""))</f>
        <v/>
      </c>
      <c r="Z125" s="43">
        <f>IF(AND(ISNUMBER(F125),ISNUMBER(V125)),V125-F125,"")</f>
        <v/>
      </c>
      <c r="AA125" s="36">
        <f>IF(Z125="","",IF(Z125&gt;=0.25,"עלייה",IF(Z125&lt;=-0.25,"ירידה","יציב")))</f>
        <v/>
      </c>
    </row>
    <row r="126">
      <c r="A126" s="38" t="n"/>
      <c r="B126" s="37">
        <f>IF($A126="","",IFERROR(INDEX('זה אני - קליטה'!$AH$5:$AH$204,MATCH($A126&amp;"|תחילת שנה",'זה אני - קליטה'!$AF$5:$AF$204,0)),""))</f>
        <v/>
      </c>
      <c r="C126" s="37">
        <f>IF($A126="","",IFERROR(INDEX('זה אני - קליטה'!$AI$5:$AI$204,MATCH($A126&amp;"|תחילת שנה",'זה אני - קליטה'!$AF$5:$AF$204,0)),""))</f>
        <v/>
      </c>
      <c r="D126" s="37">
        <f>IF($A126="","",IFERROR(INDEX('זה אני - קליטה'!$AJ$5:$AJ$204,MATCH($A126&amp;"|תחילת שנה",'זה אני - קליטה'!$AF$5:$AF$204,0)),""))</f>
        <v/>
      </c>
      <c r="E126" s="37">
        <f>IF($A126="","",IFERROR(INDEX('זה אני - קליטה'!$AK$5:$AK$204,MATCH($A126&amp;"|תחילת שנה",'זה אני - קליטה'!$AF$5:$AF$204,0)),""))</f>
        <v/>
      </c>
      <c r="F126" s="37">
        <f>IF($A126="","",IFERROR(INDEX('זה אני - קליטה'!$AL$5:$AL$204,MATCH($A126&amp;"|תחילת שנה",'זה אני - קליטה'!$AF$5:$AF$204,0)),""))</f>
        <v/>
      </c>
      <c r="G126" s="36">
        <f>IF($A126="","",IFERROR(INDEX('זה אני - קליטה'!$AG$5:$AG$204,MATCH($A126&amp;"|תחילת שנה",'זה אני - קליטה'!$AF$5:$AF$204,0)),""))</f>
        <v/>
      </c>
      <c r="H126" s="37">
        <f>IF($A126="","",IFERROR(INDEX('זה אני - קליטה'!$AN$5:$AN$204,MATCH($A126&amp;"|תחילת שנה",'זה אני - קליטה'!$AF$5:$AF$204,0)),""))</f>
        <v/>
      </c>
      <c r="I126" s="36">
        <f>IF($A126="","",IFERROR(INDEX('זה אני - קליטה'!$AW$5:$AW$204,MATCH($A126&amp;"|תחילת שנה",'זה אני - קליטה'!$AF$5:$AF$204,0)),""))</f>
        <v/>
      </c>
      <c r="J126" s="37">
        <f>IF($A126="","",IFERROR(INDEX('זה אני - קליטה'!$AH$5:$AH$204,MATCH($A126&amp;"|אמצע שנה",'זה אני - קליטה'!$AF$5:$AF$204,0)),""))</f>
        <v/>
      </c>
      <c r="K126" s="37">
        <f>IF($A126="","",IFERROR(INDEX('זה אני - קליטה'!$AI$5:$AI$204,MATCH($A126&amp;"|אמצע שנה",'זה אני - קליטה'!$AF$5:$AF$204,0)),""))</f>
        <v/>
      </c>
      <c r="L126" s="37">
        <f>IF($A126="","",IFERROR(INDEX('זה אני - קליטה'!$AJ$5:$AJ$204,MATCH($A126&amp;"|אמצע שנה",'זה אני - קליטה'!$AF$5:$AF$204,0)),""))</f>
        <v/>
      </c>
      <c r="M126" s="37">
        <f>IF($A126="","",IFERROR(INDEX('זה אני - קליטה'!$AK$5:$AK$204,MATCH($A126&amp;"|אמצע שנה",'זה אני - קליטה'!$AF$5:$AF$204,0)),""))</f>
        <v/>
      </c>
      <c r="N126" s="37">
        <f>IF($A126="","",IFERROR(INDEX('זה אני - קליטה'!$AL$5:$AL$204,MATCH($A126&amp;"|אמצע שנה",'זה אני - קליטה'!$AF$5:$AF$204,0)),""))</f>
        <v/>
      </c>
      <c r="O126" s="36">
        <f>IF($A126="","",IFERROR(INDEX('זה אני - קליטה'!$AG$5:$AG$204,MATCH($A126&amp;"|אמצע שנה",'זה אני - קליטה'!$AF$5:$AF$204,0)),""))</f>
        <v/>
      </c>
      <c r="P126" s="37">
        <f>IF($A126="","",IFERROR(INDEX('זה אני - קליטה'!$AN$5:$AN$204,MATCH($A126&amp;"|אמצע שנה",'זה אני - קליטה'!$AF$5:$AF$204,0)),""))</f>
        <v/>
      </c>
      <c r="Q126" s="36">
        <f>IF($A126="","",IFERROR(INDEX('זה אני - קליטה'!$AW$5:$AW$204,MATCH($A126&amp;"|אמצע שנה",'זה אני - קליטה'!$AF$5:$AF$204,0)),""))</f>
        <v/>
      </c>
      <c r="R126" s="37">
        <f>IF($A126="","",IFERROR(INDEX('זה אני - קליטה'!$AH$5:$AH$204,MATCH($A126&amp;"|סוף שנה",'זה אני - קליטה'!$AF$5:$AF$204,0)),""))</f>
        <v/>
      </c>
      <c r="S126" s="37">
        <f>IF($A126="","",IFERROR(INDEX('זה אני - קליטה'!$AI$5:$AI$204,MATCH($A126&amp;"|סוף שנה",'זה אני - קליטה'!$AF$5:$AF$204,0)),""))</f>
        <v/>
      </c>
      <c r="T126" s="37">
        <f>IF($A126="","",IFERROR(INDEX('זה אני - קליטה'!$AJ$5:$AJ$204,MATCH($A126&amp;"|סוף שנה",'זה אני - קליטה'!$AF$5:$AF$204,0)),""))</f>
        <v/>
      </c>
      <c r="U126" s="37">
        <f>IF($A126="","",IFERROR(INDEX('זה אני - קליטה'!$AK$5:$AK$204,MATCH($A126&amp;"|סוף שנה",'זה אני - קליטה'!$AF$5:$AF$204,0)),""))</f>
        <v/>
      </c>
      <c r="V126" s="37">
        <f>IF($A126="","",IFERROR(INDEX('זה אני - קליטה'!$AL$5:$AL$204,MATCH($A126&amp;"|סוף שנה",'זה אני - קליטה'!$AF$5:$AF$204,0)),""))</f>
        <v/>
      </c>
      <c r="W126" s="36">
        <f>IF($A126="","",IFERROR(INDEX('זה אני - קליטה'!$AG$5:$AG$204,MATCH($A126&amp;"|סוף שנה",'זה אני - קליטה'!$AF$5:$AF$204,0)),""))</f>
        <v/>
      </c>
      <c r="X126" s="37">
        <f>IF($A126="","",IFERROR(INDEX('זה אני - קליטה'!$AN$5:$AN$204,MATCH($A126&amp;"|סוף שנה",'זה אני - קליטה'!$AF$5:$AF$204,0)),""))</f>
        <v/>
      </c>
      <c r="Y126" s="36">
        <f>IF($A126="","",IFERROR(INDEX('זה אני - קליטה'!$AW$5:$AW$204,MATCH($A126&amp;"|סוף שנה",'זה אני - קליטה'!$AF$5:$AF$204,0)),""))</f>
        <v/>
      </c>
      <c r="Z126" s="43">
        <f>IF(AND(ISNUMBER(F126),ISNUMBER(V126)),V126-F126,"")</f>
        <v/>
      </c>
      <c r="AA126" s="36">
        <f>IF(Z126="","",IF(Z126&gt;=0.25,"עלייה",IF(Z126&lt;=-0.25,"ירידה","יציב")))</f>
        <v/>
      </c>
    </row>
    <row r="127">
      <c r="A127" s="38" t="n"/>
      <c r="B127" s="37">
        <f>IF($A127="","",IFERROR(INDEX('זה אני - קליטה'!$AH$5:$AH$204,MATCH($A127&amp;"|תחילת שנה",'זה אני - קליטה'!$AF$5:$AF$204,0)),""))</f>
        <v/>
      </c>
      <c r="C127" s="37">
        <f>IF($A127="","",IFERROR(INDEX('זה אני - קליטה'!$AI$5:$AI$204,MATCH($A127&amp;"|תחילת שנה",'זה אני - קליטה'!$AF$5:$AF$204,0)),""))</f>
        <v/>
      </c>
      <c r="D127" s="37">
        <f>IF($A127="","",IFERROR(INDEX('זה אני - קליטה'!$AJ$5:$AJ$204,MATCH($A127&amp;"|תחילת שנה",'זה אני - קליטה'!$AF$5:$AF$204,0)),""))</f>
        <v/>
      </c>
      <c r="E127" s="37">
        <f>IF($A127="","",IFERROR(INDEX('זה אני - קליטה'!$AK$5:$AK$204,MATCH($A127&amp;"|תחילת שנה",'זה אני - קליטה'!$AF$5:$AF$204,0)),""))</f>
        <v/>
      </c>
      <c r="F127" s="37">
        <f>IF($A127="","",IFERROR(INDEX('זה אני - קליטה'!$AL$5:$AL$204,MATCH($A127&amp;"|תחילת שנה",'זה אני - קליטה'!$AF$5:$AF$204,0)),""))</f>
        <v/>
      </c>
      <c r="G127" s="36">
        <f>IF($A127="","",IFERROR(INDEX('זה אני - קליטה'!$AG$5:$AG$204,MATCH($A127&amp;"|תחילת שנה",'זה אני - קליטה'!$AF$5:$AF$204,0)),""))</f>
        <v/>
      </c>
      <c r="H127" s="37">
        <f>IF($A127="","",IFERROR(INDEX('זה אני - קליטה'!$AN$5:$AN$204,MATCH($A127&amp;"|תחילת שנה",'זה אני - קליטה'!$AF$5:$AF$204,0)),""))</f>
        <v/>
      </c>
      <c r="I127" s="36">
        <f>IF($A127="","",IFERROR(INDEX('זה אני - קליטה'!$AW$5:$AW$204,MATCH($A127&amp;"|תחילת שנה",'זה אני - קליטה'!$AF$5:$AF$204,0)),""))</f>
        <v/>
      </c>
      <c r="J127" s="37">
        <f>IF($A127="","",IFERROR(INDEX('זה אני - קליטה'!$AH$5:$AH$204,MATCH($A127&amp;"|אמצע שנה",'זה אני - קליטה'!$AF$5:$AF$204,0)),""))</f>
        <v/>
      </c>
      <c r="K127" s="37">
        <f>IF($A127="","",IFERROR(INDEX('זה אני - קליטה'!$AI$5:$AI$204,MATCH($A127&amp;"|אמצע שנה",'זה אני - קליטה'!$AF$5:$AF$204,0)),""))</f>
        <v/>
      </c>
      <c r="L127" s="37">
        <f>IF($A127="","",IFERROR(INDEX('זה אני - קליטה'!$AJ$5:$AJ$204,MATCH($A127&amp;"|אמצע שנה",'זה אני - קליטה'!$AF$5:$AF$204,0)),""))</f>
        <v/>
      </c>
      <c r="M127" s="37">
        <f>IF($A127="","",IFERROR(INDEX('זה אני - קליטה'!$AK$5:$AK$204,MATCH($A127&amp;"|אמצע שנה",'זה אני - קליטה'!$AF$5:$AF$204,0)),""))</f>
        <v/>
      </c>
      <c r="N127" s="37">
        <f>IF($A127="","",IFERROR(INDEX('זה אני - קליטה'!$AL$5:$AL$204,MATCH($A127&amp;"|אמצע שנה",'זה אני - קליטה'!$AF$5:$AF$204,0)),""))</f>
        <v/>
      </c>
      <c r="O127" s="36">
        <f>IF($A127="","",IFERROR(INDEX('זה אני - קליטה'!$AG$5:$AG$204,MATCH($A127&amp;"|אמצע שנה",'זה אני - קליטה'!$AF$5:$AF$204,0)),""))</f>
        <v/>
      </c>
      <c r="P127" s="37">
        <f>IF($A127="","",IFERROR(INDEX('זה אני - קליטה'!$AN$5:$AN$204,MATCH($A127&amp;"|אמצע שנה",'זה אני - קליטה'!$AF$5:$AF$204,0)),""))</f>
        <v/>
      </c>
      <c r="Q127" s="36">
        <f>IF($A127="","",IFERROR(INDEX('זה אני - קליטה'!$AW$5:$AW$204,MATCH($A127&amp;"|אמצע שנה",'זה אני - קליטה'!$AF$5:$AF$204,0)),""))</f>
        <v/>
      </c>
      <c r="R127" s="37">
        <f>IF($A127="","",IFERROR(INDEX('זה אני - קליטה'!$AH$5:$AH$204,MATCH($A127&amp;"|סוף שנה",'זה אני - קליטה'!$AF$5:$AF$204,0)),""))</f>
        <v/>
      </c>
      <c r="S127" s="37">
        <f>IF($A127="","",IFERROR(INDEX('זה אני - קליטה'!$AI$5:$AI$204,MATCH($A127&amp;"|סוף שנה",'זה אני - קליטה'!$AF$5:$AF$204,0)),""))</f>
        <v/>
      </c>
      <c r="T127" s="37">
        <f>IF($A127="","",IFERROR(INDEX('זה אני - קליטה'!$AJ$5:$AJ$204,MATCH($A127&amp;"|סוף שנה",'זה אני - קליטה'!$AF$5:$AF$204,0)),""))</f>
        <v/>
      </c>
      <c r="U127" s="37">
        <f>IF($A127="","",IFERROR(INDEX('זה אני - קליטה'!$AK$5:$AK$204,MATCH($A127&amp;"|סוף שנה",'זה אני - קליטה'!$AF$5:$AF$204,0)),""))</f>
        <v/>
      </c>
      <c r="V127" s="37">
        <f>IF($A127="","",IFERROR(INDEX('זה אני - קליטה'!$AL$5:$AL$204,MATCH($A127&amp;"|סוף שנה",'זה אני - קליטה'!$AF$5:$AF$204,0)),""))</f>
        <v/>
      </c>
      <c r="W127" s="36">
        <f>IF($A127="","",IFERROR(INDEX('זה אני - קליטה'!$AG$5:$AG$204,MATCH($A127&amp;"|סוף שנה",'זה אני - קליטה'!$AF$5:$AF$204,0)),""))</f>
        <v/>
      </c>
      <c r="X127" s="37">
        <f>IF($A127="","",IFERROR(INDEX('זה אני - קליטה'!$AN$5:$AN$204,MATCH($A127&amp;"|סוף שנה",'זה אני - קליטה'!$AF$5:$AF$204,0)),""))</f>
        <v/>
      </c>
      <c r="Y127" s="36">
        <f>IF($A127="","",IFERROR(INDEX('זה אני - קליטה'!$AW$5:$AW$204,MATCH($A127&amp;"|סוף שנה",'זה אני - קליטה'!$AF$5:$AF$204,0)),""))</f>
        <v/>
      </c>
      <c r="Z127" s="43">
        <f>IF(AND(ISNUMBER(F127),ISNUMBER(V127)),V127-F127,"")</f>
        <v/>
      </c>
      <c r="AA127" s="36">
        <f>IF(Z127="","",IF(Z127&gt;=0.25,"עלייה",IF(Z127&lt;=-0.25,"ירידה","יציב")))</f>
        <v/>
      </c>
    </row>
    <row r="128">
      <c r="A128" s="38" t="n"/>
      <c r="B128" s="37">
        <f>IF($A128="","",IFERROR(INDEX('זה אני - קליטה'!$AH$5:$AH$204,MATCH($A128&amp;"|תחילת שנה",'זה אני - קליטה'!$AF$5:$AF$204,0)),""))</f>
        <v/>
      </c>
      <c r="C128" s="37">
        <f>IF($A128="","",IFERROR(INDEX('זה אני - קליטה'!$AI$5:$AI$204,MATCH($A128&amp;"|תחילת שנה",'זה אני - קליטה'!$AF$5:$AF$204,0)),""))</f>
        <v/>
      </c>
      <c r="D128" s="37">
        <f>IF($A128="","",IFERROR(INDEX('זה אני - קליטה'!$AJ$5:$AJ$204,MATCH($A128&amp;"|תחילת שנה",'זה אני - קליטה'!$AF$5:$AF$204,0)),""))</f>
        <v/>
      </c>
      <c r="E128" s="37">
        <f>IF($A128="","",IFERROR(INDEX('זה אני - קליטה'!$AK$5:$AK$204,MATCH($A128&amp;"|תחילת שנה",'זה אני - קליטה'!$AF$5:$AF$204,0)),""))</f>
        <v/>
      </c>
      <c r="F128" s="37">
        <f>IF($A128="","",IFERROR(INDEX('זה אני - קליטה'!$AL$5:$AL$204,MATCH($A128&amp;"|תחילת שנה",'זה אני - קליטה'!$AF$5:$AF$204,0)),""))</f>
        <v/>
      </c>
      <c r="G128" s="36">
        <f>IF($A128="","",IFERROR(INDEX('זה אני - קליטה'!$AG$5:$AG$204,MATCH($A128&amp;"|תחילת שנה",'זה אני - קליטה'!$AF$5:$AF$204,0)),""))</f>
        <v/>
      </c>
      <c r="H128" s="37">
        <f>IF($A128="","",IFERROR(INDEX('זה אני - קליטה'!$AN$5:$AN$204,MATCH($A128&amp;"|תחילת שנה",'זה אני - קליטה'!$AF$5:$AF$204,0)),""))</f>
        <v/>
      </c>
      <c r="I128" s="36">
        <f>IF($A128="","",IFERROR(INDEX('זה אני - קליטה'!$AW$5:$AW$204,MATCH($A128&amp;"|תחילת שנה",'זה אני - קליטה'!$AF$5:$AF$204,0)),""))</f>
        <v/>
      </c>
      <c r="J128" s="37">
        <f>IF($A128="","",IFERROR(INDEX('זה אני - קליטה'!$AH$5:$AH$204,MATCH($A128&amp;"|אמצע שנה",'זה אני - קליטה'!$AF$5:$AF$204,0)),""))</f>
        <v/>
      </c>
      <c r="K128" s="37">
        <f>IF($A128="","",IFERROR(INDEX('זה אני - קליטה'!$AI$5:$AI$204,MATCH($A128&amp;"|אמצע שנה",'זה אני - קליטה'!$AF$5:$AF$204,0)),""))</f>
        <v/>
      </c>
      <c r="L128" s="37">
        <f>IF($A128="","",IFERROR(INDEX('זה אני - קליטה'!$AJ$5:$AJ$204,MATCH($A128&amp;"|אמצע שנה",'זה אני - קליטה'!$AF$5:$AF$204,0)),""))</f>
        <v/>
      </c>
      <c r="M128" s="37">
        <f>IF($A128="","",IFERROR(INDEX('זה אני - קליטה'!$AK$5:$AK$204,MATCH($A128&amp;"|אמצע שנה",'זה אני - קליטה'!$AF$5:$AF$204,0)),""))</f>
        <v/>
      </c>
      <c r="N128" s="37">
        <f>IF($A128="","",IFERROR(INDEX('זה אני - קליטה'!$AL$5:$AL$204,MATCH($A128&amp;"|אמצע שנה",'זה אני - קליטה'!$AF$5:$AF$204,0)),""))</f>
        <v/>
      </c>
      <c r="O128" s="36">
        <f>IF($A128="","",IFERROR(INDEX('זה אני - קליטה'!$AG$5:$AG$204,MATCH($A128&amp;"|אמצע שנה",'זה אני - קליטה'!$AF$5:$AF$204,0)),""))</f>
        <v/>
      </c>
      <c r="P128" s="37">
        <f>IF($A128="","",IFERROR(INDEX('זה אני - קליטה'!$AN$5:$AN$204,MATCH($A128&amp;"|אמצע שנה",'זה אני - קליטה'!$AF$5:$AF$204,0)),""))</f>
        <v/>
      </c>
      <c r="Q128" s="36">
        <f>IF($A128="","",IFERROR(INDEX('זה אני - קליטה'!$AW$5:$AW$204,MATCH($A128&amp;"|אמצע שנה",'זה אני - קליטה'!$AF$5:$AF$204,0)),""))</f>
        <v/>
      </c>
      <c r="R128" s="37">
        <f>IF($A128="","",IFERROR(INDEX('זה אני - קליטה'!$AH$5:$AH$204,MATCH($A128&amp;"|סוף שנה",'זה אני - קליטה'!$AF$5:$AF$204,0)),""))</f>
        <v/>
      </c>
      <c r="S128" s="37">
        <f>IF($A128="","",IFERROR(INDEX('זה אני - קליטה'!$AI$5:$AI$204,MATCH($A128&amp;"|סוף שנה",'זה אני - קליטה'!$AF$5:$AF$204,0)),""))</f>
        <v/>
      </c>
      <c r="T128" s="37">
        <f>IF($A128="","",IFERROR(INDEX('זה אני - קליטה'!$AJ$5:$AJ$204,MATCH($A128&amp;"|סוף שנה",'זה אני - קליטה'!$AF$5:$AF$204,0)),""))</f>
        <v/>
      </c>
      <c r="U128" s="37">
        <f>IF($A128="","",IFERROR(INDEX('זה אני - קליטה'!$AK$5:$AK$204,MATCH($A128&amp;"|סוף שנה",'זה אני - קליטה'!$AF$5:$AF$204,0)),""))</f>
        <v/>
      </c>
      <c r="V128" s="37">
        <f>IF($A128="","",IFERROR(INDEX('זה אני - קליטה'!$AL$5:$AL$204,MATCH($A128&amp;"|סוף שנה",'זה אני - קליטה'!$AF$5:$AF$204,0)),""))</f>
        <v/>
      </c>
      <c r="W128" s="36">
        <f>IF($A128="","",IFERROR(INDEX('זה אני - קליטה'!$AG$5:$AG$204,MATCH($A128&amp;"|סוף שנה",'זה אני - קליטה'!$AF$5:$AF$204,0)),""))</f>
        <v/>
      </c>
      <c r="X128" s="37">
        <f>IF($A128="","",IFERROR(INDEX('זה אני - קליטה'!$AN$5:$AN$204,MATCH($A128&amp;"|סוף שנה",'זה אני - קליטה'!$AF$5:$AF$204,0)),""))</f>
        <v/>
      </c>
      <c r="Y128" s="36">
        <f>IF($A128="","",IFERROR(INDEX('זה אני - קליטה'!$AW$5:$AW$204,MATCH($A128&amp;"|סוף שנה",'זה אני - קליטה'!$AF$5:$AF$204,0)),""))</f>
        <v/>
      </c>
      <c r="Z128" s="43">
        <f>IF(AND(ISNUMBER(F128),ISNUMBER(V128)),V128-F128,"")</f>
        <v/>
      </c>
      <c r="AA128" s="36">
        <f>IF(Z128="","",IF(Z128&gt;=0.25,"עלייה",IF(Z128&lt;=-0.25,"ירידה","יציב")))</f>
        <v/>
      </c>
    </row>
    <row r="129">
      <c r="A129" s="38" t="n"/>
      <c r="B129" s="37">
        <f>IF($A129="","",IFERROR(INDEX('זה אני - קליטה'!$AH$5:$AH$204,MATCH($A129&amp;"|תחילת שנה",'זה אני - קליטה'!$AF$5:$AF$204,0)),""))</f>
        <v/>
      </c>
      <c r="C129" s="37">
        <f>IF($A129="","",IFERROR(INDEX('זה אני - קליטה'!$AI$5:$AI$204,MATCH($A129&amp;"|תחילת שנה",'זה אני - קליטה'!$AF$5:$AF$204,0)),""))</f>
        <v/>
      </c>
      <c r="D129" s="37">
        <f>IF($A129="","",IFERROR(INDEX('זה אני - קליטה'!$AJ$5:$AJ$204,MATCH($A129&amp;"|תחילת שנה",'זה אני - קליטה'!$AF$5:$AF$204,0)),""))</f>
        <v/>
      </c>
      <c r="E129" s="37">
        <f>IF($A129="","",IFERROR(INDEX('זה אני - קליטה'!$AK$5:$AK$204,MATCH($A129&amp;"|תחילת שנה",'זה אני - קליטה'!$AF$5:$AF$204,0)),""))</f>
        <v/>
      </c>
      <c r="F129" s="37">
        <f>IF($A129="","",IFERROR(INDEX('זה אני - קליטה'!$AL$5:$AL$204,MATCH($A129&amp;"|תחילת שנה",'זה אני - קליטה'!$AF$5:$AF$204,0)),""))</f>
        <v/>
      </c>
      <c r="G129" s="36">
        <f>IF($A129="","",IFERROR(INDEX('זה אני - קליטה'!$AG$5:$AG$204,MATCH($A129&amp;"|תחילת שנה",'זה אני - קליטה'!$AF$5:$AF$204,0)),""))</f>
        <v/>
      </c>
      <c r="H129" s="37">
        <f>IF($A129="","",IFERROR(INDEX('זה אני - קליטה'!$AN$5:$AN$204,MATCH($A129&amp;"|תחילת שנה",'זה אני - קליטה'!$AF$5:$AF$204,0)),""))</f>
        <v/>
      </c>
      <c r="I129" s="36">
        <f>IF($A129="","",IFERROR(INDEX('זה אני - קליטה'!$AW$5:$AW$204,MATCH($A129&amp;"|תחילת שנה",'זה אני - קליטה'!$AF$5:$AF$204,0)),""))</f>
        <v/>
      </c>
      <c r="J129" s="37">
        <f>IF($A129="","",IFERROR(INDEX('זה אני - קליטה'!$AH$5:$AH$204,MATCH($A129&amp;"|אמצע שנה",'זה אני - קליטה'!$AF$5:$AF$204,0)),""))</f>
        <v/>
      </c>
      <c r="K129" s="37">
        <f>IF($A129="","",IFERROR(INDEX('זה אני - קליטה'!$AI$5:$AI$204,MATCH($A129&amp;"|אמצע שנה",'זה אני - קליטה'!$AF$5:$AF$204,0)),""))</f>
        <v/>
      </c>
      <c r="L129" s="37">
        <f>IF($A129="","",IFERROR(INDEX('זה אני - קליטה'!$AJ$5:$AJ$204,MATCH($A129&amp;"|אמצע שנה",'זה אני - קליטה'!$AF$5:$AF$204,0)),""))</f>
        <v/>
      </c>
      <c r="M129" s="37">
        <f>IF($A129="","",IFERROR(INDEX('זה אני - קליטה'!$AK$5:$AK$204,MATCH($A129&amp;"|אמצע שנה",'זה אני - קליטה'!$AF$5:$AF$204,0)),""))</f>
        <v/>
      </c>
      <c r="N129" s="37">
        <f>IF($A129="","",IFERROR(INDEX('זה אני - קליטה'!$AL$5:$AL$204,MATCH($A129&amp;"|אמצע שנה",'זה אני - קליטה'!$AF$5:$AF$204,0)),""))</f>
        <v/>
      </c>
      <c r="O129" s="36">
        <f>IF($A129="","",IFERROR(INDEX('זה אני - קליטה'!$AG$5:$AG$204,MATCH($A129&amp;"|אמצע שנה",'זה אני - קליטה'!$AF$5:$AF$204,0)),""))</f>
        <v/>
      </c>
      <c r="P129" s="37">
        <f>IF($A129="","",IFERROR(INDEX('זה אני - קליטה'!$AN$5:$AN$204,MATCH($A129&amp;"|אמצע שנה",'זה אני - קליטה'!$AF$5:$AF$204,0)),""))</f>
        <v/>
      </c>
      <c r="Q129" s="36">
        <f>IF($A129="","",IFERROR(INDEX('זה אני - קליטה'!$AW$5:$AW$204,MATCH($A129&amp;"|אמצע שנה",'זה אני - קליטה'!$AF$5:$AF$204,0)),""))</f>
        <v/>
      </c>
      <c r="R129" s="37">
        <f>IF($A129="","",IFERROR(INDEX('זה אני - קליטה'!$AH$5:$AH$204,MATCH($A129&amp;"|סוף שנה",'זה אני - קליטה'!$AF$5:$AF$204,0)),""))</f>
        <v/>
      </c>
      <c r="S129" s="37">
        <f>IF($A129="","",IFERROR(INDEX('זה אני - קליטה'!$AI$5:$AI$204,MATCH($A129&amp;"|סוף שנה",'זה אני - קליטה'!$AF$5:$AF$204,0)),""))</f>
        <v/>
      </c>
      <c r="T129" s="37">
        <f>IF($A129="","",IFERROR(INDEX('זה אני - קליטה'!$AJ$5:$AJ$204,MATCH($A129&amp;"|סוף שנה",'זה אני - קליטה'!$AF$5:$AF$204,0)),""))</f>
        <v/>
      </c>
      <c r="U129" s="37">
        <f>IF($A129="","",IFERROR(INDEX('זה אני - קליטה'!$AK$5:$AK$204,MATCH($A129&amp;"|סוף שנה",'זה אני - קליטה'!$AF$5:$AF$204,0)),""))</f>
        <v/>
      </c>
      <c r="V129" s="37">
        <f>IF($A129="","",IFERROR(INDEX('זה אני - קליטה'!$AL$5:$AL$204,MATCH($A129&amp;"|סוף שנה",'זה אני - קליטה'!$AF$5:$AF$204,0)),""))</f>
        <v/>
      </c>
      <c r="W129" s="36">
        <f>IF($A129="","",IFERROR(INDEX('זה אני - קליטה'!$AG$5:$AG$204,MATCH($A129&amp;"|סוף שנה",'זה אני - קליטה'!$AF$5:$AF$204,0)),""))</f>
        <v/>
      </c>
      <c r="X129" s="37">
        <f>IF($A129="","",IFERROR(INDEX('זה אני - קליטה'!$AN$5:$AN$204,MATCH($A129&amp;"|סוף שנה",'זה אני - קליטה'!$AF$5:$AF$204,0)),""))</f>
        <v/>
      </c>
      <c r="Y129" s="36">
        <f>IF($A129="","",IFERROR(INDEX('זה אני - קליטה'!$AW$5:$AW$204,MATCH($A129&amp;"|סוף שנה",'זה אני - קליטה'!$AF$5:$AF$204,0)),""))</f>
        <v/>
      </c>
      <c r="Z129" s="43">
        <f>IF(AND(ISNUMBER(F129),ISNUMBER(V129)),V129-F129,"")</f>
        <v/>
      </c>
      <c r="AA129" s="36">
        <f>IF(Z129="","",IF(Z129&gt;=0.25,"עלייה",IF(Z129&lt;=-0.25,"ירידה","יציב")))</f>
        <v/>
      </c>
    </row>
    <row r="130">
      <c r="A130" s="38" t="n"/>
      <c r="B130" s="37">
        <f>IF($A130="","",IFERROR(INDEX('זה אני - קליטה'!$AH$5:$AH$204,MATCH($A130&amp;"|תחילת שנה",'זה אני - קליטה'!$AF$5:$AF$204,0)),""))</f>
        <v/>
      </c>
      <c r="C130" s="37">
        <f>IF($A130="","",IFERROR(INDEX('זה אני - קליטה'!$AI$5:$AI$204,MATCH($A130&amp;"|תחילת שנה",'זה אני - קליטה'!$AF$5:$AF$204,0)),""))</f>
        <v/>
      </c>
      <c r="D130" s="37">
        <f>IF($A130="","",IFERROR(INDEX('זה אני - קליטה'!$AJ$5:$AJ$204,MATCH($A130&amp;"|תחילת שנה",'זה אני - קליטה'!$AF$5:$AF$204,0)),""))</f>
        <v/>
      </c>
      <c r="E130" s="37">
        <f>IF($A130="","",IFERROR(INDEX('זה אני - קליטה'!$AK$5:$AK$204,MATCH($A130&amp;"|תחילת שנה",'זה אני - קליטה'!$AF$5:$AF$204,0)),""))</f>
        <v/>
      </c>
      <c r="F130" s="37">
        <f>IF($A130="","",IFERROR(INDEX('זה אני - קליטה'!$AL$5:$AL$204,MATCH($A130&amp;"|תחילת שנה",'זה אני - קליטה'!$AF$5:$AF$204,0)),""))</f>
        <v/>
      </c>
      <c r="G130" s="36">
        <f>IF($A130="","",IFERROR(INDEX('זה אני - קליטה'!$AG$5:$AG$204,MATCH($A130&amp;"|תחילת שנה",'זה אני - קליטה'!$AF$5:$AF$204,0)),""))</f>
        <v/>
      </c>
      <c r="H130" s="37">
        <f>IF($A130="","",IFERROR(INDEX('זה אני - קליטה'!$AN$5:$AN$204,MATCH($A130&amp;"|תחילת שנה",'זה אני - קליטה'!$AF$5:$AF$204,0)),""))</f>
        <v/>
      </c>
      <c r="I130" s="36">
        <f>IF($A130="","",IFERROR(INDEX('זה אני - קליטה'!$AW$5:$AW$204,MATCH($A130&amp;"|תחילת שנה",'זה אני - קליטה'!$AF$5:$AF$204,0)),""))</f>
        <v/>
      </c>
      <c r="J130" s="37">
        <f>IF($A130="","",IFERROR(INDEX('זה אני - קליטה'!$AH$5:$AH$204,MATCH($A130&amp;"|אמצע שנה",'זה אני - קליטה'!$AF$5:$AF$204,0)),""))</f>
        <v/>
      </c>
      <c r="K130" s="37">
        <f>IF($A130="","",IFERROR(INDEX('זה אני - קליטה'!$AI$5:$AI$204,MATCH($A130&amp;"|אמצע שנה",'זה אני - קליטה'!$AF$5:$AF$204,0)),""))</f>
        <v/>
      </c>
      <c r="L130" s="37">
        <f>IF($A130="","",IFERROR(INDEX('זה אני - קליטה'!$AJ$5:$AJ$204,MATCH($A130&amp;"|אמצע שנה",'זה אני - קליטה'!$AF$5:$AF$204,0)),""))</f>
        <v/>
      </c>
      <c r="M130" s="37">
        <f>IF($A130="","",IFERROR(INDEX('זה אני - קליטה'!$AK$5:$AK$204,MATCH($A130&amp;"|אמצע שנה",'זה אני - קליטה'!$AF$5:$AF$204,0)),""))</f>
        <v/>
      </c>
      <c r="N130" s="37">
        <f>IF($A130="","",IFERROR(INDEX('זה אני - קליטה'!$AL$5:$AL$204,MATCH($A130&amp;"|אמצע שנה",'זה אני - קליטה'!$AF$5:$AF$204,0)),""))</f>
        <v/>
      </c>
      <c r="O130" s="36">
        <f>IF($A130="","",IFERROR(INDEX('זה אני - קליטה'!$AG$5:$AG$204,MATCH($A130&amp;"|אמצע שנה",'זה אני - קליטה'!$AF$5:$AF$204,0)),""))</f>
        <v/>
      </c>
      <c r="P130" s="37">
        <f>IF($A130="","",IFERROR(INDEX('זה אני - קליטה'!$AN$5:$AN$204,MATCH($A130&amp;"|אמצע שנה",'זה אני - קליטה'!$AF$5:$AF$204,0)),""))</f>
        <v/>
      </c>
      <c r="Q130" s="36">
        <f>IF($A130="","",IFERROR(INDEX('זה אני - קליטה'!$AW$5:$AW$204,MATCH($A130&amp;"|אמצע שנה",'זה אני - קליטה'!$AF$5:$AF$204,0)),""))</f>
        <v/>
      </c>
      <c r="R130" s="37">
        <f>IF($A130="","",IFERROR(INDEX('זה אני - קליטה'!$AH$5:$AH$204,MATCH($A130&amp;"|סוף שנה",'זה אני - קליטה'!$AF$5:$AF$204,0)),""))</f>
        <v/>
      </c>
      <c r="S130" s="37">
        <f>IF($A130="","",IFERROR(INDEX('זה אני - קליטה'!$AI$5:$AI$204,MATCH($A130&amp;"|סוף שנה",'זה אני - קליטה'!$AF$5:$AF$204,0)),""))</f>
        <v/>
      </c>
      <c r="T130" s="37">
        <f>IF($A130="","",IFERROR(INDEX('זה אני - קליטה'!$AJ$5:$AJ$204,MATCH($A130&amp;"|סוף שנה",'זה אני - קליטה'!$AF$5:$AF$204,0)),""))</f>
        <v/>
      </c>
      <c r="U130" s="37">
        <f>IF($A130="","",IFERROR(INDEX('זה אני - קליטה'!$AK$5:$AK$204,MATCH($A130&amp;"|סוף שנה",'זה אני - קליטה'!$AF$5:$AF$204,0)),""))</f>
        <v/>
      </c>
      <c r="V130" s="37">
        <f>IF($A130="","",IFERROR(INDEX('זה אני - קליטה'!$AL$5:$AL$204,MATCH($A130&amp;"|סוף שנה",'זה אני - קליטה'!$AF$5:$AF$204,0)),""))</f>
        <v/>
      </c>
      <c r="W130" s="36">
        <f>IF($A130="","",IFERROR(INDEX('זה אני - קליטה'!$AG$5:$AG$204,MATCH($A130&amp;"|סוף שנה",'זה אני - קליטה'!$AF$5:$AF$204,0)),""))</f>
        <v/>
      </c>
      <c r="X130" s="37">
        <f>IF($A130="","",IFERROR(INDEX('זה אני - קליטה'!$AN$5:$AN$204,MATCH($A130&amp;"|סוף שנה",'זה אני - קליטה'!$AF$5:$AF$204,0)),""))</f>
        <v/>
      </c>
      <c r="Y130" s="36">
        <f>IF($A130="","",IFERROR(INDEX('זה אני - קליטה'!$AW$5:$AW$204,MATCH($A130&amp;"|סוף שנה",'זה אני - קליטה'!$AF$5:$AF$204,0)),""))</f>
        <v/>
      </c>
      <c r="Z130" s="43">
        <f>IF(AND(ISNUMBER(F130),ISNUMBER(V130)),V130-F130,"")</f>
        <v/>
      </c>
      <c r="AA130" s="36">
        <f>IF(Z130="","",IF(Z130&gt;=0.25,"עלייה",IF(Z130&lt;=-0.25,"ירידה","יציב")))</f>
        <v/>
      </c>
    </row>
    <row r="131">
      <c r="A131" s="38" t="n"/>
      <c r="B131" s="37">
        <f>IF($A131="","",IFERROR(INDEX('זה אני - קליטה'!$AH$5:$AH$204,MATCH($A131&amp;"|תחילת שנה",'זה אני - קליטה'!$AF$5:$AF$204,0)),""))</f>
        <v/>
      </c>
      <c r="C131" s="37">
        <f>IF($A131="","",IFERROR(INDEX('זה אני - קליטה'!$AI$5:$AI$204,MATCH($A131&amp;"|תחילת שנה",'זה אני - קליטה'!$AF$5:$AF$204,0)),""))</f>
        <v/>
      </c>
      <c r="D131" s="37">
        <f>IF($A131="","",IFERROR(INDEX('זה אני - קליטה'!$AJ$5:$AJ$204,MATCH($A131&amp;"|תחילת שנה",'זה אני - קליטה'!$AF$5:$AF$204,0)),""))</f>
        <v/>
      </c>
      <c r="E131" s="37">
        <f>IF($A131="","",IFERROR(INDEX('זה אני - קליטה'!$AK$5:$AK$204,MATCH($A131&amp;"|תחילת שנה",'זה אני - קליטה'!$AF$5:$AF$204,0)),""))</f>
        <v/>
      </c>
      <c r="F131" s="37">
        <f>IF($A131="","",IFERROR(INDEX('זה אני - קליטה'!$AL$5:$AL$204,MATCH($A131&amp;"|תחילת שנה",'זה אני - קליטה'!$AF$5:$AF$204,0)),""))</f>
        <v/>
      </c>
      <c r="G131" s="36">
        <f>IF($A131="","",IFERROR(INDEX('זה אני - קליטה'!$AG$5:$AG$204,MATCH($A131&amp;"|תחילת שנה",'זה אני - קליטה'!$AF$5:$AF$204,0)),""))</f>
        <v/>
      </c>
      <c r="H131" s="37">
        <f>IF($A131="","",IFERROR(INDEX('זה אני - קליטה'!$AN$5:$AN$204,MATCH($A131&amp;"|תחילת שנה",'זה אני - קליטה'!$AF$5:$AF$204,0)),""))</f>
        <v/>
      </c>
      <c r="I131" s="36">
        <f>IF($A131="","",IFERROR(INDEX('זה אני - קליטה'!$AW$5:$AW$204,MATCH($A131&amp;"|תחילת שנה",'זה אני - קליטה'!$AF$5:$AF$204,0)),""))</f>
        <v/>
      </c>
      <c r="J131" s="37">
        <f>IF($A131="","",IFERROR(INDEX('זה אני - קליטה'!$AH$5:$AH$204,MATCH($A131&amp;"|אמצע שנה",'זה אני - קליטה'!$AF$5:$AF$204,0)),""))</f>
        <v/>
      </c>
      <c r="K131" s="37">
        <f>IF($A131="","",IFERROR(INDEX('זה אני - קליטה'!$AI$5:$AI$204,MATCH($A131&amp;"|אמצע שנה",'זה אני - קליטה'!$AF$5:$AF$204,0)),""))</f>
        <v/>
      </c>
      <c r="L131" s="37">
        <f>IF($A131="","",IFERROR(INDEX('זה אני - קליטה'!$AJ$5:$AJ$204,MATCH($A131&amp;"|אמצע שנה",'זה אני - קליטה'!$AF$5:$AF$204,0)),""))</f>
        <v/>
      </c>
      <c r="M131" s="37">
        <f>IF($A131="","",IFERROR(INDEX('זה אני - קליטה'!$AK$5:$AK$204,MATCH($A131&amp;"|אמצע שנה",'זה אני - קליטה'!$AF$5:$AF$204,0)),""))</f>
        <v/>
      </c>
      <c r="N131" s="37">
        <f>IF($A131="","",IFERROR(INDEX('זה אני - קליטה'!$AL$5:$AL$204,MATCH($A131&amp;"|אמצע שנה",'זה אני - קליטה'!$AF$5:$AF$204,0)),""))</f>
        <v/>
      </c>
      <c r="O131" s="36">
        <f>IF($A131="","",IFERROR(INDEX('זה אני - קליטה'!$AG$5:$AG$204,MATCH($A131&amp;"|אמצע שנה",'זה אני - קליטה'!$AF$5:$AF$204,0)),""))</f>
        <v/>
      </c>
      <c r="P131" s="37">
        <f>IF($A131="","",IFERROR(INDEX('זה אני - קליטה'!$AN$5:$AN$204,MATCH($A131&amp;"|אמצע שנה",'זה אני - קליטה'!$AF$5:$AF$204,0)),""))</f>
        <v/>
      </c>
      <c r="Q131" s="36">
        <f>IF($A131="","",IFERROR(INDEX('זה אני - קליטה'!$AW$5:$AW$204,MATCH($A131&amp;"|אמצע שנה",'זה אני - קליטה'!$AF$5:$AF$204,0)),""))</f>
        <v/>
      </c>
      <c r="R131" s="37">
        <f>IF($A131="","",IFERROR(INDEX('זה אני - קליטה'!$AH$5:$AH$204,MATCH($A131&amp;"|סוף שנה",'זה אני - קליטה'!$AF$5:$AF$204,0)),""))</f>
        <v/>
      </c>
      <c r="S131" s="37">
        <f>IF($A131="","",IFERROR(INDEX('זה אני - קליטה'!$AI$5:$AI$204,MATCH($A131&amp;"|סוף שנה",'זה אני - קליטה'!$AF$5:$AF$204,0)),""))</f>
        <v/>
      </c>
      <c r="T131" s="37">
        <f>IF($A131="","",IFERROR(INDEX('זה אני - קליטה'!$AJ$5:$AJ$204,MATCH($A131&amp;"|סוף שנה",'זה אני - קליטה'!$AF$5:$AF$204,0)),""))</f>
        <v/>
      </c>
      <c r="U131" s="37">
        <f>IF($A131="","",IFERROR(INDEX('זה אני - קליטה'!$AK$5:$AK$204,MATCH($A131&amp;"|סוף שנה",'זה אני - קליטה'!$AF$5:$AF$204,0)),""))</f>
        <v/>
      </c>
      <c r="V131" s="37">
        <f>IF($A131="","",IFERROR(INDEX('זה אני - קליטה'!$AL$5:$AL$204,MATCH($A131&amp;"|סוף שנה",'זה אני - קליטה'!$AF$5:$AF$204,0)),""))</f>
        <v/>
      </c>
      <c r="W131" s="36">
        <f>IF($A131="","",IFERROR(INDEX('זה אני - קליטה'!$AG$5:$AG$204,MATCH($A131&amp;"|סוף שנה",'זה אני - קליטה'!$AF$5:$AF$204,0)),""))</f>
        <v/>
      </c>
      <c r="X131" s="37">
        <f>IF($A131="","",IFERROR(INDEX('זה אני - קליטה'!$AN$5:$AN$204,MATCH($A131&amp;"|סוף שנה",'זה אני - קליטה'!$AF$5:$AF$204,0)),""))</f>
        <v/>
      </c>
      <c r="Y131" s="36">
        <f>IF($A131="","",IFERROR(INDEX('זה אני - קליטה'!$AW$5:$AW$204,MATCH($A131&amp;"|סוף שנה",'זה אני - קליטה'!$AF$5:$AF$204,0)),""))</f>
        <v/>
      </c>
      <c r="Z131" s="43">
        <f>IF(AND(ISNUMBER(F131),ISNUMBER(V131)),V131-F131,"")</f>
        <v/>
      </c>
      <c r="AA131" s="36">
        <f>IF(Z131="","",IF(Z131&gt;=0.25,"עלייה",IF(Z131&lt;=-0.25,"ירידה","יציב")))</f>
        <v/>
      </c>
    </row>
    <row r="132">
      <c r="A132" s="38" t="n"/>
      <c r="B132" s="37">
        <f>IF($A132="","",IFERROR(INDEX('זה אני - קליטה'!$AH$5:$AH$204,MATCH($A132&amp;"|תחילת שנה",'זה אני - קליטה'!$AF$5:$AF$204,0)),""))</f>
        <v/>
      </c>
      <c r="C132" s="37">
        <f>IF($A132="","",IFERROR(INDEX('זה אני - קליטה'!$AI$5:$AI$204,MATCH($A132&amp;"|תחילת שנה",'זה אני - קליטה'!$AF$5:$AF$204,0)),""))</f>
        <v/>
      </c>
      <c r="D132" s="37">
        <f>IF($A132="","",IFERROR(INDEX('זה אני - קליטה'!$AJ$5:$AJ$204,MATCH($A132&amp;"|תחילת שנה",'זה אני - קליטה'!$AF$5:$AF$204,0)),""))</f>
        <v/>
      </c>
      <c r="E132" s="37">
        <f>IF($A132="","",IFERROR(INDEX('זה אני - קליטה'!$AK$5:$AK$204,MATCH($A132&amp;"|תחילת שנה",'זה אני - קליטה'!$AF$5:$AF$204,0)),""))</f>
        <v/>
      </c>
      <c r="F132" s="37">
        <f>IF($A132="","",IFERROR(INDEX('זה אני - קליטה'!$AL$5:$AL$204,MATCH($A132&amp;"|תחילת שנה",'זה אני - קליטה'!$AF$5:$AF$204,0)),""))</f>
        <v/>
      </c>
      <c r="G132" s="36">
        <f>IF($A132="","",IFERROR(INDEX('זה אני - קליטה'!$AG$5:$AG$204,MATCH($A132&amp;"|תחילת שנה",'זה אני - קליטה'!$AF$5:$AF$204,0)),""))</f>
        <v/>
      </c>
      <c r="H132" s="37">
        <f>IF($A132="","",IFERROR(INDEX('זה אני - קליטה'!$AN$5:$AN$204,MATCH($A132&amp;"|תחילת שנה",'זה אני - קליטה'!$AF$5:$AF$204,0)),""))</f>
        <v/>
      </c>
      <c r="I132" s="36">
        <f>IF($A132="","",IFERROR(INDEX('זה אני - קליטה'!$AW$5:$AW$204,MATCH($A132&amp;"|תחילת שנה",'זה אני - קליטה'!$AF$5:$AF$204,0)),""))</f>
        <v/>
      </c>
      <c r="J132" s="37">
        <f>IF($A132="","",IFERROR(INDEX('זה אני - קליטה'!$AH$5:$AH$204,MATCH($A132&amp;"|אמצע שנה",'זה אני - קליטה'!$AF$5:$AF$204,0)),""))</f>
        <v/>
      </c>
      <c r="K132" s="37">
        <f>IF($A132="","",IFERROR(INDEX('זה אני - קליטה'!$AI$5:$AI$204,MATCH($A132&amp;"|אמצע שנה",'זה אני - קליטה'!$AF$5:$AF$204,0)),""))</f>
        <v/>
      </c>
      <c r="L132" s="37">
        <f>IF($A132="","",IFERROR(INDEX('זה אני - קליטה'!$AJ$5:$AJ$204,MATCH($A132&amp;"|אמצע שנה",'זה אני - קליטה'!$AF$5:$AF$204,0)),""))</f>
        <v/>
      </c>
      <c r="M132" s="37">
        <f>IF($A132="","",IFERROR(INDEX('זה אני - קליטה'!$AK$5:$AK$204,MATCH($A132&amp;"|אמצע שנה",'זה אני - קליטה'!$AF$5:$AF$204,0)),""))</f>
        <v/>
      </c>
      <c r="N132" s="37">
        <f>IF($A132="","",IFERROR(INDEX('זה אני - קליטה'!$AL$5:$AL$204,MATCH($A132&amp;"|אמצע שנה",'זה אני - קליטה'!$AF$5:$AF$204,0)),""))</f>
        <v/>
      </c>
      <c r="O132" s="36">
        <f>IF($A132="","",IFERROR(INDEX('זה אני - קליטה'!$AG$5:$AG$204,MATCH($A132&amp;"|אמצע שנה",'זה אני - קליטה'!$AF$5:$AF$204,0)),""))</f>
        <v/>
      </c>
      <c r="P132" s="37">
        <f>IF($A132="","",IFERROR(INDEX('זה אני - קליטה'!$AN$5:$AN$204,MATCH($A132&amp;"|אמצע שנה",'זה אני - קליטה'!$AF$5:$AF$204,0)),""))</f>
        <v/>
      </c>
      <c r="Q132" s="36">
        <f>IF($A132="","",IFERROR(INDEX('זה אני - קליטה'!$AW$5:$AW$204,MATCH($A132&amp;"|אמצע שנה",'זה אני - קליטה'!$AF$5:$AF$204,0)),""))</f>
        <v/>
      </c>
      <c r="R132" s="37">
        <f>IF($A132="","",IFERROR(INDEX('זה אני - קליטה'!$AH$5:$AH$204,MATCH($A132&amp;"|סוף שנה",'זה אני - קליטה'!$AF$5:$AF$204,0)),""))</f>
        <v/>
      </c>
      <c r="S132" s="37">
        <f>IF($A132="","",IFERROR(INDEX('זה אני - קליטה'!$AI$5:$AI$204,MATCH($A132&amp;"|סוף שנה",'זה אני - קליטה'!$AF$5:$AF$204,0)),""))</f>
        <v/>
      </c>
      <c r="T132" s="37">
        <f>IF($A132="","",IFERROR(INDEX('זה אני - קליטה'!$AJ$5:$AJ$204,MATCH($A132&amp;"|סוף שנה",'זה אני - קליטה'!$AF$5:$AF$204,0)),""))</f>
        <v/>
      </c>
      <c r="U132" s="37">
        <f>IF($A132="","",IFERROR(INDEX('זה אני - קליטה'!$AK$5:$AK$204,MATCH($A132&amp;"|סוף שנה",'זה אני - קליטה'!$AF$5:$AF$204,0)),""))</f>
        <v/>
      </c>
      <c r="V132" s="37">
        <f>IF($A132="","",IFERROR(INDEX('זה אני - קליטה'!$AL$5:$AL$204,MATCH($A132&amp;"|סוף שנה",'זה אני - קליטה'!$AF$5:$AF$204,0)),""))</f>
        <v/>
      </c>
      <c r="W132" s="36">
        <f>IF($A132="","",IFERROR(INDEX('זה אני - קליטה'!$AG$5:$AG$204,MATCH($A132&amp;"|סוף שנה",'זה אני - קליטה'!$AF$5:$AF$204,0)),""))</f>
        <v/>
      </c>
      <c r="X132" s="37">
        <f>IF($A132="","",IFERROR(INDEX('זה אני - קליטה'!$AN$5:$AN$204,MATCH($A132&amp;"|סוף שנה",'זה אני - קליטה'!$AF$5:$AF$204,0)),""))</f>
        <v/>
      </c>
      <c r="Y132" s="36">
        <f>IF($A132="","",IFERROR(INDEX('זה אני - קליטה'!$AW$5:$AW$204,MATCH($A132&amp;"|סוף שנה",'זה אני - קליטה'!$AF$5:$AF$204,0)),""))</f>
        <v/>
      </c>
      <c r="Z132" s="43">
        <f>IF(AND(ISNUMBER(F132),ISNUMBER(V132)),V132-F132,"")</f>
        <v/>
      </c>
      <c r="AA132" s="36">
        <f>IF(Z132="","",IF(Z132&gt;=0.25,"עלייה",IF(Z132&lt;=-0.25,"ירידה","יציב")))</f>
        <v/>
      </c>
    </row>
    <row r="133">
      <c r="A133" s="38" t="n"/>
      <c r="B133" s="37">
        <f>IF($A133="","",IFERROR(INDEX('זה אני - קליטה'!$AH$5:$AH$204,MATCH($A133&amp;"|תחילת שנה",'זה אני - קליטה'!$AF$5:$AF$204,0)),""))</f>
        <v/>
      </c>
      <c r="C133" s="37">
        <f>IF($A133="","",IFERROR(INDEX('זה אני - קליטה'!$AI$5:$AI$204,MATCH($A133&amp;"|תחילת שנה",'זה אני - קליטה'!$AF$5:$AF$204,0)),""))</f>
        <v/>
      </c>
      <c r="D133" s="37">
        <f>IF($A133="","",IFERROR(INDEX('זה אני - קליטה'!$AJ$5:$AJ$204,MATCH($A133&amp;"|תחילת שנה",'זה אני - קליטה'!$AF$5:$AF$204,0)),""))</f>
        <v/>
      </c>
      <c r="E133" s="37">
        <f>IF($A133="","",IFERROR(INDEX('זה אני - קליטה'!$AK$5:$AK$204,MATCH($A133&amp;"|תחילת שנה",'זה אני - קליטה'!$AF$5:$AF$204,0)),""))</f>
        <v/>
      </c>
      <c r="F133" s="37">
        <f>IF($A133="","",IFERROR(INDEX('זה אני - קליטה'!$AL$5:$AL$204,MATCH($A133&amp;"|תחילת שנה",'זה אני - קליטה'!$AF$5:$AF$204,0)),""))</f>
        <v/>
      </c>
      <c r="G133" s="36">
        <f>IF($A133="","",IFERROR(INDEX('זה אני - קליטה'!$AG$5:$AG$204,MATCH($A133&amp;"|תחילת שנה",'זה אני - קליטה'!$AF$5:$AF$204,0)),""))</f>
        <v/>
      </c>
      <c r="H133" s="37">
        <f>IF($A133="","",IFERROR(INDEX('זה אני - קליטה'!$AN$5:$AN$204,MATCH($A133&amp;"|תחילת שנה",'זה אני - קליטה'!$AF$5:$AF$204,0)),""))</f>
        <v/>
      </c>
      <c r="I133" s="36">
        <f>IF($A133="","",IFERROR(INDEX('זה אני - קליטה'!$AW$5:$AW$204,MATCH($A133&amp;"|תחילת שנה",'זה אני - קליטה'!$AF$5:$AF$204,0)),""))</f>
        <v/>
      </c>
      <c r="J133" s="37">
        <f>IF($A133="","",IFERROR(INDEX('זה אני - קליטה'!$AH$5:$AH$204,MATCH($A133&amp;"|אמצע שנה",'זה אני - קליטה'!$AF$5:$AF$204,0)),""))</f>
        <v/>
      </c>
      <c r="K133" s="37">
        <f>IF($A133="","",IFERROR(INDEX('זה אני - קליטה'!$AI$5:$AI$204,MATCH($A133&amp;"|אמצע שנה",'זה אני - קליטה'!$AF$5:$AF$204,0)),""))</f>
        <v/>
      </c>
      <c r="L133" s="37">
        <f>IF($A133="","",IFERROR(INDEX('זה אני - קליטה'!$AJ$5:$AJ$204,MATCH($A133&amp;"|אמצע שנה",'זה אני - קליטה'!$AF$5:$AF$204,0)),""))</f>
        <v/>
      </c>
      <c r="M133" s="37">
        <f>IF($A133="","",IFERROR(INDEX('זה אני - קליטה'!$AK$5:$AK$204,MATCH($A133&amp;"|אמצע שנה",'זה אני - קליטה'!$AF$5:$AF$204,0)),""))</f>
        <v/>
      </c>
      <c r="N133" s="37">
        <f>IF($A133="","",IFERROR(INDEX('זה אני - קליטה'!$AL$5:$AL$204,MATCH($A133&amp;"|אמצע שנה",'זה אני - קליטה'!$AF$5:$AF$204,0)),""))</f>
        <v/>
      </c>
      <c r="O133" s="36">
        <f>IF($A133="","",IFERROR(INDEX('זה אני - קליטה'!$AG$5:$AG$204,MATCH($A133&amp;"|אמצע שנה",'זה אני - קליטה'!$AF$5:$AF$204,0)),""))</f>
        <v/>
      </c>
      <c r="P133" s="37">
        <f>IF($A133="","",IFERROR(INDEX('זה אני - קליטה'!$AN$5:$AN$204,MATCH($A133&amp;"|אמצע שנה",'זה אני - קליטה'!$AF$5:$AF$204,0)),""))</f>
        <v/>
      </c>
      <c r="Q133" s="36">
        <f>IF($A133="","",IFERROR(INDEX('זה אני - קליטה'!$AW$5:$AW$204,MATCH($A133&amp;"|אמצע שנה",'זה אני - קליטה'!$AF$5:$AF$204,0)),""))</f>
        <v/>
      </c>
      <c r="R133" s="37">
        <f>IF($A133="","",IFERROR(INDEX('זה אני - קליטה'!$AH$5:$AH$204,MATCH($A133&amp;"|סוף שנה",'זה אני - קליטה'!$AF$5:$AF$204,0)),""))</f>
        <v/>
      </c>
      <c r="S133" s="37">
        <f>IF($A133="","",IFERROR(INDEX('זה אני - קליטה'!$AI$5:$AI$204,MATCH($A133&amp;"|סוף שנה",'זה אני - קליטה'!$AF$5:$AF$204,0)),""))</f>
        <v/>
      </c>
      <c r="T133" s="37">
        <f>IF($A133="","",IFERROR(INDEX('זה אני - קליטה'!$AJ$5:$AJ$204,MATCH($A133&amp;"|סוף שנה",'זה אני - קליטה'!$AF$5:$AF$204,0)),""))</f>
        <v/>
      </c>
      <c r="U133" s="37">
        <f>IF($A133="","",IFERROR(INDEX('זה אני - קליטה'!$AK$5:$AK$204,MATCH($A133&amp;"|סוף שנה",'זה אני - קליטה'!$AF$5:$AF$204,0)),""))</f>
        <v/>
      </c>
      <c r="V133" s="37">
        <f>IF($A133="","",IFERROR(INDEX('זה אני - קליטה'!$AL$5:$AL$204,MATCH($A133&amp;"|סוף שנה",'זה אני - קליטה'!$AF$5:$AF$204,0)),""))</f>
        <v/>
      </c>
      <c r="W133" s="36">
        <f>IF($A133="","",IFERROR(INDEX('זה אני - קליטה'!$AG$5:$AG$204,MATCH($A133&amp;"|סוף שנה",'זה אני - קליטה'!$AF$5:$AF$204,0)),""))</f>
        <v/>
      </c>
      <c r="X133" s="37">
        <f>IF($A133="","",IFERROR(INDEX('זה אני - קליטה'!$AN$5:$AN$204,MATCH($A133&amp;"|סוף שנה",'זה אני - קליטה'!$AF$5:$AF$204,0)),""))</f>
        <v/>
      </c>
      <c r="Y133" s="36">
        <f>IF($A133="","",IFERROR(INDEX('זה אני - קליטה'!$AW$5:$AW$204,MATCH($A133&amp;"|סוף שנה",'זה אני - קליטה'!$AF$5:$AF$204,0)),""))</f>
        <v/>
      </c>
      <c r="Z133" s="43">
        <f>IF(AND(ISNUMBER(F133),ISNUMBER(V133)),V133-F133,"")</f>
        <v/>
      </c>
      <c r="AA133" s="36">
        <f>IF(Z133="","",IF(Z133&gt;=0.25,"עלייה",IF(Z133&lt;=-0.25,"ירידה","יציב")))</f>
        <v/>
      </c>
    </row>
    <row r="134">
      <c r="A134" s="38" t="n"/>
      <c r="B134" s="37">
        <f>IF($A134="","",IFERROR(INDEX('זה אני - קליטה'!$AH$5:$AH$204,MATCH($A134&amp;"|תחילת שנה",'זה אני - קליטה'!$AF$5:$AF$204,0)),""))</f>
        <v/>
      </c>
      <c r="C134" s="37">
        <f>IF($A134="","",IFERROR(INDEX('זה אני - קליטה'!$AI$5:$AI$204,MATCH($A134&amp;"|תחילת שנה",'זה אני - קליטה'!$AF$5:$AF$204,0)),""))</f>
        <v/>
      </c>
      <c r="D134" s="37">
        <f>IF($A134="","",IFERROR(INDEX('זה אני - קליטה'!$AJ$5:$AJ$204,MATCH($A134&amp;"|תחילת שנה",'זה אני - קליטה'!$AF$5:$AF$204,0)),""))</f>
        <v/>
      </c>
      <c r="E134" s="37">
        <f>IF($A134="","",IFERROR(INDEX('זה אני - קליטה'!$AK$5:$AK$204,MATCH($A134&amp;"|תחילת שנה",'זה אני - קליטה'!$AF$5:$AF$204,0)),""))</f>
        <v/>
      </c>
      <c r="F134" s="37">
        <f>IF($A134="","",IFERROR(INDEX('זה אני - קליטה'!$AL$5:$AL$204,MATCH($A134&amp;"|תחילת שנה",'זה אני - קליטה'!$AF$5:$AF$204,0)),""))</f>
        <v/>
      </c>
      <c r="G134" s="36">
        <f>IF($A134="","",IFERROR(INDEX('זה אני - קליטה'!$AG$5:$AG$204,MATCH($A134&amp;"|תחילת שנה",'זה אני - קליטה'!$AF$5:$AF$204,0)),""))</f>
        <v/>
      </c>
      <c r="H134" s="37">
        <f>IF($A134="","",IFERROR(INDEX('זה אני - קליטה'!$AN$5:$AN$204,MATCH($A134&amp;"|תחילת שנה",'זה אני - קליטה'!$AF$5:$AF$204,0)),""))</f>
        <v/>
      </c>
      <c r="I134" s="36">
        <f>IF($A134="","",IFERROR(INDEX('זה אני - קליטה'!$AW$5:$AW$204,MATCH($A134&amp;"|תחילת שנה",'זה אני - קליטה'!$AF$5:$AF$204,0)),""))</f>
        <v/>
      </c>
      <c r="J134" s="37">
        <f>IF($A134="","",IFERROR(INDEX('זה אני - קליטה'!$AH$5:$AH$204,MATCH($A134&amp;"|אמצע שנה",'זה אני - קליטה'!$AF$5:$AF$204,0)),""))</f>
        <v/>
      </c>
      <c r="K134" s="37">
        <f>IF($A134="","",IFERROR(INDEX('זה אני - קליטה'!$AI$5:$AI$204,MATCH($A134&amp;"|אמצע שנה",'זה אני - קליטה'!$AF$5:$AF$204,0)),""))</f>
        <v/>
      </c>
      <c r="L134" s="37">
        <f>IF($A134="","",IFERROR(INDEX('זה אני - קליטה'!$AJ$5:$AJ$204,MATCH($A134&amp;"|אמצע שנה",'זה אני - קליטה'!$AF$5:$AF$204,0)),""))</f>
        <v/>
      </c>
      <c r="M134" s="37">
        <f>IF($A134="","",IFERROR(INDEX('זה אני - קליטה'!$AK$5:$AK$204,MATCH($A134&amp;"|אמצע שנה",'זה אני - קליטה'!$AF$5:$AF$204,0)),""))</f>
        <v/>
      </c>
      <c r="N134" s="37">
        <f>IF($A134="","",IFERROR(INDEX('זה אני - קליטה'!$AL$5:$AL$204,MATCH($A134&amp;"|אמצע שנה",'זה אני - קליטה'!$AF$5:$AF$204,0)),""))</f>
        <v/>
      </c>
      <c r="O134" s="36">
        <f>IF($A134="","",IFERROR(INDEX('זה אני - קליטה'!$AG$5:$AG$204,MATCH($A134&amp;"|אמצע שנה",'זה אני - קליטה'!$AF$5:$AF$204,0)),""))</f>
        <v/>
      </c>
      <c r="P134" s="37">
        <f>IF($A134="","",IFERROR(INDEX('זה אני - קליטה'!$AN$5:$AN$204,MATCH($A134&amp;"|אמצע שנה",'זה אני - קליטה'!$AF$5:$AF$204,0)),""))</f>
        <v/>
      </c>
      <c r="Q134" s="36">
        <f>IF($A134="","",IFERROR(INDEX('זה אני - קליטה'!$AW$5:$AW$204,MATCH($A134&amp;"|אמצע שנה",'זה אני - קליטה'!$AF$5:$AF$204,0)),""))</f>
        <v/>
      </c>
      <c r="R134" s="37">
        <f>IF($A134="","",IFERROR(INDEX('זה אני - קליטה'!$AH$5:$AH$204,MATCH($A134&amp;"|סוף שנה",'זה אני - קליטה'!$AF$5:$AF$204,0)),""))</f>
        <v/>
      </c>
      <c r="S134" s="37">
        <f>IF($A134="","",IFERROR(INDEX('זה אני - קליטה'!$AI$5:$AI$204,MATCH($A134&amp;"|סוף שנה",'זה אני - קליטה'!$AF$5:$AF$204,0)),""))</f>
        <v/>
      </c>
      <c r="T134" s="37">
        <f>IF($A134="","",IFERROR(INDEX('זה אני - קליטה'!$AJ$5:$AJ$204,MATCH($A134&amp;"|סוף שנה",'זה אני - קליטה'!$AF$5:$AF$204,0)),""))</f>
        <v/>
      </c>
      <c r="U134" s="37">
        <f>IF($A134="","",IFERROR(INDEX('זה אני - קליטה'!$AK$5:$AK$204,MATCH($A134&amp;"|סוף שנה",'זה אני - קליטה'!$AF$5:$AF$204,0)),""))</f>
        <v/>
      </c>
      <c r="V134" s="37">
        <f>IF($A134="","",IFERROR(INDEX('זה אני - קליטה'!$AL$5:$AL$204,MATCH($A134&amp;"|סוף שנה",'זה אני - קליטה'!$AF$5:$AF$204,0)),""))</f>
        <v/>
      </c>
      <c r="W134" s="36">
        <f>IF($A134="","",IFERROR(INDEX('זה אני - קליטה'!$AG$5:$AG$204,MATCH($A134&amp;"|סוף שנה",'זה אני - קליטה'!$AF$5:$AF$204,0)),""))</f>
        <v/>
      </c>
      <c r="X134" s="37">
        <f>IF($A134="","",IFERROR(INDEX('זה אני - קליטה'!$AN$5:$AN$204,MATCH($A134&amp;"|סוף שנה",'זה אני - קליטה'!$AF$5:$AF$204,0)),""))</f>
        <v/>
      </c>
      <c r="Y134" s="36">
        <f>IF($A134="","",IFERROR(INDEX('זה אני - קליטה'!$AW$5:$AW$204,MATCH($A134&amp;"|סוף שנה",'זה אני - קליטה'!$AF$5:$AF$204,0)),""))</f>
        <v/>
      </c>
      <c r="Z134" s="43">
        <f>IF(AND(ISNUMBER(F134),ISNUMBER(V134)),V134-F134,"")</f>
        <v/>
      </c>
      <c r="AA134" s="36">
        <f>IF(Z134="","",IF(Z134&gt;=0.25,"עלייה",IF(Z134&lt;=-0.25,"ירידה","יציב")))</f>
        <v/>
      </c>
    </row>
    <row r="135">
      <c r="A135" s="38" t="n"/>
      <c r="B135" s="37">
        <f>IF($A135="","",IFERROR(INDEX('זה אני - קליטה'!$AH$5:$AH$204,MATCH($A135&amp;"|תחילת שנה",'זה אני - קליטה'!$AF$5:$AF$204,0)),""))</f>
        <v/>
      </c>
      <c r="C135" s="37">
        <f>IF($A135="","",IFERROR(INDEX('זה אני - קליטה'!$AI$5:$AI$204,MATCH($A135&amp;"|תחילת שנה",'זה אני - קליטה'!$AF$5:$AF$204,0)),""))</f>
        <v/>
      </c>
      <c r="D135" s="37">
        <f>IF($A135="","",IFERROR(INDEX('זה אני - קליטה'!$AJ$5:$AJ$204,MATCH($A135&amp;"|תחילת שנה",'זה אני - קליטה'!$AF$5:$AF$204,0)),""))</f>
        <v/>
      </c>
      <c r="E135" s="37">
        <f>IF($A135="","",IFERROR(INDEX('זה אני - קליטה'!$AK$5:$AK$204,MATCH($A135&amp;"|תחילת שנה",'זה אני - קליטה'!$AF$5:$AF$204,0)),""))</f>
        <v/>
      </c>
      <c r="F135" s="37">
        <f>IF($A135="","",IFERROR(INDEX('זה אני - קליטה'!$AL$5:$AL$204,MATCH($A135&amp;"|תחילת שנה",'זה אני - קליטה'!$AF$5:$AF$204,0)),""))</f>
        <v/>
      </c>
      <c r="G135" s="36">
        <f>IF($A135="","",IFERROR(INDEX('זה אני - קליטה'!$AG$5:$AG$204,MATCH($A135&amp;"|תחילת שנה",'זה אני - קליטה'!$AF$5:$AF$204,0)),""))</f>
        <v/>
      </c>
      <c r="H135" s="37">
        <f>IF($A135="","",IFERROR(INDEX('זה אני - קליטה'!$AN$5:$AN$204,MATCH($A135&amp;"|תחילת שנה",'זה אני - קליטה'!$AF$5:$AF$204,0)),""))</f>
        <v/>
      </c>
      <c r="I135" s="36">
        <f>IF($A135="","",IFERROR(INDEX('זה אני - קליטה'!$AW$5:$AW$204,MATCH($A135&amp;"|תחילת שנה",'זה אני - קליטה'!$AF$5:$AF$204,0)),""))</f>
        <v/>
      </c>
      <c r="J135" s="37">
        <f>IF($A135="","",IFERROR(INDEX('זה אני - קליטה'!$AH$5:$AH$204,MATCH($A135&amp;"|אמצע שנה",'זה אני - קליטה'!$AF$5:$AF$204,0)),""))</f>
        <v/>
      </c>
      <c r="K135" s="37">
        <f>IF($A135="","",IFERROR(INDEX('זה אני - קליטה'!$AI$5:$AI$204,MATCH($A135&amp;"|אמצע שנה",'זה אני - קליטה'!$AF$5:$AF$204,0)),""))</f>
        <v/>
      </c>
      <c r="L135" s="37">
        <f>IF($A135="","",IFERROR(INDEX('זה אני - קליטה'!$AJ$5:$AJ$204,MATCH($A135&amp;"|אמצע שנה",'זה אני - קליטה'!$AF$5:$AF$204,0)),""))</f>
        <v/>
      </c>
      <c r="M135" s="37">
        <f>IF($A135="","",IFERROR(INDEX('זה אני - קליטה'!$AK$5:$AK$204,MATCH($A135&amp;"|אמצע שנה",'זה אני - קליטה'!$AF$5:$AF$204,0)),""))</f>
        <v/>
      </c>
      <c r="N135" s="37">
        <f>IF($A135="","",IFERROR(INDEX('זה אני - קליטה'!$AL$5:$AL$204,MATCH($A135&amp;"|אמצע שנה",'זה אני - קליטה'!$AF$5:$AF$204,0)),""))</f>
        <v/>
      </c>
      <c r="O135" s="36">
        <f>IF($A135="","",IFERROR(INDEX('זה אני - קליטה'!$AG$5:$AG$204,MATCH($A135&amp;"|אמצע שנה",'זה אני - קליטה'!$AF$5:$AF$204,0)),""))</f>
        <v/>
      </c>
      <c r="P135" s="37">
        <f>IF($A135="","",IFERROR(INDEX('זה אני - קליטה'!$AN$5:$AN$204,MATCH($A135&amp;"|אמצע שנה",'זה אני - קליטה'!$AF$5:$AF$204,0)),""))</f>
        <v/>
      </c>
      <c r="Q135" s="36">
        <f>IF($A135="","",IFERROR(INDEX('זה אני - קליטה'!$AW$5:$AW$204,MATCH($A135&amp;"|אמצע שנה",'זה אני - קליטה'!$AF$5:$AF$204,0)),""))</f>
        <v/>
      </c>
      <c r="R135" s="37">
        <f>IF($A135="","",IFERROR(INDEX('זה אני - קליטה'!$AH$5:$AH$204,MATCH($A135&amp;"|סוף שנה",'זה אני - קליטה'!$AF$5:$AF$204,0)),""))</f>
        <v/>
      </c>
      <c r="S135" s="37">
        <f>IF($A135="","",IFERROR(INDEX('זה אני - קליטה'!$AI$5:$AI$204,MATCH($A135&amp;"|סוף שנה",'זה אני - קליטה'!$AF$5:$AF$204,0)),""))</f>
        <v/>
      </c>
      <c r="T135" s="37">
        <f>IF($A135="","",IFERROR(INDEX('זה אני - קליטה'!$AJ$5:$AJ$204,MATCH($A135&amp;"|סוף שנה",'זה אני - קליטה'!$AF$5:$AF$204,0)),""))</f>
        <v/>
      </c>
      <c r="U135" s="37">
        <f>IF($A135="","",IFERROR(INDEX('זה אני - קליטה'!$AK$5:$AK$204,MATCH($A135&amp;"|סוף שנה",'זה אני - קליטה'!$AF$5:$AF$204,0)),""))</f>
        <v/>
      </c>
      <c r="V135" s="37">
        <f>IF($A135="","",IFERROR(INDEX('זה אני - קליטה'!$AL$5:$AL$204,MATCH($A135&amp;"|סוף שנה",'זה אני - קליטה'!$AF$5:$AF$204,0)),""))</f>
        <v/>
      </c>
      <c r="W135" s="36">
        <f>IF($A135="","",IFERROR(INDEX('זה אני - קליטה'!$AG$5:$AG$204,MATCH($A135&amp;"|סוף שנה",'זה אני - קליטה'!$AF$5:$AF$204,0)),""))</f>
        <v/>
      </c>
      <c r="X135" s="37">
        <f>IF($A135="","",IFERROR(INDEX('זה אני - קליטה'!$AN$5:$AN$204,MATCH($A135&amp;"|סוף שנה",'זה אני - קליטה'!$AF$5:$AF$204,0)),""))</f>
        <v/>
      </c>
      <c r="Y135" s="36">
        <f>IF($A135="","",IFERROR(INDEX('זה אני - קליטה'!$AW$5:$AW$204,MATCH($A135&amp;"|סוף שנה",'זה אני - קליטה'!$AF$5:$AF$204,0)),""))</f>
        <v/>
      </c>
      <c r="Z135" s="43">
        <f>IF(AND(ISNUMBER(F135),ISNUMBER(V135)),V135-F135,"")</f>
        <v/>
      </c>
      <c r="AA135" s="36">
        <f>IF(Z135="","",IF(Z135&gt;=0.25,"עלייה",IF(Z135&lt;=-0.25,"ירידה","יציב")))</f>
        <v/>
      </c>
    </row>
    <row r="136">
      <c r="A136" s="38" t="n"/>
      <c r="B136" s="37">
        <f>IF($A136="","",IFERROR(INDEX('זה אני - קליטה'!$AH$5:$AH$204,MATCH($A136&amp;"|תחילת שנה",'זה אני - קליטה'!$AF$5:$AF$204,0)),""))</f>
        <v/>
      </c>
      <c r="C136" s="37">
        <f>IF($A136="","",IFERROR(INDEX('זה אני - קליטה'!$AI$5:$AI$204,MATCH($A136&amp;"|תחילת שנה",'זה אני - קליטה'!$AF$5:$AF$204,0)),""))</f>
        <v/>
      </c>
      <c r="D136" s="37">
        <f>IF($A136="","",IFERROR(INDEX('זה אני - קליטה'!$AJ$5:$AJ$204,MATCH($A136&amp;"|תחילת שנה",'זה אני - קליטה'!$AF$5:$AF$204,0)),""))</f>
        <v/>
      </c>
      <c r="E136" s="37">
        <f>IF($A136="","",IFERROR(INDEX('זה אני - קליטה'!$AK$5:$AK$204,MATCH($A136&amp;"|תחילת שנה",'זה אני - קליטה'!$AF$5:$AF$204,0)),""))</f>
        <v/>
      </c>
      <c r="F136" s="37">
        <f>IF($A136="","",IFERROR(INDEX('זה אני - קליטה'!$AL$5:$AL$204,MATCH($A136&amp;"|תחילת שנה",'זה אני - קליטה'!$AF$5:$AF$204,0)),""))</f>
        <v/>
      </c>
      <c r="G136" s="36">
        <f>IF($A136="","",IFERROR(INDEX('זה אני - קליטה'!$AG$5:$AG$204,MATCH($A136&amp;"|תחילת שנה",'זה אני - קליטה'!$AF$5:$AF$204,0)),""))</f>
        <v/>
      </c>
      <c r="H136" s="37">
        <f>IF($A136="","",IFERROR(INDEX('זה אני - קליטה'!$AN$5:$AN$204,MATCH($A136&amp;"|תחילת שנה",'זה אני - קליטה'!$AF$5:$AF$204,0)),""))</f>
        <v/>
      </c>
      <c r="I136" s="36">
        <f>IF($A136="","",IFERROR(INDEX('זה אני - קליטה'!$AW$5:$AW$204,MATCH($A136&amp;"|תחילת שנה",'זה אני - קליטה'!$AF$5:$AF$204,0)),""))</f>
        <v/>
      </c>
      <c r="J136" s="37">
        <f>IF($A136="","",IFERROR(INDEX('זה אני - קליטה'!$AH$5:$AH$204,MATCH($A136&amp;"|אמצע שנה",'זה אני - קליטה'!$AF$5:$AF$204,0)),""))</f>
        <v/>
      </c>
      <c r="K136" s="37">
        <f>IF($A136="","",IFERROR(INDEX('זה אני - קליטה'!$AI$5:$AI$204,MATCH($A136&amp;"|אמצע שנה",'זה אני - קליטה'!$AF$5:$AF$204,0)),""))</f>
        <v/>
      </c>
      <c r="L136" s="37">
        <f>IF($A136="","",IFERROR(INDEX('זה אני - קליטה'!$AJ$5:$AJ$204,MATCH($A136&amp;"|אמצע שנה",'זה אני - קליטה'!$AF$5:$AF$204,0)),""))</f>
        <v/>
      </c>
      <c r="M136" s="37">
        <f>IF($A136="","",IFERROR(INDEX('זה אני - קליטה'!$AK$5:$AK$204,MATCH($A136&amp;"|אמצע שנה",'זה אני - קליטה'!$AF$5:$AF$204,0)),""))</f>
        <v/>
      </c>
      <c r="N136" s="37">
        <f>IF($A136="","",IFERROR(INDEX('זה אני - קליטה'!$AL$5:$AL$204,MATCH($A136&amp;"|אמצע שנה",'זה אני - קליטה'!$AF$5:$AF$204,0)),""))</f>
        <v/>
      </c>
      <c r="O136" s="36">
        <f>IF($A136="","",IFERROR(INDEX('זה אני - קליטה'!$AG$5:$AG$204,MATCH($A136&amp;"|אמצע שנה",'זה אני - קליטה'!$AF$5:$AF$204,0)),""))</f>
        <v/>
      </c>
      <c r="P136" s="37">
        <f>IF($A136="","",IFERROR(INDEX('זה אני - קליטה'!$AN$5:$AN$204,MATCH($A136&amp;"|אמצע שנה",'זה אני - קליטה'!$AF$5:$AF$204,0)),""))</f>
        <v/>
      </c>
      <c r="Q136" s="36">
        <f>IF($A136="","",IFERROR(INDEX('זה אני - קליטה'!$AW$5:$AW$204,MATCH($A136&amp;"|אמצע שנה",'זה אני - קליטה'!$AF$5:$AF$204,0)),""))</f>
        <v/>
      </c>
      <c r="R136" s="37">
        <f>IF($A136="","",IFERROR(INDEX('זה אני - קליטה'!$AH$5:$AH$204,MATCH($A136&amp;"|סוף שנה",'זה אני - קליטה'!$AF$5:$AF$204,0)),""))</f>
        <v/>
      </c>
      <c r="S136" s="37">
        <f>IF($A136="","",IFERROR(INDEX('זה אני - קליטה'!$AI$5:$AI$204,MATCH($A136&amp;"|סוף שנה",'זה אני - קליטה'!$AF$5:$AF$204,0)),""))</f>
        <v/>
      </c>
      <c r="T136" s="37">
        <f>IF($A136="","",IFERROR(INDEX('זה אני - קליטה'!$AJ$5:$AJ$204,MATCH($A136&amp;"|סוף שנה",'זה אני - קליטה'!$AF$5:$AF$204,0)),""))</f>
        <v/>
      </c>
      <c r="U136" s="37">
        <f>IF($A136="","",IFERROR(INDEX('זה אני - קליטה'!$AK$5:$AK$204,MATCH($A136&amp;"|סוף שנה",'זה אני - קליטה'!$AF$5:$AF$204,0)),""))</f>
        <v/>
      </c>
      <c r="V136" s="37">
        <f>IF($A136="","",IFERROR(INDEX('זה אני - קליטה'!$AL$5:$AL$204,MATCH($A136&amp;"|סוף שנה",'זה אני - קליטה'!$AF$5:$AF$204,0)),""))</f>
        <v/>
      </c>
      <c r="W136" s="36">
        <f>IF($A136="","",IFERROR(INDEX('זה אני - קליטה'!$AG$5:$AG$204,MATCH($A136&amp;"|סוף שנה",'זה אני - קליטה'!$AF$5:$AF$204,0)),""))</f>
        <v/>
      </c>
      <c r="X136" s="37">
        <f>IF($A136="","",IFERROR(INDEX('זה אני - קליטה'!$AN$5:$AN$204,MATCH($A136&amp;"|סוף שנה",'זה אני - קליטה'!$AF$5:$AF$204,0)),""))</f>
        <v/>
      </c>
      <c r="Y136" s="36">
        <f>IF($A136="","",IFERROR(INDEX('זה אני - קליטה'!$AW$5:$AW$204,MATCH($A136&amp;"|סוף שנה",'זה אני - קליטה'!$AF$5:$AF$204,0)),""))</f>
        <v/>
      </c>
      <c r="Z136" s="43">
        <f>IF(AND(ISNUMBER(F136),ISNUMBER(V136)),V136-F136,"")</f>
        <v/>
      </c>
      <c r="AA136" s="36">
        <f>IF(Z136="","",IF(Z136&gt;=0.25,"עלייה",IF(Z136&lt;=-0.25,"ירידה","יציב")))</f>
        <v/>
      </c>
    </row>
    <row r="137">
      <c r="A137" s="38" t="n"/>
      <c r="B137" s="37">
        <f>IF($A137="","",IFERROR(INDEX('זה אני - קליטה'!$AH$5:$AH$204,MATCH($A137&amp;"|תחילת שנה",'זה אני - קליטה'!$AF$5:$AF$204,0)),""))</f>
        <v/>
      </c>
      <c r="C137" s="37">
        <f>IF($A137="","",IFERROR(INDEX('זה אני - קליטה'!$AI$5:$AI$204,MATCH($A137&amp;"|תחילת שנה",'זה אני - קליטה'!$AF$5:$AF$204,0)),""))</f>
        <v/>
      </c>
      <c r="D137" s="37">
        <f>IF($A137="","",IFERROR(INDEX('זה אני - קליטה'!$AJ$5:$AJ$204,MATCH($A137&amp;"|תחילת שנה",'זה אני - קליטה'!$AF$5:$AF$204,0)),""))</f>
        <v/>
      </c>
      <c r="E137" s="37">
        <f>IF($A137="","",IFERROR(INDEX('זה אני - קליטה'!$AK$5:$AK$204,MATCH($A137&amp;"|תחילת שנה",'זה אני - קליטה'!$AF$5:$AF$204,0)),""))</f>
        <v/>
      </c>
      <c r="F137" s="37">
        <f>IF($A137="","",IFERROR(INDEX('זה אני - קליטה'!$AL$5:$AL$204,MATCH($A137&amp;"|תחילת שנה",'זה אני - קליטה'!$AF$5:$AF$204,0)),""))</f>
        <v/>
      </c>
      <c r="G137" s="36">
        <f>IF($A137="","",IFERROR(INDEX('זה אני - קליטה'!$AG$5:$AG$204,MATCH($A137&amp;"|תחילת שנה",'זה אני - קליטה'!$AF$5:$AF$204,0)),""))</f>
        <v/>
      </c>
      <c r="H137" s="37">
        <f>IF($A137="","",IFERROR(INDEX('זה אני - קליטה'!$AN$5:$AN$204,MATCH($A137&amp;"|תחילת שנה",'זה אני - קליטה'!$AF$5:$AF$204,0)),""))</f>
        <v/>
      </c>
      <c r="I137" s="36">
        <f>IF($A137="","",IFERROR(INDEX('זה אני - קליטה'!$AW$5:$AW$204,MATCH($A137&amp;"|תחילת שנה",'זה אני - קליטה'!$AF$5:$AF$204,0)),""))</f>
        <v/>
      </c>
      <c r="J137" s="37">
        <f>IF($A137="","",IFERROR(INDEX('זה אני - קליטה'!$AH$5:$AH$204,MATCH($A137&amp;"|אמצע שנה",'זה אני - קליטה'!$AF$5:$AF$204,0)),""))</f>
        <v/>
      </c>
      <c r="K137" s="37">
        <f>IF($A137="","",IFERROR(INDEX('זה אני - קליטה'!$AI$5:$AI$204,MATCH($A137&amp;"|אמצע שנה",'זה אני - קליטה'!$AF$5:$AF$204,0)),""))</f>
        <v/>
      </c>
      <c r="L137" s="37">
        <f>IF($A137="","",IFERROR(INDEX('זה אני - קליטה'!$AJ$5:$AJ$204,MATCH($A137&amp;"|אמצע שנה",'זה אני - קליטה'!$AF$5:$AF$204,0)),""))</f>
        <v/>
      </c>
      <c r="M137" s="37">
        <f>IF($A137="","",IFERROR(INDEX('זה אני - קליטה'!$AK$5:$AK$204,MATCH($A137&amp;"|אמצע שנה",'זה אני - קליטה'!$AF$5:$AF$204,0)),""))</f>
        <v/>
      </c>
      <c r="N137" s="37">
        <f>IF($A137="","",IFERROR(INDEX('זה אני - קליטה'!$AL$5:$AL$204,MATCH($A137&amp;"|אמצע שנה",'זה אני - קליטה'!$AF$5:$AF$204,0)),""))</f>
        <v/>
      </c>
      <c r="O137" s="36">
        <f>IF($A137="","",IFERROR(INDEX('זה אני - קליטה'!$AG$5:$AG$204,MATCH($A137&amp;"|אמצע שנה",'זה אני - קליטה'!$AF$5:$AF$204,0)),""))</f>
        <v/>
      </c>
      <c r="P137" s="37">
        <f>IF($A137="","",IFERROR(INDEX('זה אני - קליטה'!$AN$5:$AN$204,MATCH($A137&amp;"|אמצע שנה",'זה אני - קליטה'!$AF$5:$AF$204,0)),""))</f>
        <v/>
      </c>
      <c r="Q137" s="36">
        <f>IF($A137="","",IFERROR(INDEX('זה אני - קליטה'!$AW$5:$AW$204,MATCH($A137&amp;"|אמצע שנה",'זה אני - קליטה'!$AF$5:$AF$204,0)),""))</f>
        <v/>
      </c>
      <c r="R137" s="37">
        <f>IF($A137="","",IFERROR(INDEX('זה אני - קליטה'!$AH$5:$AH$204,MATCH($A137&amp;"|סוף שנה",'זה אני - קליטה'!$AF$5:$AF$204,0)),""))</f>
        <v/>
      </c>
      <c r="S137" s="37">
        <f>IF($A137="","",IFERROR(INDEX('זה אני - קליטה'!$AI$5:$AI$204,MATCH($A137&amp;"|סוף שנה",'זה אני - קליטה'!$AF$5:$AF$204,0)),""))</f>
        <v/>
      </c>
      <c r="T137" s="37">
        <f>IF($A137="","",IFERROR(INDEX('זה אני - קליטה'!$AJ$5:$AJ$204,MATCH($A137&amp;"|סוף שנה",'זה אני - קליטה'!$AF$5:$AF$204,0)),""))</f>
        <v/>
      </c>
      <c r="U137" s="37">
        <f>IF($A137="","",IFERROR(INDEX('זה אני - קליטה'!$AK$5:$AK$204,MATCH($A137&amp;"|סוף שנה",'זה אני - קליטה'!$AF$5:$AF$204,0)),""))</f>
        <v/>
      </c>
      <c r="V137" s="37">
        <f>IF($A137="","",IFERROR(INDEX('זה אני - קליטה'!$AL$5:$AL$204,MATCH($A137&amp;"|סוף שנה",'זה אני - קליטה'!$AF$5:$AF$204,0)),""))</f>
        <v/>
      </c>
      <c r="W137" s="36">
        <f>IF($A137="","",IFERROR(INDEX('זה אני - קליטה'!$AG$5:$AG$204,MATCH($A137&amp;"|סוף שנה",'זה אני - קליטה'!$AF$5:$AF$204,0)),""))</f>
        <v/>
      </c>
      <c r="X137" s="37">
        <f>IF($A137="","",IFERROR(INDEX('זה אני - קליטה'!$AN$5:$AN$204,MATCH($A137&amp;"|סוף שנה",'זה אני - קליטה'!$AF$5:$AF$204,0)),""))</f>
        <v/>
      </c>
      <c r="Y137" s="36">
        <f>IF($A137="","",IFERROR(INDEX('זה אני - קליטה'!$AW$5:$AW$204,MATCH($A137&amp;"|סוף שנה",'זה אני - קליטה'!$AF$5:$AF$204,0)),""))</f>
        <v/>
      </c>
      <c r="Z137" s="43">
        <f>IF(AND(ISNUMBER(F137),ISNUMBER(V137)),V137-F137,"")</f>
        <v/>
      </c>
      <c r="AA137" s="36">
        <f>IF(Z137="","",IF(Z137&gt;=0.25,"עלייה",IF(Z137&lt;=-0.25,"ירידה","יציב")))</f>
        <v/>
      </c>
    </row>
    <row r="138">
      <c r="A138" s="38" t="n"/>
      <c r="B138" s="37">
        <f>IF($A138="","",IFERROR(INDEX('זה אני - קליטה'!$AH$5:$AH$204,MATCH($A138&amp;"|תחילת שנה",'זה אני - קליטה'!$AF$5:$AF$204,0)),""))</f>
        <v/>
      </c>
      <c r="C138" s="37">
        <f>IF($A138="","",IFERROR(INDEX('זה אני - קליטה'!$AI$5:$AI$204,MATCH($A138&amp;"|תחילת שנה",'זה אני - קליטה'!$AF$5:$AF$204,0)),""))</f>
        <v/>
      </c>
      <c r="D138" s="37">
        <f>IF($A138="","",IFERROR(INDEX('זה אני - קליטה'!$AJ$5:$AJ$204,MATCH($A138&amp;"|תחילת שנה",'זה אני - קליטה'!$AF$5:$AF$204,0)),""))</f>
        <v/>
      </c>
      <c r="E138" s="37">
        <f>IF($A138="","",IFERROR(INDEX('זה אני - קליטה'!$AK$5:$AK$204,MATCH($A138&amp;"|תחילת שנה",'זה אני - קליטה'!$AF$5:$AF$204,0)),""))</f>
        <v/>
      </c>
      <c r="F138" s="37">
        <f>IF($A138="","",IFERROR(INDEX('זה אני - קליטה'!$AL$5:$AL$204,MATCH($A138&amp;"|תחילת שנה",'זה אני - קליטה'!$AF$5:$AF$204,0)),""))</f>
        <v/>
      </c>
      <c r="G138" s="36">
        <f>IF($A138="","",IFERROR(INDEX('זה אני - קליטה'!$AG$5:$AG$204,MATCH($A138&amp;"|תחילת שנה",'זה אני - קליטה'!$AF$5:$AF$204,0)),""))</f>
        <v/>
      </c>
      <c r="H138" s="37">
        <f>IF($A138="","",IFERROR(INDEX('זה אני - קליטה'!$AN$5:$AN$204,MATCH($A138&amp;"|תחילת שנה",'זה אני - קליטה'!$AF$5:$AF$204,0)),""))</f>
        <v/>
      </c>
      <c r="I138" s="36">
        <f>IF($A138="","",IFERROR(INDEX('זה אני - קליטה'!$AW$5:$AW$204,MATCH($A138&amp;"|תחילת שנה",'זה אני - קליטה'!$AF$5:$AF$204,0)),""))</f>
        <v/>
      </c>
      <c r="J138" s="37">
        <f>IF($A138="","",IFERROR(INDEX('זה אני - קליטה'!$AH$5:$AH$204,MATCH($A138&amp;"|אמצע שנה",'זה אני - קליטה'!$AF$5:$AF$204,0)),""))</f>
        <v/>
      </c>
      <c r="K138" s="37">
        <f>IF($A138="","",IFERROR(INDEX('זה אני - קליטה'!$AI$5:$AI$204,MATCH($A138&amp;"|אמצע שנה",'זה אני - קליטה'!$AF$5:$AF$204,0)),""))</f>
        <v/>
      </c>
      <c r="L138" s="37">
        <f>IF($A138="","",IFERROR(INDEX('זה אני - קליטה'!$AJ$5:$AJ$204,MATCH($A138&amp;"|אמצע שנה",'זה אני - קליטה'!$AF$5:$AF$204,0)),""))</f>
        <v/>
      </c>
      <c r="M138" s="37">
        <f>IF($A138="","",IFERROR(INDEX('זה אני - קליטה'!$AK$5:$AK$204,MATCH($A138&amp;"|אמצע שנה",'זה אני - קליטה'!$AF$5:$AF$204,0)),""))</f>
        <v/>
      </c>
      <c r="N138" s="37">
        <f>IF($A138="","",IFERROR(INDEX('זה אני - קליטה'!$AL$5:$AL$204,MATCH($A138&amp;"|אמצע שנה",'זה אני - קליטה'!$AF$5:$AF$204,0)),""))</f>
        <v/>
      </c>
      <c r="O138" s="36">
        <f>IF($A138="","",IFERROR(INDEX('זה אני - קליטה'!$AG$5:$AG$204,MATCH($A138&amp;"|אמצע שנה",'זה אני - קליטה'!$AF$5:$AF$204,0)),""))</f>
        <v/>
      </c>
      <c r="P138" s="37">
        <f>IF($A138="","",IFERROR(INDEX('זה אני - קליטה'!$AN$5:$AN$204,MATCH($A138&amp;"|אמצע שנה",'זה אני - קליטה'!$AF$5:$AF$204,0)),""))</f>
        <v/>
      </c>
      <c r="Q138" s="36">
        <f>IF($A138="","",IFERROR(INDEX('זה אני - קליטה'!$AW$5:$AW$204,MATCH($A138&amp;"|אמצע שנה",'זה אני - קליטה'!$AF$5:$AF$204,0)),""))</f>
        <v/>
      </c>
      <c r="R138" s="37">
        <f>IF($A138="","",IFERROR(INDEX('זה אני - קליטה'!$AH$5:$AH$204,MATCH($A138&amp;"|סוף שנה",'זה אני - קליטה'!$AF$5:$AF$204,0)),""))</f>
        <v/>
      </c>
      <c r="S138" s="37">
        <f>IF($A138="","",IFERROR(INDEX('זה אני - קליטה'!$AI$5:$AI$204,MATCH($A138&amp;"|סוף שנה",'זה אני - קליטה'!$AF$5:$AF$204,0)),""))</f>
        <v/>
      </c>
      <c r="T138" s="37">
        <f>IF($A138="","",IFERROR(INDEX('זה אני - קליטה'!$AJ$5:$AJ$204,MATCH($A138&amp;"|סוף שנה",'זה אני - קליטה'!$AF$5:$AF$204,0)),""))</f>
        <v/>
      </c>
      <c r="U138" s="37">
        <f>IF($A138="","",IFERROR(INDEX('זה אני - קליטה'!$AK$5:$AK$204,MATCH($A138&amp;"|סוף שנה",'זה אני - קליטה'!$AF$5:$AF$204,0)),""))</f>
        <v/>
      </c>
      <c r="V138" s="37">
        <f>IF($A138="","",IFERROR(INDEX('זה אני - קליטה'!$AL$5:$AL$204,MATCH($A138&amp;"|סוף שנה",'זה אני - קליטה'!$AF$5:$AF$204,0)),""))</f>
        <v/>
      </c>
      <c r="W138" s="36">
        <f>IF($A138="","",IFERROR(INDEX('זה אני - קליטה'!$AG$5:$AG$204,MATCH($A138&amp;"|סוף שנה",'זה אני - קליטה'!$AF$5:$AF$204,0)),""))</f>
        <v/>
      </c>
      <c r="X138" s="37">
        <f>IF($A138="","",IFERROR(INDEX('זה אני - קליטה'!$AN$5:$AN$204,MATCH($A138&amp;"|סוף שנה",'זה אני - קליטה'!$AF$5:$AF$204,0)),""))</f>
        <v/>
      </c>
      <c r="Y138" s="36">
        <f>IF($A138="","",IFERROR(INDEX('זה אני - קליטה'!$AW$5:$AW$204,MATCH($A138&amp;"|סוף שנה",'זה אני - קליטה'!$AF$5:$AF$204,0)),""))</f>
        <v/>
      </c>
      <c r="Z138" s="43">
        <f>IF(AND(ISNUMBER(F138),ISNUMBER(V138)),V138-F138,"")</f>
        <v/>
      </c>
      <c r="AA138" s="36">
        <f>IF(Z138="","",IF(Z138&gt;=0.25,"עלייה",IF(Z138&lt;=-0.25,"ירידה","יציב")))</f>
        <v/>
      </c>
    </row>
    <row r="139">
      <c r="A139" s="38" t="n"/>
      <c r="B139" s="37">
        <f>IF($A139="","",IFERROR(INDEX('זה אני - קליטה'!$AH$5:$AH$204,MATCH($A139&amp;"|תחילת שנה",'זה אני - קליטה'!$AF$5:$AF$204,0)),""))</f>
        <v/>
      </c>
      <c r="C139" s="37">
        <f>IF($A139="","",IFERROR(INDEX('זה אני - קליטה'!$AI$5:$AI$204,MATCH($A139&amp;"|תחילת שנה",'זה אני - קליטה'!$AF$5:$AF$204,0)),""))</f>
        <v/>
      </c>
      <c r="D139" s="37">
        <f>IF($A139="","",IFERROR(INDEX('זה אני - קליטה'!$AJ$5:$AJ$204,MATCH($A139&amp;"|תחילת שנה",'זה אני - קליטה'!$AF$5:$AF$204,0)),""))</f>
        <v/>
      </c>
      <c r="E139" s="37">
        <f>IF($A139="","",IFERROR(INDEX('זה אני - קליטה'!$AK$5:$AK$204,MATCH($A139&amp;"|תחילת שנה",'זה אני - קליטה'!$AF$5:$AF$204,0)),""))</f>
        <v/>
      </c>
      <c r="F139" s="37">
        <f>IF($A139="","",IFERROR(INDEX('זה אני - קליטה'!$AL$5:$AL$204,MATCH($A139&amp;"|תחילת שנה",'זה אני - קליטה'!$AF$5:$AF$204,0)),""))</f>
        <v/>
      </c>
      <c r="G139" s="36">
        <f>IF($A139="","",IFERROR(INDEX('זה אני - קליטה'!$AG$5:$AG$204,MATCH($A139&amp;"|תחילת שנה",'זה אני - קליטה'!$AF$5:$AF$204,0)),""))</f>
        <v/>
      </c>
      <c r="H139" s="37">
        <f>IF($A139="","",IFERROR(INDEX('זה אני - קליטה'!$AN$5:$AN$204,MATCH($A139&amp;"|תחילת שנה",'זה אני - קליטה'!$AF$5:$AF$204,0)),""))</f>
        <v/>
      </c>
      <c r="I139" s="36">
        <f>IF($A139="","",IFERROR(INDEX('זה אני - קליטה'!$AW$5:$AW$204,MATCH($A139&amp;"|תחילת שנה",'זה אני - קליטה'!$AF$5:$AF$204,0)),""))</f>
        <v/>
      </c>
      <c r="J139" s="37">
        <f>IF($A139="","",IFERROR(INDEX('זה אני - קליטה'!$AH$5:$AH$204,MATCH($A139&amp;"|אמצע שנה",'זה אני - קליטה'!$AF$5:$AF$204,0)),""))</f>
        <v/>
      </c>
      <c r="K139" s="37">
        <f>IF($A139="","",IFERROR(INDEX('זה אני - קליטה'!$AI$5:$AI$204,MATCH($A139&amp;"|אמצע שנה",'זה אני - קליטה'!$AF$5:$AF$204,0)),""))</f>
        <v/>
      </c>
      <c r="L139" s="37">
        <f>IF($A139="","",IFERROR(INDEX('זה אני - קליטה'!$AJ$5:$AJ$204,MATCH($A139&amp;"|אמצע שנה",'זה אני - קליטה'!$AF$5:$AF$204,0)),""))</f>
        <v/>
      </c>
      <c r="M139" s="37">
        <f>IF($A139="","",IFERROR(INDEX('זה אני - קליטה'!$AK$5:$AK$204,MATCH($A139&amp;"|אמצע שנה",'זה אני - קליטה'!$AF$5:$AF$204,0)),""))</f>
        <v/>
      </c>
      <c r="N139" s="37">
        <f>IF($A139="","",IFERROR(INDEX('זה אני - קליטה'!$AL$5:$AL$204,MATCH($A139&amp;"|אמצע שנה",'זה אני - קליטה'!$AF$5:$AF$204,0)),""))</f>
        <v/>
      </c>
      <c r="O139" s="36">
        <f>IF($A139="","",IFERROR(INDEX('זה אני - קליטה'!$AG$5:$AG$204,MATCH($A139&amp;"|אמצע שנה",'זה אני - קליטה'!$AF$5:$AF$204,0)),""))</f>
        <v/>
      </c>
      <c r="P139" s="37">
        <f>IF($A139="","",IFERROR(INDEX('זה אני - קליטה'!$AN$5:$AN$204,MATCH($A139&amp;"|אמצע שנה",'זה אני - קליטה'!$AF$5:$AF$204,0)),""))</f>
        <v/>
      </c>
      <c r="Q139" s="36">
        <f>IF($A139="","",IFERROR(INDEX('זה אני - קליטה'!$AW$5:$AW$204,MATCH($A139&amp;"|אמצע שנה",'זה אני - קליטה'!$AF$5:$AF$204,0)),""))</f>
        <v/>
      </c>
      <c r="R139" s="37">
        <f>IF($A139="","",IFERROR(INDEX('זה אני - קליטה'!$AH$5:$AH$204,MATCH($A139&amp;"|סוף שנה",'זה אני - קליטה'!$AF$5:$AF$204,0)),""))</f>
        <v/>
      </c>
      <c r="S139" s="37">
        <f>IF($A139="","",IFERROR(INDEX('זה אני - קליטה'!$AI$5:$AI$204,MATCH($A139&amp;"|סוף שנה",'זה אני - קליטה'!$AF$5:$AF$204,0)),""))</f>
        <v/>
      </c>
      <c r="T139" s="37">
        <f>IF($A139="","",IFERROR(INDEX('זה אני - קליטה'!$AJ$5:$AJ$204,MATCH($A139&amp;"|סוף שנה",'זה אני - קליטה'!$AF$5:$AF$204,0)),""))</f>
        <v/>
      </c>
      <c r="U139" s="37">
        <f>IF($A139="","",IFERROR(INDEX('זה אני - קליטה'!$AK$5:$AK$204,MATCH($A139&amp;"|סוף שנה",'זה אני - קליטה'!$AF$5:$AF$204,0)),""))</f>
        <v/>
      </c>
      <c r="V139" s="37">
        <f>IF($A139="","",IFERROR(INDEX('זה אני - קליטה'!$AL$5:$AL$204,MATCH($A139&amp;"|סוף שנה",'זה אני - קליטה'!$AF$5:$AF$204,0)),""))</f>
        <v/>
      </c>
      <c r="W139" s="36">
        <f>IF($A139="","",IFERROR(INDEX('זה אני - קליטה'!$AG$5:$AG$204,MATCH($A139&amp;"|סוף שנה",'זה אני - קליטה'!$AF$5:$AF$204,0)),""))</f>
        <v/>
      </c>
      <c r="X139" s="37">
        <f>IF($A139="","",IFERROR(INDEX('זה אני - קליטה'!$AN$5:$AN$204,MATCH($A139&amp;"|סוף שנה",'זה אני - קליטה'!$AF$5:$AF$204,0)),""))</f>
        <v/>
      </c>
      <c r="Y139" s="36">
        <f>IF($A139="","",IFERROR(INDEX('זה אני - קליטה'!$AW$5:$AW$204,MATCH($A139&amp;"|סוף שנה",'זה אני - קליטה'!$AF$5:$AF$204,0)),""))</f>
        <v/>
      </c>
      <c r="Z139" s="43">
        <f>IF(AND(ISNUMBER(F139),ISNUMBER(V139)),V139-F139,"")</f>
        <v/>
      </c>
      <c r="AA139" s="36">
        <f>IF(Z139="","",IF(Z139&gt;=0.25,"עלייה",IF(Z139&lt;=-0.25,"ירידה","יציב")))</f>
        <v/>
      </c>
    </row>
    <row r="140">
      <c r="A140" s="38" t="n"/>
      <c r="B140" s="37">
        <f>IF($A140="","",IFERROR(INDEX('זה אני - קליטה'!$AH$5:$AH$204,MATCH($A140&amp;"|תחילת שנה",'זה אני - קליטה'!$AF$5:$AF$204,0)),""))</f>
        <v/>
      </c>
      <c r="C140" s="37">
        <f>IF($A140="","",IFERROR(INDEX('זה אני - קליטה'!$AI$5:$AI$204,MATCH($A140&amp;"|תחילת שנה",'זה אני - קליטה'!$AF$5:$AF$204,0)),""))</f>
        <v/>
      </c>
      <c r="D140" s="37">
        <f>IF($A140="","",IFERROR(INDEX('זה אני - קליטה'!$AJ$5:$AJ$204,MATCH($A140&amp;"|תחילת שנה",'זה אני - קליטה'!$AF$5:$AF$204,0)),""))</f>
        <v/>
      </c>
      <c r="E140" s="37">
        <f>IF($A140="","",IFERROR(INDEX('זה אני - קליטה'!$AK$5:$AK$204,MATCH($A140&amp;"|תחילת שנה",'זה אני - קליטה'!$AF$5:$AF$204,0)),""))</f>
        <v/>
      </c>
      <c r="F140" s="37">
        <f>IF($A140="","",IFERROR(INDEX('זה אני - קליטה'!$AL$5:$AL$204,MATCH($A140&amp;"|תחילת שנה",'זה אני - קליטה'!$AF$5:$AF$204,0)),""))</f>
        <v/>
      </c>
      <c r="G140" s="36">
        <f>IF($A140="","",IFERROR(INDEX('זה אני - קליטה'!$AG$5:$AG$204,MATCH($A140&amp;"|תחילת שנה",'זה אני - קליטה'!$AF$5:$AF$204,0)),""))</f>
        <v/>
      </c>
      <c r="H140" s="37">
        <f>IF($A140="","",IFERROR(INDEX('זה אני - קליטה'!$AN$5:$AN$204,MATCH($A140&amp;"|תחילת שנה",'זה אני - קליטה'!$AF$5:$AF$204,0)),""))</f>
        <v/>
      </c>
      <c r="I140" s="36">
        <f>IF($A140="","",IFERROR(INDEX('זה אני - קליטה'!$AW$5:$AW$204,MATCH($A140&amp;"|תחילת שנה",'זה אני - קליטה'!$AF$5:$AF$204,0)),""))</f>
        <v/>
      </c>
      <c r="J140" s="37">
        <f>IF($A140="","",IFERROR(INDEX('זה אני - קליטה'!$AH$5:$AH$204,MATCH($A140&amp;"|אמצע שנה",'זה אני - קליטה'!$AF$5:$AF$204,0)),""))</f>
        <v/>
      </c>
      <c r="K140" s="37">
        <f>IF($A140="","",IFERROR(INDEX('זה אני - קליטה'!$AI$5:$AI$204,MATCH($A140&amp;"|אמצע שנה",'זה אני - קליטה'!$AF$5:$AF$204,0)),""))</f>
        <v/>
      </c>
      <c r="L140" s="37">
        <f>IF($A140="","",IFERROR(INDEX('זה אני - קליטה'!$AJ$5:$AJ$204,MATCH($A140&amp;"|אמצע שנה",'זה אני - קליטה'!$AF$5:$AF$204,0)),""))</f>
        <v/>
      </c>
      <c r="M140" s="37">
        <f>IF($A140="","",IFERROR(INDEX('זה אני - קליטה'!$AK$5:$AK$204,MATCH($A140&amp;"|אמצע שנה",'זה אני - קליטה'!$AF$5:$AF$204,0)),""))</f>
        <v/>
      </c>
      <c r="N140" s="37">
        <f>IF($A140="","",IFERROR(INDEX('זה אני - קליטה'!$AL$5:$AL$204,MATCH($A140&amp;"|אמצע שנה",'זה אני - קליטה'!$AF$5:$AF$204,0)),""))</f>
        <v/>
      </c>
      <c r="O140" s="36">
        <f>IF($A140="","",IFERROR(INDEX('זה אני - קליטה'!$AG$5:$AG$204,MATCH($A140&amp;"|אמצע שנה",'זה אני - קליטה'!$AF$5:$AF$204,0)),""))</f>
        <v/>
      </c>
      <c r="P140" s="37">
        <f>IF($A140="","",IFERROR(INDEX('זה אני - קליטה'!$AN$5:$AN$204,MATCH($A140&amp;"|אמצע שנה",'זה אני - קליטה'!$AF$5:$AF$204,0)),""))</f>
        <v/>
      </c>
      <c r="Q140" s="36">
        <f>IF($A140="","",IFERROR(INDEX('זה אני - קליטה'!$AW$5:$AW$204,MATCH($A140&amp;"|אמצע שנה",'זה אני - קליטה'!$AF$5:$AF$204,0)),""))</f>
        <v/>
      </c>
      <c r="R140" s="37">
        <f>IF($A140="","",IFERROR(INDEX('זה אני - קליטה'!$AH$5:$AH$204,MATCH($A140&amp;"|סוף שנה",'זה אני - קליטה'!$AF$5:$AF$204,0)),""))</f>
        <v/>
      </c>
      <c r="S140" s="37">
        <f>IF($A140="","",IFERROR(INDEX('זה אני - קליטה'!$AI$5:$AI$204,MATCH($A140&amp;"|סוף שנה",'זה אני - קליטה'!$AF$5:$AF$204,0)),""))</f>
        <v/>
      </c>
      <c r="T140" s="37">
        <f>IF($A140="","",IFERROR(INDEX('זה אני - קליטה'!$AJ$5:$AJ$204,MATCH($A140&amp;"|סוף שנה",'זה אני - קליטה'!$AF$5:$AF$204,0)),""))</f>
        <v/>
      </c>
      <c r="U140" s="37">
        <f>IF($A140="","",IFERROR(INDEX('זה אני - קליטה'!$AK$5:$AK$204,MATCH($A140&amp;"|סוף שנה",'זה אני - קליטה'!$AF$5:$AF$204,0)),""))</f>
        <v/>
      </c>
      <c r="V140" s="37">
        <f>IF($A140="","",IFERROR(INDEX('זה אני - קליטה'!$AL$5:$AL$204,MATCH($A140&amp;"|סוף שנה",'זה אני - קליטה'!$AF$5:$AF$204,0)),""))</f>
        <v/>
      </c>
      <c r="W140" s="36">
        <f>IF($A140="","",IFERROR(INDEX('זה אני - קליטה'!$AG$5:$AG$204,MATCH($A140&amp;"|סוף שנה",'זה אני - קליטה'!$AF$5:$AF$204,0)),""))</f>
        <v/>
      </c>
      <c r="X140" s="37">
        <f>IF($A140="","",IFERROR(INDEX('זה אני - קליטה'!$AN$5:$AN$204,MATCH($A140&amp;"|סוף שנה",'זה אני - קליטה'!$AF$5:$AF$204,0)),""))</f>
        <v/>
      </c>
      <c r="Y140" s="36">
        <f>IF($A140="","",IFERROR(INDEX('זה אני - קליטה'!$AW$5:$AW$204,MATCH($A140&amp;"|סוף שנה",'זה אני - קליטה'!$AF$5:$AF$204,0)),""))</f>
        <v/>
      </c>
      <c r="Z140" s="43">
        <f>IF(AND(ISNUMBER(F140),ISNUMBER(V140)),V140-F140,"")</f>
        <v/>
      </c>
      <c r="AA140" s="36">
        <f>IF(Z140="","",IF(Z140&gt;=0.25,"עלייה",IF(Z140&lt;=-0.25,"ירידה","יציב")))</f>
        <v/>
      </c>
    </row>
    <row r="141">
      <c r="A141" s="38" t="n"/>
      <c r="B141" s="37">
        <f>IF($A141="","",IFERROR(INDEX('זה אני - קליטה'!$AH$5:$AH$204,MATCH($A141&amp;"|תחילת שנה",'זה אני - קליטה'!$AF$5:$AF$204,0)),""))</f>
        <v/>
      </c>
      <c r="C141" s="37">
        <f>IF($A141="","",IFERROR(INDEX('זה אני - קליטה'!$AI$5:$AI$204,MATCH($A141&amp;"|תחילת שנה",'זה אני - קליטה'!$AF$5:$AF$204,0)),""))</f>
        <v/>
      </c>
      <c r="D141" s="37">
        <f>IF($A141="","",IFERROR(INDEX('זה אני - קליטה'!$AJ$5:$AJ$204,MATCH($A141&amp;"|תחילת שנה",'זה אני - קליטה'!$AF$5:$AF$204,0)),""))</f>
        <v/>
      </c>
      <c r="E141" s="37">
        <f>IF($A141="","",IFERROR(INDEX('זה אני - קליטה'!$AK$5:$AK$204,MATCH($A141&amp;"|תחילת שנה",'זה אני - קליטה'!$AF$5:$AF$204,0)),""))</f>
        <v/>
      </c>
      <c r="F141" s="37">
        <f>IF($A141="","",IFERROR(INDEX('זה אני - קליטה'!$AL$5:$AL$204,MATCH($A141&amp;"|תחילת שנה",'זה אני - קליטה'!$AF$5:$AF$204,0)),""))</f>
        <v/>
      </c>
      <c r="G141" s="36">
        <f>IF($A141="","",IFERROR(INDEX('זה אני - קליטה'!$AG$5:$AG$204,MATCH($A141&amp;"|תחילת שנה",'זה אני - קליטה'!$AF$5:$AF$204,0)),""))</f>
        <v/>
      </c>
      <c r="H141" s="37">
        <f>IF($A141="","",IFERROR(INDEX('זה אני - קליטה'!$AN$5:$AN$204,MATCH($A141&amp;"|תחילת שנה",'זה אני - קליטה'!$AF$5:$AF$204,0)),""))</f>
        <v/>
      </c>
      <c r="I141" s="36">
        <f>IF($A141="","",IFERROR(INDEX('זה אני - קליטה'!$AW$5:$AW$204,MATCH($A141&amp;"|תחילת שנה",'זה אני - קליטה'!$AF$5:$AF$204,0)),""))</f>
        <v/>
      </c>
      <c r="J141" s="37">
        <f>IF($A141="","",IFERROR(INDEX('זה אני - קליטה'!$AH$5:$AH$204,MATCH($A141&amp;"|אמצע שנה",'זה אני - קליטה'!$AF$5:$AF$204,0)),""))</f>
        <v/>
      </c>
      <c r="K141" s="37">
        <f>IF($A141="","",IFERROR(INDEX('זה אני - קליטה'!$AI$5:$AI$204,MATCH($A141&amp;"|אמצע שנה",'זה אני - קליטה'!$AF$5:$AF$204,0)),""))</f>
        <v/>
      </c>
      <c r="L141" s="37">
        <f>IF($A141="","",IFERROR(INDEX('זה אני - קליטה'!$AJ$5:$AJ$204,MATCH($A141&amp;"|אמצע שנה",'זה אני - קליטה'!$AF$5:$AF$204,0)),""))</f>
        <v/>
      </c>
      <c r="M141" s="37">
        <f>IF($A141="","",IFERROR(INDEX('זה אני - קליטה'!$AK$5:$AK$204,MATCH($A141&amp;"|אמצע שנה",'זה אני - קליטה'!$AF$5:$AF$204,0)),""))</f>
        <v/>
      </c>
      <c r="N141" s="37">
        <f>IF($A141="","",IFERROR(INDEX('זה אני - קליטה'!$AL$5:$AL$204,MATCH($A141&amp;"|אמצע שנה",'זה אני - קליטה'!$AF$5:$AF$204,0)),""))</f>
        <v/>
      </c>
      <c r="O141" s="36">
        <f>IF($A141="","",IFERROR(INDEX('זה אני - קליטה'!$AG$5:$AG$204,MATCH($A141&amp;"|אמצע שנה",'זה אני - קליטה'!$AF$5:$AF$204,0)),""))</f>
        <v/>
      </c>
      <c r="P141" s="37">
        <f>IF($A141="","",IFERROR(INDEX('זה אני - קליטה'!$AN$5:$AN$204,MATCH($A141&amp;"|אמצע שנה",'זה אני - קליטה'!$AF$5:$AF$204,0)),""))</f>
        <v/>
      </c>
      <c r="Q141" s="36">
        <f>IF($A141="","",IFERROR(INDEX('זה אני - קליטה'!$AW$5:$AW$204,MATCH($A141&amp;"|אמצע שנה",'זה אני - קליטה'!$AF$5:$AF$204,0)),""))</f>
        <v/>
      </c>
      <c r="R141" s="37">
        <f>IF($A141="","",IFERROR(INDEX('זה אני - קליטה'!$AH$5:$AH$204,MATCH($A141&amp;"|סוף שנה",'זה אני - קליטה'!$AF$5:$AF$204,0)),""))</f>
        <v/>
      </c>
      <c r="S141" s="37">
        <f>IF($A141="","",IFERROR(INDEX('זה אני - קליטה'!$AI$5:$AI$204,MATCH($A141&amp;"|סוף שנה",'זה אני - קליטה'!$AF$5:$AF$204,0)),""))</f>
        <v/>
      </c>
      <c r="T141" s="37">
        <f>IF($A141="","",IFERROR(INDEX('זה אני - קליטה'!$AJ$5:$AJ$204,MATCH($A141&amp;"|סוף שנה",'זה אני - קליטה'!$AF$5:$AF$204,0)),""))</f>
        <v/>
      </c>
      <c r="U141" s="37">
        <f>IF($A141="","",IFERROR(INDEX('זה אני - קליטה'!$AK$5:$AK$204,MATCH($A141&amp;"|סוף שנה",'זה אני - קליטה'!$AF$5:$AF$204,0)),""))</f>
        <v/>
      </c>
      <c r="V141" s="37">
        <f>IF($A141="","",IFERROR(INDEX('זה אני - קליטה'!$AL$5:$AL$204,MATCH($A141&amp;"|סוף שנה",'זה אני - קליטה'!$AF$5:$AF$204,0)),""))</f>
        <v/>
      </c>
      <c r="W141" s="36">
        <f>IF($A141="","",IFERROR(INDEX('זה אני - קליטה'!$AG$5:$AG$204,MATCH($A141&amp;"|סוף שנה",'זה אני - קליטה'!$AF$5:$AF$204,0)),""))</f>
        <v/>
      </c>
      <c r="X141" s="37">
        <f>IF($A141="","",IFERROR(INDEX('זה אני - קליטה'!$AN$5:$AN$204,MATCH($A141&amp;"|סוף שנה",'זה אני - קליטה'!$AF$5:$AF$204,0)),""))</f>
        <v/>
      </c>
      <c r="Y141" s="36">
        <f>IF($A141="","",IFERROR(INDEX('זה אני - קליטה'!$AW$5:$AW$204,MATCH($A141&amp;"|סוף שנה",'זה אני - קליטה'!$AF$5:$AF$204,0)),""))</f>
        <v/>
      </c>
      <c r="Z141" s="43">
        <f>IF(AND(ISNUMBER(F141),ISNUMBER(V141)),V141-F141,"")</f>
        <v/>
      </c>
      <c r="AA141" s="36">
        <f>IF(Z141="","",IF(Z141&gt;=0.25,"עלייה",IF(Z141&lt;=-0.25,"ירידה","יציב")))</f>
        <v/>
      </c>
    </row>
    <row r="142">
      <c r="A142" s="38" t="n"/>
      <c r="B142" s="37">
        <f>IF($A142="","",IFERROR(INDEX('זה אני - קליטה'!$AH$5:$AH$204,MATCH($A142&amp;"|תחילת שנה",'זה אני - קליטה'!$AF$5:$AF$204,0)),""))</f>
        <v/>
      </c>
      <c r="C142" s="37">
        <f>IF($A142="","",IFERROR(INDEX('זה אני - קליטה'!$AI$5:$AI$204,MATCH($A142&amp;"|תחילת שנה",'זה אני - קליטה'!$AF$5:$AF$204,0)),""))</f>
        <v/>
      </c>
      <c r="D142" s="37">
        <f>IF($A142="","",IFERROR(INDEX('זה אני - קליטה'!$AJ$5:$AJ$204,MATCH($A142&amp;"|תחילת שנה",'זה אני - קליטה'!$AF$5:$AF$204,0)),""))</f>
        <v/>
      </c>
      <c r="E142" s="37">
        <f>IF($A142="","",IFERROR(INDEX('זה אני - קליטה'!$AK$5:$AK$204,MATCH($A142&amp;"|תחילת שנה",'זה אני - קליטה'!$AF$5:$AF$204,0)),""))</f>
        <v/>
      </c>
      <c r="F142" s="37">
        <f>IF($A142="","",IFERROR(INDEX('זה אני - קליטה'!$AL$5:$AL$204,MATCH($A142&amp;"|תחילת שנה",'זה אני - קליטה'!$AF$5:$AF$204,0)),""))</f>
        <v/>
      </c>
      <c r="G142" s="36">
        <f>IF($A142="","",IFERROR(INDEX('זה אני - קליטה'!$AG$5:$AG$204,MATCH($A142&amp;"|תחילת שנה",'זה אני - קליטה'!$AF$5:$AF$204,0)),""))</f>
        <v/>
      </c>
      <c r="H142" s="37">
        <f>IF($A142="","",IFERROR(INDEX('זה אני - קליטה'!$AN$5:$AN$204,MATCH($A142&amp;"|תחילת שנה",'זה אני - קליטה'!$AF$5:$AF$204,0)),""))</f>
        <v/>
      </c>
      <c r="I142" s="36">
        <f>IF($A142="","",IFERROR(INDEX('זה אני - קליטה'!$AW$5:$AW$204,MATCH($A142&amp;"|תחילת שנה",'זה אני - קליטה'!$AF$5:$AF$204,0)),""))</f>
        <v/>
      </c>
      <c r="J142" s="37">
        <f>IF($A142="","",IFERROR(INDEX('זה אני - קליטה'!$AH$5:$AH$204,MATCH($A142&amp;"|אמצע שנה",'זה אני - קליטה'!$AF$5:$AF$204,0)),""))</f>
        <v/>
      </c>
      <c r="K142" s="37">
        <f>IF($A142="","",IFERROR(INDEX('זה אני - קליטה'!$AI$5:$AI$204,MATCH($A142&amp;"|אמצע שנה",'זה אני - קליטה'!$AF$5:$AF$204,0)),""))</f>
        <v/>
      </c>
      <c r="L142" s="37">
        <f>IF($A142="","",IFERROR(INDEX('זה אני - קליטה'!$AJ$5:$AJ$204,MATCH($A142&amp;"|אמצע שנה",'זה אני - קליטה'!$AF$5:$AF$204,0)),""))</f>
        <v/>
      </c>
      <c r="M142" s="37">
        <f>IF($A142="","",IFERROR(INDEX('זה אני - קליטה'!$AK$5:$AK$204,MATCH($A142&amp;"|אמצע שנה",'זה אני - קליטה'!$AF$5:$AF$204,0)),""))</f>
        <v/>
      </c>
      <c r="N142" s="37">
        <f>IF($A142="","",IFERROR(INDEX('זה אני - קליטה'!$AL$5:$AL$204,MATCH($A142&amp;"|אמצע שנה",'זה אני - קליטה'!$AF$5:$AF$204,0)),""))</f>
        <v/>
      </c>
      <c r="O142" s="36">
        <f>IF($A142="","",IFERROR(INDEX('זה אני - קליטה'!$AG$5:$AG$204,MATCH($A142&amp;"|אמצע שנה",'זה אני - קליטה'!$AF$5:$AF$204,0)),""))</f>
        <v/>
      </c>
      <c r="P142" s="37">
        <f>IF($A142="","",IFERROR(INDEX('זה אני - קליטה'!$AN$5:$AN$204,MATCH($A142&amp;"|אמצע שנה",'זה אני - קליטה'!$AF$5:$AF$204,0)),""))</f>
        <v/>
      </c>
      <c r="Q142" s="36">
        <f>IF($A142="","",IFERROR(INDEX('זה אני - קליטה'!$AW$5:$AW$204,MATCH($A142&amp;"|אמצע שנה",'זה אני - קליטה'!$AF$5:$AF$204,0)),""))</f>
        <v/>
      </c>
      <c r="R142" s="37">
        <f>IF($A142="","",IFERROR(INDEX('זה אני - קליטה'!$AH$5:$AH$204,MATCH($A142&amp;"|סוף שנה",'זה אני - קליטה'!$AF$5:$AF$204,0)),""))</f>
        <v/>
      </c>
      <c r="S142" s="37">
        <f>IF($A142="","",IFERROR(INDEX('זה אני - קליטה'!$AI$5:$AI$204,MATCH($A142&amp;"|סוף שנה",'זה אני - קליטה'!$AF$5:$AF$204,0)),""))</f>
        <v/>
      </c>
      <c r="T142" s="37">
        <f>IF($A142="","",IFERROR(INDEX('זה אני - קליטה'!$AJ$5:$AJ$204,MATCH($A142&amp;"|סוף שנה",'זה אני - קליטה'!$AF$5:$AF$204,0)),""))</f>
        <v/>
      </c>
      <c r="U142" s="37">
        <f>IF($A142="","",IFERROR(INDEX('זה אני - קליטה'!$AK$5:$AK$204,MATCH($A142&amp;"|סוף שנה",'זה אני - קליטה'!$AF$5:$AF$204,0)),""))</f>
        <v/>
      </c>
      <c r="V142" s="37">
        <f>IF($A142="","",IFERROR(INDEX('זה אני - קליטה'!$AL$5:$AL$204,MATCH($A142&amp;"|סוף שנה",'זה אני - קליטה'!$AF$5:$AF$204,0)),""))</f>
        <v/>
      </c>
      <c r="W142" s="36">
        <f>IF($A142="","",IFERROR(INDEX('זה אני - קליטה'!$AG$5:$AG$204,MATCH($A142&amp;"|סוף שנה",'זה אני - קליטה'!$AF$5:$AF$204,0)),""))</f>
        <v/>
      </c>
      <c r="X142" s="37">
        <f>IF($A142="","",IFERROR(INDEX('זה אני - קליטה'!$AN$5:$AN$204,MATCH($A142&amp;"|סוף שנה",'זה אני - קליטה'!$AF$5:$AF$204,0)),""))</f>
        <v/>
      </c>
      <c r="Y142" s="36">
        <f>IF($A142="","",IFERROR(INDEX('זה אני - קליטה'!$AW$5:$AW$204,MATCH($A142&amp;"|סוף שנה",'זה אני - קליטה'!$AF$5:$AF$204,0)),""))</f>
        <v/>
      </c>
      <c r="Z142" s="43">
        <f>IF(AND(ISNUMBER(F142),ISNUMBER(V142)),V142-F142,"")</f>
        <v/>
      </c>
      <c r="AA142" s="36">
        <f>IF(Z142="","",IF(Z142&gt;=0.25,"עלייה",IF(Z142&lt;=-0.25,"ירידה","יציב")))</f>
        <v/>
      </c>
    </row>
    <row r="143">
      <c r="A143" s="38" t="n"/>
      <c r="B143" s="37">
        <f>IF($A143="","",IFERROR(INDEX('זה אני - קליטה'!$AH$5:$AH$204,MATCH($A143&amp;"|תחילת שנה",'זה אני - קליטה'!$AF$5:$AF$204,0)),""))</f>
        <v/>
      </c>
      <c r="C143" s="37">
        <f>IF($A143="","",IFERROR(INDEX('זה אני - קליטה'!$AI$5:$AI$204,MATCH($A143&amp;"|תחילת שנה",'זה אני - קליטה'!$AF$5:$AF$204,0)),""))</f>
        <v/>
      </c>
      <c r="D143" s="37">
        <f>IF($A143="","",IFERROR(INDEX('זה אני - קליטה'!$AJ$5:$AJ$204,MATCH($A143&amp;"|תחילת שנה",'זה אני - קליטה'!$AF$5:$AF$204,0)),""))</f>
        <v/>
      </c>
      <c r="E143" s="37">
        <f>IF($A143="","",IFERROR(INDEX('זה אני - קליטה'!$AK$5:$AK$204,MATCH($A143&amp;"|תחילת שנה",'זה אני - קליטה'!$AF$5:$AF$204,0)),""))</f>
        <v/>
      </c>
      <c r="F143" s="37">
        <f>IF($A143="","",IFERROR(INDEX('זה אני - קליטה'!$AL$5:$AL$204,MATCH($A143&amp;"|תחילת שנה",'זה אני - קליטה'!$AF$5:$AF$204,0)),""))</f>
        <v/>
      </c>
      <c r="G143" s="36">
        <f>IF($A143="","",IFERROR(INDEX('זה אני - קליטה'!$AG$5:$AG$204,MATCH($A143&amp;"|תחילת שנה",'זה אני - קליטה'!$AF$5:$AF$204,0)),""))</f>
        <v/>
      </c>
      <c r="H143" s="37">
        <f>IF($A143="","",IFERROR(INDEX('זה אני - קליטה'!$AN$5:$AN$204,MATCH($A143&amp;"|תחילת שנה",'זה אני - קליטה'!$AF$5:$AF$204,0)),""))</f>
        <v/>
      </c>
      <c r="I143" s="36">
        <f>IF($A143="","",IFERROR(INDEX('זה אני - קליטה'!$AW$5:$AW$204,MATCH($A143&amp;"|תחילת שנה",'זה אני - קליטה'!$AF$5:$AF$204,0)),""))</f>
        <v/>
      </c>
      <c r="J143" s="37">
        <f>IF($A143="","",IFERROR(INDEX('זה אני - קליטה'!$AH$5:$AH$204,MATCH($A143&amp;"|אמצע שנה",'זה אני - קליטה'!$AF$5:$AF$204,0)),""))</f>
        <v/>
      </c>
      <c r="K143" s="37">
        <f>IF($A143="","",IFERROR(INDEX('זה אני - קליטה'!$AI$5:$AI$204,MATCH($A143&amp;"|אמצע שנה",'זה אני - קליטה'!$AF$5:$AF$204,0)),""))</f>
        <v/>
      </c>
      <c r="L143" s="37">
        <f>IF($A143="","",IFERROR(INDEX('זה אני - קליטה'!$AJ$5:$AJ$204,MATCH($A143&amp;"|אמצע שנה",'זה אני - קליטה'!$AF$5:$AF$204,0)),""))</f>
        <v/>
      </c>
      <c r="M143" s="37">
        <f>IF($A143="","",IFERROR(INDEX('זה אני - קליטה'!$AK$5:$AK$204,MATCH($A143&amp;"|אמצע שנה",'זה אני - קליטה'!$AF$5:$AF$204,0)),""))</f>
        <v/>
      </c>
      <c r="N143" s="37">
        <f>IF($A143="","",IFERROR(INDEX('זה אני - קליטה'!$AL$5:$AL$204,MATCH($A143&amp;"|אמצע שנה",'זה אני - קליטה'!$AF$5:$AF$204,0)),""))</f>
        <v/>
      </c>
      <c r="O143" s="36">
        <f>IF($A143="","",IFERROR(INDEX('זה אני - קליטה'!$AG$5:$AG$204,MATCH($A143&amp;"|אמצע שנה",'זה אני - קליטה'!$AF$5:$AF$204,0)),""))</f>
        <v/>
      </c>
      <c r="P143" s="37">
        <f>IF($A143="","",IFERROR(INDEX('זה אני - קליטה'!$AN$5:$AN$204,MATCH($A143&amp;"|אמצע שנה",'זה אני - קליטה'!$AF$5:$AF$204,0)),""))</f>
        <v/>
      </c>
      <c r="Q143" s="36">
        <f>IF($A143="","",IFERROR(INDEX('זה אני - קליטה'!$AW$5:$AW$204,MATCH($A143&amp;"|אמצע שנה",'זה אני - קליטה'!$AF$5:$AF$204,0)),""))</f>
        <v/>
      </c>
      <c r="R143" s="37">
        <f>IF($A143="","",IFERROR(INDEX('זה אני - קליטה'!$AH$5:$AH$204,MATCH($A143&amp;"|סוף שנה",'זה אני - קליטה'!$AF$5:$AF$204,0)),""))</f>
        <v/>
      </c>
      <c r="S143" s="37">
        <f>IF($A143="","",IFERROR(INDEX('זה אני - קליטה'!$AI$5:$AI$204,MATCH($A143&amp;"|סוף שנה",'זה אני - קליטה'!$AF$5:$AF$204,0)),""))</f>
        <v/>
      </c>
      <c r="T143" s="37">
        <f>IF($A143="","",IFERROR(INDEX('זה אני - קליטה'!$AJ$5:$AJ$204,MATCH($A143&amp;"|סוף שנה",'זה אני - קליטה'!$AF$5:$AF$204,0)),""))</f>
        <v/>
      </c>
      <c r="U143" s="37">
        <f>IF($A143="","",IFERROR(INDEX('זה אני - קליטה'!$AK$5:$AK$204,MATCH($A143&amp;"|סוף שנה",'זה אני - קליטה'!$AF$5:$AF$204,0)),""))</f>
        <v/>
      </c>
      <c r="V143" s="37">
        <f>IF($A143="","",IFERROR(INDEX('זה אני - קליטה'!$AL$5:$AL$204,MATCH($A143&amp;"|סוף שנה",'זה אני - קליטה'!$AF$5:$AF$204,0)),""))</f>
        <v/>
      </c>
      <c r="W143" s="36">
        <f>IF($A143="","",IFERROR(INDEX('זה אני - קליטה'!$AG$5:$AG$204,MATCH($A143&amp;"|סוף שנה",'זה אני - קליטה'!$AF$5:$AF$204,0)),""))</f>
        <v/>
      </c>
      <c r="X143" s="37">
        <f>IF($A143="","",IFERROR(INDEX('זה אני - קליטה'!$AN$5:$AN$204,MATCH($A143&amp;"|סוף שנה",'זה אני - קליטה'!$AF$5:$AF$204,0)),""))</f>
        <v/>
      </c>
      <c r="Y143" s="36">
        <f>IF($A143="","",IFERROR(INDEX('זה אני - קליטה'!$AW$5:$AW$204,MATCH($A143&amp;"|סוף שנה",'זה אני - קליטה'!$AF$5:$AF$204,0)),""))</f>
        <v/>
      </c>
      <c r="Z143" s="43">
        <f>IF(AND(ISNUMBER(F143),ISNUMBER(V143)),V143-F143,"")</f>
        <v/>
      </c>
      <c r="AA143" s="36">
        <f>IF(Z143="","",IF(Z143&gt;=0.25,"עלייה",IF(Z143&lt;=-0.25,"ירידה","יציב")))</f>
        <v/>
      </c>
    </row>
    <row r="144">
      <c r="A144" s="38" t="n"/>
      <c r="B144" s="37">
        <f>IF($A144="","",IFERROR(INDEX('זה אני - קליטה'!$AH$5:$AH$204,MATCH($A144&amp;"|תחילת שנה",'זה אני - קליטה'!$AF$5:$AF$204,0)),""))</f>
        <v/>
      </c>
      <c r="C144" s="37">
        <f>IF($A144="","",IFERROR(INDEX('זה אני - קליטה'!$AI$5:$AI$204,MATCH($A144&amp;"|תחילת שנה",'זה אני - קליטה'!$AF$5:$AF$204,0)),""))</f>
        <v/>
      </c>
      <c r="D144" s="37">
        <f>IF($A144="","",IFERROR(INDEX('זה אני - קליטה'!$AJ$5:$AJ$204,MATCH($A144&amp;"|תחילת שנה",'זה אני - קליטה'!$AF$5:$AF$204,0)),""))</f>
        <v/>
      </c>
      <c r="E144" s="37">
        <f>IF($A144="","",IFERROR(INDEX('זה אני - קליטה'!$AK$5:$AK$204,MATCH($A144&amp;"|תחילת שנה",'זה אני - קליטה'!$AF$5:$AF$204,0)),""))</f>
        <v/>
      </c>
      <c r="F144" s="37">
        <f>IF($A144="","",IFERROR(INDEX('זה אני - קליטה'!$AL$5:$AL$204,MATCH($A144&amp;"|תחילת שנה",'זה אני - קליטה'!$AF$5:$AF$204,0)),""))</f>
        <v/>
      </c>
      <c r="G144" s="36">
        <f>IF($A144="","",IFERROR(INDEX('זה אני - קליטה'!$AG$5:$AG$204,MATCH($A144&amp;"|תחילת שנה",'זה אני - קליטה'!$AF$5:$AF$204,0)),""))</f>
        <v/>
      </c>
      <c r="H144" s="37">
        <f>IF($A144="","",IFERROR(INDEX('זה אני - קליטה'!$AN$5:$AN$204,MATCH($A144&amp;"|תחילת שנה",'זה אני - קליטה'!$AF$5:$AF$204,0)),""))</f>
        <v/>
      </c>
      <c r="I144" s="36">
        <f>IF($A144="","",IFERROR(INDEX('זה אני - קליטה'!$AW$5:$AW$204,MATCH($A144&amp;"|תחילת שנה",'זה אני - קליטה'!$AF$5:$AF$204,0)),""))</f>
        <v/>
      </c>
      <c r="J144" s="37">
        <f>IF($A144="","",IFERROR(INDEX('זה אני - קליטה'!$AH$5:$AH$204,MATCH($A144&amp;"|אמצע שנה",'זה אני - קליטה'!$AF$5:$AF$204,0)),""))</f>
        <v/>
      </c>
      <c r="K144" s="37">
        <f>IF($A144="","",IFERROR(INDEX('זה אני - קליטה'!$AI$5:$AI$204,MATCH($A144&amp;"|אמצע שנה",'זה אני - קליטה'!$AF$5:$AF$204,0)),""))</f>
        <v/>
      </c>
      <c r="L144" s="37">
        <f>IF($A144="","",IFERROR(INDEX('זה אני - קליטה'!$AJ$5:$AJ$204,MATCH($A144&amp;"|אמצע שנה",'זה אני - קליטה'!$AF$5:$AF$204,0)),""))</f>
        <v/>
      </c>
      <c r="M144" s="37">
        <f>IF($A144="","",IFERROR(INDEX('זה אני - קליטה'!$AK$5:$AK$204,MATCH($A144&amp;"|אמצע שנה",'זה אני - קליטה'!$AF$5:$AF$204,0)),""))</f>
        <v/>
      </c>
      <c r="N144" s="37">
        <f>IF($A144="","",IFERROR(INDEX('זה אני - קליטה'!$AL$5:$AL$204,MATCH($A144&amp;"|אמצע שנה",'זה אני - קליטה'!$AF$5:$AF$204,0)),""))</f>
        <v/>
      </c>
      <c r="O144" s="36">
        <f>IF($A144="","",IFERROR(INDEX('זה אני - קליטה'!$AG$5:$AG$204,MATCH($A144&amp;"|אמצע שנה",'זה אני - קליטה'!$AF$5:$AF$204,0)),""))</f>
        <v/>
      </c>
      <c r="P144" s="37">
        <f>IF($A144="","",IFERROR(INDEX('זה אני - קליטה'!$AN$5:$AN$204,MATCH($A144&amp;"|אמצע שנה",'זה אני - קליטה'!$AF$5:$AF$204,0)),""))</f>
        <v/>
      </c>
      <c r="Q144" s="36">
        <f>IF($A144="","",IFERROR(INDEX('זה אני - קליטה'!$AW$5:$AW$204,MATCH($A144&amp;"|אמצע שנה",'זה אני - קליטה'!$AF$5:$AF$204,0)),""))</f>
        <v/>
      </c>
      <c r="R144" s="37">
        <f>IF($A144="","",IFERROR(INDEX('זה אני - קליטה'!$AH$5:$AH$204,MATCH($A144&amp;"|סוף שנה",'זה אני - קליטה'!$AF$5:$AF$204,0)),""))</f>
        <v/>
      </c>
      <c r="S144" s="37">
        <f>IF($A144="","",IFERROR(INDEX('זה אני - קליטה'!$AI$5:$AI$204,MATCH($A144&amp;"|סוף שנה",'זה אני - קליטה'!$AF$5:$AF$204,0)),""))</f>
        <v/>
      </c>
      <c r="T144" s="37">
        <f>IF($A144="","",IFERROR(INDEX('זה אני - קליטה'!$AJ$5:$AJ$204,MATCH($A144&amp;"|סוף שנה",'זה אני - קליטה'!$AF$5:$AF$204,0)),""))</f>
        <v/>
      </c>
      <c r="U144" s="37">
        <f>IF($A144="","",IFERROR(INDEX('זה אני - קליטה'!$AK$5:$AK$204,MATCH($A144&amp;"|סוף שנה",'זה אני - קליטה'!$AF$5:$AF$204,0)),""))</f>
        <v/>
      </c>
      <c r="V144" s="37">
        <f>IF($A144="","",IFERROR(INDEX('זה אני - קליטה'!$AL$5:$AL$204,MATCH($A144&amp;"|סוף שנה",'זה אני - קליטה'!$AF$5:$AF$204,0)),""))</f>
        <v/>
      </c>
      <c r="W144" s="36">
        <f>IF($A144="","",IFERROR(INDEX('זה אני - קליטה'!$AG$5:$AG$204,MATCH($A144&amp;"|סוף שנה",'זה אני - קליטה'!$AF$5:$AF$204,0)),""))</f>
        <v/>
      </c>
      <c r="X144" s="37">
        <f>IF($A144="","",IFERROR(INDEX('זה אני - קליטה'!$AN$5:$AN$204,MATCH($A144&amp;"|סוף שנה",'זה אני - קליטה'!$AF$5:$AF$204,0)),""))</f>
        <v/>
      </c>
      <c r="Y144" s="36">
        <f>IF($A144="","",IFERROR(INDEX('זה אני - קליטה'!$AW$5:$AW$204,MATCH($A144&amp;"|סוף שנה",'זה אני - קליטה'!$AF$5:$AF$204,0)),""))</f>
        <v/>
      </c>
      <c r="Z144" s="43">
        <f>IF(AND(ISNUMBER(F144),ISNUMBER(V144)),V144-F144,"")</f>
        <v/>
      </c>
      <c r="AA144" s="36">
        <f>IF(Z144="","",IF(Z144&gt;=0.25,"עלייה",IF(Z144&lt;=-0.25,"ירידה","יציב")))</f>
        <v/>
      </c>
    </row>
    <row r="145">
      <c r="A145" s="38" t="n"/>
      <c r="B145" s="37">
        <f>IF($A145="","",IFERROR(INDEX('זה אני - קליטה'!$AH$5:$AH$204,MATCH($A145&amp;"|תחילת שנה",'זה אני - קליטה'!$AF$5:$AF$204,0)),""))</f>
        <v/>
      </c>
      <c r="C145" s="37">
        <f>IF($A145="","",IFERROR(INDEX('זה אני - קליטה'!$AI$5:$AI$204,MATCH($A145&amp;"|תחילת שנה",'זה אני - קליטה'!$AF$5:$AF$204,0)),""))</f>
        <v/>
      </c>
      <c r="D145" s="37">
        <f>IF($A145="","",IFERROR(INDEX('זה אני - קליטה'!$AJ$5:$AJ$204,MATCH($A145&amp;"|תחילת שנה",'זה אני - קליטה'!$AF$5:$AF$204,0)),""))</f>
        <v/>
      </c>
      <c r="E145" s="37">
        <f>IF($A145="","",IFERROR(INDEX('זה אני - קליטה'!$AK$5:$AK$204,MATCH($A145&amp;"|תחילת שנה",'זה אני - קליטה'!$AF$5:$AF$204,0)),""))</f>
        <v/>
      </c>
      <c r="F145" s="37">
        <f>IF($A145="","",IFERROR(INDEX('זה אני - קליטה'!$AL$5:$AL$204,MATCH($A145&amp;"|תחילת שנה",'זה אני - קליטה'!$AF$5:$AF$204,0)),""))</f>
        <v/>
      </c>
      <c r="G145" s="36">
        <f>IF($A145="","",IFERROR(INDEX('זה אני - קליטה'!$AG$5:$AG$204,MATCH($A145&amp;"|תחילת שנה",'זה אני - קליטה'!$AF$5:$AF$204,0)),""))</f>
        <v/>
      </c>
      <c r="H145" s="37">
        <f>IF($A145="","",IFERROR(INDEX('זה אני - קליטה'!$AN$5:$AN$204,MATCH($A145&amp;"|תחילת שנה",'זה אני - קליטה'!$AF$5:$AF$204,0)),""))</f>
        <v/>
      </c>
      <c r="I145" s="36">
        <f>IF($A145="","",IFERROR(INDEX('זה אני - קליטה'!$AW$5:$AW$204,MATCH($A145&amp;"|תחילת שנה",'זה אני - קליטה'!$AF$5:$AF$204,0)),""))</f>
        <v/>
      </c>
      <c r="J145" s="37">
        <f>IF($A145="","",IFERROR(INDEX('זה אני - קליטה'!$AH$5:$AH$204,MATCH($A145&amp;"|אמצע שנה",'זה אני - קליטה'!$AF$5:$AF$204,0)),""))</f>
        <v/>
      </c>
      <c r="K145" s="37">
        <f>IF($A145="","",IFERROR(INDEX('זה אני - קליטה'!$AI$5:$AI$204,MATCH($A145&amp;"|אמצע שנה",'זה אני - קליטה'!$AF$5:$AF$204,0)),""))</f>
        <v/>
      </c>
      <c r="L145" s="37">
        <f>IF($A145="","",IFERROR(INDEX('זה אני - קליטה'!$AJ$5:$AJ$204,MATCH($A145&amp;"|אמצע שנה",'זה אני - קליטה'!$AF$5:$AF$204,0)),""))</f>
        <v/>
      </c>
      <c r="M145" s="37">
        <f>IF($A145="","",IFERROR(INDEX('זה אני - קליטה'!$AK$5:$AK$204,MATCH($A145&amp;"|אמצע שנה",'זה אני - קליטה'!$AF$5:$AF$204,0)),""))</f>
        <v/>
      </c>
      <c r="N145" s="37">
        <f>IF($A145="","",IFERROR(INDEX('זה אני - קליטה'!$AL$5:$AL$204,MATCH($A145&amp;"|אמצע שנה",'זה אני - קליטה'!$AF$5:$AF$204,0)),""))</f>
        <v/>
      </c>
      <c r="O145" s="36">
        <f>IF($A145="","",IFERROR(INDEX('זה אני - קליטה'!$AG$5:$AG$204,MATCH($A145&amp;"|אמצע שנה",'זה אני - קליטה'!$AF$5:$AF$204,0)),""))</f>
        <v/>
      </c>
      <c r="P145" s="37">
        <f>IF($A145="","",IFERROR(INDEX('זה אני - קליטה'!$AN$5:$AN$204,MATCH($A145&amp;"|אמצע שנה",'זה אני - קליטה'!$AF$5:$AF$204,0)),""))</f>
        <v/>
      </c>
      <c r="Q145" s="36">
        <f>IF($A145="","",IFERROR(INDEX('זה אני - קליטה'!$AW$5:$AW$204,MATCH($A145&amp;"|אמצע שנה",'זה אני - קליטה'!$AF$5:$AF$204,0)),""))</f>
        <v/>
      </c>
      <c r="R145" s="37">
        <f>IF($A145="","",IFERROR(INDEX('זה אני - קליטה'!$AH$5:$AH$204,MATCH($A145&amp;"|סוף שנה",'זה אני - קליטה'!$AF$5:$AF$204,0)),""))</f>
        <v/>
      </c>
      <c r="S145" s="37">
        <f>IF($A145="","",IFERROR(INDEX('זה אני - קליטה'!$AI$5:$AI$204,MATCH($A145&amp;"|סוף שנה",'זה אני - קליטה'!$AF$5:$AF$204,0)),""))</f>
        <v/>
      </c>
      <c r="T145" s="37">
        <f>IF($A145="","",IFERROR(INDEX('זה אני - קליטה'!$AJ$5:$AJ$204,MATCH($A145&amp;"|סוף שנה",'זה אני - קליטה'!$AF$5:$AF$204,0)),""))</f>
        <v/>
      </c>
      <c r="U145" s="37">
        <f>IF($A145="","",IFERROR(INDEX('זה אני - קליטה'!$AK$5:$AK$204,MATCH($A145&amp;"|סוף שנה",'זה אני - קליטה'!$AF$5:$AF$204,0)),""))</f>
        <v/>
      </c>
      <c r="V145" s="37">
        <f>IF($A145="","",IFERROR(INDEX('זה אני - קליטה'!$AL$5:$AL$204,MATCH($A145&amp;"|סוף שנה",'זה אני - קליטה'!$AF$5:$AF$204,0)),""))</f>
        <v/>
      </c>
      <c r="W145" s="36">
        <f>IF($A145="","",IFERROR(INDEX('זה אני - קליטה'!$AG$5:$AG$204,MATCH($A145&amp;"|סוף שנה",'זה אני - קליטה'!$AF$5:$AF$204,0)),""))</f>
        <v/>
      </c>
      <c r="X145" s="37">
        <f>IF($A145="","",IFERROR(INDEX('זה אני - קליטה'!$AN$5:$AN$204,MATCH($A145&amp;"|סוף שנה",'זה אני - קליטה'!$AF$5:$AF$204,0)),""))</f>
        <v/>
      </c>
      <c r="Y145" s="36">
        <f>IF($A145="","",IFERROR(INDEX('זה אני - קליטה'!$AW$5:$AW$204,MATCH($A145&amp;"|סוף שנה",'זה אני - קליטה'!$AF$5:$AF$204,0)),""))</f>
        <v/>
      </c>
      <c r="Z145" s="43">
        <f>IF(AND(ISNUMBER(F145),ISNUMBER(V145)),V145-F145,"")</f>
        <v/>
      </c>
      <c r="AA145" s="36">
        <f>IF(Z145="","",IF(Z145&gt;=0.25,"עלייה",IF(Z145&lt;=-0.25,"ירידה","יציב")))</f>
        <v/>
      </c>
    </row>
    <row r="146">
      <c r="A146" s="38" t="n"/>
      <c r="B146" s="37">
        <f>IF($A146="","",IFERROR(INDEX('זה אני - קליטה'!$AH$5:$AH$204,MATCH($A146&amp;"|תחילת שנה",'זה אני - קליטה'!$AF$5:$AF$204,0)),""))</f>
        <v/>
      </c>
      <c r="C146" s="37">
        <f>IF($A146="","",IFERROR(INDEX('זה אני - קליטה'!$AI$5:$AI$204,MATCH($A146&amp;"|תחילת שנה",'זה אני - קליטה'!$AF$5:$AF$204,0)),""))</f>
        <v/>
      </c>
      <c r="D146" s="37">
        <f>IF($A146="","",IFERROR(INDEX('זה אני - קליטה'!$AJ$5:$AJ$204,MATCH($A146&amp;"|תחילת שנה",'זה אני - קליטה'!$AF$5:$AF$204,0)),""))</f>
        <v/>
      </c>
      <c r="E146" s="37">
        <f>IF($A146="","",IFERROR(INDEX('זה אני - קליטה'!$AK$5:$AK$204,MATCH($A146&amp;"|תחילת שנה",'זה אני - קליטה'!$AF$5:$AF$204,0)),""))</f>
        <v/>
      </c>
      <c r="F146" s="37">
        <f>IF($A146="","",IFERROR(INDEX('זה אני - קליטה'!$AL$5:$AL$204,MATCH($A146&amp;"|תחילת שנה",'זה אני - קליטה'!$AF$5:$AF$204,0)),""))</f>
        <v/>
      </c>
      <c r="G146" s="36">
        <f>IF($A146="","",IFERROR(INDEX('זה אני - קליטה'!$AG$5:$AG$204,MATCH($A146&amp;"|תחילת שנה",'זה אני - קליטה'!$AF$5:$AF$204,0)),""))</f>
        <v/>
      </c>
      <c r="H146" s="37">
        <f>IF($A146="","",IFERROR(INDEX('זה אני - קליטה'!$AN$5:$AN$204,MATCH($A146&amp;"|תחילת שנה",'זה אני - קליטה'!$AF$5:$AF$204,0)),""))</f>
        <v/>
      </c>
      <c r="I146" s="36">
        <f>IF($A146="","",IFERROR(INDEX('זה אני - קליטה'!$AW$5:$AW$204,MATCH($A146&amp;"|תחילת שנה",'זה אני - קליטה'!$AF$5:$AF$204,0)),""))</f>
        <v/>
      </c>
      <c r="J146" s="37">
        <f>IF($A146="","",IFERROR(INDEX('זה אני - קליטה'!$AH$5:$AH$204,MATCH($A146&amp;"|אמצע שנה",'זה אני - קליטה'!$AF$5:$AF$204,0)),""))</f>
        <v/>
      </c>
      <c r="K146" s="37">
        <f>IF($A146="","",IFERROR(INDEX('זה אני - קליטה'!$AI$5:$AI$204,MATCH($A146&amp;"|אמצע שנה",'זה אני - קליטה'!$AF$5:$AF$204,0)),""))</f>
        <v/>
      </c>
      <c r="L146" s="37">
        <f>IF($A146="","",IFERROR(INDEX('זה אני - קליטה'!$AJ$5:$AJ$204,MATCH($A146&amp;"|אמצע שנה",'זה אני - קליטה'!$AF$5:$AF$204,0)),""))</f>
        <v/>
      </c>
      <c r="M146" s="37">
        <f>IF($A146="","",IFERROR(INDEX('זה אני - קליטה'!$AK$5:$AK$204,MATCH($A146&amp;"|אמצע שנה",'זה אני - קליטה'!$AF$5:$AF$204,0)),""))</f>
        <v/>
      </c>
      <c r="N146" s="37">
        <f>IF($A146="","",IFERROR(INDEX('זה אני - קליטה'!$AL$5:$AL$204,MATCH($A146&amp;"|אמצע שנה",'זה אני - קליטה'!$AF$5:$AF$204,0)),""))</f>
        <v/>
      </c>
      <c r="O146" s="36">
        <f>IF($A146="","",IFERROR(INDEX('זה אני - קליטה'!$AG$5:$AG$204,MATCH($A146&amp;"|אמצע שנה",'זה אני - קליטה'!$AF$5:$AF$204,0)),""))</f>
        <v/>
      </c>
      <c r="P146" s="37">
        <f>IF($A146="","",IFERROR(INDEX('זה אני - קליטה'!$AN$5:$AN$204,MATCH($A146&amp;"|אמצע שנה",'זה אני - קליטה'!$AF$5:$AF$204,0)),""))</f>
        <v/>
      </c>
      <c r="Q146" s="36">
        <f>IF($A146="","",IFERROR(INDEX('זה אני - קליטה'!$AW$5:$AW$204,MATCH($A146&amp;"|אמצע שנה",'זה אני - קליטה'!$AF$5:$AF$204,0)),""))</f>
        <v/>
      </c>
      <c r="R146" s="37">
        <f>IF($A146="","",IFERROR(INDEX('זה אני - קליטה'!$AH$5:$AH$204,MATCH($A146&amp;"|סוף שנה",'זה אני - קליטה'!$AF$5:$AF$204,0)),""))</f>
        <v/>
      </c>
      <c r="S146" s="37">
        <f>IF($A146="","",IFERROR(INDEX('זה אני - קליטה'!$AI$5:$AI$204,MATCH($A146&amp;"|סוף שנה",'זה אני - קליטה'!$AF$5:$AF$204,0)),""))</f>
        <v/>
      </c>
      <c r="T146" s="37">
        <f>IF($A146="","",IFERROR(INDEX('זה אני - קליטה'!$AJ$5:$AJ$204,MATCH($A146&amp;"|סוף שנה",'זה אני - קליטה'!$AF$5:$AF$204,0)),""))</f>
        <v/>
      </c>
      <c r="U146" s="37">
        <f>IF($A146="","",IFERROR(INDEX('זה אני - קליטה'!$AK$5:$AK$204,MATCH($A146&amp;"|סוף שנה",'זה אני - קליטה'!$AF$5:$AF$204,0)),""))</f>
        <v/>
      </c>
      <c r="V146" s="37">
        <f>IF($A146="","",IFERROR(INDEX('זה אני - קליטה'!$AL$5:$AL$204,MATCH($A146&amp;"|סוף שנה",'זה אני - קליטה'!$AF$5:$AF$204,0)),""))</f>
        <v/>
      </c>
      <c r="W146" s="36">
        <f>IF($A146="","",IFERROR(INDEX('זה אני - קליטה'!$AG$5:$AG$204,MATCH($A146&amp;"|סוף שנה",'זה אני - קליטה'!$AF$5:$AF$204,0)),""))</f>
        <v/>
      </c>
      <c r="X146" s="37">
        <f>IF($A146="","",IFERROR(INDEX('זה אני - קליטה'!$AN$5:$AN$204,MATCH($A146&amp;"|סוף שנה",'זה אני - קליטה'!$AF$5:$AF$204,0)),""))</f>
        <v/>
      </c>
      <c r="Y146" s="36">
        <f>IF($A146="","",IFERROR(INDEX('זה אני - קליטה'!$AW$5:$AW$204,MATCH($A146&amp;"|סוף שנה",'זה אני - קליטה'!$AF$5:$AF$204,0)),""))</f>
        <v/>
      </c>
      <c r="Z146" s="43">
        <f>IF(AND(ISNUMBER(F146),ISNUMBER(V146)),V146-F146,"")</f>
        <v/>
      </c>
      <c r="AA146" s="36">
        <f>IF(Z146="","",IF(Z146&gt;=0.25,"עלייה",IF(Z146&lt;=-0.25,"ירידה","יציב")))</f>
        <v/>
      </c>
    </row>
    <row r="147">
      <c r="A147" s="38" t="n"/>
      <c r="B147" s="37">
        <f>IF($A147="","",IFERROR(INDEX('זה אני - קליטה'!$AH$5:$AH$204,MATCH($A147&amp;"|תחילת שנה",'זה אני - קליטה'!$AF$5:$AF$204,0)),""))</f>
        <v/>
      </c>
      <c r="C147" s="37">
        <f>IF($A147="","",IFERROR(INDEX('זה אני - קליטה'!$AI$5:$AI$204,MATCH($A147&amp;"|תחילת שנה",'זה אני - קליטה'!$AF$5:$AF$204,0)),""))</f>
        <v/>
      </c>
      <c r="D147" s="37">
        <f>IF($A147="","",IFERROR(INDEX('זה אני - קליטה'!$AJ$5:$AJ$204,MATCH($A147&amp;"|תחילת שנה",'זה אני - קליטה'!$AF$5:$AF$204,0)),""))</f>
        <v/>
      </c>
      <c r="E147" s="37">
        <f>IF($A147="","",IFERROR(INDEX('זה אני - קליטה'!$AK$5:$AK$204,MATCH($A147&amp;"|תחילת שנה",'זה אני - קליטה'!$AF$5:$AF$204,0)),""))</f>
        <v/>
      </c>
      <c r="F147" s="37">
        <f>IF($A147="","",IFERROR(INDEX('זה אני - קליטה'!$AL$5:$AL$204,MATCH($A147&amp;"|תחילת שנה",'זה אני - קליטה'!$AF$5:$AF$204,0)),""))</f>
        <v/>
      </c>
      <c r="G147" s="36">
        <f>IF($A147="","",IFERROR(INDEX('זה אני - קליטה'!$AG$5:$AG$204,MATCH($A147&amp;"|תחילת שנה",'זה אני - קליטה'!$AF$5:$AF$204,0)),""))</f>
        <v/>
      </c>
      <c r="H147" s="37">
        <f>IF($A147="","",IFERROR(INDEX('זה אני - קליטה'!$AN$5:$AN$204,MATCH($A147&amp;"|תחילת שנה",'זה אני - קליטה'!$AF$5:$AF$204,0)),""))</f>
        <v/>
      </c>
      <c r="I147" s="36">
        <f>IF($A147="","",IFERROR(INDEX('זה אני - קליטה'!$AW$5:$AW$204,MATCH($A147&amp;"|תחילת שנה",'זה אני - קליטה'!$AF$5:$AF$204,0)),""))</f>
        <v/>
      </c>
      <c r="J147" s="37">
        <f>IF($A147="","",IFERROR(INDEX('זה אני - קליטה'!$AH$5:$AH$204,MATCH($A147&amp;"|אמצע שנה",'זה אני - קליטה'!$AF$5:$AF$204,0)),""))</f>
        <v/>
      </c>
      <c r="K147" s="37">
        <f>IF($A147="","",IFERROR(INDEX('זה אני - קליטה'!$AI$5:$AI$204,MATCH($A147&amp;"|אמצע שנה",'זה אני - קליטה'!$AF$5:$AF$204,0)),""))</f>
        <v/>
      </c>
      <c r="L147" s="37">
        <f>IF($A147="","",IFERROR(INDEX('זה אני - קליטה'!$AJ$5:$AJ$204,MATCH($A147&amp;"|אמצע שנה",'זה אני - קליטה'!$AF$5:$AF$204,0)),""))</f>
        <v/>
      </c>
      <c r="M147" s="37">
        <f>IF($A147="","",IFERROR(INDEX('זה אני - קליטה'!$AK$5:$AK$204,MATCH($A147&amp;"|אמצע שנה",'זה אני - קליטה'!$AF$5:$AF$204,0)),""))</f>
        <v/>
      </c>
      <c r="N147" s="37">
        <f>IF($A147="","",IFERROR(INDEX('זה אני - קליטה'!$AL$5:$AL$204,MATCH($A147&amp;"|אמצע שנה",'זה אני - קליטה'!$AF$5:$AF$204,0)),""))</f>
        <v/>
      </c>
      <c r="O147" s="36">
        <f>IF($A147="","",IFERROR(INDEX('זה אני - קליטה'!$AG$5:$AG$204,MATCH($A147&amp;"|אמצע שנה",'זה אני - קליטה'!$AF$5:$AF$204,0)),""))</f>
        <v/>
      </c>
      <c r="P147" s="37">
        <f>IF($A147="","",IFERROR(INDEX('זה אני - קליטה'!$AN$5:$AN$204,MATCH($A147&amp;"|אמצע שנה",'זה אני - קליטה'!$AF$5:$AF$204,0)),""))</f>
        <v/>
      </c>
      <c r="Q147" s="36">
        <f>IF($A147="","",IFERROR(INDEX('זה אני - קליטה'!$AW$5:$AW$204,MATCH($A147&amp;"|אמצע שנה",'זה אני - קליטה'!$AF$5:$AF$204,0)),""))</f>
        <v/>
      </c>
      <c r="R147" s="37">
        <f>IF($A147="","",IFERROR(INDEX('זה אני - קליטה'!$AH$5:$AH$204,MATCH($A147&amp;"|סוף שנה",'זה אני - קליטה'!$AF$5:$AF$204,0)),""))</f>
        <v/>
      </c>
      <c r="S147" s="37">
        <f>IF($A147="","",IFERROR(INDEX('זה אני - קליטה'!$AI$5:$AI$204,MATCH($A147&amp;"|סוף שנה",'זה אני - קליטה'!$AF$5:$AF$204,0)),""))</f>
        <v/>
      </c>
      <c r="T147" s="37">
        <f>IF($A147="","",IFERROR(INDEX('זה אני - קליטה'!$AJ$5:$AJ$204,MATCH($A147&amp;"|סוף שנה",'זה אני - קליטה'!$AF$5:$AF$204,0)),""))</f>
        <v/>
      </c>
      <c r="U147" s="37">
        <f>IF($A147="","",IFERROR(INDEX('זה אני - קליטה'!$AK$5:$AK$204,MATCH($A147&amp;"|סוף שנה",'זה אני - קליטה'!$AF$5:$AF$204,0)),""))</f>
        <v/>
      </c>
      <c r="V147" s="37">
        <f>IF($A147="","",IFERROR(INDEX('זה אני - קליטה'!$AL$5:$AL$204,MATCH($A147&amp;"|סוף שנה",'זה אני - קליטה'!$AF$5:$AF$204,0)),""))</f>
        <v/>
      </c>
      <c r="W147" s="36">
        <f>IF($A147="","",IFERROR(INDEX('זה אני - קליטה'!$AG$5:$AG$204,MATCH($A147&amp;"|סוף שנה",'זה אני - קליטה'!$AF$5:$AF$204,0)),""))</f>
        <v/>
      </c>
      <c r="X147" s="37">
        <f>IF($A147="","",IFERROR(INDEX('זה אני - קליטה'!$AN$5:$AN$204,MATCH($A147&amp;"|סוף שנה",'זה אני - קליטה'!$AF$5:$AF$204,0)),""))</f>
        <v/>
      </c>
      <c r="Y147" s="36">
        <f>IF($A147="","",IFERROR(INDEX('זה אני - קליטה'!$AW$5:$AW$204,MATCH($A147&amp;"|סוף שנה",'זה אני - קליטה'!$AF$5:$AF$204,0)),""))</f>
        <v/>
      </c>
      <c r="Z147" s="43">
        <f>IF(AND(ISNUMBER(F147),ISNUMBER(V147)),V147-F147,"")</f>
        <v/>
      </c>
      <c r="AA147" s="36">
        <f>IF(Z147="","",IF(Z147&gt;=0.25,"עלייה",IF(Z147&lt;=-0.25,"ירידה","יציב")))</f>
        <v/>
      </c>
    </row>
    <row r="148">
      <c r="A148" s="38" t="n"/>
      <c r="B148" s="37">
        <f>IF($A148="","",IFERROR(INDEX('זה אני - קליטה'!$AH$5:$AH$204,MATCH($A148&amp;"|תחילת שנה",'זה אני - קליטה'!$AF$5:$AF$204,0)),""))</f>
        <v/>
      </c>
      <c r="C148" s="37">
        <f>IF($A148="","",IFERROR(INDEX('זה אני - קליטה'!$AI$5:$AI$204,MATCH($A148&amp;"|תחילת שנה",'זה אני - קליטה'!$AF$5:$AF$204,0)),""))</f>
        <v/>
      </c>
      <c r="D148" s="37">
        <f>IF($A148="","",IFERROR(INDEX('זה אני - קליטה'!$AJ$5:$AJ$204,MATCH($A148&amp;"|תחילת שנה",'זה אני - קליטה'!$AF$5:$AF$204,0)),""))</f>
        <v/>
      </c>
      <c r="E148" s="37">
        <f>IF($A148="","",IFERROR(INDEX('זה אני - קליטה'!$AK$5:$AK$204,MATCH($A148&amp;"|תחילת שנה",'זה אני - קליטה'!$AF$5:$AF$204,0)),""))</f>
        <v/>
      </c>
      <c r="F148" s="37">
        <f>IF($A148="","",IFERROR(INDEX('זה אני - קליטה'!$AL$5:$AL$204,MATCH($A148&amp;"|תחילת שנה",'זה אני - קליטה'!$AF$5:$AF$204,0)),""))</f>
        <v/>
      </c>
      <c r="G148" s="36">
        <f>IF($A148="","",IFERROR(INDEX('זה אני - קליטה'!$AG$5:$AG$204,MATCH($A148&amp;"|תחילת שנה",'זה אני - קליטה'!$AF$5:$AF$204,0)),""))</f>
        <v/>
      </c>
      <c r="H148" s="37">
        <f>IF($A148="","",IFERROR(INDEX('זה אני - קליטה'!$AN$5:$AN$204,MATCH($A148&amp;"|תחילת שנה",'זה אני - קליטה'!$AF$5:$AF$204,0)),""))</f>
        <v/>
      </c>
      <c r="I148" s="36">
        <f>IF($A148="","",IFERROR(INDEX('זה אני - קליטה'!$AW$5:$AW$204,MATCH($A148&amp;"|תחילת שנה",'זה אני - קליטה'!$AF$5:$AF$204,0)),""))</f>
        <v/>
      </c>
      <c r="J148" s="37">
        <f>IF($A148="","",IFERROR(INDEX('זה אני - קליטה'!$AH$5:$AH$204,MATCH($A148&amp;"|אמצע שנה",'זה אני - קליטה'!$AF$5:$AF$204,0)),""))</f>
        <v/>
      </c>
      <c r="K148" s="37">
        <f>IF($A148="","",IFERROR(INDEX('זה אני - קליטה'!$AI$5:$AI$204,MATCH($A148&amp;"|אמצע שנה",'זה אני - קליטה'!$AF$5:$AF$204,0)),""))</f>
        <v/>
      </c>
      <c r="L148" s="37">
        <f>IF($A148="","",IFERROR(INDEX('זה אני - קליטה'!$AJ$5:$AJ$204,MATCH($A148&amp;"|אמצע שנה",'זה אני - קליטה'!$AF$5:$AF$204,0)),""))</f>
        <v/>
      </c>
      <c r="M148" s="37">
        <f>IF($A148="","",IFERROR(INDEX('זה אני - קליטה'!$AK$5:$AK$204,MATCH($A148&amp;"|אמצע שנה",'זה אני - קליטה'!$AF$5:$AF$204,0)),""))</f>
        <v/>
      </c>
      <c r="N148" s="37">
        <f>IF($A148="","",IFERROR(INDEX('זה אני - קליטה'!$AL$5:$AL$204,MATCH($A148&amp;"|אמצע שנה",'זה אני - קליטה'!$AF$5:$AF$204,0)),""))</f>
        <v/>
      </c>
      <c r="O148" s="36">
        <f>IF($A148="","",IFERROR(INDEX('זה אני - קליטה'!$AG$5:$AG$204,MATCH($A148&amp;"|אמצע שנה",'זה אני - קליטה'!$AF$5:$AF$204,0)),""))</f>
        <v/>
      </c>
      <c r="P148" s="37">
        <f>IF($A148="","",IFERROR(INDEX('זה אני - קליטה'!$AN$5:$AN$204,MATCH($A148&amp;"|אמצע שנה",'זה אני - קליטה'!$AF$5:$AF$204,0)),""))</f>
        <v/>
      </c>
      <c r="Q148" s="36">
        <f>IF($A148="","",IFERROR(INDEX('זה אני - קליטה'!$AW$5:$AW$204,MATCH($A148&amp;"|אמצע שנה",'זה אני - קליטה'!$AF$5:$AF$204,0)),""))</f>
        <v/>
      </c>
      <c r="R148" s="37">
        <f>IF($A148="","",IFERROR(INDEX('זה אני - קליטה'!$AH$5:$AH$204,MATCH($A148&amp;"|סוף שנה",'זה אני - קליטה'!$AF$5:$AF$204,0)),""))</f>
        <v/>
      </c>
      <c r="S148" s="37">
        <f>IF($A148="","",IFERROR(INDEX('זה אני - קליטה'!$AI$5:$AI$204,MATCH($A148&amp;"|סוף שנה",'זה אני - קליטה'!$AF$5:$AF$204,0)),""))</f>
        <v/>
      </c>
      <c r="T148" s="37">
        <f>IF($A148="","",IFERROR(INDEX('זה אני - קליטה'!$AJ$5:$AJ$204,MATCH($A148&amp;"|סוף שנה",'זה אני - קליטה'!$AF$5:$AF$204,0)),""))</f>
        <v/>
      </c>
      <c r="U148" s="37">
        <f>IF($A148="","",IFERROR(INDEX('זה אני - קליטה'!$AK$5:$AK$204,MATCH($A148&amp;"|סוף שנה",'זה אני - קליטה'!$AF$5:$AF$204,0)),""))</f>
        <v/>
      </c>
      <c r="V148" s="37">
        <f>IF($A148="","",IFERROR(INDEX('זה אני - קליטה'!$AL$5:$AL$204,MATCH($A148&amp;"|סוף שנה",'זה אני - קליטה'!$AF$5:$AF$204,0)),""))</f>
        <v/>
      </c>
      <c r="W148" s="36">
        <f>IF($A148="","",IFERROR(INDEX('זה אני - קליטה'!$AG$5:$AG$204,MATCH($A148&amp;"|סוף שנה",'זה אני - קליטה'!$AF$5:$AF$204,0)),""))</f>
        <v/>
      </c>
      <c r="X148" s="37">
        <f>IF($A148="","",IFERROR(INDEX('זה אני - קליטה'!$AN$5:$AN$204,MATCH($A148&amp;"|סוף שנה",'זה אני - קליטה'!$AF$5:$AF$204,0)),""))</f>
        <v/>
      </c>
      <c r="Y148" s="36">
        <f>IF($A148="","",IFERROR(INDEX('זה אני - קליטה'!$AW$5:$AW$204,MATCH($A148&amp;"|סוף שנה",'זה אני - קליטה'!$AF$5:$AF$204,0)),""))</f>
        <v/>
      </c>
      <c r="Z148" s="43">
        <f>IF(AND(ISNUMBER(F148),ISNUMBER(V148)),V148-F148,"")</f>
        <v/>
      </c>
      <c r="AA148" s="36">
        <f>IF(Z148="","",IF(Z148&gt;=0.25,"עלייה",IF(Z148&lt;=-0.25,"ירידה","יציב")))</f>
        <v/>
      </c>
    </row>
    <row r="149">
      <c r="A149" s="38" t="n"/>
      <c r="B149" s="37">
        <f>IF($A149="","",IFERROR(INDEX('זה אני - קליטה'!$AH$5:$AH$204,MATCH($A149&amp;"|תחילת שנה",'זה אני - קליטה'!$AF$5:$AF$204,0)),""))</f>
        <v/>
      </c>
      <c r="C149" s="37">
        <f>IF($A149="","",IFERROR(INDEX('זה אני - קליטה'!$AI$5:$AI$204,MATCH($A149&amp;"|תחילת שנה",'זה אני - קליטה'!$AF$5:$AF$204,0)),""))</f>
        <v/>
      </c>
      <c r="D149" s="37">
        <f>IF($A149="","",IFERROR(INDEX('זה אני - קליטה'!$AJ$5:$AJ$204,MATCH($A149&amp;"|תחילת שנה",'זה אני - קליטה'!$AF$5:$AF$204,0)),""))</f>
        <v/>
      </c>
      <c r="E149" s="37">
        <f>IF($A149="","",IFERROR(INDEX('זה אני - קליטה'!$AK$5:$AK$204,MATCH($A149&amp;"|תחילת שנה",'זה אני - קליטה'!$AF$5:$AF$204,0)),""))</f>
        <v/>
      </c>
      <c r="F149" s="37">
        <f>IF($A149="","",IFERROR(INDEX('זה אני - קליטה'!$AL$5:$AL$204,MATCH($A149&amp;"|תחילת שנה",'זה אני - קליטה'!$AF$5:$AF$204,0)),""))</f>
        <v/>
      </c>
      <c r="G149" s="36">
        <f>IF($A149="","",IFERROR(INDEX('זה אני - קליטה'!$AG$5:$AG$204,MATCH($A149&amp;"|תחילת שנה",'זה אני - קליטה'!$AF$5:$AF$204,0)),""))</f>
        <v/>
      </c>
      <c r="H149" s="37">
        <f>IF($A149="","",IFERROR(INDEX('זה אני - קליטה'!$AN$5:$AN$204,MATCH($A149&amp;"|תחילת שנה",'זה אני - קליטה'!$AF$5:$AF$204,0)),""))</f>
        <v/>
      </c>
      <c r="I149" s="36">
        <f>IF($A149="","",IFERROR(INDEX('זה אני - קליטה'!$AW$5:$AW$204,MATCH($A149&amp;"|תחילת שנה",'זה אני - קליטה'!$AF$5:$AF$204,0)),""))</f>
        <v/>
      </c>
      <c r="J149" s="37">
        <f>IF($A149="","",IFERROR(INDEX('זה אני - קליטה'!$AH$5:$AH$204,MATCH($A149&amp;"|אמצע שנה",'זה אני - קליטה'!$AF$5:$AF$204,0)),""))</f>
        <v/>
      </c>
      <c r="K149" s="37">
        <f>IF($A149="","",IFERROR(INDEX('זה אני - קליטה'!$AI$5:$AI$204,MATCH($A149&amp;"|אמצע שנה",'זה אני - קליטה'!$AF$5:$AF$204,0)),""))</f>
        <v/>
      </c>
      <c r="L149" s="37">
        <f>IF($A149="","",IFERROR(INDEX('זה אני - קליטה'!$AJ$5:$AJ$204,MATCH($A149&amp;"|אמצע שנה",'זה אני - קליטה'!$AF$5:$AF$204,0)),""))</f>
        <v/>
      </c>
      <c r="M149" s="37">
        <f>IF($A149="","",IFERROR(INDEX('זה אני - קליטה'!$AK$5:$AK$204,MATCH($A149&amp;"|אמצע שנה",'זה אני - קליטה'!$AF$5:$AF$204,0)),""))</f>
        <v/>
      </c>
      <c r="N149" s="37">
        <f>IF($A149="","",IFERROR(INDEX('זה אני - קליטה'!$AL$5:$AL$204,MATCH($A149&amp;"|אמצע שנה",'זה אני - קליטה'!$AF$5:$AF$204,0)),""))</f>
        <v/>
      </c>
      <c r="O149" s="36">
        <f>IF($A149="","",IFERROR(INDEX('זה אני - קליטה'!$AG$5:$AG$204,MATCH($A149&amp;"|אמצע שנה",'זה אני - קליטה'!$AF$5:$AF$204,0)),""))</f>
        <v/>
      </c>
      <c r="P149" s="37">
        <f>IF($A149="","",IFERROR(INDEX('זה אני - קליטה'!$AN$5:$AN$204,MATCH($A149&amp;"|אמצע שנה",'זה אני - קליטה'!$AF$5:$AF$204,0)),""))</f>
        <v/>
      </c>
      <c r="Q149" s="36">
        <f>IF($A149="","",IFERROR(INDEX('זה אני - קליטה'!$AW$5:$AW$204,MATCH($A149&amp;"|אמצע שנה",'זה אני - קליטה'!$AF$5:$AF$204,0)),""))</f>
        <v/>
      </c>
      <c r="R149" s="37">
        <f>IF($A149="","",IFERROR(INDEX('זה אני - קליטה'!$AH$5:$AH$204,MATCH($A149&amp;"|סוף שנה",'זה אני - קליטה'!$AF$5:$AF$204,0)),""))</f>
        <v/>
      </c>
      <c r="S149" s="37">
        <f>IF($A149="","",IFERROR(INDEX('זה אני - קליטה'!$AI$5:$AI$204,MATCH($A149&amp;"|סוף שנה",'זה אני - קליטה'!$AF$5:$AF$204,0)),""))</f>
        <v/>
      </c>
      <c r="T149" s="37">
        <f>IF($A149="","",IFERROR(INDEX('זה אני - קליטה'!$AJ$5:$AJ$204,MATCH($A149&amp;"|סוף שנה",'זה אני - קליטה'!$AF$5:$AF$204,0)),""))</f>
        <v/>
      </c>
      <c r="U149" s="37">
        <f>IF($A149="","",IFERROR(INDEX('זה אני - קליטה'!$AK$5:$AK$204,MATCH($A149&amp;"|סוף שנה",'זה אני - קליטה'!$AF$5:$AF$204,0)),""))</f>
        <v/>
      </c>
      <c r="V149" s="37">
        <f>IF($A149="","",IFERROR(INDEX('זה אני - קליטה'!$AL$5:$AL$204,MATCH($A149&amp;"|סוף שנה",'זה אני - קליטה'!$AF$5:$AF$204,0)),""))</f>
        <v/>
      </c>
      <c r="W149" s="36">
        <f>IF($A149="","",IFERROR(INDEX('זה אני - קליטה'!$AG$5:$AG$204,MATCH($A149&amp;"|סוף שנה",'זה אני - קליטה'!$AF$5:$AF$204,0)),""))</f>
        <v/>
      </c>
      <c r="X149" s="37">
        <f>IF($A149="","",IFERROR(INDEX('זה אני - קליטה'!$AN$5:$AN$204,MATCH($A149&amp;"|סוף שנה",'זה אני - קליטה'!$AF$5:$AF$204,0)),""))</f>
        <v/>
      </c>
      <c r="Y149" s="36">
        <f>IF($A149="","",IFERROR(INDEX('זה אני - קליטה'!$AW$5:$AW$204,MATCH($A149&amp;"|סוף שנה",'זה אני - קליטה'!$AF$5:$AF$204,0)),""))</f>
        <v/>
      </c>
      <c r="Z149" s="43">
        <f>IF(AND(ISNUMBER(F149),ISNUMBER(V149)),V149-F149,"")</f>
        <v/>
      </c>
      <c r="AA149" s="36">
        <f>IF(Z149="","",IF(Z149&gt;=0.25,"עלייה",IF(Z149&lt;=-0.25,"ירידה","יציב")))</f>
        <v/>
      </c>
    </row>
    <row r="150">
      <c r="A150" s="38" t="n"/>
      <c r="B150" s="37">
        <f>IF($A150="","",IFERROR(INDEX('זה אני - קליטה'!$AH$5:$AH$204,MATCH($A150&amp;"|תחילת שנה",'זה אני - קליטה'!$AF$5:$AF$204,0)),""))</f>
        <v/>
      </c>
      <c r="C150" s="37">
        <f>IF($A150="","",IFERROR(INDEX('זה אני - קליטה'!$AI$5:$AI$204,MATCH($A150&amp;"|תחילת שנה",'זה אני - קליטה'!$AF$5:$AF$204,0)),""))</f>
        <v/>
      </c>
      <c r="D150" s="37">
        <f>IF($A150="","",IFERROR(INDEX('זה אני - קליטה'!$AJ$5:$AJ$204,MATCH($A150&amp;"|תחילת שנה",'זה אני - קליטה'!$AF$5:$AF$204,0)),""))</f>
        <v/>
      </c>
      <c r="E150" s="37">
        <f>IF($A150="","",IFERROR(INDEX('זה אני - קליטה'!$AK$5:$AK$204,MATCH($A150&amp;"|תחילת שנה",'זה אני - קליטה'!$AF$5:$AF$204,0)),""))</f>
        <v/>
      </c>
      <c r="F150" s="37">
        <f>IF($A150="","",IFERROR(INDEX('זה אני - קליטה'!$AL$5:$AL$204,MATCH($A150&amp;"|תחילת שנה",'זה אני - קליטה'!$AF$5:$AF$204,0)),""))</f>
        <v/>
      </c>
      <c r="G150" s="36">
        <f>IF($A150="","",IFERROR(INDEX('זה אני - קליטה'!$AG$5:$AG$204,MATCH($A150&amp;"|תחילת שנה",'זה אני - קליטה'!$AF$5:$AF$204,0)),""))</f>
        <v/>
      </c>
      <c r="H150" s="37">
        <f>IF($A150="","",IFERROR(INDEX('זה אני - קליטה'!$AN$5:$AN$204,MATCH($A150&amp;"|תחילת שנה",'זה אני - קליטה'!$AF$5:$AF$204,0)),""))</f>
        <v/>
      </c>
      <c r="I150" s="36">
        <f>IF($A150="","",IFERROR(INDEX('זה אני - קליטה'!$AW$5:$AW$204,MATCH($A150&amp;"|תחילת שנה",'זה אני - קליטה'!$AF$5:$AF$204,0)),""))</f>
        <v/>
      </c>
      <c r="J150" s="37">
        <f>IF($A150="","",IFERROR(INDEX('זה אני - קליטה'!$AH$5:$AH$204,MATCH($A150&amp;"|אמצע שנה",'זה אני - קליטה'!$AF$5:$AF$204,0)),""))</f>
        <v/>
      </c>
      <c r="K150" s="37">
        <f>IF($A150="","",IFERROR(INDEX('זה אני - קליטה'!$AI$5:$AI$204,MATCH($A150&amp;"|אמצע שנה",'זה אני - קליטה'!$AF$5:$AF$204,0)),""))</f>
        <v/>
      </c>
      <c r="L150" s="37">
        <f>IF($A150="","",IFERROR(INDEX('זה אני - קליטה'!$AJ$5:$AJ$204,MATCH($A150&amp;"|אמצע שנה",'זה אני - קליטה'!$AF$5:$AF$204,0)),""))</f>
        <v/>
      </c>
      <c r="M150" s="37">
        <f>IF($A150="","",IFERROR(INDEX('זה אני - קליטה'!$AK$5:$AK$204,MATCH($A150&amp;"|אמצע שנה",'זה אני - קליטה'!$AF$5:$AF$204,0)),""))</f>
        <v/>
      </c>
      <c r="N150" s="37">
        <f>IF($A150="","",IFERROR(INDEX('זה אני - קליטה'!$AL$5:$AL$204,MATCH($A150&amp;"|אמצע שנה",'זה אני - קליטה'!$AF$5:$AF$204,0)),""))</f>
        <v/>
      </c>
      <c r="O150" s="36">
        <f>IF($A150="","",IFERROR(INDEX('זה אני - קליטה'!$AG$5:$AG$204,MATCH($A150&amp;"|אמצע שנה",'זה אני - קליטה'!$AF$5:$AF$204,0)),""))</f>
        <v/>
      </c>
      <c r="P150" s="37">
        <f>IF($A150="","",IFERROR(INDEX('זה אני - קליטה'!$AN$5:$AN$204,MATCH($A150&amp;"|אמצע שנה",'זה אני - קליטה'!$AF$5:$AF$204,0)),""))</f>
        <v/>
      </c>
      <c r="Q150" s="36">
        <f>IF($A150="","",IFERROR(INDEX('זה אני - קליטה'!$AW$5:$AW$204,MATCH($A150&amp;"|אמצע שנה",'זה אני - קליטה'!$AF$5:$AF$204,0)),""))</f>
        <v/>
      </c>
      <c r="R150" s="37">
        <f>IF($A150="","",IFERROR(INDEX('זה אני - קליטה'!$AH$5:$AH$204,MATCH($A150&amp;"|סוף שנה",'זה אני - קליטה'!$AF$5:$AF$204,0)),""))</f>
        <v/>
      </c>
      <c r="S150" s="37">
        <f>IF($A150="","",IFERROR(INDEX('זה אני - קליטה'!$AI$5:$AI$204,MATCH($A150&amp;"|סוף שנה",'זה אני - קליטה'!$AF$5:$AF$204,0)),""))</f>
        <v/>
      </c>
      <c r="T150" s="37">
        <f>IF($A150="","",IFERROR(INDEX('זה אני - קליטה'!$AJ$5:$AJ$204,MATCH($A150&amp;"|סוף שנה",'זה אני - קליטה'!$AF$5:$AF$204,0)),""))</f>
        <v/>
      </c>
      <c r="U150" s="37">
        <f>IF($A150="","",IFERROR(INDEX('זה אני - קליטה'!$AK$5:$AK$204,MATCH($A150&amp;"|סוף שנה",'זה אני - קליטה'!$AF$5:$AF$204,0)),""))</f>
        <v/>
      </c>
      <c r="V150" s="37">
        <f>IF($A150="","",IFERROR(INDEX('זה אני - קליטה'!$AL$5:$AL$204,MATCH($A150&amp;"|סוף שנה",'זה אני - קליטה'!$AF$5:$AF$204,0)),""))</f>
        <v/>
      </c>
      <c r="W150" s="36">
        <f>IF($A150="","",IFERROR(INDEX('זה אני - קליטה'!$AG$5:$AG$204,MATCH($A150&amp;"|סוף שנה",'זה אני - קליטה'!$AF$5:$AF$204,0)),""))</f>
        <v/>
      </c>
      <c r="X150" s="37">
        <f>IF($A150="","",IFERROR(INDEX('זה אני - קליטה'!$AN$5:$AN$204,MATCH($A150&amp;"|סוף שנה",'זה אני - קליטה'!$AF$5:$AF$204,0)),""))</f>
        <v/>
      </c>
      <c r="Y150" s="36">
        <f>IF($A150="","",IFERROR(INDEX('זה אני - קליטה'!$AW$5:$AW$204,MATCH($A150&amp;"|סוף שנה",'זה אני - קליטה'!$AF$5:$AF$204,0)),""))</f>
        <v/>
      </c>
      <c r="Z150" s="43">
        <f>IF(AND(ISNUMBER(F150),ISNUMBER(V150)),V150-F150,"")</f>
        <v/>
      </c>
      <c r="AA150" s="36">
        <f>IF(Z150="","",IF(Z150&gt;=0.25,"עלייה",IF(Z150&lt;=-0.25,"ירידה","יציב")))</f>
        <v/>
      </c>
    </row>
    <row r="151">
      <c r="A151" s="38" t="n"/>
      <c r="B151" s="37">
        <f>IF($A151="","",IFERROR(INDEX('זה אני - קליטה'!$AH$5:$AH$204,MATCH($A151&amp;"|תחילת שנה",'זה אני - קליטה'!$AF$5:$AF$204,0)),""))</f>
        <v/>
      </c>
      <c r="C151" s="37">
        <f>IF($A151="","",IFERROR(INDEX('זה אני - קליטה'!$AI$5:$AI$204,MATCH($A151&amp;"|תחילת שנה",'זה אני - קליטה'!$AF$5:$AF$204,0)),""))</f>
        <v/>
      </c>
      <c r="D151" s="37">
        <f>IF($A151="","",IFERROR(INDEX('זה אני - קליטה'!$AJ$5:$AJ$204,MATCH($A151&amp;"|תחילת שנה",'זה אני - קליטה'!$AF$5:$AF$204,0)),""))</f>
        <v/>
      </c>
      <c r="E151" s="37">
        <f>IF($A151="","",IFERROR(INDEX('זה אני - קליטה'!$AK$5:$AK$204,MATCH($A151&amp;"|תחילת שנה",'זה אני - קליטה'!$AF$5:$AF$204,0)),""))</f>
        <v/>
      </c>
      <c r="F151" s="37">
        <f>IF($A151="","",IFERROR(INDEX('זה אני - קליטה'!$AL$5:$AL$204,MATCH($A151&amp;"|תחילת שנה",'זה אני - קליטה'!$AF$5:$AF$204,0)),""))</f>
        <v/>
      </c>
      <c r="G151" s="36">
        <f>IF($A151="","",IFERROR(INDEX('זה אני - קליטה'!$AG$5:$AG$204,MATCH($A151&amp;"|תחילת שנה",'זה אני - קליטה'!$AF$5:$AF$204,0)),""))</f>
        <v/>
      </c>
      <c r="H151" s="37">
        <f>IF($A151="","",IFERROR(INDEX('זה אני - קליטה'!$AN$5:$AN$204,MATCH($A151&amp;"|תחילת שנה",'זה אני - קליטה'!$AF$5:$AF$204,0)),""))</f>
        <v/>
      </c>
      <c r="I151" s="36">
        <f>IF($A151="","",IFERROR(INDEX('זה אני - קליטה'!$AW$5:$AW$204,MATCH($A151&amp;"|תחילת שנה",'זה אני - קליטה'!$AF$5:$AF$204,0)),""))</f>
        <v/>
      </c>
      <c r="J151" s="37">
        <f>IF($A151="","",IFERROR(INDEX('זה אני - קליטה'!$AH$5:$AH$204,MATCH($A151&amp;"|אמצע שנה",'זה אני - קליטה'!$AF$5:$AF$204,0)),""))</f>
        <v/>
      </c>
      <c r="K151" s="37">
        <f>IF($A151="","",IFERROR(INDEX('זה אני - קליטה'!$AI$5:$AI$204,MATCH($A151&amp;"|אמצע שנה",'זה אני - קליטה'!$AF$5:$AF$204,0)),""))</f>
        <v/>
      </c>
      <c r="L151" s="37">
        <f>IF($A151="","",IFERROR(INDEX('זה אני - קליטה'!$AJ$5:$AJ$204,MATCH($A151&amp;"|אמצע שנה",'זה אני - קליטה'!$AF$5:$AF$204,0)),""))</f>
        <v/>
      </c>
      <c r="M151" s="37">
        <f>IF($A151="","",IFERROR(INDEX('זה אני - קליטה'!$AK$5:$AK$204,MATCH($A151&amp;"|אמצע שנה",'זה אני - קליטה'!$AF$5:$AF$204,0)),""))</f>
        <v/>
      </c>
      <c r="N151" s="37">
        <f>IF($A151="","",IFERROR(INDEX('זה אני - קליטה'!$AL$5:$AL$204,MATCH($A151&amp;"|אמצע שנה",'זה אני - קליטה'!$AF$5:$AF$204,0)),""))</f>
        <v/>
      </c>
      <c r="O151" s="36">
        <f>IF($A151="","",IFERROR(INDEX('זה אני - קליטה'!$AG$5:$AG$204,MATCH($A151&amp;"|אמצע שנה",'זה אני - קליטה'!$AF$5:$AF$204,0)),""))</f>
        <v/>
      </c>
      <c r="P151" s="37">
        <f>IF($A151="","",IFERROR(INDEX('זה אני - קליטה'!$AN$5:$AN$204,MATCH($A151&amp;"|אמצע שנה",'זה אני - קליטה'!$AF$5:$AF$204,0)),""))</f>
        <v/>
      </c>
      <c r="Q151" s="36">
        <f>IF($A151="","",IFERROR(INDEX('זה אני - קליטה'!$AW$5:$AW$204,MATCH($A151&amp;"|אמצע שנה",'זה אני - קליטה'!$AF$5:$AF$204,0)),""))</f>
        <v/>
      </c>
      <c r="R151" s="37">
        <f>IF($A151="","",IFERROR(INDEX('זה אני - קליטה'!$AH$5:$AH$204,MATCH($A151&amp;"|סוף שנה",'זה אני - קליטה'!$AF$5:$AF$204,0)),""))</f>
        <v/>
      </c>
      <c r="S151" s="37">
        <f>IF($A151="","",IFERROR(INDEX('זה אני - קליטה'!$AI$5:$AI$204,MATCH($A151&amp;"|סוף שנה",'זה אני - קליטה'!$AF$5:$AF$204,0)),""))</f>
        <v/>
      </c>
      <c r="T151" s="37">
        <f>IF($A151="","",IFERROR(INDEX('זה אני - קליטה'!$AJ$5:$AJ$204,MATCH($A151&amp;"|סוף שנה",'זה אני - קליטה'!$AF$5:$AF$204,0)),""))</f>
        <v/>
      </c>
      <c r="U151" s="37">
        <f>IF($A151="","",IFERROR(INDEX('זה אני - קליטה'!$AK$5:$AK$204,MATCH($A151&amp;"|סוף שנה",'זה אני - קליטה'!$AF$5:$AF$204,0)),""))</f>
        <v/>
      </c>
      <c r="V151" s="37">
        <f>IF($A151="","",IFERROR(INDEX('זה אני - קליטה'!$AL$5:$AL$204,MATCH($A151&amp;"|סוף שנה",'זה אני - קליטה'!$AF$5:$AF$204,0)),""))</f>
        <v/>
      </c>
      <c r="W151" s="36">
        <f>IF($A151="","",IFERROR(INDEX('זה אני - קליטה'!$AG$5:$AG$204,MATCH($A151&amp;"|סוף שנה",'זה אני - קליטה'!$AF$5:$AF$204,0)),""))</f>
        <v/>
      </c>
      <c r="X151" s="37">
        <f>IF($A151="","",IFERROR(INDEX('זה אני - קליטה'!$AN$5:$AN$204,MATCH($A151&amp;"|סוף שנה",'זה אני - קליטה'!$AF$5:$AF$204,0)),""))</f>
        <v/>
      </c>
      <c r="Y151" s="36">
        <f>IF($A151="","",IFERROR(INDEX('זה אני - קליטה'!$AW$5:$AW$204,MATCH($A151&amp;"|סוף שנה",'זה אני - קליטה'!$AF$5:$AF$204,0)),""))</f>
        <v/>
      </c>
      <c r="Z151" s="43">
        <f>IF(AND(ISNUMBER(F151),ISNUMBER(V151)),V151-F151,"")</f>
        <v/>
      </c>
      <c r="AA151" s="36">
        <f>IF(Z151="","",IF(Z151&gt;=0.25,"עלייה",IF(Z151&lt;=-0.25,"ירידה","יציב")))</f>
        <v/>
      </c>
    </row>
    <row r="152">
      <c r="A152" s="38" t="n"/>
      <c r="B152" s="37">
        <f>IF($A152="","",IFERROR(INDEX('זה אני - קליטה'!$AH$5:$AH$204,MATCH($A152&amp;"|תחילת שנה",'זה אני - קליטה'!$AF$5:$AF$204,0)),""))</f>
        <v/>
      </c>
      <c r="C152" s="37">
        <f>IF($A152="","",IFERROR(INDEX('זה אני - קליטה'!$AI$5:$AI$204,MATCH($A152&amp;"|תחילת שנה",'זה אני - קליטה'!$AF$5:$AF$204,0)),""))</f>
        <v/>
      </c>
      <c r="D152" s="37">
        <f>IF($A152="","",IFERROR(INDEX('זה אני - קליטה'!$AJ$5:$AJ$204,MATCH($A152&amp;"|תחילת שנה",'זה אני - קליטה'!$AF$5:$AF$204,0)),""))</f>
        <v/>
      </c>
      <c r="E152" s="37">
        <f>IF($A152="","",IFERROR(INDEX('זה אני - קליטה'!$AK$5:$AK$204,MATCH($A152&amp;"|תחילת שנה",'זה אני - קליטה'!$AF$5:$AF$204,0)),""))</f>
        <v/>
      </c>
      <c r="F152" s="37">
        <f>IF($A152="","",IFERROR(INDEX('זה אני - קליטה'!$AL$5:$AL$204,MATCH($A152&amp;"|תחילת שנה",'זה אני - קליטה'!$AF$5:$AF$204,0)),""))</f>
        <v/>
      </c>
      <c r="G152" s="36">
        <f>IF($A152="","",IFERROR(INDEX('זה אני - קליטה'!$AG$5:$AG$204,MATCH($A152&amp;"|תחילת שנה",'זה אני - קליטה'!$AF$5:$AF$204,0)),""))</f>
        <v/>
      </c>
      <c r="H152" s="37">
        <f>IF($A152="","",IFERROR(INDEX('זה אני - קליטה'!$AN$5:$AN$204,MATCH($A152&amp;"|תחילת שנה",'זה אני - קליטה'!$AF$5:$AF$204,0)),""))</f>
        <v/>
      </c>
      <c r="I152" s="36">
        <f>IF($A152="","",IFERROR(INDEX('זה אני - קליטה'!$AW$5:$AW$204,MATCH($A152&amp;"|תחילת שנה",'זה אני - קליטה'!$AF$5:$AF$204,0)),""))</f>
        <v/>
      </c>
      <c r="J152" s="37">
        <f>IF($A152="","",IFERROR(INDEX('זה אני - קליטה'!$AH$5:$AH$204,MATCH($A152&amp;"|אמצע שנה",'זה אני - קליטה'!$AF$5:$AF$204,0)),""))</f>
        <v/>
      </c>
      <c r="K152" s="37">
        <f>IF($A152="","",IFERROR(INDEX('זה אני - קליטה'!$AI$5:$AI$204,MATCH($A152&amp;"|אמצע שנה",'זה אני - קליטה'!$AF$5:$AF$204,0)),""))</f>
        <v/>
      </c>
      <c r="L152" s="37">
        <f>IF($A152="","",IFERROR(INDEX('זה אני - קליטה'!$AJ$5:$AJ$204,MATCH($A152&amp;"|אמצע שנה",'זה אני - קליטה'!$AF$5:$AF$204,0)),""))</f>
        <v/>
      </c>
      <c r="M152" s="37">
        <f>IF($A152="","",IFERROR(INDEX('זה אני - קליטה'!$AK$5:$AK$204,MATCH($A152&amp;"|אמצע שנה",'זה אני - קליטה'!$AF$5:$AF$204,0)),""))</f>
        <v/>
      </c>
      <c r="N152" s="37">
        <f>IF($A152="","",IFERROR(INDEX('זה אני - קליטה'!$AL$5:$AL$204,MATCH($A152&amp;"|אמצע שנה",'זה אני - קליטה'!$AF$5:$AF$204,0)),""))</f>
        <v/>
      </c>
      <c r="O152" s="36">
        <f>IF($A152="","",IFERROR(INDEX('זה אני - קליטה'!$AG$5:$AG$204,MATCH($A152&amp;"|אמצע שנה",'זה אני - קליטה'!$AF$5:$AF$204,0)),""))</f>
        <v/>
      </c>
      <c r="P152" s="37">
        <f>IF($A152="","",IFERROR(INDEX('זה אני - קליטה'!$AN$5:$AN$204,MATCH($A152&amp;"|אמצע שנה",'זה אני - קליטה'!$AF$5:$AF$204,0)),""))</f>
        <v/>
      </c>
      <c r="Q152" s="36">
        <f>IF($A152="","",IFERROR(INDEX('זה אני - קליטה'!$AW$5:$AW$204,MATCH($A152&amp;"|אמצע שנה",'זה אני - קליטה'!$AF$5:$AF$204,0)),""))</f>
        <v/>
      </c>
      <c r="R152" s="37">
        <f>IF($A152="","",IFERROR(INDEX('זה אני - קליטה'!$AH$5:$AH$204,MATCH($A152&amp;"|סוף שנה",'זה אני - קליטה'!$AF$5:$AF$204,0)),""))</f>
        <v/>
      </c>
      <c r="S152" s="37">
        <f>IF($A152="","",IFERROR(INDEX('זה אני - קליטה'!$AI$5:$AI$204,MATCH($A152&amp;"|סוף שנה",'זה אני - קליטה'!$AF$5:$AF$204,0)),""))</f>
        <v/>
      </c>
      <c r="T152" s="37">
        <f>IF($A152="","",IFERROR(INDEX('זה אני - קליטה'!$AJ$5:$AJ$204,MATCH($A152&amp;"|סוף שנה",'זה אני - קליטה'!$AF$5:$AF$204,0)),""))</f>
        <v/>
      </c>
      <c r="U152" s="37">
        <f>IF($A152="","",IFERROR(INDEX('זה אני - קליטה'!$AK$5:$AK$204,MATCH($A152&amp;"|סוף שנה",'זה אני - קליטה'!$AF$5:$AF$204,0)),""))</f>
        <v/>
      </c>
      <c r="V152" s="37">
        <f>IF($A152="","",IFERROR(INDEX('זה אני - קליטה'!$AL$5:$AL$204,MATCH($A152&amp;"|סוף שנה",'זה אני - קליטה'!$AF$5:$AF$204,0)),""))</f>
        <v/>
      </c>
      <c r="W152" s="36">
        <f>IF($A152="","",IFERROR(INDEX('זה אני - קליטה'!$AG$5:$AG$204,MATCH($A152&amp;"|סוף שנה",'זה אני - קליטה'!$AF$5:$AF$204,0)),""))</f>
        <v/>
      </c>
      <c r="X152" s="37">
        <f>IF($A152="","",IFERROR(INDEX('זה אני - קליטה'!$AN$5:$AN$204,MATCH($A152&amp;"|סוף שנה",'זה אני - קליטה'!$AF$5:$AF$204,0)),""))</f>
        <v/>
      </c>
      <c r="Y152" s="36">
        <f>IF($A152="","",IFERROR(INDEX('זה אני - קליטה'!$AW$5:$AW$204,MATCH($A152&amp;"|סוף שנה",'זה אני - קליטה'!$AF$5:$AF$204,0)),""))</f>
        <v/>
      </c>
      <c r="Z152" s="43">
        <f>IF(AND(ISNUMBER(F152),ISNUMBER(V152)),V152-F152,"")</f>
        <v/>
      </c>
      <c r="AA152" s="36">
        <f>IF(Z152="","",IF(Z152&gt;=0.25,"עלייה",IF(Z152&lt;=-0.25,"ירידה","יציב")))</f>
        <v/>
      </c>
    </row>
    <row r="153">
      <c r="A153" s="38" t="n"/>
      <c r="B153" s="37">
        <f>IF($A153="","",IFERROR(INDEX('זה אני - קליטה'!$AH$5:$AH$204,MATCH($A153&amp;"|תחילת שנה",'זה אני - קליטה'!$AF$5:$AF$204,0)),""))</f>
        <v/>
      </c>
      <c r="C153" s="37">
        <f>IF($A153="","",IFERROR(INDEX('זה אני - קליטה'!$AI$5:$AI$204,MATCH($A153&amp;"|תחילת שנה",'זה אני - קליטה'!$AF$5:$AF$204,0)),""))</f>
        <v/>
      </c>
      <c r="D153" s="37">
        <f>IF($A153="","",IFERROR(INDEX('זה אני - קליטה'!$AJ$5:$AJ$204,MATCH($A153&amp;"|תחילת שנה",'זה אני - קליטה'!$AF$5:$AF$204,0)),""))</f>
        <v/>
      </c>
      <c r="E153" s="37">
        <f>IF($A153="","",IFERROR(INDEX('זה אני - קליטה'!$AK$5:$AK$204,MATCH($A153&amp;"|תחילת שנה",'זה אני - קליטה'!$AF$5:$AF$204,0)),""))</f>
        <v/>
      </c>
      <c r="F153" s="37">
        <f>IF($A153="","",IFERROR(INDEX('זה אני - קליטה'!$AL$5:$AL$204,MATCH($A153&amp;"|תחילת שנה",'זה אני - קליטה'!$AF$5:$AF$204,0)),""))</f>
        <v/>
      </c>
      <c r="G153" s="36">
        <f>IF($A153="","",IFERROR(INDEX('זה אני - קליטה'!$AG$5:$AG$204,MATCH($A153&amp;"|תחילת שנה",'זה אני - קליטה'!$AF$5:$AF$204,0)),""))</f>
        <v/>
      </c>
      <c r="H153" s="37">
        <f>IF($A153="","",IFERROR(INDEX('זה אני - קליטה'!$AN$5:$AN$204,MATCH($A153&amp;"|תחילת שנה",'זה אני - קליטה'!$AF$5:$AF$204,0)),""))</f>
        <v/>
      </c>
      <c r="I153" s="36">
        <f>IF($A153="","",IFERROR(INDEX('זה אני - קליטה'!$AW$5:$AW$204,MATCH($A153&amp;"|תחילת שנה",'זה אני - קליטה'!$AF$5:$AF$204,0)),""))</f>
        <v/>
      </c>
      <c r="J153" s="37">
        <f>IF($A153="","",IFERROR(INDEX('זה אני - קליטה'!$AH$5:$AH$204,MATCH($A153&amp;"|אמצע שנה",'זה אני - קליטה'!$AF$5:$AF$204,0)),""))</f>
        <v/>
      </c>
      <c r="K153" s="37">
        <f>IF($A153="","",IFERROR(INDEX('זה אני - קליטה'!$AI$5:$AI$204,MATCH($A153&amp;"|אמצע שנה",'זה אני - קליטה'!$AF$5:$AF$204,0)),""))</f>
        <v/>
      </c>
      <c r="L153" s="37">
        <f>IF($A153="","",IFERROR(INDEX('זה אני - קליטה'!$AJ$5:$AJ$204,MATCH($A153&amp;"|אמצע שנה",'זה אני - קליטה'!$AF$5:$AF$204,0)),""))</f>
        <v/>
      </c>
      <c r="M153" s="37">
        <f>IF($A153="","",IFERROR(INDEX('זה אני - קליטה'!$AK$5:$AK$204,MATCH($A153&amp;"|אמצע שנה",'זה אני - קליטה'!$AF$5:$AF$204,0)),""))</f>
        <v/>
      </c>
      <c r="N153" s="37">
        <f>IF($A153="","",IFERROR(INDEX('זה אני - קליטה'!$AL$5:$AL$204,MATCH($A153&amp;"|אמצע שנה",'זה אני - קליטה'!$AF$5:$AF$204,0)),""))</f>
        <v/>
      </c>
      <c r="O153" s="36">
        <f>IF($A153="","",IFERROR(INDEX('זה אני - קליטה'!$AG$5:$AG$204,MATCH($A153&amp;"|אמצע שנה",'זה אני - קליטה'!$AF$5:$AF$204,0)),""))</f>
        <v/>
      </c>
      <c r="P153" s="37">
        <f>IF($A153="","",IFERROR(INDEX('זה אני - קליטה'!$AN$5:$AN$204,MATCH($A153&amp;"|אמצע שנה",'זה אני - קליטה'!$AF$5:$AF$204,0)),""))</f>
        <v/>
      </c>
      <c r="Q153" s="36">
        <f>IF($A153="","",IFERROR(INDEX('זה אני - קליטה'!$AW$5:$AW$204,MATCH($A153&amp;"|אמצע שנה",'זה אני - קליטה'!$AF$5:$AF$204,0)),""))</f>
        <v/>
      </c>
      <c r="R153" s="37">
        <f>IF($A153="","",IFERROR(INDEX('זה אני - קליטה'!$AH$5:$AH$204,MATCH($A153&amp;"|סוף שנה",'זה אני - קליטה'!$AF$5:$AF$204,0)),""))</f>
        <v/>
      </c>
      <c r="S153" s="37">
        <f>IF($A153="","",IFERROR(INDEX('זה אני - קליטה'!$AI$5:$AI$204,MATCH($A153&amp;"|סוף שנה",'זה אני - קליטה'!$AF$5:$AF$204,0)),""))</f>
        <v/>
      </c>
      <c r="T153" s="37">
        <f>IF($A153="","",IFERROR(INDEX('זה אני - קליטה'!$AJ$5:$AJ$204,MATCH($A153&amp;"|סוף שנה",'זה אני - קליטה'!$AF$5:$AF$204,0)),""))</f>
        <v/>
      </c>
      <c r="U153" s="37">
        <f>IF($A153="","",IFERROR(INDEX('זה אני - קליטה'!$AK$5:$AK$204,MATCH($A153&amp;"|סוף שנה",'זה אני - קליטה'!$AF$5:$AF$204,0)),""))</f>
        <v/>
      </c>
      <c r="V153" s="37">
        <f>IF($A153="","",IFERROR(INDEX('זה אני - קליטה'!$AL$5:$AL$204,MATCH($A153&amp;"|סוף שנה",'זה אני - קליטה'!$AF$5:$AF$204,0)),""))</f>
        <v/>
      </c>
      <c r="W153" s="36">
        <f>IF($A153="","",IFERROR(INDEX('זה אני - קליטה'!$AG$5:$AG$204,MATCH($A153&amp;"|סוף שנה",'זה אני - קליטה'!$AF$5:$AF$204,0)),""))</f>
        <v/>
      </c>
      <c r="X153" s="37">
        <f>IF($A153="","",IFERROR(INDEX('זה אני - קליטה'!$AN$5:$AN$204,MATCH($A153&amp;"|סוף שנה",'זה אני - קליטה'!$AF$5:$AF$204,0)),""))</f>
        <v/>
      </c>
      <c r="Y153" s="36">
        <f>IF($A153="","",IFERROR(INDEX('זה אני - קליטה'!$AW$5:$AW$204,MATCH($A153&amp;"|סוף שנה",'זה אני - קליטה'!$AF$5:$AF$204,0)),""))</f>
        <v/>
      </c>
      <c r="Z153" s="43">
        <f>IF(AND(ISNUMBER(F153),ISNUMBER(V153)),V153-F153,"")</f>
        <v/>
      </c>
      <c r="AA153" s="36">
        <f>IF(Z153="","",IF(Z153&gt;=0.25,"עלייה",IF(Z153&lt;=-0.25,"ירידה","יציב")))</f>
        <v/>
      </c>
    </row>
    <row r="154">
      <c r="A154" s="38" t="n"/>
      <c r="B154" s="37">
        <f>IF($A154="","",IFERROR(INDEX('זה אני - קליטה'!$AH$5:$AH$204,MATCH($A154&amp;"|תחילת שנה",'זה אני - קליטה'!$AF$5:$AF$204,0)),""))</f>
        <v/>
      </c>
      <c r="C154" s="37">
        <f>IF($A154="","",IFERROR(INDEX('זה אני - קליטה'!$AI$5:$AI$204,MATCH($A154&amp;"|תחילת שנה",'זה אני - קליטה'!$AF$5:$AF$204,0)),""))</f>
        <v/>
      </c>
      <c r="D154" s="37">
        <f>IF($A154="","",IFERROR(INDEX('זה אני - קליטה'!$AJ$5:$AJ$204,MATCH($A154&amp;"|תחילת שנה",'זה אני - קליטה'!$AF$5:$AF$204,0)),""))</f>
        <v/>
      </c>
      <c r="E154" s="37">
        <f>IF($A154="","",IFERROR(INDEX('זה אני - קליטה'!$AK$5:$AK$204,MATCH($A154&amp;"|תחילת שנה",'זה אני - קליטה'!$AF$5:$AF$204,0)),""))</f>
        <v/>
      </c>
      <c r="F154" s="37">
        <f>IF($A154="","",IFERROR(INDEX('זה אני - קליטה'!$AL$5:$AL$204,MATCH($A154&amp;"|תחילת שנה",'זה אני - קליטה'!$AF$5:$AF$204,0)),""))</f>
        <v/>
      </c>
      <c r="G154" s="36">
        <f>IF($A154="","",IFERROR(INDEX('זה אני - קליטה'!$AG$5:$AG$204,MATCH($A154&amp;"|תחילת שנה",'זה אני - קליטה'!$AF$5:$AF$204,0)),""))</f>
        <v/>
      </c>
      <c r="H154" s="37">
        <f>IF($A154="","",IFERROR(INDEX('זה אני - קליטה'!$AN$5:$AN$204,MATCH($A154&amp;"|תחילת שנה",'זה אני - קליטה'!$AF$5:$AF$204,0)),""))</f>
        <v/>
      </c>
      <c r="I154" s="36">
        <f>IF($A154="","",IFERROR(INDEX('זה אני - קליטה'!$AW$5:$AW$204,MATCH($A154&amp;"|תחילת שנה",'זה אני - קליטה'!$AF$5:$AF$204,0)),""))</f>
        <v/>
      </c>
      <c r="J154" s="37">
        <f>IF($A154="","",IFERROR(INDEX('זה אני - קליטה'!$AH$5:$AH$204,MATCH($A154&amp;"|אמצע שנה",'זה אני - קליטה'!$AF$5:$AF$204,0)),""))</f>
        <v/>
      </c>
      <c r="K154" s="37">
        <f>IF($A154="","",IFERROR(INDEX('זה אני - קליטה'!$AI$5:$AI$204,MATCH($A154&amp;"|אמצע שנה",'זה אני - קליטה'!$AF$5:$AF$204,0)),""))</f>
        <v/>
      </c>
      <c r="L154" s="37">
        <f>IF($A154="","",IFERROR(INDEX('זה אני - קליטה'!$AJ$5:$AJ$204,MATCH($A154&amp;"|אמצע שנה",'זה אני - קליטה'!$AF$5:$AF$204,0)),""))</f>
        <v/>
      </c>
      <c r="M154" s="37">
        <f>IF($A154="","",IFERROR(INDEX('זה אני - קליטה'!$AK$5:$AK$204,MATCH($A154&amp;"|אמצע שנה",'זה אני - קליטה'!$AF$5:$AF$204,0)),""))</f>
        <v/>
      </c>
      <c r="N154" s="37">
        <f>IF($A154="","",IFERROR(INDEX('זה אני - קליטה'!$AL$5:$AL$204,MATCH($A154&amp;"|אמצע שנה",'זה אני - קליטה'!$AF$5:$AF$204,0)),""))</f>
        <v/>
      </c>
      <c r="O154" s="36">
        <f>IF($A154="","",IFERROR(INDEX('זה אני - קליטה'!$AG$5:$AG$204,MATCH($A154&amp;"|אמצע שנה",'זה אני - קליטה'!$AF$5:$AF$204,0)),""))</f>
        <v/>
      </c>
      <c r="P154" s="37">
        <f>IF($A154="","",IFERROR(INDEX('זה אני - קליטה'!$AN$5:$AN$204,MATCH($A154&amp;"|אמצע שנה",'זה אני - קליטה'!$AF$5:$AF$204,0)),""))</f>
        <v/>
      </c>
      <c r="Q154" s="36">
        <f>IF($A154="","",IFERROR(INDEX('זה אני - קליטה'!$AW$5:$AW$204,MATCH($A154&amp;"|אמצע שנה",'זה אני - קליטה'!$AF$5:$AF$204,0)),""))</f>
        <v/>
      </c>
      <c r="R154" s="37">
        <f>IF($A154="","",IFERROR(INDEX('זה אני - קליטה'!$AH$5:$AH$204,MATCH($A154&amp;"|סוף שנה",'זה אני - קליטה'!$AF$5:$AF$204,0)),""))</f>
        <v/>
      </c>
      <c r="S154" s="37">
        <f>IF($A154="","",IFERROR(INDEX('זה אני - קליטה'!$AI$5:$AI$204,MATCH($A154&amp;"|סוף שנה",'זה אני - קליטה'!$AF$5:$AF$204,0)),""))</f>
        <v/>
      </c>
      <c r="T154" s="37">
        <f>IF($A154="","",IFERROR(INDEX('זה אני - קליטה'!$AJ$5:$AJ$204,MATCH($A154&amp;"|סוף שנה",'זה אני - קליטה'!$AF$5:$AF$204,0)),""))</f>
        <v/>
      </c>
      <c r="U154" s="37">
        <f>IF($A154="","",IFERROR(INDEX('זה אני - קליטה'!$AK$5:$AK$204,MATCH($A154&amp;"|סוף שנה",'זה אני - קליטה'!$AF$5:$AF$204,0)),""))</f>
        <v/>
      </c>
      <c r="V154" s="37">
        <f>IF($A154="","",IFERROR(INDEX('זה אני - קליטה'!$AL$5:$AL$204,MATCH($A154&amp;"|סוף שנה",'זה אני - קליטה'!$AF$5:$AF$204,0)),""))</f>
        <v/>
      </c>
      <c r="W154" s="36">
        <f>IF($A154="","",IFERROR(INDEX('זה אני - קליטה'!$AG$5:$AG$204,MATCH($A154&amp;"|סוף שנה",'זה אני - קליטה'!$AF$5:$AF$204,0)),""))</f>
        <v/>
      </c>
      <c r="X154" s="37">
        <f>IF($A154="","",IFERROR(INDEX('זה אני - קליטה'!$AN$5:$AN$204,MATCH($A154&amp;"|סוף שנה",'זה אני - קליטה'!$AF$5:$AF$204,0)),""))</f>
        <v/>
      </c>
      <c r="Y154" s="36">
        <f>IF($A154="","",IFERROR(INDEX('זה אני - קליטה'!$AW$5:$AW$204,MATCH($A154&amp;"|סוף שנה",'זה אני - קליטה'!$AF$5:$AF$204,0)),""))</f>
        <v/>
      </c>
      <c r="Z154" s="43">
        <f>IF(AND(ISNUMBER(F154),ISNUMBER(V154)),V154-F154,"")</f>
        <v/>
      </c>
      <c r="AA154" s="36">
        <f>IF(Z154="","",IF(Z154&gt;=0.25,"עלייה",IF(Z154&lt;=-0.25,"ירידה","יציב")))</f>
        <v/>
      </c>
    </row>
    <row r="155">
      <c r="A155" s="38" t="n"/>
      <c r="B155" s="37">
        <f>IF($A155="","",IFERROR(INDEX('זה אני - קליטה'!$AH$5:$AH$204,MATCH($A155&amp;"|תחילת שנה",'זה אני - קליטה'!$AF$5:$AF$204,0)),""))</f>
        <v/>
      </c>
      <c r="C155" s="37">
        <f>IF($A155="","",IFERROR(INDEX('זה אני - קליטה'!$AI$5:$AI$204,MATCH($A155&amp;"|תחילת שנה",'זה אני - קליטה'!$AF$5:$AF$204,0)),""))</f>
        <v/>
      </c>
      <c r="D155" s="37">
        <f>IF($A155="","",IFERROR(INDEX('זה אני - קליטה'!$AJ$5:$AJ$204,MATCH($A155&amp;"|תחילת שנה",'זה אני - קליטה'!$AF$5:$AF$204,0)),""))</f>
        <v/>
      </c>
      <c r="E155" s="37">
        <f>IF($A155="","",IFERROR(INDEX('זה אני - קליטה'!$AK$5:$AK$204,MATCH($A155&amp;"|תחילת שנה",'זה אני - קליטה'!$AF$5:$AF$204,0)),""))</f>
        <v/>
      </c>
      <c r="F155" s="37">
        <f>IF($A155="","",IFERROR(INDEX('זה אני - קליטה'!$AL$5:$AL$204,MATCH($A155&amp;"|תחילת שנה",'זה אני - קליטה'!$AF$5:$AF$204,0)),""))</f>
        <v/>
      </c>
      <c r="G155" s="36">
        <f>IF($A155="","",IFERROR(INDEX('זה אני - קליטה'!$AG$5:$AG$204,MATCH($A155&amp;"|תחילת שנה",'זה אני - קליטה'!$AF$5:$AF$204,0)),""))</f>
        <v/>
      </c>
      <c r="H155" s="37">
        <f>IF($A155="","",IFERROR(INDEX('זה אני - קליטה'!$AN$5:$AN$204,MATCH($A155&amp;"|תחילת שנה",'זה אני - קליטה'!$AF$5:$AF$204,0)),""))</f>
        <v/>
      </c>
      <c r="I155" s="36">
        <f>IF($A155="","",IFERROR(INDEX('זה אני - קליטה'!$AW$5:$AW$204,MATCH($A155&amp;"|תחילת שנה",'זה אני - קליטה'!$AF$5:$AF$204,0)),""))</f>
        <v/>
      </c>
      <c r="J155" s="37">
        <f>IF($A155="","",IFERROR(INDEX('זה אני - קליטה'!$AH$5:$AH$204,MATCH($A155&amp;"|אמצע שנה",'זה אני - קליטה'!$AF$5:$AF$204,0)),""))</f>
        <v/>
      </c>
      <c r="K155" s="37">
        <f>IF($A155="","",IFERROR(INDEX('זה אני - קליטה'!$AI$5:$AI$204,MATCH($A155&amp;"|אמצע שנה",'זה אני - קליטה'!$AF$5:$AF$204,0)),""))</f>
        <v/>
      </c>
      <c r="L155" s="37">
        <f>IF($A155="","",IFERROR(INDEX('זה אני - קליטה'!$AJ$5:$AJ$204,MATCH($A155&amp;"|אמצע שנה",'זה אני - קליטה'!$AF$5:$AF$204,0)),""))</f>
        <v/>
      </c>
      <c r="M155" s="37">
        <f>IF($A155="","",IFERROR(INDEX('זה אני - קליטה'!$AK$5:$AK$204,MATCH($A155&amp;"|אמצע שנה",'זה אני - קליטה'!$AF$5:$AF$204,0)),""))</f>
        <v/>
      </c>
      <c r="N155" s="37">
        <f>IF($A155="","",IFERROR(INDEX('זה אני - קליטה'!$AL$5:$AL$204,MATCH($A155&amp;"|אמצע שנה",'זה אני - קליטה'!$AF$5:$AF$204,0)),""))</f>
        <v/>
      </c>
      <c r="O155" s="36">
        <f>IF($A155="","",IFERROR(INDEX('זה אני - קליטה'!$AG$5:$AG$204,MATCH($A155&amp;"|אמצע שנה",'זה אני - קליטה'!$AF$5:$AF$204,0)),""))</f>
        <v/>
      </c>
      <c r="P155" s="37">
        <f>IF($A155="","",IFERROR(INDEX('זה אני - קליטה'!$AN$5:$AN$204,MATCH($A155&amp;"|אמצע שנה",'זה אני - קליטה'!$AF$5:$AF$204,0)),""))</f>
        <v/>
      </c>
      <c r="Q155" s="36">
        <f>IF($A155="","",IFERROR(INDEX('זה אני - קליטה'!$AW$5:$AW$204,MATCH($A155&amp;"|אמצע שנה",'זה אני - קליטה'!$AF$5:$AF$204,0)),""))</f>
        <v/>
      </c>
      <c r="R155" s="37">
        <f>IF($A155="","",IFERROR(INDEX('זה אני - קליטה'!$AH$5:$AH$204,MATCH($A155&amp;"|סוף שנה",'זה אני - קליטה'!$AF$5:$AF$204,0)),""))</f>
        <v/>
      </c>
      <c r="S155" s="37">
        <f>IF($A155="","",IFERROR(INDEX('זה אני - קליטה'!$AI$5:$AI$204,MATCH($A155&amp;"|סוף שנה",'זה אני - קליטה'!$AF$5:$AF$204,0)),""))</f>
        <v/>
      </c>
      <c r="T155" s="37">
        <f>IF($A155="","",IFERROR(INDEX('זה אני - קליטה'!$AJ$5:$AJ$204,MATCH($A155&amp;"|סוף שנה",'זה אני - קליטה'!$AF$5:$AF$204,0)),""))</f>
        <v/>
      </c>
      <c r="U155" s="37">
        <f>IF($A155="","",IFERROR(INDEX('זה אני - קליטה'!$AK$5:$AK$204,MATCH($A155&amp;"|סוף שנה",'זה אני - קליטה'!$AF$5:$AF$204,0)),""))</f>
        <v/>
      </c>
      <c r="V155" s="37">
        <f>IF($A155="","",IFERROR(INDEX('זה אני - קליטה'!$AL$5:$AL$204,MATCH($A155&amp;"|סוף שנה",'זה אני - קליטה'!$AF$5:$AF$204,0)),""))</f>
        <v/>
      </c>
      <c r="W155" s="36">
        <f>IF($A155="","",IFERROR(INDEX('זה אני - קליטה'!$AG$5:$AG$204,MATCH($A155&amp;"|סוף שנה",'זה אני - קליטה'!$AF$5:$AF$204,0)),""))</f>
        <v/>
      </c>
      <c r="X155" s="37">
        <f>IF($A155="","",IFERROR(INDEX('זה אני - קליטה'!$AN$5:$AN$204,MATCH($A155&amp;"|סוף שנה",'זה אני - קליטה'!$AF$5:$AF$204,0)),""))</f>
        <v/>
      </c>
      <c r="Y155" s="36">
        <f>IF($A155="","",IFERROR(INDEX('זה אני - קליטה'!$AW$5:$AW$204,MATCH($A155&amp;"|סוף שנה",'זה אני - קליטה'!$AF$5:$AF$204,0)),""))</f>
        <v/>
      </c>
      <c r="Z155" s="43">
        <f>IF(AND(ISNUMBER(F155),ISNUMBER(V155)),V155-F155,"")</f>
        <v/>
      </c>
      <c r="AA155" s="36">
        <f>IF(Z155="","",IF(Z155&gt;=0.25,"עלייה",IF(Z155&lt;=-0.25,"ירידה","יציב")))</f>
        <v/>
      </c>
    </row>
    <row r="156">
      <c r="A156" s="38" t="n"/>
      <c r="B156" s="37">
        <f>IF($A156="","",IFERROR(INDEX('זה אני - קליטה'!$AH$5:$AH$204,MATCH($A156&amp;"|תחילת שנה",'זה אני - קליטה'!$AF$5:$AF$204,0)),""))</f>
        <v/>
      </c>
      <c r="C156" s="37">
        <f>IF($A156="","",IFERROR(INDEX('זה אני - קליטה'!$AI$5:$AI$204,MATCH($A156&amp;"|תחילת שנה",'זה אני - קליטה'!$AF$5:$AF$204,0)),""))</f>
        <v/>
      </c>
      <c r="D156" s="37">
        <f>IF($A156="","",IFERROR(INDEX('זה אני - קליטה'!$AJ$5:$AJ$204,MATCH($A156&amp;"|תחילת שנה",'זה אני - קליטה'!$AF$5:$AF$204,0)),""))</f>
        <v/>
      </c>
      <c r="E156" s="37">
        <f>IF($A156="","",IFERROR(INDEX('זה אני - קליטה'!$AK$5:$AK$204,MATCH($A156&amp;"|תחילת שנה",'זה אני - קליטה'!$AF$5:$AF$204,0)),""))</f>
        <v/>
      </c>
      <c r="F156" s="37">
        <f>IF($A156="","",IFERROR(INDEX('זה אני - קליטה'!$AL$5:$AL$204,MATCH($A156&amp;"|תחילת שנה",'זה אני - קליטה'!$AF$5:$AF$204,0)),""))</f>
        <v/>
      </c>
      <c r="G156" s="36">
        <f>IF($A156="","",IFERROR(INDEX('זה אני - קליטה'!$AG$5:$AG$204,MATCH($A156&amp;"|תחילת שנה",'זה אני - קליטה'!$AF$5:$AF$204,0)),""))</f>
        <v/>
      </c>
      <c r="H156" s="37">
        <f>IF($A156="","",IFERROR(INDEX('זה אני - קליטה'!$AN$5:$AN$204,MATCH($A156&amp;"|תחילת שנה",'זה אני - קליטה'!$AF$5:$AF$204,0)),""))</f>
        <v/>
      </c>
      <c r="I156" s="36">
        <f>IF($A156="","",IFERROR(INDEX('זה אני - קליטה'!$AW$5:$AW$204,MATCH($A156&amp;"|תחילת שנה",'זה אני - קליטה'!$AF$5:$AF$204,0)),""))</f>
        <v/>
      </c>
      <c r="J156" s="37">
        <f>IF($A156="","",IFERROR(INDEX('זה אני - קליטה'!$AH$5:$AH$204,MATCH($A156&amp;"|אמצע שנה",'זה אני - קליטה'!$AF$5:$AF$204,0)),""))</f>
        <v/>
      </c>
      <c r="K156" s="37">
        <f>IF($A156="","",IFERROR(INDEX('זה אני - קליטה'!$AI$5:$AI$204,MATCH($A156&amp;"|אמצע שנה",'זה אני - קליטה'!$AF$5:$AF$204,0)),""))</f>
        <v/>
      </c>
      <c r="L156" s="37">
        <f>IF($A156="","",IFERROR(INDEX('זה אני - קליטה'!$AJ$5:$AJ$204,MATCH($A156&amp;"|אמצע שנה",'זה אני - קליטה'!$AF$5:$AF$204,0)),""))</f>
        <v/>
      </c>
      <c r="M156" s="37">
        <f>IF($A156="","",IFERROR(INDEX('זה אני - קליטה'!$AK$5:$AK$204,MATCH($A156&amp;"|אמצע שנה",'זה אני - קליטה'!$AF$5:$AF$204,0)),""))</f>
        <v/>
      </c>
      <c r="N156" s="37">
        <f>IF($A156="","",IFERROR(INDEX('זה אני - קליטה'!$AL$5:$AL$204,MATCH($A156&amp;"|אמצע שנה",'זה אני - קליטה'!$AF$5:$AF$204,0)),""))</f>
        <v/>
      </c>
      <c r="O156" s="36">
        <f>IF($A156="","",IFERROR(INDEX('זה אני - קליטה'!$AG$5:$AG$204,MATCH($A156&amp;"|אמצע שנה",'זה אני - קליטה'!$AF$5:$AF$204,0)),""))</f>
        <v/>
      </c>
      <c r="P156" s="37">
        <f>IF($A156="","",IFERROR(INDEX('זה אני - קליטה'!$AN$5:$AN$204,MATCH($A156&amp;"|אמצע שנה",'זה אני - קליטה'!$AF$5:$AF$204,0)),""))</f>
        <v/>
      </c>
      <c r="Q156" s="36">
        <f>IF($A156="","",IFERROR(INDEX('זה אני - קליטה'!$AW$5:$AW$204,MATCH($A156&amp;"|אמצע שנה",'זה אני - קליטה'!$AF$5:$AF$204,0)),""))</f>
        <v/>
      </c>
      <c r="R156" s="37">
        <f>IF($A156="","",IFERROR(INDEX('זה אני - קליטה'!$AH$5:$AH$204,MATCH($A156&amp;"|סוף שנה",'זה אני - קליטה'!$AF$5:$AF$204,0)),""))</f>
        <v/>
      </c>
      <c r="S156" s="37">
        <f>IF($A156="","",IFERROR(INDEX('זה אני - קליטה'!$AI$5:$AI$204,MATCH($A156&amp;"|סוף שנה",'זה אני - קליטה'!$AF$5:$AF$204,0)),""))</f>
        <v/>
      </c>
      <c r="T156" s="37">
        <f>IF($A156="","",IFERROR(INDEX('זה אני - קליטה'!$AJ$5:$AJ$204,MATCH($A156&amp;"|סוף שנה",'זה אני - קליטה'!$AF$5:$AF$204,0)),""))</f>
        <v/>
      </c>
      <c r="U156" s="37">
        <f>IF($A156="","",IFERROR(INDEX('זה אני - קליטה'!$AK$5:$AK$204,MATCH($A156&amp;"|סוף שנה",'זה אני - קליטה'!$AF$5:$AF$204,0)),""))</f>
        <v/>
      </c>
      <c r="V156" s="37">
        <f>IF($A156="","",IFERROR(INDEX('זה אני - קליטה'!$AL$5:$AL$204,MATCH($A156&amp;"|סוף שנה",'זה אני - קליטה'!$AF$5:$AF$204,0)),""))</f>
        <v/>
      </c>
      <c r="W156" s="36">
        <f>IF($A156="","",IFERROR(INDEX('זה אני - קליטה'!$AG$5:$AG$204,MATCH($A156&amp;"|סוף שנה",'זה אני - קליטה'!$AF$5:$AF$204,0)),""))</f>
        <v/>
      </c>
      <c r="X156" s="37">
        <f>IF($A156="","",IFERROR(INDEX('זה אני - קליטה'!$AN$5:$AN$204,MATCH($A156&amp;"|סוף שנה",'זה אני - קליטה'!$AF$5:$AF$204,0)),""))</f>
        <v/>
      </c>
      <c r="Y156" s="36">
        <f>IF($A156="","",IFERROR(INDEX('זה אני - קליטה'!$AW$5:$AW$204,MATCH($A156&amp;"|סוף שנה",'זה אני - קליטה'!$AF$5:$AF$204,0)),""))</f>
        <v/>
      </c>
      <c r="Z156" s="43">
        <f>IF(AND(ISNUMBER(F156),ISNUMBER(V156)),V156-F156,"")</f>
        <v/>
      </c>
      <c r="AA156" s="36">
        <f>IF(Z156="","",IF(Z156&gt;=0.25,"עלייה",IF(Z156&lt;=-0.25,"ירידה","יציב")))</f>
        <v/>
      </c>
    </row>
    <row r="157">
      <c r="A157" s="38" t="n"/>
      <c r="B157" s="37">
        <f>IF($A157="","",IFERROR(INDEX('זה אני - קליטה'!$AH$5:$AH$204,MATCH($A157&amp;"|תחילת שנה",'זה אני - קליטה'!$AF$5:$AF$204,0)),""))</f>
        <v/>
      </c>
      <c r="C157" s="37">
        <f>IF($A157="","",IFERROR(INDEX('זה אני - קליטה'!$AI$5:$AI$204,MATCH($A157&amp;"|תחילת שנה",'זה אני - קליטה'!$AF$5:$AF$204,0)),""))</f>
        <v/>
      </c>
      <c r="D157" s="37">
        <f>IF($A157="","",IFERROR(INDEX('זה אני - קליטה'!$AJ$5:$AJ$204,MATCH($A157&amp;"|תחילת שנה",'זה אני - קליטה'!$AF$5:$AF$204,0)),""))</f>
        <v/>
      </c>
      <c r="E157" s="37">
        <f>IF($A157="","",IFERROR(INDEX('זה אני - קליטה'!$AK$5:$AK$204,MATCH($A157&amp;"|תחילת שנה",'זה אני - קליטה'!$AF$5:$AF$204,0)),""))</f>
        <v/>
      </c>
      <c r="F157" s="37">
        <f>IF($A157="","",IFERROR(INDEX('זה אני - קליטה'!$AL$5:$AL$204,MATCH($A157&amp;"|תחילת שנה",'זה אני - קליטה'!$AF$5:$AF$204,0)),""))</f>
        <v/>
      </c>
      <c r="G157" s="36">
        <f>IF($A157="","",IFERROR(INDEX('זה אני - קליטה'!$AG$5:$AG$204,MATCH($A157&amp;"|תחילת שנה",'זה אני - קליטה'!$AF$5:$AF$204,0)),""))</f>
        <v/>
      </c>
      <c r="H157" s="37">
        <f>IF($A157="","",IFERROR(INDEX('זה אני - קליטה'!$AN$5:$AN$204,MATCH($A157&amp;"|תחילת שנה",'זה אני - קליטה'!$AF$5:$AF$204,0)),""))</f>
        <v/>
      </c>
      <c r="I157" s="36">
        <f>IF($A157="","",IFERROR(INDEX('זה אני - קליטה'!$AW$5:$AW$204,MATCH($A157&amp;"|תחילת שנה",'זה אני - קליטה'!$AF$5:$AF$204,0)),""))</f>
        <v/>
      </c>
      <c r="J157" s="37">
        <f>IF($A157="","",IFERROR(INDEX('זה אני - קליטה'!$AH$5:$AH$204,MATCH($A157&amp;"|אמצע שנה",'זה אני - קליטה'!$AF$5:$AF$204,0)),""))</f>
        <v/>
      </c>
      <c r="K157" s="37">
        <f>IF($A157="","",IFERROR(INDEX('זה אני - קליטה'!$AI$5:$AI$204,MATCH($A157&amp;"|אמצע שנה",'זה אני - קליטה'!$AF$5:$AF$204,0)),""))</f>
        <v/>
      </c>
      <c r="L157" s="37">
        <f>IF($A157="","",IFERROR(INDEX('זה אני - קליטה'!$AJ$5:$AJ$204,MATCH($A157&amp;"|אמצע שנה",'זה אני - קליטה'!$AF$5:$AF$204,0)),""))</f>
        <v/>
      </c>
      <c r="M157" s="37">
        <f>IF($A157="","",IFERROR(INDEX('זה אני - קליטה'!$AK$5:$AK$204,MATCH($A157&amp;"|אמצע שנה",'זה אני - קליטה'!$AF$5:$AF$204,0)),""))</f>
        <v/>
      </c>
      <c r="N157" s="37">
        <f>IF($A157="","",IFERROR(INDEX('זה אני - קליטה'!$AL$5:$AL$204,MATCH($A157&amp;"|אמצע שנה",'זה אני - קליטה'!$AF$5:$AF$204,0)),""))</f>
        <v/>
      </c>
      <c r="O157" s="36">
        <f>IF($A157="","",IFERROR(INDEX('זה אני - קליטה'!$AG$5:$AG$204,MATCH($A157&amp;"|אמצע שנה",'זה אני - קליטה'!$AF$5:$AF$204,0)),""))</f>
        <v/>
      </c>
      <c r="P157" s="37">
        <f>IF($A157="","",IFERROR(INDEX('זה אני - קליטה'!$AN$5:$AN$204,MATCH($A157&amp;"|אמצע שנה",'זה אני - קליטה'!$AF$5:$AF$204,0)),""))</f>
        <v/>
      </c>
      <c r="Q157" s="36">
        <f>IF($A157="","",IFERROR(INDEX('זה אני - קליטה'!$AW$5:$AW$204,MATCH($A157&amp;"|אמצע שנה",'זה אני - קליטה'!$AF$5:$AF$204,0)),""))</f>
        <v/>
      </c>
      <c r="R157" s="37">
        <f>IF($A157="","",IFERROR(INDEX('זה אני - קליטה'!$AH$5:$AH$204,MATCH($A157&amp;"|סוף שנה",'זה אני - קליטה'!$AF$5:$AF$204,0)),""))</f>
        <v/>
      </c>
      <c r="S157" s="37">
        <f>IF($A157="","",IFERROR(INDEX('זה אני - קליטה'!$AI$5:$AI$204,MATCH($A157&amp;"|סוף שנה",'זה אני - קליטה'!$AF$5:$AF$204,0)),""))</f>
        <v/>
      </c>
      <c r="T157" s="37">
        <f>IF($A157="","",IFERROR(INDEX('זה אני - קליטה'!$AJ$5:$AJ$204,MATCH($A157&amp;"|סוף שנה",'זה אני - קליטה'!$AF$5:$AF$204,0)),""))</f>
        <v/>
      </c>
      <c r="U157" s="37">
        <f>IF($A157="","",IFERROR(INDEX('זה אני - קליטה'!$AK$5:$AK$204,MATCH($A157&amp;"|סוף שנה",'זה אני - קליטה'!$AF$5:$AF$204,0)),""))</f>
        <v/>
      </c>
      <c r="V157" s="37">
        <f>IF($A157="","",IFERROR(INDEX('זה אני - קליטה'!$AL$5:$AL$204,MATCH($A157&amp;"|סוף שנה",'זה אני - קליטה'!$AF$5:$AF$204,0)),""))</f>
        <v/>
      </c>
      <c r="W157" s="36">
        <f>IF($A157="","",IFERROR(INDEX('זה אני - קליטה'!$AG$5:$AG$204,MATCH($A157&amp;"|סוף שנה",'זה אני - קליטה'!$AF$5:$AF$204,0)),""))</f>
        <v/>
      </c>
      <c r="X157" s="37">
        <f>IF($A157="","",IFERROR(INDEX('זה אני - קליטה'!$AN$5:$AN$204,MATCH($A157&amp;"|סוף שנה",'זה אני - קליטה'!$AF$5:$AF$204,0)),""))</f>
        <v/>
      </c>
      <c r="Y157" s="36">
        <f>IF($A157="","",IFERROR(INDEX('זה אני - קליטה'!$AW$5:$AW$204,MATCH($A157&amp;"|סוף שנה",'זה אני - קליטה'!$AF$5:$AF$204,0)),""))</f>
        <v/>
      </c>
      <c r="Z157" s="43">
        <f>IF(AND(ISNUMBER(F157),ISNUMBER(V157)),V157-F157,"")</f>
        <v/>
      </c>
      <c r="AA157" s="36">
        <f>IF(Z157="","",IF(Z157&gt;=0.25,"עלייה",IF(Z157&lt;=-0.25,"ירידה","יציב")))</f>
        <v/>
      </c>
    </row>
    <row r="158">
      <c r="A158" s="38" t="n"/>
      <c r="B158" s="37">
        <f>IF($A158="","",IFERROR(INDEX('זה אני - קליטה'!$AH$5:$AH$204,MATCH($A158&amp;"|תחילת שנה",'זה אני - קליטה'!$AF$5:$AF$204,0)),""))</f>
        <v/>
      </c>
      <c r="C158" s="37">
        <f>IF($A158="","",IFERROR(INDEX('זה אני - קליטה'!$AI$5:$AI$204,MATCH($A158&amp;"|תחילת שנה",'זה אני - קליטה'!$AF$5:$AF$204,0)),""))</f>
        <v/>
      </c>
      <c r="D158" s="37">
        <f>IF($A158="","",IFERROR(INDEX('זה אני - קליטה'!$AJ$5:$AJ$204,MATCH($A158&amp;"|תחילת שנה",'זה אני - קליטה'!$AF$5:$AF$204,0)),""))</f>
        <v/>
      </c>
      <c r="E158" s="37">
        <f>IF($A158="","",IFERROR(INDEX('זה אני - קליטה'!$AK$5:$AK$204,MATCH($A158&amp;"|תחילת שנה",'זה אני - קליטה'!$AF$5:$AF$204,0)),""))</f>
        <v/>
      </c>
      <c r="F158" s="37">
        <f>IF($A158="","",IFERROR(INDEX('זה אני - קליטה'!$AL$5:$AL$204,MATCH($A158&amp;"|תחילת שנה",'זה אני - קליטה'!$AF$5:$AF$204,0)),""))</f>
        <v/>
      </c>
      <c r="G158" s="36">
        <f>IF($A158="","",IFERROR(INDEX('זה אני - קליטה'!$AG$5:$AG$204,MATCH($A158&amp;"|תחילת שנה",'זה אני - קליטה'!$AF$5:$AF$204,0)),""))</f>
        <v/>
      </c>
      <c r="H158" s="37">
        <f>IF($A158="","",IFERROR(INDEX('זה אני - קליטה'!$AN$5:$AN$204,MATCH($A158&amp;"|תחילת שנה",'זה אני - קליטה'!$AF$5:$AF$204,0)),""))</f>
        <v/>
      </c>
      <c r="I158" s="36">
        <f>IF($A158="","",IFERROR(INDEX('זה אני - קליטה'!$AW$5:$AW$204,MATCH($A158&amp;"|תחילת שנה",'זה אני - קליטה'!$AF$5:$AF$204,0)),""))</f>
        <v/>
      </c>
      <c r="J158" s="37">
        <f>IF($A158="","",IFERROR(INDEX('זה אני - קליטה'!$AH$5:$AH$204,MATCH($A158&amp;"|אמצע שנה",'זה אני - קליטה'!$AF$5:$AF$204,0)),""))</f>
        <v/>
      </c>
      <c r="K158" s="37">
        <f>IF($A158="","",IFERROR(INDEX('זה אני - קליטה'!$AI$5:$AI$204,MATCH($A158&amp;"|אמצע שנה",'זה אני - קליטה'!$AF$5:$AF$204,0)),""))</f>
        <v/>
      </c>
      <c r="L158" s="37">
        <f>IF($A158="","",IFERROR(INDEX('זה אני - קליטה'!$AJ$5:$AJ$204,MATCH($A158&amp;"|אמצע שנה",'זה אני - קליטה'!$AF$5:$AF$204,0)),""))</f>
        <v/>
      </c>
      <c r="M158" s="37">
        <f>IF($A158="","",IFERROR(INDEX('זה אני - קליטה'!$AK$5:$AK$204,MATCH($A158&amp;"|אמצע שנה",'זה אני - קליטה'!$AF$5:$AF$204,0)),""))</f>
        <v/>
      </c>
      <c r="N158" s="37">
        <f>IF($A158="","",IFERROR(INDEX('זה אני - קליטה'!$AL$5:$AL$204,MATCH($A158&amp;"|אמצע שנה",'זה אני - קליטה'!$AF$5:$AF$204,0)),""))</f>
        <v/>
      </c>
      <c r="O158" s="36">
        <f>IF($A158="","",IFERROR(INDEX('זה אני - קליטה'!$AG$5:$AG$204,MATCH($A158&amp;"|אמצע שנה",'זה אני - קליטה'!$AF$5:$AF$204,0)),""))</f>
        <v/>
      </c>
      <c r="P158" s="37">
        <f>IF($A158="","",IFERROR(INDEX('זה אני - קליטה'!$AN$5:$AN$204,MATCH($A158&amp;"|אמצע שנה",'זה אני - קליטה'!$AF$5:$AF$204,0)),""))</f>
        <v/>
      </c>
      <c r="Q158" s="36">
        <f>IF($A158="","",IFERROR(INDEX('זה אני - קליטה'!$AW$5:$AW$204,MATCH($A158&amp;"|אמצע שנה",'זה אני - קליטה'!$AF$5:$AF$204,0)),""))</f>
        <v/>
      </c>
      <c r="R158" s="37">
        <f>IF($A158="","",IFERROR(INDEX('זה אני - קליטה'!$AH$5:$AH$204,MATCH($A158&amp;"|סוף שנה",'זה אני - קליטה'!$AF$5:$AF$204,0)),""))</f>
        <v/>
      </c>
      <c r="S158" s="37">
        <f>IF($A158="","",IFERROR(INDEX('זה אני - קליטה'!$AI$5:$AI$204,MATCH($A158&amp;"|סוף שנה",'זה אני - קליטה'!$AF$5:$AF$204,0)),""))</f>
        <v/>
      </c>
      <c r="T158" s="37">
        <f>IF($A158="","",IFERROR(INDEX('זה אני - קליטה'!$AJ$5:$AJ$204,MATCH($A158&amp;"|סוף שנה",'זה אני - קליטה'!$AF$5:$AF$204,0)),""))</f>
        <v/>
      </c>
      <c r="U158" s="37">
        <f>IF($A158="","",IFERROR(INDEX('זה אני - קליטה'!$AK$5:$AK$204,MATCH($A158&amp;"|סוף שנה",'זה אני - קליטה'!$AF$5:$AF$204,0)),""))</f>
        <v/>
      </c>
      <c r="V158" s="37">
        <f>IF($A158="","",IFERROR(INDEX('זה אני - קליטה'!$AL$5:$AL$204,MATCH($A158&amp;"|סוף שנה",'זה אני - קליטה'!$AF$5:$AF$204,0)),""))</f>
        <v/>
      </c>
      <c r="W158" s="36">
        <f>IF($A158="","",IFERROR(INDEX('זה אני - קליטה'!$AG$5:$AG$204,MATCH($A158&amp;"|סוף שנה",'זה אני - קליטה'!$AF$5:$AF$204,0)),""))</f>
        <v/>
      </c>
      <c r="X158" s="37">
        <f>IF($A158="","",IFERROR(INDEX('זה אני - קליטה'!$AN$5:$AN$204,MATCH($A158&amp;"|סוף שנה",'זה אני - קליטה'!$AF$5:$AF$204,0)),""))</f>
        <v/>
      </c>
      <c r="Y158" s="36">
        <f>IF($A158="","",IFERROR(INDEX('זה אני - קליטה'!$AW$5:$AW$204,MATCH($A158&amp;"|סוף שנה",'זה אני - קליטה'!$AF$5:$AF$204,0)),""))</f>
        <v/>
      </c>
      <c r="Z158" s="43">
        <f>IF(AND(ISNUMBER(F158),ISNUMBER(V158)),V158-F158,"")</f>
        <v/>
      </c>
      <c r="AA158" s="36">
        <f>IF(Z158="","",IF(Z158&gt;=0.25,"עלייה",IF(Z158&lt;=-0.25,"ירידה","יציב")))</f>
        <v/>
      </c>
    </row>
    <row r="159">
      <c r="A159" s="38" t="n"/>
      <c r="B159" s="37">
        <f>IF($A159="","",IFERROR(INDEX('זה אני - קליטה'!$AH$5:$AH$204,MATCH($A159&amp;"|תחילת שנה",'זה אני - קליטה'!$AF$5:$AF$204,0)),""))</f>
        <v/>
      </c>
      <c r="C159" s="37">
        <f>IF($A159="","",IFERROR(INDEX('זה אני - קליטה'!$AI$5:$AI$204,MATCH($A159&amp;"|תחילת שנה",'זה אני - קליטה'!$AF$5:$AF$204,0)),""))</f>
        <v/>
      </c>
      <c r="D159" s="37">
        <f>IF($A159="","",IFERROR(INDEX('זה אני - קליטה'!$AJ$5:$AJ$204,MATCH($A159&amp;"|תחילת שנה",'זה אני - קליטה'!$AF$5:$AF$204,0)),""))</f>
        <v/>
      </c>
      <c r="E159" s="37">
        <f>IF($A159="","",IFERROR(INDEX('זה אני - קליטה'!$AK$5:$AK$204,MATCH($A159&amp;"|תחילת שנה",'זה אני - קליטה'!$AF$5:$AF$204,0)),""))</f>
        <v/>
      </c>
      <c r="F159" s="37">
        <f>IF($A159="","",IFERROR(INDEX('זה אני - קליטה'!$AL$5:$AL$204,MATCH($A159&amp;"|תחילת שנה",'זה אני - קליטה'!$AF$5:$AF$204,0)),""))</f>
        <v/>
      </c>
      <c r="G159" s="36">
        <f>IF($A159="","",IFERROR(INDEX('זה אני - קליטה'!$AG$5:$AG$204,MATCH($A159&amp;"|תחילת שנה",'זה אני - קליטה'!$AF$5:$AF$204,0)),""))</f>
        <v/>
      </c>
      <c r="H159" s="37">
        <f>IF($A159="","",IFERROR(INDEX('זה אני - קליטה'!$AN$5:$AN$204,MATCH($A159&amp;"|תחילת שנה",'זה אני - קליטה'!$AF$5:$AF$204,0)),""))</f>
        <v/>
      </c>
      <c r="I159" s="36">
        <f>IF($A159="","",IFERROR(INDEX('זה אני - קליטה'!$AW$5:$AW$204,MATCH($A159&amp;"|תחילת שנה",'זה אני - קליטה'!$AF$5:$AF$204,0)),""))</f>
        <v/>
      </c>
      <c r="J159" s="37">
        <f>IF($A159="","",IFERROR(INDEX('זה אני - קליטה'!$AH$5:$AH$204,MATCH($A159&amp;"|אמצע שנה",'זה אני - קליטה'!$AF$5:$AF$204,0)),""))</f>
        <v/>
      </c>
      <c r="K159" s="37">
        <f>IF($A159="","",IFERROR(INDEX('זה אני - קליטה'!$AI$5:$AI$204,MATCH($A159&amp;"|אמצע שנה",'זה אני - קליטה'!$AF$5:$AF$204,0)),""))</f>
        <v/>
      </c>
      <c r="L159" s="37">
        <f>IF($A159="","",IFERROR(INDEX('זה אני - קליטה'!$AJ$5:$AJ$204,MATCH($A159&amp;"|אמצע שנה",'זה אני - קליטה'!$AF$5:$AF$204,0)),""))</f>
        <v/>
      </c>
      <c r="M159" s="37">
        <f>IF($A159="","",IFERROR(INDEX('זה אני - קליטה'!$AK$5:$AK$204,MATCH($A159&amp;"|אמצע שנה",'זה אני - קליטה'!$AF$5:$AF$204,0)),""))</f>
        <v/>
      </c>
      <c r="N159" s="37">
        <f>IF($A159="","",IFERROR(INDEX('זה אני - קליטה'!$AL$5:$AL$204,MATCH($A159&amp;"|אמצע שנה",'זה אני - קליטה'!$AF$5:$AF$204,0)),""))</f>
        <v/>
      </c>
      <c r="O159" s="36">
        <f>IF($A159="","",IFERROR(INDEX('זה אני - קליטה'!$AG$5:$AG$204,MATCH($A159&amp;"|אמצע שנה",'זה אני - קליטה'!$AF$5:$AF$204,0)),""))</f>
        <v/>
      </c>
      <c r="P159" s="37">
        <f>IF($A159="","",IFERROR(INDEX('זה אני - קליטה'!$AN$5:$AN$204,MATCH($A159&amp;"|אמצע שנה",'זה אני - קליטה'!$AF$5:$AF$204,0)),""))</f>
        <v/>
      </c>
      <c r="Q159" s="36">
        <f>IF($A159="","",IFERROR(INDEX('זה אני - קליטה'!$AW$5:$AW$204,MATCH($A159&amp;"|אמצע שנה",'זה אני - קליטה'!$AF$5:$AF$204,0)),""))</f>
        <v/>
      </c>
      <c r="R159" s="37">
        <f>IF($A159="","",IFERROR(INDEX('זה אני - קליטה'!$AH$5:$AH$204,MATCH($A159&amp;"|סוף שנה",'זה אני - קליטה'!$AF$5:$AF$204,0)),""))</f>
        <v/>
      </c>
      <c r="S159" s="37">
        <f>IF($A159="","",IFERROR(INDEX('זה אני - קליטה'!$AI$5:$AI$204,MATCH($A159&amp;"|סוף שנה",'זה אני - קליטה'!$AF$5:$AF$204,0)),""))</f>
        <v/>
      </c>
      <c r="T159" s="37">
        <f>IF($A159="","",IFERROR(INDEX('זה אני - קליטה'!$AJ$5:$AJ$204,MATCH($A159&amp;"|סוף שנה",'זה אני - קליטה'!$AF$5:$AF$204,0)),""))</f>
        <v/>
      </c>
      <c r="U159" s="37">
        <f>IF($A159="","",IFERROR(INDEX('זה אני - קליטה'!$AK$5:$AK$204,MATCH($A159&amp;"|סוף שנה",'זה אני - קליטה'!$AF$5:$AF$204,0)),""))</f>
        <v/>
      </c>
      <c r="V159" s="37">
        <f>IF($A159="","",IFERROR(INDEX('זה אני - קליטה'!$AL$5:$AL$204,MATCH($A159&amp;"|סוף שנה",'זה אני - קליטה'!$AF$5:$AF$204,0)),""))</f>
        <v/>
      </c>
      <c r="W159" s="36">
        <f>IF($A159="","",IFERROR(INDEX('זה אני - קליטה'!$AG$5:$AG$204,MATCH($A159&amp;"|סוף שנה",'זה אני - קליטה'!$AF$5:$AF$204,0)),""))</f>
        <v/>
      </c>
      <c r="X159" s="37">
        <f>IF($A159="","",IFERROR(INDEX('זה אני - קליטה'!$AN$5:$AN$204,MATCH($A159&amp;"|סוף שנה",'זה אני - קליטה'!$AF$5:$AF$204,0)),""))</f>
        <v/>
      </c>
      <c r="Y159" s="36">
        <f>IF($A159="","",IFERROR(INDEX('זה אני - קליטה'!$AW$5:$AW$204,MATCH($A159&amp;"|סוף שנה",'זה אני - קליטה'!$AF$5:$AF$204,0)),""))</f>
        <v/>
      </c>
      <c r="Z159" s="43">
        <f>IF(AND(ISNUMBER(F159),ISNUMBER(V159)),V159-F159,"")</f>
        <v/>
      </c>
      <c r="AA159" s="36">
        <f>IF(Z159="","",IF(Z159&gt;=0.25,"עלייה",IF(Z159&lt;=-0.25,"ירידה","יציב")))</f>
        <v/>
      </c>
    </row>
    <row r="160">
      <c r="A160" s="38" t="n"/>
      <c r="B160" s="37">
        <f>IF($A160="","",IFERROR(INDEX('זה אני - קליטה'!$AH$5:$AH$204,MATCH($A160&amp;"|תחילת שנה",'זה אני - קליטה'!$AF$5:$AF$204,0)),""))</f>
        <v/>
      </c>
      <c r="C160" s="37">
        <f>IF($A160="","",IFERROR(INDEX('זה אני - קליטה'!$AI$5:$AI$204,MATCH($A160&amp;"|תחילת שנה",'זה אני - קליטה'!$AF$5:$AF$204,0)),""))</f>
        <v/>
      </c>
      <c r="D160" s="37">
        <f>IF($A160="","",IFERROR(INDEX('זה אני - קליטה'!$AJ$5:$AJ$204,MATCH($A160&amp;"|תחילת שנה",'זה אני - קליטה'!$AF$5:$AF$204,0)),""))</f>
        <v/>
      </c>
      <c r="E160" s="37">
        <f>IF($A160="","",IFERROR(INDEX('זה אני - קליטה'!$AK$5:$AK$204,MATCH($A160&amp;"|תחילת שנה",'זה אני - קליטה'!$AF$5:$AF$204,0)),""))</f>
        <v/>
      </c>
      <c r="F160" s="37">
        <f>IF($A160="","",IFERROR(INDEX('זה אני - קליטה'!$AL$5:$AL$204,MATCH($A160&amp;"|תחילת שנה",'זה אני - קליטה'!$AF$5:$AF$204,0)),""))</f>
        <v/>
      </c>
      <c r="G160" s="36">
        <f>IF($A160="","",IFERROR(INDEX('זה אני - קליטה'!$AG$5:$AG$204,MATCH($A160&amp;"|תחילת שנה",'זה אני - קליטה'!$AF$5:$AF$204,0)),""))</f>
        <v/>
      </c>
      <c r="H160" s="37">
        <f>IF($A160="","",IFERROR(INDEX('זה אני - קליטה'!$AN$5:$AN$204,MATCH($A160&amp;"|תחילת שנה",'זה אני - קליטה'!$AF$5:$AF$204,0)),""))</f>
        <v/>
      </c>
      <c r="I160" s="36">
        <f>IF($A160="","",IFERROR(INDEX('זה אני - קליטה'!$AW$5:$AW$204,MATCH($A160&amp;"|תחילת שנה",'זה אני - קליטה'!$AF$5:$AF$204,0)),""))</f>
        <v/>
      </c>
      <c r="J160" s="37">
        <f>IF($A160="","",IFERROR(INDEX('זה אני - קליטה'!$AH$5:$AH$204,MATCH($A160&amp;"|אמצע שנה",'זה אני - קליטה'!$AF$5:$AF$204,0)),""))</f>
        <v/>
      </c>
      <c r="K160" s="37">
        <f>IF($A160="","",IFERROR(INDEX('זה אני - קליטה'!$AI$5:$AI$204,MATCH($A160&amp;"|אמצע שנה",'זה אני - קליטה'!$AF$5:$AF$204,0)),""))</f>
        <v/>
      </c>
      <c r="L160" s="37">
        <f>IF($A160="","",IFERROR(INDEX('זה אני - קליטה'!$AJ$5:$AJ$204,MATCH($A160&amp;"|אמצע שנה",'זה אני - קליטה'!$AF$5:$AF$204,0)),""))</f>
        <v/>
      </c>
      <c r="M160" s="37">
        <f>IF($A160="","",IFERROR(INDEX('זה אני - קליטה'!$AK$5:$AK$204,MATCH($A160&amp;"|אמצע שנה",'זה אני - קליטה'!$AF$5:$AF$204,0)),""))</f>
        <v/>
      </c>
      <c r="N160" s="37">
        <f>IF($A160="","",IFERROR(INDEX('זה אני - קליטה'!$AL$5:$AL$204,MATCH($A160&amp;"|אמצע שנה",'זה אני - קליטה'!$AF$5:$AF$204,0)),""))</f>
        <v/>
      </c>
      <c r="O160" s="36">
        <f>IF($A160="","",IFERROR(INDEX('זה אני - קליטה'!$AG$5:$AG$204,MATCH($A160&amp;"|אמצע שנה",'זה אני - קליטה'!$AF$5:$AF$204,0)),""))</f>
        <v/>
      </c>
      <c r="P160" s="37">
        <f>IF($A160="","",IFERROR(INDEX('זה אני - קליטה'!$AN$5:$AN$204,MATCH($A160&amp;"|אמצע שנה",'זה אני - קליטה'!$AF$5:$AF$204,0)),""))</f>
        <v/>
      </c>
      <c r="Q160" s="36">
        <f>IF($A160="","",IFERROR(INDEX('זה אני - קליטה'!$AW$5:$AW$204,MATCH($A160&amp;"|אמצע שנה",'זה אני - קליטה'!$AF$5:$AF$204,0)),""))</f>
        <v/>
      </c>
      <c r="R160" s="37">
        <f>IF($A160="","",IFERROR(INDEX('זה אני - קליטה'!$AH$5:$AH$204,MATCH($A160&amp;"|סוף שנה",'זה אני - קליטה'!$AF$5:$AF$204,0)),""))</f>
        <v/>
      </c>
      <c r="S160" s="37">
        <f>IF($A160="","",IFERROR(INDEX('זה אני - קליטה'!$AI$5:$AI$204,MATCH($A160&amp;"|סוף שנה",'זה אני - קליטה'!$AF$5:$AF$204,0)),""))</f>
        <v/>
      </c>
      <c r="T160" s="37">
        <f>IF($A160="","",IFERROR(INDEX('זה אני - קליטה'!$AJ$5:$AJ$204,MATCH($A160&amp;"|סוף שנה",'זה אני - קליטה'!$AF$5:$AF$204,0)),""))</f>
        <v/>
      </c>
      <c r="U160" s="37">
        <f>IF($A160="","",IFERROR(INDEX('זה אני - קליטה'!$AK$5:$AK$204,MATCH($A160&amp;"|סוף שנה",'זה אני - קליטה'!$AF$5:$AF$204,0)),""))</f>
        <v/>
      </c>
      <c r="V160" s="37">
        <f>IF($A160="","",IFERROR(INDEX('זה אני - קליטה'!$AL$5:$AL$204,MATCH($A160&amp;"|סוף שנה",'זה אני - קליטה'!$AF$5:$AF$204,0)),""))</f>
        <v/>
      </c>
      <c r="W160" s="36">
        <f>IF($A160="","",IFERROR(INDEX('זה אני - קליטה'!$AG$5:$AG$204,MATCH($A160&amp;"|סוף שנה",'זה אני - קליטה'!$AF$5:$AF$204,0)),""))</f>
        <v/>
      </c>
      <c r="X160" s="37">
        <f>IF($A160="","",IFERROR(INDEX('זה אני - קליטה'!$AN$5:$AN$204,MATCH($A160&amp;"|סוף שנה",'זה אני - קליטה'!$AF$5:$AF$204,0)),""))</f>
        <v/>
      </c>
      <c r="Y160" s="36">
        <f>IF($A160="","",IFERROR(INDEX('זה אני - קליטה'!$AW$5:$AW$204,MATCH($A160&amp;"|סוף שנה",'זה אני - קליטה'!$AF$5:$AF$204,0)),""))</f>
        <v/>
      </c>
      <c r="Z160" s="43">
        <f>IF(AND(ISNUMBER(F160),ISNUMBER(V160)),V160-F160,"")</f>
        <v/>
      </c>
      <c r="AA160" s="36">
        <f>IF(Z160="","",IF(Z160&gt;=0.25,"עלייה",IF(Z160&lt;=-0.25,"ירידה","יציב")))</f>
        <v/>
      </c>
    </row>
    <row r="161">
      <c r="A161" s="38" t="n"/>
      <c r="B161" s="37">
        <f>IF($A161="","",IFERROR(INDEX('זה אני - קליטה'!$AH$5:$AH$204,MATCH($A161&amp;"|תחילת שנה",'זה אני - קליטה'!$AF$5:$AF$204,0)),""))</f>
        <v/>
      </c>
      <c r="C161" s="37">
        <f>IF($A161="","",IFERROR(INDEX('זה אני - קליטה'!$AI$5:$AI$204,MATCH($A161&amp;"|תחילת שנה",'זה אני - קליטה'!$AF$5:$AF$204,0)),""))</f>
        <v/>
      </c>
      <c r="D161" s="37">
        <f>IF($A161="","",IFERROR(INDEX('זה אני - קליטה'!$AJ$5:$AJ$204,MATCH($A161&amp;"|תחילת שנה",'זה אני - קליטה'!$AF$5:$AF$204,0)),""))</f>
        <v/>
      </c>
      <c r="E161" s="37">
        <f>IF($A161="","",IFERROR(INDEX('זה אני - קליטה'!$AK$5:$AK$204,MATCH($A161&amp;"|תחילת שנה",'זה אני - קליטה'!$AF$5:$AF$204,0)),""))</f>
        <v/>
      </c>
      <c r="F161" s="37">
        <f>IF($A161="","",IFERROR(INDEX('זה אני - קליטה'!$AL$5:$AL$204,MATCH($A161&amp;"|תחילת שנה",'זה אני - קליטה'!$AF$5:$AF$204,0)),""))</f>
        <v/>
      </c>
      <c r="G161" s="36">
        <f>IF($A161="","",IFERROR(INDEX('זה אני - קליטה'!$AG$5:$AG$204,MATCH($A161&amp;"|תחילת שנה",'זה אני - קליטה'!$AF$5:$AF$204,0)),""))</f>
        <v/>
      </c>
      <c r="H161" s="37">
        <f>IF($A161="","",IFERROR(INDEX('זה אני - קליטה'!$AN$5:$AN$204,MATCH($A161&amp;"|תחילת שנה",'זה אני - קליטה'!$AF$5:$AF$204,0)),""))</f>
        <v/>
      </c>
      <c r="I161" s="36">
        <f>IF($A161="","",IFERROR(INDEX('זה אני - קליטה'!$AW$5:$AW$204,MATCH($A161&amp;"|תחילת שנה",'זה אני - קליטה'!$AF$5:$AF$204,0)),""))</f>
        <v/>
      </c>
      <c r="J161" s="37">
        <f>IF($A161="","",IFERROR(INDEX('זה אני - קליטה'!$AH$5:$AH$204,MATCH($A161&amp;"|אמצע שנה",'זה אני - קליטה'!$AF$5:$AF$204,0)),""))</f>
        <v/>
      </c>
      <c r="K161" s="37">
        <f>IF($A161="","",IFERROR(INDEX('זה אני - קליטה'!$AI$5:$AI$204,MATCH($A161&amp;"|אמצע שנה",'זה אני - קליטה'!$AF$5:$AF$204,0)),""))</f>
        <v/>
      </c>
      <c r="L161" s="37">
        <f>IF($A161="","",IFERROR(INDEX('זה אני - קליטה'!$AJ$5:$AJ$204,MATCH($A161&amp;"|אמצע שנה",'זה אני - קליטה'!$AF$5:$AF$204,0)),""))</f>
        <v/>
      </c>
      <c r="M161" s="37">
        <f>IF($A161="","",IFERROR(INDEX('זה אני - קליטה'!$AK$5:$AK$204,MATCH($A161&amp;"|אמצע שנה",'זה אני - קליטה'!$AF$5:$AF$204,0)),""))</f>
        <v/>
      </c>
      <c r="N161" s="37">
        <f>IF($A161="","",IFERROR(INDEX('זה אני - קליטה'!$AL$5:$AL$204,MATCH($A161&amp;"|אמצע שנה",'זה אני - קליטה'!$AF$5:$AF$204,0)),""))</f>
        <v/>
      </c>
      <c r="O161" s="36">
        <f>IF($A161="","",IFERROR(INDEX('זה אני - קליטה'!$AG$5:$AG$204,MATCH($A161&amp;"|אמצע שנה",'זה אני - קליטה'!$AF$5:$AF$204,0)),""))</f>
        <v/>
      </c>
      <c r="P161" s="37">
        <f>IF($A161="","",IFERROR(INDEX('זה אני - קליטה'!$AN$5:$AN$204,MATCH($A161&amp;"|אמצע שנה",'זה אני - קליטה'!$AF$5:$AF$204,0)),""))</f>
        <v/>
      </c>
      <c r="Q161" s="36">
        <f>IF($A161="","",IFERROR(INDEX('זה אני - קליטה'!$AW$5:$AW$204,MATCH($A161&amp;"|אמצע שנה",'זה אני - קליטה'!$AF$5:$AF$204,0)),""))</f>
        <v/>
      </c>
      <c r="R161" s="37">
        <f>IF($A161="","",IFERROR(INDEX('זה אני - קליטה'!$AH$5:$AH$204,MATCH($A161&amp;"|סוף שנה",'זה אני - קליטה'!$AF$5:$AF$204,0)),""))</f>
        <v/>
      </c>
      <c r="S161" s="37">
        <f>IF($A161="","",IFERROR(INDEX('זה אני - קליטה'!$AI$5:$AI$204,MATCH($A161&amp;"|סוף שנה",'זה אני - קליטה'!$AF$5:$AF$204,0)),""))</f>
        <v/>
      </c>
      <c r="T161" s="37">
        <f>IF($A161="","",IFERROR(INDEX('זה אני - קליטה'!$AJ$5:$AJ$204,MATCH($A161&amp;"|סוף שנה",'זה אני - קליטה'!$AF$5:$AF$204,0)),""))</f>
        <v/>
      </c>
      <c r="U161" s="37">
        <f>IF($A161="","",IFERROR(INDEX('זה אני - קליטה'!$AK$5:$AK$204,MATCH($A161&amp;"|סוף שנה",'זה אני - קליטה'!$AF$5:$AF$204,0)),""))</f>
        <v/>
      </c>
      <c r="V161" s="37">
        <f>IF($A161="","",IFERROR(INDEX('זה אני - קליטה'!$AL$5:$AL$204,MATCH($A161&amp;"|סוף שנה",'זה אני - קליטה'!$AF$5:$AF$204,0)),""))</f>
        <v/>
      </c>
      <c r="W161" s="36">
        <f>IF($A161="","",IFERROR(INDEX('זה אני - קליטה'!$AG$5:$AG$204,MATCH($A161&amp;"|סוף שנה",'זה אני - קליטה'!$AF$5:$AF$204,0)),""))</f>
        <v/>
      </c>
      <c r="X161" s="37">
        <f>IF($A161="","",IFERROR(INDEX('זה אני - קליטה'!$AN$5:$AN$204,MATCH($A161&amp;"|סוף שנה",'זה אני - קליטה'!$AF$5:$AF$204,0)),""))</f>
        <v/>
      </c>
      <c r="Y161" s="36">
        <f>IF($A161="","",IFERROR(INDEX('זה אני - קליטה'!$AW$5:$AW$204,MATCH($A161&amp;"|סוף שנה",'זה אני - קליטה'!$AF$5:$AF$204,0)),""))</f>
        <v/>
      </c>
      <c r="Z161" s="43">
        <f>IF(AND(ISNUMBER(F161),ISNUMBER(V161)),V161-F161,"")</f>
        <v/>
      </c>
      <c r="AA161" s="36">
        <f>IF(Z161="","",IF(Z161&gt;=0.25,"עלייה",IF(Z161&lt;=-0.25,"ירידה","יציב")))</f>
        <v/>
      </c>
    </row>
    <row r="162">
      <c r="A162" s="38" t="n"/>
      <c r="B162" s="37">
        <f>IF($A162="","",IFERROR(INDEX('זה אני - קליטה'!$AH$5:$AH$204,MATCH($A162&amp;"|תחילת שנה",'זה אני - קליטה'!$AF$5:$AF$204,0)),""))</f>
        <v/>
      </c>
      <c r="C162" s="37">
        <f>IF($A162="","",IFERROR(INDEX('זה אני - קליטה'!$AI$5:$AI$204,MATCH($A162&amp;"|תחילת שנה",'זה אני - קליטה'!$AF$5:$AF$204,0)),""))</f>
        <v/>
      </c>
      <c r="D162" s="37">
        <f>IF($A162="","",IFERROR(INDEX('זה אני - קליטה'!$AJ$5:$AJ$204,MATCH($A162&amp;"|תחילת שנה",'זה אני - קליטה'!$AF$5:$AF$204,0)),""))</f>
        <v/>
      </c>
      <c r="E162" s="37">
        <f>IF($A162="","",IFERROR(INDEX('זה אני - קליטה'!$AK$5:$AK$204,MATCH($A162&amp;"|תחילת שנה",'זה אני - קליטה'!$AF$5:$AF$204,0)),""))</f>
        <v/>
      </c>
      <c r="F162" s="37">
        <f>IF($A162="","",IFERROR(INDEX('זה אני - קליטה'!$AL$5:$AL$204,MATCH($A162&amp;"|תחילת שנה",'זה אני - קליטה'!$AF$5:$AF$204,0)),""))</f>
        <v/>
      </c>
      <c r="G162" s="36">
        <f>IF($A162="","",IFERROR(INDEX('זה אני - קליטה'!$AG$5:$AG$204,MATCH($A162&amp;"|תחילת שנה",'זה אני - קליטה'!$AF$5:$AF$204,0)),""))</f>
        <v/>
      </c>
      <c r="H162" s="37">
        <f>IF($A162="","",IFERROR(INDEX('זה אני - קליטה'!$AN$5:$AN$204,MATCH($A162&amp;"|תחילת שנה",'זה אני - קליטה'!$AF$5:$AF$204,0)),""))</f>
        <v/>
      </c>
      <c r="I162" s="36">
        <f>IF($A162="","",IFERROR(INDEX('זה אני - קליטה'!$AW$5:$AW$204,MATCH($A162&amp;"|תחילת שנה",'זה אני - קליטה'!$AF$5:$AF$204,0)),""))</f>
        <v/>
      </c>
      <c r="J162" s="37">
        <f>IF($A162="","",IFERROR(INDEX('זה אני - קליטה'!$AH$5:$AH$204,MATCH($A162&amp;"|אמצע שנה",'זה אני - קליטה'!$AF$5:$AF$204,0)),""))</f>
        <v/>
      </c>
      <c r="K162" s="37">
        <f>IF($A162="","",IFERROR(INDEX('זה אני - קליטה'!$AI$5:$AI$204,MATCH($A162&amp;"|אמצע שנה",'זה אני - קליטה'!$AF$5:$AF$204,0)),""))</f>
        <v/>
      </c>
      <c r="L162" s="37">
        <f>IF($A162="","",IFERROR(INDEX('זה אני - קליטה'!$AJ$5:$AJ$204,MATCH($A162&amp;"|אמצע שנה",'זה אני - קליטה'!$AF$5:$AF$204,0)),""))</f>
        <v/>
      </c>
      <c r="M162" s="37">
        <f>IF($A162="","",IFERROR(INDEX('זה אני - קליטה'!$AK$5:$AK$204,MATCH($A162&amp;"|אמצע שנה",'זה אני - קליטה'!$AF$5:$AF$204,0)),""))</f>
        <v/>
      </c>
      <c r="N162" s="37">
        <f>IF($A162="","",IFERROR(INDEX('זה אני - קליטה'!$AL$5:$AL$204,MATCH($A162&amp;"|אמצע שנה",'זה אני - קליטה'!$AF$5:$AF$204,0)),""))</f>
        <v/>
      </c>
      <c r="O162" s="36">
        <f>IF($A162="","",IFERROR(INDEX('זה אני - קליטה'!$AG$5:$AG$204,MATCH($A162&amp;"|אמצע שנה",'זה אני - קליטה'!$AF$5:$AF$204,0)),""))</f>
        <v/>
      </c>
      <c r="P162" s="37">
        <f>IF($A162="","",IFERROR(INDEX('זה אני - קליטה'!$AN$5:$AN$204,MATCH($A162&amp;"|אמצע שנה",'זה אני - קליטה'!$AF$5:$AF$204,0)),""))</f>
        <v/>
      </c>
      <c r="Q162" s="36">
        <f>IF($A162="","",IFERROR(INDEX('זה אני - קליטה'!$AW$5:$AW$204,MATCH($A162&amp;"|אמצע שנה",'זה אני - קליטה'!$AF$5:$AF$204,0)),""))</f>
        <v/>
      </c>
      <c r="R162" s="37">
        <f>IF($A162="","",IFERROR(INDEX('זה אני - קליטה'!$AH$5:$AH$204,MATCH($A162&amp;"|סוף שנה",'זה אני - קליטה'!$AF$5:$AF$204,0)),""))</f>
        <v/>
      </c>
      <c r="S162" s="37">
        <f>IF($A162="","",IFERROR(INDEX('זה אני - קליטה'!$AI$5:$AI$204,MATCH($A162&amp;"|סוף שנה",'זה אני - קליטה'!$AF$5:$AF$204,0)),""))</f>
        <v/>
      </c>
      <c r="T162" s="37">
        <f>IF($A162="","",IFERROR(INDEX('זה אני - קליטה'!$AJ$5:$AJ$204,MATCH($A162&amp;"|סוף שנה",'זה אני - קליטה'!$AF$5:$AF$204,0)),""))</f>
        <v/>
      </c>
      <c r="U162" s="37">
        <f>IF($A162="","",IFERROR(INDEX('זה אני - קליטה'!$AK$5:$AK$204,MATCH($A162&amp;"|סוף שנה",'זה אני - קליטה'!$AF$5:$AF$204,0)),""))</f>
        <v/>
      </c>
      <c r="V162" s="37">
        <f>IF($A162="","",IFERROR(INDEX('זה אני - קליטה'!$AL$5:$AL$204,MATCH($A162&amp;"|סוף שנה",'זה אני - קליטה'!$AF$5:$AF$204,0)),""))</f>
        <v/>
      </c>
      <c r="W162" s="36">
        <f>IF($A162="","",IFERROR(INDEX('זה אני - קליטה'!$AG$5:$AG$204,MATCH($A162&amp;"|סוף שנה",'זה אני - קליטה'!$AF$5:$AF$204,0)),""))</f>
        <v/>
      </c>
      <c r="X162" s="37">
        <f>IF($A162="","",IFERROR(INDEX('זה אני - קליטה'!$AN$5:$AN$204,MATCH($A162&amp;"|סוף שנה",'זה אני - קליטה'!$AF$5:$AF$204,0)),""))</f>
        <v/>
      </c>
      <c r="Y162" s="36">
        <f>IF($A162="","",IFERROR(INDEX('זה אני - קליטה'!$AW$5:$AW$204,MATCH($A162&amp;"|סוף שנה",'זה אני - קליטה'!$AF$5:$AF$204,0)),""))</f>
        <v/>
      </c>
      <c r="Z162" s="43">
        <f>IF(AND(ISNUMBER(F162),ISNUMBER(V162)),V162-F162,"")</f>
        <v/>
      </c>
      <c r="AA162" s="36">
        <f>IF(Z162="","",IF(Z162&gt;=0.25,"עלייה",IF(Z162&lt;=-0.25,"ירידה","יציב")))</f>
        <v/>
      </c>
    </row>
    <row r="163">
      <c r="A163" s="38" t="n"/>
      <c r="B163" s="37">
        <f>IF($A163="","",IFERROR(INDEX('זה אני - קליטה'!$AH$5:$AH$204,MATCH($A163&amp;"|תחילת שנה",'זה אני - קליטה'!$AF$5:$AF$204,0)),""))</f>
        <v/>
      </c>
      <c r="C163" s="37">
        <f>IF($A163="","",IFERROR(INDEX('זה אני - קליטה'!$AI$5:$AI$204,MATCH($A163&amp;"|תחילת שנה",'זה אני - קליטה'!$AF$5:$AF$204,0)),""))</f>
        <v/>
      </c>
      <c r="D163" s="37">
        <f>IF($A163="","",IFERROR(INDEX('זה אני - קליטה'!$AJ$5:$AJ$204,MATCH($A163&amp;"|תחילת שנה",'זה אני - קליטה'!$AF$5:$AF$204,0)),""))</f>
        <v/>
      </c>
      <c r="E163" s="37">
        <f>IF($A163="","",IFERROR(INDEX('זה אני - קליטה'!$AK$5:$AK$204,MATCH($A163&amp;"|תחילת שנה",'זה אני - קליטה'!$AF$5:$AF$204,0)),""))</f>
        <v/>
      </c>
      <c r="F163" s="37">
        <f>IF($A163="","",IFERROR(INDEX('זה אני - קליטה'!$AL$5:$AL$204,MATCH($A163&amp;"|תחילת שנה",'זה אני - קליטה'!$AF$5:$AF$204,0)),""))</f>
        <v/>
      </c>
      <c r="G163" s="36">
        <f>IF($A163="","",IFERROR(INDEX('זה אני - קליטה'!$AG$5:$AG$204,MATCH($A163&amp;"|תחילת שנה",'זה אני - קליטה'!$AF$5:$AF$204,0)),""))</f>
        <v/>
      </c>
      <c r="H163" s="37">
        <f>IF($A163="","",IFERROR(INDEX('זה אני - קליטה'!$AN$5:$AN$204,MATCH($A163&amp;"|תחילת שנה",'זה אני - קליטה'!$AF$5:$AF$204,0)),""))</f>
        <v/>
      </c>
      <c r="I163" s="36">
        <f>IF($A163="","",IFERROR(INDEX('זה אני - קליטה'!$AW$5:$AW$204,MATCH($A163&amp;"|תחילת שנה",'זה אני - קליטה'!$AF$5:$AF$204,0)),""))</f>
        <v/>
      </c>
      <c r="J163" s="37">
        <f>IF($A163="","",IFERROR(INDEX('זה אני - קליטה'!$AH$5:$AH$204,MATCH($A163&amp;"|אמצע שנה",'זה אני - קליטה'!$AF$5:$AF$204,0)),""))</f>
        <v/>
      </c>
      <c r="K163" s="37">
        <f>IF($A163="","",IFERROR(INDEX('זה אני - קליטה'!$AI$5:$AI$204,MATCH($A163&amp;"|אמצע שנה",'זה אני - קליטה'!$AF$5:$AF$204,0)),""))</f>
        <v/>
      </c>
      <c r="L163" s="37">
        <f>IF($A163="","",IFERROR(INDEX('זה אני - קליטה'!$AJ$5:$AJ$204,MATCH($A163&amp;"|אמצע שנה",'זה אני - קליטה'!$AF$5:$AF$204,0)),""))</f>
        <v/>
      </c>
      <c r="M163" s="37">
        <f>IF($A163="","",IFERROR(INDEX('זה אני - קליטה'!$AK$5:$AK$204,MATCH($A163&amp;"|אמצע שנה",'זה אני - קליטה'!$AF$5:$AF$204,0)),""))</f>
        <v/>
      </c>
      <c r="N163" s="37">
        <f>IF($A163="","",IFERROR(INDEX('זה אני - קליטה'!$AL$5:$AL$204,MATCH($A163&amp;"|אמצע שנה",'זה אני - קליטה'!$AF$5:$AF$204,0)),""))</f>
        <v/>
      </c>
      <c r="O163" s="36">
        <f>IF($A163="","",IFERROR(INDEX('זה אני - קליטה'!$AG$5:$AG$204,MATCH($A163&amp;"|אמצע שנה",'זה אני - קליטה'!$AF$5:$AF$204,0)),""))</f>
        <v/>
      </c>
      <c r="P163" s="37">
        <f>IF($A163="","",IFERROR(INDEX('זה אני - קליטה'!$AN$5:$AN$204,MATCH($A163&amp;"|אמצע שנה",'זה אני - קליטה'!$AF$5:$AF$204,0)),""))</f>
        <v/>
      </c>
      <c r="Q163" s="36">
        <f>IF($A163="","",IFERROR(INDEX('זה אני - קליטה'!$AW$5:$AW$204,MATCH($A163&amp;"|אמצע שנה",'זה אני - קליטה'!$AF$5:$AF$204,0)),""))</f>
        <v/>
      </c>
      <c r="R163" s="37">
        <f>IF($A163="","",IFERROR(INDEX('זה אני - קליטה'!$AH$5:$AH$204,MATCH($A163&amp;"|סוף שנה",'זה אני - קליטה'!$AF$5:$AF$204,0)),""))</f>
        <v/>
      </c>
      <c r="S163" s="37">
        <f>IF($A163="","",IFERROR(INDEX('זה אני - קליטה'!$AI$5:$AI$204,MATCH($A163&amp;"|סוף שנה",'זה אני - קליטה'!$AF$5:$AF$204,0)),""))</f>
        <v/>
      </c>
      <c r="T163" s="37">
        <f>IF($A163="","",IFERROR(INDEX('זה אני - קליטה'!$AJ$5:$AJ$204,MATCH($A163&amp;"|סוף שנה",'זה אני - קליטה'!$AF$5:$AF$204,0)),""))</f>
        <v/>
      </c>
      <c r="U163" s="37">
        <f>IF($A163="","",IFERROR(INDEX('זה אני - קליטה'!$AK$5:$AK$204,MATCH($A163&amp;"|סוף שנה",'זה אני - קליטה'!$AF$5:$AF$204,0)),""))</f>
        <v/>
      </c>
      <c r="V163" s="37">
        <f>IF($A163="","",IFERROR(INDEX('זה אני - קליטה'!$AL$5:$AL$204,MATCH($A163&amp;"|סוף שנה",'זה אני - קליטה'!$AF$5:$AF$204,0)),""))</f>
        <v/>
      </c>
      <c r="W163" s="36">
        <f>IF($A163="","",IFERROR(INDEX('זה אני - קליטה'!$AG$5:$AG$204,MATCH($A163&amp;"|סוף שנה",'זה אני - קליטה'!$AF$5:$AF$204,0)),""))</f>
        <v/>
      </c>
      <c r="X163" s="37">
        <f>IF($A163="","",IFERROR(INDEX('זה אני - קליטה'!$AN$5:$AN$204,MATCH($A163&amp;"|סוף שנה",'זה אני - קליטה'!$AF$5:$AF$204,0)),""))</f>
        <v/>
      </c>
      <c r="Y163" s="36">
        <f>IF($A163="","",IFERROR(INDEX('זה אני - קליטה'!$AW$5:$AW$204,MATCH($A163&amp;"|סוף שנה",'זה אני - קליטה'!$AF$5:$AF$204,0)),""))</f>
        <v/>
      </c>
      <c r="Z163" s="43">
        <f>IF(AND(ISNUMBER(F163),ISNUMBER(V163)),V163-F163,"")</f>
        <v/>
      </c>
      <c r="AA163" s="36">
        <f>IF(Z163="","",IF(Z163&gt;=0.25,"עלייה",IF(Z163&lt;=-0.25,"ירידה","יציב")))</f>
        <v/>
      </c>
    </row>
    <row r="164">
      <c r="A164" s="38" t="n"/>
      <c r="B164" s="37">
        <f>IF($A164="","",IFERROR(INDEX('זה אני - קליטה'!$AH$5:$AH$204,MATCH($A164&amp;"|תחילת שנה",'זה אני - קליטה'!$AF$5:$AF$204,0)),""))</f>
        <v/>
      </c>
      <c r="C164" s="37">
        <f>IF($A164="","",IFERROR(INDEX('זה אני - קליטה'!$AI$5:$AI$204,MATCH($A164&amp;"|תחילת שנה",'זה אני - קליטה'!$AF$5:$AF$204,0)),""))</f>
        <v/>
      </c>
      <c r="D164" s="37">
        <f>IF($A164="","",IFERROR(INDEX('זה אני - קליטה'!$AJ$5:$AJ$204,MATCH($A164&amp;"|תחילת שנה",'זה אני - קליטה'!$AF$5:$AF$204,0)),""))</f>
        <v/>
      </c>
      <c r="E164" s="37">
        <f>IF($A164="","",IFERROR(INDEX('זה אני - קליטה'!$AK$5:$AK$204,MATCH($A164&amp;"|תחילת שנה",'זה אני - קליטה'!$AF$5:$AF$204,0)),""))</f>
        <v/>
      </c>
      <c r="F164" s="37">
        <f>IF($A164="","",IFERROR(INDEX('זה אני - קליטה'!$AL$5:$AL$204,MATCH($A164&amp;"|תחילת שנה",'זה אני - קליטה'!$AF$5:$AF$204,0)),""))</f>
        <v/>
      </c>
      <c r="G164" s="36">
        <f>IF($A164="","",IFERROR(INDEX('זה אני - קליטה'!$AG$5:$AG$204,MATCH($A164&amp;"|תחילת שנה",'זה אני - קליטה'!$AF$5:$AF$204,0)),""))</f>
        <v/>
      </c>
      <c r="H164" s="37">
        <f>IF($A164="","",IFERROR(INDEX('זה אני - קליטה'!$AN$5:$AN$204,MATCH($A164&amp;"|תחילת שנה",'זה אני - קליטה'!$AF$5:$AF$204,0)),""))</f>
        <v/>
      </c>
      <c r="I164" s="36">
        <f>IF($A164="","",IFERROR(INDEX('זה אני - קליטה'!$AW$5:$AW$204,MATCH($A164&amp;"|תחילת שנה",'זה אני - קליטה'!$AF$5:$AF$204,0)),""))</f>
        <v/>
      </c>
      <c r="J164" s="37">
        <f>IF($A164="","",IFERROR(INDEX('זה אני - קליטה'!$AH$5:$AH$204,MATCH($A164&amp;"|אמצע שנה",'זה אני - קליטה'!$AF$5:$AF$204,0)),""))</f>
        <v/>
      </c>
      <c r="K164" s="37">
        <f>IF($A164="","",IFERROR(INDEX('זה אני - קליטה'!$AI$5:$AI$204,MATCH($A164&amp;"|אמצע שנה",'זה אני - קליטה'!$AF$5:$AF$204,0)),""))</f>
        <v/>
      </c>
      <c r="L164" s="37">
        <f>IF($A164="","",IFERROR(INDEX('זה אני - קליטה'!$AJ$5:$AJ$204,MATCH($A164&amp;"|אמצע שנה",'זה אני - קליטה'!$AF$5:$AF$204,0)),""))</f>
        <v/>
      </c>
      <c r="M164" s="37">
        <f>IF($A164="","",IFERROR(INDEX('זה אני - קליטה'!$AK$5:$AK$204,MATCH($A164&amp;"|אמצע שנה",'זה אני - קליטה'!$AF$5:$AF$204,0)),""))</f>
        <v/>
      </c>
      <c r="N164" s="37">
        <f>IF($A164="","",IFERROR(INDEX('זה אני - קליטה'!$AL$5:$AL$204,MATCH($A164&amp;"|אמצע שנה",'זה אני - קליטה'!$AF$5:$AF$204,0)),""))</f>
        <v/>
      </c>
      <c r="O164" s="36">
        <f>IF($A164="","",IFERROR(INDEX('זה אני - קליטה'!$AG$5:$AG$204,MATCH($A164&amp;"|אמצע שנה",'זה אני - קליטה'!$AF$5:$AF$204,0)),""))</f>
        <v/>
      </c>
      <c r="P164" s="37">
        <f>IF($A164="","",IFERROR(INDEX('זה אני - קליטה'!$AN$5:$AN$204,MATCH($A164&amp;"|אמצע שנה",'זה אני - קליטה'!$AF$5:$AF$204,0)),""))</f>
        <v/>
      </c>
      <c r="Q164" s="36">
        <f>IF($A164="","",IFERROR(INDEX('זה אני - קליטה'!$AW$5:$AW$204,MATCH($A164&amp;"|אמצע שנה",'זה אני - קליטה'!$AF$5:$AF$204,0)),""))</f>
        <v/>
      </c>
      <c r="R164" s="37">
        <f>IF($A164="","",IFERROR(INDEX('זה אני - קליטה'!$AH$5:$AH$204,MATCH($A164&amp;"|סוף שנה",'זה אני - קליטה'!$AF$5:$AF$204,0)),""))</f>
        <v/>
      </c>
      <c r="S164" s="37">
        <f>IF($A164="","",IFERROR(INDEX('זה אני - קליטה'!$AI$5:$AI$204,MATCH($A164&amp;"|סוף שנה",'זה אני - קליטה'!$AF$5:$AF$204,0)),""))</f>
        <v/>
      </c>
      <c r="T164" s="37">
        <f>IF($A164="","",IFERROR(INDEX('זה אני - קליטה'!$AJ$5:$AJ$204,MATCH($A164&amp;"|סוף שנה",'זה אני - קליטה'!$AF$5:$AF$204,0)),""))</f>
        <v/>
      </c>
      <c r="U164" s="37">
        <f>IF($A164="","",IFERROR(INDEX('זה אני - קליטה'!$AK$5:$AK$204,MATCH($A164&amp;"|סוף שנה",'זה אני - קליטה'!$AF$5:$AF$204,0)),""))</f>
        <v/>
      </c>
      <c r="V164" s="37">
        <f>IF($A164="","",IFERROR(INDEX('זה אני - קליטה'!$AL$5:$AL$204,MATCH($A164&amp;"|סוף שנה",'זה אני - קליטה'!$AF$5:$AF$204,0)),""))</f>
        <v/>
      </c>
      <c r="W164" s="36">
        <f>IF($A164="","",IFERROR(INDEX('זה אני - קליטה'!$AG$5:$AG$204,MATCH($A164&amp;"|סוף שנה",'זה אני - קליטה'!$AF$5:$AF$204,0)),""))</f>
        <v/>
      </c>
      <c r="X164" s="37">
        <f>IF($A164="","",IFERROR(INDEX('זה אני - קליטה'!$AN$5:$AN$204,MATCH($A164&amp;"|סוף שנה",'זה אני - קליטה'!$AF$5:$AF$204,0)),""))</f>
        <v/>
      </c>
      <c r="Y164" s="36">
        <f>IF($A164="","",IFERROR(INDEX('זה אני - קליטה'!$AW$5:$AW$204,MATCH($A164&amp;"|סוף שנה",'זה אני - קליטה'!$AF$5:$AF$204,0)),""))</f>
        <v/>
      </c>
      <c r="Z164" s="43">
        <f>IF(AND(ISNUMBER(F164),ISNUMBER(V164)),V164-F164,"")</f>
        <v/>
      </c>
      <c r="AA164" s="36">
        <f>IF(Z164="","",IF(Z164&gt;=0.25,"עלייה",IF(Z164&lt;=-0.25,"ירידה","יציב")))</f>
        <v/>
      </c>
    </row>
    <row r="165">
      <c r="A165" s="38" t="n"/>
      <c r="B165" s="37">
        <f>IF($A165="","",IFERROR(INDEX('זה אני - קליטה'!$AH$5:$AH$204,MATCH($A165&amp;"|תחילת שנה",'זה אני - קליטה'!$AF$5:$AF$204,0)),""))</f>
        <v/>
      </c>
      <c r="C165" s="37">
        <f>IF($A165="","",IFERROR(INDEX('זה אני - קליטה'!$AI$5:$AI$204,MATCH($A165&amp;"|תחילת שנה",'זה אני - קליטה'!$AF$5:$AF$204,0)),""))</f>
        <v/>
      </c>
      <c r="D165" s="37">
        <f>IF($A165="","",IFERROR(INDEX('זה אני - קליטה'!$AJ$5:$AJ$204,MATCH($A165&amp;"|תחילת שנה",'זה אני - קליטה'!$AF$5:$AF$204,0)),""))</f>
        <v/>
      </c>
      <c r="E165" s="37">
        <f>IF($A165="","",IFERROR(INDEX('זה אני - קליטה'!$AK$5:$AK$204,MATCH($A165&amp;"|תחילת שנה",'זה אני - קליטה'!$AF$5:$AF$204,0)),""))</f>
        <v/>
      </c>
      <c r="F165" s="37">
        <f>IF($A165="","",IFERROR(INDEX('זה אני - קליטה'!$AL$5:$AL$204,MATCH($A165&amp;"|תחילת שנה",'זה אני - קליטה'!$AF$5:$AF$204,0)),""))</f>
        <v/>
      </c>
      <c r="G165" s="36">
        <f>IF($A165="","",IFERROR(INDEX('זה אני - קליטה'!$AG$5:$AG$204,MATCH($A165&amp;"|תחילת שנה",'זה אני - קליטה'!$AF$5:$AF$204,0)),""))</f>
        <v/>
      </c>
      <c r="H165" s="37">
        <f>IF($A165="","",IFERROR(INDEX('זה אני - קליטה'!$AN$5:$AN$204,MATCH($A165&amp;"|תחילת שנה",'זה אני - קליטה'!$AF$5:$AF$204,0)),""))</f>
        <v/>
      </c>
      <c r="I165" s="36">
        <f>IF($A165="","",IFERROR(INDEX('זה אני - קליטה'!$AW$5:$AW$204,MATCH($A165&amp;"|תחילת שנה",'זה אני - קליטה'!$AF$5:$AF$204,0)),""))</f>
        <v/>
      </c>
      <c r="J165" s="37">
        <f>IF($A165="","",IFERROR(INDEX('זה אני - קליטה'!$AH$5:$AH$204,MATCH($A165&amp;"|אמצע שנה",'זה אני - קליטה'!$AF$5:$AF$204,0)),""))</f>
        <v/>
      </c>
      <c r="K165" s="37">
        <f>IF($A165="","",IFERROR(INDEX('זה אני - קליטה'!$AI$5:$AI$204,MATCH($A165&amp;"|אמצע שנה",'זה אני - קליטה'!$AF$5:$AF$204,0)),""))</f>
        <v/>
      </c>
      <c r="L165" s="37">
        <f>IF($A165="","",IFERROR(INDEX('זה אני - קליטה'!$AJ$5:$AJ$204,MATCH($A165&amp;"|אמצע שנה",'זה אני - קליטה'!$AF$5:$AF$204,0)),""))</f>
        <v/>
      </c>
      <c r="M165" s="37">
        <f>IF($A165="","",IFERROR(INDEX('זה אני - קליטה'!$AK$5:$AK$204,MATCH($A165&amp;"|אמצע שנה",'זה אני - קליטה'!$AF$5:$AF$204,0)),""))</f>
        <v/>
      </c>
      <c r="N165" s="37">
        <f>IF($A165="","",IFERROR(INDEX('זה אני - קליטה'!$AL$5:$AL$204,MATCH($A165&amp;"|אמצע שנה",'זה אני - קליטה'!$AF$5:$AF$204,0)),""))</f>
        <v/>
      </c>
      <c r="O165" s="36">
        <f>IF($A165="","",IFERROR(INDEX('זה אני - קליטה'!$AG$5:$AG$204,MATCH($A165&amp;"|אמצע שנה",'זה אני - קליטה'!$AF$5:$AF$204,0)),""))</f>
        <v/>
      </c>
      <c r="P165" s="37">
        <f>IF($A165="","",IFERROR(INDEX('זה אני - קליטה'!$AN$5:$AN$204,MATCH($A165&amp;"|אמצע שנה",'זה אני - קליטה'!$AF$5:$AF$204,0)),""))</f>
        <v/>
      </c>
      <c r="Q165" s="36">
        <f>IF($A165="","",IFERROR(INDEX('זה אני - קליטה'!$AW$5:$AW$204,MATCH($A165&amp;"|אמצע שנה",'זה אני - קליטה'!$AF$5:$AF$204,0)),""))</f>
        <v/>
      </c>
      <c r="R165" s="37">
        <f>IF($A165="","",IFERROR(INDEX('זה אני - קליטה'!$AH$5:$AH$204,MATCH($A165&amp;"|סוף שנה",'זה אני - קליטה'!$AF$5:$AF$204,0)),""))</f>
        <v/>
      </c>
      <c r="S165" s="37">
        <f>IF($A165="","",IFERROR(INDEX('זה אני - קליטה'!$AI$5:$AI$204,MATCH($A165&amp;"|סוף שנה",'זה אני - קליטה'!$AF$5:$AF$204,0)),""))</f>
        <v/>
      </c>
      <c r="T165" s="37">
        <f>IF($A165="","",IFERROR(INDEX('זה אני - קליטה'!$AJ$5:$AJ$204,MATCH($A165&amp;"|סוף שנה",'זה אני - קליטה'!$AF$5:$AF$204,0)),""))</f>
        <v/>
      </c>
      <c r="U165" s="37">
        <f>IF($A165="","",IFERROR(INDEX('זה אני - קליטה'!$AK$5:$AK$204,MATCH($A165&amp;"|סוף שנה",'זה אני - קליטה'!$AF$5:$AF$204,0)),""))</f>
        <v/>
      </c>
      <c r="V165" s="37">
        <f>IF($A165="","",IFERROR(INDEX('זה אני - קליטה'!$AL$5:$AL$204,MATCH($A165&amp;"|סוף שנה",'זה אני - קליטה'!$AF$5:$AF$204,0)),""))</f>
        <v/>
      </c>
      <c r="W165" s="36">
        <f>IF($A165="","",IFERROR(INDEX('זה אני - קליטה'!$AG$5:$AG$204,MATCH($A165&amp;"|סוף שנה",'זה אני - קליטה'!$AF$5:$AF$204,0)),""))</f>
        <v/>
      </c>
      <c r="X165" s="37">
        <f>IF($A165="","",IFERROR(INDEX('זה אני - קליטה'!$AN$5:$AN$204,MATCH($A165&amp;"|סוף שנה",'זה אני - קליטה'!$AF$5:$AF$204,0)),""))</f>
        <v/>
      </c>
      <c r="Y165" s="36">
        <f>IF($A165="","",IFERROR(INDEX('זה אני - קליטה'!$AW$5:$AW$204,MATCH($A165&amp;"|סוף שנה",'זה אני - קליטה'!$AF$5:$AF$204,0)),""))</f>
        <v/>
      </c>
      <c r="Z165" s="43">
        <f>IF(AND(ISNUMBER(F165),ISNUMBER(V165)),V165-F165,"")</f>
        <v/>
      </c>
      <c r="AA165" s="36">
        <f>IF(Z165="","",IF(Z165&gt;=0.25,"עלייה",IF(Z165&lt;=-0.25,"ירידה","יציב")))</f>
        <v/>
      </c>
    </row>
    <row r="166">
      <c r="A166" s="38" t="n"/>
      <c r="B166" s="37">
        <f>IF($A166="","",IFERROR(INDEX('זה אני - קליטה'!$AH$5:$AH$204,MATCH($A166&amp;"|תחילת שנה",'זה אני - קליטה'!$AF$5:$AF$204,0)),""))</f>
        <v/>
      </c>
      <c r="C166" s="37">
        <f>IF($A166="","",IFERROR(INDEX('זה אני - קליטה'!$AI$5:$AI$204,MATCH($A166&amp;"|תחילת שנה",'זה אני - קליטה'!$AF$5:$AF$204,0)),""))</f>
        <v/>
      </c>
      <c r="D166" s="37">
        <f>IF($A166="","",IFERROR(INDEX('זה אני - קליטה'!$AJ$5:$AJ$204,MATCH($A166&amp;"|תחילת שנה",'זה אני - קליטה'!$AF$5:$AF$204,0)),""))</f>
        <v/>
      </c>
      <c r="E166" s="37">
        <f>IF($A166="","",IFERROR(INDEX('זה אני - קליטה'!$AK$5:$AK$204,MATCH($A166&amp;"|תחילת שנה",'זה אני - קליטה'!$AF$5:$AF$204,0)),""))</f>
        <v/>
      </c>
      <c r="F166" s="37">
        <f>IF($A166="","",IFERROR(INDEX('זה אני - קליטה'!$AL$5:$AL$204,MATCH($A166&amp;"|תחילת שנה",'זה אני - קליטה'!$AF$5:$AF$204,0)),""))</f>
        <v/>
      </c>
      <c r="G166" s="36">
        <f>IF($A166="","",IFERROR(INDEX('זה אני - קליטה'!$AG$5:$AG$204,MATCH($A166&amp;"|תחילת שנה",'זה אני - קליטה'!$AF$5:$AF$204,0)),""))</f>
        <v/>
      </c>
      <c r="H166" s="37">
        <f>IF($A166="","",IFERROR(INDEX('זה אני - קליטה'!$AN$5:$AN$204,MATCH($A166&amp;"|תחילת שנה",'זה אני - קליטה'!$AF$5:$AF$204,0)),""))</f>
        <v/>
      </c>
      <c r="I166" s="36">
        <f>IF($A166="","",IFERROR(INDEX('זה אני - קליטה'!$AW$5:$AW$204,MATCH($A166&amp;"|תחילת שנה",'זה אני - קליטה'!$AF$5:$AF$204,0)),""))</f>
        <v/>
      </c>
      <c r="J166" s="37">
        <f>IF($A166="","",IFERROR(INDEX('זה אני - קליטה'!$AH$5:$AH$204,MATCH($A166&amp;"|אמצע שנה",'זה אני - קליטה'!$AF$5:$AF$204,0)),""))</f>
        <v/>
      </c>
      <c r="K166" s="37">
        <f>IF($A166="","",IFERROR(INDEX('זה אני - קליטה'!$AI$5:$AI$204,MATCH($A166&amp;"|אמצע שנה",'זה אני - קליטה'!$AF$5:$AF$204,0)),""))</f>
        <v/>
      </c>
      <c r="L166" s="37">
        <f>IF($A166="","",IFERROR(INDEX('זה אני - קליטה'!$AJ$5:$AJ$204,MATCH($A166&amp;"|אמצע שנה",'זה אני - קליטה'!$AF$5:$AF$204,0)),""))</f>
        <v/>
      </c>
      <c r="M166" s="37">
        <f>IF($A166="","",IFERROR(INDEX('זה אני - קליטה'!$AK$5:$AK$204,MATCH($A166&amp;"|אמצע שנה",'זה אני - קליטה'!$AF$5:$AF$204,0)),""))</f>
        <v/>
      </c>
      <c r="N166" s="37">
        <f>IF($A166="","",IFERROR(INDEX('זה אני - קליטה'!$AL$5:$AL$204,MATCH($A166&amp;"|אמצע שנה",'זה אני - קליטה'!$AF$5:$AF$204,0)),""))</f>
        <v/>
      </c>
      <c r="O166" s="36">
        <f>IF($A166="","",IFERROR(INDEX('זה אני - קליטה'!$AG$5:$AG$204,MATCH($A166&amp;"|אמצע שנה",'זה אני - קליטה'!$AF$5:$AF$204,0)),""))</f>
        <v/>
      </c>
      <c r="P166" s="37">
        <f>IF($A166="","",IFERROR(INDEX('זה אני - קליטה'!$AN$5:$AN$204,MATCH($A166&amp;"|אמצע שנה",'זה אני - קליטה'!$AF$5:$AF$204,0)),""))</f>
        <v/>
      </c>
      <c r="Q166" s="36">
        <f>IF($A166="","",IFERROR(INDEX('זה אני - קליטה'!$AW$5:$AW$204,MATCH($A166&amp;"|אמצע שנה",'זה אני - קליטה'!$AF$5:$AF$204,0)),""))</f>
        <v/>
      </c>
      <c r="R166" s="37">
        <f>IF($A166="","",IFERROR(INDEX('זה אני - קליטה'!$AH$5:$AH$204,MATCH($A166&amp;"|סוף שנה",'זה אני - קליטה'!$AF$5:$AF$204,0)),""))</f>
        <v/>
      </c>
      <c r="S166" s="37">
        <f>IF($A166="","",IFERROR(INDEX('זה אני - קליטה'!$AI$5:$AI$204,MATCH($A166&amp;"|סוף שנה",'זה אני - קליטה'!$AF$5:$AF$204,0)),""))</f>
        <v/>
      </c>
      <c r="T166" s="37">
        <f>IF($A166="","",IFERROR(INDEX('זה אני - קליטה'!$AJ$5:$AJ$204,MATCH($A166&amp;"|סוף שנה",'זה אני - קליטה'!$AF$5:$AF$204,0)),""))</f>
        <v/>
      </c>
      <c r="U166" s="37">
        <f>IF($A166="","",IFERROR(INDEX('זה אני - קליטה'!$AK$5:$AK$204,MATCH($A166&amp;"|סוף שנה",'זה אני - קליטה'!$AF$5:$AF$204,0)),""))</f>
        <v/>
      </c>
      <c r="V166" s="37">
        <f>IF($A166="","",IFERROR(INDEX('זה אני - קליטה'!$AL$5:$AL$204,MATCH($A166&amp;"|סוף שנה",'זה אני - קליטה'!$AF$5:$AF$204,0)),""))</f>
        <v/>
      </c>
      <c r="W166" s="36">
        <f>IF($A166="","",IFERROR(INDEX('זה אני - קליטה'!$AG$5:$AG$204,MATCH($A166&amp;"|סוף שנה",'זה אני - קליטה'!$AF$5:$AF$204,0)),""))</f>
        <v/>
      </c>
      <c r="X166" s="37">
        <f>IF($A166="","",IFERROR(INDEX('זה אני - קליטה'!$AN$5:$AN$204,MATCH($A166&amp;"|סוף שנה",'זה אני - קליטה'!$AF$5:$AF$204,0)),""))</f>
        <v/>
      </c>
      <c r="Y166" s="36">
        <f>IF($A166="","",IFERROR(INDEX('זה אני - קליטה'!$AW$5:$AW$204,MATCH($A166&amp;"|סוף שנה",'זה אני - קליטה'!$AF$5:$AF$204,0)),""))</f>
        <v/>
      </c>
      <c r="Z166" s="43">
        <f>IF(AND(ISNUMBER(F166),ISNUMBER(V166)),V166-F166,"")</f>
        <v/>
      </c>
      <c r="AA166" s="36">
        <f>IF(Z166="","",IF(Z166&gt;=0.25,"עלייה",IF(Z166&lt;=-0.25,"ירידה","יציב")))</f>
        <v/>
      </c>
    </row>
    <row r="167">
      <c r="A167" s="38" t="n"/>
      <c r="B167" s="37">
        <f>IF($A167="","",IFERROR(INDEX('זה אני - קליטה'!$AH$5:$AH$204,MATCH($A167&amp;"|תחילת שנה",'זה אני - קליטה'!$AF$5:$AF$204,0)),""))</f>
        <v/>
      </c>
      <c r="C167" s="37">
        <f>IF($A167="","",IFERROR(INDEX('זה אני - קליטה'!$AI$5:$AI$204,MATCH($A167&amp;"|תחילת שנה",'זה אני - קליטה'!$AF$5:$AF$204,0)),""))</f>
        <v/>
      </c>
      <c r="D167" s="37">
        <f>IF($A167="","",IFERROR(INDEX('זה אני - קליטה'!$AJ$5:$AJ$204,MATCH($A167&amp;"|תחילת שנה",'זה אני - קליטה'!$AF$5:$AF$204,0)),""))</f>
        <v/>
      </c>
      <c r="E167" s="37">
        <f>IF($A167="","",IFERROR(INDEX('זה אני - קליטה'!$AK$5:$AK$204,MATCH($A167&amp;"|תחילת שנה",'זה אני - קליטה'!$AF$5:$AF$204,0)),""))</f>
        <v/>
      </c>
      <c r="F167" s="37">
        <f>IF($A167="","",IFERROR(INDEX('זה אני - קליטה'!$AL$5:$AL$204,MATCH($A167&amp;"|תחילת שנה",'זה אני - קליטה'!$AF$5:$AF$204,0)),""))</f>
        <v/>
      </c>
      <c r="G167" s="36">
        <f>IF($A167="","",IFERROR(INDEX('זה אני - קליטה'!$AG$5:$AG$204,MATCH($A167&amp;"|תחילת שנה",'זה אני - קליטה'!$AF$5:$AF$204,0)),""))</f>
        <v/>
      </c>
      <c r="H167" s="37">
        <f>IF($A167="","",IFERROR(INDEX('זה אני - קליטה'!$AN$5:$AN$204,MATCH($A167&amp;"|תחילת שנה",'זה אני - קליטה'!$AF$5:$AF$204,0)),""))</f>
        <v/>
      </c>
      <c r="I167" s="36">
        <f>IF($A167="","",IFERROR(INDEX('זה אני - קליטה'!$AW$5:$AW$204,MATCH($A167&amp;"|תחילת שנה",'זה אני - קליטה'!$AF$5:$AF$204,0)),""))</f>
        <v/>
      </c>
      <c r="J167" s="37">
        <f>IF($A167="","",IFERROR(INDEX('זה אני - קליטה'!$AH$5:$AH$204,MATCH($A167&amp;"|אמצע שנה",'זה אני - קליטה'!$AF$5:$AF$204,0)),""))</f>
        <v/>
      </c>
      <c r="K167" s="37">
        <f>IF($A167="","",IFERROR(INDEX('זה אני - קליטה'!$AI$5:$AI$204,MATCH($A167&amp;"|אמצע שנה",'זה אני - קליטה'!$AF$5:$AF$204,0)),""))</f>
        <v/>
      </c>
      <c r="L167" s="37">
        <f>IF($A167="","",IFERROR(INDEX('זה אני - קליטה'!$AJ$5:$AJ$204,MATCH($A167&amp;"|אמצע שנה",'זה אני - קליטה'!$AF$5:$AF$204,0)),""))</f>
        <v/>
      </c>
      <c r="M167" s="37">
        <f>IF($A167="","",IFERROR(INDEX('זה אני - קליטה'!$AK$5:$AK$204,MATCH($A167&amp;"|אמצע שנה",'זה אני - קליטה'!$AF$5:$AF$204,0)),""))</f>
        <v/>
      </c>
      <c r="N167" s="37">
        <f>IF($A167="","",IFERROR(INDEX('זה אני - קליטה'!$AL$5:$AL$204,MATCH($A167&amp;"|אמצע שנה",'זה אני - קליטה'!$AF$5:$AF$204,0)),""))</f>
        <v/>
      </c>
      <c r="O167" s="36">
        <f>IF($A167="","",IFERROR(INDEX('זה אני - קליטה'!$AG$5:$AG$204,MATCH($A167&amp;"|אמצע שנה",'זה אני - קליטה'!$AF$5:$AF$204,0)),""))</f>
        <v/>
      </c>
      <c r="P167" s="37">
        <f>IF($A167="","",IFERROR(INDEX('זה אני - קליטה'!$AN$5:$AN$204,MATCH($A167&amp;"|אמצע שנה",'זה אני - קליטה'!$AF$5:$AF$204,0)),""))</f>
        <v/>
      </c>
      <c r="Q167" s="36">
        <f>IF($A167="","",IFERROR(INDEX('זה אני - קליטה'!$AW$5:$AW$204,MATCH($A167&amp;"|אמצע שנה",'זה אני - קליטה'!$AF$5:$AF$204,0)),""))</f>
        <v/>
      </c>
      <c r="R167" s="37">
        <f>IF($A167="","",IFERROR(INDEX('זה אני - קליטה'!$AH$5:$AH$204,MATCH($A167&amp;"|סוף שנה",'זה אני - קליטה'!$AF$5:$AF$204,0)),""))</f>
        <v/>
      </c>
      <c r="S167" s="37">
        <f>IF($A167="","",IFERROR(INDEX('זה אני - קליטה'!$AI$5:$AI$204,MATCH($A167&amp;"|סוף שנה",'זה אני - קליטה'!$AF$5:$AF$204,0)),""))</f>
        <v/>
      </c>
      <c r="T167" s="37">
        <f>IF($A167="","",IFERROR(INDEX('זה אני - קליטה'!$AJ$5:$AJ$204,MATCH($A167&amp;"|סוף שנה",'זה אני - קליטה'!$AF$5:$AF$204,0)),""))</f>
        <v/>
      </c>
      <c r="U167" s="37">
        <f>IF($A167="","",IFERROR(INDEX('זה אני - קליטה'!$AK$5:$AK$204,MATCH($A167&amp;"|סוף שנה",'זה אני - קליטה'!$AF$5:$AF$204,0)),""))</f>
        <v/>
      </c>
      <c r="V167" s="37">
        <f>IF($A167="","",IFERROR(INDEX('זה אני - קליטה'!$AL$5:$AL$204,MATCH($A167&amp;"|סוף שנה",'זה אני - קליטה'!$AF$5:$AF$204,0)),""))</f>
        <v/>
      </c>
      <c r="W167" s="36">
        <f>IF($A167="","",IFERROR(INDEX('זה אני - קליטה'!$AG$5:$AG$204,MATCH($A167&amp;"|סוף שנה",'זה אני - קליטה'!$AF$5:$AF$204,0)),""))</f>
        <v/>
      </c>
      <c r="X167" s="37">
        <f>IF($A167="","",IFERROR(INDEX('זה אני - קליטה'!$AN$5:$AN$204,MATCH($A167&amp;"|סוף שנה",'זה אני - קליטה'!$AF$5:$AF$204,0)),""))</f>
        <v/>
      </c>
      <c r="Y167" s="36">
        <f>IF($A167="","",IFERROR(INDEX('זה אני - קליטה'!$AW$5:$AW$204,MATCH($A167&amp;"|סוף שנה",'זה אני - קליטה'!$AF$5:$AF$204,0)),""))</f>
        <v/>
      </c>
      <c r="Z167" s="43">
        <f>IF(AND(ISNUMBER(F167),ISNUMBER(V167)),V167-F167,"")</f>
        <v/>
      </c>
      <c r="AA167" s="36">
        <f>IF(Z167="","",IF(Z167&gt;=0.25,"עלייה",IF(Z167&lt;=-0.25,"ירידה","יציב")))</f>
        <v/>
      </c>
    </row>
    <row r="168">
      <c r="A168" s="38" t="n"/>
      <c r="B168" s="37">
        <f>IF($A168="","",IFERROR(INDEX('זה אני - קליטה'!$AH$5:$AH$204,MATCH($A168&amp;"|תחילת שנה",'זה אני - קליטה'!$AF$5:$AF$204,0)),""))</f>
        <v/>
      </c>
      <c r="C168" s="37">
        <f>IF($A168="","",IFERROR(INDEX('זה אני - קליטה'!$AI$5:$AI$204,MATCH($A168&amp;"|תחילת שנה",'זה אני - קליטה'!$AF$5:$AF$204,0)),""))</f>
        <v/>
      </c>
      <c r="D168" s="37">
        <f>IF($A168="","",IFERROR(INDEX('זה אני - קליטה'!$AJ$5:$AJ$204,MATCH($A168&amp;"|תחילת שנה",'זה אני - קליטה'!$AF$5:$AF$204,0)),""))</f>
        <v/>
      </c>
      <c r="E168" s="37">
        <f>IF($A168="","",IFERROR(INDEX('זה אני - קליטה'!$AK$5:$AK$204,MATCH($A168&amp;"|תחילת שנה",'זה אני - קליטה'!$AF$5:$AF$204,0)),""))</f>
        <v/>
      </c>
      <c r="F168" s="37">
        <f>IF($A168="","",IFERROR(INDEX('זה אני - קליטה'!$AL$5:$AL$204,MATCH($A168&amp;"|תחילת שנה",'זה אני - קליטה'!$AF$5:$AF$204,0)),""))</f>
        <v/>
      </c>
      <c r="G168" s="36">
        <f>IF($A168="","",IFERROR(INDEX('זה אני - קליטה'!$AG$5:$AG$204,MATCH($A168&amp;"|תחילת שנה",'זה אני - קליטה'!$AF$5:$AF$204,0)),""))</f>
        <v/>
      </c>
      <c r="H168" s="37">
        <f>IF($A168="","",IFERROR(INDEX('זה אני - קליטה'!$AN$5:$AN$204,MATCH($A168&amp;"|תחילת שנה",'זה אני - קליטה'!$AF$5:$AF$204,0)),""))</f>
        <v/>
      </c>
      <c r="I168" s="36">
        <f>IF($A168="","",IFERROR(INDEX('זה אני - קליטה'!$AW$5:$AW$204,MATCH($A168&amp;"|תחילת שנה",'זה אני - קליטה'!$AF$5:$AF$204,0)),""))</f>
        <v/>
      </c>
      <c r="J168" s="37">
        <f>IF($A168="","",IFERROR(INDEX('זה אני - קליטה'!$AH$5:$AH$204,MATCH($A168&amp;"|אמצע שנה",'זה אני - קליטה'!$AF$5:$AF$204,0)),""))</f>
        <v/>
      </c>
      <c r="K168" s="37">
        <f>IF($A168="","",IFERROR(INDEX('זה אני - קליטה'!$AI$5:$AI$204,MATCH($A168&amp;"|אמצע שנה",'זה אני - קליטה'!$AF$5:$AF$204,0)),""))</f>
        <v/>
      </c>
      <c r="L168" s="37">
        <f>IF($A168="","",IFERROR(INDEX('זה אני - קליטה'!$AJ$5:$AJ$204,MATCH($A168&amp;"|אמצע שנה",'זה אני - קליטה'!$AF$5:$AF$204,0)),""))</f>
        <v/>
      </c>
      <c r="M168" s="37">
        <f>IF($A168="","",IFERROR(INDEX('זה אני - קליטה'!$AK$5:$AK$204,MATCH($A168&amp;"|אמצע שנה",'זה אני - קליטה'!$AF$5:$AF$204,0)),""))</f>
        <v/>
      </c>
      <c r="N168" s="37">
        <f>IF($A168="","",IFERROR(INDEX('זה אני - קליטה'!$AL$5:$AL$204,MATCH($A168&amp;"|אמצע שנה",'זה אני - קליטה'!$AF$5:$AF$204,0)),""))</f>
        <v/>
      </c>
      <c r="O168" s="36">
        <f>IF($A168="","",IFERROR(INDEX('זה אני - קליטה'!$AG$5:$AG$204,MATCH($A168&amp;"|אמצע שנה",'זה אני - קליטה'!$AF$5:$AF$204,0)),""))</f>
        <v/>
      </c>
      <c r="P168" s="37">
        <f>IF($A168="","",IFERROR(INDEX('זה אני - קליטה'!$AN$5:$AN$204,MATCH($A168&amp;"|אמצע שנה",'זה אני - קליטה'!$AF$5:$AF$204,0)),""))</f>
        <v/>
      </c>
      <c r="Q168" s="36">
        <f>IF($A168="","",IFERROR(INDEX('זה אני - קליטה'!$AW$5:$AW$204,MATCH($A168&amp;"|אמצע שנה",'זה אני - קליטה'!$AF$5:$AF$204,0)),""))</f>
        <v/>
      </c>
      <c r="R168" s="37">
        <f>IF($A168="","",IFERROR(INDEX('זה אני - קליטה'!$AH$5:$AH$204,MATCH($A168&amp;"|סוף שנה",'זה אני - קליטה'!$AF$5:$AF$204,0)),""))</f>
        <v/>
      </c>
      <c r="S168" s="37">
        <f>IF($A168="","",IFERROR(INDEX('זה אני - קליטה'!$AI$5:$AI$204,MATCH($A168&amp;"|סוף שנה",'זה אני - קליטה'!$AF$5:$AF$204,0)),""))</f>
        <v/>
      </c>
      <c r="T168" s="37">
        <f>IF($A168="","",IFERROR(INDEX('זה אני - קליטה'!$AJ$5:$AJ$204,MATCH($A168&amp;"|סוף שנה",'זה אני - קליטה'!$AF$5:$AF$204,0)),""))</f>
        <v/>
      </c>
      <c r="U168" s="37">
        <f>IF($A168="","",IFERROR(INDEX('זה אני - קליטה'!$AK$5:$AK$204,MATCH($A168&amp;"|סוף שנה",'זה אני - קליטה'!$AF$5:$AF$204,0)),""))</f>
        <v/>
      </c>
      <c r="V168" s="37">
        <f>IF($A168="","",IFERROR(INDEX('זה אני - קליטה'!$AL$5:$AL$204,MATCH($A168&amp;"|סוף שנה",'זה אני - קליטה'!$AF$5:$AF$204,0)),""))</f>
        <v/>
      </c>
      <c r="W168" s="36">
        <f>IF($A168="","",IFERROR(INDEX('זה אני - קליטה'!$AG$5:$AG$204,MATCH($A168&amp;"|סוף שנה",'זה אני - קליטה'!$AF$5:$AF$204,0)),""))</f>
        <v/>
      </c>
      <c r="X168" s="37">
        <f>IF($A168="","",IFERROR(INDEX('זה אני - קליטה'!$AN$5:$AN$204,MATCH($A168&amp;"|סוף שנה",'זה אני - קליטה'!$AF$5:$AF$204,0)),""))</f>
        <v/>
      </c>
      <c r="Y168" s="36">
        <f>IF($A168="","",IFERROR(INDEX('זה אני - קליטה'!$AW$5:$AW$204,MATCH($A168&amp;"|סוף שנה",'זה אני - קליטה'!$AF$5:$AF$204,0)),""))</f>
        <v/>
      </c>
      <c r="Z168" s="43">
        <f>IF(AND(ISNUMBER(F168),ISNUMBER(V168)),V168-F168,"")</f>
        <v/>
      </c>
      <c r="AA168" s="36">
        <f>IF(Z168="","",IF(Z168&gt;=0.25,"עלייה",IF(Z168&lt;=-0.25,"ירידה","יציב")))</f>
        <v/>
      </c>
    </row>
    <row r="169">
      <c r="A169" s="38" t="n"/>
      <c r="B169" s="37">
        <f>IF($A169="","",IFERROR(INDEX('זה אני - קליטה'!$AH$5:$AH$204,MATCH($A169&amp;"|תחילת שנה",'זה אני - קליטה'!$AF$5:$AF$204,0)),""))</f>
        <v/>
      </c>
      <c r="C169" s="37">
        <f>IF($A169="","",IFERROR(INDEX('זה אני - קליטה'!$AI$5:$AI$204,MATCH($A169&amp;"|תחילת שנה",'זה אני - קליטה'!$AF$5:$AF$204,0)),""))</f>
        <v/>
      </c>
      <c r="D169" s="37">
        <f>IF($A169="","",IFERROR(INDEX('זה אני - קליטה'!$AJ$5:$AJ$204,MATCH($A169&amp;"|תחילת שנה",'זה אני - קליטה'!$AF$5:$AF$204,0)),""))</f>
        <v/>
      </c>
      <c r="E169" s="37">
        <f>IF($A169="","",IFERROR(INDEX('זה אני - קליטה'!$AK$5:$AK$204,MATCH($A169&amp;"|תחילת שנה",'זה אני - קליטה'!$AF$5:$AF$204,0)),""))</f>
        <v/>
      </c>
      <c r="F169" s="37">
        <f>IF($A169="","",IFERROR(INDEX('זה אני - קליטה'!$AL$5:$AL$204,MATCH($A169&amp;"|תחילת שנה",'זה אני - קליטה'!$AF$5:$AF$204,0)),""))</f>
        <v/>
      </c>
      <c r="G169" s="36">
        <f>IF($A169="","",IFERROR(INDEX('זה אני - קליטה'!$AG$5:$AG$204,MATCH($A169&amp;"|תחילת שנה",'זה אני - קליטה'!$AF$5:$AF$204,0)),""))</f>
        <v/>
      </c>
      <c r="H169" s="37">
        <f>IF($A169="","",IFERROR(INDEX('זה אני - קליטה'!$AN$5:$AN$204,MATCH($A169&amp;"|תחילת שנה",'זה אני - קליטה'!$AF$5:$AF$204,0)),""))</f>
        <v/>
      </c>
      <c r="I169" s="36">
        <f>IF($A169="","",IFERROR(INDEX('זה אני - קליטה'!$AW$5:$AW$204,MATCH($A169&amp;"|תחילת שנה",'זה אני - קליטה'!$AF$5:$AF$204,0)),""))</f>
        <v/>
      </c>
      <c r="J169" s="37">
        <f>IF($A169="","",IFERROR(INDEX('זה אני - קליטה'!$AH$5:$AH$204,MATCH($A169&amp;"|אמצע שנה",'זה אני - קליטה'!$AF$5:$AF$204,0)),""))</f>
        <v/>
      </c>
      <c r="K169" s="37">
        <f>IF($A169="","",IFERROR(INDEX('זה אני - קליטה'!$AI$5:$AI$204,MATCH($A169&amp;"|אמצע שנה",'זה אני - קליטה'!$AF$5:$AF$204,0)),""))</f>
        <v/>
      </c>
      <c r="L169" s="37">
        <f>IF($A169="","",IFERROR(INDEX('זה אני - קליטה'!$AJ$5:$AJ$204,MATCH($A169&amp;"|אמצע שנה",'זה אני - קליטה'!$AF$5:$AF$204,0)),""))</f>
        <v/>
      </c>
      <c r="M169" s="37">
        <f>IF($A169="","",IFERROR(INDEX('זה אני - קליטה'!$AK$5:$AK$204,MATCH($A169&amp;"|אמצע שנה",'זה אני - קליטה'!$AF$5:$AF$204,0)),""))</f>
        <v/>
      </c>
      <c r="N169" s="37">
        <f>IF($A169="","",IFERROR(INDEX('זה אני - קליטה'!$AL$5:$AL$204,MATCH($A169&amp;"|אמצע שנה",'זה אני - קליטה'!$AF$5:$AF$204,0)),""))</f>
        <v/>
      </c>
      <c r="O169" s="36">
        <f>IF($A169="","",IFERROR(INDEX('זה אני - קליטה'!$AG$5:$AG$204,MATCH($A169&amp;"|אמצע שנה",'זה אני - קליטה'!$AF$5:$AF$204,0)),""))</f>
        <v/>
      </c>
      <c r="P169" s="37">
        <f>IF($A169="","",IFERROR(INDEX('זה אני - קליטה'!$AN$5:$AN$204,MATCH($A169&amp;"|אמצע שנה",'זה אני - קליטה'!$AF$5:$AF$204,0)),""))</f>
        <v/>
      </c>
      <c r="Q169" s="36">
        <f>IF($A169="","",IFERROR(INDEX('זה אני - קליטה'!$AW$5:$AW$204,MATCH($A169&amp;"|אמצע שנה",'זה אני - קליטה'!$AF$5:$AF$204,0)),""))</f>
        <v/>
      </c>
      <c r="R169" s="37">
        <f>IF($A169="","",IFERROR(INDEX('זה אני - קליטה'!$AH$5:$AH$204,MATCH($A169&amp;"|סוף שנה",'זה אני - קליטה'!$AF$5:$AF$204,0)),""))</f>
        <v/>
      </c>
      <c r="S169" s="37">
        <f>IF($A169="","",IFERROR(INDEX('זה אני - קליטה'!$AI$5:$AI$204,MATCH($A169&amp;"|סוף שנה",'זה אני - קליטה'!$AF$5:$AF$204,0)),""))</f>
        <v/>
      </c>
      <c r="T169" s="37">
        <f>IF($A169="","",IFERROR(INDEX('זה אני - קליטה'!$AJ$5:$AJ$204,MATCH($A169&amp;"|סוף שנה",'זה אני - קליטה'!$AF$5:$AF$204,0)),""))</f>
        <v/>
      </c>
      <c r="U169" s="37">
        <f>IF($A169="","",IFERROR(INDEX('זה אני - קליטה'!$AK$5:$AK$204,MATCH($A169&amp;"|סוף שנה",'זה אני - קליטה'!$AF$5:$AF$204,0)),""))</f>
        <v/>
      </c>
      <c r="V169" s="37">
        <f>IF($A169="","",IFERROR(INDEX('זה אני - קליטה'!$AL$5:$AL$204,MATCH($A169&amp;"|סוף שנה",'זה אני - קליטה'!$AF$5:$AF$204,0)),""))</f>
        <v/>
      </c>
      <c r="W169" s="36">
        <f>IF($A169="","",IFERROR(INDEX('זה אני - קליטה'!$AG$5:$AG$204,MATCH($A169&amp;"|סוף שנה",'זה אני - קליטה'!$AF$5:$AF$204,0)),""))</f>
        <v/>
      </c>
      <c r="X169" s="37">
        <f>IF($A169="","",IFERROR(INDEX('זה אני - קליטה'!$AN$5:$AN$204,MATCH($A169&amp;"|סוף שנה",'זה אני - קליטה'!$AF$5:$AF$204,0)),""))</f>
        <v/>
      </c>
      <c r="Y169" s="36">
        <f>IF($A169="","",IFERROR(INDEX('זה אני - קליטה'!$AW$5:$AW$204,MATCH($A169&amp;"|סוף שנה",'זה אני - קליטה'!$AF$5:$AF$204,0)),""))</f>
        <v/>
      </c>
      <c r="Z169" s="43">
        <f>IF(AND(ISNUMBER(F169),ISNUMBER(V169)),V169-F169,"")</f>
        <v/>
      </c>
      <c r="AA169" s="36">
        <f>IF(Z169="","",IF(Z169&gt;=0.25,"עלייה",IF(Z169&lt;=-0.25,"ירידה","יציב")))</f>
        <v/>
      </c>
    </row>
    <row r="170">
      <c r="A170" s="38" t="n"/>
      <c r="B170" s="37">
        <f>IF($A170="","",IFERROR(INDEX('זה אני - קליטה'!$AH$5:$AH$204,MATCH($A170&amp;"|תחילת שנה",'זה אני - קליטה'!$AF$5:$AF$204,0)),""))</f>
        <v/>
      </c>
      <c r="C170" s="37">
        <f>IF($A170="","",IFERROR(INDEX('זה אני - קליטה'!$AI$5:$AI$204,MATCH($A170&amp;"|תחילת שנה",'זה אני - קליטה'!$AF$5:$AF$204,0)),""))</f>
        <v/>
      </c>
      <c r="D170" s="37">
        <f>IF($A170="","",IFERROR(INDEX('זה אני - קליטה'!$AJ$5:$AJ$204,MATCH($A170&amp;"|תחילת שנה",'זה אני - קליטה'!$AF$5:$AF$204,0)),""))</f>
        <v/>
      </c>
      <c r="E170" s="37">
        <f>IF($A170="","",IFERROR(INDEX('זה אני - קליטה'!$AK$5:$AK$204,MATCH($A170&amp;"|תחילת שנה",'זה אני - קליטה'!$AF$5:$AF$204,0)),""))</f>
        <v/>
      </c>
      <c r="F170" s="37">
        <f>IF($A170="","",IFERROR(INDEX('זה אני - קליטה'!$AL$5:$AL$204,MATCH($A170&amp;"|תחילת שנה",'זה אני - קליטה'!$AF$5:$AF$204,0)),""))</f>
        <v/>
      </c>
      <c r="G170" s="36">
        <f>IF($A170="","",IFERROR(INDEX('זה אני - קליטה'!$AG$5:$AG$204,MATCH($A170&amp;"|תחילת שנה",'זה אני - קליטה'!$AF$5:$AF$204,0)),""))</f>
        <v/>
      </c>
      <c r="H170" s="37">
        <f>IF($A170="","",IFERROR(INDEX('זה אני - קליטה'!$AN$5:$AN$204,MATCH($A170&amp;"|תחילת שנה",'זה אני - קליטה'!$AF$5:$AF$204,0)),""))</f>
        <v/>
      </c>
      <c r="I170" s="36">
        <f>IF($A170="","",IFERROR(INDEX('זה אני - קליטה'!$AW$5:$AW$204,MATCH($A170&amp;"|תחילת שנה",'זה אני - קליטה'!$AF$5:$AF$204,0)),""))</f>
        <v/>
      </c>
      <c r="J170" s="37">
        <f>IF($A170="","",IFERROR(INDEX('זה אני - קליטה'!$AH$5:$AH$204,MATCH($A170&amp;"|אמצע שנה",'זה אני - קליטה'!$AF$5:$AF$204,0)),""))</f>
        <v/>
      </c>
      <c r="K170" s="37">
        <f>IF($A170="","",IFERROR(INDEX('זה אני - קליטה'!$AI$5:$AI$204,MATCH($A170&amp;"|אמצע שנה",'זה אני - קליטה'!$AF$5:$AF$204,0)),""))</f>
        <v/>
      </c>
      <c r="L170" s="37">
        <f>IF($A170="","",IFERROR(INDEX('זה אני - קליטה'!$AJ$5:$AJ$204,MATCH($A170&amp;"|אמצע שנה",'זה אני - קליטה'!$AF$5:$AF$204,0)),""))</f>
        <v/>
      </c>
      <c r="M170" s="37">
        <f>IF($A170="","",IFERROR(INDEX('זה אני - קליטה'!$AK$5:$AK$204,MATCH($A170&amp;"|אמצע שנה",'זה אני - קליטה'!$AF$5:$AF$204,0)),""))</f>
        <v/>
      </c>
      <c r="N170" s="37">
        <f>IF($A170="","",IFERROR(INDEX('זה אני - קליטה'!$AL$5:$AL$204,MATCH($A170&amp;"|אמצע שנה",'זה אני - קליטה'!$AF$5:$AF$204,0)),""))</f>
        <v/>
      </c>
      <c r="O170" s="36">
        <f>IF($A170="","",IFERROR(INDEX('זה אני - קליטה'!$AG$5:$AG$204,MATCH($A170&amp;"|אמצע שנה",'זה אני - קליטה'!$AF$5:$AF$204,0)),""))</f>
        <v/>
      </c>
      <c r="P170" s="37">
        <f>IF($A170="","",IFERROR(INDEX('זה אני - קליטה'!$AN$5:$AN$204,MATCH($A170&amp;"|אמצע שנה",'זה אני - קליטה'!$AF$5:$AF$204,0)),""))</f>
        <v/>
      </c>
      <c r="Q170" s="36">
        <f>IF($A170="","",IFERROR(INDEX('זה אני - קליטה'!$AW$5:$AW$204,MATCH($A170&amp;"|אמצע שנה",'זה אני - קליטה'!$AF$5:$AF$204,0)),""))</f>
        <v/>
      </c>
      <c r="R170" s="37">
        <f>IF($A170="","",IFERROR(INDEX('זה אני - קליטה'!$AH$5:$AH$204,MATCH($A170&amp;"|סוף שנה",'זה אני - קליטה'!$AF$5:$AF$204,0)),""))</f>
        <v/>
      </c>
      <c r="S170" s="37">
        <f>IF($A170="","",IFERROR(INDEX('זה אני - קליטה'!$AI$5:$AI$204,MATCH($A170&amp;"|סוף שנה",'זה אני - קליטה'!$AF$5:$AF$204,0)),""))</f>
        <v/>
      </c>
      <c r="T170" s="37">
        <f>IF($A170="","",IFERROR(INDEX('זה אני - קליטה'!$AJ$5:$AJ$204,MATCH($A170&amp;"|סוף שנה",'זה אני - קליטה'!$AF$5:$AF$204,0)),""))</f>
        <v/>
      </c>
      <c r="U170" s="37">
        <f>IF($A170="","",IFERROR(INDEX('זה אני - קליטה'!$AK$5:$AK$204,MATCH($A170&amp;"|סוף שנה",'זה אני - קליטה'!$AF$5:$AF$204,0)),""))</f>
        <v/>
      </c>
      <c r="V170" s="37">
        <f>IF($A170="","",IFERROR(INDEX('זה אני - קליטה'!$AL$5:$AL$204,MATCH($A170&amp;"|סוף שנה",'זה אני - קליטה'!$AF$5:$AF$204,0)),""))</f>
        <v/>
      </c>
      <c r="W170" s="36">
        <f>IF($A170="","",IFERROR(INDEX('זה אני - קליטה'!$AG$5:$AG$204,MATCH($A170&amp;"|סוף שנה",'זה אני - קליטה'!$AF$5:$AF$204,0)),""))</f>
        <v/>
      </c>
      <c r="X170" s="37">
        <f>IF($A170="","",IFERROR(INDEX('זה אני - קליטה'!$AN$5:$AN$204,MATCH($A170&amp;"|סוף שנה",'זה אני - קליטה'!$AF$5:$AF$204,0)),""))</f>
        <v/>
      </c>
      <c r="Y170" s="36">
        <f>IF($A170="","",IFERROR(INDEX('זה אני - קליטה'!$AW$5:$AW$204,MATCH($A170&amp;"|סוף שנה",'זה אני - קליטה'!$AF$5:$AF$204,0)),""))</f>
        <v/>
      </c>
      <c r="Z170" s="43">
        <f>IF(AND(ISNUMBER(F170),ISNUMBER(V170)),V170-F170,"")</f>
        <v/>
      </c>
      <c r="AA170" s="36">
        <f>IF(Z170="","",IF(Z170&gt;=0.25,"עלייה",IF(Z170&lt;=-0.25,"ירידה","יציב")))</f>
        <v/>
      </c>
    </row>
    <row r="171">
      <c r="A171" s="38" t="n"/>
      <c r="B171" s="37">
        <f>IF($A171="","",IFERROR(INDEX('זה אני - קליטה'!$AH$5:$AH$204,MATCH($A171&amp;"|תחילת שנה",'זה אני - קליטה'!$AF$5:$AF$204,0)),""))</f>
        <v/>
      </c>
      <c r="C171" s="37">
        <f>IF($A171="","",IFERROR(INDEX('זה אני - קליטה'!$AI$5:$AI$204,MATCH($A171&amp;"|תחילת שנה",'זה אני - קליטה'!$AF$5:$AF$204,0)),""))</f>
        <v/>
      </c>
      <c r="D171" s="37">
        <f>IF($A171="","",IFERROR(INDEX('זה אני - קליטה'!$AJ$5:$AJ$204,MATCH($A171&amp;"|תחילת שנה",'זה אני - קליטה'!$AF$5:$AF$204,0)),""))</f>
        <v/>
      </c>
      <c r="E171" s="37">
        <f>IF($A171="","",IFERROR(INDEX('זה אני - קליטה'!$AK$5:$AK$204,MATCH($A171&amp;"|תחילת שנה",'זה אני - קליטה'!$AF$5:$AF$204,0)),""))</f>
        <v/>
      </c>
      <c r="F171" s="37">
        <f>IF($A171="","",IFERROR(INDEX('זה אני - קליטה'!$AL$5:$AL$204,MATCH($A171&amp;"|תחילת שנה",'זה אני - קליטה'!$AF$5:$AF$204,0)),""))</f>
        <v/>
      </c>
      <c r="G171" s="36">
        <f>IF($A171="","",IFERROR(INDEX('זה אני - קליטה'!$AG$5:$AG$204,MATCH($A171&amp;"|תחילת שנה",'זה אני - קליטה'!$AF$5:$AF$204,0)),""))</f>
        <v/>
      </c>
      <c r="H171" s="37">
        <f>IF($A171="","",IFERROR(INDEX('זה אני - קליטה'!$AN$5:$AN$204,MATCH($A171&amp;"|תחילת שנה",'זה אני - קליטה'!$AF$5:$AF$204,0)),""))</f>
        <v/>
      </c>
      <c r="I171" s="36">
        <f>IF($A171="","",IFERROR(INDEX('זה אני - קליטה'!$AW$5:$AW$204,MATCH($A171&amp;"|תחילת שנה",'זה אני - קליטה'!$AF$5:$AF$204,0)),""))</f>
        <v/>
      </c>
      <c r="J171" s="37">
        <f>IF($A171="","",IFERROR(INDEX('זה אני - קליטה'!$AH$5:$AH$204,MATCH($A171&amp;"|אמצע שנה",'זה אני - קליטה'!$AF$5:$AF$204,0)),""))</f>
        <v/>
      </c>
      <c r="K171" s="37">
        <f>IF($A171="","",IFERROR(INDEX('זה אני - קליטה'!$AI$5:$AI$204,MATCH($A171&amp;"|אמצע שנה",'זה אני - קליטה'!$AF$5:$AF$204,0)),""))</f>
        <v/>
      </c>
      <c r="L171" s="37">
        <f>IF($A171="","",IFERROR(INDEX('זה אני - קליטה'!$AJ$5:$AJ$204,MATCH($A171&amp;"|אמצע שנה",'זה אני - קליטה'!$AF$5:$AF$204,0)),""))</f>
        <v/>
      </c>
      <c r="M171" s="37">
        <f>IF($A171="","",IFERROR(INDEX('זה אני - קליטה'!$AK$5:$AK$204,MATCH($A171&amp;"|אמצע שנה",'זה אני - קליטה'!$AF$5:$AF$204,0)),""))</f>
        <v/>
      </c>
      <c r="N171" s="37">
        <f>IF($A171="","",IFERROR(INDEX('זה אני - קליטה'!$AL$5:$AL$204,MATCH($A171&amp;"|אמצע שנה",'זה אני - קליטה'!$AF$5:$AF$204,0)),""))</f>
        <v/>
      </c>
      <c r="O171" s="36">
        <f>IF($A171="","",IFERROR(INDEX('זה אני - קליטה'!$AG$5:$AG$204,MATCH($A171&amp;"|אמצע שנה",'זה אני - קליטה'!$AF$5:$AF$204,0)),""))</f>
        <v/>
      </c>
      <c r="P171" s="37">
        <f>IF($A171="","",IFERROR(INDEX('זה אני - קליטה'!$AN$5:$AN$204,MATCH($A171&amp;"|אמצע שנה",'זה אני - קליטה'!$AF$5:$AF$204,0)),""))</f>
        <v/>
      </c>
      <c r="Q171" s="36">
        <f>IF($A171="","",IFERROR(INDEX('זה אני - קליטה'!$AW$5:$AW$204,MATCH($A171&amp;"|אמצע שנה",'זה אני - קליטה'!$AF$5:$AF$204,0)),""))</f>
        <v/>
      </c>
      <c r="R171" s="37">
        <f>IF($A171="","",IFERROR(INDEX('זה אני - קליטה'!$AH$5:$AH$204,MATCH($A171&amp;"|סוף שנה",'זה אני - קליטה'!$AF$5:$AF$204,0)),""))</f>
        <v/>
      </c>
      <c r="S171" s="37">
        <f>IF($A171="","",IFERROR(INDEX('זה אני - קליטה'!$AI$5:$AI$204,MATCH($A171&amp;"|סוף שנה",'זה אני - קליטה'!$AF$5:$AF$204,0)),""))</f>
        <v/>
      </c>
      <c r="T171" s="37">
        <f>IF($A171="","",IFERROR(INDEX('זה אני - קליטה'!$AJ$5:$AJ$204,MATCH($A171&amp;"|סוף שנה",'זה אני - קליטה'!$AF$5:$AF$204,0)),""))</f>
        <v/>
      </c>
      <c r="U171" s="37">
        <f>IF($A171="","",IFERROR(INDEX('זה אני - קליטה'!$AK$5:$AK$204,MATCH($A171&amp;"|סוף שנה",'זה אני - קליטה'!$AF$5:$AF$204,0)),""))</f>
        <v/>
      </c>
      <c r="V171" s="37">
        <f>IF($A171="","",IFERROR(INDEX('זה אני - קליטה'!$AL$5:$AL$204,MATCH($A171&amp;"|סוף שנה",'זה אני - קליטה'!$AF$5:$AF$204,0)),""))</f>
        <v/>
      </c>
      <c r="W171" s="36">
        <f>IF($A171="","",IFERROR(INDEX('זה אני - קליטה'!$AG$5:$AG$204,MATCH($A171&amp;"|סוף שנה",'זה אני - קליטה'!$AF$5:$AF$204,0)),""))</f>
        <v/>
      </c>
      <c r="X171" s="37">
        <f>IF($A171="","",IFERROR(INDEX('זה אני - קליטה'!$AN$5:$AN$204,MATCH($A171&amp;"|סוף שנה",'זה אני - קליטה'!$AF$5:$AF$204,0)),""))</f>
        <v/>
      </c>
      <c r="Y171" s="36">
        <f>IF($A171="","",IFERROR(INDEX('זה אני - קליטה'!$AW$5:$AW$204,MATCH($A171&amp;"|סוף שנה",'זה אני - קליטה'!$AF$5:$AF$204,0)),""))</f>
        <v/>
      </c>
      <c r="Z171" s="43">
        <f>IF(AND(ISNUMBER(F171),ISNUMBER(V171)),V171-F171,"")</f>
        <v/>
      </c>
      <c r="AA171" s="36">
        <f>IF(Z171="","",IF(Z171&gt;=0.25,"עלייה",IF(Z171&lt;=-0.25,"ירידה","יציב")))</f>
        <v/>
      </c>
    </row>
    <row r="172">
      <c r="A172" s="38" t="n"/>
      <c r="B172" s="37">
        <f>IF($A172="","",IFERROR(INDEX('זה אני - קליטה'!$AH$5:$AH$204,MATCH($A172&amp;"|תחילת שנה",'זה אני - קליטה'!$AF$5:$AF$204,0)),""))</f>
        <v/>
      </c>
      <c r="C172" s="37">
        <f>IF($A172="","",IFERROR(INDEX('זה אני - קליטה'!$AI$5:$AI$204,MATCH($A172&amp;"|תחילת שנה",'זה אני - קליטה'!$AF$5:$AF$204,0)),""))</f>
        <v/>
      </c>
      <c r="D172" s="37">
        <f>IF($A172="","",IFERROR(INDEX('זה אני - קליטה'!$AJ$5:$AJ$204,MATCH($A172&amp;"|תחילת שנה",'זה אני - קליטה'!$AF$5:$AF$204,0)),""))</f>
        <v/>
      </c>
      <c r="E172" s="37">
        <f>IF($A172="","",IFERROR(INDEX('זה אני - קליטה'!$AK$5:$AK$204,MATCH($A172&amp;"|תחילת שנה",'זה אני - קליטה'!$AF$5:$AF$204,0)),""))</f>
        <v/>
      </c>
      <c r="F172" s="37">
        <f>IF($A172="","",IFERROR(INDEX('זה אני - קליטה'!$AL$5:$AL$204,MATCH($A172&amp;"|תחילת שנה",'זה אני - קליטה'!$AF$5:$AF$204,0)),""))</f>
        <v/>
      </c>
      <c r="G172" s="36">
        <f>IF($A172="","",IFERROR(INDEX('זה אני - קליטה'!$AG$5:$AG$204,MATCH($A172&amp;"|תחילת שנה",'זה אני - קליטה'!$AF$5:$AF$204,0)),""))</f>
        <v/>
      </c>
      <c r="H172" s="37">
        <f>IF($A172="","",IFERROR(INDEX('זה אני - קליטה'!$AN$5:$AN$204,MATCH($A172&amp;"|תחילת שנה",'זה אני - קליטה'!$AF$5:$AF$204,0)),""))</f>
        <v/>
      </c>
      <c r="I172" s="36">
        <f>IF($A172="","",IFERROR(INDEX('זה אני - קליטה'!$AW$5:$AW$204,MATCH($A172&amp;"|תחילת שנה",'זה אני - קליטה'!$AF$5:$AF$204,0)),""))</f>
        <v/>
      </c>
      <c r="J172" s="37">
        <f>IF($A172="","",IFERROR(INDEX('זה אני - קליטה'!$AH$5:$AH$204,MATCH($A172&amp;"|אמצע שנה",'זה אני - קליטה'!$AF$5:$AF$204,0)),""))</f>
        <v/>
      </c>
      <c r="K172" s="37">
        <f>IF($A172="","",IFERROR(INDEX('זה אני - קליטה'!$AI$5:$AI$204,MATCH($A172&amp;"|אמצע שנה",'זה אני - קליטה'!$AF$5:$AF$204,0)),""))</f>
        <v/>
      </c>
      <c r="L172" s="37">
        <f>IF($A172="","",IFERROR(INDEX('זה אני - קליטה'!$AJ$5:$AJ$204,MATCH($A172&amp;"|אמצע שנה",'זה אני - קליטה'!$AF$5:$AF$204,0)),""))</f>
        <v/>
      </c>
      <c r="M172" s="37">
        <f>IF($A172="","",IFERROR(INDEX('זה אני - קליטה'!$AK$5:$AK$204,MATCH($A172&amp;"|אמצע שנה",'זה אני - קליטה'!$AF$5:$AF$204,0)),""))</f>
        <v/>
      </c>
      <c r="N172" s="37">
        <f>IF($A172="","",IFERROR(INDEX('זה אני - קליטה'!$AL$5:$AL$204,MATCH($A172&amp;"|אמצע שנה",'זה אני - קליטה'!$AF$5:$AF$204,0)),""))</f>
        <v/>
      </c>
      <c r="O172" s="36">
        <f>IF($A172="","",IFERROR(INDEX('זה אני - קליטה'!$AG$5:$AG$204,MATCH($A172&amp;"|אמצע שנה",'זה אני - קליטה'!$AF$5:$AF$204,0)),""))</f>
        <v/>
      </c>
      <c r="P172" s="37">
        <f>IF($A172="","",IFERROR(INDEX('זה אני - קליטה'!$AN$5:$AN$204,MATCH($A172&amp;"|אמצע שנה",'זה אני - קליטה'!$AF$5:$AF$204,0)),""))</f>
        <v/>
      </c>
      <c r="Q172" s="36">
        <f>IF($A172="","",IFERROR(INDEX('זה אני - קליטה'!$AW$5:$AW$204,MATCH($A172&amp;"|אמצע שנה",'זה אני - קליטה'!$AF$5:$AF$204,0)),""))</f>
        <v/>
      </c>
      <c r="R172" s="37">
        <f>IF($A172="","",IFERROR(INDEX('זה אני - קליטה'!$AH$5:$AH$204,MATCH($A172&amp;"|סוף שנה",'זה אני - קליטה'!$AF$5:$AF$204,0)),""))</f>
        <v/>
      </c>
      <c r="S172" s="37">
        <f>IF($A172="","",IFERROR(INDEX('זה אני - קליטה'!$AI$5:$AI$204,MATCH($A172&amp;"|סוף שנה",'זה אני - קליטה'!$AF$5:$AF$204,0)),""))</f>
        <v/>
      </c>
      <c r="T172" s="37">
        <f>IF($A172="","",IFERROR(INDEX('זה אני - קליטה'!$AJ$5:$AJ$204,MATCH($A172&amp;"|סוף שנה",'זה אני - קליטה'!$AF$5:$AF$204,0)),""))</f>
        <v/>
      </c>
      <c r="U172" s="37">
        <f>IF($A172="","",IFERROR(INDEX('זה אני - קליטה'!$AK$5:$AK$204,MATCH($A172&amp;"|סוף שנה",'זה אני - קליטה'!$AF$5:$AF$204,0)),""))</f>
        <v/>
      </c>
      <c r="V172" s="37">
        <f>IF($A172="","",IFERROR(INDEX('זה אני - קליטה'!$AL$5:$AL$204,MATCH($A172&amp;"|סוף שנה",'זה אני - קליטה'!$AF$5:$AF$204,0)),""))</f>
        <v/>
      </c>
      <c r="W172" s="36">
        <f>IF($A172="","",IFERROR(INDEX('זה אני - קליטה'!$AG$5:$AG$204,MATCH($A172&amp;"|סוף שנה",'זה אני - קליטה'!$AF$5:$AF$204,0)),""))</f>
        <v/>
      </c>
      <c r="X172" s="37">
        <f>IF($A172="","",IFERROR(INDEX('זה אני - קליטה'!$AN$5:$AN$204,MATCH($A172&amp;"|סוף שנה",'זה אני - קליטה'!$AF$5:$AF$204,0)),""))</f>
        <v/>
      </c>
      <c r="Y172" s="36">
        <f>IF($A172="","",IFERROR(INDEX('זה אני - קליטה'!$AW$5:$AW$204,MATCH($A172&amp;"|סוף שנה",'זה אני - קליטה'!$AF$5:$AF$204,0)),""))</f>
        <v/>
      </c>
      <c r="Z172" s="43">
        <f>IF(AND(ISNUMBER(F172),ISNUMBER(V172)),V172-F172,"")</f>
        <v/>
      </c>
      <c r="AA172" s="36">
        <f>IF(Z172="","",IF(Z172&gt;=0.25,"עלייה",IF(Z172&lt;=-0.25,"ירידה","יציב")))</f>
        <v/>
      </c>
    </row>
    <row r="173">
      <c r="A173" s="38" t="n"/>
      <c r="B173" s="37">
        <f>IF($A173="","",IFERROR(INDEX('זה אני - קליטה'!$AH$5:$AH$204,MATCH($A173&amp;"|תחילת שנה",'זה אני - קליטה'!$AF$5:$AF$204,0)),""))</f>
        <v/>
      </c>
      <c r="C173" s="37">
        <f>IF($A173="","",IFERROR(INDEX('זה אני - קליטה'!$AI$5:$AI$204,MATCH($A173&amp;"|תחילת שנה",'זה אני - קליטה'!$AF$5:$AF$204,0)),""))</f>
        <v/>
      </c>
      <c r="D173" s="37">
        <f>IF($A173="","",IFERROR(INDEX('זה אני - קליטה'!$AJ$5:$AJ$204,MATCH($A173&amp;"|תחילת שנה",'זה אני - קליטה'!$AF$5:$AF$204,0)),""))</f>
        <v/>
      </c>
      <c r="E173" s="37">
        <f>IF($A173="","",IFERROR(INDEX('זה אני - קליטה'!$AK$5:$AK$204,MATCH($A173&amp;"|תחילת שנה",'זה אני - קליטה'!$AF$5:$AF$204,0)),""))</f>
        <v/>
      </c>
      <c r="F173" s="37">
        <f>IF($A173="","",IFERROR(INDEX('זה אני - קליטה'!$AL$5:$AL$204,MATCH($A173&amp;"|תחילת שנה",'זה אני - קליטה'!$AF$5:$AF$204,0)),""))</f>
        <v/>
      </c>
      <c r="G173" s="36">
        <f>IF($A173="","",IFERROR(INDEX('זה אני - קליטה'!$AG$5:$AG$204,MATCH($A173&amp;"|תחילת שנה",'זה אני - קליטה'!$AF$5:$AF$204,0)),""))</f>
        <v/>
      </c>
      <c r="H173" s="37">
        <f>IF($A173="","",IFERROR(INDEX('זה אני - קליטה'!$AN$5:$AN$204,MATCH($A173&amp;"|תחילת שנה",'זה אני - קליטה'!$AF$5:$AF$204,0)),""))</f>
        <v/>
      </c>
      <c r="I173" s="36">
        <f>IF($A173="","",IFERROR(INDEX('זה אני - קליטה'!$AW$5:$AW$204,MATCH($A173&amp;"|תחילת שנה",'זה אני - קליטה'!$AF$5:$AF$204,0)),""))</f>
        <v/>
      </c>
      <c r="J173" s="37">
        <f>IF($A173="","",IFERROR(INDEX('זה אני - קליטה'!$AH$5:$AH$204,MATCH($A173&amp;"|אמצע שנה",'זה אני - קליטה'!$AF$5:$AF$204,0)),""))</f>
        <v/>
      </c>
      <c r="K173" s="37">
        <f>IF($A173="","",IFERROR(INDEX('זה אני - קליטה'!$AI$5:$AI$204,MATCH($A173&amp;"|אמצע שנה",'זה אני - קליטה'!$AF$5:$AF$204,0)),""))</f>
        <v/>
      </c>
      <c r="L173" s="37">
        <f>IF($A173="","",IFERROR(INDEX('זה אני - קליטה'!$AJ$5:$AJ$204,MATCH($A173&amp;"|אמצע שנה",'זה אני - קליטה'!$AF$5:$AF$204,0)),""))</f>
        <v/>
      </c>
      <c r="M173" s="37">
        <f>IF($A173="","",IFERROR(INDEX('זה אני - קליטה'!$AK$5:$AK$204,MATCH($A173&amp;"|אמצע שנה",'זה אני - קליטה'!$AF$5:$AF$204,0)),""))</f>
        <v/>
      </c>
      <c r="N173" s="37">
        <f>IF($A173="","",IFERROR(INDEX('זה אני - קליטה'!$AL$5:$AL$204,MATCH($A173&amp;"|אמצע שנה",'זה אני - קליטה'!$AF$5:$AF$204,0)),""))</f>
        <v/>
      </c>
      <c r="O173" s="36">
        <f>IF($A173="","",IFERROR(INDEX('זה אני - קליטה'!$AG$5:$AG$204,MATCH($A173&amp;"|אמצע שנה",'זה אני - קליטה'!$AF$5:$AF$204,0)),""))</f>
        <v/>
      </c>
      <c r="P173" s="37">
        <f>IF($A173="","",IFERROR(INDEX('זה אני - קליטה'!$AN$5:$AN$204,MATCH($A173&amp;"|אמצע שנה",'זה אני - קליטה'!$AF$5:$AF$204,0)),""))</f>
        <v/>
      </c>
      <c r="Q173" s="36">
        <f>IF($A173="","",IFERROR(INDEX('זה אני - קליטה'!$AW$5:$AW$204,MATCH($A173&amp;"|אמצע שנה",'זה אני - קליטה'!$AF$5:$AF$204,0)),""))</f>
        <v/>
      </c>
      <c r="R173" s="37">
        <f>IF($A173="","",IFERROR(INDEX('זה אני - קליטה'!$AH$5:$AH$204,MATCH($A173&amp;"|סוף שנה",'זה אני - קליטה'!$AF$5:$AF$204,0)),""))</f>
        <v/>
      </c>
      <c r="S173" s="37">
        <f>IF($A173="","",IFERROR(INDEX('זה אני - קליטה'!$AI$5:$AI$204,MATCH($A173&amp;"|סוף שנה",'זה אני - קליטה'!$AF$5:$AF$204,0)),""))</f>
        <v/>
      </c>
      <c r="T173" s="37">
        <f>IF($A173="","",IFERROR(INDEX('זה אני - קליטה'!$AJ$5:$AJ$204,MATCH($A173&amp;"|סוף שנה",'זה אני - קליטה'!$AF$5:$AF$204,0)),""))</f>
        <v/>
      </c>
      <c r="U173" s="37">
        <f>IF($A173="","",IFERROR(INDEX('זה אני - קליטה'!$AK$5:$AK$204,MATCH($A173&amp;"|סוף שנה",'זה אני - קליטה'!$AF$5:$AF$204,0)),""))</f>
        <v/>
      </c>
      <c r="V173" s="37">
        <f>IF($A173="","",IFERROR(INDEX('זה אני - קליטה'!$AL$5:$AL$204,MATCH($A173&amp;"|סוף שנה",'זה אני - קליטה'!$AF$5:$AF$204,0)),""))</f>
        <v/>
      </c>
      <c r="W173" s="36">
        <f>IF($A173="","",IFERROR(INDEX('זה אני - קליטה'!$AG$5:$AG$204,MATCH($A173&amp;"|סוף שנה",'זה אני - קליטה'!$AF$5:$AF$204,0)),""))</f>
        <v/>
      </c>
      <c r="X173" s="37">
        <f>IF($A173="","",IFERROR(INDEX('זה אני - קליטה'!$AN$5:$AN$204,MATCH($A173&amp;"|סוף שנה",'זה אני - קליטה'!$AF$5:$AF$204,0)),""))</f>
        <v/>
      </c>
      <c r="Y173" s="36">
        <f>IF($A173="","",IFERROR(INDEX('זה אני - קליטה'!$AW$5:$AW$204,MATCH($A173&amp;"|סוף שנה",'זה אני - קליטה'!$AF$5:$AF$204,0)),""))</f>
        <v/>
      </c>
      <c r="Z173" s="43">
        <f>IF(AND(ISNUMBER(F173),ISNUMBER(V173)),V173-F173,"")</f>
        <v/>
      </c>
      <c r="AA173" s="36">
        <f>IF(Z173="","",IF(Z173&gt;=0.25,"עלייה",IF(Z173&lt;=-0.25,"ירידה","יציב")))</f>
        <v/>
      </c>
    </row>
    <row r="174">
      <c r="A174" s="38" t="n"/>
      <c r="B174" s="37">
        <f>IF($A174="","",IFERROR(INDEX('זה אני - קליטה'!$AH$5:$AH$204,MATCH($A174&amp;"|תחילת שנה",'זה אני - קליטה'!$AF$5:$AF$204,0)),""))</f>
        <v/>
      </c>
      <c r="C174" s="37">
        <f>IF($A174="","",IFERROR(INDEX('זה אני - קליטה'!$AI$5:$AI$204,MATCH($A174&amp;"|תחילת שנה",'זה אני - קליטה'!$AF$5:$AF$204,0)),""))</f>
        <v/>
      </c>
      <c r="D174" s="37">
        <f>IF($A174="","",IFERROR(INDEX('זה אני - קליטה'!$AJ$5:$AJ$204,MATCH($A174&amp;"|תחילת שנה",'זה אני - קליטה'!$AF$5:$AF$204,0)),""))</f>
        <v/>
      </c>
      <c r="E174" s="37">
        <f>IF($A174="","",IFERROR(INDEX('זה אני - קליטה'!$AK$5:$AK$204,MATCH($A174&amp;"|תחילת שנה",'זה אני - קליטה'!$AF$5:$AF$204,0)),""))</f>
        <v/>
      </c>
      <c r="F174" s="37">
        <f>IF($A174="","",IFERROR(INDEX('זה אני - קליטה'!$AL$5:$AL$204,MATCH($A174&amp;"|תחילת שנה",'זה אני - קליטה'!$AF$5:$AF$204,0)),""))</f>
        <v/>
      </c>
      <c r="G174" s="36">
        <f>IF($A174="","",IFERROR(INDEX('זה אני - קליטה'!$AG$5:$AG$204,MATCH($A174&amp;"|תחילת שנה",'זה אני - קליטה'!$AF$5:$AF$204,0)),""))</f>
        <v/>
      </c>
      <c r="H174" s="37">
        <f>IF($A174="","",IFERROR(INDEX('זה אני - קליטה'!$AN$5:$AN$204,MATCH($A174&amp;"|תחילת שנה",'זה אני - קליטה'!$AF$5:$AF$204,0)),""))</f>
        <v/>
      </c>
      <c r="I174" s="36">
        <f>IF($A174="","",IFERROR(INDEX('זה אני - קליטה'!$AW$5:$AW$204,MATCH($A174&amp;"|תחילת שנה",'זה אני - קליטה'!$AF$5:$AF$204,0)),""))</f>
        <v/>
      </c>
      <c r="J174" s="37">
        <f>IF($A174="","",IFERROR(INDEX('זה אני - קליטה'!$AH$5:$AH$204,MATCH($A174&amp;"|אמצע שנה",'זה אני - קליטה'!$AF$5:$AF$204,0)),""))</f>
        <v/>
      </c>
      <c r="K174" s="37">
        <f>IF($A174="","",IFERROR(INDEX('זה אני - קליטה'!$AI$5:$AI$204,MATCH($A174&amp;"|אמצע שנה",'זה אני - קליטה'!$AF$5:$AF$204,0)),""))</f>
        <v/>
      </c>
      <c r="L174" s="37">
        <f>IF($A174="","",IFERROR(INDEX('זה אני - קליטה'!$AJ$5:$AJ$204,MATCH($A174&amp;"|אמצע שנה",'זה אני - קליטה'!$AF$5:$AF$204,0)),""))</f>
        <v/>
      </c>
      <c r="M174" s="37">
        <f>IF($A174="","",IFERROR(INDEX('זה אני - קליטה'!$AK$5:$AK$204,MATCH($A174&amp;"|אמצע שנה",'זה אני - קליטה'!$AF$5:$AF$204,0)),""))</f>
        <v/>
      </c>
      <c r="N174" s="37">
        <f>IF($A174="","",IFERROR(INDEX('זה אני - קליטה'!$AL$5:$AL$204,MATCH($A174&amp;"|אמצע שנה",'זה אני - קליטה'!$AF$5:$AF$204,0)),""))</f>
        <v/>
      </c>
      <c r="O174" s="36">
        <f>IF($A174="","",IFERROR(INDEX('זה אני - קליטה'!$AG$5:$AG$204,MATCH($A174&amp;"|אמצע שנה",'זה אני - קליטה'!$AF$5:$AF$204,0)),""))</f>
        <v/>
      </c>
      <c r="P174" s="37">
        <f>IF($A174="","",IFERROR(INDEX('זה אני - קליטה'!$AN$5:$AN$204,MATCH($A174&amp;"|אמצע שנה",'זה אני - קליטה'!$AF$5:$AF$204,0)),""))</f>
        <v/>
      </c>
      <c r="Q174" s="36">
        <f>IF($A174="","",IFERROR(INDEX('זה אני - קליטה'!$AW$5:$AW$204,MATCH($A174&amp;"|אמצע שנה",'זה אני - קליטה'!$AF$5:$AF$204,0)),""))</f>
        <v/>
      </c>
      <c r="R174" s="37">
        <f>IF($A174="","",IFERROR(INDEX('זה אני - קליטה'!$AH$5:$AH$204,MATCH($A174&amp;"|סוף שנה",'זה אני - קליטה'!$AF$5:$AF$204,0)),""))</f>
        <v/>
      </c>
      <c r="S174" s="37">
        <f>IF($A174="","",IFERROR(INDEX('זה אני - קליטה'!$AI$5:$AI$204,MATCH($A174&amp;"|סוף שנה",'זה אני - קליטה'!$AF$5:$AF$204,0)),""))</f>
        <v/>
      </c>
      <c r="T174" s="37">
        <f>IF($A174="","",IFERROR(INDEX('זה אני - קליטה'!$AJ$5:$AJ$204,MATCH($A174&amp;"|סוף שנה",'זה אני - קליטה'!$AF$5:$AF$204,0)),""))</f>
        <v/>
      </c>
      <c r="U174" s="37">
        <f>IF($A174="","",IFERROR(INDEX('זה אני - קליטה'!$AK$5:$AK$204,MATCH($A174&amp;"|סוף שנה",'זה אני - קליטה'!$AF$5:$AF$204,0)),""))</f>
        <v/>
      </c>
      <c r="V174" s="37">
        <f>IF($A174="","",IFERROR(INDEX('זה אני - קליטה'!$AL$5:$AL$204,MATCH($A174&amp;"|סוף שנה",'זה אני - קליטה'!$AF$5:$AF$204,0)),""))</f>
        <v/>
      </c>
      <c r="W174" s="36">
        <f>IF($A174="","",IFERROR(INDEX('זה אני - קליטה'!$AG$5:$AG$204,MATCH($A174&amp;"|סוף שנה",'זה אני - קליטה'!$AF$5:$AF$204,0)),""))</f>
        <v/>
      </c>
      <c r="X174" s="37">
        <f>IF($A174="","",IFERROR(INDEX('זה אני - קליטה'!$AN$5:$AN$204,MATCH($A174&amp;"|סוף שנה",'זה אני - קליטה'!$AF$5:$AF$204,0)),""))</f>
        <v/>
      </c>
      <c r="Y174" s="36">
        <f>IF($A174="","",IFERROR(INDEX('זה אני - קליטה'!$AW$5:$AW$204,MATCH($A174&amp;"|סוף שנה",'זה אני - קליטה'!$AF$5:$AF$204,0)),""))</f>
        <v/>
      </c>
      <c r="Z174" s="43">
        <f>IF(AND(ISNUMBER(F174),ISNUMBER(V174)),V174-F174,"")</f>
        <v/>
      </c>
      <c r="AA174" s="36">
        <f>IF(Z174="","",IF(Z174&gt;=0.25,"עלייה",IF(Z174&lt;=-0.25,"ירידה","יציב")))</f>
        <v/>
      </c>
    </row>
    <row r="175">
      <c r="A175" s="38" t="n"/>
      <c r="B175" s="37">
        <f>IF($A175="","",IFERROR(INDEX('זה אני - קליטה'!$AH$5:$AH$204,MATCH($A175&amp;"|תחילת שנה",'זה אני - קליטה'!$AF$5:$AF$204,0)),""))</f>
        <v/>
      </c>
      <c r="C175" s="37">
        <f>IF($A175="","",IFERROR(INDEX('זה אני - קליטה'!$AI$5:$AI$204,MATCH($A175&amp;"|תחילת שנה",'זה אני - קליטה'!$AF$5:$AF$204,0)),""))</f>
        <v/>
      </c>
      <c r="D175" s="37">
        <f>IF($A175="","",IFERROR(INDEX('זה אני - קליטה'!$AJ$5:$AJ$204,MATCH($A175&amp;"|תחילת שנה",'זה אני - קליטה'!$AF$5:$AF$204,0)),""))</f>
        <v/>
      </c>
      <c r="E175" s="37">
        <f>IF($A175="","",IFERROR(INDEX('זה אני - קליטה'!$AK$5:$AK$204,MATCH($A175&amp;"|תחילת שנה",'זה אני - קליטה'!$AF$5:$AF$204,0)),""))</f>
        <v/>
      </c>
      <c r="F175" s="37">
        <f>IF($A175="","",IFERROR(INDEX('זה אני - קליטה'!$AL$5:$AL$204,MATCH($A175&amp;"|תחילת שנה",'זה אני - קליטה'!$AF$5:$AF$204,0)),""))</f>
        <v/>
      </c>
      <c r="G175" s="36">
        <f>IF($A175="","",IFERROR(INDEX('זה אני - קליטה'!$AG$5:$AG$204,MATCH($A175&amp;"|תחילת שנה",'זה אני - קליטה'!$AF$5:$AF$204,0)),""))</f>
        <v/>
      </c>
      <c r="H175" s="37">
        <f>IF($A175="","",IFERROR(INDEX('זה אני - קליטה'!$AN$5:$AN$204,MATCH($A175&amp;"|תחילת שנה",'זה אני - קליטה'!$AF$5:$AF$204,0)),""))</f>
        <v/>
      </c>
      <c r="I175" s="36">
        <f>IF($A175="","",IFERROR(INDEX('זה אני - קליטה'!$AW$5:$AW$204,MATCH($A175&amp;"|תחילת שנה",'זה אני - קליטה'!$AF$5:$AF$204,0)),""))</f>
        <v/>
      </c>
      <c r="J175" s="37">
        <f>IF($A175="","",IFERROR(INDEX('זה אני - קליטה'!$AH$5:$AH$204,MATCH($A175&amp;"|אמצע שנה",'זה אני - קליטה'!$AF$5:$AF$204,0)),""))</f>
        <v/>
      </c>
      <c r="K175" s="37">
        <f>IF($A175="","",IFERROR(INDEX('זה אני - קליטה'!$AI$5:$AI$204,MATCH($A175&amp;"|אמצע שנה",'זה אני - קליטה'!$AF$5:$AF$204,0)),""))</f>
        <v/>
      </c>
      <c r="L175" s="37">
        <f>IF($A175="","",IFERROR(INDEX('זה אני - קליטה'!$AJ$5:$AJ$204,MATCH($A175&amp;"|אמצע שנה",'זה אני - קליטה'!$AF$5:$AF$204,0)),""))</f>
        <v/>
      </c>
      <c r="M175" s="37">
        <f>IF($A175="","",IFERROR(INDEX('זה אני - קליטה'!$AK$5:$AK$204,MATCH($A175&amp;"|אמצע שנה",'זה אני - קליטה'!$AF$5:$AF$204,0)),""))</f>
        <v/>
      </c>
      <c r="N175" s="37">
        <f>IF($A175="","",IFERROR(INDEX('זה אני - קליטה'!$AL$5:$AL$204,MATCH($A175&amp;"|אמצע שנה",'זה אני - קליטה'!$AF$5:$AF$204,0)),""))</f>
        <v/>
      </c>
      <c r="O175" s="36">
        <f>IF($A175="","",IFERROR(INDEX('זה אני - קליטה'!$AG$5:$AG$204,MATCH($A175&amp;"|אמצע שנה",'זה אני - קליטה'!$AF$5:$AF$204,0)),""))</f>
        <v/>
      </c>
      <c r="P175" s="37">
        <f>IF($A175="","",IFERROR(INDEX('זה אני - קליטה'!$AN$5:$AN$204,MATCH($A175&amp;"|אמצע שנה",'זה אני - קליטה'!$AF$5:$AF$204,0)),""))</f>
        <v/>
      </c>
      <c r="Q175" s="36">
        <f>IF($A175="","",IFERROR(INDEX('זה אני - קליטה'!$AW$5:$AW$204,MATCH($A175&amp;"|אמצע שנה",'זה אני - קליטה'!$AF$5:$AF$204,0)),""))</f>
        <v/>
      </c>
      <c r="R175" s="37">
        <f>IF($A175="","",IFERROR(INDEX('זה אני - קליטה'!$AH$5:$AH$204,MATCH($A175&amp;"|סוף שנה",'זה אני - קליטה'!$AF$5:$AF$204,0)),""))</f>
        <v/>
      </c>
      <c r="S175" s="37">
        <f>IF($A175="","",IFERROR(INDEX('זה אני - קליטה'!$AI$5:$AI$204,MATCH($A175&amp;"|סוף שנה",'זה אני - קליטה'!$AF$5:$AF$204,0)),""))</f>
        <v/>
      </c>
      <c r="T175" s="37">
        <f>IF($A175="","",IFERROR(INDEX('זה אני - קליטה'!$AJ$5:$AJ$204,MATCH($A175&amp;"|סוף שנה",'זה אני - קליטה'!$AF$5:$AF$204,0)),""))</f>
        <v/>
      </c>
      <c r="U175" s="37">
        <f>IF($A175="","",IFERROR(INDEX('זה אני - קליטה'!$AK$5:$AK$204,MATCH($A175&amp;"|סוף שנה",'זה אני - קליטה'!$AF$5:$AF$204,0)),""))</f>
        <v/>
      </c>
      <c r="V175" s="37">
        <f>IF($A175="","",IFERROR(INDEX('זה אני - קליטה'!$AL$5:$AL$204,MATCH($A175&amp;"|סוף שנה",'זה אני - קליטה'!$AF$5:$AF$204,0)),""))</f>
        <v/>
      </c>
      <c r="W175" s="36">
        <f>IF($A175="","",IFERROR(INDEX('זה אני - קליטה'!$AG$5:$AG$204,MATCH($A175&amp;"|סוף שנה",'זה אני - קליטה'!$AF$5:$AF$204,0)),""))</f>
        <v/>
      </c>
      <c r="X175" s="37">
        <f>IF($A175="","",IFERROR(INDEX('זה אני - קליטה'!$AN$5:$AN$204,MATCH($A175&amp;"|סוף שנה",'זה אני - קליטה'!$AF$5:$AF$204,0)),""))</f>
        <v/>
      </c>
      <c r="Y175" s="36">
        <f>IF($A175="","",IFERROR(INDEX('זה אני - קליטה'!$AW$5:$AW$204,MATCH($A175&amp;"|סוף שנה",'זה אני - קליטה'!$AF$5:$AF$204,0)),""))</f>
        <v/>
      </c>
      <c r="Z175" s="43">
        <f>IF(AND(ISNUMBER(F175),ISNUMBER(V175)),V175-F175,"")</f>
        <v/>
      </c>
      <c r="AA175" s="36">
        <f>IF(Z175="","",IF(Z175&gt;=0.25,"עלייה",IF(Z175&lt;=-0.25,"ירידה","יציב")))</f>
        <v/>
      </c>
    </row>
    <row r="176">
      <c r="A176" s="38" t="n"/>
      <c r="B176" s="37">
        <f>IF($A176="","",IFERROR(INDEX('זה אני - קליטה'!$AH$5:$AH$204,MATCH($A176&amp;"|תחילת שנה",'זה אני - קליטה'!$AF$5:$AF$204,0)),""))</f>
        <v/>
      </c>
      <c r="C176" s="37">
        <f>IF($A176="","",IFERROR(INDEX('זה אני - קליטה'!$AI$5:$AI$204,MATCH($A176&amp;"|תחילת שנה",'זה אני - קליטה'!$AF$5:$AF$204,0)),""))</f>
        <v/>
      </c>
      <c r="D176" s="37">
        <f>IF($A176="","",IFERROR(INDEX('זה אני - קליטה'!$AJ$5:$AJ$204,MATCH($A176&amp;"|תחילת שנה",'זה אני - קליטה'!$AF$5:$AF$204,0)),""))</f>
        <v/>
      </c>
      <c r="E176" s="37">
        <f>IF($A176="","",IFERROR(INDEX('זה אני - קליטה'!$AK$5:$AK$204,MATCH($A176&amp;"|תחילת שנה",'זה אני - קליטה'!$AF$5:$AF$204,0)),""))</f>
        <v/>
      </c>
      <c r="F176" s="37">
        <f>IF($A176="","",IFERROR(INDEX('זה אני - קליטה'!$AL$5:$AL$204,MATCH($A176&amp;"|תחילת שנה",'זה אני - קליטה'!$AF$5:$AF$204,0)),""))</f>
        <v/>
      </c>
      <c r="G176" s="36">
        <f>IF($A176="","",IFERROR(INDEX('זה אני - קליטה'!$AG$5:$AG$204,MATCH($A176&amp;"|תחילת שנה",'זה אני - קליטה'!$AF$5:$AF$204,0)),""))</f>
        <v/>
      </c>
      <c r="H176" s="37">
        <f>IF($A176="","",IFERROR(INDEX('זה אני - קליטה'!$AN$5:$AN$204,MATCH($A176&amp;"|תחילת שנה",'זה אני - קליטה'!$AF$5:$AF$204,0)),""))</f>
        <v/>
      </c>
      <c r="I176" s="36">
        <f>IF($A176="","",IFERROR(INDEX('זה אני - קליטה'!$AW$5:$AW$204,MATCH($A176&amp;"|תחילת שנה",'זה אני - קליטה'!$AF$5:$AF$204,0)),""))</f>
        <v/>
      </c>
      <c r="J176" s="37">
        <f>IF($A176="","",IFERROR(INDEX('זה אני - קליטה'!$AH$5:$AH$204,MATCH($A176&amp;"|אמצע שנה",'זה אני - קליטה'!$AF$5:$AF$204,0)),""))</f>
        <v/>
      </c>
      <c r="K176" s="37">
        <f>IF($A176="","",IFERROR(INDEX('זה אני - קליטה'!$AI$5:$AI$204,MATCH($A176&amp;"|אמצע שנה",'זה אני - קליטה'!$AF$5:$AF$204,0)),""))</f>
        <v/>
      </c>
      <c r="L176" s="37">
        <f>IF($A176="","",IFERROR(INDEX('זה אני - קליטה'!$AJ$5:$AJ$204,MATCH($A176&amp;"|אמצע שנה",'זה אני - קליטה'!$AF$5:$AF$204,0)),""))</f>
        <v/>
      </c>
      <c r="M176" s="37">
        <f>IF($A176="","",IFERROR(INDEX('זה אני - קליטה'!$AK$5:$AK$204,MATCH($A176&amp;"|אמצע שנה",'זה אני - קליטה'!$AF$5:$AF$204,0)),""))</f>
        <v/>
      </c>
      <c r="N176" s="37">
        <f>IF($A176="","",IFERROR(INDEX('זה אני - קליטה'!$AL$5:$AL$204,MATCH($A176&amp;"|אמצע שנה",'זה אני - קליטה'!$AF$5:$AF$204,0)),""))</f>
        <v/>
      </c>
      <c r="O176" s="36">
        <f>IF($A176="","",IFERROR(INDEX('זה אני - קליטה'!$AG$5:$AG$204,MATCH($A176&amp;"|אמצע שנה",'זה אני - קליטה'!$AF$5:$AF$204,0)),""))</f>
        <v/>
      </c>
      <c r="P176" s="37">
        <f>IF($A176="","",IFERROR(INDEX('זה אני - קליטה'!$AN$5:$AN$204,MATCH($A176&amp;"|אמצע שנה",'זה אני - קליטה'!$AF$5:$AF$204,0)),""))</f>
        <v/>
      </c>
      <c r="Q176" s="36">
        <f>IF($A176="","",IFERROR(INDEX('זה אני - קליטה'!$AW$5:$AW$204,MATCH($A176&amp;"|אמצע שנה",'זה אני - קליטה'!$AF$5:$AF$204,0)),""))</f>
        <v/>
      </c>
      <c r="R176" s="37">
        <f>IF($A176="","",IFERROR(INDEX('זה אני - קליטה'!$AH$5:$AH$204,MATCH($A176&amp;"|סוף שנה",'זה אני - קליטה'!$AF$5:$AF$204,0)),""))</f>
        <v/>
      </c>
      <c r="S176" s="37">
        <f>IF($A176="","",IFERROR(INDEX('זה אני - קליטה'!$AI$5:$AI$204,MATCH($A176&amp;"|סוף שנה",'זה אני - קליטה'!$AF$5:$AF$204,0)),""))</f>
        <v/>
      </c>
      <c r="T176" s="37">
        <f>IF($A176="","",IFERROR(INDEX('זה אני - קליטה'!$AJ$5:$AJ$204,MATCH($A176&amp;"|סוף שנה",'זה אני - קליטה'!$AF$5:$AF$204,0)),""))</f>
        <v/>
      </c>
      <c r="U176" s="37">
        <f>IF($A176="","",IFERROR(INDEX('זה אני - קליטה'!$AK$5:$AK$204,MATCH($A176&amp;"|סוף שנה",'זה אני - קליטה'!$AF$5:$AF$204,0)),""))</f>
        <v/>
      </c>
      <c r="V176" s="37">
        <f>IF($A176="","",IFERROR(INDEX('זה אני - קליטה'!$AL$5:$AL$204,MATCH($A176&amp;"|סוף שנה",'זה אני - קליטה'!$AF$5:$AF$204,0)),""))</f>
        <v/>
      </c>
      <c r="W176" s="36">
        <f>IF($A176="","",IFERROR(INDEX('זה אני - קליטה'!$AG$5:$AG$204,MATCH($A176&amp;"|סוף שנה",'זה אני - קליטה'!$AF$5:$AF$204,0)),""))</f>
        <v/>
      </c>
      <c r="X176" s="37">
        <f>IF($A176="","",IFERROR(INDEX('זה אני - קליטה'!$AN$5:$AN$204,MATCH($A176&amp;"|סוף שנה",'זה אני - קליטה'!$AF$5:$AF$204,0)),""))</f>
        <v/>
      </c>
      <c r="Y176" s="36">
        <f>IF($A176="","",IFERROR(INDEX('זה אני - קליטה'!$AW$5:$AW$204,MATCH($A176&amp;"|סוף שנה",'זה אני - קליטה'!$AF$5:$AF$204,0)),""))</f>
        <v/>
      </c>
      <c r="Z176" s="43">
        <f>IF(AND(ISNUMBER(F176),ISNUMBER(V176)),V176-F176,"")</f>
        <v/>
      </c>
      <c r="AA176" s="36">
        <f>IF(Z176="","",IF(Z176&gt;=0.25,"עלייה",IF(Z176&lt;=-0.25,"ירידה","יציב")))</f>
        <v/>
      </c>
    </row>
    <row r="177">
      <c r="A177" s="38" t="n"/>
      <c r="B177" s="37">
        <f>IF($A177="","",IFERROR(INDEX('זה אני - קליטה'!$AH$5:$AH$204,MATCH($A177&amp;"|תחילת שנה",'זה אני - קליטה'!$AF$5:$AF$204,0)),""))</f>
        <v/>
      </c>
      <c r="C177" s="37">
        <f>IF($A177="","",IFERROR(INDEX('זה אני - קליטה'!$AI$5:$AI$204,MATCH($A177&amp;"|תחילת שנה",'זה אני - קליטה'!$AF$5:$AF$204,0)),""))</f>
        <v/>
      </c>
      <c r="D177" s="37">
        <f>IF($A177="","",IFERROR(INDEX('זה אני - קליטה'!$AJ$5:$AJ$204,MATCH($A177&amp;"|תחילת שנה",'זה אני - קליטה'!$AF$5:$AF$204,0)),""))</f>
        <v/>
      </c>
      <c r="E177" s="37">
        <f>IF($A177="","",IFERROR(INDEX('זה אני - קליטה'!$AK$5:$AK$204,MATCH($A177&amp;"|תחילת שנה",'זה אני - קליטה'!$AF$5:$AF$204,0)),""))</f>
        <v/>
      </c>
      <c r="F177" s="37">
        <f>IF($A177="","",IFERROR(INDEX('זה אני - קליטה'!$AL$5:$AL$204,MATCH($A177&amp;"|תחילת שנה",'זה אני - קליטה'!$AF$5:$AF$204,0)),""))</f>
        <v/>
      </c>
      <c r="G177" s="36">
        <f>IF($A177="","",IFERROR(INDEX('זה אני - קליטה'!$AG$5:$AG$204,MATCH($A177&amp;"|תחילת שנה",'זה אני - קליטה'!$AF$5:$AF$204,0)),""))</f>
        <v/>
      </c>
      <c r="H177" s="37">
        <f>IF($A177="","",IFERROR(INDEX('זה אני - קליטה'!$AN$5:$AN$204,MATCH($A177&amp;"|תחילת שנה",'זה אני - קליטה'!$AF$5:$AF$204,0)),""))</f>
        <v/>
      </c>
      <c r="I177" s="36">
        <f>IF($A177="","",IFERROR(INDEX('זה אני - קליטה'!$AW$5:$AW$204,MATCH($A177&amp;"|תחילת שנה",'זה אני - קליטה'!$AF$5:$AF$204,0)),""))</f>
        <v/>
      </c>
      <c r="J177" s="37">
        <f>IF($A177="","",IFERROR(INDEX('זה אני - קליטה'!$AH$5:$AH$204,MATCH($A177&amp;"|אמצע שנה",'זה אני - קליטה'!$AF$5:$AF$204,0)),""))</f>
        <v/>
      </c>
      <c r="K177" s="37">
        <f>IF($A177="","",IFERROR(INDEX('זה אני - קליטה'!$AI$5:$AI$204,MATCH($A177&amp;"|אמצע שנה",'זה אני - קליטה'!$AF$5:$AF$204,0)),""))</f>
        <v/>
      </c>
      <c r="L177" s="37">
        <f>IF($A177="","",IFERROR(INDEX('זה אני - קליטה'!$AJ$5:$AJ$204,MATCH($A177&amp;"|אמצע שנה",'זה אני - קליטה'!$AF$5:$AF$204,0)),""))</f>
        <v/>
      </c>
      <c r="M177" s="37">
        <f>IF($A177="","",IFERROR(INDEX('זה אני - קליטה'!$AK$5:$AK$204,MATCH($A177&amp;"|אמצע שנה",'זה אני - קליטה'!$AF$5:$AF$204,0)),""))</f>
        <v/>
      </c>
      <c r="N177" s="37">
        <f>IF($A177="","",IFERROR(INDEX('זה אני - קליטה'!$AL$5:$AL$204,MATCH($A177&amp;"|אמצע שנה",'זה אני - קליטה'!$AF$5:$AF$204,0)),""))</f>
        <v/>
      </c>
      <c r="O177" s="36">
        <f>IF($A177="","",IFERROR(INDEX('זה אני - קליטה'!$AG$5:$AG$204,MATCH($A177&amp;"|אמצע שנה",'זה אני - קליטה'!$AF$5:$AF$204,0)),""))</f>
        <v/>
      </c>
      <c r="P177" s="37">
        <f>IF($A177="","",IFERROR(INDEX('זה אני - קליטה'!$AN$5:$AN$204,MATCH($A177&amp;"|אמצע שנה",'זה אני - קליטה'!$AF$5:$AF$204,0)),""))</f>
        <v/>
      </c>
      <c r="Q177" s="36">
        <f>IF($A177="","",IFERROR(INDEX('זה אני - קליטה'!$AW$5:$AW$204,MATCH($A177&amp;"|אמצע שנה",'זה אני - קליטה'!$AF$5:$AF$204,0)),""))</f>
        <v/>
      </c>
      <c r="R177" s="37">
        <f>IF($A177="","",IFERROR(INDEX('זה אני - קליטה'!$AH$5:$AH$204,MATCH($A177&amp;"|סוף שנה",'זה אני - קליטה'!$AF$5:$AF$204,0)),""))</f>
        <v/>
      </c>
      <c r="S177" s="37">
        <f>IF($A177="","",IFERROR(INDEX('זה אני - קליטה'!$AI$5:$AI$204,MATCH($A177&amp;"|סוף שנה",'זה אני - קליטה'!$AF$5:$AF$204,0)),""))</f>
        <v/>
      </c>
      <c r="T177" s="37">
        <f>IF($A177="","",IFERROR(INDEX('זה אני - קליטה'!$AJ$5:$AJ$204,MATCH($A177&amp;"|סוף שנה",'זה אני - קליטה'!$AF$5:$AF$204,0)),""))</f>
        <v/>
      </c>
      <c r="U177" s="37">
        <f>IF($A177="","",IFERROR(INDEX('זה אני - קליטה'!$AK$5:$AK$204,MATCH($A177&amp;"|סוף שנה",'זה אני - קליטה'!$AF$5:$AF$204,0)),""))</f>
        <v/>
      </c>
      <c r="V177" s="37">
        <f>IF($A177="","",IFERROR(INDEX('זה אני - קליטה'!$AL$5:$AL$204,MATCH($A177&amp;"|סוף שנה",'זה אני - קליטה'!$AF$5:$AF$204,0)),""))</f>
        <v/>
      </c>
      <c r="W177" s="36">
        <f>IF($A177="","",IFERROR(INDEX('זה אני - קליטה'!$AG$5:$AG$204,MATCH($A177&amp;"|סוף שנה",'זה אני - קליטה'!$AF$5:$AF$204,0)),""))</f>
        <v/>
      </c>
      <c r="X177" s="37">
        <f>IF($A177="","",IFERROR(INDEX('זה אני - קליטה'!$AN$5:$AN$204,MATCH($A177&amp;"|סוף שנה",'זה אני - קליטה'!$AF$5:$AF$204,0)),""))</f>
        <v/>
      </c>
      <c r="Y177" s="36">
        <f>IF($A177="","",IFERROR(INDEX('זה אני - קליטה'!$AW$5:$AW$204,MATCH($A177&amp;"|סוף שנה",'זה אני - קליטה'!$AF$5:$AF$204,0)),""))</f>
        <v/>
      </c>
      <c r="Z177" s="43">
        <f>IF(AND(ISNUMBER(F177),ISNUMBER(V177)),V177-F177,"")</f>
        <v/>
      </c>
      <c r="AA177" s="36">
        <f>IF(Z177="","",IF(Z177&gt;=0.25,"עלייה",IF(Z177&lt;=-0.25,"ירידה","יציב")))</f>
        <v/>
      </c>
    </row>
    <row r="178">
      <c r="A178" s="38" t="n"/>
      <c r="B178" s="37">
        <f>IF($A178="","",IFERROR(INDEX('זה אני - קליטה'!$AH$5:$AH$204,MATCH($A178&amp;"|תחילת שנה",'זה אני - קליטה'!$AF$5:$AF$204,0)),""))</f>
        <v/>
      </c>
      <c r="C178" s="37">
        <f>IF($A178="","",IFERROR(INDEX('זה אני - קליטה'!$AI$5:$AI$204,MATCH($A178&amp;"|תחילת שנה",'זה אני - קליטה'!$AF$5:$AF$204,0)),""))</f>
        <v/>
      </c>
      <c r="D178" s="37">
        <f>IF($A178="","",IFERROR(INDEX('זה אני - קליטה'!$AJ$5:$AJ$204,MATCH($A178&amp;"|תחילת שנה",'זה אני - קליטה'!$AF$5:$AF$204,0)),""))</f>
        <v/>
      </c>
      <c r="E178" s="37">
        <f>IF($A178="","",IFERROR(INDEX('זה אני - קליטה'!$AK$5:$AK$204,MATCH($A178&amp;"|תחילת שנה",'זה אני - קליטה'!$AF$5:$AF$204,0)),""))</f>
        <v/>
      </c>
      <c r="F178" s="37">
        <f>IF($A178="","",IFERROR(INDEX('זה אני - קליטה'!$AL$5:$AL$204,MATCH($A178&amp;"|תחילת שנה",'זה אני - קליטה'!$AF$5:$AF$204,0)),""))</f>
        <v/>
      </c>
      <c r="G178" s="36">
        <f>IF($A178="","",IFERROR(INDEX('זה אני - קליטה'!$AG$5:$AG$204,MATCH($A178&amp;"|תחילת שנה",'זה אני - קליטה'!$AF$5:$AF$204,0)),""))</f>
        <v/>
      </c>
      <c r="H178" s="37">
        <f>IF($A178="","",IFERROR(INDEX('זה אני - קליטה'!$AN$5:$AN$204,MATCH($A178&amp;"|תחילת שנה",'זה אני - קליטה'!$AF$5:$AF$204,0)),""))</f>
        <v/>
      </c>
      <c r="I178" s="36">
        <f>IF($A178="","",IFERROR(INDEX('זה אני - קליטה'!$AW$5:$AW$204,MATCH($A178&amp;"|תחילת שנה",'זה אני - קליטה'!$AF$5:$AF$204,0)),""))</f>
        <v/>
      </c>
      <c r="J178" s="37">
        <f>IF($A178="","",IFERROR(INDEX('זה אני - קליטה'!$AH$5:$AH$204,MATCH($A178&amp;"|אמצע שנה",'זה אני - קליטה'!$AF$5:$AF$204,0)),""))</f>
        <v/>
      </c>
      <c r="K178" s="37">
        <f>IF($A178="","",IFERROR(INDEX('זה אני - קליטה'!$AI$5:$AI$204,MATCH($A178&amp;"|אמצע שנה",'זה אני - קליטה'!$AF$5:$AF$204,0)),""))</f>
        <v/>
      </c>
      <c r="L178" s="37">
        <f>IF($A178="","",IFERROR(INDEX('זה אני - קליטה'!$AJ$5:$AJ$204,MATCH($A178&amp;"|אמצע שנה",'זה אני - קליטה'!$AF$5:$AF$204,0)),""))</f>
        <v/>
      </c>
      <c r="M178" s="37">
        <f>IF($A178="","",IFERROR(INDEX('זה אני - קליטה'!$AK$5:$AK$204,MATCH($A178&amp;"|אמצע שנה",'זה אני - קליטה'!$AF$5:$AF$204,0)),""))</f>
        <v/>
      </c>
      <c r="N178" s="37">
        <f>IF($A178="","",IFERROR(INDEX('זה אני - קליטה'!$AL$5:$AL$204,MATCH($A178&amp;"|אמצע שנה",'זה אני - קליטה'!$AF$5:$AF$204,0)),""))</f>
        <v/>
      </c>
      <c r="O178" s="36">
        <f>IF($A178="","",IFERROR(INDEX('זה אני - קליטה'!$AG$5:$AG$204,MATCH($A178&amp;"|אמצע שנה",'זה אני - קליטה'!$AF$5:$AF$204,0)),""))</f>
        <v/>
      </c>
      <c r="P178" s="37">
        <f>IF($A178="","",IFERROR(INDEX('זה אני - קליטה'!$AN$5:$AN$204,MATCH($A178&amp;"|אמצע שנה",'זה אני - קליטה'!$AF$5:$AF$204,0)),""))</f>
        <v/>
      </c>
      <c r="Q178" s="36">
        <f>IF($A178="","",IFERROR(INDEX('זה אני - קליטה'!$AW$5:$AW$204,MATCH($A178&amp;"|אמצע שנה",'זה אני - קליטה'!$AF$5:$AF$204,0)),""))</f>
        <v/>
      </c>
      <c r="R178" s="37">
        <f>IF($A178="","",IFERROR(INDEX('זה אני - קליטה'!$AH$5:$AH$204,MATCH($A178&amp;"|סוף שנה",'זה אני - קליטה'!$AF$5:$AF$204,0)),""))</f>
        <v/>
      </c>
      <c r="S178" s="37">
        <f>IF($A178="","",IFERROR(INDEX('זה אני - קליטה'!$AI$5:$AI$204,MATCH($A178&amp;"|סוף שנה",'זה אני - קליטה'!$AF$5:$AF$204,0)),""))</f>
        <v/>
      </c>
      <c r="T178" s="37">
        <f>IF($A178="","",IFERROR(INDEX('זה אני - קליטה'!$AJ$5:$AJ$204,MATCH($A178&amp;"|סוף שנה",'זה אני - קליטה'!$AF$5:$AF$204,0)),""))</f>
        <v/>
      </c>
      <c r="U178" s="37">
        <f>IF($A178="","",IFERROR(INDEX('זה אני - קליטה'!$AK$5:$AK$204,MATCH($A178&amp;"|סוף שנה",'זה אני - קליטה'!$AF$5:$AF$204,0)),""))</f>
        <v/>
      </c>
      <c r="V178" s="37">
        <f>IF($A178="","",IFERROR(INDEX('זה אני - קליטה'!$AL$5:$AL$204,MATCH($A178&amp;"|סוף שנה",'זה אני - קליטה'!$AF$5:$AF$204,0)),""))</f>
        <v/>
      </c>
      <c r="W178" s="36">
        <f>IF($A178="","",IFERROR(INDEX('זה אני - קליטה'!$AG$5:$AG$204,MATCH($A178&amp;"|סוף שנה",'זה אני - קליטה'!$AF$5:$AF$204,0)),""))</f>
        <v/>
      </c>
      <c r="X178" s="37">
        <f>IF($A178="","",IFERROR(INDEX('זה אני - קליטה'!$AN$5:$AN$204,MATCH($A178&amp;"|סוף שנה",'זה אני - קליטה'!$AF$5:$AF$204,0)),""))</f>
        <v/>
      </c>
      <c r="Y178" s="36">
        <f>IF($A178="","",IFERROR(INDEX('זה אני - קליטה'!$AW$5:$AW$204,MATCH($A178&amp;"|סוף שנה",'זה אני - קליטה'!$AF$5:$AF$204,0)),""))</f>
        <v/>
      </c>
      <c r="Z178" s="43">
        <f>IF(AND(ISNUMBER(F178),ISNUMBER(V178)),V178-F178,"")</f>
        <v/>
      </c>
      <c r="AA178" s="36">
        <f>IF(Z178="","",IF(Z178&gt;=0.25,"עלייה",IF(Z178&lt;=-0.25,"ירידה","יציב")))</f>
        <v/>
      </c>
    </row>
    <row r="179">
      <c r="A179" s="38" t="n"/>
      <c r="B179" s="37">
        <f>IF($A179="","",IFERROR(INDEX('זה אני - קליטה'!$AH$5:$AH$204,MATCH($A179&amp;"|תחילת שנה",'זה אני - קליטה'!$AF$5:$AF$204,0)),""))</f>
        <v/>
      </c>
      <c r="C179" s="37">
        <f>IF($A179="","",IFERROR(INDEX('זה אני - קליטה'!$AI$5:$AI$204,MATCH($A179&amp;"|תחילת שנה",'זה אני - קליטה'!$AF$5:$AF$204,0)),""))</f>
        <v/>
      </c>
      <c r="D179" s="37">
        <f>IF($A179="","",IFERROR(INDEX('זה אני - קליטה'!$AJ$5:$AJ$204,MATCH($A179&amp;"|תחילת שנה",'זה אני - קליטה'!$AF$5:$AF$204,0)),""))</f>
        <v/>
      </c>
      <c r="E179" s="37">
        <f>IF($A179="","",IFERROR(INDEX('זה אני - קליטה'!$AK$5:$AK$204,MATCH($A179&amp;"|תחילת שנה",'זה אני - קליטה'!$AF$5:$AF$204,0)),""))</f>
        <v/>
      </c>
      <c r="F179" s="37">
        <f>IF($A179="","",IFERROR(INDEX('זה אני - קליטה'!$AL$5:$AL$204,MATCH($A179&amp;"|תחילת שנה",'זה אני - קליטה'!$AF$5:$AF$204,0)),""))</f>
        <v/>
      </c>
      <c r="G179" s="36">
        <f>IF($A179="","",IFERROR(INDEX('זה אני - קליטה'!$AG$5:$AG$204,MATCH($A179&amp;"|תחילת שנה",'זה אני - קליטה'!$AF$5:$AF$204,0)),""))</f>
        <v/>
      </c>
      <c r="H179" s="37">
        <f>IF($A179="","",IFERROR(INDEX('זה אני - קליטה'!$AN$5:$AN$204,MATCH($A179&amp;"|תחילת שנה",'זה אני - קליטה'!$AF$5:$AF$204,0)),""))</f>
        <v/>
      </c>
      <c r="I179" s="36">
        <f>IF($A179="","",IFERROR(INDEX('זה אני - קליטה'!$AW$5:$AW$204,MATCH($A179&amp;"|תחילת שנה",'זה אני - קליטה'!$AF$5:$AF$204,0)),""))</f>
        <v/>
      </c>
      <c r="J179" s="37">
        <f>IF($A179="","",IFERROR(INDEX('זה אני - קליטה'!$AH$5:$AH$204,MATCH($A179&amp;"|אמצע שנה",'זה אני - קליטה'!$AF$5:$AF$204,0)),""))</f>
        <v/>
      </c>
      <c r="K179" s="37">
        <f>IF($A179="","",IFERROR(INDEX('זה אני - קליטה'!$AI$5:$AI$204,MATCH($A179&amp;"|אמצע שנה",'זה אני - קליטה'!$AF$5:$AF$204,0)),""))</f>
        <v/>
      </c>
      <c r="L179" s="37">
        <f>IF($A179="","",IFERROR(INDEX('זה אני - קליטה'!$AJ$5:$AJ$204,MATCH($A179&amp;"|אמצע שנה",'זה אני - קליטה'!$AF$5:$AF$204,0)),""))</f>
        <v/>
      </c>
      <c r="M179" s="37">
        <f>IF($A179="","",IFERROR(INDEX('זה אני - קליטה'!$AK$5:$AK$204,MATCH($A179&amp;"|אמצע שנה",'זה אני - קליטה'!$AF$5:$AF$204,0)),""))</f>
        <v/>
      </c>
      <c r="N179" s="37">
        <f>IF($A179="","",IFERROR(INDEX('זה אני - קליטה'!$AL$5:$AL$204,MATCH($A179&amp;"|אמצע שנה",'זה אני - קליטה'!$AF$5:$AF$204,0)),""))</f>
        <v/>
      </c>
      <c r="O179" s="36">
        <f>IF($A179="","",IFERROR(INDEX('זה אני - קליטה'!$AG$5:$AG$204,MATCH($A179&amp;"|אמצע שנה",'זה אני - קליטה'!$AF$5:$AF$204,0)),""))</f>
        <v/>
      </c>
      <c r="P179" s="37">
        <f>IF($A179="","",IFERROR(INDEX('זה אני - קליטה'!$AN$5:$AN$204,MATCH($A179&amp;"|אמצע שנה",'זה אני - קליטה'!$AF$5:$AF$204,0)),""))</f>
        <v/>
      </c>
      <c r="Q179" s="36">
        <f>IF($A179="","",IFERROR(INDEX('זה אני - קליטה'!$AW$5:$AW$204,MATCH($A179&amp;"|אמצע שנה",'זה אני - קליטה'!$AF$5:$AF$204,0)),""))</f>
        <v/>
      </c>
      <c r="R179" s="37">
        <f>IF($A179="","",IFERROR(INDEX('זה אני - קליטה'!$AH$5:$AH$204,MATCH($A179&amp;"|סוף שנה",'זה אני - קליטה'!$AF$5:$AF$204,0)),""))</f>
        <v/>
      </c>
      <c r="S179" s="37">
        <f>IF($A179="","",IFERROR(INDEX('זה אני - קליטה'!$AI$5:$AI$204,MATCH($A179&amp;"|סוף שנה",'זה אני - קליטה'!$AF$5:$AF$204,0)),""))</f>
        <v/>
      </c>
      <c r="T179" s="37">
        <f>IF($A179="","",IFERROR(INDEX('זה אני - קליטה'!$AJ$5:$AJ$204,MATCH($A179&amp;"|סוף שנה",'זה אני - קליטה'!$AF$5:$AF$204,0)),""))</f>
        <v/>
      </c>
      <c r="U179" s="37">
        <f>IF($A179="","",IFERROR(INDEX('זה אני - קליטה'!$AK$5:$AK$204,MATCH($A179&amp;"|סוף שנה",'זה אני - קליטה'!$AF$5:$AF$204,0)),""))</f>
        <v/>
      </c>
      <c r="V179" s="37">
        <f>IF($A179="","",IFERROR(INDEX('זה אני - קליטה'!$AL$5:$AL$204,MATCH($A179&amp;"|סוף שנה",'זה אני - קליטה'!$AF$5:$AF$204,0)),""))</f>
        <v/>
      </c>
      <c r="W179" s="36">
        <f>IF($A179="","",IFERROR(INDEX('זה אני - קליטה'!$AG$5:$AG$204,MATCH($A179&amp;"|סוף שנה",'זה אני - קליטה'!$AF$5:$AF$204,0)),""))</f>
        <v/>
      </c>
      <c r="X179" s="37">
        <f>IF($A179="","",IFERROR(INDEX('זה אני - קליטה'!$AN$5:$AN$204,MATCH($A179&amp;"|סוף שנה",'זה אני - קליטה'!$AF$5:$AF$204,0)),""))</f>
        <v/>
      </c>
      <c r="Y179" s="36">
        <f>IF($A179="","",IFERROR(INDEX('זה אני - קליטה'!$AW$5:$AW$204,MATCH($A179&amp;"|סוף שנה",'זה אני - קליטה'!$AF$5:$AF$204,0)),""))</f>
        <v/>
      </c>
      <c r="Z179" s="43">
        <f>IF(AND(ISNUMBER(F179),ISNUMBER(V179)),V179-F179,"")</f>
        <v/>
      </c>
      <c r="AA179" s="36">
        <f>IF(Z179="","",IF(Z179&gt;=0.25,"עלייה",IF(Z179&lt;=-0.25,"ירידה","יציב")))</f>
        <v/>
      </c>
    </row>
    <row r="180">
      <c r="A180" s="38" t="n"/>
      <c r="B180" s="37">
        <f>IF($A180="","",IFERROR(INDEX('זה אני - קליטה'!$AH$5:$AH$204,MATCH($A180&amp;"|תחילת שנה",'זה אני - קליטה'!$AF$5:$AF$204,0)),""))</f>
        <v/>
      </c>
      <c r="C180" s="37">
        <f>IF($A180="","",IFERROR(INDEX('זה אני - קליטה'!$AI$5:$AI$204,MATCH($A180&amp;"|תחילת שנה",'זה אני - קליטה'!$AF$5:$AF$204,0)),""))</f>
        <v/>
      </c>
      <c r="D180" s="37">
        <f>IF($A180="","",IFERROR(INDEX('זה אני - קליטה'!$AJ$5:$AJ$204,MATCH($A180&amp;"|תחילת שנה",'זה אני - קליטה'!$AF$5:$AF$204,0)),""))</f>
        <v/>
      </c>
      <c r="E180" s="37">
        <f>IF($A180="","",IFERROR(INDEX('זה אני - קליטה'!$AK$5:$AK$204,MATCH($A180&amp;"|תחילת שנה",'זה אני - קליטה'!$AF$5:$AF$204,0)),""))</f>
        <v/>
      </c>
      <c r="F180" s="37">
        <f>IF($A180="","",IFERROR(INDEX('זה אני - קליטה'!$AL$5:$AL$204,MATCH($A180&amp;"|תחילת שנה",'זה אני - קליטה'!$AF$5:$AF$204,0)),""))</f>
        <v/>
      </c>
      <c r="G180" s="36">
        <f>IF($A180="","",IFERROR(INDEX('זה אני - קליטה'!$AG$5:$AG$204,MATCH($A180&amp;"|תחילת שנה",'זה אני - קליטה'!$AF$5:$AF$204,0)),""))</f>
        <v/>
      </c>
      <c r="H180" s="37">
        <f>IF($A180="","",IFERROR(INDEX('זה אני - קליטה'!$AN$5:$AN$204,MATCH($A180&amp;"|תחילת שנה",'זה אני - קליטה'!$AF$5:$AF$204,0)),""))</f>
        <v/>
      </c>
      <c r="I180" s="36">
        <f>IF($A180="","",IFERROR(INDEX('זה אני - קליטה'!$AW$5:$AW$204,MATCH($A180&amp;"|תחילת שנה",'זה אני - קליטה'!$AF$5:$AF$204,0)),""))</f>
        <v/>
      </c>
      <c r="J180" s="37">
        <f>IF($A180="","",IFERROR(INDEX('זה אני - קליטה'!$AH$5:$AH$204,MATCH($A180&amp;"|אמצע שנה",'זה אני - קליטה'!$AF$5:$AF$204,0)),""))</f>
        <v/>
      </c>
      <c r="K180" s="37">
        <f>IF($A180="","",IFERROR(INDEX('זה אני - קליטה'!$AI$5:$AI$204,MATCH($A180&amp;"|אמצע שנה",'זה אני - קליטה'!$AF$5:$AF$204,0)),""))</f>
        <v/>
      </c>
      <c r="L180" s="37">
        <f>IF($A180="","",IFERROR(INDEX('זה אני - קליטה'!$AJ$5:$AJ$204,MATCH($A180&amp;"|אמצע שנה",'זה אני - קליטה'!$AF$5:$AF$204,0)),""))</f>
        <v/>
      </c>
      <c r="M180" s="37">
        <f>IF($A180="","",IFERROR(INDEX('זה אני - קליטה'!$AK$5:$AK$204,MATCH($A180&amp;"|אמצע שנה",'זה אני - קליטה'!$AF$5:$AF$204,0)),""))</f>
        <v/>
      </c>
      <c r="N180" s="37">
        <f>IF($A180="","",IFERROR(INDEX('זה אני - קליטה'!$AL$5:$AL$204,MATCH($A180&amp;"|אמצע שנה",'זה אני - קליטה'!$AF$5:$AF$204,0)),""))</f>
        <v/>
      </c>
      <c r="O180" s="36">
        <f>IF($A180="","",IFERROR(INDEX('זה אני - קליטה'!$AG$5:$AG$204,MATCH($A180&amp;"|אמצע שנה",'זה אני - קליטה'!$AF$5:$AF$204,0)),""))</f>
        <v/>
      </c>
      <c r="P180" s="37">
        <f>IF($A180="","",IFERROR(INDEX('זה אני - קליטה'!$AN$5:$AN$204,MATCH($A180&amp;"|אמצע שנה",'זה אני - קליטה'!$AF$5:$AF$204,0)),""))</f>
        <v/>
      </c>
      <c r="Q180" s="36">
        <f>IF($A180="","",IFERROR(INDEX('זה אני - קליטה'!$AW$5:$AW$204,MATCH($A180&amp;"|אמצע שנה",'זה אני - קליטה'!$AF$5:$AF$204,0)),""))</f>
        <v/>
      </c>
      <c r="R180" s="37">
        <f>IF($A180="","",IFERROR(INDEX('זה אני - קליטה'!$AH$5:$AH$204,MATCH($A180&amp;"|סוף שנה",'זה אני - קליטה'!$AF$5:$AF$204,0)),""))</f>
        <v/>
      </c>
      <c r="S180" s="37">
        <f>IF($A180="","",IFERROR(INDEX('זה אני - קליטה'!$AI$5:$AI$204,MATCH($A180&amp;"|סוף שנה",'זה אני - קליטה'!$AF$5:$AF$204,0)),""))</f>
        <v/>
      </c>
      <c r="T180" s="37">
        <f>IF($A180="","",IFERROR(INDEX('זה אני - קליטה'!$AJ$5:$AJ$204,MATCH($A180&amp;"|סוף שנה",'זה אני - קליטה'!$AF$5:$AF$204,0)),""))</f>
        <v/>
      </c>
      <c r="U180" s="37">
        <f>IF($A180="","",IFERROR(INDEX('זה אני - קליטה'!$AK$5:$AK$204,MATCH($A180&amp;"|סוף שנה",'זה אני - קליטה'!$AF$5:$AF$204,0)),""))</f>
        <v/>
      </c>
      <c r="V180" s="37">
        <f>IF($A180="","",IFERROR(INDEX('זה אני - קליטה'!$AL$5:$AL$204,MATCH($A180&amp;"|סוף שנה",'זה אני - קליטה'!$AF$5:$AF$204,0)),""))</f>
        <v/>
      </c>
      <c r="W180" s="36">
        <f>IF($A180="","",IFERROR(INDEX('זה אני - קליטה'!$AG$5:$AG$204,MATCH($A180&amp;"|סוף שנה",'זה אני - קליטה'!$AF$5:$AF$204,0)),""))</f>
        <v/>
      </c>
      <c r="X180" s="37">
        <f>IF($A180="","",IFERROR(INDEX('זה אני - קליטה'!$AN$5:$AN$204,MATCH($A180&amp;"|סוף שנה",'זה אני - קליטה'!$AF$5:$AF$204,0)),""))</f>
        <v/>
      </c>
      <c r="Y180" s="36">
        <f>IF($A180="","",IFERROR(INDEX('זה אני - קליטה'!$AW$5:$AW$204,MATCH($A180&amp;"|סוף שנה",'זה אני - קליטה'!$AF$5:$AF$204,0)),""))</f>
        <v/>
      </c>
      <c r="Z180" s="43">
        <f>IF(AND(ISNUMBER(F180),ISNUMBER(V180)),V180-F180,"")</f>
        <v/>
      </c>
      <c r="AA180" s="36">
        <f>IF(Z180="","",IF(Z180&gt;=0.25,"עלייה",IF(Z180&lt;=-0.25,"ירידה","יציב")))</f>
        <v/>
      </c>
    </row>
    <row r="181">
      <c r="A181" s="38" t="n"/>
      <c r="B181" s="37">
        <f>IF($A181="","",IFERROR(INDEX('זה אני - קליטה'!$AH$5:$AH$204,MATCH($A181&amp;"|תחילת שנה",'זה אני - קליטה'!$AF$5:$AF$204,0)),""))</f>
        <v/>
      </c>
      <c r="C181" s="37">
        <f>IF($A181="","",IFERROR(INDEX('זה אני - קליטה'!$AI$5:$AI$204,MATCH($A181&amp;"|תחילת שנה",'זה אני - קליטה'!$AF$5:$AF$204,0)),""))</f>
        <v/>
      </c>
      <c r="D181" s="37">
        <f>IF($A181="","",IFERROR(INDEX('זה אני - קליטה'!$AJ$5:$AJ$204,MATCH($A181&amp;"|תחילת שנה",'זה אני - קליטה'!$AF$5:$AF$204,0)),""))</f>
        <v/>
      </c>
      <c r="E181" s="37">
        <f>IF($A181="","",IFERROR(INDEX('זה אני - קליטה'!$AK$5:$AK$204,MATCH($A181&amp;"|תחילת שנה",'זה אני - קליטה'!$AF$5:$AF$204,0)),""))</f>
        <v/>
      </c>
      <c r="F181" s="37">
        <f>IF($A181="","",IFERROR(INDEX('זה אני - קליטה'!$AL$5:$AL$204,MATCH($A181&amp;"|תחילת שנה",'זה אני - קליטה'!$AF$5:$AF$204,0)),""))</f>
        <v/>
      </c>
      <c r="G181" s="36">
        <f>IF($A181="","",IFERROR(INDEX('זה אני - קליטה'!$AG$5:$AG$204,MATCH($A181&amp;"|תחילת שנה",'זה אני - קליטה'!$AF$5:$AF$204,0)),""))</f>
        <v/>
      </c>
      <c r="H181" s="37">
        <f>IF($A181="","",IFERROR(INDEX('זה אני - קליטה'!$AN$5:$AN$204,MATCH($A181&amp;"|תחילת שנה",'זה אני - קליטה'!$AF$5:$AF$204,0)),""))</f>
        <v/>
      </c>
      <c r="I181" s="36">
        <f>IF($A181="","",IFERROR(INDEX('זה אני - קליטה'!$AW$5:$AW$204,MATCH($A181&amp;"|תחילת שנה",'זה אני - קליטה'!$AF$5:$AF$204,0)),""))</f>
        <v/>
      </c>
      <c r="J181" s="37">
        <f>IF($A181="","",IFERROR(INDEX('זה אני - קליטה'!$AH$5:$AH$204,MATCH($A181&amp;"|אמצע שנה",'זה אני - קליטה'!$AF$5:$AF$204,0)),""))</f>
        <v/>
      </c>
      <c r="K181" s="37">
        <f>IF($A181="","",IFERROR(INDEX('זה אני - קליטה'!$AI$5:$AI$204,MATCH($A181&amp;"|אמצע שנה",'זה אני - קליטה'!$AF$5:$AF$204,0)),""))</f>
        <v/>
      </c>
      <c r="L181" s="37">
        <f>IF($A181="","",IFERROR(INDEX('זה אני - קליטה'!$AJ$5:$AJ$204,MATCH($A181&amp;"|אמצע שנה",'זה אני - קליטה'!$AF$5:$AF$204,0)),""))</f>
        <v/>
      </c>
      <c r="M181" s="37">
        <f>IF($A181="","",IFERROR(INDEX('זה אני - קליטה'!$AK$5:$AK$204,MATCH($A181&amp;"|אמצע שנה",'זה אני - קליטה'!$AF$5:$AF$204,0)),""))</f>
        <v/>
      </c>
      <c r="N181" s="37">
        <f>IF($A181="","",IFERROR(INDEX('זה אני - קליטה'!$AL$5:$AL$204,MATCH($A181&amp;"|אמצע שנה",'זה אני - קליטה'!$AF$5:$AF$204,0)),""))</f>
        <v/>
      </c>
      <c r="O181" s="36">
        <f>IF($A181="","",IFERROR(INDEX('זה אני - קליטה'!$AG$5:$AG$204,MATCH($A181&amp;"|אמצע שנה",'זה אני - קליטה'!$AF$5:$AF$204,0)),""))</f>
        <v/>
      </c>
      <c r="P181" s="37">
        <f>IF($A181="","",IFERROR(INDEX('זה אני - קליטה'!$AN$5:$AN$204,MATCH($A181&amp;"|אמצע שנה",'זה אני - קליטה'!$AF$5:$AF$204,0)),""))</f>
        <v/>
      </c>
      <c r="Q181" s="36">
        <f>IF($A181="","",IFERROR(INDEX('זה אני - קליטה'!$AW$5:$AW$204,MATCH($A181&amp;"|אמצע שנה",'זה אני - קליטה'!$AF$5:$AF$204,0)),""))</f>
        <v/>
      </c>
      <c r="R181" s="37">
        <f>IF($A181="","",IFERROR(INDEX('זה אני - קליטה'!$AH$5:$AH$204,MATCH($A181&amp;"|סוף שנה",'זה אני - קליטה'!$AF$5:$AF$204,0)),""))</f>
        <v/>
      </c>
      <c r="S181" s="37">
        <f>IF($A181="","",IFERROR(INDEX('זה אני - קליטה'!$AI$5:$AI$204,MATCH($A181&amp;"|סוף שנה",'זה אני - קליטה'!$AF$5:$AF$204,0)),""))</f>
        <v/>
      </c>
      <c r="T181" s="37">
        <f>IF($A181="","",IFERROR(INDEX('זה אני - קליטה'!$AJ$5:$AJ$204,MATCH($A181&amp;"|סוף שנה",'זה אני - קליטה'!$AF$5:$AF$204,0)),""))</f>
        <v/>
      </c>
      <c r="U181" s="37">
        <f>IF($A181="","",IFERROR(INDEX('זה אני - קליטה'!$AK$5:$AK$204,MATCH($A181&amp;"|סוף שנה",'זה אני - קליטה'!$AF$5:$AF$204,0)),""))</f>
        <v/>
      </c>
      <c r="V181" s="37">
        <f>IF($A181="","",IFERROR(INDEX('זה אני - קליטה'!$AL$5:$AL$204,MATCH($A181&amp;"|סוף שנה",'זה אני - קליטה'!$AF$5:$AF$204,0)),""))</f>
        <v/>
      </c>
      <c r="W181" s="36">
        <f>IF($A181="","",IFERROR(INDEX('זה אני - קליטה'!$AG$5:$AG$204,MATCH($A181&amp;"|סוף שנה",'זה אני - קליטה'!$AF$5:$AF$204,0)),""))</f>
        <v/>
      </c>
      <c r="X181" s="37">
        <f>IF($A181="","",IFERROR(INDEX('זה אני - קליטה'!$AN$5:$AN$204,MATCH($A181&amp;"|סוף שנה",'זה אני - קליטה'!$AF$5:$AF$204,0)),""))</f>
        <v/>
      </c>
      <c r="Y181" s="36">
        <f>IF($A181="","",IFERROR(INDEX('זה אני - קליטה'!$AW$5:$AW$204,MATCH($A181&amp;"|סוף שנה",'זה אני - קליטה'!$AF$5:$AF$204,0)),""))</f>
        <v/>
      </c>
      <c r="Z181" s="43">
        <f>IF(AND(ISNUMBER(F181),ISNUMBER(V181)),V181-F181,"")</f>
        <v/>
      </c>
      <c r="AA181" s="36">
        <f>IF(Z181="","",IF(Z181&gt;=0.25,"עלייה",IF(Z181&lt;=-0.25,"ירידה","יציב")))</f>
        <v/>
      </c>
    </row>
    <row r="182">
      <c r="A182" s="38" t="n"/>
      <c r="B182" s="37">
        <f>IF($A182="","",IFERROR(INDEX('זה אני - קליטה'!$AH$5:$AH$204,MATCH($A182&amp;"|תחילת שנה",'זה אני - קליטה'!$AF$5:$AF$204,0)),""))</f>
        <v/>
      </c>
      <c r="C182" s="37">
        <f>IF($A182="","",IFERROR(INDEX('זה אני - קליטה'!$AI$5:$AI$204,MATCH($A182&amp;"|תחילת שנה",'זה אני - קליטה'!$AF$5:$AF$204,0)),""))</f>
        <v/>
      </c>
      <c r="D182" s="37">
        <f>IF($A182="","",IFERROR(INDEX('זה אני - קליטה'!$AJ$5:$AJ$204,MATCH($A182&amp;"|תחילת שנה",'זה אני - קליטה'!$AF$5:$AF$204,0)),""))</f>
        <v/>
      </c>
      <c r="E182" s="37">
        <f>IF($A182="","",IFERROR(INDEX('זה אני - קליטה'!$AK$5:$AK$204,MATCH($A182&amp;"|תחילת שנה",'זה אני - קליטה'!$AF$5:$AF$204,0)),""))</f>
        <v/>
      </c>
      <c r="F182" s="37">
        <f>IF($A182="","",IFERROR(INDEX('זה אני - קליטה'!$AL$5:$AL$204,MATCH($A182&amp;"|תחילת שנה",'זה אני - קליטה'!$AF$5:$AF$204,0)),""))</f>
        <v/>
      </c>
      <c r="G182" s="36">
        <f>IF($A182="","",IFERROR(INDEX('זה אני - קליטה'!$AG$5:$AG$204,MATCH($A182&amp;"|תחילת שנה",'זה אני - קליטה'!$AF$5:$AF$204,0)),""))</f>
        <v/>
      </c>
      <c r="H182" s="37">
        <f>IF($A182="","",IFERROR(INDEX('זה אני - קליטה'!$AN$5:$AN$204,MATCH($A182&amp;"|תחילת שנה",'זה אני - קליטה'!$AF$5:$AF$204,0)),""))</f>
        <v/>
      </c>
      <c r="I182" s="36">
        <f>IF($A182="","",IFERROR(INDEX('זה אני - קליטה'!$AW$5:$AW$204,MATCH($A182&amp;"|תחילת שנה",'זה אני - קליטה'!$AF$5:$AF$204,0)),""))</f>
        <v/>
      </c>
      <c r="J182" s="37">
        <f>IF($A182="","",IFERROR(INDEX('זה אני - קליטה'!$AH$5:$AH$204,MATCH($A182&amp;"|אמצע שנה",'זה אני - קליטה'!$AF$5:$AF$204,0)),""))</f>
        <v/>
      </c>
      <c r="K182" s="37">
        <f>IF($A182="","",IFERROR(INDEX('זה אני - קליטה'!$AI$5:$AI$204,MATCH($A182&amp;"|אמצע שנה",'זה אני - קליטה'!$AF$5:$AF$204,0)),""))</f>
        <v/>
      </c>
      <c r="L182" s="37">
        <f>IF($A182="","",IFERROR(INDEX('זה אני - קליטה'!$AJ$5:$AJ$204,MATCH($A182&amp;"|אמצע שנה",'זה אני - קליטה'!$AF$5:$AF$204,0)),""))</f>
        <v/>
      </c>
      <c r="M182" s="37">
        <f>IF($A182="","",IFERROR(INDEX('זה אני - קליטה'!$AK$5:$AK$204,MATCH($A182&amp;"|אמצע שנה",'זה אני - קליטה'!$AF$5:$AF$204,0)),""))</f>
        <v/>
      </c>
      <c r="N182" s="37">
        <f>IF($A182="","",IFERROR(INDEX('זה אני - קליטה'!$AL$5:$AL$204,MATCH($A182&amp;"|אמצע שנה",'זה אני - קליטה'!$AF$5:$AF$204,0)),""))</f>
        <v/>
      </c>
      <c r="O182" s="36">
        <f>IF($A182="","",IFERROR(INDEX('זה אני - קליטה'!$AG$5:$AG$204,MATCH($A182&amp;"|אמצע שנה",'זה אני - קליטה'!$AF$5:$AF$204,0)),""))</f>
        <v/>
      </c>
      <c r="P182" s="37">
        <f>IF($A182="","",IFERROR(INDEX('זה אני - קליטה'!$AN$5:$AN$204,MATCH($A182&amp;"|אמצע שנה",'זה אני - קליטה'!$AF$5:$AF$204,0)),""))</f>
        <v/>
      </c>
      <c r="Q182" s="36">
        <f>IF($A182="","",IFERROR(INDEX('זה אני - קליטה'!$AW$5:$AW$204,MATCH($A182&amp;"|אמצע שנה",'זה אני - קליטה'!$AF$5:$AF$204,0)),""))</f>
        <v/>
      </c>
      <c r="R182" s="37">
        <f>IF($A182="","",IFERROR(INDEX('זה אני - קליטה'!$AH$5:$AH$204,MATCH($A182&amp;"|סוף שנה",'זה אני - קליטה'!$AF$5:$AF$204,0)),""))</f>
        <v/>
      </c>
      <c r="S182" s="37">
        <f>IF($A182="","",IFERROR(INDEX('זה אני - קליטה'!$AI$5:$AI$204,MATCH($A182&amp;"|סוף שנה",'זה אני - קליטה'!$AF$5:$AF$204,0)),""))</f>
        <v/>
      </c>
      <c r="T182" s="37">
        <f>IF($A182="","",IFERROR(INDEX('זה אני - קליטה'!$AJ$5:$AJ$204,MATCH($A182&amp;"|סוף שנה",'זה אני - קליטה'!$AF$5:$AF$204,0)),""))</f>
        <v/>
      </c>
      <c r="U182" s="37">
        <f>IF($A182="","",IFERROR(INDEX('זה אני - קליטה'!$AK$5:$AK$204,MATCH($A182&amp;"|סוף שנה",'זה אני - קליטה'!$AF$5:$AF$204,0)),""))</f>
        <v/>
      </c>
      <c r="V182" s="37">
        <f>IF($A182="","",IFERROR(INDEX('זה אני - קליטה'!$AL$5:$AL$204,MATCH($A182&amp;"|סוף שנה",'זה אני - קליטה'!$AF$5:$AF$204,0)),""))</f>
        <v/>
      </c>
      <c r="W182" s="36">
        <f>IF($A182="","",IFERROR(INDEX('זה אני - קליטה'!$AG$5:$AG$204,MATCH($A182&amp;"|סוף שנה",'זה אני - קליטה'!$AF$5:$AF$204,0)),""))</f>
        <v/>
      </c>
      <c r="X182" s="37">
        <f>IF($A182="","",IFERROR(INDEX('זה אני - קליטה'!$AN$5:$AN$204,MATCH($A182&amp;"|סוף שנה",'זה אני - קליטה'!$AF$5:$AF$204,0)),""))</f>
        <v/>
      </c>
      <c r="Y182" s="36">
        <f>IF($A182="","",IFERROR(INDEX('זה אני - קליטה'!$AW$5:$AW$204,MATCH($A182&amp;"|סוף שנה",'זה אני - קליטה'!$AF$5:$AF$204,0)),""))</f>
        <v/>
      </c>
      <c r="Z182" s="43">
        <f>IF(AND(ISNUMBER(F182),ISNUMBER(V182)),V182-F182,"")</f>
        <v/>
      </c>
      <c r="AA182" s="36">
        <f>IF(Z182="","",IF(Z182&gt;=0.25,"עלייה",IF(Z182&lt;=-0.25,"ירידה","יציב")))</f>
        <v/>
      </c>
    </row>
    <row r="183">
      <c r="A183" s="38" t="n"/>
      <c r="B183" s="37">
        <f>IF($A183="","",IFERROR(INDEX('זה אני - קליטה'!$AH$5:$AH$204,MATCH($A183&amp;"|תחילת שנה",'זה אני - קליטה'!$AF$5:$AF$204,0)),""))</f>
        <v/>
      </c>
      <c r="C183" s="37">
        <f>IF($A183="","",IFERROR(INDEX('זה אני - קליטה'!$AI$5:$AI$204,MATCH($A183&amp;"|תחילת שנה",'זה אני - קליטה'!$AF$5:$AF$204,0)),""))</f>
        <v/>
      </c>
      <c r="D183" s="37">
        <f>IF($A183="","",IFERROR(INDEX('זה אני - קליטה'!$AJ$5:$AJ$204,MATCH($A183&amp;"|תחילת שנה",'זה אני - קליטה'!$AF$5:$AF$204,0)),""))</f>
        <v/>
      </c>
      <c r="E183" s="37">
        <f>IF($A183="","",IFERROR(INDEX('זה אני - קליטה'!$AK$5:$AK$204,MATCH($A183&amp;"|תחילת שנה",'זה אני - קליטה'!$AF$5:$AF$204,0)),""))</f>
        <v/>
      </c>
      <c r="F183" s="37">
        <f>IF($A183="","",IFERROR(INDEX('זה אני - קליטה'!$AL$5:$AL$204,MATCH($A183&amp;"|תחילת שנה",'זה אני - קליטה'!$AF$5:$AF$204,0)),""))</f>
        <v/>
      </c>
      <c r="G183" s="36">
        <f>IF($A183="","",IFERROR(INDEX('זה אני - קליטה'!$AG$5:$AG$204,MATCH($A183&amp;"|תחילת שנה",'זה אני - קליטה'!$AF$5:$AF$204,0)),""))</f>
        <v/>
      </c>
      <c r="H183" s="37">
        <f>IF($A183="","",IFERROR(INDEX('זה אני - קליטה'!$AN$5:$AN$204,MATCH($A183&amp;"|תחילת שנה",'זה אני - קליטה'!$AF$5:$AF$204,0)),""))</f>
        <v/>
      </c>
      <c r="I183" s="36">
        <f>IF($A183="","",IFERROR(INDEX('זה אני - קליטה'!$AW$5:$AW$204,MATCH($A183&amp;"|תחילת שנה",'זה אני - קליטה'!$AF$5:$AF$204,0)),""))</f>
        <v/>
      </c>
      <c r="J183" s="37">
        <f>IF($A183="","",IFERROR(INDEX('זה אני - קליטה'!$AH$5:$AH$204,MATCH($A183&amp;"|אמצע שנה",'זה אני - קליטה'!$AF$5:$AF$204,0)),""))</f>
        <v/>
      </c>
      <c r="K183" s="37">
        <f>IF($A183="","",IFERROR(INDEX('זה אני - קליטה'!$AI$5:$AI$204,MATCH($A183&amp;"|אמצע שנה",'זה אני - קליטה'!$AF$5:$AF$204,0)),""))</f>
        <v/>
      </c>
      <c r="L183" s="37">
        <f>IF($A183="","",IFERROR(INDEX('זה אני - קליטה'!$AJ$5:$AJ$204,MATCH($A183&amp;"|אמצע שנה",'זה אני - קליטה'!$AF$5:$AF$204,0)),""))</f>
        <v/>
      </c>
      <c r="M183" s="37">
        <f>IF($A183="","",IFERROR(INDEX('זה אני - קליטה'!$AK$5:$AK$204,MATCH($A183&amp;"|אמצע שנה",'זה אני - קליטה'!$AF$5:$AF$204,0)),""))</f>
        <v/>
      </c>
      <c r="N183" s="37">
        <f>IF($A183="","",IFERROR(INDEX('זה אני - קליטה'!$AL$5:$AL$204,MATCH($A183&amp;"|אמצע שנה",'זה אני - קליטה'!$AF$5:$AF$204,0)),""))</f>
        <v/>
      </c>
      <c r="O183" s="36">
        <f>IF($A183="","",IFERROR(INDEX('זה אני - קליטה'!$AG$5:$AG$204,MATCH($A183&amp;"|אמצע שנה",'זה אני - קליטה'!$AF$5:$AF$204,0)),""))</f>
        <v/>
      </c>
      <c r="P183" s="37">
        <f>IF($A183="","",IFERROR(INDEX('זה אני - קליטה'!$AN$5:$AN$204,MATCH($A183&amp;"|אמצע שנה",'זה אני - קליטה'!$AF$5:$AF$204,0)),""))</f>
        <v/>
      </c>
      <c r="Q183" s="36">
        <f>IF($A183="","",IFERROR(INDEX('זה אני - קליטה'!$AW$5:$AW$204,MATCH($A183&amp;"|אמצע שנה",'זה אני - קליטה'!$AF$5:$AF$204,0)),""))</f>
        <v/>
      </c>
      <c r="R183" s="37">
        <f>IF($A183="","",IFERROR(INDEX('זה אני - קליטה'!$AH$5:$AH$204,MATCH($A183&amp;"|סוף שנה",'זה אני - קליטה'!$AF$5:$AF$204,0)),""))</f>
        <v/>
      </c>
      <c r="S183" s="37">
        <f>IF($A183="","",IFERROR(INDEX('זה אני - קליטה'!$AI$5:$AI$204,MATCH($A183&amp;"|סוף שנה",'זה אני - קליטה'!$AF$5:$AF$204,0)),""))</f>
        <v/>
      </c>
      <c r="T183" s="37">
        <f>IF($A183="","",IFERROR(INDEX('זה אני - קליטה'!$AJ$5:$AJ$204,MATCH($A183&amp;"|סוף שנה",'זה אני - קליטה'!$AF$5:$AF$204,0)),""))</f>
        <v/>
      </c>
      <c r="U183" s="37">
        <f>IF($A183="","",IFERROR(INDEX('זה אני - קליטה'!$AK$5:$AK$204,MATCH($A183&amp;"|סוף שנה",'זה אני - קליטה'!$AF$5:$AF$204,0)),""))</f>
        <v/>
      </c>
      <c r="V183" s="37">
        <f>IF($A183="","",IFERROR(INDEX('זה אני - קליטה'!$AL$5:$AL$204,MATCH($A183&amp;"|סוף שנה",'זה אני - קליטה'!$AF$5:$AF$204,0)),""))</f>
        <v/>
      </c>
      <c r="W183" s="36">
        <f>IF($A183="","",IFERROR(INDEX('זה אני - קליטה'!$AG$5:$AG$204,MATCH($A183&amp;"|סוף שנה",'זה אני - קליטה'!$AF$5:$AF$204,0)),""))</f>
        <v/>
      </c>
      <c r="X183" s="37">
        <f>IF($A183="","",IFERROR(INDEX('זה אני - קליטה'!$AN$5:$AN$204,MATCH($A183&amp;"|סוף שנה",'זה אני - קליטה'!$AF$5:$AF$204,0)),""))</f>
        <v/>
      </c>
      <c r="Y183" s="36">
        <f>IF($A183="","",IFERROR(INDEX('זה אני - קליטה'!$AW$5:$AW$204,MATCH($A183&amp;"|סוף שנה",'זה אני - קליטה'!$AF$5:$AF$204,0)),""))</f>
        <v/>
      </c>
      <c r="Z183" s="43">
        <f>IF(AND(ISNUMBER(F183),ISNUMBER(V183)),V183-F183,"")</f>
        <v/>
      </c>
      <c r="AA183" s="36">
        <f>IF(Z183="","",IF(Z183&gt;=0.25,"עלייה",IF(Z183&lt;=-0.25,"ירידה","יציב")))</f>
        <v/>
      </c>
    </row>
    <row r="184">
      <c r="A184" s="38" t="n"/>
      <c r="B184" s="37">
        <f>IF($A184="","",IFERROR(INDEX('זה אני - קליטה'!$AH$5:$AH$204,MATCH($A184&amp;"|תחילת שנה",'זה אני - קליטה'!$AF$5:$AF$204,0)),""))</f>
        <v/>
      </c>
      <c r="C184" s="37">
        <f>IF($A184="","",IFERROR(INDEX('זה אני - קליטה'!$AI$5:$AI$204,MATCH($A184&amp;"|תחילת שנה",'זה אני - קליטה'!$AF$5:$AF$204,0)),""))</f>
        <v/>
      </c>
      <c r="D184" s="37">
        <f>IF($A184="","",IFERROR(INDEX('זה אני - קליטה'!$AJ$5:$AJ$204,MATCH($A184&amp;"|תחילת שנה",'זה אני - קליטה'!$AF$5:$AF$204,0)),""))</f>
        <v/>
      </c>
      <c r="E184" s="37">
        <f>IF($A184="","",IFERROR(INDEX('זה אני - קליטה'!$AK$5:$AK$204,MATCH($A184&amp;"|תחילת שנה",'זה אני - קליטה'!$AF$5:$AF$204,0)),""))</f>
        <v/>
      </c>
      <c r="F184" s="37">
        <f>IF($A184="","",IFERROR(INDEX('זה אני - קליטה'!$AL$5:$AL$204,MATCH($A184&amp;"|תחילת שנה",'זה אני - קליטה'!$AF$5:$AF$204,0)),""))</f>
        <v/>
      </c>
      <c r="G184" s="36">
        <f>IF($A184="","",IFERROR(INDEX('זה אני - קליטה'!$AG$5:$AG$204,MATCH($A184&amp;"|תחילת שנה",'זה אני - קליטה'!$AF$5:$AF$204,0)),""))</f>
        <v/>
      </c>
      <c r="H184" s="37">
        <f>IF($A184="","",IFERROR(INDEX('זה אני - קליטה'!$AN$5:$AN$204,MATCH($A184&amp;"|תחילת שנה",'זה אני - קליטה'!$AF$5:$AF$204,0)),""))</f>
        <v/>
      </c>
      <c r="I184" s="36">
        <f>IF($A184="","",IFERROR(INDEX('זה אני - קליטה'!$AW$5:$AW$204,MATCH($A184&amp;"|תחילת שנה",'זה אני - קליטה'!$AF$5:$AF$204,0)),""))</f>
        <v/>
      </c>
      <c r="J184" s="37">
        <f>IF($A184="","",IFERROR(INDEX('זה אני - קליטה'!$AH$5:$AH$204,MATCH($A184&amp;"|אמצע שנה",'זה אני - קליטה'!$AF$5:$AF$204,0)),""))</f>
        <v/>
      </c>
      <c r="K184" s="37">
        <f>IF($A184="","",IFERROR(INDEX('זה אני - קליטה'!$AI$5:$AI$204,MATCH($A184&amp;"|אמצע שנה",'זה אני - קליטה'!$AF$5:$AF$204,0)),""))</f>
        <v/>
      </c>
      <c r="L184" s="37">
        <f>IF($A184="","",IFERROR(INDEX('זה אני - קליטה'!$AJ$5:$AJ$204,MATCH($A184&amp;"|אמצע שנה",'זה אני - קליטה'!$AF$5:$AF$204,0)),""))</f>
        <v/>
      </c>
      <c r="M184" s="37">
        <f>IF($A184="","",IFERROR(INDEX('זה אני - קליטה'!$AK$5:$AK$204,MATCH($A184&amp;"|אמצע שנה",'זה אני - קליטה'!$AF$5:$AF$204,0)),""))</f>
        <v/>
      </c>
      <c r="N184" s="37">
        <f>IF($A184="","",IFERROR(INDEX('זה אני - קליטה'!$AL$5:$AL$204,MATCH($A184&amp;"|אמצע שנה",'זה אני - קליטה'!$AF$5:$AF$204,0)),""))</f>
        <v/>
      </c>
      <c r="O184" s="36">
        <f>IF($A184="","",IFERROR(INDEX('זה אני - קליטה'!$AG$5:$AG$204,MATCH($A184&amp;"|אמצע שנה",'זה אני - קליטה'!$AF$5:$AF$204,0)),""))</f>
        <v/>
      </c>
      <c r="P184" s="37">
        <f>IF($A184="","",IFERROR(INDEX('זה אני - קליטה'!$AN$5:$AN$204,MATCH($A184&amp;"|אמצע שנה",'זה אני - קליטה'!$AF$5:$AF$204,0)),""))</f>
        <v/>
      </c>
      <c r="Q184" s="36">
        <f>IF($A184="","",IFERROR(INDEX('זה אני - קליטה'!$AW$5:$AW$204,MATCH($A184&amp;"|אמצע שנה",'זה אני - קליטה'!$AF$5:$AF$204,0)),""))</f>
        <v/>
      </c>
      <c r="R184" s="37">
        <f>IF($A184="","",IFERROR(INDEX('זה אני - קליטה'!$AH$5:$AH$204,MATCH($A184&amp;"|סוף שנה",'זה אני - קליטה'!$AF$5:$AF$204,0)),""))</f>
        <v/>
      </c>
      <c r="S184" s="37">
        <f>IF($A184="","",IFERROR(INDEX('זה אני - קליטה'!$AI$5:$AI$204,MATCH($A184&amp;"|סוף שנה",'זה אני - קליטה'!$AF$5:$AF$204,0)),""))</f>
        <v/>
      </c>
      <c r="T184" s="37">
        <f>IF($A184="","",IFERROR(INDEX('זה אני - קליטה'!$AJ$5:$AJ$204,MATCH($A184&amp;"|סוף שנה",'זה אני - קליטה'!$AF$5:$AF$204,0)),""))</f>
        <v/>
      </c>
      <c r="U184" s="37">
        <f>IF($A184="","",IFERROR(INDEX('זה אני - קליטה'!$AK$5:$AK$204,MATCH($A184&amp;"|סוף שנה",'זה אני - קליטה'!$AF$5:$AF$204,0)),""))</f>
        <v/>
      </c>
      <c r="V184" s="37">
        <f>IF($A184="","",IFERROR(INDEX('זה אני - קליטה'!$AL$5:$AL$204,MATCH($A184&amp;"|סוף שנה",'זה אני - קליטה'!$AF$5:$AF$204,0)),""))</f>
        <v/>
      </c>
      <c r="W184" s="36">
        <f>IF($A184="","",IFERROR(INDEX('זה אני - קליטה'!$AG$5:$AG$204,MATCH($A184&amp;"|סוף שנה",'זה אני - קליטה'!$AF$5:$AF$204,0)),""))</f>
        <v/>
      </c>
      <c r="X184" s="37">
        <f>IF($A184="","",IFERROR(INDEX('זה אני - קליטה'!$AN$5:$AN$204,MATCH($A184&amp;"|סוף שנה",'זה אני - קליטה'!$AF$5:$AF$204,0)),""))</f>
        <v/>
      </c>
      <c r="Y184" s="36">
        <f>IF($A184="","",IFERROR(INDEX('זה אני - קליטה'!$AW$5:$AW$204,MATCH($A184&amp;"|סוף שנה",'זה אני - קליטה'!$AF$5:$AF$204,0)),""))</f>
        <v/>
      </c>
      <c r="Z184" s="43">
        <f>IF(AND(ISNUMBER(F184),ISNUMBER(V184)),V184-F184,"")</f>
        <v/>
      </c>
      <c r="AA184" s="36">
        <f>IF(Z184="","",IF(Z184&gt;=0.25,"עלייה",IF(Z184&lt;=-0.25,"ירידה","יציב")))</f>
        <v/>
      </c>
    </row>
    <row r="185">
      <c r="A185" s="38" t="n"/>
      <c r="B185" s="37">
        <f>IF($A185="","",IFERROR(INDEX('זה אני - קליטה'!$AH$5:$AH$204,MATCH($A185&amp;"|תחילת שנה",'זה אני - קליטה'!$AF$5:$AF$204,0)),""))</f>
        <v/>
      </c>
      <c r="C185" s="37">
        <f>IF($A185="","",IFERROR(INDEX('זה אני - קליטה'!$AI$5:$AI$204,MATCH($A185&amp;"|תחילת שנה",'זה אני - קליטה'!$AF$5:$AF$204,0)),""))</f>
        <v/>
      </c>
      <c r="D185" s="37">
        <f>IF($A185="","",IFERROR(INDEX('זה אני - קליטה'!$AJ$5:$AJ$204,MATCH($A185&amp;"|תחילת שנה",'זה אני - קליטה'!$AF$5:$AF$204,0)),""))</f>
        <v/>
      </c>
      <c r="E185" s="37">
        <f>IF($A185="","",IFERROR(INDEX('זה אני - קליטה'!$AK$5:$AK$204,MATCH($A185&amp;"|תחילת שנה",'זה אני - קליטה'!$AF$5:$AF$204,0)),""))</f>
        <v/>
      </c>
      <c r="F185" s="37">
        <f>IF($A185="","",IFERROR(INDEX('זה אני - קליטה'!$AL$5:$AL$204,MATCH($A185&amp;"|תחילת שנה",'זה אני - קליטה'!$AF$5:$AF$204,0)),""))</f>
        <v/>
      </c>
      <c r="G185" s="36">
        <f>IF($A185="","",IFERROR(INDEX('זה אני - קליטה'!$AG$5:$AG$204,MATCH($A185&amp;"|תחילת שנה",'זה אני - קליטה'!$AF$5:$AF$204,0)),""))</f>
        <v/>
      </c>
      <c r="H185" s="37">
        <f>IF($A185="","",IFERROR(INDEX('זה אני - קליטה'!$AN$5:$AN$204,MATCH($A185&amp;"|תחילת שנה",'זה אני - קליטה'!$AF$5:$AF$204,0)),""))</f>
        <v/>
      </c>
      <c r="I185" s="36">
        <f>IF($A185="","",IFERROR(INDEX('זה אני - קליטה'!$AW$5:$AW$204,MATCH($A185&amp;"|תחילת שנה",'זה אני - קליטה'!$AF$5:$AF$204,0)),""))</f>
        <v/>
      </c>
      <c r="J185" s="37">
        <f>IF($A185="","",IFERROR(INDEX('זה אני - קליטה'!$AH$5:$AH$204,MATCH($A185&amp;"|אמצע שנה",'זה אני - קליטה'!$AF$5:$AF$204,0)),""))</f>
        <v/>
      </c>
      <c r="K185" s="37">
        <f>IF($A185="","",IFERROR(INDEX('זה אני - קליטה'!$AI$5:$AI$204,MATCH($A185&amp;"|אמצע שנה",'זה אני - קליטה'!$AF$5:$AF$204,0)),""))</f>
        <v/>
      </c>
      <c r="L185" s="37">
        <f>IF($A185="","",IFERROR(INDEX('זה אני - קליטה'!$AJ$5:$AJ$204,MATCH($A185&amp;"|אמצע שנה",'זה אני - קליטה'!$AF$5:$AF$204,0)),""))</f>
        <v/>
      </c>
      <c r="M185" s="37">
        <f>IF($A185="","",IFERROR(INDEX('זה אני - קליטה'!$AK$5:$AK$204,MATCH($A185&amp;"|אמצע שנה",'זה אני - קליטה'!$AF$5:$AF$204,0)),""))</f>
        <v/>
      </c>
      <c r="N185" s="37">
        <f>IF($A185="","",IFERROR(INDEX('זה אני - קליטה'!$AL$5:$AL$204,MATCH($A185&amp;"|אמצע שנה",'זה אני - קליטה'!$AF$5:$AF$204,0)),""))</f>
        <v/>
      </c>
      <c r="O185" s="36">
        <f>IF($A185="","",IFERROR(INDEX('זה אני - קליטה'!$AG$5:$AG$204,MATCH($A185&amp;"|אמצע שנה",'זה אני - קליטה'!$AF$5:$AF$204,0)),""))</f>
        <v/>
      </c>
      <c r="P185" s="37">
        <f>IF($A185="","",IFERROR(INDEX('זה אני - קליטה'!$AN$5:$AN$204,MATCH($A185&amp;"|אמצע שנה",'זה אני - קליטה'!$AF$5:$AF$204,0)),""))</f>
        <v/>
      </c>
      <c r="Q185" s="36">
        <f>IF($A185="","",IFERROR(INDEX('זה אני - קליטה'!$AW$5:$AW$204,MATCH($A185&amp;"|אמצע שנה",'זה אני - קליטה'!$AF$5:$AF$204,0)),""))</f>
        <v/>
      </c>
      <c r="R185" s="37">
        <f>IF($A185="","",IFERROR(INDEX('זה אני - קליטה'!$AH$5:$AH$204,MATCH($A185&amp;"|סוף שנה",'זה אני - קליטה'!$AF$5:$AF$204,0)),""))</f>
        <v/>
      </c>
      <c r="S185" s="37">
        <f>IF($A185="","",IFERROR(INDEX('זה אני - קליטה'!$AI$5:$AI$204,MATCH($A185&amp;"|סוף שנה",'זה אני - קליטה'!$AF$5:$AF$204,0)),""))</f>
        <v/>
      </c>
      <c r="T185" s="37">
        <f>IF($A185="","",IFERROR(INDEX('זה אני - קליטה'!$AJ$5:$AJ$204,MATCH($A185&amp;"|סוף שנה",'זה אני - קליטה'!$AF$5:$AF$204,0)),""))</f>
        <v/>
      </c>
      <c r="U185" s="37">
        <f>IF($A185="","",IFERROR(INDEX('זה אני - קליטה'!$AK$5:$AK$204,MATCH($A185&amp;"|סוף שנה",'זה אני - קליטה'!$AF$5:$AF$204,0)),""))</f>
        <v/>
      </c>
      <c r="V185" s="37">
        <f>IF($A185="","",IFERROR(INDEX('זה אני - קליטה'!$AL$5:$AL$204,MATCH($A185&amp;"|סוף שנה",'זה אני - קליטה'!$AF$5:$AF$204,0)),""))</f>
        <v/>
      </c>
      <c r="W185" s="36">
        <f>IF($A185="","",IFERROR(INDEX('זה אני - קליטה'!$AG$5:$AG$204,MATCH($A185&amp;"|סוף שנה",'זה אני - קליטה'!$AF$5:$AF$204,0)),""))</f>
        <v/>
      </c>
      <c r="X185" s="37">
        <f>IF($A185="","",IFERROR(INDEX('זה אני - קליטה'!$AN$5:$AN$204,MATCH($A185&amp;"|סוף שנה",'זה אני - קליטה'!$AF$5:$AF$204,0)),""))</f>
        <v/>
      </c>
      <c r="Y185" s="36">
        <f>IF($A185="","",IFERROR(INDEX('זה אני - קליטה'!$AW$5:$AW$204,MATCH($A185&amp;"|סוף שנה",'זה אני - קליטה'!$AF$5:$AF$204,0)),""))</f>
        <v/>
      </c>
      <c r="Z185" s="43">
        <f>IF(AND(ISNUMBER(F185),ISNUMBER(V185)),V185-F185,"")</f>
        <v/>
      </c>
      <c r="AA185" s="36">
        <f>IF(Z185="","",IF(Z185&gt;=0.25,"עלייה",IF(Z185&lt;=-0.25,"ירידה","יציב")))</f>
        <v/>
      </c>
    </row>
    <row r="186">
      <c r="A186" s="38" t="n"/>
      <c r="B186" s="37">
        <f>IF($A186="","",IFERROR(INDEX('זה אני - קליטה'!$AH$5:$AH$204,MATCH($A186&amp;"|תחילת שנה",'זה אני - קליטה'!$AF$5:$AF$204,0)),""))</f>
        <v/>
      </c>
      <c r="C186" s="37">
        <f>IF($A186="","",IFERROR(INDEX('זה אני - קליטה'!$AI$5:$AI$204,MATCH($A186&amp;"|תחילת שנה",'זה אני - קליטה'!$AF$5:$AF$204,0)),""))</f>
        <v/>
      </c>
      <c r="D186" s="37">
        <f>IF($A186="","",IFERROR(INDEX('זה אני - קליטה'!$AJ$5:$AJ$204,MATCH($A186&amp;"|תחילת שנה",'זה אני - קליטה'!$AF$5:$AF$204,0)),""))</f>
        <v/>
      </c>
      <c r="E186" s="37">
        <f>IF($A186="","",IFERROR(INDEX('זה אני - קליטה'!$AK$5:$AK$204,MATCH($A186&amp;"|תחילת שנה",'זה אני - קליטה'!$AF$5:$AF$204,0)),""))</f>
        <v/>
      </c>
      <c r="F186" s="37">
        <f>IF($A186="","",IFERROR(INDEX('זה אני - קליטה'!$AL$5:$AL$204,MATCH($A186&amp;"|תחילת שנה",'זה אני - קליטה'!$AF$5:$AF$204,0)),""))</f>
        <v/>
      </c>
      <c r="G186" s="36">
        <f>IF($A186="","",IFERROR(INDEX('זה אני - קליטה'!$AG$5:$AG$204,MATCH($A186&amp;"|תחילת שנה",'זה אני - קליטה'!$AF$5:$AF$204,0)),""))</f>
        <v/>
      </c>
      <c r="H186" s="37">
        <f>IF($A186="","",IFERROR(INDEX('זה אני - קליטה'!$AN$5:$AN$204,MATCH($A186&amp;"|תחילת שנה",'זה אני - קליטה'!$AF$5:$AF$204,0)),""))</f>
        <v/>
      </c>
      <c r="I186" s="36">
        <f>IF($A186="","",IFERROR(INDEX('זה אני - קליטה'!$AW$5:$AW$204,MATCH($A186&amp;"|תחילת שנה",'זה אני - קליטה'!$AF$5:$AF$204,0)),""))</f>
        <v/>
      </c>
      <c r="J186" s="37">
        <f>IF($A186="","",IFERROR(INDEX('זה אני - קליטה'!$AH$5:$AH$204,MATCH($A186&amp;"|אמצע שנה",'זה אני - קליטה'!$AF$5:$AF$204,0)),""))</f>
        <v/>
      </c>
      <c r="K186" s="37">
        <f>IF($A186="","",IFERROR(INDEX('זה אני - קליטה'!$AI$5:$AI$204,MATCH($A186&amp;"|אמצע שנה",'זה אני - קליטה'!$AF$5:$AF$204,0)),""))</f>
        <v/>
      </c>
      <c r="L186" s="37">
        <f>IF($A186="","",IFERROR(INDEX('זה אני - קליטה'!$AJ$5:$AJ$204,MATCH($A186&amp;"|אמצע שנה",'זה אני - קליטה'!$AF$5:$AF$204,0)),""))</f>
        <v/>
      </c>
      <c r="M186" s="37">
        <f>IF($A186="","",IFERROR(INDEX('זה אני - קליטה'!$AK$5:$AK$204,MATCH($A186&amp;"|אמצע שנה",'זה אני - קליטה'!$AF$5:$AF$204,0)),""))</f>
        <v/>
      </c>
      <c r="N186" s="37">
        <f>IF($A186="","",IFERROR(INDEX('זה אני - קליטה'!$AL$5:$AL$204,MATCH($A186&amp;"|אמצע שנה",'זה אני - קליטה'!$AF$5:$AF$204,0)),""))</f>
        <v/>
      </c>
      <c r="O186" s="36">
        <f>IF($A186="","",IFERROR(INDEX('זה אני - קליטה'!$AG$5:$AG$204,MATCH($A186&amp;"|אמצע שנה",'זה אני - קליטה'!$AF$5:$AF$204,0)),""))</f>
        <v/>
      </c>
      <c r="P186" s="37">
        <f>IF($A186="","",IFERROR(INDEX('זה אני - קליטה'!$AN$5:$AN$204,MATCH($A186&amp;"|אמצע שנה",'זה אני - קליטה'!$AF$5:$AF$204,0)),""))</f>
        <v/>
      </c>
      <c r="Q186" s="36">
        <f>IF($A186="","",IFERROR(INDEX('זה אני - קליטה'!$AW$5:$AW$204,MATCH($A186&amp;"|אמצע שנה",'זה אני - קליטה'!$AF$5:$AF$204,0)),""))</f>
        <v/>
      </c>
      <c r="R186" s="37">
        <f>IF($A186="","",IFERROR(INDEX('זה אני - קליטה'!$AH$5:$AH$204,MATCH($A186&amp;"|סוף שנה",'זה אני - קליטה'!$AF$5:$AF$204,0)),""))</f>
        <v/>
      </c>
      <c r="S186" s="37">
        <f>IF($A186="","",IFERROR(INDEX('זה אני - קליטה'!$AI$5:$AI$204,MATCH($A186&amp;"|סוף שנה",'זה אני - קליטה'!$AF$5:$AF$204,0)),""))</f>
        <v/>
      </c>
      <c r="T186" s="37">
        <f>IF($A186="","",IFERROR(INDEX('זה אני - קליטה'!$AJ$5:$AJ$204,MATCH($A186&amp;"|סוף שנה",'זה אני - קליטה'!$AF$5:$AF$204,0)),""))</f>
        <v/>
      </c>
      <c r="U186" s="37">
        <f>IF($A186="","",IFERROR(INDEX('זה אני - קליטה'!$AK$5:$AK$204,MATCH($A186&amp;"|סוף שנה",'זה אני - קליטה'!$AF$5:$AF$204,0)),""))</f>
        <v/>
      </c>
      <c r="V186" s="37">
        <f>IF($A186="","",IFERROR(INDEX('זה אני - קליטה'!$AL$5:$AL$204,MATCH($A186&amp;"|סוף שנה",'זה אני - קליטה'!$AF$5:$AF$204,0)),""))</f>
        <v/>
      </c>
      <c r="W186" s="36">
        <f>IF($A186="","",IFERROR(INDEX('זה אני - קליטה'!$AG$5:$AG$204,MATCH($A186&amp;"|סוף שנה",'זה אני - קליטה'!$AF$5:$AF$204,0)),""))</f>
        <v/>
      </c>
      <c r="X186" s="37">
        <f>IF($A186="","",IFERROR(INDEX('זה אני - קליטה'!$AN$5:$AN$204,MATCH($A186&amp;"|סוף שנה",'זה אני - קליטה'!$AF$5:$AF$204,0)),""))</f>
        <v/>
      </c>
      <c r="Y186" s="36">
        <f>IF($A186="","",IFERROR(INDEX('זה אני - קליטה'!$AW$5:$AW$204,MATCH($A186&amp;"|סוף שנה",'זה אני - קליטה'!$AF$5:$AF$204,0)),""))</f>
        <v/>
      </c>
      <c r="Z186" s="43">
        <f>IF(AND(ISNUMBER(F186),ISNUMBER(V186)),V186-F186,"")</f>
        <v/>
      </c>
      <c r="AA186" s="36">
        <f>IF(Z186="","",IF(Z186&gt;=0.25,"עלייה",IF(Z186&lt;=-0.25,"ירידה","יציב")))</f>
        <v/>
      </c>
    </row>
    <row r="187">
      <c r="A187" s="38" t="n"/>
      <c r="B187" s="37">
        <f>IF($A187="","",IFERROR(INDEX('זה אני - קליטה'!$AH$5:$AH$204,MATCH($A187&amp;"|תחילת שנה",'זה אני - קליטה'!$AF$5:$AF$204,0)),""))</f>
        <v/>
      </c>
      <c r="C187" s="37">
        <f>IF($A187="","",IFERROR(INDEX('זה אני - קליטה'!$AI$5:$AI$204,MATCH($A187&amp;"|תחילת שנה",'זה אני - קליטה'!$AF$5:$AF$204,0)),""))</f>
        <v/>
      </c>
      <c r="D187" s="37">
        <f>IF($A187="","",IFERROR(INDEX('זה אני - קליטה'!$AJ$5:$AJ$204,MATCH($A187&amp;"|תחילת שנה",'זה אני - קליטה'!$AF$5:$AF$204,0)),""))</f>
        <v/>
      </c>
      <c r="E187" s="37">
        <f>IF($A187="","",IFERROR(INDEX('זה אני - קליטה'!$AK$5:$AK$204,MATCH($A187&amp;"|תחילת שנה",'זה אני - קליטה'!$AF$5:$AF$204,0)),""))</f>
        <v/>
      </c>
      <c r="F187" s="37">
        <f>IF($A187="","",IFERROR(INDEX('זה אני - קליטה'!$AL$5:$AL$204,MATCH($A187&amp;"|תחילת שנה",'זה אני - קליטה'!$AF$5:$AF$204,0)),""))</f>
        <v/>
      </c>
      <c r="G187" s="36">
        <f>IF($A187="","",IFERROR(INDEX('זה אני - קליטה'!$AG$5:$AG$204,MATCH($A187&amp;"|תחילת שנה",'זה אני - קליטה'!$AF$5:$AF$204,0)),""))</f>
        <v/>
      </c>
      <c r="H187" s="37">
        <f>IF($A187="","",IFERROR(INDEX('זה אני - קליטה'!$AN$5:$AN$204,MATCH($A187&amp;"|תחילת שנה",'זה אני - קליטה'!$AF$5:$AF$204,0)),""))</f>
        <v/>
      </c>
      <c r="I187" s="36">
        <f>IF($A187="","",IFERROR(INDEX('זה אני - קליטה'!$AW$5:$AW$204,MATCH($A187&amp;"|תחילת שנה",'זה אני - קליטה'!$AF$5:$AF$204,0)),""))</f>
        <v/>
      </c>
      <c r="J187" s="37">
        <f>IF($A187="","",IFERROR(INDEX('זה אני - קליטה'!$AH$5:$AH$204,MATCH($A187&amp;"|אמצע שנה",'זה אני - קליטה'!$AF$5:$AF$204,0)),""))</f>
        <v/>
      </c>
      <c r="K187" s="37">
        <f>IF($A187="","",IFERROR(INDEX('זה אני - קליטה'!$AI$5:$AI$204,MATCH($A187&amp;"|אמצע שנה",'זה אני - קליטה'!$AF$5:$AF$204,0)),""))</f>
        <v/>
      </c>
      <c r="L187" s="37">
        <f>IF($A187="","",IFERROR(INDEX('זה אני - קליטה'!$AJ$5:$AJ$204,MATCH($A187&amp;"|אמצע שנה",'זה אני - קליטה'!$AF$5:$AF$204,0)),""))</f>
        <v/>
      </c>
      <c r="M187" s="37">
        <f>IF($A187="","",IFERROR(INDEX('זה אני - קליטה'!$AK$5:$AK$204,MATCH($A187&amp;"|אמצע שנה",'זה אני - קליטה'!$AF$5:$AF$204,0)),""))</f>
        <v/>
      </c>
      <c r="N187" s="37">
        <f>IF($A187="","",IFERROR(INDEX('זה אני - קליטה'!$AL$5:$AL$204,MATCH($A187&amp;"|אמצע שנה",'זה אני - קליטה'!$AF$5:$AF$204,0)),""))</f>
        <v/>
      </c>
      <c r="O187" s="36">
        <f>IF($A187="","",IFERROR(INDEX('זה אני - קליטה'!$AG$5:$AG$204,MATCH($A187&amp;"|אמצע שנה",'זה אני - קליטה'!$AF$5:$AF$204,0)),""))</f>
        <v/>
      </c>
      <c r="P187" s="37">
        <f>IF($A187="","",IFERROR(INDEX('זה אני - קליטה'!$AN$5:$AN$204,MATCH($A187&amp;"|אמצע שנה",'זה אני - קליטה'!$AF$5:$AF$204,0)),""))</f>
        <v/>
      </c>
      <c r="Q187" s="36">
        <f>IF($A187="","",IFERROR(INDEX('זה אני - קליטה'!$AW$5:$AW$204,MATCH($A187&amp;"|אמצע שנה",'זה אני - קליטה'!$AF$5:$AF$204,0)),""))</f>
        <v/>
      </c>
      <c r="R187" s="37">
        <f>IF($A187="","",IFERROR(INDEX('זה אני - קליטה'!$AH$5:$AH$204,MATCH($A187&amp;"|סוף שנה",'זה אני - קליטה'!$AF$5:$AF$204,0)),""))</f>
        <v/>
      </c>
      <c r="S187" s="37">
        <f>IF($A187="","",IFERROR(INDEX('זה אני - קליטה'!$AI$5:$AI$204,MATCH($A187&amp;"|סוף שנה",'זה אני - קליטה'!$AF$5:$AF$204,0)),""))</f>
        <v/>
      </c>
      <c r="T187" s="37">
        <f>IF($A187="","",IFERROR(INDEX('זה אני - קליטה'!$AJ$5:$AJ$204,MATCH($A187&amp;"|סוף שנה",'זה אני - קליטה'!$AF$5:$AF$204,0)),""))</f>
        <v/>
      </c>
      <c r="U187" s="37">
        <f>IF($A187="","",IFERROR(INDEX('זה אני - קליטה'!$AK$5:$AK$204,MATCH($A187&amp;"|סוף שנה",'זה אני - קליטה'!$AF$5:$AF$204,0)),""))</f>
        <v/>
      </c>
      <c r="V187" s="37">
        <f>IF($A187="","",IFERROR(INDEX('זה אני - קליטה'!$AL$5:$AL$204,MATCH($A187&amp;"|סוף שנה",'זה אני - קליטה'!$AF$5:$AF$204,0)),""))</f>
        <v/>
      </c>
      <c r="W187" s="36">
        <f>IF($A187="","",IFERROR(INDEX('זה אני - קליטה'!$AG$5:$AG$204,MATCH($A187&amp;"|סוף שנה",'זה אני - קליטה'!$AF$5:$AF$204,0)),""))</f>
        <v/>
      </c>
      <c r="X187" s="37">
        <f>IF($A187="","",IFERROR(INDEX('זה אני - קליטה'!$AN$5:$AN$204,MATCH($A187&amp;"|סוף שנה",'זה אני - קליטה'!$AF$5:$AF$204,0)),""))</f>
        <v/>
      </c>
      <c r="Y187" s="36">
        <f>IF($A187="","",IFERROR(INDEX('זה אני - קליטה'!$AW$5:$AW$204,MATCH($A187&amp;"|סוף שנה",'זה אני - קליטה'!$AF$5:$AF$204,0)),""))</f>
        <v/>
      </c>
      <c r="Z187" s="43">
        <f>IF(AND(ISNUMBER(F187),ISNUMBER(V187)),V187-F187,"")</f>
        <v/>
      </c>
      <c r="AA187" s="36">
        <f>IF(Z187="","",IF(Z187&gt;=0.25,"עלייה",IF(Z187&lt;=-0.25,"ירידה","יציב")))</f>
        <v/>
      </c>
    </row>
    <row r="188">
      <c r="A188" s="38" t="n"/>
      <c r="B188" s="37">
        <f>IF($A188="","",IFERROR(INDEX('זה אני - קליטה'!$AH$5:$AH$204,MATCH($A188&amp;"|תחילת שנה",'זה אני - קליטה'!$AF$5:$AF$204,0)),""))</f>
        <v/>
      </c>
      <c r="C188" s="37">
        <f>IF($A188="","",IFERROR(INDEX('זה אני - קליטה'!$AI$5:$AI$204,MATCH($A188&amp;"|תחילת שנה",'זה אני - קליטה'!$AF$5:$AF$204,0)),""))</f>
        <v/>
      </c>
      <c r="D188" s="37">
        <f>IF($A188="","",IFERROR(INDEX('זה אני - קליטה'!$AJ$5:$AJ$204,MATCH($A188&amp;"|תחילת שנה",'זה אני - קליטה'!$AF$5:$AF$204,0)),""))</f>
        <v/>
      </c>
      <c r="E188" s="37">
        <f>IF($A188="","",IFERROR(INDEX('זה אני - קליטה'!$AK$5:$AK$204,MATCH($A188&amp;"|תחילת שנה",'זה אני - קליטה'!$AF$5:$AF$204,0)),""))</f>
        <v/>
      </c>
      <c r="F188" s="37">
        <f>IF($A188="","",IFERROR(INDEX('זה אני - קליטה'!$AL$5:$AL$204,MATCH($A188&amp;"|תחילת שנה",'זה אני - קליטה'!$AF$5:$AF$204,0)),""))</f>
        <v/>
      </c>
      <c r="G188" s="36">
        <f>IF($A188="","",IFERROR(INDEX('זה אני - קליטה'!$AG$5:$AG$204,MATCH($A188&amp;"|תחילת שנה",'זה אני - קליטה'!$AF$5:$AF$204,0)),""))</f>
        <v/>
      </c>
      <c r="H188" s="37">
        <f>IF($A188="","",IFERROR(INDEX('זה אני - קליטה'!$AN$5:$AN$204,MATCH($A188&amp;"|תחילת שנה",'זה אני - קליטה'!$AF$5:$AF$204,0)),""))</f>
        <v/>
      </c>
      <c r="I188" s="36">
        <f>IF($A188="","",IFERROR(INDEX('זה אני - קליטה'!$AW$5:$AW$204,MATCH($A188&amp;"|תחילת שנה",'זה אני - קליטה'!$AF$5:$AF$204,0)),""))</f>
        <v/>
      </c>
      <c r="J188" s="37">
        <f>IF($A188="","",IFERROR(INDEX('זה אני - קליטה'!$AH$5:$AH$204,MATCH($A188&amp;"|אמצע שנה",'זה אני - קליטה'!$AF$5:$AF$204,0)),""))</f>
        <v/>
      </c>
      <c r="K188" s="37">
        <f>IF($A188="","",IFERROR(INDEX('זה אני - קליטה'!$AI$5:$AI$204,MATCH($A188&amp;"|אמצע שנה",'זה אני - קליטה'!$AF$5:$AF$204,0)),""))</f>
        <v/>
      </c>
      <c r="L188" s="37">
        <f>IF($A188="","",IFERROR(INDEX('זה אני - קליטה'!$AJ$5:$AJ$204,MATCH($A188&amp;"|אמצע שנה",'זה אני - קליטה'!$AF$5:$AF$204,0)),""))</f>
        <v/>
      </c>
      <c r="M188" s="37">
        <f>IF($A188="","",IFERROR(INDEX('זה אני - קליטה'!$AK$5:$AK$204,MATCH($A188&amp;"|אמצע שנה",'זה אני - קליטה'!$AF$5:$AF$204,0)),""))</f>
        <v/>
      </c>
      <c r="N188" s="37">
        <f>IF($A188="","",IFERROR(INDEX('זה אני - קליטה'!$AL$5:$AL$204,MATCH($A188&amp;"|אמצע שנה",'זה אני - קליטה'!$AF$5:$AF$204,0)),""))</f>
        <v/>
      </c>
      <c r="O188" s="36">
        <f>IF($A188="","",IFERROR(INDEX('זה אני - קליטה'!$AG$5:$AG$204,MATCH($A188&amp;"|אמצע שנה",'זה אני - קליטה'!$AF$5:$AF$204,0)),""))</f>
        <v/>
      </c>
      <c r="P188" s="37">
        <f>IF($A188="","",IFERROR(INDEX('זה אני - קליטה'!$AN$5:$AN$204,MATCH($A188&amp;"|אמצע שנה",'זה אני - קליטה'!$AF$5:$AF$204,0)),""))</f>
        <v/>
      </c>
      <c r="Q188" s="36">
        <f>IF($A188="","",IFERROR(INDEX('זה אני - קליטה'!$AW$5:$AW$204,MATCH($A188&amp;"|אמצע שנה",'זה אני - קליטה'!$AF$5:$AF$204,0)),""))</f>
        <v/>
      </c>
      <c r="R188" s="37">
        <f>IF($A188="","",IFERROR(INDEX('זה אני - קליטה'!$AH$5:$AH$204,MATCH($A188&amp;"|סוף שנה",'זה אני - קליטה'!$AF$5:$AF$204,0)),""))</f>
        <v/>
      </c>
      <c r="S188" s="37">
        <f>IF($A188="","",IFERROR(INDEX('זה אני - קליטה'!$AI$5:$AI$204,MATCH($A188&amp;"|סוף שנה",'זה אני - קליטה'!$AF$5:$AF$204,0)),""))</f>
        <v/>
      </c>
      <c r="T188" s="37">
        <f>IF($A188="","",IFERROR(INDEX('זה אני - קליטה'!$AJ$5:$AJ$204,MATCH($A188&amp;"|סוף שנה",'זה אני - קליטה'!$AF$5:$AF$204,0)),""))</f>
        <v/>
      </c>
      <c r="U188" s="37">
        <f>IF($A188="","",IFERROR(INDEX('זה אני - קליטה'!$AK$5:$AK$204,MATCH($A188&amp;"|סוף שנה",'זה אני - קליטה'!$AF$5:$AF$204,0)),""))</f>
        <v/>
      </c>
      <c r="V188" s="37">
        <f>IF($A188="","",IFERROR(INDEX('זה אני - קליטה'!$AL$5:$AL$204,MATCH($A188&amp;"|סוף שנה",'זה אני - קליטה'!$AF$5:$AF$204,0)),""))</f>
        <v/>
      </c>
      <c r="W188" s="36">
        <f>IF($A188="","",IFERROR(INDEX('זה אני - קליטה'!$AG$5:$AG$204,MATCH($A188&amp;"|סוף שנה",'זה אני - קליטה'!$AF$5:$AF$204,0)),""))</f>
        <v/>
      </c>
      <c r="X188" s="37">
        <f>IF($A188="","",IFERROR(INDEX('זה אני - קליטה'!$AN$5:$AN$204,MATCH($A188&amp;"|סוף שנה",'זה אני - קליטה'!$AF$5:$AF$204,0)),""))</f>
        <v/>
      </c>
      <c r="Y188" s="36">
        <f>IF($A188="","",IFERROR(INDEX('זה אני - קליטה'!$AW$5:$AW$204,MATCH($A188&amp;"|סוף שנה",'זה אני - קליטה'!$AF$5:$AF$204,0)),""))</f>
        <v/>
      </c>
      <c r="Z188" s="43">
        <f>IF(AND(ISNUMBER(F188),ISNUMBER(V188)),V188-F188,"")</f>
        <v/>
      </c>
      <c r="AA188" s="36">
        <f>IF(Z188="","",IF(Z188&gt;=0.25,"עלייה",IF(Z188&lt;=-0.25,"ירידה","יציב")))</f>
        <v/>
      </c>
    </row>
    <row r="189">
      <c r="A189" s="38" t="n"/>
      <c r="B189" s="37">
        <f>IF($A189="","",IFERROR(INDEX('זה אני - קליטה'!$AH$5:$AH$204,MATCH($A189&amp;"|תחילת שנה",'זה אני - קליטה'!$AF$5:$AF$204,0)),""))</f>
        <v/>
      </c>
      <c r="C189" s="37">
        <f>IF($A189="","",IFERROR(INDEX('זה אני - קליטה'!$AI$5:$AI$204,MATCH($A189&amp;"|תחילת שנה",'זה אני - קליטה'!$AF$5:$AF$204,0)),""))</f>
        <v/>
      </c>
      <c r="D189" s="37">
        <f>IF($A189="","",IFERROR(INDEX('זה אני - קליטה'!$AJ$5:$AJ$204,MATCH($A189&amp;"|תחילת שנה",'זה אני - קליטה'!$AF$5:$AF$204,0)),""))</f>
        <v/>
      </c>
      <c r="E189" s="37">
        <f>IF($A189="","",IFERROR(INDEX('זה אני - קליטה'!$AK$5:$AK$204,MATCH($A189&amp;"|תחילת שנה",'זה אני - קליטה'!$AF$5:$AF$204,0)),""))</f>
        <v/>
      </c>
      <c r="F189" s="37">
        <f>IF($A189="","",IFERROR(INDEX('זה אני - קליטה'!$AL$5:$AL$204,MATCH($A189&amp;"|תחילת שנה",'זה אני - קליטה'!$AF$5:$AF$204,0)),""))</f>
        <v/>
      </c>
      <c r="G189" s="36">
        <f>IF($A189="","",IFERROR(INDEX('זה אני - קליטה'!$AG$5:$AG$204,MATCH($A189&amp;"|תחילת שנה",'זה אני - קליטה'!$AF$5:$AF$204,0)),""))</f>
        <v/>
      </c>
      <c r="H189" s="37">
        <f>IF($A189="","",IFERROR(INDEX('זה אני - קליטה'!$AN$5:$AN$204,MATCH($A189&amp;"|תחילת שנה",'זה אני - קליטה'!$AF$5:$AF$204,0)),""))</f>
        <v/>
      </c>
      <c r="I189" s="36">
        <f>IF($A189="","",IFERROR(INDEX('זה אני - קליטה'!$AW$5:$AW$204,MATCH($A189&amp;"|תחילת שנה",'זה אני - קליטה'!$AF$5:$AF$204,0)),""))</f>
        <v/>
      </c>
      <c r="J189" s="37">
        <f>IF($A189="","",IFERROR(INDEX('זה אני - קליטה'!$AH$5:$AH$204,MATCH($A189&amp;"|אמצע שנה",'זה אני - קליטה'!$AF$5:$AF$204,0)),""))</f>
        <v/>
      </c>
      <c r="K189" s="37">
        <f>IF($A189="","",IFERROR(INDEX('זה אני - קליטה'!$AI$5:$AI$204,MATCH($A189&amp;"|אמצע שנה",'זה אני - קליטה'!$AF$5:$AF$204,0)),""))</f>
        <v/>
      </c>
      <c r="L189" s="37">
        <f>IF($A189="","",IFERROR(INDEX('זה אני - קליטה'!$AJ$5:$AJ$204,MATCH($A189&amp;"|אמצע שנה",'זה אני - קליטה'!$AF$5:$AF$204,0)),""))</f>
        <v/>
      </c>
      <c r="M189" s="37">
        <f>IF($A189="","",IFERROR(INDEX('זה אני - קליטה'!$AK$5:$AK$204,MATCH($A189&amp;"|אמצע שנה",'זה אני - קליטה'!$AF$5:$AF$204,0)),""))</f>
        <v/>
      </c>
      <c r="N189" s="37">
        <f>IF($A189="","",IFERROR(INDEX('זה אני - קליטה'!$AL$5:$AL$204,MATCH($A189&amp;"|אמצע שנה",'זה אני - קליטה'!$AF$5:$AF$204,0)),""))</f>
        <v/>
      </c>
      <c r="O189" s="36">
        <f>IF($A189="","",IFERROR(INDEX('זה אני - קליטה'!$AG$5:$AG$204,MATCH($A189&amp;"|אמצע שנה",'זה אני - קליטה'!$AF$5:$AF$204,0)),""))</f>
        <v/>
      </c>
      <c r="P189" s="37">
        <f>IF($A189="","",IFERROR(INDEX('זה אני - קליטה'!$AN$5:$AN$204,MATCH($A189&amp;"|אמצע שנה",'זה אני - קליטה'!$AF$5:$AF$204,0)),""))</f>
        <v/>
      </c>
      <c r="Q189" s="36">
        <f>IF($A189="","",IFERROR(INDEX('זה אני - קליטה'!$AW$5:$AW$204,MATCH($A189&amp;"|אמצע שנה",'זה אני - קליטה'!$AF$5:$AF$204,0)),""))</f>
        <v/>
      </c>
      <c r="R189" s="37">
        <f>IF($A189="","",IFERROR(INDEX('זה אני - קליטה'!$AH$5:$AH$204,MATCH($A189&amp;"|סוף שנה",'זה אני - קליטה'!$AF$5:$AF$204,0)),""))</f>
        <v/>
      </c>
      <c r="S189" s="37">
        <f>IF($A189="","",IFERROR(INDEX('זה אני - קליטה'!$AI$5:$AI$204,MATCH($A189&amp;"|סוף שנה",'זה אני - קליטה'!$AF$5:$AF$204,0)),""))</f>
        <v/>
      </c>
      <c r="T189" s="37">
        <f>IF($A189="","",IFERROR(INDEX('זה אני - קליטה'!$AJ$5:$AJ$204,MATCH($A189&amp;"|סוף שנה",'זה אני - קליטה'!$AF$5:$AF$204,0)),""))</f>
        <v/>
      </c>
      <c r="U189" s="37">
        <f>IF($A189="","",IFERROR(INDEX('זה אני - קליטה'!$AK$5:$AK$204,MATCH($A189&amp;"|סוף שנה",'זה אני - קליטה'!$AF$5:$AF$204,0)),""))</f>
        <v/>
      </c>
      <c r="V189" s="37">
        <f>IF($A189="","",IFERROR(INDEX('זה אני - קליטה'!$AL$5:$AL$204,MATCH($A189&amp;"|סוף שנה",'זה אני - קליטה'!$AF$5:$AF$204,0)),""))</f>
        <v/>
      </c>
      <c r="W189" s="36">
        <f>IF($A189="","",IFERROR(INDEX('זה אני - קליטה'!$AG$5:$AG$204,MATCH($A189&amp;"|סוף שנה",'זה אני - קליטה'!$AF$5:$AF$204,0)),""))</f>
        <v/>
      </c>
      <c r="X189" s="37">
        <f>IF($A189="","",IFERROR(INDEX('זה אני - קליטה'!$AN$5:$AN$204,MATCH($A189&amp;"|סוף שנה",'זה אני - קליטה'!$AF$5:$AF$204,0)),""))</f>
        <v/>
      </c>
      <c r="Y189" s="36">
        <f>IF($A189="","",IFERROR(INDEX('זה אני - קליטה'!$AW$5:$AW$204,MATCH($A189&amp;"|סוף שנה",'זה אני - קליטה'!$AF$5:$AF$204,0)),""))</f>
        <v/>
      </c>
      <c r="Z189" s="43">
        <f>IF(AND(ISNUMBER(F189),ISNUMBER(V189)),V189-F189,"")</f>
        <v/>
      </c>
      <c r="AA189" s="36">
        <f>IF(Z189="","",IF(Z189&gt;=0.25,"עלייה",IF(Z189&lt;=-0.25,"ירידה","יציב")))</f>
        <v/>
      </c>
    </row>
    <row r="190">
      <c r="A190" s="38" t="n"/>
      <c r="B190" s="37">
        <f>IF($A190="","",IFERROR(INDEX('זה אני - קליטה'!$AH$5:$AH$204,MATCH($A190&amp;"|תחילת שנה",'זה אני - קליטה'!$AF$5:$AF$204,0)),""))</f>
        <v/>
      </c>
      <c r="C190" s="37">
        <f>IF($A190="","",IFERROR(INDEX('זה אני - קליטה'!$AI$5:$AI$204,MATCH($A190&amp;"|תחילת שנה",'זה אני - קליטה'!$AF$5:$AF$204,0)),""))</f>
        <v/>
      </c>
      <c r="D190" s="37">
        <f>IF($A190="","",IFERROR(INDEX('זה אני - קליטה'!$AJ$5:$AJ$204,MATCH($A190&amp;"|תחילת שנה",'זה אני - קליטה'!$AF$5:$AF$204,0)),""))</f>
        <v/>
      </c>
      <c r="E190" s="37">
        <f>IF($A190="","",IFERROR(INDEX('זה אני - קליטה'!$AK$5:$AK$204,MATCH($A190&amp;"|תחילת שנה",'זה אני - קליטה'!$AF$5:$AF$204,0)),""))</f>
        <v/>
      </c>
      <c r="F190" s="37">
        <f>IF($A190="","",IFERROR(INDEX('זה אני - קליטה'!$AL$5:$AL$204,MATCH($A190&amp;"|תחילת שנה",'זה אני - קליטה'!$AF$5:$AF$204,0)),""))</f>
        <v/>
      </c>
      <c r="G190" s="36">
        <f>IF($A190="","",IFERROR(INDEX('זה אני - קליטה'!$AG$5:$AG$204,MATCH($A190&amp;"|תחילת שנה",'זה אני - קליטה'!$AF$5:$AF$204,0)),""))</f>
        <v/>
      </c>
      <c r="H190" s="37">
        <f>IF($A190="","",IFERROR(INDEX('זה אני - קליטה'!$AN$5:$AN$204,MATCH($A190&amp;"|תחילת שנה",'זה אני - קליטה'!$AF$5:$AF$204,0)),""))</f>
        <v/>
      </c>
      <c r="I190" s="36">
        <f>IF($A190="","",IFERROR(INDEX('זה אני - קליטה'!$AW$5:$AW$204,MATCH($A190&amp;"|תחילת שנה",'זה אני - קליטה'!$AF$5:$AF$204,0)),""))</f>
        <v/>
      </c>
      <c r="J190" s="37">
        <f>IF($A190="","",IFERROR(INDEX('זה אני - קליטה'!$AH$5:$AH$204,MATCH($A190&amp;"|אמצע שנה",'זה אני - קליטה'!$AF$5:$AF$204,0)),""))</f>
        <v/>
      </c>
      <c r="K190" s="37">
        <f>IF($A190="","",IFERROR(INDEX('זה אני - קליטה'!$AI$5:$AI$204,MATCH($A190&amp;"|אמצע שנה",'זה אני - קליטה'!$AF$5:$AF$204,0)),""))</f>
        <v/>
      </c>
      <c r="L190" s="37">
        <f>IF($A190="","",IFERROR(INDEX('זה אני - קליטה'!$AJ$5:$AJ$204,MATCH($A190&amp;"|אמצע שנה",'זה אני - קליטה'!$AF$5:$AF$204,0)),""))</f>
        <v/>
      </c>
      <c r="M190" s="37">
        <f>IF($A190="","",IFERROR(INDEX('זה אני - קליטה'!$AK$5:$AK$204,MATCH($A190&amp;"|אמצע שנה",'זה אני - קליטה'!$AF$5:$AF$204,0)),""))</f>
        <v/>
      </c>
      <c r="N190" s="37">
        <f>IF($A190="","",IFERROR(INDEX('זה אני - קליטה'!$AL$5:$AL$204,MATCH($A190&amp;"|אמצע שנה",'זה אני - קליטה'!$AF$5:$AF$204,0)),""))</f>
        <v/>
      </c>
      <c r="O190" s="36">
        <f>IF($A190="","",IFERROR(INDEX('זה אני - קליטה'!$AG$5:$AG$204,MATCH($A190&amp;"|אמצע שנה",'זה אני - קליטה'!$AF$5:$AF$204,0)),""))</f>
        <v/>
      </c>
      <c r="P190" s="37">
        <f>IF($A190="","",IFERROR(INDEX('זה אני - קליטה'!$AN$5:$AN$204,MATCH($A190&amp;"|אמצע שנה",'זה אני - קליטה'!$AF$5:$AF$204,0)),""))</f>
        <v/>
      </c>
      <c r="Q190" s="36">
        <f>IF($A190="","",IFERROR(INDEX('זה אני - קליטה'!$AW$5:$AW$204,MATCH($A190&amp;"|אמצע שנה",'זה אני - קליטה'!$AF$5:$AF$204,0)),""))</f>
        <v/>
      </c>
      <c r="R190" s="37">
        <f>IF($A190="","",IFERROR(INDEX('זה אני - קליטה'!$AH$5:$AH$204,MATCH($A190&amp;"|סוף שנה",'זה אני - קליטה'!$AF$5:$AF$204,0)),""))</f>
        <v/>
      </c>
      <c r="S190" s="37">
        <f>IF($A190="","",IFERROR(INDEX('זה אני - קליטה'!$AI$5:$AI$204,MATCH($A190&amp;"|סוף שנה",'זה אני - קליטה'!$AF$5:$AF$204,0)),""))</f>
        <v/>
      </c>
      <c r="T190" s="37">
        <f>IF($A190="","",IFERROR(INDEX('זה אני - קליטה'!$AJ$5:$AJ$204,MATCH($A190&amp;"|סוף שנה",'זה אני - קליטה'!$AF$5:$AF$204,0)),""))</f>
        <v/>
      </c>
      <c r="U190" s="37">
        <f>IF($A190="","",IFERROR(INDEX('זה אני - קליטה'!$AK$5:$AK$204,MATCH($A190&amp;"|סוף שנה",'זה אני - קליטה'!$AF$5:$AF$204,0)),""))</f>
        <v/>
      </c>
      <c r="V190" s="37">
        <f>IF($A190="","",IFERROR(INDEX('זה אני - קליטה'!$AL$5:$AL$204,MATCH($A190&amp;"|סוף שנה",'זה אני - קליטה'!$AF$5:$AF$204,0)),""))</f>
        <v/>
      </c>
      <c r="W190" s="36">
        <f>IF($A190="","",IFERROR(INDEX('זה אני - קליטה'!$AG$5:$AG$204,MATCH($A190&amp;"|סוף שנה",'זה אני - קליטה'!$AF$5:$AF$204,0)),""))</f>
        <v/>
      </c>
      <c r="X190" s="37">
        <f>IF($A190="","",IFERROR(INDEX('זה אני - קליטה'!$AN$5:$AN$204,MATCH($A190&amp;"|סוף שנה",'זה אני - קליטה'!$AF$5:$AF$204,0)),""))</f>
        <v/>
      </c>
      <c r="Y190" s="36">
        <f>IF($A190="","",IFERROR(INDEX('זה אני - קליטה'!$AW$5:$AW$204,MATCH($A190&amp;"|סוף שנה",'זה אני - קליטה'!$AF$5:$AF$204,0)),""))</f>
        <v/>
      </c>
      <c r="Z190" s="43">
        <f>IF(AND(ISNUMBER(F190),ISNUMBER(V190)),V190-F190,"")</f>
        <v/>
      </c>
      <c r="AA190" s="36">
        <f>IF(Z190="","",IF(Z190&gt;=0.25,"עלייה",IF(Z190&lt;=-0.25,"ירידה","יציב")))</f>
        <v/>
      </c>
    </row>
    <row r="191">
      <c r="A191" s="38" t="n"/>
      <c r="B191" s="37">
        <f>IF($A191="","",IFERROR(INDEX('זה אני - קליטה'!$AH$5:$AH$204,MATCH($A191&amp;"|תחילת שנה",'זה אני - קליטה'!$AF$5:$AF$204,0)),""))</f>
        <v/>
      </c>
      <c r="C191" s="37">
        <f>IF($A191="","",IFERROR(INDEX('זה אני - קליטה'!$AI$5:$AI$204,MATCH($A191&amp;"|תחילת שנה",'זה אני - קליטה'!$AF$5:$AF$204,0)),""))</f>
        <v/>
      </c>
      <c r="D191" s="37">
        <f>IF($A191="","",IFERROR(INDEX('זה אני - קליטה'!$AJ$5:$AJ$204,MATCH($A191&amp;"|תחילת שנה",'זה אני - קליטה'!$AF$5:$AF$204,0)),""))</f>
        <v/>
      </c>
      <c r="E191" s="37">
        <f>IF($A191="","",IFERROR(INDEX('זה אני - קליטה'!$AK$5:$AK$204,MATCH($A191&amp;"|תחילת שנה",'זה אני - קליטה'!$AF$5:$AF$204,0)),""))</f>
        <v/>
      </c>
      <c r="F191" s="37">
        <f>IF($A191="","",IFERROR(INDEX('זה אני - קליטה'!$AL$5:$AL$204,MATCH($A191&amp;"|תחילת שנה",'זה אני - קליטה'!$AF$5:$AF$204,0)),""))</f>
        <v/>
      </c>
      <c r="G191" s="36">
        <f>IF($A191="","",IFERROR(INDEX('זה אני - קליטה'!$AG$5:$AG$204,MATCH($A191&amp;"|תחילת שנה",'זה אני - קליטה'!$AF$5:$AF$204,0)),""))</f>
        <v/>
      </c>
      <c r="H191" s="37">
        <f>IF($A191="","",IFERROR(INDEX('זה אני - קליטה'!$AN$5:$AN$204,MATCH($A191&amp;"|תחילת שנה",'זה אני - קליטה'!$AF$5:$AF$204,0)),""))</f>
        <v/>
      </c>
      <c r="I191" s="36">
        <f>IF($A191="","",IFERROR(INDEX('זה אני - קליטה'!$AW$5:$AW$204,MATCH($A191&amp;"|תחילת שנה",'זה אני - קליטה'!$AF$5:$AF$204,0)),""))</f>
        <v/>
      </c>
      <c r="J191" s="37">
        <f>IF($A191="","",IFERROR(INDEX('זה אני - קליטה'!$AH$5:$AH$204,MATCH($A191&amp;"|אמצע שנה",'זה אני - קליטה'!$AF$5:$AF$204,0)),""))</f>
        <v/>
      </c>
      <c r="K191" s="37">
        <f>IF($A191="","",IFERROR(INDEX('זה אני - קליטה'!$AI$5:$AI$204,MATCH($A191&amp;"|אמצע שנה",'זה אני - קליטה'!$AF$5:$AF$204,0)),""))</f>
        <v/>
      </c>
      <c r="L191" s="37">
        <f>IF($A191="","",IFERROR(INDEX('זה אני - קליטה'!$AJ$5:$AJ$204,MATCH($A191&amp;"|אמצע שנה",'זה אני - קליטה'!$AF$5:$AF$204,0)),""))</f>
        <v/>
      </c>
      <c r="M191" s="37">
        <f>IF($A191="","",IFERROR(INDEX('זה אני - קליטה'!$AK$5:$AK$204,MATCH($A191&amp;"|אמצע שנה",'זה אני - קליטה'!$AF$5:$AF$204,0)),""))</f>
        <v/>
      </c>
      <c r="N191" s="37">
        <f>IF($A191="","",IFERROR(INDEX('זה אני - קליטה'!$AL$5:$AL$204,MATCH($A191&amp;"|אמצע שנה",'זה אני - קליטה'!$AF$5:$AF$204,0)),""))</f>
        <v/>
      </c>
      <c r="O191" s="36">
        <f>IF($A191="","",IFERROR(INDEX('זה אני - קליטה'!$AG$5:$AG$204,MATCH($A191&amp;"|אמצע שנה",'זה אני - קליטה'!$AF$5:$AF$204,0)),""))</f>
        <v/>
      </c>
      <c r="P191" s="37">
        <f>IF($A191="","",IFERROR(INDEX('זה אני - קליטה'!$AN$5:$AN$204,MATCH($A191&amp;"|אמצע שנה",'זה אני - קליטה'!$AF$5:$AF$204,0)),""))</f>
        <v/>
      </c>
      <c r="Q191" s="36">
        <f>IF($A191="","",IFERROR(INDEX('זה אני - קליטה'!$AW$5:$AW$204,MATCH($A191&amp;"|אמצע שנה",'זה אני - קליטה'!$AF$5:$AF$204,0)),""))</f>
        <v/>
      </c>
      <c r="R191" s="37">
        <f>IF($A191="","",IFERROR(INDEX('זה אני - קליטה'!$AH$5:$AH$204,MATCH($A191&amp;"|סוף שנה",'זה אני - קליטה'!$AF$5:$AF$204,0)),""))</f>
        <v/>
      </c>
      <c r="S191" s="37">
        <f>IF($A191="","",IFERROR(INDEX('זה אני - קליטה'!$AI$5:$AI$204,MATCH($A191&amp;"|סוף שנה",'זה אני - קליטה'!$AF$5:$AF$204,0)),""))</f>
        <v/>
      </c>
      <c r="T191" s="37">
        <f>IF($A191="","",IFERROR(INDEX('זה אני - קליטה'!$AJ$5:$AJ$204,MATCH($A191&amp;"|סוף שנה",'זה אני - קליטה'!$AF$5:$AF$204,0)),""))</f>
        <v/>
      </c>
      <c r="U191" s="37">
        <f>IF($A191="","",IFERROR(INDEX('זה אני - קליטה'!$AK$5:$AK$204,MATCH($A191&amp;"|סוף שנה",'זה אני - קליטה'!$AF$5:$AF$204,0)),""))</f>
        <v/>
      </c>
      <c r="V191" s="37">
        <f>IF($A191="","",IFERROR(INDEX('זה אני - קליטה'!$AL$5:$AL$204,MATCH($A191&amp;"|סוף שנה",'זה אני - קליטה'!$AF$5:$AF$204,0)),""))</f>
        <v/>
      </c>
      <c r="W191" s="36">
        <f>IF($A191="","",IFERROR(INDEX('זה אני - קליטה'!$AG$5:$AG$204,MATCH($A191&amp;"|סוף שנה",'זה אני - קליטה'!$AF$5:$AF$204,0)),""))</f>
        <v/>
      </c>
      <c r="X191" s="37">
        <f>IF($A191="","",IFERROR(INDEX('זה אני - קליטה'!$AN$5:$AN$204,MATCH($A191&amp;"|סוף שנה",'זה אני - קליטה'!$AF$5:$AF$204,0)),""))</f>
        <v/>
      </c>
      <c r="Y191" s="36">
        <f>IF($A191="","",IFERROR(INDEX('זה אני - קליטה'!$AW$5:$AW$204,MATCH($A191&amp;"|סוף שנה",'זה אני - קליטה'!$AF$5:$AF$204,0)),""))</f>
        <v/>
      </c>
      <c r="Z191" s="43">
        <f>IF(AND(ISNUMBER(F191),ISNUMBER(V191)),V191-F191,"")</f>
        <v/>
      </c>
      <c r="AA191" s="36">
        <f>IF(Z191="","",IF(Z191&gt;=0.25,"עלייה",IF(Z191&lt;=-0.25,"ירידה","יציב")))</f>
        <v/>
      </c>
    </row>
    <row r="192">
      <c r="A192" s="38" t="n"/>
      <c r="B192" s="37">
        <f>IF($A192="","",IFERROR(INDEX('זה אני - קליטה'!$AH$5:$AH$204,MATCH($A192&amp;"|תחילת שנה",'זה אני - קליטה'!$AF$5:$AF$204,0)),""))</f>
        <v/>
      </c>
      <c r="C192" s="37">
        <f>IF($A192="","",IFERROR(INDEX('זה אני - קליטה'!$AI$5:$AI$204,MATCH($A192&amp;"|תחילת שנה",'זה אני - קליטה'!$AF$5:$AF$204,0)),""))</f>
        <v/>
      </c>
      <c r="D192" s="37">
        <f>IF($A192="","",IFERROR(INDEX('זה אני - קליטה'!$AJ$5:$AJ$204,MATCH($A192&amp;"|תחילת שנה",'זה אני - קליטה'!$AF$5:$AF$204,0)),""))</f>
        <v/>
      </c>
      <c r="E192" s="37">
        <f>IF($A192="","",IFERROR(INDEX('זה אני - קליטה'!$AK$5:$AK$204,MATCH($A192&amp;"|תחילת שנה",'זה אני - קליטה'!$AF$5:$AF$204,0)),""))</f>
        <v/>
      </c>
      <c r="F192" s="37">
        <f>IF($A192="","",IFERROR(INDEX('זה אני - קליטה'!$AL$5:$AL$204,MATCH($A192&amp;"|תחילת שנה",'זה אני - קליטה'!$AF$5:$AF$204,0)),""))</f>
        <v/>
      </c>
      <c r="G192" s="36">
        <f>IF($A192="","",IFERROR(INDEX('זה אני - קליטה'!$AG$5:$AG$204,MATCH($A192&amp;"|תחילת שנה",'זה אני - קליטה'!$AF$5:$AF$204,0)),""))</f>
        <v/>
      </c>
      <c r="H192" s="37">
        <f>IF($A192="","",IFERROR(INDEX('זה אני - קליטה'!$AN$5:$AN$204,MATCH($A192&amp;"|תחילת שנה",'זה אני - קליטה'!$AF$5:$AF$204,0)),""))</f>
        <v/>
      </c>
      <c r="I192" s="36">
        <f>IF($A192="","",IFERROR(INDEX('זה אני - קליטה'!$AW$5:$AW$204,MATCH($A192&amp;"|תחילת שנה",'זה אני - קליטה'!$AF$5:$AF$204,0)),""))</f>
        <v/>
      </c>
      <c r="J192" s="37">
        <f>IF($A192="","",IFERROR(INDEX('זה אני - קליטה'!$AH$5:$AH$204,MATCH($A192&amp;"|אמצע שנה",'זה אני - קליטה'!$AF$5:$AF$204,0)),""))</f>
        <v/>
      </c>
      <c r="K192" s="37">
        <f>IF($A192="","",IFERROR(INDEX('זה אני - קליטה'!$AI$5:$AI$204,MATCH($A192&amp;"|אמצע שנה",'זה אני - קליטה'!$AF$5:$AF$204,0)),""))</f>
        <v/>
      </c>
      <c r="L192" s="37">
        <f>IF($A192="","",IFERROR(INDEX('זה אני - קליטה'!$AJ$5:$AJ$204,MATCH($A192&amp;"|אמצע שנה",'זה אני - קליטה'!$AF$5:$AF$204,0)),""))</f>
        <v/>
      </c>
      <c r="M192" s="37">
        <f>IF($A192="","",IFERROR(INDEX('זה אני - קליטה'!$AK$5:$AK$204,MATCH($A192&amp;"|אמצע שנה",'זה אני - קליטה'!$AF$5:$AF$204,0)),""))</f>
        <v/>
      </c>
      <c r="N192" s="37">
        <f>IF($A192="","",IFERROR(INDEX('זה אני - קליטה'!$AL$5:$AL$204,MATCH($A192&amp;"|אמצע שנה",'זה אני - קליטה'!$AF$5:$AF$204,0)),""))</f>
        <v/>
      </c>
      <c r="O192" s="36">
        <f>IF($A192="","",IFERROR(INDEX('זה אני - קליטה'!$AG$5:$AG$204,MATCH($A192&amp;"|אמצע שנה",'זה אני - קליטה'!$AF$5:$AF$204,0)),""))</f>
        <v/>
      </c>
      <c r="P192" s="37">
        <f>IF($A192="","",IFERROR(INDEX('זה אני - קליטה'!$AN$5:$AN$204,MATCH($A192&amp;"|אמצע שנה",'זה אני - קליטה'!$AF$5:$AF$204,0)),""))</f>
        <v/>
      </c>
      <c r="Q192" s="36">
        <f>IF($A192="","",IFERROR(INDEX('זה אני - קליטה'!$AW$5:$AW$204,MATCH($A192&amp;"|אמצע שנה",'זה אני - קליטה'!$AF$5:$AF$204,0)),""))</f>
        <v/>
      </c>
      <c r="R192" s="37">
        <f>IF($A192="","",IFERROR(INDEX('זה אני - קליטה'!$AH$5:$AH$204,MATCH($A192&amp;"|סוף שנה",'זה אני - קליטה'!$AF$5:$AF$204,0)),""))</f>
        <v/>
      </c>
      <c r="S192" s="37">
        <f>IF($A192="","",IFERROR(INDEX('זה אני - קליטה'!$AI$5:$AI$204,MATCH($A192&amp;"|סוף שנה",'זה אני - קליטה'!$AF$5:$AF$204,0)),""))</f>
        <v/>
      </c>
      <c r="T192" s="37">
        <f>IF($A192="","",IFERROR(INDEX('זה אני - קליטה'!$AJ$5:$AJ$204,MATCH($A192&amp;"|סוף שנה",'זה אני - קליטה'!$AF$5:$AF$204,0)),""))</f>
        <v/>
      </c>
      <c r="U192" s="37">
        <f>IF($A192="","",IFERROR(INDEX('זה אני - קליטה'!$AK$5:$AK$204,MATCH($A192&amp;"|סוף שנה",'זה אני - קליטה'!$AF$5:$AF$204,0)),""))</f>
        <v/>
      </c>
      <c r="V192" s="37">
        <f>IF($A192="","",IFERROR(INDEX('זה אני - קליטה'!$AL$5:$AL$204,MATCH($A192&amp;"|סוף שנה",'זה אני - קליטה'!$AF$5:$AF$204,0)),""))</f>
        <v/>
      </c>
      <c r="W192" s="36">
        <f>IF($A192="","",IFERROR(INDEX('זה אני - קליטה'!$AG$5:$AG$204,MATCH($A192&amp;"|סוף שנה",'זה אני - קליטה'!$AF$5:$AF$204,0)),""))</f>
        <v/>
      </c>
      <c r="X192" s="37">
        <f>IF($A192="","",IFERROR(INDEX('זה אני - קליטה'!$AN$5:$AN$204,MATCH($A192&amp;"|סוף שנה",'זה אני - קליטה'!$AF$5:$AF$204,0)),""))</f>
        <v/>
      </c>
      <c r="Y192" s="36">
        <f>IF($A192="","",IFERROR(INDEX('זה אני - קליטה'!$AW$5:$AW$204,MATCH($A192&amp;"|סוף שנה",'זה אני - קליטה'!$AF$5:$AF$204,0)),""))</f>
        <v/>
      </c>
      <c r="Z192" s="43">
        <f>IF(AND(ISNUMBER(F192),ISNUMBER(V192)),V192-F192,"")</f>
        <v/>
      </c>
      <c r="AA192" s="36">
        <f>IF(Z192="","",IF(Z192&gt;=0.25,"עלייה",IF(Z192&lt;=-0.25,"ירידה","יציב")))</f>
        <v/>
      </c>
    </row>
    <row r="193">
      <c r="A193" s="38" t="n"/>
      <c r="B193" s="37">
        <f>IF($A193="","",IFERROR(INDEX('זה אני - קליטה'!$AH$5:$AH$204,MATCH($A193&amp;"|תחילת שנה",'זה אני - קליטה'!$AF$5:$AF$204,0)),""))</f>
        <v/>
      </c>
      <c r="C193" s="37">
        <f>IF($A193="","",IFERROR(INDEX('זה אני - קליטה'!$AI$5:$AI$204,MATCH($A193&amp;"|תחילת שנה",'זה אני - קליטה'!$AF$5:$AF$204,0)),""))</f>
        <v/>
      </c>
      <c r="D193" s="37">
        <f>IF($A193="","",IFERROR(INDEX('זה אני - קליטה'!$AJ$5:$AJ$204,MATCH($A193&amp;"|תחילת שנה",'זה אני - קליטה'!$AF$5:$AF$204,0)),""))</f>
        <v/>
      </c>
      <c r="E193" s="37">
        <f>IF($A193="","",IFERROR(INDEX('זה אני - קליטה'!$AK$5:$AK$204,MATCH($A193&amp;"|תחילת שנה",'זה אני - קליטה'!$AF$5:$AF$204,0)),""))</f>
        <v/>
      </c>
      <c r="F193" s="37">
        <f>IF($A193="","",IFERROR(INDEX('זה אני - קליטה'!$AL$5:$AL$204,MATCH($A193&amp;"|תחילת שנה",'זה אני - קליטה'!$AF$5:$AF$204,0)),""))</f>
        <v/>
      </c>
      <c r="G193" s="36">
        <f>IF($A193="","",IFERROR(INDEX('זה אני - קליטה'!$AG$5:$AG$204,MATCH($A193&amp;"|תחילת שנה",'זה אני - קליטה'!$AF$5:$AF$204,0)),""))</f>
        <v/>
      </c>
      <c r="H193" s="37">
        <f>IF($A193="","",IFERROR(INDEX('זה אני - קליטה'!$AN$5:$AN$204,MATCH($A193&amp;"|תחילת שנה",'זה אני - קליטה'!$AF$5:$AF$204,0)),""))</f>
        <v/>
      </c>
      <c r="I193" s="36">
        <f>IF($A193="","",IFERROR(INDEX('זה אני - קליטה'!$AW$5:$AW$204,MATCH($A193&amp;"|תחילת שנה",'זה אני - קליטה'!$AF$5:$AF$204,0)),""))</f>
        <v/>
      </c>
      <c r="J193" s="37">
        <f>IF($A193="","",IFERROR(INDEX('זה אני - קליטה'!$AH$5:$AH$204,MATCH($A193&amp;"|אמצע שנה",'זה אני - קליטה'!$AF$5:$AF$204,0)),""))</f>
        <v/>
      </c>
      <c r="K193" s="37">
        <f>IF($A193="","",IFERROR(INDEX('זה אני - קליטה'!$AI$5:$AI$204,MATCH($A193&amp;"|אמצע שנה",'זה אני - קליטה'!$AF$5:$AF$204,0)),""))</f>
        <v/>
      </c>
      <c r="L193" s="37">
        <f>IF($A193="","",IFERROR(INDEX('זה אני - קליטה'!$AJ$5:$AJ$204,MATCH($A193&amp;"|אמצע שנה",'זה אני - קליטה'!$AF$5:$AF$204,0)),""))</f>
        <v/>
      </c>
      <c r="M193" s="37">
        <f>IF($A193="","",IFERROR(INDEX('זה אני - קליטה'!$AK$5:$AK$204,MATCH($A193&amp;"|אמצע שנה",'זה אני - קליטה'!$AF$5:$AF$204,0)),""))</f>
        <v/>
      </c>
      <c r="N193" s="37">
        <f>IF($A193="","",IFERROR(INDEX('זה אני - קליטה'!$AL$5:$AL$204,MATCH($A193&amp;"|אמצע שנה",'זה אני - קליטה'!$AF$5:$AF$204,0)),""))</f>
        <v/>
      </c>
      <c r="O193" s="36">
        <f>IF($A193="","",IFERROR(INDEX('זה אני - קליטה'!$AG$5:$AG$204,MATCH($A193&amp;"|אמצע שנה",'זה אני - קליטה'!$AF$5:$AF$204,0)),""))</f>
        <v/>
      </c>
      <c r="P193" s="37">
        <f>IF($A193="","",IFERROR(INDEX('זה אני - קליטה'!$AN$5:$AN$204,MATCH($A193&amp;"|אמצע שנה",'זה אני - קליטה'!$AF$5:$AF$204,0)),""))</f>
        <v/>
      </c>
      <c r="Q193" s="36">
        <f>IF($A193="","",IFERROR(INDEX('זה אני - קליטה'!$AW$5:$AW$204,MATCH($A193&amp;"|אמצע שנה",'זה אני - קליטה'!$AF$5:$AF$204,0)),""))</f>
        <v/>
      </c>
      <c r="R193" s="37">
        <f>IF($A193="","",IFERROR(INDEX('זה אני - קליטה'!$AH$5:$AH$204,MATCH($A193&amp;"|סוף שנה",'זה אני - קליטה'!$AF$5:$AF$204,0)),""))</f>
        <v/>
      </c>
      <c r="S193" s="37">
        <f>IF($A193="","",IFERROR(INDEX('זה אני - קליטה'!$AI$5:$AI$204,MATCH($A193&amp;"|סוף שנה",'זה אני - קליטה'!$AF$5:$AF$204,0)),""))</f>
        <v/>
      </c>
      <c r="T193" s="37">
        <f>IF($A193="","",IFERROR(INDEX('זה אני - קליטה'!$AJ$5:$AJ$204,MATCH($A193&amp;"|סוף שנה",'זה אני - קליטה'!$AF$5:$AF$204,0)),""))</f>
        <v/>
      </c>
      <c r="U193" s="37">
        <f>IF($A193="","",IFERROR(INDEX('זה אני - קליטה'!$AK$5:$AK$204,MATCH($A193&amp;"|סוף שנה",'זה אני - קליטה'!$AF$5:$AF$204,0)),""))</f>
        <v/>
      </c>
      <c r="V193" s="37">
        <f>IF($A193="","",IFERROR(INDEX('זה אני - קליטה'!$AL$5:$AL$204,MATCH($A193&amp;"|סוף שנה",'זה אני - קליטה'!$AF$5:$AF$204,0)),""))</f>
        <v/>
      </c>
      <c r="W193" s="36">
        <f>IF($A193="","",IFERROR(INDEX('זה אני - קליטה'!$AG$5:$AG$204,MATCH($A193&amp;"|סוף שנה",'זה אני - קליטה'!$AF$5:$AF$204,0)),""))</f>
        <v/>
      </c>
      <c r="X193" s="37">
        <f>IF($A193="","",IFERROR(INDEX('זה אני - קליטה'!$AN$5:$AN$204,MATCH($A193&amp;"|סוף שנה",'זה אני - קליטה'!$AF$5:$AF$204,0)),""))</f>
        <v/>
      </c>
      <c r="Y193" s="36">
        <f>IF($A193="","",IFERROR(INDEX('זה אני - קליטה'!$AW$5:$AW$204,MATCH($A193&amp;"|סוף שנה",'זה אני - קליטה'!$AF$5:$AF$204,0)),""))</f>
        <v/>
      </c>
      <c r="Z193" s="43">
        <f>IF(AND(ISNUMBER(F193),ISNUMBER(V193)),V193-F193,"")</f>
        <v/>
      </c>
      <c r="AA193" s="36">
        <f>IF(Z193="","",IF(Z193&gt;=0.25,"עלייה",IF(Z193&lt;=-0.25,"ירידה","יציב")))</f>
        <v/>
      </c>
    </row>
    <row r="194">
      <c r="A194" s="38" t="n"/>
      <c r="B194" s="37">
        <f>IF($A194="","",IFERROR(INDEX('זה אני - קליטה'!$AH$5:$AH$204,MATCH($A194&amp;"|תחילת שנה",'זה אני - קליטה'!$AF$5:$AF$204,0)),""))</f>
        <v/>
      </c>
      <c r="C194" s="37">
        <f>IF($A194="","",IFERROR(INDEX('זה אני - קליטה'!$AI$5:$AI$204,MATCH($A194&amp;"|תחילת שנה",'זה אני - קליטה'!$AF$5:$AF$204,0)),""))</f>
        <v/>
      </c>
      <c r="D194" s="37">
        <f>IF($A194="","",IFERROR(INDEX('זה אני - קליטה'!$AJ$5:$AJ$204,MATCH($A194&amp;"|תחילת שנה",'זה אני - קליטה'!$AF$5:$AF$204,0)),""))</f>
        <v/>
      </c>
      <c r="E194" s="37">
        <f>IF($A194="","",IFERROR(INDEX('זה אני - קליטה'!$AK$5:$AK$204,MATCH($A194&amp;"|תחילת שנה",'זה אני - קליטה'!$AF$5:$AF$204,0)),""))</f>
        <v/>
      </c>
      <c r="F194" s="37">
        <f>IF($A194="","",IFERROR(INDEX('זה אני - קליטה'!$AL$5:$AL$204,MATCH($A194&amp;"|תחילת שנה",'זה אני - קליטה'!$AF$5:$AF$204,0)),""))</f>
        <v/>
      </c>
      <c r="G194" s="36">
        <f>IF($A194="","",IFERROR(INDEX('זה אני - קליטה'!$AG$5:$AG$204,MATCH($A194&amp;"|תחילת שנה",'זה אני - קליטה'!$AF$5:$AF$204,0)),""))</f>
        <v/>
      </c>
      <c r="H194" s="37">
        <f>IF($A194="","",IFERROR(INDEX('זה אני - קליטה'!$AN$5:$AN$204,MATCH($A194&amp;"|תחילת שנה",'זה אני - קליטה'!$AF$5:$AF$204,0)),""))</f>
        <v/>
      </c>
      <c r="I194" s="36">
        <f>IF($A194="","",IFERROR(INDEX('זה אני - קליטה'!$AW$5:$AW$204,MATCH($A194&amp;"|תחילת שנה",'זה אני - קליטה'!$AF$5:$AF$204,0)),""))</f>
        <v/>
      </c>
      <c r="J194" s="37">
        <f>IF($A194="","",IFERROR(INDEX('זה אני - קליטה'!$AH$5:$AH$204,MATCH($A194&amp;"|אמצע שנה",'זה אני - קליטה'!$AF$5:$AF$204,0)),""))</f>
        <v/>
      </c>
      <c r="K194" s="37">
        <f>IF($A194="","",IFERROR(INDEX('זה אני - קליטה'!$AI$5:$AI$204,MATCH($A194&amp;"|אמצע שנה",'זה אני - קליטה'!$AF$5:$AF$204,0)),""))</f>
        <v/>
      </c>
      <c r="L194" s="37">
        <f>IF($A194="","",IFERROR(INDEX('זה אני - קליטה'!$AJ$5:$AJ$204,MATCH($A194&amp;"|אמצע שנה",'זה אני - קליטה'!$AF$5:$AF$204,0)),""))</f>
        <v/>
      </c>
      <c r="M194" s="37">
        <f>IF($A194="","",IFERROR(INDEX('זה אני - קליטה'!$AK$5:$AK$204,MATCH($A194&amp;"|אמצע שנה",'זה אני - קליטה'!$AF$5:$AF$204,0)),""))</f>
        <v/>
      </c>
      <c r="N194" s="37">
        <f>IF($A194="","",IFERROR(INDEX('זה אני - קליטה'!$AL$5:$AL$204,MATCH($A194&amp;"|אמצע שנה",'זה אני - קליטה'!$AF$5:$AF$204,0)),""))</f>
        <v/>
      </c>
      <c r="O194" s="36">
        <f>IF($A194="","",IFERROR(INDEX('זה אני - קליטה'!$AG$5:$AG$204,MATCH($A194&amp;"|אמצע שנה",'זה אני - קליטה'!$AF$5:$AF$204,0)),""))</f>
        <v/>
      </c>
      <c r="P194" s="37">
        <f>IF($A194="","",IFERROR(INDEX('זה אני - קליטה'!$AN$5:$AN$204,MATCH($A194&amp;"|אמצע שנה",'זה אני - קליטה'!$AF$5:$AF$204,0)),""))</f>
        <v/>
      </c>
      <c r="Q194" s="36">
        <f>IF($A194="","",IFERROR(INDEX('זה אני - קליטה'!$AW$5:$AW$204,MATCH($A194&amp;"|אמצע שנה",'זה אני - קליטה'!$AF$5:$AF$204,0)),""))</f>
        <v/>
      </c>
      <c r="R194" s="37">
        <f>IF($A194="","",IFERROR(INDEX('זה אני - קליטה'!$AH$5:$AH$204,MATCH($A194&amp;"|סוף שנה",'זה אני - קליטה'!$AF$5:$AF$204,0)),""))</f>
        <v/>
      </c>
      <c r="S194" s="37">
        <f>IF($A194="","",IFERROR(INDEX('זה אני - קליטה'!$AI$5:$AI$204,MATCH($A194&amp;"|סוף שנה",'זה אני - קליטה'!$AF$5:$AF$204,0)),""))</f>
        <v/>
      </c>
      <c r="T194" s="37">
        <f>IF($A194="","",IFERROR(INDEX('זה אני - קליטה'!$AJ$5:$AJ$204,MATCH($A194&amp;"|סוף שנה",'זה אני - קליטה'!$AF$5:$AF$204,0)),""))</f>
        <v/>
      </c>
      <c r="U194" s="37">
        <f>IF($A194="","",IFERROR(INDEX('זה אני - קליטה'!$AK$5:$AK$204,MATCH($A194&amp;"|סוף שנה",'זה אני - קליטה'!$AF$5:$AF$204,0)),""))</f>
        <v/>
      </c>
      <c r="V194" s="37">
        <f>IF($A194="","",IFERROR(INDEX('זה אני - קליטה'!$AL$5:$AL$204,MATCH($A194&amp;"|סוף שנה",'זה אני - קליטה'!$AF$5:$AF$204,0)),""))</f>
        <v/>
      </c>
      <c r="W194" s="36">
        <f>IF($A194="","",IFERROR(INDEX('זה אני - קליטה'!$AG$5:$AG$204,MATCH($A194&amp;"|סוף שנה",'זה אני - קליטה'!$AF$5:$AF$204,0)),""))</f>
        <v/>
      </c>
      <c r="X194" s="37">
        <f>IF($A194="","",IFERROR(INDEX('זה אני - קליטה'!$AN$5:$AN$204,MATCH($A194&amp;"|סוף שנה",'זה אני - קליטה'!$AF$5:$AF$204,0)),""))</f>
        <v/>
      </c>
      <c r="Y194" s="36">
        <f>IF($A194="","",IFERROR(INDEX('זה אני - קליטה'!$AW$5:$AW$204,MATCH($A194&amp;"|סוף שנה",'זה אני - קליטה'!$AF$5:$AF$204,0)),""))</f>
        <v/>
      </c>
      <c r="Z194" s="43">
        <f>IF(AND(ISNUMBER(F194),ISNUMBER(V194)),V194-F194,"")</f>
        <v/>
      </c>
      <c r="AA194" s="36">
        <f>IF(Z194="","",IF(Z194&gt;=0.25,"עלייה",IF(Z194&lt;=-0.25,"ירידה","יציב")))</f>
        <v/>
      </c>
    </row>
    <row r="195">
      <c r="A195" s="38" t="n"/>
      <c r="B195" s="37">
        <f>IF($A195="","",IFERROR(INDEX('זה אני - קליטה'!$AH$5:$AH$204,MATCH($A195&amp;"|תחילת שנה",'זה אני - קליטה'!$AF$5:$AF$204,0)),""))</f>
        <v/>
      </c>
      <c r="C195" s="37">
        <f>IF($A195="","",IFERROR(INDEX('זה אני - קליטה'!$AI$5:$AI$204,MATCH($A195&amp;"|תחילת שנה",'זה אני - קליטה'!$AF$5:$AF$204,0)),""))</f>
        <v/>
      </c>
      <c r="D195" s="37">
        <f>IF($A195="","",IFERROR(INDEX('זה אני - קליטה'!$AJ$5:$AJ$204,MATCH($A195&amp;"|תחילת שנה",'זה אני - קליטה'!$AF$5:$AF$204,0)),""))</f>
        <v/>
      </c>
      <c r="E195" s="37">
        <f>IF($A195="","",IFERROR(INDEX('זה אני - קליטה'!$AK$5:$AK$204,MATCH($A195&amp;"|תחילת שנה",'זה אני - קליטה'!$AF$5:$AF$204,0)),""))</f>
        <v/>
      </c>
      <c r="F195" s="37">
        <f>IF($A195="","",IFERROR(INDEX('זה אני - קליטה'!$AL$5:$AL$204,MATCH($A195&amp;"|תחילת שנה",'זה אני - קליטה'!$AF$5:$AF$204,0)),""))</f>
        <v/>
      </c>
      <c r="G195" s="36">
        <f>IF($A195="","",IFERROR(INDEX('זה אני - קליטה'!$AG$5:$AG$204,MATCH($A195&amp;"|תחילת שנה",'זה אני - קליטה'!$AF$5:$AF$204,0)),""))</f>
        <v/>
      </c>
      <c r="H195" s="37">
        <f>IF($A195="","",IFERROR(INDEX('זה אני - קליטה'!$AN$5:$AN$204,MATCH($A195&amp;"|תחילת שנה",'זה אני - קליטה'!$AF$5:$AF$204,0)),""))</f>
        <v/>
      </c>
      <c r="I195" s="36">
        <f>IF($A195="","",IFERROR(INDEX('זה אני - קליטה'!$AW$5:$AW$204,MATCH($A195&amp;"|תחילת שנה",'זה אני - קליטה'!$AF$5:$AF$204,0)),""))</f>
        <v/>
      </c>
      <c r="J195" s="37">
        <f>IF($A195="","",IFERROR(INDEX('זה אני - קליטה'!$AH$5:$AH$204,MATCH($A195&amp;"|אמצע שנה",'זה אני - קליטה'!$AF$5:$AF$204,0)),""))</f>
        <v/>
      </c>
      <c r="K195" s="37">
        <f>IF($A195="","",IFERROR(INDEX('זה אני - קליטה'!$AI$5:$AI$204,MATCH($A195&amp;"|אמצע שנה",'זה אני - קליטה'!$AF$5:$AF$204,0)),""))</f>
        <v/>
      </c>
      <c r="L195" s="37">
        <f>IF($A195="","",IFERROR(INDEX('זה אני - קליטה'!$AJ$5:$AJ$204,MATCH($A195&amp;"|אמצע שנה",'זה אני - קליטה'!$AF$5:$AF$204,0)),""))</f>
        <v/>
      </c>
      <c r="M195" s="37">
        <f>IF($A195="","",IFERROR(INDEX('זה אני - קליטה'!$AK$5:$AK$204,MATCH($A195&amp;"|אמצע שנה",'זה אני - קליטה'!$AF$5:$AF$204,0)),""))</f>
        <v/>
      </c>
      <c r="N195" s="37">
        <f>IF($A195="","",IFERROR(INDEX('זה אני - קליטה'!$AL$5:$AL$204,MATCH($A195&amp;"|אמצע שנה",'זה אני - קליטה'!$AF$5:$AF$204,0)),""))</f>
        <v/>
      </c>
      <c r="O195" s="36">
        <f>IF($A195="","",IFERROR(INDEX('זה אני - קליטה'!$AG$5:$AG$204,MATCH($A195&amp;"|אמצע שנה",'זה אני - קליטה'!$AF$5:$AF$204,0)),""))</f>
        <v/>
      </c>
      <c r="P195" s="37">
        <f>IF($A195="","",IFERROR(INDEX('זה אני - קליטה'!$AN$5:$AN$204,MATCH($A195&amp;"|אמצע שנה",'זה אני - קליטה'!$AF$5:$AF$204,0)),""))</f>
        <v/>
      </c>
      <c r="Q195" s="36">
        <f>IF($A195="","",IFERROR(INDEX('זה אני - קליטה'!$AW$5:$AW$204,MATCH($A195&amp;"|אמצע שנה",'זה אני - קליטה'!$AF$5:$AF$204,0)),""))</f>
        <v/>
      </c>
      <c r="R195" s="37">
        <f>IF($A195="","",IFERROR(INDEX('זה אני - קליטה'!$AH$5:$AH$204,MATCH($A195&amp;"|סוף שנה",'זה אני - קליטה'!$AF$5:$AF$204,0)),""))</f>
        <v/>
      </c>
      <c r="S195" s="37">
        <f>IF($A195="","",IFERROR(INDEX('זה אני - קליטה'!$AI$5:$AI$204,MATCH($A195&amp;"|סוף שנה",'זה אני - קליטה'!$AF$5:$AF$204,0)),""))</f>
        <v/>
      </c>
      <c r="T195" s="37">
        <f>IF($A195="","",IFERROR(INDEX('זה אני - קליטה'!$AJ$5:$AJ$204,MATCH($A195&amp;"|סוף שנה",'זה אני - קליטה'!$AF$5:$AF$204,0)),""))</f>
        <v/>
      </c>
      <c r="U195" s="37">
        <f>IF($A195="","",IFERROR(INDEX('זה אני - קליטה'!$AK$5:$AK$204,MATCH($A195&amp;"|סוף שנה",'זה אני - קליטה'!$AF$5:$AF$204,0)),""))</f>
        <v/>
      </c>
      <c r="V195" s="37">
        <f>IF($A195="","",IFERROR(INDEX('זה אני - קליטה'!$AL$5:$AL$204,MATCH($A195&amp;"|סוף שנה",'זה אני - קליטה'!$AF$5:$AF$204,0)),""))</f>
        <v/>
      </c>
      <c r="W195" s="36">
        <f>IF($A195="","",IFERROR(INDEX('זה אני - קליטה'!$AG$5:$AG$204,MATCH($A195&amp;"|סוף שנה",'זה אני - קליטה'!$AF$5:$AF$204,0)),""))</f>
        <v/>
      </c>
      <c r="X195" s="37">
        <f>IF($A195="","",IFERROR(INDEX('זה אני - קליטה'!$AN$5:$AN$204,MATCH($A195&amp;"|סוף שנה",'זה אני - קליטה'!$AF$5:$AF$204,0)),""))</f>
        <v/>
      </c>
      <c r="Y195" s="36">
        <f>IF($A195="","",IFERROR(INDEX('זה אני - קליטה'!$AW$5:$AW$204,MATCH($A195&amp;"|סוף שנה",'זה אני - קליטה'!$AF$5:$AF$204,0)),""))</f>
        <v/>
      </c>
      <c r="Z195" s="43">
        <f>IF(AND(ISNUMBER(F195),ISNUMBER(V195)),V195-F195,"")</f>
        <v/>
      </c>
      <c r="AA195" s="36">
        <f>IF(Z195="","",IF(Z195&gt;=0.25,"עלייה",IF(Z195&lt;=-0.25,"ירידה","יציב")))</f>
        <v/>
      </c>
    </row>
    <row r="196">
      <c r="A196" s="38" t="n"/>
      <c r="B196" s="37">
        <f>IF($A196="","",IFERROR(INDEX('זה אני - קליטה'!$AH$5:$AH$204,MATCH($A196&amp;"|תחילת שנה",'זה אני - קליטה'!$AF$5:$AF$204,0)),""))</f>
        <v/>
      </c>
      <c r="C196" s="37">
        <f>IF($A196="","",IFERROR(INDEX('זה אני - קליטה'!$AI$5:$AI$204,MATCH($A196&amp;"|תחילת שנה",'זה אני - קליטה'!$AF$5:$AF$204,0)),""))</f>
        <v/>
      </c>
      <c r="D196" s="37">
        <f>IF($A196="","",IFERROR(INDEX('זה אני - קליטה'!$AJ$5:$AJ$204,MATCH($A196&amp;"|תחילת שנה",'זה אני - קליטה'!$AF$5:$AF$204,0)),""))</f>
        <v/>
      </c>
      <c r="E196" s="37">
        <f>IF($A196="","",IFERROR(INDEX('זה אני - קליטה'!$AK$5:$AK$204,MATCH($A196&amp;"|תחילת שנה",'זה אני - קליטה'!$AF$5:$AF$204,0)),""))</f>
        <v/>
      </c>
      <c r="F196" s="37">
        <f>IF($A196="","",IFERROR(INDEX('זה אני - קליטה'!$AL$5:$AL$204,MATCH($A196&amp;"|תחילת שנה",'זה אני - קליטה'!$AF$5:$AF$204,0)),""))</f>
        <v/>
      </c>
      <c r="G196" s="36">
        <f>IF($A196="","",IFERROR(INDEX('זה אני - קליטה'!$AG$5:$AG$204,MATCH($A196&amp;"|תחילת שנה",'זה אני - קליטה'!$AF$5:$AF$204,0)),""))</f>
        <v/>
      </c>
      <c r="H196" s="37">
        <f>IF($A196="","",IFERROR(INDEX('זה אני - קליטה'!$AN$5:$AN$204,MATCH($A196&amp;"|תחילת שנה",'זה אני - קליטה'!$AF$5:$AF$204,0)),""))</f>
        <v/>
      </c>
      <c r="I196" s="36">
        <f>IF($A196="","",IFERROR(INDEX('זה אני - קליטה'!$AW$5:$AW$204,MATCH($A196&amp;"|תחילת שנה",'זה אני - קליטה'!$AF$5:$AF$204,0)),""))</f>
        <v/>
      </c>
      <c r="J196" s="37">
        <f>IF($A196="","",IFERROR(INDEX('זה אני - קליטה'!$AH$5:$AH$204,MATCH($A196&amp;"|אמצע שנה",'זה אני - קליטה'!$AF$5:$AF$204,0)),""))</f>
        <v/>
      </c>
      <c r="K196" s="37">
        <f>IF($A196="","",IFERROR(INDEX('זה אני - קליטה'!$AI$5:$AI$204,MATCH($A196&amp;"|אמצע שנה",'זה אני - קליטה'!$AF$5:$AF$204,0)),""))</f>
        <v/>
      </c>
      <c r="L196" s="37">
        <f>IF($A196="","",IFERROR(INDEX('זה אני - קליטה'!$AJ$5:$AJ$204,MATCH($A196&amp;"|אמצע שנה",'זה אני - קליטה'!$AF$5:$AF$204,0)),""))</f>
        <v/>
      </c>
      <c r="M196" s="37">
        <f>IF($A196="","",IFERROR(INDEX('זה אני - קליטה'!$AK$5:$AK$204,MATCH($A196&amp;"|אמצע שנה",'זה אני - קליטה'!$AF$5:$AF$204,0)),""))</f>
        <v/>
      </c>
      <c r="N196" s="37">
        <f>IF($A196="","",IFERROR(INDEX('זה אני - קליטה'!$AL$5:$AL$204,MATCH($A196&amp;"|אמצע שנה",'זה אני - קליטה'!$AF$5:$AF$204,0)),""))</f>
        <v/>
      </c>
      <c r="O196" s="36">
        <f>IF($A196="","",IFERROR(INDEX('זה אני - קליטה'!$AG$5:$AG$204,MATCH($A196&amp;"|אמצע שנה",'זה אני - קליטה'!$AF$5:$AF$204,0)),""))</f>
        <v/>
      </c>
      <c r="P196" s="37">
        <f>IF($A196="","",IFERROR(INDEX('זה אני - קליטה'!$AN$5:$AN$204,MATCH($A196&amp;"|אמצע שנה",'זה אני - קליטה'!$AF$5:$AF$204,0)),""))</f>
        <v/>
      </c>
      <c r="Q196" s="36">
        <f>IF($A196="","",IFERROR(INDEX('זה אני - קליטה'!$AW$5:$AW$204,MATCH($A196&amp;"|אמצע שנה",'זה אני - קליטה'!$AF$5:$AF$204,0)),""))</f>
        <v/>
      </c>
      <c r="R196" s="37">
        <f>IF($A196="","",IFERROR(INDEX('זה אני - קליטה'!$AH$5:$AH$204,MATCH($A196&amp;"|סוף שנה",'זה אני - קליטה'!$AF$5:$AF$204,0)),""))</f>
        <v/>
      </c>
      <c r="S196" s="37">
        <f>IF($A196="","",IFERROR(INDEX('זה אני - קליטה'!$AI$5:$AI$204,MATCH($A196&amp;"|סוף שנה",'זה אני - קליטה'!$AF$5:$AF$204,0)),""))</f>
        <v/>
      </c>
      <c r="T196" s="37">
        <f>IF($A196="","",IFERROR(INDEX('זה אני - קליטה'!$AJ$5:$AJ$204,MATCH($A196&amp;"|סוף שנה",'זה אני - קליטה'!$AF$5:$AF$204,0)),""))</f>
        <v/>
      </c>
      <c r="U196" s="37">
        <f>IF($A196="","",IFERROR(INDEX('זה אני - קליטה'!$AK$5:$AK$204,MATCH($A196&amp;"|סוף שנה",'זה אני - קליטה'!$AF$5:$AF$204,0)),""))</f>
        <v/>
      </c>
      <c r="V196" s="37">
        <f>IF($A196="","",IFERROR(INDEX('זה אני - קליטה'!$AL$5:$AL$204,MATCH($A196&amp;"|סוף שנה",'זה אני - קליטה'!$AF$5:$AF$204,0)),""))</f>
        <v/>
      </c>
      <c r="W196" s="36">
        <f>IF($A196="","",IFERROR(INDEX('זה אני - קליטה'!$AG$5:$AG$204,MATCH($A196&amp;"|סוף שנה",'זה אני - קליטה'!$AF$5:$AF$204,0)),""))</f>
        <v/>
      </c>
      <c r="X196" s="37">
        <f>IF($A196="","",IFERROR(INDEX('זה אני - קליטה'!$AN$5:$AN$204,MATCH($A196&amp;"|סוף שנה",'זה אני - קליטה'!$AF$5:$AF$204,0)),""))</f>
        <v/>
      </c>
      <c r="Y196" s="36">
        <f>IF($A196="","",IFERROR(INDEX('זה אני - קליטה'!$AW$5:$AW$204,MATCH($A196&amp;"|סוף שנה",'זה אני - קליטה'!$AF$5:$AF$204,0)),""))</f>
        <v/>
      </c>
      <c r="Z196" s="43">
        <f>IF(AND(ISNUMBER(F196),ISNUMBER(V196)),V196-F196,"")</f>
        <v/>
      </c>
      <c r="AA196" s="36">
        <f>IF(Z196="","",IF(Z196&gt;=0.25,"עלייה",IF(Z196&lt;=-0.25,"ירידה","יציב")))</f>
        <v/>
      </c>
    </row>
    <row r="197">
      <c r="A197" s="38" t="n"/>
      <c r="B197" s="37">
        <f>IF($A197="","",IFERROR(INDEX('זה אני - קליטה'!$AH$5:$AH$204,MATCH($A197&amp;"|תחילת שנה",'זה אני - קליטה'!$AF$5:$AF$204,0)),""))</f>
        <v/>
      </c>
      <c r="C197" s="37">
        <f>IF($A197="","",IFERROR(INDEX('זה אני - קליטה'!$AI$5:$AI$204,MATCH($A197&amp;"|תחילת שנה",'זה אני - קליטה'!$AF$5:$AF$204,0)),""))</f>
        <v/>
      </c>
      <c r="D197" s="37">
        <f>IF($A197="","",IFERROR(INDEX('זה אני - קליטה'!$AJ$5:$AJ$204,MATCH($A197&amp;"|תחילת שנה",'זה אני - קליטה'!$AF$5:$AF$204,0)),""))</f>
        <v/>
      </c>
      <c r="E197" s="37">
        <f>IF($A197="","",IFERROR(INDEX('זה אני - קליטה'!$AK$5:$AK$204,MATCH($A197&amp;"|תחילת שנה",'זה אני - קליטה'!$AF$5:$AF$204,0)),""))</f>
        <v/>
      </c>
      <c r="F197" s="37">
        <f>IF($A197="","",IFERROR(INDEX('זה אני - קליטה'!$AL$5:$AL$204,MATCH($A197&amp;"|תחילת שנה",'זה אני - קליטה'!$AF$5:$AF$204,0)),""))</f>
        <v/>
      </c>
      <c r="G197" s="36">
        <f>IF($A197="","",IFERROR(INDEX('זה אני - קליטה'!$AG$5:$AG$204,MATCH($A197&amp;"|תחילת שנה",'זה אני - קליטה'!$AF$5:$AF$204,0)),""))</f>
        <v/>
      </c>
      <c r="H197" s="37">
        <f>IF($A197="","",IFERROR(INDEX('זה אני - קליטה'!$AN$5:$AN$204,MATCH($A197&amp;"|תחילת שנה",'זה אני - קליטה'!$AF$5:$AF$204,0)),""))</f>
        <v/>
      </c>
      <c r="I197" s="36">
        <f>IF($A197="","",IFERROR(INDEX('זה אני - קליטה'!$AW$5:$AW$204,MATCH($A197&amp;"|תחילת שנה",'זה אני - קליטה'!$AF$5:$AF$204,0)),""))</f>
        <v/>
      </c>
      <c r="J197" s="37">
        <f>IF($A197="","",IFERROR(INDEX('זה אני - קליטה'!$AH$5:$AH$204,MATCH($A197&amp;"|אמצע שנה",'זה אני - קליטה'!$AF$5:$AF$204,0)),""))</f>
        <v/>
      </c>
      <c r="K197" s="37">
        <f>IF($A197="","",IFERROR(INDEX('זה אני - קליטה'!$AI$5:$AI$204,MATCH($A197&amp;"|אמצע שנה",'זה אני - קליטה'!$AF$5:$AF$204,0)),""))</f>
        <v/>
      </c>
      <c r="L197" s="37">
        <f>IF($A197="","",IFERROR(INDEX('זה אני - קליטה'!$AJ$5:$AJ$204,MATCH($A197&amp;"|אמצע שנה",'זה אני - קליטה'!$AF$5:$AF$204,0)),""))</f>
        <v/>
      </c>
      <c r="M197" s="37">
        <f>IF($A197="","",IFERROR(INDEX('זה אני - קליטה'!$AK$5:$AK$204,MATCH($A197&amp;"|אמצע שנה",'זה אני - קליטה'!$AF$5:$AF$204,0)),""))</f>
        <v/>
      </c>
      <c r="N197" s="37">
        <f>IF($A197="","",IFERROR(INDEX('זה אני - קליטה'!$AL$5:$AL$204,MATCH($A197&amp;"|אמצע שנה",'זה אני - קליטה'!$AF$5:$AF$204,0)),""))</f>
        <v/>
      </c>
      <c r="O197" s="36">
        <f>IF($A197="","",IFERROR(INDEX('זה אני - קליטה'!$AG$5:$AG$204,MATCH($A197&amp;"|אמצע שנה",'זה אני - קליטה'!$AF$5:$AF$204,0)),""))</f>
        <v/>
      </c>
      <c r="P197" s="37">
        <f>IF($A197="","",IFERROR(INDEX('זה אני - קליטה'!$AN$5:$AN$204,MATCH($A197&amp;"|אמצע שנה",'זה אני - קליטה'!$AF$5:$AF$204,0)),""))</f>
        <v/>
      </c>
      <c r="Q197" s="36">
        <f>IF($A197="","",IFERROR(INDEX('זה אני - קליטה'!$AW$5:$AW$204,MATCH($A197&amp;"|אמצע שנה",'זה אני - קליטה'!$AF$5:$AF$204,0)),""))</f>
        <v/>
      </c>
      <c r="R197" s="37">
        <f>IF($A197="","",IFERROR(INDEX('זה אני - קליטה'!$AH$5:$AH$204,MATCH($A197&amp;"|סוף שנה",'זה אני - קליטה'!$AF$5:$AF$204,0)),""))</f>
        <v/>
      </c>
      <c r="S197" s="37">
        <f>IF($A197="","",IFERROR(INDEX('זה אני - קליטה'!$AI$5:$AI$204,MATCH($A197&amp;"|סוף שנה",'זה אני - קליטה'!$AF$5:$AF$204,0)),""))</f>
        <v/>
      </c>
      <c r="T197" s="37">
        <f>IF($A197="","",IFERROR(INDEX('זה אני - קליטה'!$AJ$5:$AJ$204,MATCH($A197&amp;"|סוף שנה",'זה אני - קליטה'!$AF$5:$AF$204,0)),""))</f>
        <v/>
      </c>
      <c r="U197" s="37">
        <f>IF($A197="","",IFERROR(INDEX('זה אני - קליטה'!$AK$5:$AK$204,MATCH($A197&amp;"|סוף שנה",'זה אני - קליטה'!$AF$5:$AF$204,0)),""))</f>
        <v/>
      </c>
      <c r="V197" s="37">
        <f>IF($A197="","",IFERROR(INDEX('זה אני - קליטה'!$AL$5:$AL$204,MATCH($A197&amp;"|סוף שנה",'זה אני - קליטה'!$AF$5:$AF$204,0)),""))</f>
        <v/>
      </c>
      <c r="W197" s="36">
        <f>IF($A197="","",IFERROR(INDEX('זה אני - קליטה'!$AG$5:$AG$204,MATCH($A197&amp;"|סוף שנה",'זה אני - קליטה'!$AF$5:$AF$204,0)),""))</f>
        <v/>
      </c>
      <c r="X197" s="37">
        <f>IF($A197="","",IFERROR(INDEX('זה אני - קליטה'!$AN$5:$AN$204,MATCH($A197&amp;"|סוף שנה",'זה אני - קליטה'!$AF$5:$AF$204,0)),""))</f>
        <v/>
      </c>
      <c r="Y197" s="36">
        <f>IF($A197="","",IFERROR(INDEX('זה אני - קליטה'!$AW$5:$AW$204,MATCH($A197&amp;"|סוף שנה",'זה אני - קליטה'!$AF$5:$AF$204,0)),""))</f>
        <v/>
      </c>
      <c r="Z197" s="43">
        <f>IF(AND(ISNUMBER(F197),ISNUMBER(V197)),V197-F197,"")</f>
        <v/>
      </c>
      <c r="AA197" s="36">
        <f>IF(Z197="","",IF(Z197&gt;=0.25,"עלייה",IF(Z197&lt;=-0.25,"ירידה","יציב")))</f>
        <v/>
      </c>
    </row>
    <row r="198">
      <c r="A198" s="38" t="n"/>
      <c r="B198" s="37">
        <f>IF($A198="","",IFERROR(INDEX('זה אני - קליטה'!$AH$5:$AH$204,MATCH($A198&amp;"|תחילת שנה",'זה אני - קליטה'!$AF$5:$AF$204,0)),""))</f>
        <v/>
      </c>
      <c r="C198" s="37">
        <f>IF($A198="","",IFERROR(INDEX('זה אני - קליטה'!$AI$5:$AI$204,MATCH($A198&amp;"|תחילת שנה",'זה אני - קליטה'!$AF$5:$AF$204,0)),""))</f>
        <v/>
      </c>
      <c r="D198" s="37">
        <f>IF($A198="","",IFERROR(INDEX('זה אני - קליטה'!$AJ$5:$AJ$204,MATCH($A198&amp;"|תחילת שנה",'זה אני - קליטה'!$AF$5:$AF$204,0)),""))</f>
        <v/>
      </c>
      <c r="E198" s="37">
        <f>IF($A198="","",IFERROR(INDEX('זה אני - קליטה'!$AK$5:$AK$204,MATCH($A198&amp;"|תחילת שנה",'זה אני - קליטה'!$AF$5:$AF$204,0)),""))</f>
        <v/>
      </c>
      <c r="F198" s="37">
        <f>IF($A198="","",IFERROR(INDEX('זה אני - קליטה'!$AL$5:$AL$204,MATCH($A198&amp;"|תחילת שנה",'זה אני - קליטה'!$AF$5:$AF$204,0)),""))</f>
        <v/>
      </c>
      <c r="G198" s="36">
        <f>IF($A198="","",IFERROR(INDEX('זה אני - קליטה'!$AG$5:$AG$204,MATCH($A198&amp;"|תחילת שנה",'זה אני - קליטה'!$AF$5:$AF$204,0)),""))</f>
        <v/>
      </c>
      <c r="H198" s="37">
        <f>IF($A198="","",IFERROR(INDEX('זה אני - קליטה'!$AN$5:$AN$204,MATCH($A198&amp;"|תחילת שנה",'זה אני - קליטה'!$AF$5:$AF$204,0)),""))</f>
        <v/>
      </c>
      <c r="I198" s="36">
        <f>IF($A198="","",IFERROR(INDEX('זה אני - קליטה'!$AW$5:$AW$204,MATCH($A198&amp;"|תחילת שנה",'זה אני - קליטה'!$AF$5:$AF$204,0)),""))</f>
        <v/>
      </c>
      <c r="J198" s="37">
        <f>IF($A198="","",IFERROR(INDEX('זה אני - קליטה'!$AH$5:$AH$204,MATCH($A198&amp;"|אמצע שנה",'זה אני - קליטה'!$AF$5:$AF$204,0)),""))</f>
        <v/>
      </c>
      <c r="K198" s="37">
        <f>IF($A198="","",IFERROR(INDEX('זה אני - קליטה'!$AI$5:$AI$204,MATCH($A198&amp;"|אמצע שנה",'זה אני - קליטה'!$AF$5:$AF$204,0)),""))</f>
        <v/>
      </c>
      <c r="L198" s="37">
        <f>IF($A198="","",IFERROR(INDEX('זה אני - קליטה'!$AJ$5:$AJ$204,MATCH($A198&amp;"|אמצע שנה",'זה אני - קליטה'!$AF$5:$AF$204,0)),""))</f>
        <v/>
      </c>
      <c r="M198" s="37">
        <f>IF($A198="","",IFERROR(INDEX('זה אני - קליטה'!$AK$5:$AK$204,MATCH($A198&amp;"|אמצע שנה",'זה אני - קליטה'!$AF$5:$AF$204,0)),""))</f>
        <v/>
      </c>
      <c r="N198" s="37">
        <f>IF($A198="","",IFERROR(INDEX('זה אני - קליטה'!$AL$5:$AL$204,MATCH($A198&amp;"|אמצע שנה",'זה אני - קליטה'!$AF$5:$AF$204,0)),""))</f>
        <v/>
      </c>
      <c r="O198" s="36">
        <f>IF($A198="","",IFERROR(INDEX('זה אני - קליטה'!$AG$5:$AG$204,MATCH($A198&amp;"|אמצע שנה",'זה אני - קליטה'!$AF$5:$AF$204,0)),""))</f>
        <v/>
      </c>
      <c r="P198" s="37">
        <f>IF($A198="","",IFERROR(INDEX('זה אני - קליטה'!$AN$5:$AN$204,MATCH($A198&amp;"|אמצע שנה",'זה אני - קליטה'!$AF$5:$AF$204,0)),""))</f>
        <v/>
      </c>
      <c r="Q198" s="36">
        <f>IF($A198="","",IFERROR(INDEX('זה אני - קליטה'!$AW$5:$AW$204,MATCH($A198&amp;"|אמצע שנה",'זה אני - קליטה'!$AF$5:$AF$204,0)),""))</f>
        <v/>
      </c>
      <c r="R198" s="37">
        <f>IF($A198="","",IFERROR(INDEX('זה אני - קליטה'!$AH$5:$AH$204,MATCH($A198&amp;"|סוף שנה",'זה אני - קליטה'!$AF$5:$AF$204,0)),""))</f>
        <v/>
      </c>
      <c r="S198" s="37">
        <f>IF($A198="","",IFERROR(INDEX('זה אני - קליטה'!$AI$5:$AI$204,MATCH($A198&amp;"|סוף שנה",'זה אני - קליטה'!$AF$5:$AF$204,0)),""))</f>
        <v/>
      </c>
      <c r="T198" s="37">
        <f>IF($A198="","",IFERROR(INDEX('זה אני - קליטה'!$AJ$5:$AJ$204,MATCH($A198&amp;"|סוף שנה",'זה אני - קליטה'!$AF$5:$AF$204,0)),""))</f>
        <v/>
      </c>
      <c r="U198" s="37">
        <f>IF($A198="","",IFERROR(INDEX('זה אני - קליטה'!$AK$5:$AK$204,MATCH($A198&amp;"|סוף שנה",'זה אני - קליטה'!$AF$5:$AF$204,0)),""))</f>
        <v/>
      </c>
      <c r="V198" s="37">
        <f>IF($A198="","",IFERROR(INDEX('זה אני - קליטה'!$AL$5:$AL$204,MATCH($A198&amp;"|סוף שנה",'זה אני - קליטה'!$AF$5:$AF$204,0)),""))</f>
        <v/>
      </c>
      <c r="W198" s="36">
        <f>IF($A198="","",IFERROR(INDEX('זה אני - קליטה'!$AG$5:$AG$204,MATCH($A198&amp;"|סוף שנה",'זה אני - קליטה'!$AF$5:$AF$204,0)),""))</f>
        <v/>
      </c>
      <c r="X198" s="37">
        <f>IF($A198="","",IFERROR(INDEX('זה אני - קליטה'!$AN$5:$AN$204,MATCH($A198&amp;"|סוף שנה",'זה אני - קליטה'!$AF$5:$AF$204,0)),""))</f>
        <v/>
      </c>
      <c r="Y198" s="36">
        <f>IF($A198="","",IFERROR(INDEX('זה אני - קליטה'!$AW$5:$AW$204,MATCH($A198&amp;"|סוף שנה",'זה אני - קליטה'!$AF$5:$AF$204,0)),""))</f>
        <v/>
      </c>
      <c r="Z198" s="43">
        <f>IF(AND(ISNUMBER(F198),ISNUMBER(V198)),V198-F198,"")</f>
        <v/>
      </c>
      <c r="AA198" s="36">
        <f>IF(Z198="","",IF(Z198&gt;=0.25,"עלייה",IF(Z198&lt;=-0.25,"ירידה","יציב")))</f>
        <v/>
      </c>
    </row>
    <row r="199">
      <c r="A199" s="38" t="n"/>
      <c r="B199" s="37">
        <f>IF($A199="","",IFERROR(INDEX('זה אני - קליטה'!$AH$5:$AH$204,MATCH($A199&amp;"|תחילת שנה",'זה אני - קליטה'!$AF$5:$AF$204,0)),""))</f>
        <v/>
      </c>
      <c r="C199" s="37">
        <f>IF($A199="","",IFERROR(INDEX('זה אני - קליטה'!$AI$5:$AI$204,MATCH($A199&amp;"|תחילת שנה",'זה אני - קליטה'!$AF$5:$AF$204,0)),""))</f>
        <v/>
      </c>
      <c r="D199" s="37">
        <f>IF($A199="","",IFERROR(INDEX('זה אני - קליטה'!$AJ$5:$AJ$204,MATCH($A199&amp;"|תחילת שנה",'זה אני - קליטה'!$AF$5:$AF$204,0)),""))</f>
        <v/>
      </c>
      <c r="E199" s="37">
        <f>IF($A199="","",IFERROR(INDEX('זה אני - קליטה'!$AK$5:$AK$204,MATCH($A199&amp;"|תחילת שנה",'זה אני - קליטה'!$AF$5:$AF$204,0)),""))</f>
        <v/>
      </c>
      <c r="F199" s="37">
        <f>IF($A199="","",IFERROR(INDEX('זה אני - קליטה'!$AL$5:$AL$204,MATCH($A199&amp;"|תחילת שנה",'זה אני - קליטה'!$AF$5:$AF$204,0)),""))</f>
        <v/>
      </c>
      <c r="G199" s="36">
        <f>IF($A199="","",IFERROR(INDEX('זה אני - קליטה'!$AG$5:$AG$204,MATCH($A199&amp;"|תחילת שנה",'זה אני - קליטה'!$AF$5:$AF$204,0)),""))</f>
        <v/>
      </c>
      <c r="H199" s="37">
        <f>IF($A199="","",IFERROR(INDEX('זה אני - קליטה'!$AN$5:$AN$204,MATCH($A199&amp;"|תחילת שנה",'זה אני - קליטה'!$AF$5:$AF$204,0)),""))</f>
        <v/>
      </c>
      <c r="I199" s="36">
        <f>IF($A199="","",IFERROR(INDEX('זה אני - קליטה'!$AW$5:$AW$204,MATCH($A199&amp;"|תחילת שנה",'זה אני - קליטה'!$AF$5:$AF$204,0)),""))</f>
        <v/>
      </c>
      <c r="J199" s="37">
        <f>IF($A199="","",IFERROR(INDEX('זה אני - קליטה'!$AH$5:$AH$204,MATCH($A199&amp;"|אמצע שנה",'זה אני - קליטה'!$AF$5:$AF$204,0)),""))</f>
        <v/>
      </c>
      <c r="K199" s="37">
        <f>IF($A199="","",IFERROR(INDEX('זה אני - קליטה'!$AI$5:$AI$204,MATCH($A199&amp;"|אמצע שנה",'זה אני - קליטה'!$AF$5:$AF$204,0)),""))</f>
        <v/>
      </c>
      <c r="L199" s="37">
        <f>IF($A199="","",IFERROR(INDEX('זה אני - קליטה'!$AJ$5:$AJ$204,MATCH($A199&amp;"|אמצע שנה",'זה אני - קליטה'!$AF$5:$AF$204,0)),""))</f>
        <v/>
      </c>
      <c r="M199" s="37">
        <f>IF($A199="","",IFERROR(INDEX('זה אני - קליטה'!$AK$5:$AK$204,MATCH($A199&amp;"|אמצע שנה",'זה אני - קליטה'!$AF$5:$AF$204,0)),""))</f>
        <v/>
      </c>
      <c r="N199" s="37">
        <f>IF($A199="","",IFERROR(INDEX('זה אני - קליטה'!$AL$5:$AL$204,MATCH($A199&amp;"|אמצע שנה",'זה אני - קליטה'!$AF$5:$AF$204,0)),""))</f>
        <v/>
      </c>
      <c r="O199" s="36">
        <f>IF($A199="","",IFERROR(INDEX('זה אני - קליטה'!$AG$5:$AG$204,MATCH($A199&amp;"|אמצע שנה",'זה אני - קליטה'!$AF$5:$AF$204,0)),""))</f>
        <v/>
      </c>
      <c r="P199" s="37">
        <f>IF($A199="","",IFERROR(INDEX('זה אני - קליטה'!$AN$5:$AN$204,MATCH($A199&amp;"|אמצע שנה",'זה אני - קליטה'!$AF$5:$AF$204,0)),""))</f>
        <v/>
      </c>
      <c r="Q199" s="36">
        <f>IF($A199="","",IFERROR(INDEX('זה אני - קליטה'!$AW$5:$AW$204,MATCH($A199&amp;"|אמצע שנה",'זה אני - קליטה'!$AF$5:$AF$204,0)),""))</f>
        <v/>
      </c>
      <c r="R199" s="37">
        <f>IF($A199="","",IFERROR(INDEX('זה אני - קליטה'!$AH$5:$AH$204,MATCH($A199&amp;"|סוף שנה",'זה אני - קליטה'!$AF$5:$AF$204,0)),""))</f>
        <v/>
      </c>
      <c r="S199" s="37">
        <f>IF($A199="","",IFERROR(INDEX('זה אני - קליטה'!$AI$5:$AI$204,MATCH($A199&amp;"|סוף שנה",'זה אני - קליטה'!$AF$5:$AF$204,0)),""))</f>
        <v/>
      </c>
      <c r="T199" s="37">
        <f>IF($A199="","",IFERROR(INDEX('זה אני - קליטה'!$AJ$5:$AJ$204,MATCH($A199&amp;"|סוף שנה",'זה אני - קליטה'!$AF$5:$AF$204,0)),""))</f>
        <v/>
      </c>
      <c r="U199" s="37">
        <f>IF($A199="","",IFERROR(INDEX('זה אני - קליטה'!$AK$5:$AK$204,MATCH($A199&amp;"|סוף שנה",'זה אני - קליטה'!$AF$5:$AF$204,0)),""))</f>
        <v/>
      </c>
      <c r="V199" s="37">
        <f>IF($A199="","",IFERROR(INDEX('זה אני - קליטה'!$AL$5:$AL$204,MATCH($A199&amp;"|סוף שנה",'זה אני - קליטה'!$AF$5:$AF$204,0)),""))</f>
        <v/>
      </c>
      <c r="W199" s="36">
        <f>IF($A199="","",IFERROR(INDEX('זה אני - קליטה'!$AG$5:$AG$204,MATCH($A199&amp;"|סוף שנה",'זה אני - קליטה'!$AF$5:$AF$204,0)),""))</f>
        <v/>
      </c>
      <c r="X199" s="37">
        <f>IF($A199="","",IFERROR(INDEX('זה אני - קליטה'!$AN$5:$AN$204,MATCH($A199&amp;"|סוף שנה",'זה אני - קליטה'!$AF$5:$AF$204,0)),""))</f>
        <v/>
      </c>
      <c r="Y199" s="36">
        <f>IF($A199="","",IFERROR(INDEX('זה אני - קליטה'!$AW$5:$AW$204,MATCH($A199&amp;"|סוף שנה",'זה אני - קליטה'!$AF$5:$AF$204,0)),""))</f>
        <v/>
      </c>
      <c r="Z199" s="43">
        <f>IF(AND(ISNUMBER(F199),ISNUMBER(V199)),V199-F199,"")</f>
        <v/>
      </c>
      <c r="AA199" s="36">
        <f>IF(Z199="","",IF(Z199&gt;=0.25,"עלייה",IF(Z199&lt;=-0.25,"ירידה","יציב")))</f>
        <v/>
      </c>
    </row>
    <row r="200">
      <c r="A200" s="38" t="n"/>
      <c r="B200" s="37">
        <f>IF($A200="","",IFERROR(INDEX('זה אני - קליטה'!$AH$5:$AH$204,MATCH($A200&amp;"|תחילת שנה",'זה אני - קליטה'!$AF$5:$AF$204,0)),""))</f>
        <v/>
      </c>
      <c r="C200" s="37">
        <f>IF($A200="","",IFERROR(INDEX('זה אני - קליטה'!$AI$5:$AI$204,MATCH($A200&amp;"|תחילת שנה",'זה אני - קליטה'!$AF$5:$AF$204,0)),""))</f>
        <v/>
      </c>
      <c r="D200" s="37">
        <f>IF($A200="","",IFERROR(INDEX('זה אני - קליטה'!$AJ$5:$AJ$204,MATCH($A200&amp;"|תחילת שנה",'זה אני - קליטה'!$AF$5:$AF$204,0)),""))</f>
        <v/>
      </c>
      <c r="E200" s="37">
        <f>IF($A200="","",IFERROR(INDEX('זה אני - קליטה'!$AK$5:$AK$204,MATCH($A200&amp;"|תחילת שנה",'זה אני - קליטה'!$AF$5:$AF$204,0)),""))</f>
        <v/>
      </c>
      <c r="F200" s="37">
        <f>IF($A200="","",IFERROR(INDEX('זה אני - קליטה'!$AL$5:$AL$204,MATCH($A200&amp;"|תחילת שנה",'זה אני - קליטה'!$AF$5:$AF$204,0)),""))</f>
        <v/>
      </c>
      <c r="G200" s="36">
        <f>IF($A200="","",IFERROR(INDEX('זה אני - קליטה'!$AG$5:$AG$204,MATCH($A200&amp;"|תחילת שנה",'זה אני - קליטה'!$AF$5:$AF$204,0)),""))</f>
        <v/>
      </c>
      <c r="H200" s="37">
        <f>IF($A200="","",IFERROR(INDEX('זה אני - קליטה'!$AN$5:$AN$204,MATCH($A200&amp;"|תחילת שנה",'זה אני - קליטה'!$AF$5:$AF$204,0)),""))</f>
        <v/>
      </c>
      <c r="I200" s="36">
        <f>IF($A200="","",IFERROR(INDEX('זה אני - קליטה'!$AW$5:$AW$204,MATCH($A200&amp;"|תחילת שנה",'זה אני - קליטה'!$AF$5:$AF$204,0)),""))</f>
        <v/>
      </c>
      <c r="J200" s="37">
        <f>IF($A200="","",IFERROR(INDEX('זה אני - קליטה'!$AH$5:$AH$204,MATCH($A200&amp;"|אמצע שנה",'זה אני - קליטה'!$AF$5:$AF$204,0)),""))</f>
        <v/>
      </c>
      <c r="K200" s="37">
        <f>IF($A200="","",IFERROR(INDEX('זה אני - קליטה'!$AI$5:$AI$204,MATCH($A200&amp;"|אמצע שנה",'זה אני - קליטה'!$AF$5:$AF$204,0)),""))</f>
        <v/>
      </c>
      <c r="L200" s="37">
        <f>IF($A200="","",IFERROR(INDEX('זה אני - קליטה'!$AJ$5:$AJ$204,MATCH($A200&amp;"|אמצע שנה",'זה אני - קליטה'!$AF$5:$AF$204,0)),""))</f>
        <v/>
      </c>
      <c r="M200" s="37">
        <f>IF($A200="","",IFERROR(INDEX('זה אני - קליטה'!$AK$5:$AK$204,MATCH($A200&amp;"|אמצע שנה",'זה אני - קליטה'!$AF$5:$AF$204,0)),""))</f>
        <v/>
      </c>
      <c r="N200" s="37">
        <f>IF($A200="","",IFERROR(INDEX('זה אני - קליטה'!$AL$5:$AL$204,MATCH($A200&amp;"|אמצע שנה",'זה אני - קליטה'!$AF$5:$AF$204,0)),""))</f>
        <v/>
      </c>
      <c r="O200" s="36">
        <f>IF($A200="","",IFERROR(INDEX('זה אני - קליטה'!$AG$5:$AG$204,MATCH($A200&amp;"|אמצע שנה",'זה אני - קליטה'!$AF$5:$AF$204,0)),""))</f>
        <v/>
      </c>
      <c r="P200" s="37">
        <f>IF($A200="","",IFERROR(INDEX('זה אני - קליטה'!$AN$5:$AN$204,MATCH($A200&amp;"|אמצע שנה",'זה אני - קליטה'!$AF$5:$AF$204,0)),""))</f>
        <v/>
      </c>
      <c r="Q200" s="36">
        <f>IF($A200="","",IFERROR(INDEX('זה אני - קליטה'!$AW$5:$AW$204,MATCH($A200&amp;"|אמצע שנה",'זה אני - קליטה'!$AF$5:$AF$204,0)),""))</f>
        <v/>
      </c>
      <c r="R200" s="37">
        <f>IF($A200="","",IFERROR(INDEX('זה אני - קליטה'!$AH$5:$AH$204,MATCH($A200&amp;"|סוף שנה",'זה אני - קליטה'!$AF$5:$AF$204,0)),""))</f>
        <v/>
      </c>
      <c r="S200" s="37">
        <f>IF($A200="","",IFERROR(INDEX('זה אני - קליטה'!$AI$5:$AI$204,MATCH($A200&amp;"|סוף שנה",'זה אני - קליטה'!$AF$5:$AF$204,0)),""))</f>
        <v/>
      </c>
      <c r="T200" s="37">
        <f>IF($A200="","",IFERROR(INDEX('זה אני - קליטה'!$AJ$5:$AJ$204,MATCH($A200&amp;"|סוף שנה",'זה אני - קליטה'!$AF$5:$AF$204,0)),""))</f>
        <v/>
      </c>
      <c r="U200" s="37">
        <f>IF($A200="","",IFERROR(INDEX('זה אני - קליטה'!$AK$5:$AK$204,MATCH($A200&amp;"|סוף שנה",'זה אני - קליטה'!$AF$5:$AF$204,0)),""))</f>
        <v/>
      </c>
      <c r="V200" s="37">
        <f>IF($A200="","",IFERROR(INDEX('זה אני - קליטה'!$AL$5:$AL$204,MATCH($A200&amp;"|סוף שנה",'זה אני - קליטה'!$AF$5:$AF$204,0)),""))</f>
        <v/>
      </c>
      <c r="W200" s="36">
        <f>IF($A200="","",IFERROR(INDEX('זה אני - קליטה'!$AG$5:$AG$204,MATCH($A200&amp;"|סוף שנה",'זה אני - קליטה'!$AF$5:$AF$204,0)),""))</f>
        <v/>
      </c>
      <c r="X200" s="37">
        <f>IF($A200="","",IFERROR(INDEX('זה אני - קליטה'!$AN$5:$AN$204,MATCH($A200&amp;"|סוף שנה",'זה אני - קליטה'!$AF$5:$AF$204,0)),""))</f>
        <v/>
      </c>
      <c r="Y200" s="36">
        <f>IF($A200="","",IFERROR(INDEX('זה אני - קליטה'!$AW$5:$AW$204,MATCH($A200&amp;"|סוף שנה",'זה אני - קליטה'!$AF$5:$AF$204,0)),""))</f>
        <v/>
      </c>
      <c r="Z200" s="43">
        <f>IF(AND(ISNUMBER(F200),ISNUMBER(V200)),V200-F200,"")</f>
        <v/>
      </c>
      <c r="AA200" s="36">
        <f>IF(Z200="","",IF(Z200&gt;=0.25,"עלייה",IF(Z200&lt;=-0.25,"ירידה","יציב")))</f>
        <v/>
      </c>
    </row>
    <row r="201">
      <c r="A201" s="38" t="n"/>
      <c r="B201" s="37">
        <f>IF($A201="","",IFERROR(INDEX('זה אני - קליטה'!$AH$5:$AH$204,MATCH($A201&amp;"|תחילת שנה",'זה אני - קליטה'!$AF$5:$AF$204,0)),""))</f>
        <v/>
      </c>
      <c r="C201" s="37">
        <f>IF($A201="","",IFERROR(INDEX('זה אני - קליטה'!$AI$5:$AI$204,MATCH($A201&amp;"|תחילת שנה",'זה אני - קליטה'!$AF$5:$AF$204,0)),""))</f>
        <v/>
      </c>
      <c r="D201" s="37">
        <f>IF($A201="","",IFERROR(INDEX('זה אני - קליטה'!$AJ$5:$AJ$204,MATCH($A201&amp;"|תחילת שנה",'זה אני - קליטה'!$AF$5:$AF$204,0)),""))</f>
        <v/>
      </c>
      <c r="E201" s="37">
        <f>IF($A201="","",IFERROR(INDEX('זה אני - קליטה'!$AK$5:$AK$204,MATCH($A201&amp;"|תחילת שנה",'זה אני - קליטה'!$AF$5:$AF$204,0)),""))</f>
        <v/>
      </c>
      <c r="F201" s="37">
        <f>IF($A201="","",IFERROR(INDEX('זה אני - קליטה'!$AL$5:$AL$204,MATCH($A201&amp;"|תחילת שנה",'זה אני - קליטה'!$AF$5:$AF$204,0)),""))</f>
        <v/>
      </c>
      <c r="G201" s="36">
        <f>IF($A201="","",IFERROR(INDEX('זה אני - קליטה'!$AG$5:$AG$204,MATCH($A201&amp;"|תחילת שנה",'זה אני - קליטה'!$AF$5:$AF$204,0)),""))</f>
        <v/>
      </c>
      <c r="H201" s="37">
        <f>IF($A201="","",IFERROR(INDEX('זה אני - קליטה'!$AN$5:$AN$204,MATCH($A201&amp;"|תחילת שנה",'זה אני - קליטה'!$AF$5:$AF$204,0)),""))</f>
        <v/>
      </c>
      <c r="I201" s="36">
        <f>IF($A201="","",IFERROR(INDEX('זה אני - קליטה'!$AW$5:$AW$204,MATCH($A201&amp;"|תחילת שנה",'זה אני - קליטה'!$AF$5:$AF$204,0)),""))</f>
        <v/>
      </c>
      <c r="J201" s="37">
        <f>IF($A201="","",IFERROR(INDEX('זה אני - קליטה'!$AH$5:$AH$204,MATCH($A201&amp;"|אמצע שנה",'זה אני - קליטה'!$AF$5:$AF$204,0)),""))</f>
        <v/>
      </c>
      <c r="K201" s="37">
        <f>IF($A201="","",IFERROR(INDEX('זה אני - קליטה'!$AI$5:$AI$204,MATCH($A201&amp;"|אמצע שנה",'זה אני - קליטה'!$AF$5:$AF$204,0)),""))</f>
        <v/>
      </c>
      <c r="L201" s="37">
        <f>IF($A201="","",IFERROR(INDEX('זה אני - קליטה'!$AJ$5:$AJ$204,MATCH($A201&amp;"|אמצע שנה",'זה אני - קליטה'!$AF$5:$AF$204,0)),""))</f>
        <v/>
      </c>
      <c r="M201" s="37">
        <f>IF($A201="","",IFERROR(INDEX('זה אני - קליטה'!$AK$5:$AK$204,MATCH($A201&amp;"|אמצע שנה",'זה אני - קליטה'!$AF$5:$AF$204,0)),""))</f>
        <v/>
      </c>
      <c r="N201" s="37">
        <f>IF($A201="","",IFERROR(INDEX('זה אני - קליטה'!$AL$5:$AL$204,MATCH($A201&amp;"|אמצע שנה",'זה אני - קליטה'!$AF$5:$AF$204,0)),""))</f>
        <v/>
      </c>
      <c r="O201" s="36">
        <f>IF($A201="","",IFERROR(INDEX('זה אני - קליטה'!$AG$5:$AG$204,MATCH($A201&amp;"|אמצע שנה",'זה אני - קליטה'!$AF$5:$AF$204,0)),""))</f>
        <v/>
      </c>
      <c r="P201" s="37">
        <f>IF($A201="","",IFERROR(INDEX('זה אני - קליטה'!$AN$5:$AN$204,MATCH($A201&amp;"|אמצע שנה",'זה אני - קליטה'!$AF$5:$AF$204,0)),""))</f>
        <v/>
      </c>
      <c r="Q201" s="36">
        <f>IF($A201="","",IFERROR(INDEX('זה אני - קליטה'!$AW$5:$AW$204,MATCH($A201&amp;"|אמצע שנה",'זה אני - קליטה'!$AF$5:$AF$204,0)),""))</f>
        <v/>
      </c>
      <c r="R201" s="37">
        <f>IF($A201="","",IFERROR(INDEX('זה אני - קליטה'!$AH$5:$AH$204,MATCH($A201&amp;"|סוף שנה",'זה אני - קליטה'!$AF$5:$AF$204,0)),""))</f>
        <v/>
      </c>
      <c r="S201" s="37">
        <f>IF($A201="","",IFERROR(INDEX('זה אני - קליטה'!$AI$5:$AI$204,MATCH($A201&amp;"|סוף שנה",'זה אני - קליטה'!$AF$5:$AF$204,0)),""))</f>
        <v/>
      </c>
      <c r="T201" s="37">
        <f>IF($A201="","",IFERROR(INDEX('זה אני - קליטה'!$AJ$5:$AJ$204,MATCH($A201&amp;"|סוף שנה",'זה אני - קליטה'!$AF$5:$AF$204,0)),""))</f>
        <v/>
      </c>
      <c r="U201" s="37">
        <f>IF($A201="","",IFERROR(INDEX('זה אני - קליטה'!$AK$5:$AK$204,MATCH($A201&amp;"|סוף שנה",'זה אני - קליטה'!$AF$5:$AF$204,0)),""))</f>
        <v/>
      </c>
      <c r="V201" s="37">
        <f>IF($A201="","",IFERROR(INDEX('זה אני - קליטה'!$AL$5:$AL$204,MATCH($A201&amp;"|סוף שנה",'זה אני - קליטה'!$AF$5:$AF$204,0)),""))</f>
        <v/>
      </c>
      <c r="W201" s="36">
        <f>IF($A201="","",IFERROR(INDEX('זה אני - קליטה'!$AG$5:$AG$204,MATCH($A201&amp;"|סוף שנה",'זה אני - קליטה'!$AF$5:$AF$204,0)),""))</f>
        <v/>
      </c>
      <c r="X201" s="37">
        <f>IF($A201="","",IFERROR(INDEX('זה אני - קליטה'!$AN$5:$AN$204,MATCH($A201&amp;"|סוף שנה",'זה אני - קליטה'!$AF$5:$AF$204,0)),""))</f>
        <v/>
      </c>
      <c r="Y201" s="36">
        <f>IF($A201="","",IFERROR(INDEX('זה אני - קליטה'!$AW$5:$AW$204,MATCH($A201&amp;"|סוף שנה",'זה אני - קליטה'!$AF$5:$AF$204,0)),""))</f>
        <v/>
      </c>
      <c r="Z201" s="43">
        <f>IF(AND(ISNUMBER(F201),ISNUMBER(V201)),V201-F201,"")</f>
        <v/>
      </c>
      <c r="AA201" s="36">
        <f>IF(Z201="","",IF(Z201&gt;=0.25,"עלייה",IF(Z201&lt;=-0.25,"ירידה","יציב")))</f>
        <v/>
      </c>
    </row>
    <row r="202">
      <c r="A202" s="38" t="n"/>
      <c r="B202" s="37">
        <f>IF($A202="","",IFERROR(INDEX('זה אני - קליטה'!$AH$5:$AH$204,MATCH($A202&amp;"|תחילת שנה",'זה אני - קליטה'!$AF$5:$AF$204,0)),""))</f>
        <v/>
      </c>
      <c r="C202" s="37">
        <f>IF($A202="","",IFERROR(INDEX('זה אני - קליטה'!$AI$5:$AI$204,MATCH($A202&amp;"|תחילת שנה",'זה אני - קליטה'!$AF$5:$AF$204,0)),""))</f>
        <v/>
      </c>
      <c r="D202" s="37">
        <f>IF($A202="","",IFERROR(INDEX('זה אני - קליטה'!$AJ$5:$AJ$204,MATCH($A202&amp;"|תחילת שנה",'זה אני - קליטה'!$AF$5:$AF$204,0)),""))</f>
        <v/>
      </c>
      <c r="E202" s="37">
        <f>IF($A202="","",IFERROR(INDEX('זה אני - קליטה'!$AK$5:$AK$204,MATCH($A202&amp;"|תחילת שנה",'זה אני - קליטה'!$AF$5:$AF$204,0)),""))</f>
        <v/>
      </c>
      <c r="F202" s="37">
        <f>IF($A202="","",IFERROR(INDEX('זה אני - קליטה'!$AL$5:$AL$204,MATCH($A202&amp;"|תחילת שנה",'זה אני - קליטה'!$AF$5:$AF$204,0)),""))</f>
        <v/>
      </c>
      <c r="G202" s="36">
        <f>IF($A202="","",IFERROR(INDEX('זה אני - קליטה'!$AG$5:$AG$204,MATCH($A202&amp;"|תחילת שנה",'זה אני - קליטה'!$AF$5:$AF$204,0)),""))</f>
        <v/>
      </c>
      <c r="H202" s="37">
        <f>IF($A202="","",IFERROR(INDEX('זה אני - קליטה'!$AN$5:$AN$204,MATCH($A202&amp;"|תחילת שנה",'זה אני - קליטה'!$AF$5:$AF$204,0)),""))</f>
        <v/>
      </c>
      <c r="I202" s="36">
        <f>IF($A202="","",IFERROR(INDEX('זה אני - קליטה'!$AW$5:$AW$204,MATCH($A202&amp;"|תחילת שנה",'זה אני - קליטה'!$AF$5:$AF$204,0)),""))</f>
        <v/>
      </c>
      <c r="J202" s="37">
        <f>IF($A202="","",IFERROR(INDEX('זה אני - קליטה'!$AH$5:$AH$204,MATCH($A202&amp;"|אמצע שנה",'זה אני - קליטה'!$AF$5:$AF$204,0)),""))</f>
        <v/>
      </c>
      <c r="K202" s="37">
        <f>IF($A202="","",IFERROR(INDEX('זה אני - קליטה'!$AI$5:$AI$204,MATCH($A202&amp;"|אמצע שנה",'זה אני - קליטה'!$AF$5:$AF$204,0)),""))</f>
        <v/>
      </c>
      <c r="L202" s="37">
        <f>IF($A202="","",IFERROR(INDEX('זה אני - קליטה'!$AJ$5:$AJ$204,MATCH($A202&amp;"|אמצע שנה",'זה אני - קליטה'!$AF$5:$AF$204,0)),""))</f>
        <v/>
      </c>
      <c r="M202" s="37">
        <f>IF($A202="","",IFERROR(INDEX('זה אני - קליטה'!$AK$5:$AK$204,MATCH($A202&amp;"|אמצע שנה",'זה אני - קליטה'!$AF$5:$AF$204,0)),""))</f>
        <v/>
      </c>
      <c r="N202" s="37">
        <f>IF($A202="","",IFERROR(INDEX('זה אני - קליטה'!$AL$5:$AL$204,MATCH($A202&amp;"|אמצע שנה",'זה אני - קליטה'!$AF$5:$AF$204,0)),""))</f>
        <v/>
      </c>
      <c r="O202" s="36">
        <f>IF($A202="","",IFERROR(INDEX('זה אני - קליטה'!$AG$5:$AG$204,MATCH($A202&amp;"|אמצע שנה",'זה אני - קליטה'!$AF$5:$AF$204,0)),""))</f>
        <v/>
      </c>
      <c r="P202" s="37">
        <f>IF($A202="","",IFERROR(INDEX('זה אני - קליטה'!$AN$5:$AN$204,MATCH($A202&amp;"|אמצע שנה",'זה אני - קליטה'!$AF$5:$AF$204,0)),""))</f>
        <v/>
      </c>
      <c r="Q202" s="36">
        <f>IF($A202="","",IFERROR(INDEX('זה אני - קליטה'!$AW$5:$AW$204,MATCH($A202&amp;"|אמצע שנה",'זה אני - קליטה'!$AF$5:$AF$204,0)),""))</f>
        <v/>
      </c>
      <c r="R202" s="37">
        <f>IF($A202="","",IFERROR(INDEX('זה אני - קליטה'!$AH$5:$AH$204,MATCH($A202&amp;"|סוף שנה",'זה אני - קליטה'!$AF$5:$AF$204,0)),""))</f>
        <v/>
      </c>
      <c r="S202" s="37">
        <f>IF($A202="","",IFERROR(INDEX('זה אני - קליטה'!$AI$5:$AI$204,MATCH($A202&amp;"|סוף שנה",'זה אני - קליטה'!$AF$5:$AF$204,0)),""))</f>
        <v/>
      </c>
      <c r="T202" s="37">
        <f>IF($A202="","",IFERROR(INDEX('זה אני - קליטה'!$AJ$5:$AJ$204,MATCH($A202&amp;"|סוף שנה",'זה אני - קליטה'!$AF$5:$AF$204,0)),""))</f>
        <v/>
      </c>
      <c r="U202" s="37">
        <f>IF($A202="","",IFERROR(INDEX('זה אני - קליטה'!$AK$5:$AK$204,MATCH($A202&amp;"|סוף שנה",'זה אני - קליטה'!$AF$5:$AF$204,0)),""))</f>
        <v/>
      </c>
      <c r="V202" s="37">
        <f>IF($A202="","",IFERROR(INDEX('זה אני - קליטה'!$AL$5:$AL$204,MATCH($A202&amp;"|סוף שנה",'זה אני - קליטה'!$AF$5:$AF$204,0)),""))</f>
        <v/>
      </c>
      <c r="W202" s="36">
        <f>IF($A202="","",IFERROR(INDEX('זה אני - קליטה'!$AG$5:$AG$204,MATCH($A202&amp;"|סוף שנה",'זה אני - קליטה'!$AF$5:$AF$204,0)),""))</f>
        <v/>
      </c>
      <c r="X202" s="37">
        <f>IF($A202="","",IFERROR(INDEX('זה אני - קליטה'!$AN$5:$AN$204,MATCH($A202&amp;"|סוף שנה",'זה אני - קליטה'!$AF$5:$AF$204,0)),""))</f>
        <v/>
      </c>
      <c r="Y202" s="36">
        <f>IF($A202="","",IFERROR(INDEX('זה אני - קליטה'!$AW$5:$AW$204,MATCH($A202&amp;"|סוף שנה",'זה אני - קליטה'!$AF$5:$AF$204,0)),""))</f>
        <v/>
      </c>
      <c r="Z202" s="43">
        <f>IF(AND(ISNUMBER(F202),ISNUMBER(V202)),V202-F202,"")</f>
        <v/>
      </c>
      <c r="AA202" s="36">
        <f>IF(Z202="","",IF(Z202&gt;=0.25,"עלייה",IF(Z202&lt;=-0.25,"ירידה","יציב")))</f>
        <v/>
      </c>
    </row>
    <row r="203">
      <c r="A203" s="38" t="n"/>
      <c r="B203" s="37">
        <f>IF($A203="","",IFERROR(INDEX('זה אני - קליטה'!$AH$5:$AH$204,MATCH($A203&amp;"|תחילת שנה",'זה אני - קליטה'!$AF$5:$AF$204,0)),""))</f>
        <v/>
      </c>
      <c r="C203" s="37">
        <f>IF($A203="","",IFERROR(INDEX('זה אני - קליטה'!$AI$5:$AI$204,MATCH($A203&amp;"|תחילת שנה",'זה אני - קליטה'!$AF$5:$AF$204,0)),""))</f>
        <v/>
      </c>
      <c r="D203" s="37">
        <f>IF($A203="","",IFERROR(INDEX('זה אני - קליטה'!$AJ$5:$AJ$204,MATCH($A203&amp;"|תחילת שנה",'זה אני - קליטה'!$AF$5:$AF$204,0)),""))</f>
        <v/>
      </c>
      <c r="E203" s="37">
        <f>IF($A203="","",IFERROR(INDEX('זה אני - קליטה'!$AK$5:$AK$204,MATCH($A203&amp;"|תחילת שנה",'זה אני - קליטה'!$AF$5:$AF$204,0)),""))</f>
        <v/>
      </c>
      <c r="F203" s="37">
        <f>IF($A203="","",IFERROR(INDEX('זה אני - קליטה'!$AL$5:$AL$204,MATCH($A203&amp;"|תחילת שנה",'זה אני - קליטה'!$AF$5:$AF$204,0)),""))</f>
        <v/>
      </c>
      <c r="G203" s="36">
        <f>IF($A203="","",IFERROR(INDEX('זה אני - קליטה'!$AG$5:$AG$204,MATCH($A203&amp;"|תחילת שנה",'זה אני - קליטה'!$AF$5:$AF$204,0)),""))</f>
        <v/>
      </c>
      <c r="H203" s="37">
        <f>IF($A203="","",IFERROR(INDEX('זה אני - קליטה'!$AN$5:$AN$204,MATCH($A203&amp;"|תחילת שנה",'זה אני - קליטה'!$AF$5:$AF$204,0)),""))</f>
        <v/>
      </c>
      <c r="I203" s="36">
        <f>IF($A203="","",IFERROR(INDEX('זה אני - קליטה'!$AW$5:$AW$204,MATCH($A203&amp;"|תחילת שנה",'זה אני - קליטה'!$AF$5:$AF$204,0)),""))</f>
        <v/>
      </c>
      <c r="J203" s="37">
        <f>IF($A203="","",IFERROR(INDEX('זה אני - קליטה'!$AH$5:$AH$204,MATCH($A203&amp;"|אמצע שנה",'זה אני - קליטה'!$AF$5:$AF$204,0)),""))</f>
        <v/>
      </c>
      <c r="K203" s="37">
        <f>IF($A203="","",IFERROR(INDEX('זה אני - קליטה'!$AI$5:$AI$204,MATCH($A203&amp;"|אמצע שנה",'זה אני - קליטה'!$AF$5:$AF$204,0)),""))</f>
        <v/>
      </c>
      <c r="L203" s="37">
        <f>IF($A203="","",IFERROR(INDEX('זה אני - קליטה'!$AJ$5:$AJ$204,MATCH($A203&amp;"|אמצע שנה",'זה אני - קליטה'!$AF$5:$AF$204,0)),""))</f>
        <v/>
      </c>
      <c r="M203" s="37">
        <f>IF($A203="","",IFERROR(INDEX('זה אני - קליטה'!$AK$5:$AK$204,MATCH($A203&amp;"|אמצע שנה",'זה אני - קליטה'!$AF$5:$AF$204,0)),""))</f>
        <v/>
      </c>
      <c r="N203" s="37">
        <f>IF($A203="","",IFERROR(INDEX('זה אני - קליטה'!$AL$5:$AL$204,MATCH($A203&amp;"|אמצע שנה",'זה אני - קליטה'!$AF$5:$AF$204,0)),""))</f>
        <v/>
      </c>
      <c r="O203" s="36">
        <f>IF($A203="","",IFERROR(INDEX('זה אני - קליטה'!$AG$5:$AG$204,MATCH($A203&amp;"|אמצע שנה",'זה אני - קליטה'!$AF$5:$AF$204,0)),""))</f>
        <v/>
      </c>
      <c r="P203" s="37">
        <f>IF($A203="","",IFERROR(INDEX('זה אני - קליטה'!$AN$5:$AN$204,MATCH($A203&amp;"|אמצע שנה",'זה אני - קליטה'!$AF$5:$AF$204,0)),""))</f>
        <v/>
      </c>
      <c r="Q203" s="36">
        <f>IF($A203="","",IFERROR(INDEX('זה אני - קליטה'!$AW$5:$AW$204,MATCH($A203&amp;"|אמצע שנה",'זה אני - קליטה'!$AF$5:$AF$204,0)),""))</f>
        <v/>
      </c>
      <c r="R203" s="37">
        <f>IF($A203="","",IFERROR(INDEX('זה אני - קליטה'!$AH$5:$AH$204,MATCH($A203&amp;"|סוף שנה",'זה אני - קליטה'!$AF$5:$AF$204,0)),""))</f>
        <v/>
      </c>
      <c r="S203" s="37">
        <f>IF($A203="","",IFERROR(INDEX('זה אני - קליטה'!$AI$5:$AI$204,MATCH($A203&amp;"|סוף שנה",'זה אני - קליטה'!$AF$5:$AF$204,0)),""))</f>
        <v/>
      </c>
      <c r="T203" s="37">
        <f>IF($A203="","",IFERROR(INDEX('זה אני - קליטה'!$AJ$5:$AJ$204,MATCH($A203&amp;"|סוף שנה",'זה אני - קליטה'!$AF$5:$AF$204,0)),""))</f>
        <v/>
      </c>
      <c r="U203" s="37">
        <f>IF($A203="","",IFERROR(INDEX('זה אני - קליטה'!$AK$5:$AK$204,MATCH($A203&amp;"|סוף שנה",'זה אני - קליטה'!$AF$5:$AF$204,0)),""))</f>
        <v/>
      </c>
      <c r="V203" s="37">
        <f>IF($A203="","",IFERROR(INDEX('זה אני - קליטה'!$AL$5:$AL$204,MATCH($A203&amp;"|סוף שנה",'זה אני - קליטה'!$AF$5:$AF$204,0)),""))</f>
        <v/>
      </c>
      <c r="W203" s="36">
        <f>IF($A203="","",IFERROR(INDEX('זה אני - קליטה'!$AG$5:$AG$204,MATCH($A203&amp;"|סוף שנה",'זה אני - קליטה'!$AF$5:$AF$204,0)),""))</f>
        <v/>
      </c>
      <c r="X203" s="37">
        <f>IF($A203="","",IFERROR(INDEX('זה אני - קליטה'!$AN$5:$AN$204,MATCH($A203&amp;"|סוף שנה",'זה אני - קליטה'!$AF$5:$AF$204,0)),""))</f>
        <v/>
      </c>
      <c r="Y203" s="36">
        <f>IF($A203="","",IFERROR(INDEX('זה אני - קליטה'!$AW$5:$AW$204,MATCH($A203&amp;"|סוף שנה",'זה אני - קליטה'!$AF$5:$AF$204,0)),""))</f>
        <v/>
      </c>
      <c r="Z203" s="43">
        <f>IF(AND(ISNUMBER(F203),ISNUMBER(V203)),V203-F203,"")</f>
        <v/>
      </c>
      <c r="AA203" s="36">
        <f>IF(Z203="","",IF(Z203&gt;=0.25,"עלייה",IF(Z203&lt;=-0.25,"ירידה","יציב")))</f>
        <v/>
      </c>
    </row>
    <row r="204">
      <c r="A204" s="38" t="n"/>
      <c r="B204" s="37">
        <f>IF($A204="","",IFERROR(INDEX('זה אני - קליטה'!$AH$5:$AH$204,MATCH($A204&amp;"|תחילת שנה",'זה אני - קליטה'!$AF$5:$AF$204,0)),""))</f>
        <v/>
      </c>
      <c r="C204" s="37">
        <f>IF($A204="","",IFERROR(INDEX('זה אני - קליטה'!$AI$5:$AI$204,MATCH($A204&amp;"|תחילת שנה",'זה אני - קליטה'!$AF$5:$AF$204,0)),""))</f>
        <v/>
      </c>
      <c r="D204" s="37">
        <f>IF($A204="","",IFERROR(INDEX('זה אני - קליטה'!$AJ$5:$AJ$204,MATCH($A204&amp;"|תחילת שנה",'זה אני - קליטה'!$AF$5:$AF$204,0)),""))</f>
        <v/>
      </c>
      <c r="E204" s="37">
        <f>IF($A204="","",IFERROR(INDEX('זה אני - קליטה'!$AK$5:$AK$204,MATCH($A204&amp;"|תחילת שנה",'זה אני - קליטה'!$AF$5:$AF$204,0)),""))</f>
        <v/>
      </c>
      <c r="F204" s="37">
        <f>IF($A204="","",IFERROR(INDEX('זה אני - קליטה'!$AL$5:$AL$204,MATCH($A204&amp;"|תחילת שנה",'זה אני - קליטה'!$AF$5:$AF$204,0)),""))</f>
        <v/>
      </c>
      <c r="G204" s="36">
        <f>IF($A204="","",IFERROR(INDEX('זה אני - קליטה'!$AG$5:$AG$204,MATCH($A204&amp;"|תחילת שנה",'זה אני - קליטה'!$AF$5:$AF$204,0)),""))</f>
        <v/>
      </c>
      <c r="H204" s="37">
        <f>IF($A204="","",IFERROR(INDEX('זה אני - קליטה'!$AN$5:$AN$204,MATCH($A204&amp;"|תחילת שנה",'זה אני - קליטה'!$AF$5:$AF$204,0)),""))</f>
        <v/>
      </c>
      <c r="I204" s="36">
        <f>IF($A204="","",IFERROR(INDEX('זה אני - קליטה'!$AW$5:$AW$204,MATCH($A204&amp;"|תחילת שנה",'זה אני - קליטה'!$AF$5:$AF$204,0)),""))</f>
        <v/>
      </c>
      <c r="J204" s="37">
        <f>IF($A204="","",IFERROR(INDEX('זה אני - קליטה'!$AH$5:$AH$204,MATCH($A204&amp;"|אמצע שנה",'זה אני - קליטה'!$AF$5:$AF$204,0)),""))</f>
        <v/>
      </c>
      <c r="K204" s="37">
        <f>IF($A204="","",IFERROR(INDEX('זה אני - קליטה'!$AI$5:$AI$204,MATCH($A204&amp;"|אמצע שנה",'זה אני - קליטה'!$AF$5:$AF$204,0)),""))</f>
        <v/>
      </c>
      <c r="L204" s="37">
        <f>IF($A204="","",IFERROR(INDEX('זה אני - קליטה'!$AJ$5:$AJ$204,MATCH($A204&amp;"|אמצע שנה",'זה אני - קליטה'!$AF$5:$AF$204,0)),""))</f>
        <v/>
      </c>
      <c r="M204" s="37">
        <f>IF($A204="","",IFERROR(INDEX('זה אני - קליטה'!$AK$5:$AK$204,MATCH($A204&amp;"|אמצע שנה",'זה אני - קליטה'!$AF$5:$AF$204,0)),""))</f>
        <v/>
      </c>
      <c r="N204" s="37">
        <f>IF($A204="","",IFERROR(INDEX('זה אני - קליטה'!$AL$5:$AL$204,MATCH($A204&amp;"|אמצע שנה",'זה אני - קליטה'!$AF$5:$AF$204,0)),""))</f>
        <v/>
      </c>
      <c r="O204" s="36">
        <f>IF($A204="","",IFERROR(INDEX('זה אני - קליטה'!$AG$5:$AG$204,MATCH($A204&amp;"|אמצע שנה",'זה אני - קליטה'!$AF$5:$AF$204,0)),""))</f>
        <v/>
      </c>
      <c r="P204" s="37">
        <f>IF($A204="","",IFERROR(INDEX('זה אני - קליטה'!$AN$5:$AN$204,MATCH($A204&amp;"|אמצע שנה",'זה אני - קליטה'!$AF$5:$AF$204,0)),""))</f>
        <v/>
      </c>
      <c r="Q204" s="36">
        <f>IF($A204="","",IFERROR(INDEX('זה אני - קליטה'!$AW$5:$AW$204,MATCH($A204&amp;"|אמצע שנה",'זה אני - קליטה'!$AF$5:$AF$204,0)),""))</f>
        <v/>
      </c>
      <c r="R204" s="37">
        <f>IF($A204="","",IFERROR(INDEX('זה אני - קליטה'!$AH$5:$AH$204,MATCH($A204&amp;"|סוף שנה",'זה אני - קליטה'!$AF$5:$AF$204,0)),""))</f>
        <v/>
      </c>
      <c r="S204" s="37">
        <f>IF($A204="","",IFERROR(INDEX('זה אני - קליטה'!$AI$5:$AI$204,MATCH($A204&amp;"|סוף שנה",'זה אני - קליטה'!$AF$5:$AF$204,0)),""))</f>
        <v/>
      </c>
      <c r="T204" s="37">
        <f>IF($A204="","",IFERROR(INDEX('זה אני - קליטה'!$AJ$5:$AJ$204,MATCH($A204&amp;"|סוף שנה",'זה אני - קליטה'!$AF$5:$AF$204,0)),""))</f>
        <v/>
      </c>
      <c r="U204" s="37">
        <f>IF($A204="","",IFERROR(INDEX('זה אני - קליטה'!$AK$5:$AK$204,MATCH($A204&amp;"|סוף שנה",'זה אני - קליטה'!$AF$5:$AF$204,0)),""))</f>
        <v/>
      </c>
      <c r="V204" s="37">
        <f>IF($A204="","",IFERROR(INDEX('זה אני - קליטה'!$AL$5:$AL$204,MATCH($A204&amp;"|סוף שנה",'זה אני - קליטה'!$AF$5:$AF$204,0)),""))</f>
        <v/>
      </c>
      <c r="W204" s="36">
        <f>IF($A204="","",IFERROR(INDEX('זה אני - קליטה'!$AG$5:$AG$204,MATCH($A204&amp;"|סוף שנה",'זה אני - קליטה'!$AF$5:$AF$204,0)),""))</f>
        <v/>
      </c>
      <c r="X204" s="37">
        <f>IF($A204="","",IFERROR(INDEX('זה אני - קליטה'!$AN$5:$AN$204,MATCH($A204&amp;"|סוף שנה",'זה אני - קליטה'!$AF$5:$AF$204,0)),""))</f>
        <v/>
      </c>
      <c r="Y204" s="36">
        <f>IF($A204="","",IFERROR(INDEX('זה אני - קליטה'!$AW$5:$AW$204,MATCH($A204&amp;"|סוף שנה",'זה אני - קליטה'!$AF$5:$AF$204,0)),""))</f>
        <v/>
      </c>
      <c r="Z204" s="43">
        <f>IF(AND(ISNUMBER(F204),ISNUMBER(V204)),V204-F204,"")</f>
        <v/>
      </c>
      <c r="AA204" s="36">
        <f>IF(Z204="","",IF(Z204&gt;=0.25,"עלייה",IF(Z204&lt;=-0.25,"ירידה","יציב")))</f>
        <v/>
      </c>
    </row>
  </sheetData>
  <mergeCells count="4">
    <mergeCell ref="Z3:AA3"/>
    <mergeCell ref="B3:I3"/>
    <mergeCell ref="R3:Y3"/>
    <mergeCell ref="J3:Q3"/>
  </mergeCells>
  <conditionalFormatting sqref="AA5:AA204">
    <cfRule type="cellIs" priority="1" operator="equal" dxfId="2">
      <formula>"עלייה"</formula>
    </cfRule>
    <cfRule type="cellIs" priority="2" operator="equal" dxfId="0">
      <formula>"ירידה"</formula>
    </cfRule>
  </conditionalFormatting>
  <conditionalFormatting sqref="B5:F204">
    <cfRule type="colorScale" priority="3">
      <colorScale>
        <cfvo type="num" val="0"/>
        <cfvo type="num" val="0.5"/>
        <cfvo type="num" val="1"/>
        <color rgb="00F9B5B8"/>
        <color rgb="00FFE07A"/>
        <color rgb="008FD19E"/>
      </colorScale>
    </cfRule>
  </conditionalFormatting>
  <conditionalFormatting sqref="J5:N204">
    <cfRule type="colorScale" priority="4">
      <colorScale>
        <cfvo type="num" val="0"/>
        <cfvo type="num" val="0.5"/>
        <cfvo type="num" val="1"/>
        <color rgb="00F9B5B8"/>
        <color rgb="00FFE07A"/>
        <color rgb="008FD19E"/>
      </colorScale>
    </cfRule>
  </conditionalFormatting>
  <conditionalFormatting sqref="R5:V204">
    <cfRule type="colorScale" priority="5">
      <colorScale>
        <cfvo type="num" val="0"/>
        <cfvo type="num" val="0.5"/>
        <cfvo type="num" val="1"/>
        <color rgb="00F9B5B8"/>
        <color rgb="00FFE07A"/>
        <color rgb="008FD19E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4448F"/>
    <outlinePr summaryBelow="1" summaryRight="1"/>
    <pageSetUpPr/>
  </sheetPr>
  <dimension ref="A1:AT204"/>
  <sheetViews>
    <sheetView rightToLeft="1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1" customWidth="1" min="8" max="8"/>
    <col width="11" customWidth="1" min="9" max="9"/>
    <col width="11" customWidth="1" min="10" max="10"/>
    <col width="11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26" customWidth="1" min="31" max="31"/>
    <col width="18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</cols>
  <sheetData>
    <row r="1">
      <c r="A1" s="10" t="inlineStr">
        <is>
          <t>מיפוי רווחה והשתתפות – קליטה</t>
        </is>
      </c>
    </row>
    <row r="2">
      <c r="A2" s="11" t="inlineStr">
        <is>
          <t>שורה לכל מילוי. ממלאים רק תאים צהובים. השורה הראשונה היא דוגמה, מוחקים אותה.</t>
        </is>
      </c>
    </row>
    <row r="3">
      <c r="A3" s="12" t="inlineStr">
        <is>
          <t>פרטי המילוי</t>
        </is>
      </c>
      <c r="B3" s="13" t="n"/>
      <c r="C3" s="13" t="n"/>
      <c r="D3" s="13" t="n"/>
      <c r="E3" s="13" t="n"/>
      <c r="F3" s="13" t="n"/>
      <c r="G3" s="13" t="n"/>
      <c r="H3" s="24" t="inlineStr">
        <is>
          <t>חימום</t>
        </is>
      </c>
      <c r="I3" s="25" t="n"/>
      <c r="J3" s="25" t="n"/>
      <c r="K3" s="25" t="n"/>
      <c r="L3" s="39" t="inlineStr">
        <is>
          <t>תשובות התלמיד/ה</t>
        </is>
      </c>
      <c r="M3" s="40" t="n"/>
      <c r="N3" s="40" t="n"/>
      <c r="O3" s="40" t="n"/>
      <c r="P3" s="40" t="n"/>
      <c r="Q3" s="40" t="n"/>
      <c r="R3" s="40" t="n"/>
      <c r="S3" s="40" t="n"/>
      <c r="T3" s="40" t="n"/>
      <c r="U3" s="40" t="n"/>
      <c r="V3" s="16" t="inlineStr">
        <is>
          <t>תצפית הצוות (3 = הרבה · 2 = לפעמים · 1 = כמעט לא)</t>
        </is>
      </c>
      <c r="W3" s="17" t="n"/>
      <c r="X3" s="17" t="n"/>
      <c r="Y3" s="17" t="n"/>
      <c r="Z3" s="17" t="n"/>
      <c r="AA3" s="17" t="n"/>
      <c r="AB3" s="17" t="n"/>
      <c r="AC3" s="17" t="n"/>
      <c r="AD3" s="17" t="n"/>
      <c r="AF3" s="22" t="inlineStr">
        <is>
          <t>חישובים אוטומטיים</t>
        </is>
      </c>
      <c r="AG3" s="23" t="n"/>
      <c r="AH3" s="23" t="n"/>
      <c r="AI3" s="23" t="n"/>
      <c r="AJ3" s="23" t="n"/>
      <c r="AK3" s="23" t="n"/>
      <c r="AL3" s="23" t="n"/>
      <c r="AM3" s="23" t="n"/>
      <c r="AN3" s="23" t="n"/>
      <c r="AO3" s="23" t="n"/>
      <c r="AP3" s="23" t="n"/>
      <c r="AQ3" s="23" t="n"/>
      <c r="AR3" s="23" t="n"/>
      <c r="AS3" s="23" t="n"/>
      <c r="AT3" s="23" t="n"/>
    </row>
    <row r="4" ht="58" customHeight="1">
      <c r="A4" s="26" t="inlineStr">
        <is>
          <t>שם התלמיד/ה</t>
        </is>
      </c>
      <c r="B4" s="26" t="inlineStr">
        <is>
          <t>כיתה</t>
        </is>
      </c>
      <c r="C4" s="26" t="inlineStr">
        <is>
          <t>מועד</t>
        </is>
      </c>
      <c r="D4" s="26" t="inlineStr">
        <is>
          <t>תאריך</t>
        </is>
      </c>
      <c r="E4" s="26" t="inlineStr">
        <is>
          <t>ממלא/ת</t>
        </is>
      </c>
      <c r="F4" s="26" t="inlineStr">
        <is>
          <t>אופן תשובה</t>
        </is>
      </c>
      <c r="G4" s="26" t="inlineStr">
        <is>
          <t>הבנת השאלות</t>
        </is>
      </c>
      <c r="H4" s="34" t="inlineStr">
        <is>
          <t>מוזיקה – צפוי</t>
        </is>
      </c>
      <c r="I4" s="34" t="inlineStr">
        <is>
          <t>מוזיקה – תשובה</t>
        </is>
      </c>
      <c r="J4" s="34" t="inlineStr">
        <is>
          <t>בועות – צפוי</t>
        </is>
      </c>
      <c r="K4" s="34" t="inlineStr">
        <is>
          <t>בועות – תשובה</t>
        </is>
      </c>
      <c r="L4" s="28" t="inlineStr">
        <is>
          <t>להיות עם הילדים</t>
        </is>
      </c>
      <c r="M4" s="28" t="inlineStr">
        <is>
          <t>שמח/ה כשמדברים איתי</t>
        </is>
      </c>
      <c r="N4" s="29" t="inlineStr">
        <is>
          <t>אוהב/ת את הפעילויות</t>
        </is>
      </c>
      <c r="O4" s="29" t="inlineStr">
        <is>
          <t>אוהב/ת לשחק ולנסות</t>
        </is>
      </c>
      <c r="P4" s="30" t="inlineStr">
        <is>
          <t>רגוע ונעים לי</t>
        </is>
      </c>
      <c r="Q4" s="30" t="inlineStr">
        <is>
          <t>שמח/ה בבית הספר</t>
        </is>
      </c>
      <c r="R4" s="31" t="inlineStr">
        <is>
          <t>אוהב/ת לבחור בעצמי</t>
        </is>
      </c>
      <c r="S4" s="31" t="inlineStr">
        <is>
          <t>אוהב/ת לעזור ולהשתתף</t>
        </is>
      </c>
      <c r="T4" s="44" t="inlineStr">
        <is>
          <t>המבוגרים נחמדים</t>
        </is>
      </c>
      <c r="U4" s="44" t="inlineStr">
        <is>
          <t>אוהב/ת להגיע</t>
        </is>
      </c>
      <c r="V4" s="28" t="inlineStr">
        <is>
          <t>מגיב/ה לקרבה</t>
        </is>
      </c>
      <c r="W4" s="28" t="inlineStr">
        <is>
          <t>יוזם/ת קשר</t>
        </is>
      </c>
      <c r="X4" s="29" t="inlineStr">
        <is>
          <t>מתעניין/ת בפעילות</t>
        </is>
      </c>
      <c r="Y4" s="29" t="inlineStr">
        <is>
          <t>מעורב/ת לאורך זמן</t>
        </is>
      </c>
      <c r="Z4" s="30" t="inlineStr">
        <is>
          <t>רגוע/ה ונינוח/ה</t>
        </is>
      </c>
      <c r="AA4" s="30" t="inlineStr">
        <is>
          <t>מביע/ה אי־נוחות מובנת</t>
        </is>
      </c>
      <c r="AB4" s="31" t="inlineStr">
        <is>
          <t>מביע/ה בחירה</t>
        </is>
      </c>
      <c r="AC4" s="31" t="inlineStr">
        <is>
          <t>משתתף/ת ביומיום</t>
        </is>
      </c>
      <c r="AD4" s="44" t="inlineStr">
        <is>
          <t>שמח/ה בבוקר</t>
        </is>
      </c>
      <c r="AE4" s="26" t="inlineStr">
        <is>
          <t>הערות</t>
        </is>
      </c>
      <c r="AF4" s="33" t="inlineStr">
        <is>
          <t>מפתח</t>
        </is>
      </c>
      <c r="AG4" s="33" t="inlineStr">
        <is>
          <t>חברתי – תלמיד</t>
        </is>
      </c>
      <c r="AH4" s="33" t="inlineStr">
        <is>
          <t>למידה – תלמיד</t>
        </is>
      </c>
      <c r="AI4" s="33" t="inlineStr">
        <is>
          <t>רגשי – תלמיד</t>
        </is>
      </c>
      <c r="AJ4" s="33" t="inlineStr">
        <is>
          <t>השתתפות – תלמיד</t>
        </is>
      </c>
      <c r="AK4" s="33" t="inlineStr">
        <is>
          <t>בית הספר – תלמיד</t>
        </is>
      </c>
      <c r="AL4" s="33" t="inlineStr">
        <is>
          <t>תלמיד – סה״כ ״כן״</t>
        </is>
      </c>
      <c r="AM4" s="33" t="inlineStr">
        <is>
          <t>תצפית חברתי</t>
        </is>
      </c>
      <c r="AN4" s="33" t="inlineStr">
        <is>
          <t>תצפית למידה</t>
        </is>
      </c>
      <c r="AO4" s="33" t="inlineStr">
        <is>
          <t>תצפית רגשי</t>
        </is>
      </c>
      <c r="AP4" s="33" t="inlineStr">
        <is>
          <t>תצפית השתתפות</t>
        </is>
      </c>
      <c r="AQ4" s="33" t="inlineStr">
        <is>
          <t>תצפית אקלים</t>
        </is>
      </c>
      <c r="AR4" s="33" t="inlineStr">
        <is>
          <t>מדד תצפית כולל</t>
        </is>
      </c>
      <c r="AS4" s="33" t="inlineStr">
        <is>
          <t>התאמה בחימום</t>
        </is>
      </c>
      <c r="AT4" s="33" t="inlineStr">
        <is>
          <t>אמינות המילוי</t>
        </is>
      </c>
    </row>
    <row r="5">
      <c r="A5" s="35" t="inlineStr">
        <is>
          <t>תלמיד לדוגמה</t>
        </is>
      </c>
      <c r="B5" s="35" t="inlineStr">
        <is>
          <t>כיתה לדוגמה</t>
        </is>
      </c>
      <c r="C5" s="35" t="inlineStr">
        <is>
          <t>תחילת שנה</t>
        </is>
      </c>
      <c r="D5" s="35" t="inlineStr">
        <is>
          <t>11/11/2026</t>
        </is>
      </c>
      <c r="E5" s="35" t="inlineStr">
        <is>
          <t>נופר</t>
        </is>
      </c>
      <c r="F5" s="35" t="inlineStr">
        <is>
          <t>מבט</t>
        </is>
      </c>
      <c r="G5" s="35" t="inlineStr">
        <is>
          <t>הבין/ה</t>
        </is>
      </c>
      <c r="H5" s="35" t="inlineStr">
        <is>
          <t>כן</t>
        </is>
      </c>
      <c r="I5" s="35" t="inlineStr">
        <is>
          <t>כן</t>
        </is>
      </c>
      <c r="J5" s="35" t="inlineStr">
        <is>
          <t>לא</t>
        </is>
      </c>
      <c r="K5" s="35" t="inlineStr">
        <is>
          <t>לא</t>
        </is>
      </c>
      <c r="L5" s="35" t="inlineStr">
        <is>
          <t>כן</t>
        </is>
      </c>
      <c r="M5" s="35" t="inlineStr">
        <is>
          <t>כן</t>
        </is>
      </c>
      <c r="N5" s="35" t="inlineStr">
        <is>
          <t>כן</t>
        </is>
      </c>
      <c r="O5" s="35" t="inlineStr">
        <is>
          <t>לא</t>
        </is>
      </c>
      <c r="P5" s="35" t="inlineStr">
        <is>
          <t>כן</t>
        </is>
      </c>
      <c r="Q5" s="35" t="inlineStr">
        <is>
          <t>כן</t>
        </is>
      </c>
      <c r="R5" s="35" t="inlineStr">
        <is>
          <t>לא</t>
        </is>
      </c>
      <c r="S5" s="35" t="inlineStr">
        <is>
          <t>לא ענה</t>
        </is>
      </c>
      <c r="T5" s="35" t="inlineStr">
        <is>
          <t>כן</t>
        </is>
      </c>
      <c r="U5" s="35" t="inlineStr">
        <is>
          <t>כן</t>
        </is>
      </c>
      <c r="V5" s="35" t="n">
        <v>2</v>
      </c>
      <c r="W5" s="35" t="n">
        <v>1</v>
      </c>
      <c r="X5" s="35" t="n">
        <v>3</v>
      </c>
      <c r="Y5" s="35" t="n">
        <v>2</v>
      </c>
      <c r="Z5" s="35" t="n">
        <v>2</v>
      </c>
      <c r="AA5" s="35" t="n">
        <v>3</v>
      </c>
      <c r="AB5" s="35" t="n">
        <v>1</v>
      </c>
      <c r="AC5" s="35" t="n">
        <v>2</v>
      </c>
      <c r="AD5" s="35" t="n">
        <v>3</v>
      </c>
      <c r="AE5" s="35" t="inlineStr">
        <is>
          <t>דוגמה – למחוק</t>
        </is>
      </c>
      <c r="AF5" s="36">
        <f>IF($A5="","",$A5&amp;"|"&amp;$C5)</f>
        <v/>
      </c>
      <c r="AG5" s="37">
        <f>IF($A5="","",IFERROR(COUNTIF(L5:M5,"כן")/(COUNTIF(L5:M5,"כן")+COUNTIF(L5:M5,"לא")),""))</f>
        <v/>
      </c>
      <c r="AH5" s="37">
        <f>IF($A5="","",IFERROR(COUNTIF(N5:O5,"כן")/(COUNTIF(N5:O5,"כן")+COUNTIF(N5:O5,"לא")),""))</f>
        <v/>
      </c>
      <c r="AI5" s="37">
        <f>IF($A5="","",IFERROR(COUNTIF(P5:Q5,"כן")/(COUNTIF(P5:Q5,"כן")+COUNTIF(P5:Q5,"לא")),""))</f>
        <v/>
      </c>
      <c r="AJ5" s="37">
        <f>IF($A5="","",IFERROR(COUNTIF(R5:S5,"כן")/(COUNTIF(R5:S5,"כן")+COUNTIF(R5:S5,"לא")),""))</f>
        <v/>
      </c>
      <c r="AK5" s="37">
        <f>IF($A5="","",IFERROR(COUNTIF(T5:U5,"כן")/(COUNTIF(T5:U5,"כן")+COUNTIF(T5:U5,"לא")),""))</f>
        <v/>
      </c>
      <c r="AL5" s="37">
        <f>IF($A5="","",IFERROR(COUNTIF(L5:U5,"כן")/(COUNTIF(L5:U5,"כן")+COUNTIF(L5:U5,"לא")),""))</f>
        <v/>
      </c>
      <c r="AM5" s="45">
        <f>IF($A5="","",IFERROR(AVERAGE(V5:W5),""))</f>
        <v/>
      </c>
      <c r="AN5" s="45">
        <f>IF($A5="","",IFERROR(AVERAGE(X5:Y5),""))</f>
        <v/>
      </c>
      <c r="AO5" s="45">
        <f>IF($A5="","",IFERROR(AVERAGE(Z5:AA5),""))</f>
        <v/>
      </c>
      <c r="AP5" s="45">
        <f>IF($A5="","",IFERROR(AVERAGE(AB5:AC5),""))</f>
        <v/>
      </c>
      <c r="AQ5" s="45">
        <f>IF($A5="","",IFERROR(AVERAGE(AD5),""))</f>
        <v/>
      </c>
      <c r="AR5" s="45">
        <f>IF($A5="","",IFERROR(AVERAGE(V5:AD5),""))</f>
        <v/>
      </c>
      <c r="AS5" s="36">
        <f>IF($A5="","",IF(AND(H5="",J5=""),"לא נבדק",IF(AND(OR(H5="",H5=I5),OR(J5="",J5=K5)),"תואם","לא תואם")))</f>
        <v/>
      </c>
      <c r="AT5" s="36">
        <f>IF($A5="","",IF(AND(AS5&lt;&gt;"לא תואם",G5&lt;&gt;"לא ברור"),"אמין","לפרש בזהירות"))</f>
        <v/>
      </c>
    </row>
    <row r="6">
      <c r="A6" s="38" t="n"/>
      <c r="B6" s="38" t="n"/>
      <c r="C6" s="38" t="n"/>
      <c r="D6" s="38" t="n"/>
      <c r="E6" s="38" t="n"/>
      <c r="F6" s="38" t="n"/>
      <c r="G6" s="38" t="n"/>
      <c r="H6" s="38" t="n"/>
      <c r="I6" s="38" t="n"/>
      <c r="J6" s="38" t="n"/>
      <c r="K6" s="38" t="n"/>
      <c r="L6" s="38" t="n"/>
      <c r="M6" s="38" t="n"/>
      <c r="N6" s="38" t="n"/>
      <c r="O6" s="38" t="n"/>
      <c r="P6" s="38" t="n"/>
      <c r="Q6" s="38" t="n"/>
      <c r="R6" s="38" t="n"/>
      <c r="S6" s="38" t="n"/>
      <c r="T6" s="38" t="n"/>
      <c r="U6" s="38" t="n"/>
      <c r="V6" s="38" t="n"/>
      <c r="W6" s="38" t="n"/>
      <c r="X6" s="38" t="n"/>
      <c r="Y6" s="38" t="n"/>
      <c r="Z6" s="38" t="n"/>
      <c r="AA6" s="38" t="n"/>
      <c r="AB6" s="38" t="n"/>
      <c r="AC6" s="38" t="n"/>
      <c r="AD6" s="38" t="n"/>
      <c r="AE6" s="38" t="n"/>
      <c r="AF6" s="36">
        <f>IF($A6="","",$A6&amp;"|"&amp;$C6)</f>
        <v/>
      </c>
      <c r="AG6" s="37">
        <f>IF($A6="","",IFERROR(COUNTIF(L6:M6,"כן")/(COUNTIF(L6:M6,"כן")+COUNTIF(L6:M6,"לא")),""))</f>
        <v/>
      </c>
      <c r="AH6" s="37">
        <f>IF($A6="","",IFERROR(COUNTIF(N6:O6,"כן")/(COUNTIF(N6:O6,"כן")+COUNTIF(N6:O6,"לא")),""))</f>
        <v/>
      </c>
      <c r="AI6" s="37">
        <f>IF($A6="","",IFERROR(COUNTIF(P6:Q6,"כן")/(COUNTIF(P6:Q6,"כן")+COUNTIF(P6:Q6,"לא")),""))</f>
        <v/>
      </c>
      <c r="AJ6" s="37">
        <f>IF($A6="","",IFERROR(COUNTIF(R6:S6,"כן")/(COUNTIF(R6:S6,"כן")+COUNTIF(R6:S6,"לא")),""))</f>
        <v/>
      </c>
      <c r="AK6" s="37">
        <f>IF($A6="","",IFERROR(COUNTIF(T6:U6,"כן")/(COUNTIF(T6:U6,"כן")+COUNTIF(T6:U6,"לא")),""))</f>
        <v/>
      </c>
      <c r="AL6" s="37">
        <f>IF($A6="","",IFERROR(COUNTIF(L6:U6,"כן")/(COUNTIF(L6:U6,"כן")+COUNTIF(L6:U6,"לא")),""))</f>
        <v/>
      </c>
      <c r="AM6" s="45">
        <f>IF($A6="","",IFERROR(AVERAGE(V6:W6),""))</f>
        <v/>
      </c>
      <c r="AN6" s="45">
        <f>IF($A6="","",IFERROR(AVERAGE(X6:Y6),""))</f>
        <v/>
      </c>
      <c r="AO6" s="45">
        <f>IF($A6="","",IFERROR(AVERAGE(Z6:AA6),""))</f>
        <v/>
      </c>
      <c r="AP6" s="45">
        <f>IF($A6="","",IFERROR(AVERAGE(AB6:AC6),""))</f>
        <v/>
      </c>
      <c r="AQ6" s="45">
        <f>IF($A6="","",IFERROR(AVERAGE(AD6),""))</f>
        <v/>
      </c>
      <c r="AR6" s="45">
        <f>IF($A6="","",IFERROR(AVERAGE(V6:AD6),""))</f>
        <v/>
      </c>
      <c r="AS6" s="36">
        <f>IF($A6="","",IF(AND(H6="",J6=""),"לא נבדק",IF(AND(OR(H6="",H6=I6),OR(J6="",J6=K6)),"תואם","לא תואם")))</f>
        <v/>
      </c>
      <c r="AT6" s="36">
        <f>IF($A6="","",IF(AND(AS6&lt;&gt;"לא תואם",G6&lt;&gt;"לא ברור"),"אמין","לפרש בזהירות"))</f>
        <v/>
      </c>
    </row>
    <row r="7">
      <c r="A7" s="38" t="n"/>
      <c r="B7" s="38" t="n"/>
      <c r="C7" s="38" t="n"/>
      <c r="D7" s="38" t="n"/>
      <c r="E7" s="38" t="n"/>
      <c r="F7" s="38" t="n"/>
      <c r="G7" s="38" t="n"/>
      <c r="H7" s="38" t="n"/>
      <c r="I7" s="38" t="n"/>
      <c r="J7" s="38" t="n"/>
      <c r="K7" s="38" t="n"/>
      <c r="L7" s="38" t="n"/>
      <c r="M7" s="38" t="n"/>
      <c r="N7" s="38" t="n"/>
      <c r="O7" s="38" t="n"/>
      <c r="P7" s="38" t="n"/>
      <c r="Q7" s="38" t="n"/>
      <c r="R7" s="38" t="n"/>
      <c r="S7" s="38" t="n"/>
      <c r="T7" s="38" t="n"/>
      <c r="U7" s="38" t="n"/>
      <c r="V7" s="38" t="n"/>
      <c r="W7" s="38" t="n"/>
      <c r="X7" s="38" t="n"/>
      <c r="Y7" s="38" t="n"/>
      <c r="Z7" s="38" t="n"/>
      <c r="AA7" s="38" t="n"/>
      <c r="AB7" s="38" t="n"/>
      <c r="AC7" s="38" t="n"/>
      <c r="AD7" s="38" t="n"/>
      <c r="AE7" s="38" t="n"/>
      <c r="AF7" s="36">
        <f>IF($A7="","",$A7&amp;"|"&amp;$C7)</f>
        <v/>
      </c>
      <c r="AG7" s="37">
        <f>IF($A7="","",IFERROR(COUNTIF(L7:M7,"כן")/(COUNTIF(L7:M7,"כן")+COUNTIF(L7:M7,"לא")),""))</f>
        <v/>
      </c>
      <c r="AH7" s="37">
        <f>IF($A7="","",IFERROR(COUNTIF(N7:O7,"כן")/(COUNTIF(N7:O7,"כן")+COUNTIF(N7:O7,"לא")),""))</f>
        <v/>
      </c>
      <c r="AI7" s="37">
        <f>IF($A7="","",IFERROR(COUNTIF(P7:Q7,"כן")/(COUNTIF(P7:Q7,"כן")+COUNTIF(P7:Q7,"לא")),""))</f>
        <v/>
      </c>
      <c r="AJ7" s="37">
        <f>IF($A7="","",IFERROR(COUNTIF(R7:S7,"כן")/(COUNTIF(R7:S7,"כן")+COUNTIF(R7:S7,"לא")),""))</f>
        <v/>
      </c>
      <c r="AK7" s="37">
        <f>IF($A7="","",IFERROR(COUNTIF(T7:U7,"כן")/(COUNTIF(T7:U7,"כן")+COUNTIF(T7:U7,"לא")),""))</f>
        <v/>
      </c>
      <c r="AL7" s="37">
        <f>IF($A7="","",IFERROR(COUNTIF(L7:U7,"כן")/(COUNTIF(L7:U7,"כן")+COUNTIF(L7:U7,"לא")),""))</f>
        <v/>
      </c>
      <c r="AM7" s="45">
        <f>IF($A7="","",IFERROR(AVERAGE(V7:W7),""))</f>
        <v/>
      </c>
      <c r="AN7" s="45">
        <f>IF($A7="","",IFERROR(AVERAGE(X7:Y7),""))</f>
        <v/>
      </c>
      <c r="AO7" s="45">
        <f>IF($A7="","",IFERROR(AVERAGE(Z7:AA7),""))</f>
        <v/>
      </c>
      <c r="AP7" s="45">
        <f>IF($A7="","",IFERROR(AVERAGE(AB7:AC7),""))</f>
        <v/>
      </c>
      <c r="AQ7" s="45">
        <f>IF($A7="","",IFERROR(AVERAGE(AD7),""))</f>
        <v/>
      </c>
      <c r="AR7" s="45">
        <f>IF($A7="","",IFERROR(AVERAGE(V7:AD7),""))</f>
        <v/>
      </c>
      <c r="AS7" s="36">
        <f>IF($A7="","",IF(AND(H7="",J7=""),"לא נבדק",IF(AND(OR(H7="",H7=I7),OR(J7="",J7=K7)),"תואם","לא תואם")))</f>
        <v/>
      </c>
      <c r="AT7" s="36">
        <f>IF($A7="","",IF(AND(AS7&lt;&gt;"לא תואם",G7&lt;&gt;"לא ברור"),"אמין","לפרש בזהירות"))</f>
        <v/>
      </c>
    </row>
    <row r="8">
      <c r="A8" s="38" t="n"/>
      <c r="B8" s="38" t="n"/>
      <c r="C8" s="38" t="n"/>
      <c r="D8" s="38" t="n"/>
      <c r="E8" s="38" t="n"/>
      <c r="F8" s="38" t="n"/>
      <c r="G8" s="38" t="n"/>
      <c r="H8" s="38" t="n"/>
      <c r="I8" s="38" t="n"/>
      <c r="J8" s="38" t="n"/>
      <c r="K8" s="38" t="n"/>
      <c r="L8" s="38" t="n"/>
      <c r="M8" s="38" t="n"/>
      <c r="N8" s="38" t="n"/>
      <c r="O8" s="38" t="n"/>
      <c r="P8" s="38" t="n"/>
      <c r="Q8" s="38" t="n"/>
      <c r="R8" s="38" t="n"/>
      <c r="S8" s="38" t="n"/>
      <c r="T8" s="38" t="n"/>
      <c r="U8" s="38" t="n"/>
      <c r="V8" s="38" t="n"/>
      <c r="W8" s="38" t="n"/>
      <c r="X8" s="38" t="n"/>
      <c r="Y8" s="38" t="n"/>
      <c r="Z8" s="38" t="n"/>
      <c r="AA8" s="38" t="n"/>
      <c r="AB8" s="38" t="n"/>
      <c r="AC8" s="38" t="n"/>
      <c r="AD8" s="38" t="n"/>
      <c r="AE8" s="38" t="n"/>
      <c r="AF8" s="36">
        <f>IF($A8="","",$A8&amp;"|"&amp;$C8)</f>
        <v/>
      </c>
      <c r="AG8" s="37">
        <f>IF($A8="","",IFERROR(COUNTIF(L8:M8,"כן")/(COUNTIF(L8:M8,"כן")+COUNTIF(L8:M8,"לא")),""))</f>
        <v/>
      </c>
      <c r="AH8" s="37">
        <f>IF($A8="","",IFERROR(COUNTIF(N8:O8,"כן")/(COUNTIF(N8:O8,"כן")+COUNTIF(N8:O8,"לא")),""))</f>
        <v/>
      </c>
      <c r="AI8" s="37">
        <f>IF($A8="","",IFERROR(COUNTIF(P8:Q8,"כן")/(COUNTIF(P8:Q8,"כן")+COUNTIF(P8:Q8,"לא")),""))</f>
        <v/>
      </c>
      <c r="AJ8" s="37">
        <f>IF($A8="","",IFERROR(COUNTIF(R8:S8,"כן")/(COUNTIF(R8:S8,"כן")+COUNTIF(R8:S8,"לא")),""))</f>
        <v/>
      </c>
      <c r="AK8" s="37">
        <f>IF($A8="","",IFERROR(COUNTIF(T8:U8,"כן")/(COUNTIF(T8:U8,"כן")+COUNTIF(T8:U8,"לא")),""))</f>
        <v/>
      </c>
      <c r="AL8" s="37">
        <f>IF($A8="","",IFERROR(COUNTIF(L8:U8,"כן")/(COUNTIF(L8:U8,"כן")+COUNTIF(L8:U8,"לא")),""))</f>
        <v/>
      </c>
      <c r="AM8" s="45">
        <f>IF($A8="","",IFERROR(AVERAGE(V8:W8),""))</f>
        <v/>
      </c>
      <c r="AN8" s="45">
        <f>IF($A8="","",IFERROR(AVERAGE(X8:Y8),""))</f>
        <v/>
      </c>
      <c r="AO8" s="45">
        <f>IF($A8="","",IFERROR(AVERAGE(Z8:AA8),""))</f>
        <v/>
      </c>
      <c r="AP8" s="45">
        <f>IF($A8="","",IFERROR(AVERAGE(AB8:AC8),""))</f>
        <v/>
      </c>
      <c r="AQ8" s="45">
        <f>IF($A8="","",IFERROR(AVERAGE(AD8),""))</f>
        <v/>
      </c>
      <c r="AR8" s="45">
        <f>IF($A8="","",IFERROR(AVERAGE(V8:AD8),""))</f>
        <v/>
      </c>
      <c r="AS8" s="36">
        <f>IF($A8="","",IF(AND(H8="",J8=""),"לא נבדק",IF(AND(OR(H8="",H8=I8),OR(J8="",J8=K8)),"תואם","לא תואם")))</f>
        <v/>
      </c>
      <c r="AT8" s="36">
        <f>IF($A8="","",IF(AND(AS8&lt;&gt;"לא תואם",G8&lt;&gt;"לא ברור"),"אמין","לפרש בזהירות"))</f>
        <v/>
      </c>
    </row>
    <row r="9">
      <c r="A9" s="38" t="n"/>
      <c r="B9" s="38" t="n"/>
      <c r="C9" s="38" t="n"/>
      <c r="D9" s="38" t="n"/>
      <c r="E9" s="38" t="n"/>
      <c r="F9" s="38" t="n"/>
      <c r="G9" s="38" t="n"/>
      <c r="H9" s="38" t="n"/>
      <c r="I9" s="38" t="n"/>
      <c r="J9" s="38" t="n"/>
      <c r="K9" s="38" t="n"/>
      <c r="L9" s="38" t="n"/>
      <c r="M9" s="38" t="n"/>
      <c r="N9" s="38" t="n"/>
      <c r="O9" s="38" t="n"/>
      <c r="P9" s="38" t="n"/>
      <c r="Q9" s="38" t="n"/>
      <c r="R9" s="38" t="n"/>
      <c r="S9" s="38" t="n"/>
      <c r="T9" s="38" t="n"/>
      <c r="U9" s="38" t="n"/>
      <c r="V9" s="38" t="n"/>
      <c r="W9" s="38" t="n"/>
      <c r="X9" s="38" t="n"/>
      <c r="Y9" s="38" t="n"/>
      <c r="Z9" s="38" t="n"/>
      <c r="AA9" s="38" t="n"/>
      <c r="AB9" s="38" t="n"/>
      <c r="AC9" s="38" t="n"/>
      <c r="AD9" s="38" t="n"/>
      <c r="AE9" s="38" t="n"/>
      <c r="AF9" s="36">
        <f>IF($A9="","",$A9&amp;"|"&amp;$C9)</f>
        <v/>
      </c>
      <c r="AG9" s="37">
        <f>IF($A9="","",IFERROR(COUNTIF(L9:M9,"כן")/(COUNTIF(L9:M9,"כן")+COUNTIF(L9:M9,"לא")),""))</f>
        <v/>
      </c>
      <c r="AH9" s="37">
        <f>IF($A9="","",IFERROR(COUNTIF(N9:O9,"כן")/(COUNTIF(N9:O9,"כן")+COUNTIF(N9:O9,"לא")),""))</f>
        <v/>
      </c>
      <c r="AI9" s="37">
        <f>IF($A9="","",IFERROR(COUNTIF(P9:Q9,"כן")/(COUNTIF(P9:Q9,"כן")+COUNTIF(P9:Q9,"לא")),""))</f>
        <v/>
      </c>
      <c r="AJ9" s="37">
        <f>IF($A9="","",IFERROR(COUNTIF(R9:S9,"כן")/(COUNTIF(R9:S9,"כן")+COUNTIF(R9:S9,"לא")),""))</f>
        <v/>
      </c>
      <c r="AK9" s="37">
        <f>IF($A9="","",IFERROR(COUNTIF(T9:U9,"כן")/(COUNTIF(T9:U9,"כן")+COUNTIF(T9:U9,"לא")),""))</f>
        <v/>
      </c>
      <c r="AL9" s="37">
        <f>IF($A9="","",IFERROR(COUNTIF(L9:U9,"כן")/(COUNTIF(L9:U9,"כן")+COUNTIF(L9:U9,"לא")),""))</f>
        <v/>
      </c>
      <c r="AM9" s="45">
        <f>IF($A9="","",IFERROR(AVERAGE(V9:W9),""))</f>
        <v/>
      </c>
      <c r="AN9" s="45">
        <f>IF($A9="","",IFERROR(AVERAGE(X9:Y9),""))</f>
        <v/>
      </c>
      <c r="AO9" s="45">
        <f>IF($A9="","",IFERROR(AVERAGE(Z9:AA9),""))</f>
        <v/>
      </c>
      <c r="AP9" s="45">
        <f>IF($A9="","",IFERROR(AVERAGE(AB9:AC9),""))</f>
        <v/>
      </c>
      <c r="AQ9" s="45">
        <f>IF($A9="","",IFERROR(AVERAGE(AD9),""))</f>
        <v/>
      </c>
      <c r="AR9" s="45">
        <f>IF($A9="","",IFERROR(AVERAGE(V9:AD9),""))</f>
        <v/>
      </c>
      <c r="AS9" s="36">
        <f>IF($A9="","",IF(AND(H9="",J9=""),"לא נבדק",IF(AND(OR(H9="",H9=I9),OR(J9="",J9=K9)),"תואם","לא תואם")))</f>
        <v/>
      </c>
      <c r="AT9" s="36">
        <f>IF($A9="","",IF(AND(AS9&lt;&gt;"לא תואם",G9&lt;&gt;"לא ברור"),"אמין","לפרש בזהירות"))</f>
        <v/>
      </c>
    </row>
    <row r="10">
      <c r="A10" s="38" t="n"/>
      <c r="B10" s="38" t="n"/>
      <c r="C10" s="38" t="n"/>
      <c r="D10" s="38" t="n"/>
      <c r="E10" s="38" t="n"/>
      <c r="F10" s="38" t="n"/>
      <c r="G10" s="38" t="n"/>
      <c r="H10" s="38" t="n"/>
      <c r="I10" s="38" t="n"/>
      <c r="J10" s="38" t="n"/>
      <c r="K10" s="38" t="n"/>
      <c r="L10" s="38" t="n"/>
      <c r="M10" s="38" t="n"/>
      <c r="N10" s="38" t="n"/>
      <c r="O10" s="38" t="n"/>
      <c r="P10" s="38" t="n"/>
      <c r="Q10" s="38" t="n"/>
      <c r="R10" s="38" t="n"/>
      <c r="S10" s="38" t="n"/>
      <c r="T10" s="38" t="n"/>
      <c r="U10" s="38" t="n"/>
      <c r="V10" s="38" t="n"/>
      <c r="W10" s="38" t="n"/>
      <c r="X10" s="38" t="n"/>
      <c r="Y10" s="38" t="n"/>
      <c r="Z10" s="38" t="n"/>
      <c r="AA10" s="38" t="n"/>
      <c r="AB10" s="38" t="n"/>
      <c r="AC10" s="38" t="n"/>
      <c r="AD10" s="38" t="n"/>
      <c r="AE10" s="38" t="n"/>
      <c r="AF10" s="36">
        <f>IF($A10="","",$A10&amp;"|"&amp;$C10)</f>
        <v/>
      </c>
      <c r="AG10" s="37">
        <f>IF($A10="","",IFERROR(COUNTIF(L10:M10,"כן")/(COUNTIF(L10:M10,"כן")+COUNTIF(L10:M10,"לא")),""))</f>
        <v/>
      </c>
      <c r="AH10" s="37">
        <f>IF($A10="","",IFERROR(COUNTIF(N10:O10,"כן")/(COUNTIF(N10:O10,"כן")+COUNTIF(N10:O10,"לא")),""))</f>
        <v/>
      </c>
      <c r="AI10" s="37">
        <f>IF($A10="","",IFERROR(COUNTIF(P10:Q10,"כן")/(COUNTIF(P10:Q10,"כן")+COUNTIF(P10:Q10,"לא")),""))</f>
        <v/>
      </c>
      <c r="AJ10" s="37">
        <f>IF($A10="","",IFERROR(COUNTIF(R10:S10,"כן")/(COUNTIF(R10:S10,"כן")+COUNTIF(R10:S10,"לא")),""))</f>
        <v/>
      </c>
      <c r="AK10" s="37">
        <f>IF($A10="","",IFERROR(COUNTIF(T10:U10,"כן")/(COUNTIF(T10:U10,"כן")+COUNTIF(T10:U10,"לא")),""))</f>
        <v/>
      </c>
      <c r="AL10" s="37">
        <f>IF($A10="","",IFERROR(COUNTIF(L10:U10,"כן")/(COUNTIF(L10:U10,"כן")+COUNTIF(L10:U10,"לא")),""))</f>
        <v/>
      </c>
      <c r="AM10" s="45">
        <f>IF($A10="","",IFERROR(AVERAGE(V10:W10),""))</f>
        <v/>
      </c>
      <c r="AN10" s="45">
        <f>IF($A10="","",IFERROR(AVERAGE(X10:Y10),""))</f>
        <v/>
      </c>
      <c r="AO10" s="45">
        <f>IF($A10="","",IFERROR(AVERAGE(Z10:AA10),""))</f>
        <v/>
      </c>
      <c r="AP10" s="45">
        <f>IF($A10="","",IFERROR(AVERAGE(AB10:AC10),""))</f>
        <v/>
      </c>
      <c r="AQ10" s="45">
        <f>IF($A10="","",IFERROR(AVERAGE(AD10),""))</f>
        <v/>
      </c>
      <c r="AR10" s="45">
        <f>IF($A10="","",IFERROR(AVERAGE(V10:AD10),""))</f>
        <v/>
      </c>
      <c r="AS10" s="36">
        <f>IF($A10="","",IF(AND(H10="",J10=""),"לא נבדק",IF(AND(OR(H10="",H10=I10),OR(J10="",J10=K10)),"תואם","לא תואם")))</f>
        <v/>
      </c>
      <c r="AT10" s="36">
        <f>IF($A10="","",IF(AND(AS10&lt;&gt;"לא תואם",G10&lt;&gt;"לא ברור"),"אמין","לפרש בזהירות"))</f>
        <v/>
      </c>
    </row>
    <row r="11">
      <c r="A11" s="38" t="n"/>
      <c r="B11" s="38" t="n"/>
      <c r="C11" s="38" t="n"/>
      <c r="D11" s="38" t="n"/>
      <c r="E11" s="38" t="n"/>
      <c r="F11" s="38" t="n"/>
      <c r="G11" s="38" t="n"/>
      <c r="H11" s="38" t="n"/>
      <c r="I11" s="38" t="n"/>
      <c r="J11" s="38" t="n"/>
      <c r="K11" s="38" t="n"/>
      <c r="L11" s="38" t="n"/>
      <c r="M11" s="38" t="n"/>
      <c r="N11" s="38" t="n"/>
      <c r="O11" s="38" t="n"/>
      <c r="P11" s="38" t="n"/>
      <c r="Q11" s="38" t="n"/>
      <c r="R11" s="38" t="n"/>
      <c r="S11" s="38" t="n"/>
      <c r="T11" s="38" t="n"/>
      <c r="U11" s="38" t="n"/>
      <c r="V11" s="38" t="n"/>
      <c r="W11" s="38" t="n"/>
      <c r="X11" s="38" t="n"/>
      <c r="Y11" s="38" t="n"/>
      <c r="Z11" s="38" t="n"/>
      <c r="AA11" s="38" t="n"/>
      <c r="AB11" s="38" t="n"/>
      <c r="AC11" s="38" t="n"/>
      <c r="AD11" s="38" t="n"/>
      <c r="AE11" s="38" t="n"/>
      <c r="AF11" s="36">
        <f>IF($A11="","",$A11&amp;"|"&amp;$C11)</f>
        <v/>
      </c>
      <c r="AG11" s="37">
        <f>IF($A11="","",IFERROR(COUNTIF(L11:M11,"כן")/(COUNTIF(L11:M11,"כן")+COUNTIF(L11:M11,"לא")),""))</f>
        <v/>
      </c>
      <c r="AH11" s="37">
        <f>IF($A11="","",IFERROR(COUNTIF(N11:O11,"כן")/(COUNTIF(N11:O11,"כן")+COUNTIF(N11:O11,"לא")),""))</f>
        <v/>
      </c>
      <c r="AI11" s="37">
        <f>IF($A11="","",IFERROR(COUNTIF(P11:Q11,"כן")/(COUNTIF(P11:Q11,"כן")+COUNTIF(P11:Q11,"לא")),""))</f>
        <v/>
      </c>
      <c r="AJ11" s="37">
        <f>IF($A11="","",IFERROR(COUNTIF(R11:S11,"כן")/(COUNTIF(R11:S11,"כן")+COUNTIF(R11:S11,"לא")),""))</f>
        <v/>
      </c>
      <c r="AK11" s="37">
        <f>IF($A11="","",IFERROR(COUNTIF(T11:U11,"כן")/(COUNTIF(T11:U11,"כן")+COUNTIF(T11:U11,"לא")),""))</f>
        <v/>
      </c>
      <c r="AL11" s="37">
        <f>IF($A11="","",IFERROR(COUNTIF(L11:U11,"כן")/(COUNTIF(L11:U11,"כן")+COUNTIF(L11:U11,"לא")),""))</f>
        <v/>
      </c>
      <c r="AM11" s="45">
        <f>IF($A11="","",IFERROR(AVERAGE(V11:W11),""))</f>
        <v/>
      </c>
      <c r="AN11" s="45">
        <f>IF($A11="","",IFERROR(AVERAGE(X11:Y11),""))</f>
        <v/>
      </c>
      <c r="AO11" s="45">
        <f>IF($A11="","",IFERROR(AVERAGE(Z11:AA11),""))</f>
        <v/>
      </c>
      <c r="AP11" s="45">
        <f>IF($A11="","",IFERROR(AVERAGE(AB11:AC11),""))</f>
        <v/>
      </c>
      <c r="AQ11" s="45">
        <f>IF($A11="","",IFERROR(AVERAGE(AD11),""))</f>
        <v/>
      </c>
      <c r="AR11" s="45">
        <f>IF($A11="","",IFERROR(AVERAGE(V11:AD11),""))</f>
        <v/>
      </c>
      <c r="AS11" s="36">
        <f>IF($A11="","",IF(AND(H11="",J11=""),"לא נבדק",IF(AND(OR(H11="",H11=I11),OR(J11="",J11=K11)),"תואם","לא תואם")))</f>
        <v/>
      </c>
      <c r="AT11" s="36">
        <f>IF($A11="","",IF(AND(AS11&lt;&gt;"לא תואם",G11&lt;&gt;"לא ברור"),"אמין","לפרש בזהירות"))</f>
        <v/>
      </c>
    </row>
    <row r="12">
      <c r="A12" s="38" t="n"/>
      <c r="B12" s="38" t="n"/>
      <c r="C12" s="38" t="n"/>
      <c r="D12" s="38" t="n"/>
      <c r="E12" s="38" t="n"/>
      <c r="F12" s="38" t="n"/>
      <c r="G12" s="38" t="n"/>
      <c r="H12" s="38" t="n"/>
      <c r="I12" s="38" t="n"/>
      <c r="J12" s="38" t="n"/>
      <c r="K12" s="38" t="n"/>
      <c r="L12" s="38" t="n"/>
      <c r="M12" s="38" t="n"/>
      <c r="N12" s="38" t="n"/>
      <c r="O12" s="38" t="n"/>
      <c r="P12" s="38" t="n"/>
      <c r="Q12" s="38" t="n"/>
      <c r="R12" s="38" t="n"/>
      <c r="S12" s="38" t="n"/>
      <c r="T12" s="38" t="n"/>
      <c r="U12" s="38" t="n"/>
      <c r="V12" s="38" t="n"/>
      <c r="W12" s="38" t="n"/>
      <c r="X12" s="38" t="n"/>
      <c r="Y12" s="38" t="n"/>
      <c r="Z12" s="38" t="n"/>
      <c r="AA12" s="38" t="n"/>
      <c r="AB12" s="38" t="n"/>
      <c r="AC12" s="38" t="n"/>
      <c r="AD12" s="38" t="n"/>
      <c r="AE12" s="38" t="n"/>
      <c r="AF12" s="36">
        <f>IF($A12="","",$A12&amp;"|"&amp;$C12)</f>
        <v/>
      </c>
      <c r="AG12" s="37">
        <f>IF($A12="","",IFERROR(COUNTIF(L12:M12,"כן")/(COUNTIF(L12:M12,"כן")+COUNTIF(L12:M12,"לא")),""))</f>
        <v/>
      </c>
      <c r="AH12" s="37">
        <f>IF($A12="","",IFERROR(COUNTIF(N12:O12,"כן")/(COUNTIF(N12:O12,"כן")+COUNTIF(N12:O12,"לא")),""))</f>
        <v/>
      </c>
      <c r="AI12" s="37">
        <f>IF($A12="","",IFERROR(COUNTIF(P12:Q12,"כן")/(COUNTIF(P12:Q12,"כן")+COUNTIF(P12:Q12,"לא")),""))</f>
        <v/>
      </c>
      <c r="AJ12" s="37">
        <f>IF($A12="","",IFERROR(COUNTIF(R12:S12,"כן")/(COUNTIF(R12:S12,"כן")+COUNTIF(R12:S12,"לא")),""))</f>
        <v/>
      </c>
      <c r="AK12" s="37">
        <f>IF($A12="","",IFERROR(COUNTIF(T12:U12,"כן")/(COUNTIF(T12:U12,"כן")+COUNTIF(T12:U12,"לא")),""))</f>
        <v/>
      </c>
      <c r="AL12" s="37">
        <f>IF($A12="","",IFERROR(COUNTIF(L12:U12,"כן")/(COUNTIF(L12:U12,"כן")+COUNTIF(L12:U12,"לא")),""))</f>
        <v/>
      </c>
      <c r="AM12" s="45">
        <f>IF($A12="","",IFERROR(AVERAGE(V12:W12),""))</f>
        <v/>
      </c>
      <c r="AN12" s="45">
        <f>IF($A12="","",IFERROR(AVERAGE(X12:Y12),""))</f>
        <v/>
      </c>
      <c r="AO12" s="45">
        <f>IF($A12="","",IFERROR(AVERAGE(Z12:AA12),""))</f>
        <v/>
      </c>
      <c r="AP12" s="45">
        <f>IF($A12="","",IFERROR(AVERAGE(AB12:AC12),""))</f>
        <v/>
      </c>
      <c r="AQ12" s="45">
        <f>IF($A12="","",IFERROR(AVERAGE(AD12),""))</f>
        <v/>
      </c>
      <c r="AR12" s="45">
        <f>IF($A12="","",IFERROR(AVERAGE(V12:AD12),""))</f>
        <v/>
      </c>
      <c r="AS12" s="36">
        <f>IF($A12="","",IF(AND(H12="",J12=""),"לא נבדק",IF(AND(OR(H12="",H12=I12),OR(J12="",J12=K12)),"תואם","לא תואם")))</f>
        <v/>
      </c>
      <c r="AT12" s="36">
        <f>IF($A12="","",IF(AND(AS12&lt;&gt;"לא תואם",G12&lt;&gt;"לא ברור"),"אמין","לפרש בזהירות"))</f>
        <v/>
      </c>
    </row>
    <row r="13">
      <c r="A13" s="38" t="n"/>
      <c r="B13" s="38" t="n"/>
      <c r="C13" s="38" t="n"/>
      <c r="D13" s="38" t="n"/>
      <c r="E13" s="38" t="n"/>
      <c r="F13" s="38" t="n"/>
      <c r="G13" s="38" t="n"/>
      <c r="H13" s="38" t="n"/>
      <c r="I13" s="38" t="n"/>
      <c r="J13" s="38" t="n"/>
      <c r="K13" s="38" t="n"/>
      <c r="L13" s="38" t="n"/>
      <c r="M13" s="38" t="n"/>
      <c r="N13" s="38" t="n"/>
      <c r="O13" s="38" t="n"/>
      <c r="P13" s="38" t="n"/>
      <c r="Q13" s="38" t="n"/>
      <c r="R13" s="38" t="n"/>
      <c r="S13" s="38" t="n"/>
      <c r="T13" s="38" t="n"/>
      <c r="U13" s="38" t="n"/>
      <c r="V13" s="38" t="n"/>
      <c r="W13" s="38" t="n"/>
      <c r="X13" s="38" t="n"/>
      <c r="Y13" s="38" t="n"/>
      <c r="Z13" s="38" t="n"/>
      <c r="AA13" s="38" t="n"/>
      <c r="AB13" s="38" t="n"/>
      <c r="AC13" s="38" t="n"/>
      <c r="AD13" s="38" t="n"/>
      <c r="AE13" s="38" t="n"/>
      <c r="AF13" s="36">
        <f>IF($A13="","",$A13&amp;"|"&amp;$C13)</f>
        <v/>
      </c>
      <c r="AG13" s="37">
        <f>IF($A13="","",IFERROR(COUNTIF(L13:M13,"כן")/(COUNTIF(L13:M13,"כן")+COUNTIF(L13:M13,"לא")),""))</f>
        <v/>
      </c>
      <c r="AH13" s="37">
        <f>IF($A13="","",IFERROR(COUNTIF(N13:O13,"כן")/(COUNTIF(N13:O13,"כן")+COUNTIF(N13:O13,"לא")),""))</f>
        <v/>
      </c>
      <c r="AI13" s="37">
        <f>IF($A13="","",IFERROR(COUNTIF(P13:Q13,"כן")/(COUNTIF(P13:Q13,"כן")+COUNTIF(P13:Q13,"לא")),""))</f>
        <v/>
      </c>
      <c r="AJ13" s="37">
        <f>IF($A13="","",IFERROR(COUNTIF(R13:S13,"כן")/(COUNTIF(R13:S13,"כן")+COUNTIF(R13:S13,"לא")),""))</f>
        <v/>
      </c>
      <c r="AK13" s="37">
        <f>IF($A13="","",IFERROR(COUNTIF(T13:U13,"כן")/(COUNTIF(T13:U13,"כן")+COUNTIF(T13:U13,"לא")),""))</f>
        <v/>
      </c>
      <c r="AL13" s="37">
        <f>IF($A13="","",IFERROR(COUNTIF(L13:U13,"כן")/(COUNTIF(L13:U13,"כן")+COUNTIF(L13:U13,"לא")),""))</f>
        <v/>
      </c>
      <c r="AM13" s="45">
        <f>IF($A13="","",IFERROR(AVERAGE(V13:W13),""))</f>
        <v/>
      </c>
      <c r="AN13" s="45">
        <f>IF($A13="","",IFERROR(AVERAGE(X13:Y13),""))</f>
        <v/>
      </c>
      <c r="AO13" s="45">
        <f>IF($A13="","",IFERROR(AVERAGE(Z13:AA13),""))</f>
        <v/>
      </c>
      <c r="AP13" s="45">
        <f>IF($A13="","",IFERROR(AVERAGE(AB13:AC13),""))</f>
        <v/>
      </c>
      <c r="AQ13" s="45">
        <f>IF($A13="","",IFERROR(AVERAGE(AD13),""))</f>
        <v/>
      </c>
      <c r="AR13" s="45">
        <f>IF($A13="","",IFERROR(AVERAGE(V13:AD13),""))</f>
        <v/>
      </c>
      <c r="AS13" s="36">
        <f>IF($A13="","",IF(AND(H13="",J13=""),"לא נבדק",IF(AND(OR(H13="",H13=I13),OR(J13="",J13=K13)),"תואם","לא תואם")))</f>
        <v/>
      </c>
      <c r="AT13" s="36">
        <f>IF($A13="","",IF(AND(AS13&lt;&gt;"לא תואם",G13&lt;&gt;"לא ברור"),"אמין","לפרש בזהירות"))</f>
        <v/>
      </c>
    </row>
    <row r="14">
      <c r="A14" s="38" t="n"/>
      <c r="B14" s="38" t="n"/>
      <c r="C14" s="38" t="n"/>
      <c r="D14" s="38" t="n"/>
      <c r="E14" s="38" t="n"/>
      <c r="F14" s="38" t="n"/>
      <c r="G14" s="38" t="n"/>
      <c r="H14" s="38" t="n"/>
      <c r="I14" s="38" t="n"/>
      <c r="J14" s="38" t="n"/>
      <c r="K14" s="38" t="n"/>
      <c r="L14" s="38" t="n"/>
      <c r="M14" s="38" t="n"/>
      <c r="N14" s="38" t="n"/>
      <c r="O14" s="38" t="n"/>
      <c r="P14" s="38" t="n"/>
      <c r="Q14" s="38" t="n"/>
      <c r="R14" s="38" t="n"/>
      <c r="S14" s="38" t="n"/>
      <c r="T14" s="38" t="n"/>
      <c r="U14" s="38" t="n"/>
      <c r="V14" s="38" t="n"/>
      <c r="W14" s="38" t="n"/>
      <c r="X14" s="38" t="n"/>
      <c r="Y14" s="38" t="n"/>
      <c r="Z14" s="38" t="n"/>
      <c r="AA14" s="38" t="n"/>
      <c r="AB14" s="38" t="n"/>
      <c r="AC14" s="38" t="n"/>
      <c r="AD14" s="38" t="n"/>
      <c r="AE14" s="38" t="n"/>
      <c r="AF14" s="36">
        <f>IF($A14="","",$A14&amp;"|"&amp;$C14)</f>
        <v/>
      </c>
      <c r="AG14" s="37">
        <f>IF($A14="","",IFERROR(COUNTIF(L14:M14,"כן")/(COUNTIF(L14:M14,"כן")+COUNTIF(L14:M14,"לא")),""))</f>
        <v/>
      </c>
      <c r="AH14" s="37">
        <f>IF($A14="","",IFERROR(COUNTIF(N14:O14,"כן")/(COUNTIF(N14:O14,"כן")+COUNTIF(N14:O14,"לא")),""))</f>
        <v/>
      </c>
      <c r="AI14" s="37">
        <f>IF($A14="","",IFERROR(COUNTIF(P14:Q14,"כן")/(COUNTIF(P14:Q14,"כן")+COUNTIF(P14:Q14,"לא")),""))</f>
        <v/>
      </c>
      <c r="AJ14" s="37">
        <f>IF($A14="","",IFERROR(COUNTIF(R14:S14,"כן")/(COUNTIF(R14:S14,"כן")+COUNTIF(R14:S14,"לא")),""))</f>
        <v/>
      </c>
      <c r="AK14" s="37">
        <f>IF($A14="","",IFERROR(COUNTIF(T14:U14,"כן")/(COUNTIF(T14:U14,"כן")+COUNTIF(T14:U14,"לא")),""))</f>
        <v/>
      </c>
      <c r="AL14" s="37">
        <f>IF($A14="","",IFERROR(COUNTIF(L14:U14,"כן")/(COUNTIF(L14:U14,"כן")+COUNTIF(L14:U14,"לא")),""))</f>
        <v/>
      </c>
      <c r="AM14" s="45">
        <f>IF($A14="","",IFERROR(AVERAGE(V14:W14),""))</f>
        <v/>
      </c>
      <c r="AN14" s="45">
        <f>IF($A14="","",IFERROR(AVERAGE(X14:Y14),""))</f>
        <v/>
      </c>
      <c r="AO14" s="45">
        <f>IF($A14="","",IFERROR(AVERAGE(Z14:AA14),""))</f>
        <v/>
      </c>
      <c r="AP14" s="45">
        <f>IF($A14="","",IFERROR(AVERAGE(AB14:AC14),""))</f>
        <v/>
      </c>
      <c r="AQ14" s="45">
        <f>IF($A14="","",IFERROR(AVERAGE(AD14),""))</f>
        <v/>
      </c>
      <c r="AR14" s="45">
        <f>IF($A14="","",IFERROR(AVERAGE(V14:AD14),""))</f>
        <v/>
      </c>
      <c r="AS14" s="36">
        <f>IF($A14="","",IF(AND(H14="",J14=""),"לא נבדק",IF(AND(OR(H14="",H14=I14),OR(J14="",J14=K14)),"תואם","לא תואם")))</f>
        <v/>
      </c>
      <c r="AT14" s="36">
        <f>IF($A14="","",IF(AND(AS14&lt;&gt;"לא תואם",G14&lt;&gt;"לא ברור"),"אמין","לפרש בזהירות"))</f>
        <v/>
      </c>
    </row>
    <row r="15">
      <c r="A15" s="38" t="n"/>
      <c r="B15" s="38" t="n"/>
      <c r="C15" s="38" t="n"/>
      <c r="D15" s="38" t="n"/>
      <c r="E15" s="38" t="n"/>
      <c r="F15" s="38" t="n"/>
      <c r="G15" s="38" t="n"/>
      <c r="H15" s="38" t="n"/>
      <c r="I15" s="38" t="n"/>
      <c r="J15" s="38" t="n"/>
      <c r="K15" s="38" t="n"/>
      <c r="L15" s="38" t="n"/>
      <c r="M15" s="38" t="n"/>
      <c r="N15" s="38" t="n"/>
      <c r="O15" s="38" t="n"/>
      <c r="P15" s="38" t="n"/>
      <c r="Q15" s="38" t="n"/>
      <c r="R15" s="38" t="n"/>
      <c r="S15" s="38" t="n"/>
      <c r="T15" s="38" t="n"/>
      <c r="U15" s="38" t="n"/>
      <c r="V15" s="38" t="n"/>
      <c r="W15" s="38" t="n"/>
      <c r="X15" s="38" t="n"/>
      <c r="Y15" s="38" t="n"/>
      <c r="Z15" s="38" t="n"/>
      <c r="AA15" s="38" t="n"/>
      <c r="AB15" s="38" t="n"/>
      <c r="AC15" s="38" t="n"/>
      <c r="AD15" s="38" t="n"/>
      <c r="AE15" s="38" t="n"/>
      <c r="AF15" s="36">
        <f>IF($A15="","",$A15&amp;"|"&amp;$C15)</f>
        <v/>
      </c>
      <c r="AG15" s="37">
        <f>IF($A15="","",IFERROR(COUNTIF(L15:M15,"כן")/(COUNTIF(L15:M15,"כן")+COUNTIF(L15:M15,"לא")),""))</f>
        <v/>
      </c>
      <c r="AH15" s="37">
        <f>IF($A15="","",IFERROR(COUNTIF(N15:O15,"כן")/(COUNTIF(N15:O15,"כן")+COUNTIF(N15:O15,"לא")),""))</f>
        <v/>
      </c>
      <c r="AI15" s="37">
        <f>IF($A15="","",IFERROR(COUNTIF(P15:Q15,"כן")/(COUNTIF(P15:Q15,"כן")+COUNTIF(P15:Q15,"לא")),""))</f>
        <v/>
      </c>
      <c r="AJ15" s="37">
        <f>IF($A15="","",IFERROR(COUNTIF(R15:S15,"כן")/(COUNTIF(R15:S15,"כן")+COUNTIF(R15:S15,"לא")),""))</f>
        <v/>
      </c>
      <c r="AK15" s="37">
        <f>IF($A15="","",IFERROR(COUNTIF(T15:U15,"כן")/(COUNTIF(T15:U15,"כן")+COUNTIF(T15:U15,"לא")),""))</f>
        <v/>
      </c>
      <c r="AL15" s="37">
        <f>IF($A15="","",IFERROR(COUNTIF(L15:U15,"כן")/(COUNTIF(L15:U15,"כן")+COUNTIF(L15:U15,"לא")),""))</f>
        <v/>
      </c>
      <c r="AM15" s="45">
        <f>IF($A15="","",IFERROR(AVERAGE(V15:W15),""))</f>
        <v/>
      </c>
      <c r="AN15" s="45">
        <f>IF($A15="","",IFERROR(AVERAGE(X15:Y15),""))</f>
        <v/>
      </c>
      <c r="AO15" s="45">
        <f>IF($A15="","",IFERROR(AVERAGE(Z15:AA15),""))</f>
        <v/>
      </c>
      <c r="AP15" s="45">
        <f>IF($A15="","",IFERROR(AVERAGE(AB15:AC15),""))</f>
        <v/>
      </c>
      <c r="AQ15" s="45">
        <f>IF($A15="","",IFERROR(AVERAGE(AD15),""))</f>
        <v/>
      </c>
      <c r="AR15" s="45">
        <f>IF($A15="","",IFERROR(AVERAGE(V15:AD15),""))</f>
        <v/>
      </c>
      <c r="AS15" s="36">
        <f>IF($A15="","",IF(AND(H15="",J15=""),"לא נבדק",IF(AND(OR(H15="",H15=I15),OR(J15="",J15=K15)),"תואם","לא תואם")))</f>
        <v/>
      </c>
      <c r="AT15" s="36">
        <f>IF($A15="","",IF(AND(AS15&lt;&gt;"לא תואם",G15&lt;&gt;"לא ברור"),"אמין","לפרש בזהירות"))</f>
        <v/>
      </c>
    </row>
    <row r="16">
      <c r="A16" s="38" t="n"/>
      <c r="B16" s="38" t="n"/>
      <c r="C16" s="38" t="n"/>
      <c r="D16" s="38" t="n"/>
      <c r="E16" s="38" t="n"/>
      <c r="F16" s="38" t="n"/>
      <c r="G16" s="38" t="n"/>
      <c r="H16" s="38" t="n"/>
      <c r="I16" s="38" t="n"/>
      <c r="J16" s="38" t="n"/>
      <c r="K16" s="38" t="n"/>
      <c r="L16" s="38" t="n"/>
      <c r="M16" s="38" t="n"/>
      <c r="N16" s="38" t="n"/>
      <c r="O16" s="38" t="n"/>
      <c r="P16" s="38" t="n"/>
      <c r="Q16" s="38" t="n"/>
      <c r="R16" s="38" t="n"/>
      <c r="S16" s="38" t="n"/>
      <c r="T16" s="38" t="n"/>
      <c r="U16" s="38" t="n"/>
      <c r="V16" s="38" t="n"/>
      <c r="W16" s="38" t="n"/>
      <c r="X16" s="38" t="n"/>
      <c r="Y16" s="38" t="n"/>
      <c r="Z16" s="38" t="n"/>
      <c r="AA16" s="38" t="n"/>
      <c r="AB16" s="38" t="n"/>
      <c r="AC16" s="38" t="n"/>
      <c r="AD16" s="38" t="n"/>
      <c r="AE16" s="38" t="n"/>
      <c r="AF16" s="36">
        <f>IF($A16="","",$A16&amp;"|"&amp;$C16)</f>
        <v/>
      </c>
      <c r="AG16" s="37">
        <f>IF($A16="","",IFERROR(COUNTIF(L16:M16,"כן")/(COUNTIF(L16:M16,"כן")+COUNTIF(L16:M16,"לא")),""))</f>
        <v/>
      </c>
      <c r="AH16" s="37">
        <f>IF($A16="","",IFERROR(COUNTIF(N16:O16,"כן")/(COUNTIF(N16:O16,"כן")+COUNTIF(N16:O16,"לא")),""))</f>
        <v/>
      </c>
      <c r="AI16" s="37">
        <f>IF($A16="","",IFERROR(COUNTIF(P16:Q16,"כן")/(COUNTIF(P16:Q16,"כן")+COUNTIF(P16:Q16,"לא")),""))</f>
        <v/>
      </c>
      <c r="AJ16" s="37">
        <f>IF($A16="","",IFERROR(COUNTIF(R16:S16,"כן")/(COUNTIF(R16:S16,"כן")+COUNTIF(R16:S16,"לא")),""))</f>
        <v/>
      </c>
      <c r="AK16" s="37">
        <f>IF($A16="","",IFERROR(COUNTIF(T16:U16,"כן")/(COUNTIF(T16:U16,"כן")+COUNTIF(T16:U16,"לא")),""))</f>
        <v/>
      </c>
      <c r="AL16" s="37">
        <f>IF($A16="","",IFERROR(COUNTIF(L16:U16,"כן")/(COUNTIF(L16:U16,"כן")+COUNTIF(L16:U16,"לא")),""))</f>
        <v/>
      </c>
      <c r="AM16" s="45">
        <f>IF($A16="","",IFERROR(AVERAGE(V16:W16),""))</f>
        <v/>
      </c>
      <c r="AN16" s="45">
        <f>IF($A16="","",IFERROR(AVERAGE(X16:Y16),""))</f>
        <v/>
      </c>
      <c r="AO16" s="45">
        <f>IF($A16="","",IFERROR(AVERAGE(Z16:AA16),""))</f>
        <v/>
      </c>
      <c r="AP16" s="45">
        <f>IF($A16="","",IFERROR(AVERAGE(AB16:AC16),""))</f>
        <v/>
      </c>
      <c r="AQ16" s="45">
        <f>IF($A16="","",IFERROR(AVERAGE(AD16),""))</f>
        <v/>
      </c>
      <c r="AR16" s="45">
        <f>IF($A16="","",IFERROR(AVERAGE(V16:AD16),""))</f>
        <v/>
      </c>
      <c r="AS16" s="36">
        <f>IF($A16="","",IF(AND(H16="",J16=""),"לא נבדק",IF(AND(OR(H16="",H16=I16),OR(J16="",J16=K16)),"תואם","לא תואם")))</f>
        <v/>
      </c>
      <c r="AT16" s="36">
        <f>IF($A16="","",IF(AND(AS16&lt;&gt;"לא תואם",G16&lt;&gt;"לא ברור"),"אמין","לפרש בזהירות"))</f>
        <v/>
      </c>
    </row>
    <row r="17">
      <c r="A17" s="38" t="n"/>
      <c r="B17" s="38" t="n"/>
      <c r="C17" s="38" t="n"/>
      <c r="D17" s="38" t="n"/>
      <c r="E17" s="38" t="n"/>
      <c r="F17" s="38" t="n"/>
      <c r="G17" s="38" t="n"/>
      <c r="H17" s="38" t="n"/>
      <c r="I17" s="38" t="n"/>
      <c r="J17" s="38" t="n"/>
      <c r="K17" s="38" t="n"/>
      <c r="L17" s="38" t="n"/>
      <c r="M17" s="38" t="n"/>
      <c r="N17" s="38" t="n"/>
      <c r="O17" s="38" t="n"/>
      <c r="P17" s="38" t="n"/>
      <c r="Q17" s="38" t="n"/>
      <c r="R17" s="38" t="n"/>
      <c r="S17" s="38" t="n"/>
      <c r="T17" s="38" t="n"/>
      <c r="U17" s="38" t="n"/>
      <c r="V17" s="38" t="n"/>
      <c r="W17" s="38" t="n"/>
      <c r="X17" s="38" t="n"/>
      <c r="Y17" s="38" t="n"/>
      <c r="Z17" s="38" t="n"/>
      <c r="AA17" s="38" t="n"/>
      <c r="AB17" s="38" t="n"/>
      <c r="AC17" s="38" t="n"/>
      <c r="AD17" s="38" t="n"/>
      <c r="AE17" s="38" t="n"/>
      <c r="AF17" s="36">
        <f>IF($A17="","",$A17&amp;"|"&amp;$C17)</f>
        <v/>
      </c>
      <c r="AG17" s="37">
        <f>IF($A17="","",IFERROR(COUNTIF(L17:M17,"כן")/(COUNTIF(L17:M17,"כן")+COUNTIF(L17:M17,"לא")),""))</f>
        <v/>
      </c>
      <c r="AH17" s="37">
        <f>IF($A17="","",IFERROR(COUNTIF(N17:O17,"כן")/(COUNTIF(N17:O17,"כן")+COUNTIF(N17:O17,"לא")),""))</f>
        <v/>
      </c>
      <c r="AI17" s="37">
        <f>IF($A17="","",IFERROR(COUNTIF(P17:Q17,"כן")/(COUNTIF(P17:Q17,"כן")+COUNTIF(P17:Q17,"לא")),""))</f>
        <v/>
      </c>
      <c r="AJ17" s="37">
        <f>IF($A17="","",IFERROR(COUNTIF(R17:S17,"כן")/(COUNTIF(R17:S17,"כן")+COUNTIF(R17:S17,"לא")),""))</f>
        <v/>
      </c>
      <c r="AK17" s="37">
        <f>IF($A17="","",IFERROR(COUNTIF(T17:U17,"כן")/(COUNTIF(T17:U17,"כן")+COUNTIF(T17:U17,"לא")),""))</f>
        <v/>
      </c>
      <c r="AL17" s="37">
        <f>IF($A17="","",IFERROR(COUNTIF(L17:U17,"כן")/(COUNTIF(L17:U17,"כן")+COUNTIF(L17:U17,"לא")),""))</f>
        <v/>
      </c>
      <c r="AM17" s="45">
        <f>IF($A17="","",IFERROR(AVERAGE(V17:W17),""))</f>
        <v/>
      </c>
      <c r="AN17" s="45">
        <f>IF($A17="","",IFERROR(AVERAGE(X17:Y17),""))</f>
        <v/>
      </c>
      <c r="AO17" s="45">
        <f>IF($A17="","",IFERROR(AVERAGE(Z17:AA17),""))</f>
        <v/>
      </c>
      <c r="AP17" s="45">
        <f>IF($A17="","",IFERROR(AVERAGE(AB17:AC17),""))</f>
        <v/>
      </c>
      <c r="AQ17" s="45">
        <f>IF($A17="","",IFERROR(AVERAGE(AD17),""))</f>
        <v/>
      </c>
      <c r="AR17" s="45">
        <f>IF($A17="","",IFERROR(AVERAGE(V17:AD17),""))</f>
        <v/>
      </c>
      <c r="AS17" s="36">
        <f>IF($A17="","",IF(AND(H17="",J17=""),"לא נבדק",IF(AND(OR(H17="",H17=I17),OR(J17="",J17=K17)),"תואם","לא תואם")))</f>
        <v/>
      </c>
      <c r="AT17" s="36">
        <f>IF($A17="","",IF(AND(AS17&lt;&gt;"לא תואם",G17&lt;&gt;"לא ברור"),"אמין","לפרש בזהירות"))</f>
        <v/>
      </c>
    </row>
    <row r="18">
      <c r="A18" s="38" t="n"/>
      <c r="B18" s="38" t="n"/>
      <c r="C18" s="38" t="n"/>
      <c r="D18" s="38" t="n"/>
      <c r="E18" s="38" t="n"/>
      <c r="F18" s="38" t="n"/>
      <c r="G18" s="38" t="n"/>
      <c r="H18" s="38" t="n"/>
      <c r="I18" s="38" t="n"/>
      <c r="J18" s="38" t="n"/>
      <c r="K18" s="38" t="n"/>
      <c r="L18" s="38" t="n"/>
      <c r="M18" s="38" t="n"/>
      <c r="N18" s="38" t="n"/>
      <c r="O18" s="38" t="n"/>
      <c r="P18" s="38" t="n"/>
      <c r="Q18" s="38" t="n"/>
      <c r="R18" s="38" t="n"/>
      <c r="S18" s="38" t="n"/>
      <c r="T18" s="38" t="n"/>
      <c r="U18" s="38" t="n"/>
      <c r="V18" s="38" t="n"/>
      <c r="W18" s="38" t="n"/>
      <c r="X18" s="38" t="n"/>
      <c r="Y18" s="38" t="n"/>
      <c r="Z18" s="38" t="n"/>
      <c r="AA18" s="38" t="n"/>
      <c r="AB18" s="38" t="n"/>
      <c r="AC18" s="38" t="n"/>
      <c r="AD18" s="38" t="n"/>
      <c r="AE18" s="38" t="n"/>
      <c r="AF18" s="36">
        <f>IF($A18="","",$A18&amp;"|"&amp;$C18)</f>
        <v/>
      </c>
      <c r="AG18" s="37">
        <f>IF($A18="","",IFERROR(COUNTIF(L18:M18,"כן")/(COUNTIF(L18:M18,"כן")+COUNTIF(L18:M18,"לא")),""))</f>
        <v/>
      </c>
      <c r="AH18" s="37">
        <f>IF($A18="","",IFERROR(COUNTIF(N18:O18,"כן")/(COUNTIF(N18:O18,"כן")+COUNTIF(N18:O18,"לא")),""))</f>
        <v/>
      </c>
      <c r="AI18" s="37">
        <f>IF($A18="","",IFERROR(COUNTIF(P18:Q18,"כן")/(COUNTIF(P18:Q18,"כן")+COUNTIF(P18:Q18,"לא")),""))</f>
        <v/>
      </c>
      <c r="AJ18" s="37">
        <f>IF($A18="","",IFERROR(COUNTIF(R18:S18,"כן")/(COUNTIF(R18:S18,"כן")+COUNTIF(R18:S18,"לא")),""))</f>
        <v/>
      </c>
      <c r="AK18" s="37">
        <f>IF($A18="","",IFERROR(COUNTIF(T18:U18,"כן")/(COUNTIF(T18:U18,"כן")+COUNTIF(T18:U18,"לא")),""))</f>
        <v/>
      </c>
      <c r="AL18" s="37">
        <f>IF($A18="","",IFERROR(COUNTIF(L18:U18,"כן")/(COUNTIF(L18:U18,"כן")+COUNTIF(L18:U18,"לא")),""))</f>
        <v/>
      </c>
      <c r="AM18" s="45">
        <f>IF($A18="","",IFERROR(AVERAGE(V18:W18),""))</f>
        <v/>
      </c>
      <c r="AN18" s="45">
        <f>IF($A18="","",IFERROR(AVERAGE(X18:Y18),""))</f>
        <v/>
      </c>
      <c r="AO18" s="45">
        <f>IF($A18="","",IFERROR(AVERAGE(Z18:AA18),""))</f>
        <v/>
      </c>
      <c r="AP18" s="45">
        <f>IF($A18="","",IFERROR(AVERAGE(AB18:AC18),""))</f>
        <v/>
      </c>
      <c r="AQ18" s="45">
        <f>IF($A18="","",IFERROR(AVERAGE(AD18),""))</f>
        <v/>
      </c>
      <c r="AR18" s="45">
        <f>IF($A18="","",IFERROR(AVERAGE(V18:AD18),""))</f>
        <v/>
      </c>
      <c r="AS18" s="36">
        <f>IF($A18="","",IF(AND(H18="",J18=""),"לא נבדק",IF(AND(OR(H18="",H18=I18),OR(J18="",J18=K18)),"תואם","לא תואם")))</f>
        <v/>
      </c>
      <c r="AT18" s="36">
        <f>IF($A18="","",IF(AND(AS18&lt;&gt;"לא תואם",G18&lt;&gt;"לא ברור"),"אמין","לפרש בזהירות"))</f>
        <v/>
      </c>
    </row>
    <row r="19">
      <c r="A19" s="38" t="n"/>
      <c r="B19" s="38" t="n"/>
      <c r="C19" s="38" t="n"/>
      <c r="D19" s="38" t="n"/>
      <c r="E19" s="38" t="n"/>
      <c r="F19" s="38" t="n"/>
      <c r="G19" s="38" t="n"/>
      <c r="H19" s="38" t="n"/>
      <c r="I19" s="38" t="n"/>
      <c r="J19" s="38" t="n"/>
      <c r="K19" s="38" t="n"/>
      <c r="L19" s="38" t="n"/>
      <c r="M19" s="38" t="n"/>
      <c r="N19" s="38" t="n"/>
      <c r="O19" s="38" t="n"/>
      <c r="P19" s="38" t="n"/>
      <c r="Q19" s="38" t="n"/>
      <c r="R19" s="38" t="n"/>
      <c r="S19" s="38" t="n"/>
      <c r="T19" s="38" t="n"/>
      <c r="U19" s="38" t="n"/>
      <c r="V19" s="38" t="n"/>
      <c r="W19" s="38" t="n"/>
      <c r="X19" s="38" t="n"/>
      <c r="Y19" s="38" t="n"/>
      <c r="Z19" s="38" t="n"/>
      <c r="AA19" s="38" t="n"/>
      <c r="AB19" s="38" t="n"/>
      <c r="AC19" s="38" t="n"/>
      <c r="AD19" s="38" t="n"/>
      <c r="AE19" s="38" t="n"/>
      <c r="AF19" s="36">
        <f>IF($A19="","",$A19&amp;"|"&amp;$C19)</f>
        <v/>
      </c>
      <c r="AG19" s="37">
        <f>IF($A19="","",IFERROR(COUNTIF(L19:M19,"כן")/(COUNTIF(L19:M19,"כן")+COUNTIF(L19:M19,"לא")),""))</f>
        <v/>
      </c>
      <c r="AH19" s="37">
        <f>IF($A19="","",IFERROR(COUNTIF(N19:O19,"כן")/(COUNTIF(N19:O19,"כן")+COUNTIF(N19:O19,"לא")),""))</f>
        <v/>
      </c>
      <c r="AI19" s="37">
        <f>IF($A19="","",IFERROR(COUNTIF(P19:Q19,"כן")/(COUNTIF(P19:Q19,"כן")+COUNTIF(P19:Q19,"לא")),""))</f>
        <v/>
      </c>
      <c r="AJ19" s="37">
        <f>IF($A19="","",IFERROR(COUNTIF(R19:S19,"כן")/(COUNTIF(R19:S19,"כן")+COUNTIF(R19:S19,"לא")),""))</f>
        <v/>
      </c>
      <c r="AK19" s="37">
        <f>IF($A19="","",IFERROR(COUNTIF(T19:U19,"כן")/(COUNTIF(T19:U19,"כן")+COUNTIF(T19:U19,"לא")),""))</f>
        <v/>
      </c>
      <c r="AL19" s="37">
        <f>IF($A19="","",IFERROR(COUNTIF(L19:U19,"כן")/(COUNTIF(L19:U19,"כן")+COUNTIF(L19:U19,"לא")),""))</f>
        <v/>
      </c>
      <c r="AM19" s="45">
        <f>IF($A19="","",IFERROR(AVERAGE(V19:W19),""))</f>
        <v/>
      </c>
      <c r="AN19" s="45">
        <f>IF($A19="","",IFERROR(AVERAGE(X19:Y19),""))</f>
        <v/>
      </c>
      <c r="AO19" s="45">
        <f>IF($A19="","",IFERROR(AVERAGE(Z19:AA19),""))</f>
        <v/>
      </c>
      <c r="AP19" s="45">
        <f>IF($A19="","",IFERROR(AVERAGE(AB19:AC19),""))</f>
        <v/>
      </c>
      <c r="AQ19" s="45">
        <f>IF($A19="","",IFERROR(AVERAGE(AD19),""))</f>
        <v/>
      </c>
      <c r="AR19" s="45">
        <f>IF($A19="","",IFERROR(AVERAGE(V19:AD19),""))</f>
        <v/>
      </c>
      <c r="AS19" s="36">
        <f>IF($A19="","",IF(AND(H19="",J19=""),"לא נבדק",IF(AND(OR(H19="",H19=I19),OR(J19="",J19=K19)),"תואם","לא תואם")))</f>
        <v/>
      </c>
      <c r="AT19" s="36">
        <f>IF($A19="","",IF(AND(AS19&lt;&gt;"לא תואם",G19&lt;&gt;"לא ברור"),"אמין","לפרש בזהירות"))</f>
        <v/>
      </c>
    </row>
    <row r="20">
      <c r="A20" s="38" t="n"/>
      <c r="B20" s="38" t="n"/>
      <c r="C20" s="38" t="n"/>
      <c r="D20" s="38" t="n"/>
      <c r="E20" s="38" t="n"/>
      <c r="F20" s="38" t="n"/>
      <c r="G20" s="38" t="n"/>
      <c r="H20" s="38" t="n"/>
      <c r="I20" s="38" t="n"/>
      <c r="J20" s="38" t="n"/>
      <c r="K20" s="38" t="n"/>
      <c r="L20" s="38" t="n"/>
      <c r="M20" s="38" t="n"/>
      <c r="N20" s="38" t="n"/>
      <c r="O20" s="38" t="n"/>
      <c r="P20" s="38" t="n"/>
      <c r="Q20" s="38" t="n"/>
      <c r="R20" s="38" t="n"/>
      <c r="S20" s="38" t="n"/>
      <c r="T20" s="38" t="n"/>
      <c r="U20" s="38" t="n"/>
      <c r="V20" s="38" t="n"/>
      <c r="W20" s="38" t="n"/>
      <c r="X20" s="38" t="n"/>
      <c r="Y20" s="38" t="n"/>
      <c r="Z20" s="38" t="n"/>
      <c r="AA20" s="38" t="n"/>
      <c r="AB20" s="38" t="n"/>
      <c r="AC20" s="38" t="n"/>
      <c r="AD20" s="38" t="n"/>
      <c r="AE20" s="38" t="n"/>
      <c r="AF20" s="36">
        <f>IF($A20="","",$A20&amp;"|"&amp;$C20)</f>
        <v/>
      </c>
      <c r="AG20" s="37">
        <f>IF($A20="","",IFERROR(COUNTIF(L20:M20,"כן")/(COUNTIF(L20:M20,"כן")+COUNTIF(L20:M20,"לא")),""))</f>
        <v/>
      </c>
      <c r="AH20" s="37">
        <f>IF($A20="","",IFERROR(COUNTIF(N20:O20,"כן")/(COUNTIF(N20:O20,"כן")+COUNTIF(N20:O20,"לא")),""))</f>
        <v/>
      </c>
      <c r="AI20" s="37">
        <f>IF($A20="","",IFERROR(COUNTIF(P20:Q20,"כן")/(COUNTIF(P20:Q20,"כן")+COUNTIF(P20:Q20,"לא")),""))</f>
        <v/>
      </c>
      <c r="AJ20" s="37">
        <f>IF($A20="","",IFERROR(COUNTIF(R20:S20,"כן")/(COUNTIF(R20:S20,"כן")+COUNTIF(R20:S20,"לא")),""))</f>
        <v/>
      </c>
      <c r="AK20" s="37">
        <f>IF($A20="","",IFERROR(COUNTIF(T20:U20,"כן")/(COUNTIF(T20:U20,"כן")+COUNTIF(T20:U20,"לא")),""))</f>
        <v/>
      </c>
      <c r="AL20" s="37">
        <f>IF($A20="","",IFERROR(COUNTIF(L20:U20,"כן")/(COUNTIF(L20:U20,"כן")+COUNTIF(L20:U20,"לא")),""))</f>
        <v/>
      </c>
      <c r="AM20" s="45">
        <f>IF($A20="","",IFERROR(AVERAGE(V20:W20),""))</f>
        <v/>
      </c>
      <c r="AN20" s="45">
        <f>IF($A20="","",IFERROR(AVERAGE(X20:Y20),""))</f>
        <v/>
      </c>
      <c r="AO20" s="45">
        <f>IF($A20="","",IFERROR(AVERAGE(Z20:AA20),""))</f>
        <v/>
      </c>
      <c r="AP20" s="45">
        <f>IF($A20="","",IFERROR(AVERAGE(AB20:AC20),""))</f>
        <v/>
      </c>
      <c r="AQ20" s="45">
        <f>IF($A20="","",IFERROR(AVERAGE(AD20),""))</f>
        <v/>
      </c>
      <c r="AR20" s="45">
        <f>IF($A20="","",IFERROR(AVERAGE(V20:AD20),""))</f>
        <v/>
      </c>
      <c r="AS20" s="36">
        <f>IF($A20="","",IF(AND(H20="",J20=""),"לא נבדק",IF(AND(OR(H20="",H20=I20),OR(J20="",J20=K20)),"תואם","לא תואם")))</f>
        <v/>
      </c>
      <c r="AT20" s="36">
        <f>IF($A20="","",IF(AND(AS20&lt;&gt;"לא תואם",G20&lt;&gt;"לא ברור"),"אמין","לפרש בזהירות"))</f>
        <v/>
      </c>
    </row>
    <row r="21">
      <c r="A21" s="38" t="n"/>
      <c r="B21" s="38" t="n"/>
      <c r="C21" s="38" t="n"/>
      <c r="D21" s="38" t="n"/>
      <c r="E21" s="38" t="n"/>
      <c r="F21" s="38" t="n"/>
      <c r="G21" s="38" t="n"/>
      <c r="H21" s="38" t="n"/>
      <c r="I21" s="38" t="n"/>
      <c r="J21" s="38" t="n"/>
      <c r="K21" s="38" t="n"/>
      <c r="L21" s="38" t="n"/>
      <c r="M21" s="38" t="n"/>
      <c r="N21" s="38" t="n"/>
      <c r="O21" s="38" t="n"/>
      <c r="P21" s="38" t="n"/>
      <c r="Q21" s="38" t="n"/>
      <c r="R21" s="38" t="n"/>
      <c r="S21" s="38" t="n"/>
      <c r="T21" s="38" t="n"/>
      <c r="U21" s="38" t="n"/>
      <c r="V21" s="38" t="n"/>
      <c r="W21" s="38" t="n"/>
      <c r="X21" s="38" t="n"/>
      <c r="Y21" s="38" t="n"/>
      <c r="Z21" s="38" t="n"/>
      <c r="AA21" s="38" t="n"/>
      <c r="AB21" s="38" t="n"/>
      <c r="AC21" s="38" t="n"/>
      <c r="AD21" s="38" t="n"/>
      <c r="AE21" s="38" t="n"/>
      <c r="AF21" s="36">
        <f>IF($A21="","",$A21&amp;"|"&amp;$C21)</f>
        <v/>
      </c>
      <c r="AG21" s="37">
        <f>IF($A21="","",IFERROR(COUNTIF(L21:M21,"כן")/(COUNTIF(L21:M21,"כן")+COUNTIF(L21:M21,"לא")),""))</f>
        <v/>
      </c>
      <c r="AH21" s="37">
        <f>IF($A21="","",IFERROR(COUNTIF(N21:O21,"כן")/(COUNTIF(N21:O21,"כן")+COUNTIF(N21:O21,"לא")),""))</f>
        <v/>
      </c>
      <c r="AI21" s="37">
        <f>IF($A21="","",IFERROR(COUNTIF(P21:Q21,"כן")/(COUNTIF(P21:Q21,"כן")+COUNTIF(P21:Q21,"לא")),""))</f>
        <v/>
      </c>
      <c r="AJ21" s="37">
        <f>IF($A21="","",IFERROR(COUNTIF(R21:S21,"כן")/(COUNTIF(R21:S21,"כן")+COUNTIF(R21:S21,"לא")),""))</f>
        <v/>
      </c>
      <c r="AK21" s="37">
        <f>IF($A21="","",IFERROR(COUNTIF(T21:U21,"כן")/(COUNTIF(T21:U21,"כן")+COUNTIF(T21:U21,"לא")),""))</f>
        <v/>
      </c>
      <c r="AL21" s="37">
        <f>IF($A21="","",IFERROR(COUNTIF(L21:U21,"כן")/(COUNTIF(L21:U21,"כן")+COUNTIF(L21:U21,"לא")),""))</f>
        <v/>
      </c>
      <c r="AM21" s="45">
        <f>IF($A21="","",IFERROR(AVERAGE(V21:W21),""))</f>
        <v/>
      </c>
      <c r="AN21" s="45">
        <f>IF($A21="","",IFERROR(AVERAGE(X21:Y21),""))</f>
        <v/>
      </c>
      <c r="AO21" s="45">
        <f>IF($A21="","",IFERROR(AVERAGE(Z21:AA21),""))</f>
        <v/>
      </c>
      <c r="AP21" s="45">
        <f>IF($A21="","",IFERROR(AVERAGE(AB21:AC21),""))</f>
        <v/>
      </c>
      <c r="AQ21" s="45">
        <f>IF($A21="","",IFERROR(AVERAGE(AD21),""))</f>
        <v/>
      </c>
      <c r="AR21" s="45">
        <f>IF($A21="","",IFERROR(AVERAGE(V21:AD21),""))</f>
        <v/>
      </c>
      <c r="AS21" s="36">
        <f>IF($A21="","",IF(AND(H21="",J21=""),"לא נבדק",IF(AND(OR(H21="",H21=I21),OR(J21="",J21=K21)),"תואם","לא תואם")))</f>
        <v/>
      </c>
      <c r="AT21" s="36">
        <f>IF($A21="","",IF(AND(AS21&lt;&gt;"לא תואם",G21&lt;&gt;"לא ברור"),"אמין","לפרש בזהירות"))</f>
        <v/>
      </c>
    </row>
    <row r="22">
      <c r="A22" s="38" t="n"/>
      <c r="B22" s="38" t="n"/>
      <c r="C22" s="38" t="n"/>
      <c r="D22" s="38" t="n"/>
      <c r="E22" s="38" t="n"/>
      <c r="F22" s="38" t="n"/>
      <c r="G22" s="38" t="n"/>
      <c r="H22" s="38" t="n"/>
      <c r="I22" s="38" t="n"/>
      <c r="J22" s="38" t="n"/>
      <c r="K22" s="38" t="n"/>
      <c r="L22" s="38" t="n"/>
      <c r="M22" s="38" t="n"/>
      <c r="N22" s="38" t="n"/>
      <c r="O22" s="38" t="n"/>
      <c r="P22" s="38" t="n"/>
      <c r="Q22" s="38" t="n"/>
      <c r="R22" s="38" t="n"/>
      <c r="S22" s="38" t="n"/>
      <c r="T22" s="38" t="n"/>
      <c r="U22" s="38" t="n"/>
      <c r="V22" s="38" t="n"/>
      <c r="W22" s="38" t="n"/>
      <c r="X22" s="38" t="n"/>
      <c r="Y22" s="38" t="n"/>
      <c r="Z22" s="38" t="n"/>
      <c r="AA22" s="38" t="n"/>
      <c r="AB22" s="38" t="n"/>
      <c r="AC22" s="38" t="n"/>
      <c r="AD22" s="38" t="n"/>
      <c r="AE22" s="38" t="n"/>
      <c r="AF22" s="36">
        <f>IF($A22="","",$A22&amp;"|"&amp;$C22)</f>
        <v/>
      </c>
      <c r="AG22" s="37">
        <f>IF($A22="","",IFERROR(COUNTIF(L22:M22,"כן")/(COUNTIF(L22:M22,"כן")+COUNTIF(L22:M22,"לא")),""))</f>
        <v/>
      </c>
      <c r="AH22" s="37">
        <f>IF($A22="","",IFERROR(COUNTIF(N22:O22,"כן")/(COUNTIF(N22:O22,"כן")+COUNTIF(N22:O22,"לא")),""))</f>
        <v/>
      </c>
      <c r="AI22" s="37">
        <f>IF($A22="","",IFERROR(COUNTIF(P22:Q22,"כן")/(COUNTIF(P22:Q22,"כן")+COUNTIF(P22:Q22,"לא")),""))</f>
        <v/>
      </c>
      <c r="AJ22" s="37">
        <f>IF($A22="","",IFERROR(COUNTIF(R22:S22,"כן")/(COUNTIF(R22:S22,"כן")+COUNTIF(R22:S22,"לא")),""))</f>
        <v/>
      </c>
      <c r="AK22" s="37">
        <f>IF($A22="","",IFERROR(COUNTIF(T22:U22,"כן")/(COUNTIF(T22:U22,"כן")+COUNTIF(T22:U22,"לא")),""))</f>
        <v/>
      </c>
      <c r="AL22" s="37">
        <f>IF($A22="","",IFERROR(COUNTIF(L22:U22,"כן")/(COUNTIF(L22:U22,"כן")+COUNTIF(L22:U22,"לא")),""))</f>
        <v/>
      </c>
      <c r="AM22" s="45">
        <f>IF($A22="","",IFERROR(AVERAGE(V22:W22),""))</f>
        <v/>
      </c>
      <c r="AN22" s="45">
        <f>IF($A22="","",IFERROR(AVERAGE(X22:Y22),""))</f>
        <v/>
      </c>
      <c r="AO22" s="45">
        <f>IF($A22="","",IFERROR(AVERAGE(Z22:AA22),""))</f>
        <v/>
      </c>
      <c r="AP22" s="45">
        <f>IF($A22="","",IFERROR(AVERAGE(AB22:AC22),""))</f>
        <v/>
      </c>
      <c r="AQ22" s="45">
        <f>IF($A22="","",IFERROR(AVERAGE(AD22),""))</f>
        <v/>
      </c>
      <c r="AR22" s="45">
        <f>IF($A22="","",IFERROR(AVERAGE(V22:AD22),""))</f>
        <v/>
      </c>
      <c r="AS22" s="36">
        <f>IF($A22="","",IF(AND(H22="",J22=""),"לא נבדק",IF(AND(OR(H22="",H22=I22),OR(J22="",J22=K22)),"תואם","לא תואם")))</f>
        <v/>
      </c>
      <c r="AT22" s="36">
        <f>IF($A22="","",IF(AND(AS22&lt;&gt;"לא תואם",G22&lt;&gt;"לא ברור"),"אמין","לפרש בזהירות"))</f>
        <v/>
      </c>
    </row>
    <row r="23">
      <c r="A23" s="38" t="n"/>
      <c r="B23" s="38" t="n"/>
      <c r="C23" s="38" t="n"/>
      <c r="D23" s="38" t="n"/>
      <c r="E23" s="38" t="n"/>
      <c r="F23" s="38" t="n"/>
      <c r="G23" s="38" t="n"/>
      <c r="H23" s="38" t="n"/>
      <c r="I23" s="38" t="n"/>
      <c r="J23" s="38" t="n"/>
      <c r="K23" s="38" t="n"/>
      <c r="L23" s="38" t="n"/>
      <c r="M23" s="38" t="n"/>
      <c r="N23" s="38" t="n"/>
      <c r="O23" s="38" t="n"/>
      <c r="P23" s="38" t="n"/>
      <c r="Q23" s="38" t="n"/>
      <c r="R23" s="38" t="n"/>
      <c r="S23" s="38" t="n"/>
      <c r="T23" s="38" t="n"/>
      <c r="U23" s="38" t="n"/>
      <c r="V23" s="38" t="n"/>
      <c r="W23" s="38" t="n"/>
      <c r="X23" s="38" t="n"/>
      <c r="Y23" s="38" t="n"/>
      <c r="Z23" s="38" t="n"/>
      <c r="AA23" s="38" t="n"/>
      <c r="AB23" s="38" t="n"/>
      <c r="AC23" s="38" t="n"/>
      <c r="AD23" s="38" t="n"/>
      <c r="AE23" s="38" t="n"/>
      <c r="AF23" s="36">
        <f>IF($A23="","",$A23&amp;"|"&amp;$C23)</f>
        <v/>
      </c>
      <c r="AG23" s="37">
        <f>IF($A23="","",IFERROR(COUNTIF(L23:M23,"כן")/(COUNTIF(L23:M23,"כן")+COUNTIF(L23:M23,"לא")),""))</f>
        <v/>
      </c>
      <c r="AH23" s="37">
        <f>IF($A23="","",IFERROR(COUNTIF(N23:O23,"כן")/(COUNTIF(N23:O23,"כן")+COUNTIF(N23:O23,"לא")),""))</f>
        <v/>
      </c>
      <c r="AI23" s="37">
        <f>IF($A23="","",IFERROR(COUNTIF(P23:Q23,"כן")/(COUNTIF(P23:Q23,"כן")+COUNTIF(P23:Q23,"לא")),""))</f>
        <v/>
      </c>
      <c r="AJ23" s="37">
        <f>IF($A23="","",IFERROR(COUNTIF(R23:S23,"כן")/(COUNTIF(R23:S23,"כן")+COUNTIF(R23:S23,"לא")),""))</f>
        <v/>
      </c>
      <c r="AK23" s="37">
        <f>IF($A23="","",IFERROR(COUNTIF(T23:U23,"כן")/(COUNTIF(T23:U23,"כן")+COUNTIF(T23:U23,"לא")),""))</f>
        <v/>
      </c>
      <c r="AL23" s="37">
        <f>IF($A23="","",IFERROR(COUNTIF(L23:U23,"כן")/(COUNTIF(L23:U23,"כן")+COUNTIF(L23:U23,"לא")),""))</f>
        <v/>
      </c>
      <c r="AM23" s="45">
        <f>IF($A23="","",IFERROR(AVERAGE(V23:W23),""))</f>
        <v/>
      </c>
      <c r="AN23" s="45">
        <f>IF($A23="","",IFERROR(AVERAGE(X23:Y23),""))</f>
        <v/>
      </c>
      <c r="AO23" s="45">
        <f>IF($A23="","",IFERROR(AVERAGE(Z23:AA23),""))</f>
        <v/>
      </c>
      <c r="AP23" s="45">
        <f>IF($A23="","",IFERROR(AVERAGE(AB23:AC23),""))</f>
        <v/>
      </c>
      <c r="AQ23" s="45">
        <f>IF($A23="","",IFERROR(AVERAGE(AD23),""))</f>
        <v/>
      </c>
      <c r="AR23" s="45">
        <f>IF($A23="","",IFERROR(AVERAGE(V23:AD23),""))</f>
        <v/>
      </c>
      <c r="AS23" s="36">
        <f>IF($A23="","",IF(AND(H23="",J23=""),"לא נבדק",IF(AND(OR(H23="",H23=I23),OR(J23="",J23=K23)),"תואם","לא תואם")))</f>
        <v/>
      </c>
      <c r="AT23" s="36">
        <f>IF($A23="","",IF(AND(AS23&lt;&gt;"לא תואם",G23&lt;&gt;"לא ברור"),"אמין","לפרש בזהירות"))</f>
        <v/>
      </c>
    </row>
    <row r="24">
      <c r="A24" s="38" t="n"/>
      <c r="B24" s="38" t="n"/>
      <c r="C24" s="38" t="n"/>
      <c r="D24" s="38" t="n"/>
      <c r="E24" s="38" t="n"/>
      <c r="F24" s="38" t="n"/>
      <c r="G24" s="38" t="n"/>
      <c r="H24" s="38" t="n"/>
      <c r="I24" s="38" t="n"/>
      <c r="J24" s="38" t="n"/>
      <c r="K24" s="38" t="n"/>
      <c r="L24" s="38" t="n"/>
      <c r="M24" s="38" t="n"/>
      <c r="N24" s="38" t="n"/>
      <c r="O24" s="38" t="n"/>
      <c r="P24" s="38" t="n"/>
      <c r="Q24" s="38" t="n"/>
      <c r="R24" s="38" t="n"/>
      <c r="S24" s="38" t="n"/>
      <c r="T24" s="38" t="n"/>
      <c r="U24" s="38" t="n"/>
      <c r="V24" s="38" t="n"/>
      <c r="W24" s="38" t="n"/>
      <c r="X24" s="38" t="n"/>
      <c r="Y24" s="38" t="n"/>
      <c r="Z24" s="38" t="n"/>
      <c r="AA24" s="38" t="n"/>
      <c r="AB24" s="38" t="n"/>
      <c r="AC24" s="38" t="n"/>
      <c r="AD24" s="38" t="n"/>
      <c r="AE24" s="38" t="n"/>
      <c r="AF24" s="36">
        <f>IF($A24="","",$A24&amp;"|"&amp;$C24)</f>
        <v/>
      </c>
      <c r="AG24" s="37">
        <f>IF($A24="","",IFERROR(COUNTIF(L24:M24,"כן")/(COUNTIF(L24:M24,"כן")+COUNTIF(L24:M24,"לא")),""))</f>
        <v/>
      </c>
      <c r="AH24" s="37">
        <f>IF($A24="","",IFERROR(COUNTIF(N24:O24,"כן")/(COUNTIF(N24:O24,"כן")+COUNTIF(N24:O24,"לא")),""))</f>
        <v/>
      </c>
      <c r="AI24" s="37">
        <f>IF($A24="","",IFERROR(COUNTIF(P24:Q24,"כן")/(COUNTIF(P24:Q24,"כן")+COUNTIF(P24:Q24,"לא")),""))</f>
        <v/>
      </c>
      <c r="AJ24" s="37">
        <f>IF($A24="","",IFERROR(COUNTIF(R24:S24,"כן")/(COUNTIF(R24:S24,"כן")+COUNTIF(R24:S24,"לא")),""))</f>
        <v/>
      </c>
      <c r="AK24" s="37">
        <f>IF($A24="","",IFERROR(COUNTIF(T24:U24,"כן")/(COUNTIF(T24:U24,"כן")+COUNTIF(T24:U24,"לא")),""))</f>
        <v/>
      </c>
      <c r="AL24" s="37">
        <f>IF($A24="","",IFERROR(COUNTIF(L24:U24,"כן")/(COUNTIF(L24:U24,"כן")+COUNTIF(L24:U24,"לא")),""))</f>
        <v/>
      </c>
      <c r="AM24" s="45">
        <f>IF($A24="","",IFERROR(AVERAGE(V24:W24),""))</f>
        <v/>
      </c>
      <c r="AN24" s="45">
        <f>IF($A24="","",IFERROR(AVERAGE(X24:Y24),""))</f>
        <v/>
      </c>
      <c r="AO24" s="45">
        <f>IF($A24="","",IFERROR(AVERAGE(Z24:AA24),""))</f>
        <v/>
      </c>
      <c r="AP24" s="45">
        <f>IF($A24="","",IFERROR(AVERAGE(AB24:AC24),""))</f>
        <v/>
      </c>
      <c r="AQ24" s="45">
        <f>IF($A24="","",IFERROR(AVERAGE(AD24),""))</f>
        <v/>
      </c>
      <c r="AR24" s="45">
        <f>IF($A24="","",IFERROR(AVERAGE(V24:AD24),""))</f>
        <v/>
      </c>
      <c r="AS24" s="36">
        <f>IF($A24="","",IF(AND(H24="",J24=""),"לא נבדק",IF(AND(OR(H24="",H24=I24),OR(J24="",J24=K24)),"תואם","לא תואם")))</f>
        <v/>
      </c>
      <c r="AT24" s="36">
        <f>IF($A24="","",IF(AND(AS24&lt;&gt;"לא תואם",G24&lt;&gt;"לא ברור"),"אמין","לפרש בזהירות"))</f>
        <v/>
      </c>
    </row>
    <row r="25">
      <c r="A25" s="38" t="n"/>
      <c r="B25" s="38" t="n"/>
      <c r="C25" s="38" t="n"/>
      <c r="D25" s="38" t="n"/>
      <c r="E25" s="38" t="n"/>
      <c r="F25" s="38" t="n"/>
      <c r="G25" s="38" t="n"/>
      <c r="H25" s="38" t="n"/>
      <c r="I25" s="38" t="n"/>
      <c r="J25" s="38" t="n"/>
      <c r="K25" s="38" t="n"/>
      <c r="L25" s="38" t="n"/>
      <c r="M25" s="38" t="n"/>
      <c r="N25" s="38" t="n"/>
      <c r="O25" s="38" t="n"/>
      <c r="P25" s="38" t="n"/>
      <c r="Q25" s="38" t="n"/>
      <c r="R25" s="38" t="n"/>
      <c r="S25" s="38" t="n"/>
      <c r="T25" s="38" t="n"/>
      <c r="U25" s="38" t="n"/>
      <c r="V25" s="38" t="n"/>
      <c r="W25" s="38" t="n"/>
      <c r="X25" s="38" t="n"/>
      <c r="Y25" s="38" t="n"/>
      <c r="Z25" s="38" t="n"/>
      <c r="AA25" s="38" t="n"/>
      <c r="AB25" s="38" t="n"/>
      <c r="AC25" s="38" t="n"/>
      <c r="AD25" s="38" t="n"/>
      <c r="AE25" s="38" t="n"/>
      <c r="AF25" s="36">
        <f>IF($A25="","",$A25&amp;"|"&amp;$C25)</f>
        <v/>
      </c>
      <c r="AG25" s="37">
        <f>IF($A25="","",IFERROR(COUNTIF(L25:M25,"כן")/(COUNTIF(L25:M25,"כן")+COUNTIF(L25:M25,"לא")),""))</f>
        <v/>
      </c>
      <c r="AH25" s="37">
        <f>IF($A25="","",IFERROR(COUNTIF(N25:O25,"כן")/(COUNTIF(N25:O25,"כן")+COUNTIF(N25:O25,"לא")),""))</f>
        <v/>
      </c>
      <c r="AI25" s="37">
        <f>IF($A25="","",IFERROR(COUNTIF(P25:Q25,"כן")/(COUNTIF(P25:Q25,"כן")+COUNTIF(P25:Q25,"לא")),""))</f>
        <v/>
      </c>
      <c r="AJ25" s="37">
        <f>IF($A25="","",IFERROR(COUNTIF(R25:S25,"כן")/(COUNTIF(R25:S25,"כן")+COUNTIF(R25:S25,"לא")),""))</f>
        <v/>
      </c>
      <c r="AK25" s="37">
        <f>IF($A25="","",IFERROR(COUNTIF(T25:U25,"כן")/(COUNTIF(T25:U25,"כן")+COUNTIF(T25:U25,"לא")),""))</f>
        <v/>
      </c>
      <c r="AL25" s="37">
        <f>IF($A25="","",IFERROR(COUNTIF(L25:U25,"כן")/(COUNTIF(L25:U25,"כן")+COUNTIF(L25:U25,"לא")),""))</f>
        <v/>
      </c>
      <c r="AM25" s="45">
        <f>IF($A25="","",IFERROR(AVERAGE(V25:W25),""))</f>
        <v/>
      </c>
      <c r="AN25" s="45">
        <f>IF($A25="","",IFERROR(AVERAGE(X25:Y25),""))</f>
        <v/>
      </c>
      <c r="AO25" s="45">
        <f>IF($A25="","",IFERROR(AVERAGE(Z25:AA25),""))</f>
        <v/>
      </c>
      <c r="AP25" s="45">
        <f>IF($A25="","",IFERROR(AVERAGE(AB25:AC25),""))</f>
        <v/>
      </c>
      <c r="AQ25" s="45">
        <f>IF($A25="","",IFERROR(AVERAGE(AD25),""))</f>
        <v/>
      </c>
      <c r="AR25" s="45">
        <f>IF($A25="","",IFERROR(AVERAGE(V25:AD25),""))</f>
        <v/>
      </c>
      <c r="AS25" s="36">
        <f>IF($A25="","",IF(AND(H25="",J25=""),"לא נבדק",IF(AND(OR(H25="",H25=I25),OR(J25="",J25=K25)),"תואם","לא תואם")))</f>
        <v/>
      </c>
      <c r="AT25" s="36">
        <f>IF($A25="","",IF(AND(AS25&lt;&gt;"לא תואם",G25&lt;&gt;"לא ברור"),"אמין","לפרש בזהירות"))</f>
        <v/>
      </c>
    </row>
    <row r="26">
      <c r="A26" s="38" t="n"/>
      <c r="B26" s="38" t="n"/>
      <c r="C26" s="38" t="n"/>
      <c r="D26" s="38" t="n"/>
      <c r="E26" s="38" t="n"/>
      <c r="F26" s="38" t="n"/>
      <c r="G26" s="38" t="n"/>
      <c r="H26" s="38" t="n"/>
      <c r="I26" s="38" t="n"/>
      <c r="J26" s="38" t="n"/>
      <c r="K26" s="38" t="n"/>
      <c r="L26" s="38" t="n"/>
      <c r="M26" s="38" t="n"/>
      <c r="N26" s="38" t="n"/>
      <c r="O26" s="38" t="n"/>
      <c r="P26" s="38" t="n"/>
      <c r="Q26" s="38" t="n"/>
      <c r="R26" s="38" t="n"/>
      <c r="S26" s="38" t="n"/>
      <c r="T26" s="38" t="n"/>
      <c r="U26" s="38" t="n"/>
      <c r="V26" s="38" t="n"/>
      <c r="W26" s="38" t="n"/>
      <c r="X26" s="38" t="n"/>
      <c r="Y26" s="38" t="n"/>
      <c r="Z26" s="38" t="n"/>
      <c r="AA26" s="38" t="n"/>
      <c r="AB26" s="38" t="n"/>
      <c r="AC26" s="38" t="n"/>
      <c r="AD26" s="38" t="n"/>
      <c r="AE26" s="38" t="n"/>
      <c r="AF26" s="36">
        <f>IF($A26="","",$A26&amp;"|"&amp;$C26)</f>
        <v/>
      </c>
      <c r="AG26" s="37">
        <f>IF($A26="","",IFERROR(COUNTIF(L26:M26,"כן")/(COUNTIF(L26:M26,"כן")+COUNTIF(L26:M26,"לא")),""))</f>
        <v/>
      </c>
      <c r="AH26" s="37">
        <f>IF($A26="","",IFERROR(COUNTIF(N26:O26,"כן")/(COUNTIF(N26:O26,"כן")+COUNTIF(N26:O26,"לא")),""))</f>
        <v/>
      </c>
      <c r="AI26" s="37">
        <f>IF($A26="","",IFERROR(COUNTIF(P26:Q26,"כן")/(COUNTIF(P26:Q26,"כן")+COUNTIF(P26:Q26,"לא")),""))</f>
        <v/>
      </c>
      <c r="AJ26" s="37">
        <f>IF($A26="","",IFERROR(COUNTIF(R26:S26,"כן")/(COUNTIF(R26:S26,"כן")+COUNTIF(R26:S26,"לא")),""))</f>
        <v/>
      </c>
      <c r="AK26" s="37">
        <f>IF($A26="","",IFERROR(COUNTIF(T26:U26,"כן")/(COUNTIF(T26:U26,"כן")+COUNTIF(T26:U26,"לא")),""))</f>
        <v/>
      </c>
      <c r="AL26" s="37">
        <f>IF($A26="","",IFERROR(COUNTIF(L26:U26,"כן")/(COUNTIF(L26:U26,"כן")+COUNTIF(L26:U26,"לא")),""))</f>
        <v/>
      </c>
      <c r="AM26" s="45">
        <f>IF($A26="","",IFERROR(AVERAGE(V26:W26),""))</f>
        <v/>
      </c>
      <c r="AN26" s="45">
        <f>IF($A26="","",IFERROR(AVERAGE(X26:Y26),""))</f>
        <v/>
      </c>
      <c r="AO26" s="45">
        <f>IF($A26="","",IFERROR(AVERAGE(Z26:AA26),""))</f>
        <v/>
      </c>
      <c r="AP26" s="45">
        <f>IF($A26="","",IFERROR(AVERAGE(AB26:AC26),""))</f>
        <v/>
      </c>
      <c r="AQ26" s="45">
        <f>IF($A26="","",IFERROR(AVERAGE(AD26),""))</f>
        <v/>
      </c>
      <c r="AR26" s="45">
        <f>IF($A26="","",IFERROR(AVERAGE(V26:AD26),""))</f>
        <v/>
      </c>
      <c r="AS26" s="36">
        <f>IF($A26="","",IF(AND(H26="",J26=""),"לא נבדק",IF(AND(OR(H26="",H26=I26),OR(J26="",J26=K26)),"תואם","לא תואם")))</f>
        <v/>
      </c>
      <c r="AT26" s="36">
        <f>IF($A26="","",IF(AND(AS26&lt;&gt;"לא תואם",G26&lt;&gt;"לא ברור"),"אמין","לפרש בזהירות"))</f>
        <v/>
      </c>
    </row>
    <row r="27">
      <c r="A27" s="38" t="n"/>
      <c r="B27" s="38" t="n"/>
      <c r="C27" s="38" t="n"/>
      <c r="D27" s="38" t="n"/>
      <c r="E27" s="38" t="n"/>
      <c r="F27" s="38" t="n"/>
      <c r="G27" s="38" t="n"/>
      <c r="H27" s="38" t="n"/>
      <c r="I27" s="38" t="n"/>
      <c r="J27" s="38" t="n"/>
      <c r="K27" s="38" t="n"/>
      <c r="L27" s="38" t="n"/>
      <c r="M27" s="38" t="n"/>
      <c r="N27" s="38" t="n"/>
      <c r="O27" s="38" t="n"/>
      <c r="P27" s="38" t="n"/>
      <c r="Q27" s="38" t="n"/>
      <c r="R27" s="38" t="n"/>
      <c r="S27" s="38" t="n"/>
      <c r="T27" s="38" t="n"/>
      <c r="U27" s="38" t="n"/>
      <c r="V27" s="38" t="n"/>
      <c r="W27" s="38" t="n"/>
      <c r="X27" s="38" t="n"/>
      <c r="Y27" s="38" t="n"/>
      <c r="Z27" s="38" t="n"/>
      <c r="AA27" s="38" t="n"/>
      <c r="AB27" s="38" t="n"/>
      <c r="AC27" s="38" t="n"/>
      <c r="AD27" s="38" t="n"/>
      <c r="AE27" s="38" t="n"/>
      <c r="AF27" s="36">
        <f>IF($A27="","",$A27&amp;"|"&amp;$C27)</f>
        <v/>
      </c>
      <c r="AG27" s="37">
        <f>IF($A27="","",IFERROR(COUNTIF(L27:M27,"כן")/(COUNTIF(L27:M27,"כן")+COUNTIF(L27:M27,"לא")),""))</f>
        <v/>
      </c>
      <c r="AH27" s="37">
        <f>IF($A27="","",IFERROR(COUNTIF(N27:O27,"כן")/(COUNTIF(N27:O27,"כן")+COUNTIF(N27:O27,"לא")),""))</f>
        <v/>
      </c>
      <c r="AI27" s="37">
        <f>IF($A27="","",IFERROR(COUNTIF(P27:Q27,"כן")/(COUNTIF(P27:Q27,"כן")+COUNTIF(P27:Q27,"לא")),""))</f>
        <v/>
      </c>
      <c r="AJ27" s="37">
        <f>IF($A27="","",IFERROR(COUNTIF(R27:S27,"כן")/(COUNTIF(R27:S27,"כן")+COUNTIF(R27:S27,"לא")),""))</f>
        <v/>
      </c>
      <c r="AK27" s="37">
        <f>IF($A27="","",IFERROR(COUNTIF(T27:U27,"כן")/(COUNTIF(T27:U27,"כן")+COUNTIF(T27:U27,"לא")),""))</f>
        <v/>
      </c>
      <c r="AL27" s="37">
        <f>IF($A27="","",IFERROR(COUNTIF(L27:U27,"כן")/(COUNTIF(L27:U27,"כן")+COUNTIF(L27:U27,"לא")),""))</f>
        <v/>
      </c>
      <c r="AM27" s="45">
        <f>IF($A27="","",IFERROR(AVERAGE(V27:W27),""))</f>
        <v/>
      </c>
      <c r="AN27" s="45">
        <f>IF($A27="","",IFERROR(AVERAGE(X27:Y27),""))</f>
        <v/>
      </c>
      <c r="AO27" s="45">
        <f>IF($A27="","",IFERROR(AVERAGE(Z27:AA27),""))</f>
        <v/>
      </c>
      <c r="AP27" s="45">
        <f>IF($A27="","",IFERROR(AVERAGE(AB27:AC27),""))</f>
        <v/>
      </c>
      <c r="AQ27" s="45">
        <f>IF($A27="","",IFERROR(AVERAGE(AD27),""))</f>
        <v/>
      </c>
      <c r="AR27" s="45">
        <f>IF($A27="","",IFERROR(AVERAGE(V27:AD27),""))</f>
        <v/>
      </c>
      <c r="AS27" s="36">
        <f>IF($A27="","",IF(AND(H27="",J27=""),"לא נבדק",IF(AND(OR(H27="",H27=I27),OR(J27="",J27=K27)),"תואם","לא תואם")))</f>
        <v/>
      </c>
      <c r="AT27" s="36">
        <f>IF($A27="","",IF(AND(AS27&lt;&gt;"לא תואם",G27&lt;&gt;"לא ברור"),"אמין","לפרש בזהירות"))</f>
        <v/>
      </c>
    </row>
    <row r="28">
      <c r="A28" s="38" t="n"/>
      <c r="B28" s="38" t="n"/>
      <c r="C28" s="38" t="n"/>
      <c r="D28" s="38" t="n"/>
      <c r="E28" s="38" t="n"/>
      <c r="F28" s="38" t="n"/>
      <c r="G28" s="38" t="n"/>
      <c r="H28" s="38" t="n"/>
      <c r="I28" s="38" t="n"/>
      <c r="J28" s="38" t="n"/>
      <c r="K28" s="38" t="n"/>
      <c r="L28" s="38" t="n"/>
      <c r="M28" s="38" t="n"/>
      <c r="N28" s="38" t="n"/>
      <c r="O28" s="38" t="n"/>
      <c r="P28" s="38" t="n"/>
      <c r="Q28" s="38" t="n"/>
      <c r="R28" s="38" t="n"/>
      <c r="S28" s="38" t="n"/>
      <c r="T28" s="38" t="n"/>
      <c r="U28" s="38" t="n"/>
      <c r="V28" s="38" t="n"/>
      <c r="W28" s="38" t="n"/>
      <c r="X28" s="38" t="n"/>
      <c r="Y28" s="38" t="n"/>
      <c r="Z28" s="38" t="n"/>
      <c r="AA28" s="38" t="n"/>
      <c r="AB28" s="38" t="n"/>
      <c r="AC28" s="38" t="n"/>
      <c r="AD28" s="38" t="n"/>
      <c r="AE28" s="38" t="n"/>
      <c r="AF28" s="36">
        <f>IF($A28="","",$A28&amp;"|"&amp;$C28)</f>
        <v/>
      </c>
      <c r="AG28" s="37">
        <f>IF($A28="","",IFERROR(COUNTIF(L28:M28,"כן")/(COUNTIF(L28:M28,"כן")+COUNTIF(L28:M28,"לא")),""))</f>
        <v/>
      </c>
      <c r="AH28" s="37">
        <f>IF($A28="","",IFERROR(COUNTIF(N28:O28,"כן")/(COUNTIF(N28:O28,"כן")+COUNTIF(N28:O28,"לא")),""))</f>
        <v/>
      </c>
      <c r="AI28" s="37">
        <f>IF($A28="","",IFERROR(COUNTIF(P28:Q28,"כן")/(COUNTIF(P28:Q28,"כן")+COUNTIF(P28:Q28,"לא")),""))</f>
        <v/>
      </c>
      <c r="AJ28" s="37">
        <f>IF($A28="","",IFERROR(COUNTIF(R28:S28,"כן")/(COUNTIF(R28:S28,"כן")+COUNTIF(R28:S28,"לא")),""))</f>
        <v/>
      </c>
      <c r="AK28" s="37">
        <f>IF($A28="","",IFERROR(COUNTIF(T28:U28,"כן")/(COUNTIF(T28:U28,"כן")+COUNTIF(T28:U28,"לא")),""))</f>
        <v/>
      </c>
      <c r="AL28" s="37">
        <f>IF($A28="","",IFERROR(COUNTIF(L28:U28,"כן")/(COUNTIF(L28:U28,"כן")+COUNTIF(L28:U28,"לא")),""))</f>
        <v/>
      </c>
      <c r="AM28" s="45">
        <f>IF($A28="","",IFERROR(AVERAGE(V28:W28),""))</f>
        <v/>
      </c>
      <c r="AN28" s="45">
        <f>IF($A28="","",IFERROR(AVERAGE(X28:Y28),""))</f>
        <v/>
      </c>
      <c r="AO28" s="45">
        <f>IF($A28="","",IFERROR(AVERAGE(Z28:AA28),""))</f>
        <v/>
      </c>
      <c r="AP28" s="45">
        <f>IF($A28="","",IFERROR(AVERAGE(AB28:AC28),""))</f>
        <v/>
      </c>
      <c r="AQ28" s="45">
        <f>IF($A28="","",IFERROR(AVERAGE(AD28),""))</f>
        <v/>
      </c>
      <c r="AR28" s="45">
        <f>IF($A28="","",IFERROR(AVERAGE(V28:AD28),""))</f>
        <v/>
      </c>
      <c r="AS28" s="36">
        <f>IF($A28="","",IF(AND(H28="",J28=""),"לא נבדק",IF(AND(OR(H28="",H28=I28),OR(J28="",J28=K28)),"תואם","לא תואם")))</f>
        <v/>
      </c>
      <c r="AT28" s="36">
        <f>IF($A28="","",IF(AND(AS28&lt;&gt;"לא תואם",G28&lt;&gt;"לא ברור"),"אמין","לפרש בזהירות"))</f>
        <v/>
      </c>
    </row>
    <row r="29">
      <c r="A29" s="38" t="n"/>
      <c r="B29" s="38" t="n"/>
      <c r="C29" s="38" t="n"/>
      <c r="D29" s="38" t="n"/>
      <c r="E29" s="38" t="n"/>
      <c r="F29" s="38" t="n"/>
      <c r="G29" s="38" t="n"/>
      <c r="H29" s="38" t="n"/>
      <c r="I29" s="38" t="n"/>
      <c r="J29" s="38" t="n"/>
      <c r="K29" s="38" t="n"/>
      <c r="L29" s="38" t="n"/>
      <c r="M29" s="38" t="n"/>
      <c r="N29" s="38" t="n"/>
      <c r="O29" s="38" t="n"/>
      <c r="P29" s="38" t="n"/>
      <c r="Q29" s="38" t="n"/>
      <c r="R29" s="38" t="n"/>
      <c r="S29" s="38" t="n"/>
      <c r="T29" s="38" t="n"/>
      <c r="U29" s="38" t="n"/>
      <c r="V29" s="38" t="n"/>
      <c r="W29" s="38" t="n"/>
      <c r="X29" s="38" t="n"/>
      <c r="Y29" s="38" t="n"/>
      <c r="Z29" s="38" t="n"/>
      <c r="AA29" s="38" t="n"/>
      <c r="AB29" s="38" t="n"/>
      <c r="AC29" s="38" t="n"/>
      <c r="AD29" s="38" t="n"/>
      <c r="AE29" s="38" t="n"/>
      <c r="AF29" s="36">
        <f>IF($A29="","",$A29&amp;"|"&amp;$C29)</f>
        <v/>
      </c>
      <c r="AG29" s="37">
        <f>IF($A29="","",IFERROR(COUNTIF(L29:M29,"כן")/(COUNTIF(L29:M29,"כן")+COUNTIF(L29:M29,"לא")),""))</f>
        <v/>
      </c>
      <c r="AH29" s="37">
        <f>IF($A29="","",IFERROR(COUNTIF(N29:O29,"כן")/(COUNTIF(N29:O29,"כן")+COUNTIF(N29:O29,"לא")),""))</f>
        <v/>
      </c>
      <c r="AI29" s="37">
        <f>IF($A29="","",IFERROR(COUNTIF(P29:Q29,"כן")/(COUNTIF(P29:Q29,"כן")+COUNTIF(P29:Q29,"לא")),""))</f>
        <v/>
      </c>
      <c r="AJ29" s="37">
        <f>IF($A29="","",IFERROR(COUNTIF(R29:S29,"כן")/(COUNTIF(R29:S29,"כן")+COUNTIF(R29:S29,"לא")),""))</f>
        <v/>
      </c>
      <c r="AK29" s="37">
        <f>IF($A29="","",IFERROR(COUNTIF(T29:U29,"כן")/(COUNTIF(T29:U29,"כן")+COUNTIF(T29:U29,"לא")),""))</f>
        <v/>
      </c>
      <c r="AL29" s="37">
        <f>IF($A29="","",IFERROR(COUNTIF(L29:U29,"כן")/(COUNTIF(L29:U29,"כן")+COUNTIF(L29:U29,"לא")),""))</f>
        <v/>
      </c>
      <c r="AM29" s="45">
        <f>IF($A29="","",IFERROR(AVERAGE(V29:W29),""))</f>
        <v/>
      </c>
      <c r="AN29" s="45">
        <f>IF($A29="","",IFERROR(AVERAGE(X29:Y29),""))</f>
        <v/>
      </c>
      <c r="AO29" s="45">
        <f>IF($A29="","",IFERROR(AVERAGE(Z29:AA29),""))</f>
        <v/>
      </c>
      <c r="AP29" s="45">
        <f>IF($A29="","",IFERROR(AVERAGE(AB29:AC29),""))</f>
        <v/>
      </c>
      <c r="AQ29" s="45">
        <f>IF($A29="","",IFERROR(AVERAGE(AD29),""))</f>
        <v/>
      </c>
      <c r="AR29" s="45">
        <f>IF($A29="","",IFERROR(AVERAGE(V29:AD29),""))</f>
        <v/>
      </c>
      <c r="AS29" s="36">
        <f>IF($A29="","",IF(AND(H29="",J29=""),"לא נבדק",IF(AND(OR(H29="",H29=I29),OR(J29="",J29=K29)),"תואם","לא תואם")))</f>
        <v/>
      </c>
      <c r="AT29" s="36">
        <f>IF($A29="","",IF(AND(AS29&lt;&gt;"לא תואם",G29&lt;&gt;"לא ברור"),"אמין","לפרש בזהירות"))</f>
        <v/>
      </c>
    </row>
    <row r="30">
      <c r="A30" s="38" t="n"/>
      <c r="B30" s="38" t="n"/>
      <c r="C30" s="38" t="n"/>
      <c r="D30" s="38" t="n"/>
      <c r="E30" s="38" t="n"/>
      <c r="F30" s="38" t="n"/>
      <c r="G30" s="38" t="n"/>
      <c r="H30" s="38" t="n"/>
      <c r="I30" s="38" t="n"/>
      <c r="J30" s="38" t="n"/>
      <c r="K30" s="38" t="n"/>
      <c r="L30" s="38" t="n"/>
      <c r="M30" s="38" t="n"/>
      <c r="N30" s="38" t="n"/>
      <c r="O30" s="38" t="n"/>
      <c r="P30" s="38" t="n"/>
      <c r="Q30" s="38" t="n"/>
      <c r="R30" s="38" t="n"/>
      <c r="S30" s="38" t="n"/>
      <c r="T30" s="38" t="n"/>
      <c r="U30" s="38" t="n"/>
      <c r="V30" s="38" t="n"/>
      <c r="W30" s="38" t="n"/>
      <c r="X30" s="38" t="n"/>
      <c r="Y30" s="38" t="n"/>
      <c r="Z30" s="38" t="n"/>
      <c r="AA30" s="38" t="n"/>
      <c r="AB30" s="38" t="n"/>
      <c r="AC30" s="38" t="n"/>
      <c r="AD30" s="38" t="n"/>
      <c r="AE30" s="38" t="n"/>
      <c r="AF30" s="36">
        <f>IF($A30="","",$A30&amp;"|"&amp;$C30)</f>
        <v/>
      </c>
      <c r="AG30" s="37">
        <f>IF($A30="","",IFERROR(COUNTIF(L30:M30,"כן")/(COUNTIF(L30:M30,"כן")+COUNTIF(L30:M30,"לא")),""))</f>
        <v/>
      </c>
      <c r="AH30" s="37">
        <f>IF($A30="","",IFERROR(COUNTIF(N30:O30,"כן")/(COUNTIF(N30:O30,"כן")+COUNTIF(N30:O30,"לא")),""))</f>
        <v/>
      </c>
      <c r="AI30" s="37">
        <f>IF($A30="","",IFERROR(COUNTIF(P30:Q30,"כן")/(COUNTIF(P30:Q30,"כן")+COUNTIF(P30:Q30,"לא")),""))</f>
        <v/>
      </c>
      <c r="AJ30" s="37">
        <f>IF($A30="","",IFERROR(COUNTIF(R30:S30,"כן")/(COUNTIF(R30:S30,"כן")+COUNTIF(R30:S30,"לא")),""))</f>
        <v/>
      </c>
      <c r="AK30" s="37">
        <f>IF($A30="","",IFERROR(COUNTIF(T30:U30,"כן")/(COUNTIF(T30:U30,"כן")+COUNTIF(T30:U30,"לא")),""))</f>
        <v/>
      </c>
      <c r="AL30" s="37">
        <f>IF($A30="","",IFERROR(COUNTIF(L30:U30,"כן")/(COUNTIF(L30:U30,"כן")+COUNTIF(L30:U30,"לא")),""))</f>
        <v/>
      </c>
      <c r="AM30" s="45">
        <f>IF($A30="","",IFERROR(AVERAGE(V30:W30),""))</f>
        <v/>
      </c>
      <c r="AN30" s="45">
        <f>IF($A30="","",IFERROR(AVERAGE(X30:Y30),""))</f>
        <v/>
      </c>
      <c r="AO30" s="45">
        <f>IF($A30="","",IFERROR(AVERAGE(Z30:AA30),""))</f>
        <v/>
      </c>
      <c r="AP30" s="45">
        <f>IF($A30="","",IFERROR(AVERAGE(AB30:AC30),""))</f>
        <v/>
      </c>
      <c r="AQ30" s="45">
        <f>IF($A30="","",IFERROR(AVERAGE(AD30),""))</f>
        <v/>
      </c>
      <c r="AR30" s="45">
        <f>IF($A30="","",IFERROR(AVERAGE(V30:AD30),""))</f>
        <v/>
      </c>
      <c r="AS30" s="36">
        <f>IF($A30="","",IF(AND(H30="",J30=""),"לא נבדק",IF(AND(OR(H30="",H30=I30),OR(J30="",J30=K30)),"תואם","לא תואם")))</f>
        <v/>
      </c>
      <c r="AT30" s="36">
        <f>IF($A30="","",IF(AND(AS30&lt;&gt;"לא תואם",G30&lt;&gt;"לא ברור"),"אמין","לפרש בזהירות"))</f>
        <v/>
      </c>
    </row>
    <row r="31">
      <c r="A31" s="38" t="n"/>
      <c r="B31" s="38" t="n"/>
      <c r="C31" s="38" t="n"/>
      <c r="D31" s="38" t="n"/>
      <c r="E31" s="38" t="n"/>
      <c r="F31" s="38" t="n"/>
      <c r="G31" s="38" t="n"/>
      <c r="H31" s="38" t="n"/>
      <c r="I31" s="38" t="n"/>
      <c r="J31" s="38" t="n"/>
      <c r="K31" s="38" t="n"/>
      <c r="L31" s="38" t="n"/>
      <c r="M31" s="38" t="n"/>
      <c r="N31" s="38" t="n"/>
      <c r="O31" s="38" t="n"/>
      <c r="P31" s="38" t="n"/>
      <c r="Q31" s="38" t="n"/>
      <c r="R31" s="38" t="n"/>
      <c r="S31" s="38" t="n"/>
      <c r="T31" s="38" t="n"/>
      <c r="U31" s="38" t="n"/>
      <c r="V31" s="38" t="n"/>
      <c r="W31" s="38" t="n"/>
      <c r="X31" s="38" t="n"/>
      <c r="Y31" s="38" t="n"/>
      <c r="Z31" s="38" t="n"/>
      <c r="AA31" s="38" t="n"/>
      <c r="AB31" s="38" t="n"/>
      <c r="AC31" s="38" t="n"/>
      <c r="AD31" s="38" t="n"/>
      <c r="AE31" s="38" t="n"/>
      <c r="AF31" s="36">
        <f>IF($A31="","",$A31&amp;"|"&amp;$C31)</f>
        <v/>
      </c>
      <c r="AG31" s="37">
        <f>IF($A31="","",IFERROR(COUNTIF(L31:M31,"כן")/(COUNTIF(L31:M31,"כן")+COUNTIF(L31:M31,"לא")),""))</f>
        <v/>
      </c>
      <c r="AH31" s="37">
        <f>IF($A31="","",IFERROR(COUNTIF(N31:O31,"כן")/(COUNTIF(N31:O31,"כן")+COUNTIF(N31:O31,"לא")),""))</f>
        <v/>
      </c>
      <c r="AI31" s="37">
        <f>IF($A31="","",IFERROR(COUNTIF(P31:Q31,"כן")/(COUNTIF(P31:Q31,"כן")+COUNTIF(P31:Q31,"לא")),""))</f>
        <v/>
      </c>
      <c r="AJ31" s="37">
        <f>IF($A31="","",IFERROR(COUNTIF(R31:S31,"כן")/(COUNTIF(R31:S31,"כן")+COUNTIF(R31:S31,"לא")),""))</f>
        <v/>
      </c>
      <c r="AK31" s="37">
        <f>IF($A31="","",IFERROR(COUNTIF(T31:U31,"כן")/(COUNTIF(T31:U31,"כן")+COUNTIF(T31:U31,"לא")),""))</f>
        <v/>
      </c>
      <c r="AL31" s="37">
        <f>IF($A31="","",IFERROR(COUNTIF(L31:U31,"כן")/(COUNTIF(L31:U31,"כן")+COUNTIF(L31:U31,"לא")),""))</f>
        <v/>
      </c>
      <c r="AM31" s="45">
        <f>IF($A31="","",IFERROR(AVERAGE(V31:W31),""))</f>
        <v/>
      </c>
      <c r="AN31" s="45">
        <f>IF($A31="","",IFERROR(AVERAGE(X31:Y31),""))</f>
        <v/>
      </c>
      <c r="AO31" s="45">
        <f>IF($A31="","",IFERROR(AVERAGE(Z31:AA31),""))</f>
        <v/>
      </c>
      <c r="AP31" s="45">
        <f>IF($A31="","",IFERROR(AVERAGE(AB31:AC31),""))</f>
        <v/>
      </c>
      <c r="AQ31" s="45">
        <f>IF($A31="","",IFERROR(AVERAGE(AD31),""))</f>
        <v/>
      </c>
      <c r="AR31" s="45">
        <f>IF($A31="","",IFERROR(AVERAGE(V31:AD31),""))</f>
        <v/>
      </c>
      <c r="AS31" s="36">
        <f>IF($A31="","",IF(AND(H31="",J31=""),"לא נבדק",IF(AND(OR(H31="",H31=I31),OR(J31="",J31=K31)),"תואם","לא תואם")))</f>
        <v/>
      </c>
      <c r="AT31" s="36">
        <f>IF($A31="","",IF(AND(AS31&lt;&gt;"לא תואם",G31&lt;&gt;"לא ברור"),"אמין","לפרש בזהירות"))</f>
        <v/>
      </c>
    </row>
    <row r="32">
      <c r="A32" s="38" t="n"/>
      <c r="B32" s="38" t="n"/>
      <c r="C32" s="38" t="n"/>
      <c r="D32" s="38" t="n"/>
      <c r="E32" s="38" t="n"/>
      <c r="F32" s="38" t="n"/>
      <c r="G32" s="38" t="n"/>
      <c r="H32" s="38" t="n"/>
      <c r="I32" s="38" t="n"/>
      <c r="J32" s="38" t="n"/>
      <c r="K32" s="38" t="n"/>
      <c r="L32" s="38" t="n"/>
      <c r="M32" s="38" t="n"/>
      <c r="N32" s="38" t="n"/>
      <c r="O32" s="38" t="n"/>
      <c r="P32" s="38" t="n"/>
      <c r="Q32" s="38" t="n"/>
      <c r="R32" s="38" t="n"/>
      <c r="S32" s="38" t="n"/>
      <c r="T32" s="38" t="n"/>
      <c r="U32" s="38" t="n"/>
      <c r="V32" s="38" t="n"/>
      <c r="W32" s="38" t="n"/>
      <c r="X32" s="38" t="n"/>
      <c r="Y32" s="38" t="n"/>
      <c r="Z32" s="38" t="n"/>
      <c r="AA32" s="38" t="n"/>
      <c r="AB32" s="38" t="n"/>
      <c r="AC32" s="38" t="n"/>
      <c r="AD32" s="38" t="n"/>
      <c r="AE32" s="38" t="n"/>
      <c r="AF32" s="36">
        <f>IF($A32="","",$A32&amp;"|"&amp;$C32)</f>
        <v/>
      </c>
      <c r="AG32" s="37">
        <f>IF($A32="","",IFERROR(COUNTIF(L32:M32,"כן")/(COUNTIF(L32:M32,"כן")+COUNTIF(L32:M32,"לא")),""))</f>
        <v/>
      </c>
      <c r="AH32" s="37">
        <f>IF($A32="","",IFERROR(COUNTIF(N32:O32,"כן")/(COUNTIF(N32:O32,"כן")+COUNTIF(N32:O32,"לא")),""))</f>
        <v/>
      </c>
      <c r="AI32" s="37">
        <f>IF($A32="","",IFERROR(COUNTIF(P32:Q32,"כן")/(COUNTIF(P32:Q32,"כן")+COUNTIF(P32:Q32,"לא")),""))</f>
        <v/>
      </c>
      <c r="AJ32" s="37">
        <f>IF($A32="","",IFERROR(COUNTIF(R32:S32,"כן")/(COUNTIF(R32:S32,"כן")+COUNTIF(R32:S32,"לא")),""))</f>
        <v/>
      </c>
      <c r="AK32" s="37">
        <f>IF($A32="","",IFERROR(COUNTIF(T32:U32,"כן")/(COUNTIF(T32:U32,"כן")+COUNTIF(T32:U32,"לא")),""))</f>
        <v/>
      </c>
      <c r="AL32" s="37">
        <f>IF($A32="","",IFERROR(COUNTIF(L32:U32,"כן")/(COUNTIF(L32:U32,"כן")+COUNTIF(L32:U32,"לא")),""))</f>
        <v/>
      </c>
      <c r="AM32" s="45">
        <f>IF($A32="","",IFERROR(AVERAGE(V32:W32),""))</f>
        <v/>
      </c>
      <c r="AN32" s="45">
        <f>IF($A32="","",IFERROR(AVERAGE(X32:Y32),""))</f>
        <v/>
      </c>
      <c r="AO32" s="45">
        <f>IF($A32="","",IFERROR(AVERAGE(Z32:AA32),""))</f>
        <v/>
      </c>
      <c r="AP32" s="45">
        <f>IF($A32="","",IFERROR(AVERAGE(AB32:AC32),""))</f>
        <v/>
      </c>
      <c r="AQ32" s="45">
        <f>IF($A32="","",IFERROR(AVERAGE(AD32),""))</f>
        <v/>
      </c>
      <c r="AR32" s="45">
        <f>IF($A32="","",IFERROR(AVERAGE(V32:AD32),""))</f>
        <v/>
      </c>
      <c r="AS32" s="36">
        <f>IF($A32="","",IF(AND(H32="",J32=""),"לא נבדק",IF(AND(OR(H32="",H32=I32),OR(J32="",J32=K32)),"תואם","לא תואם")))</f>
        <v/>
      </c>
      <c r="AT32" s="36">
        <f>IF($A32="","",IF(AND(AS32&lt;&gt;"לא תואם",G32&lt;&gt;"לא ברור"),"אמין","לפרש בזהירות"))</f>
        <v/>
      </c>
    </row>
    <row r="33">
      <c r="A33" s="38" t="n"/>
      <c r="B33" s="38" t="n"/>
      <c r="C33" s="38" t="n"/>
      <c r="D33" s="38" t="n"/>
      <c r="E33" s="38" t="n"/>
      <c r="F33" s="38" t="n"/>
      <c r="G33" s="38" t="n"/>
      <c r="H33" s="38" t="n"/>
      <c r="I33" s="38" t="n"/>
      <c r="J33" s="38" t="n"/>
      <c r="K33" s="38" t="n"/>
      <c r="L33" s="38" t="n"/>
      <c r="M33" s="38" t="n"/>
      <c r="N33" s="38" t="n"/>
      <c r="O33" s="38" t="n"/>
      <c r="P33" s="38" t="n"/>
      <c r="Q33" s="38" t="n"/>
      <c r="R33" s="38" t="n"/>
      <c r="S33" s="38" t="n"/>
      <c r="T33" s="38" t="n"/>
      <c r="U33" s="38" t="n"/>
      <c r="V33" s="38" t="n"/>
      <c r="W33" s="38" t="n"/>
      <c r="X33" s="38" t="n"/>
      <c r="Y33" s="38" t="n"/>
      <c r="Z33" s="38" t="n"/>
      <c r="AA33" s="38" t="n"/>
      <c r="AB33" s="38" t="n"/>
      <c r="AC33" s="38" t="n"/>
      <c r="AD33" s="38" t="n"/>
      <c r="AE33" s="38" t="n"/>
      <c r="AF33" s="36">
        <f>IF($A33="","",$A33&amp;"|"&amp;$C33)</f>
        <v/>
      </c>
      <c r="AG33" s="37">
        <f>IF($A33="","",IFERROR(COUNTIF(L33:M33,"כן")/(COUNTIF(L33:M33,"כן")+COUNTIF(L33:M33,"לא")),""))</f>
        <v/>
      </c>
      <c r="AH33" s="37">
        <f>IF($A33="","",IFERROR(COUNTIF(N33:O33,"כן")/(COUNTIF(N33:O33,"כן")+COUNTIF(N33:O33,"לא")),""))</f>
        <v/>
      </c>
      <c r="AI33" s="37">
        <f>IF($A33="","",IFERROR(COUNTIF(P33:Q33,"כן")/(COUNTIF(P33:Q33,"כן")+COUNTIF(P33:Q33,"לא")),""))</f>
        <v/>
      </c>
      <c r="AJ33" s="37">
        <f>IF($A33="","",IFERROR(COUNTIF(R33:S33,"כן")/(COUNTIF(R33:S33,"כן")+COUNTIF(R33:S33,"לא")),""))</f>
        <v/>
      </c>
      <c r="AK33" s="37">
        <f>IF($A33="","",IFERROR(COUNTIF(T33:U33,"כן")/(COUNTIF(T33:U33,"כן")+COUNTIF(T33:U33,"לא")),""))</f>
        <v/>
      </c>
      <c r="AL33" s="37">
        <f>IF($A33="","",IFERROR(COUNTIF(L33:U33,"כן")/(COUNTIF(L33:U33,"כן")+COUNTIF(L33:U33,"לא")),""))</f>
        <v/>
      </c>
      <c r="AM33" s="45">
        <f>IF($A33="","",IFERROR(AVERAGE(V33:W33),""))</f>
        <v/>
      </c>
      <c r="AN33" s="45">
        <f>IF($A33="","",IFERROR(AVERAGE(X33:Y33),""))</f>
        <v/>
      </c>
      <c r="AO33" s="45">
        <f>IF($A33="","",IFERROR(AVERAGE(Z33:AA33),""))</f>
        <v/>
      </c>
      <c r="AP33" s="45">
        <f>IF($A33="","",IFERROR(AVERAGE(AB33:AC33),""))</f>
        <v/>
      </c>
      <c r="AQ33" s="45">
        <f>IF($A33="","",IFERROR(AVERAGE(AD33),""))</f>
        <v/>
      </c>
      <c r="AR33" s="45">
        <f>IF($A33="","",IFERROR(AVERAGE(V33:AD33),""))</f>
        <v/>
      </c>
      <c r="AS33" s="36">
        <f>IF($A33="","",IF(AND(H33="",J33=""),"לא נבדק",IF(AND(OR(H33="",H33=I33),OR(J33="",J33=K33)),"תואם","לא תואם")))</f>
        <v/>
      </c>
      <c r="AT33" s="36">
        <f>IF($A33="","",IF(AND(AS33&lt;&gt;"לא תואם",G33&lt;&gt;"לא ברור"),"אמין","לפרש בזהירות"))</f>
        <v/>
      </c>
    </row>
    <row r="34">
      <c r="A34" s="38" t="n"/>
      <c r="B34" s="38" t="n"/>
      <c r="C34" s="38" t="n"/>
      <c r="D34" s="38" t="n"/>
      <c r="E34" s="38" t="n"/>
      <c r="F34" s="38" t="n"/>
      <c r="G34" s="38" t="n"/>
      <c r="H34" s="38" t="n"/>
      <c r="I34" s="38" t="n"/>
      <c r="J34" s="38" t="n"/>
      <c r="K34" s="38" t="n"/>
      <c r="L34" s="38" t="n"/>
      <c r="M34" s="38" t="n"/>
      <c r="N34" s="38" t="n"/>
      <c r="O34" s="38" t="n"/>
      <c r="P34" s="38" t="n"/>
      <c r="Q34" s="38" t="n"/>
      <c r="R34" s="38" t="n"/>
      <c r="S34" s="38" t="n"/>
      <c r="T34" s="38" t="n"/>
      <c r="U34" s="38" t="n"/>
      <c r="V34" s="38" t="n"/>
      <c r="W34" s="38" t="n"/>
      <c r="X34" s="38" t="n"/>
      <c r="Y34" s="38" t="n"/>
      <c r="Z34" s="38" t="n"/>
      <c r="AA34" s="38" t="n"/>
      <c r="AB34" s="38" t="n"/>
      <c r="AC34" s="38" t="n"/>
      <c r="AD34" s="38" t="n"/>
      <c r="AE34" s="38" t="n"/>
      <c r="AF34" s="36">
        <f>IF($A34="","",$A34&amp;"|"&amp;$C34)</f>
        <v/>
      </c>
      <c r="AG34" s="37">
        <f>IF($A34="","",IFERROR(COUNTIF(L34:M34,"כן")/(COUNTIF(L34:M34,"כן")+COUNTIF(L34:M34,"לא")),""))</f>
        <v/>
      </c>
      <c r="AH34" s="37">
        <f>IF($A34="","",IFERROR(COUNTIF(N34:O34,"כן")/(COUNTIF(N34:O34,"כן")+COUNTIF(N34:O34,"לא")),""))</f>
        <v/>
      </c>
      <c r="AI34" s="37">
        <f>IF($A34="","",IFERROR(COUNTIF(P34:Q34,"כן")/(COUNTIF(P34:Q34,"כן")+COUNTIF(P34:Q34,"לא")),""))</f>
        <v/>
      </c>
      <c r="AJ34" s="37">
        <f>IF($A34="","",IFERROR(COUNTIF(R34:S34,"כן")/(COUNTIF(R34:S34,"כן")+COUNTIF(R34:S34,"לא")),""))</f>
        <v/>
      </c>
      <c r="AK34" s="37">
        <f>IF($A34="","",IFERROR(COUNTIF(T34:U34,"כן")/(COUNTIF(T34:U34,"כן")+COUNTIF(T34:U34,"לא")),""))</f>
        <v/>
      </c>
      <c r="AL34" s="37">
        <f>IF($A34="","",IFERROR(COUNTIF(L34:U34,"כן")/(COUNTIF(L34:U34,"כן")+COUNTIF(L34:U34,"לא")),""))</f>
        <v/>
      </c>
      <c r="AM34" s="45">
        <f>IF($A34="","",IFERROR(AVERAGE(V34:W34),""))</f>
        <v/>
      </c>
      <c r="AN34" s="45">
        <f>IF($A34="","",IFERROR(AVERAGE(X34:Y34),""))</f>
        <v/>
      </c>
      <c r="AO34" s="45">
        <f>IF($A34="","",IFERROR(AVERAGE(Z34:AA34),""))</f>
        <v/>
      </c>
      <c r="AP34" s="45">
        <f>IF($A34="","",IFERROR(AVERAGE(AB34:AC34),""))</f>
        <v/>
      </c>
      <c r="AQ34" s="45">
        <f>IF($A34="","",IFERROR(AVERAGE(AD34),""))</f>
        <v/>
      </c>
      <c r="AR34" s="45">
        <f>IF($A34="","",IFERROR(AVERAGE(V34:AD34),""))</f>
        <v/>
      </c>
      <c r="AS34" s="36">
        <f>IF($A34="","",IF(AND(H34="",J34=""),"לא נבדק",IF(AND(OR(H34="",H34=I34),OR(J34="",J34=K34)),"תואם","לא תואם")))</f>
        <v/>
      </c>
      <c r="AT34" s="36">
        <f>IF($A34="","",IF(AND(AS34&lt;&gt;"לא תואם",G34&lt;&gt;"לא ברור"),"אמין","לפרש בזהירות"))</f>
        <v/>
      </c>
    </row>
    <row r="35">
      <c r="A35" s="38" t="n"/>
      <c r="B35" s="38" t="n"/>
      <c r="C35" s="38" t="n"/>
      <c r="D35" s="38" t="n"/>
      <c r="E35" s="38" t="n"/>
      <c r="F35" s="38" t="n"/>
      <c r="G35" s="38" t="n"/>
      <c r="H35" s="38" t="n"/>
      <c r="I35" s="38" t="n"/>
      <c r="J35" s="38" t="n"/>
      <c r="K35" s="38" t="n"/>
      <c r="L35" s="38" t="n"/>
      <c r="M35" s="38" t="n"/>
      <c r="N35" s="38" t="n"/>
      <c r="O35" s="38" t="n"/>
      <c r="P35" s="38" t="n"/>
      <c r="Q35" s="38" t="n"/>
      <c r="R35" s="38" t="n"/>
      <c r="S35" s="38" t="n"/>
      <c r="T35" s="38" t="n"/>
      <c r="U35" s="38" t="n"/>
      <c r="V35" s="38" t="n"/>
      <c r="W35" s="38" t="n"/>
      <c r="X35" s="38" t="n"/>
      <c r="Y35" s="38" t="n"/>
      <c r="Z35" s="38" t="n"/>
      <c r="AA35" s="38" t="n"/>
      <c r="AB35" s="38" t="n"/>
      <c r="AC35" s="38" t="n"/>
      <c r="AD35" s="38" t="n"/>
      <c r="AE35" s="38" t="n"/>
      <c r="AF35" s="36">
        <f>IF($A35="","",$A35&amp;"|"&amp;$C35)</f>
        <v/>
      </c>
      <c r="AG35" s="37">
        <f>IF($A35="","",IFERROR(COUNTIF(L35:M35,"כן")/(COUNTIF(L35:M35,"כן")+COUNTIF(L35:M35,"לא")),""))</f>
        <v/>
      </c>
      <c r="AH35" s="37">
        <f>IF($A35="","",IFERROR(COUNTIF(N35:O35,"כן")/(COUNTIF(N35:O35,"כן")+COUNTIF(N35:O35,"לא")),""))</f>
        <v/>
      </c>
      <c r="AI35" s="37">
        <f>IF($A35="","",IFERROR(COUNTIF(P35:Q35,"כן")/(COUNTIF(P35:Q35,"כן")+COUNTIF(P35:Q35,"לא")),""))</f>
        <v/>
      </c>
      <c r="AJ35" s="37">
        <f>IF($A35="","",IFERROR(COUNTIF(R35:S35,"כן")/(COUNTIF(R35:S35,"כן")+COUNTIF(R35:S35,"לא")),""))</f>
        <v/>
      </c>
      <c r="AK35" s="37">
        <f>IF($A35="","",IFERROR(COUNTIF(T35:U35,"כן")/(COUNTIF(T35:U35,"כן")+COUNTIF(T35:U35,"לא")),""))</f>
        <v/>
      </c>
      <c r="AL35" s="37">
        <f>IF($A35="","",IFERROR(COUNTIF(L35:U35,"כן")/(COUNTIF(L35:U35,"כן")+COUNTIF(L35:U35,"לא")),""))</f>
        <v/>
      </c>
      <c r="AM35" s="45">
        <f>IF($A35="","",IFERROR(AVERAGE(V35:W35),""))</f>
        <v/>
      </c>
      <c r="AN35" s="45">
        <f>IF($A35="","",IFERROR(AVERAGE(X35:Y35),""))</f>
        <v/>
      </c>
      <c r="AO35" s="45">
        <f>IF($A35="","",IFERROR(AVERAGE(Z35:AA35),""))</f>
        <v/>
      </c>
      <c r="AP35" s="45">
        <f>IF($A35="","",IFERROR(AVERAGE(AB35:AC35),""))</f>
        <v/>
      </c>
      <c r="AQ35" s="45">
        <f>IF($A35="","",IFERROR(AVERAGE(AD35),""))</f>
        <v/>
      </c>
      <c r="AR35" s="45">
        <f>IF($A35="","",IFERROR(AVERAGE(V35:AD35),""))</f>
        <v/>
      </c>
      <c r="AS35" s="36">
        <f>IF($A35="","",IF(AND(H35="",J35=""),"לא נבדק",IF(AND(OR(H35="",H35=I35),OR(J35="",J35=K35)),"תואם","לא תואם")))</f>
        <v/>
      </c>
      <c r="AT35" s="36">
        <f>IF($A35="","",IF(AND(AS35&lt;&gt;"לא תואם",G35&lt;&gt;"לא ברור"),"אמין","לפרש בזהירות"))</f>
        <v/>
      </c>
    </row>
    <row r="36">
      <c r="A36" s="38" t="n"/>
      <c r="B36" s="38" t="n"/>
      <c r="C36" s="38" t="n"/>
      <c r="D36" s="38" t="n"/>
      <c r="E36" s="38" t="n"/>
      <c r="F36" s="38" t="n"/>
      <c r="G36" s="38" t="n"/>
      <c r="H36" s="38" t="n"/>
      <c r="I36" s="38" t="n"/>
      <c r="J36" s="38" t="n"/>
      <c r="K36" s="38" t="n"/>
      <c r="L36" s="38" t="n"/>
      <c r="M36" s="38" t="n"/>
      <c r="N36" s="38" t="n"/>
      <c r="O36" s="38" t="n"/>
      <c r="P36" s="38" t="n"/>
      <c r="Q36" s="38" t="n"/>
      <c r="R36" s="38" t="n"/>
      <c r="S36" s="38" t="n"/>
      <c r="T36" s="38" t="n"/>
      <c r="U36" s="38" t="n"/>
      <c r="V36" s="38" t="n"/>
      <c r="W36" s="38" t="n"/>
      <c r="X36" s="38" t="n"/>
      <c r="Y36" s="38" t="n"/>
      <c r="Z36" s="38" t="n"/>
      <c r="AA36" s="38" t="n"/>
      <c r="AB36" s="38" t="n"/>
      <c r="AC36" s="38" t="n"/>
      <c r="AD36" s="38" t="n"/>
      <c r="AE36" s="38" t="n"/>
      <c r="AF36" s="36">
        <f>IF($A36="","",$A36&amp;"|"&amp;$C36)</f>
        <v/>
      </c>
      <c r="AG36" s="37">
        <f>IF($A36="","",IFERROR(COUNTIF(L36:M36,"כן")/(COUNTIF(L36:M36,"כן")+COUNTIF(L36:M36,"לא")),""))</f>
        <v/>
      </c>
      <c r="AH36" s="37">
        <f>IF($A36="","",IFERROR(COUNTIF(N36:O36,"כן")/(COUNTIF(N36:O36,"כן")+COUNTIF(N36:O36,"לא")),""))</f>
        <v/>
      </c>
      <c r="AI36" s="37">
        <f>IF($A36="","",IFERROR(COUNTIF(P36:Q36,"כן")/(COUNTIF(P36:Q36,"כן")+COUNTIF(P36:Q36,"לא")),""))</f>
        <v/>
      </c>
      <c r="AJ36" s="37">
        <f>IF($A36="","",IFERROR(COUNTIF(R36:S36,"כן")/(COUNTIF(R36:S36,"כן")+COUNTIF(R36:S36,"לא")),""))</f>
        <v/>
      </c>
      <c r="AK36" s="37">
        <f>IF($A36="","",IFERROR(COUNTIF(T36:U36,"כן")/(COUNTIF(T36:U36,"כן")+COUNTIF(T36:U36,"לא")),""))</f>
        <v/>
      </c>
      <c r="AL36" s="37">
        <f>IF($A36="","",IFERROR(COUNTIF(L36:U36,"כן")/(COUNTIF(L36:U36,"כן")+COUNTIF(L36:U36,"לא")),""))</f>
        <v/>
      </c>
      <c r="AM36" s="45">
        <f>IF($A36="","",IFERROR(AVERAGE(V36:W36),""))</f>
        <v/>
      </c>
      <c r="AN36" s="45">
        <f>IF($A36="","",IFERROR(AVERAGE(X36:Y36),""))</f>
        <v/>
      </c>
      <c r="AO36" s="45">
        <f>IF($A36="","",IFERROR(AVERAGE(Z36:AA36),""))</f>
        <v/>
      </c>
      <c r="AP36" s="45">
        <f>IF($A36="","",IFERROR(AVERAGE(AB36:AC36),""))</f>
        <v/>
      </c>
      <c r="AQ36" s="45">
        <f>IF($A36="","",IFERROR(AVERAGE(AD36),""))</f>
        <v/>
      </c>
      <c r="AR36" s="45">
        <f>IF($A36="","",IFERROR(AVERAGE(V36:AD36),""))</f>
        <v/>
      </c>
      <c r="AS36" s="36">
        <f>IF($A36="","",IF(AND(H36="",J36=""),"לא נבדק",IF(AND(OR(H36="",H36=I36),OR(J36="",J36=K36)),"תואם","לא תואם")))</f>
        <v/>
      </c>
      <c r="AT36" s="36">
        <f>IF($A36="","",IF(AND(AS36&lt;&gt;"לא תואם",G36&lt;&gt;"לא ברור"),"אמין","לפרש בזהירות"))</f>
        <v/>
      </c>
    </row>
    <row r="37">
      <c r="A37" s="38" t="n"/>
      <c r="B37" s="38" t="n"/>
      <c r="C37" s="38" t="n"/>
      <c r="D37" s="38" t="n"/>
      <c r="E37" s="38" t="n"/>
      <c r="F37" s="38" t="n"/>
      <c r="G37" s="38" t="n"/>
      <c r="H37" s="38" t="n"/>
      <c r="I37" s="38" t="n"/>
      <c r="J37" s="38" t="n"/>
      <c r="K37" s="38" t="n"/>
      <c r="L37" s="38" t="n"/>
      <c r="M37" s="38" t="n"/>
      <c r="N37" s="38" t="n"/>
      <c r="O37" s="38" t="n"/>
      <c r="P37" s="38" t="n"/>
      <c r="Q37" s="38" t="n"/>
      <c r="R37" s="38" t="n"/>
      <c r="S37" s="38" t="n"/>
      <c r="T37" s="38" t="n"/>
      <c r="U37" s="38" t="n"/>
      <c r="V37" s="38" t="n"/>
      <c r="W37" s="38" t="n"/>
      <c r="X37" s="38" t="n"/>
      <c r="Y37" s="38" t="n"/>
      <c r="Z37" s="38" t="n"/>
      <c r="AA37" s="38" t="n"/>
      <c r="AB37" s="38" t="n"/>
      <c r="AC37" s="38" t="n"/>
      <c r="AD37" s="38" t="n"/>
      <c r="AE37" s="38" t="n"/>
      <c r="AF37" s="36">
        <f>IF($A37="","",$A37&amp;"|"&amp;$C37)</f>
        <v/>
      </c>
      <c r="AG37" s="37">
        <f>IF($A37="","",IFERROR(COUNTIF(L37:M37,"כן")/(COUNTIF(L37:M37,"כן")+COUNTIF(L37:M37,"לא")),""))</f>
        <v/>
      </c>
      <c r="AH37" s="37">
        <f>IF($A37="","",IFERROR(COUNTIF(N37:O37,"כן")/(COUNTIF(N37:O37,"כן")+COUNTIF(N37:O37,"לא")),""))</f>
        <v/>
      </c>
      <c r="AI37" s="37">
        <f>IF($A37="","",IFERROR(COUNTIF(P37:Q37,"כן")/(COUNTIF(P37:Q37,"כן")+COUNTIF(P37:Q37,"לא")),""))</f>
        <v/>
      </c>
      <c r="AJ37" s="37">
        <f>IF($A37="","",IFERROR(COUNTIF(R37:S37,"כן")/(COUNTIF(R37:S37,"כן")+COUNTIF(R37:S37,"לא")),""))</f>
        <v/>
      </c>
      <c r="AK37" s="37">
        <f>IF($A37="","",IFERROR(COUNTIF(T37:U37,"כן")/(COUNTIF(T37:U37,"כן")+COUNTIF(T37:U37,"לא")),""))</f>
        <v/>
      </c>
      <c r="AL37" s="37">
        <f>IF($A37="","",IFERROR(COUNTIF(L37:U37,"כן")/(COUNTIF(L37:U37,"כן")+COUNTIF(L37:U37,"לא")),""))</f>
        <v/>
      </c>
      <c r="AM37" s="45">
        <f>IF($A37="","",IFERROR(AVERAGE(V37:W37),""))</f>
        <v/>
      </c>
      <c r="AN37" s="45">
        <f>IF($A37="","",IFERROR(AVERAGE(X37:Y37),""))</f>
        <v/>
      </c>
      <c r="AO37" s="45">
        <f>IF($A37="","",IFERROR(AVERAGE(Z37:AA37),""))</f>
        <v/>
      </c>
      <c r="AP37" s="45">
        <f>IF($A37="","",IFERROR(AVERAGE(AB37:AC37),""))</f>
        <v/>
      </c>
      <c r="AQ37" s="45">
        <f>IF($A37="","",IFERROR(AVERAGE(AD37),""))</f>
        <v/>
      </c>
      <c r="AR37" s="45">
        <f>IF($A37="","",IFERROR(AVERAGE(V37:AD37),""))</f>
        <v/>
      </c>
      <c r="AS37" s="36">
        <f>IF($A37="","",IF(AND(H37="",J37=""),"לא נבדק",IF(AND(OR(H37="",H37=I37),OR(J37="",J37=K37)),"תואם","לא תואם")))</f>
        <v/>
      </c>
      <c r="AT37" s="36">
        <f>IF($A37="","",IF(AND(AS37&lt;&gt;"לא תואם",G37&lt;&gt;"לא ברור"),"אמין","לפרש בזהירות"))</f>
        <v/>
      </c>
    </row>
    <row r="38">
      <c r="A38" s="38" t="n"/>
      <c r="B38" s="38" t="n"/>
      <c r="C38" s="38" t="n"/>
      <c r="D38" s="38" t="n"/>
      <c r="E38" s="38" t="n"/>
      <c r="F38" s="38" t="n"/>
      <c r="G38" s="38" t="n"/>
      <c r="H38" s="38" t="n"/>
      <c r="I38" s="38" t="n"/>
      <c r="J38" s="38" t="n"/>
      <c r="K38" s="38" t="n"/>
      <c r="L38" s="38" t="n"/>
      <c r="M38" s="38" t="n"/>
      <c r="N38" s="38" t="n"/>
      <c r="O38" s="38" t="n"/>
      <c r="P38" s="38" t="n"/>
      <c r="Q38" s="38" t="n"/>
      <c r="R38" s="38" t="n"/>
      <c r="S38" s="38" t="n"/>
      <c r="T38" s="38" t="n"/>
      <c r="U38" s="38" t="n"/>
      <c r="V38" s="38" t="n"/>
      <c r="W38" s="38" t="n"/>
      <c r="X38" s="38" t="n"/>
      <c r="Y38" s="38" t="n"/>
      <c r="Z38" s="38" t="n"/>
      <c r="AA38" s="38" t="n"/>
      <c r="AB38" s="38" t="n"/>
      <c r="AC38" s="38" t="n"/>
      <c r="AD38" s="38" t="n"/>
      <c r="AE38" s="38" t="n"/>
      <c r="AF38" s="36">
        <f>IF($A38="","",$A38&amp;"|"&amp;$C38)</f>
        <v/>
      </c>
      <c r="AG38" s="37">
        <f>IF($A38="","",IFERROR(COUNTIF(L38:M38,"כן")/(COUNTIF(L38:M38,"כן")+COUNTIF(L38:M38,"לא")),""))</f>
        <v/>
      </c>
      <c r="AH38" s="37">
        <f>IF($A38="","",IFERROR(COUNTIF(N38:O38,"כן")/(COUNTIF(N38:O38,"כן")+COUNTIF(N38:O38,"לא")),""))</f>
        <v/>
      </c>
      <c r="AI38" s="37">
        <f>IF($A38="","",IFERROR(COUNTIF(P38:Q38,"כן")/(COUNTIF(P38:Q38,"כן")+COUNTIF(P38:Q38,"לא")),""))</f>
        <v/>
      </c>
      <c r="AJ38" s="37">
        <f>IF($A38="","",IFERROR(COUNTIF(R38:S38,"כן")/(COUNTIF(R38:S38,"כן")+COUNTIF(R38:S38,"לא")),""))</f>
        <v/>
      </c>
      <c r="AK38" s="37">
        <f>IF($A38="","",IFERROR(COUNTIF(T38:U38,"כן")/(COUNTIF(T38:U38,"כן")+COUNTIF(T38:U38,"לא")),""))</f>
        <v/>
      </c>
      <c r="AL38" s="37">
        <f>IF($A38="","",IFERROR(COUNTIF(L38:U38,"כן")/(COUNTIF(L38:U38,"כן")+COUNTIF(L38:U38,"לא")),""))</f>
        <v/>
      </c>
      <c r="AM38" s="45">
        <f>IF($A38="","",IFERROR(AVERAGE(V38:W38),""))</f>
        <v/>
      </c>
      <c r="AN38" s="45">
        <f>IF($A38="","",IFERROR(AVERAGE(X38:Y38),""))</f>
        <v/>
      </c>
      <c r="AO38" s="45">
        <f>IF($A38="","",IFERROR(AVERAGE(Z38:AA38),""))</f>
        <v/>
      </c>
      <c r="AP38" s="45">
        <f>IF($A38="","",IFERROR(AVERAGE(AB38:AC38),""))</f>
        <v/>
      </c>
      <c r="AQ38" s="45">
        <f>IF($A38="","",IFERROR(AVERAGE(AD38),""))</f>
        <v/>
      </c>
      <c r="AR38" s="45">
        <f>IF($A38="","",IFERROR(AVERAGE(V38:AD38),""))</f>
        <v/>
      </c>
      <c r="AS38" s="36">
        <f>IF($A38="","",IF(AND(H38="",J38=""),"לא נבדק",IF(AND(OR(H38="",H38=I38),OR(J38="",J38=K38)),"תואם","לא תואם")))</f>
        <v/>
      </c>
      <c r="AT38" s="36">
        <f>IF($A38="","",IF(AND(AS38&lt;&gt;"לא תואם",G38&lt;&gt;"לא ברור"),"אמין","לפרש בזהירות"))</f>
        <v/>
      </c>
    </row>
    <row r="39">
      <c r="A39" s="38" t="n"/>
      <c r="B39" s="38" t="n"/>
      <c r="C39" s="38" t="n"/>
      <c r="D39" s="38" t="n"/>
      <c r="E39" s="38" t="n"/>
      <c r="F39" s="38" t="n"/>
      <c r="G39" s="38" t="n"/>
      <c r="H39" s="38" t="n"/>
      <c r="I39" s="38" t="n"/>
      <c r="J39" s="38" t="n"/>
      <c r="K39" s="38" t="n"/>
      <c r="L39" s="38" t="n"/>
      <c r="M39" s="38" t="n"/>
      <c r="N39" s="38" t="n"/>
      <c r="O39" s="38" t="n"/>
      <c r="P39" s="38" t="n"/>
      <c r="Q39" s="38" t="n"/>
      <c r="R39" s="38" t="n"/>
      <c r="S39" s="38" t="n"/>
      <c r="T39" s="38" t="n"/>
      <c r="U39" s="38" t="n"/>
      <c r="V39" s="38" t="n"/>
      <c r="W39" s="38" t="n"/>
      <c r="X39" s="38" t="n"/>
      <c r="Y39" s="38" t="n"/>
      <c r="Z39" s="38" t="n"/>
      <c r="AA39" s="38" t="n"/>
      <c r="AB39" s="38" t="n"/>
      <c r="AC39" s="38" t="n"/>
      <c r="AD39" s="38" t="n"/>
      <c r="AE39" s="38" t="n"/>
      <c r="AF39" s="36">
        <f>IF($A39="","",$A39&amp;"|"&amp;$C39)</f>
        <v/>
      </c>
      <c r="AG39" s="37">
        <f>IF($A39="","",IFERROR(COUNTIF(L39:M39,"כן")/(COUNTIF(L39:M39,"כן")+COUNTIF(L39:M39,"לא")),""))</f>
        <v/>
      </c>
      <c r="AH39" s="37">
        <f>IF($A39="","",IFERROR(COUNTIF(N39:O39,"כן")/(COUNTIF(N39:O39,"כן")+COUNTIF(N39:O39,"לא")),""))</f>
        <v/>
      </c>
      <c r="AI39" s="37">
        <f>IF($A39="","",IFERROR(COUNTIF(P39:Q39,"כן")/(COUNTIF(P39:Q39,"כן")+COUNTIF(P39:Q39,"לא")),""))</f>
        <v/>
      </c>
      <c r="AJ39" s="37">
        <f>IF($A39="","",IFERROR(COUNTIF(R39:S39,"כן")/(COUNTIF(R39:S39,"כן")+COUNTIF(R39:S39,"לא")),""))</f>
        <v/>
      </c>
      <c r="AK39" s="37">
        <f>IF($A39="","",IFERROR(COUNTIF(T39:U39,"כן")/(COUNTIF(T39:U39,"כן")+COUNTIF(T39:U39,"לא")),""))</f>
        <v/>
      </c>
      <c r="AL39" s="37">
        <f>IF($A39="","",IFERROR(COUNTIF(L39:U39,"כן")/(COUNTIF(L39:U39,"כן")+COUNTIF(L39:U39,"לא")),""))</f>
        <v/>
      </c>
      <c r="AM39" s="45">
        <f>IF($A39="","",IFERROR(AVERAGE(V39:W39),""))</f>
        <v/>
      </c>
      <c r="AN39" s="45">
        <f>IF($A39="","",IFERROR(AVERAGE(X39:Y39),""))</f>
        <v/>
      </c>
      <c r="AO39" s="45">
        <f>IF($A39="","",IFERROR(AVERAGE(Z39:AA39),""))</f>
        <v/>
      </c>
      <c r="AP39" s="45">
        <f>IF($A39="","",IFERROR(AVERAGE(AB39:AC39),""))</f>
        <v/>
      </c>
      <c r="AQ39" s="45">
        <f>IF($A39="","",IFERROR(AVERAGE(AD39),""))</f>
        <v/>
      </c>
      <c r="AR39" s="45">
        <f>IF($A39="","",IFERROR(AVERAGE(V39:AD39),""))</f>
        <v/>
      </c>
      <c r="AS39" s="36">
        <f>IF($A39="","",IF(AND(H39="",J39=""),"לא נבדק",IF(AND(OR(H39="",H39=I39),OR(J39="",J39=K39)),"תואם","לא תואם")))</f>
        <v/>
      </c>
      <c r="AT39" s="36">
        <f>IF($A39="","",IF(AND(AS39&lt;&gt;"לא תואם",G39&lt;&gt;"לא ברור"),"אמין","לפרש בזהירות"))</f>
        <v/>
      </c>
    </row>
    <row r="40">
      <c r="A40" s="38" t="n"/>
      <c r="B40" s="38" t="n"/>
      <c r="C40" s="38" t="n"/>
      <c r="D40" s="38" t="n"/>
      <c r="E40" s="38" t="n"/>
      <c r="F40" s="38" t="n"/>
      <c r="G40" s="38" t="n"/>
      <c r="H40" s="38" t="n"/>
      <c r="I40" s="38" t="n"/>
      <c r="J40" s="38" t="n"/>
      <c r="K40" s="38" t="n"/>
      <c r="L40" s="38" t="n"/>
      <c r="M40" s="38" t="n"/>
      <c r="N40" s="38" t="n"/>
      <c r="O40" s="38" t="n"/>
      <c r="P40" s="38" t="n"/>
      <c r="Q40" s="38" t="n"/>
      <c r="R40" s="38" t="n"/>
      <c r="S40" s="38" t="n"/>
      <c r="T40" s="38" t="n"/>
      <c r="U40" s="38" t="n"/>
      <c r="V40" s="38" t="n"/>
      <c r="W40" s="38" t="n"/>
      <c r="X40" s="38" t="n"/>
      <c r="Y40" s="38" t="n"/>
      <c r="Z40" s="38" t="n"/>
      <c r="AA40" s="38" t="n"/>
      <c r="AB40" s="38" t="n"/>
      <c r="AC40" s="38" t="n"/>
      <c r="AD40" s="38" t="n"/>
      <c r="AE40" s="38" t="n"/>
      <c r="AF40" s="36">
        <f>IF($A40="","",$A40&amp;"|"&amp;$C40)</f>
        <v/>
      </c>
      <c r="AG40" s="37">
        <f>IF($A40="","",IFERROR(COUNTIF(L40:M40,"כן")/(COUNTIF(L40:M40,"כן")+COUNTIF(L40:M40,"לא")),""))</f>
        <v/>
      </c>
      <c r="AH40" s="37">
        <f>IF($A40="","",IFERROR(COUNTIF(N40:O40,"כן")/(COUNTIF(N40:O40,"כן")+COUNTIF(N40:O40,"לא")),""))</f>
        <v/>
      </c>
      <c r="AI40" s="37">
        <f>IF($A40="","",IFERROR(COUNTIF(P40:Q40,"כן")/(COUNTIF(P40:Q40,"כן")+COUNTIF(P40:Q40,"לא")),""))</f>
        <v/>
      </c>
      <c r="AJ40" s="37">
        <f>IF($A40="","",IFERROR(COUNTIF(R40:S40,"כן")/(COUNTIF(R40:S40,"כן")+COUNTIF(R40:S40,"לא")),""))</f>
        <v/>
      </c>
      <c r="AK40" s="37">
        <f>IF($A40="","",IFERROR(COUNTIF(T40:U40,"כן")/(COUNTIF(T40:U40,"כן")+COUNTIF(T40:U40,"לא")),""))</f>
        <v/>
      </c>
      <c r="AL40" s="37">
        <f>IF($A40="","",IFERROR(COUNTIF(L40:U40,"כן")/(COUNTIF(L40:U40,"כן")+COUNTIF(L40:U40,"לא")),""))</f>
        <v/>
      </c>
      <c r="AM40" s="45">
        <f>IF($A40="","",IFERROR(AVERAGE(V40:W40),""))</f>
        <v/>
      </c>
      <c r="AN40" s="45">
        <f>IF($A40="","",IFERROR(AVERAGE(X40:Y40),""))</f>
        <v/>
      </c>
      <c r="AO40" s="45">
        <f>IF($A40="","",IFERROR(AVERAGE(Z40:AA40),""))</f>
        <v/>
      </c>
      <c r="AP40" s="45">
        <f>IF($A40="","",IFERROR(AVERAGE(AB40:AC40),""))</f>
        <v/>
      </c>
      <c r="AQ40" s="45">
        <f>IF($A40="","",IFERROR(AVERAGE(AD40),""))</f>
        <v/>
      </c>
      <c r="AR40" s="45">
        <f>IF($A40="","",IFERROR(AVERAGE(V40:AD40),""))</f>
        <v/>
      </c>
      <c r="AS40" s="36">
        <f>IF($A40="","",IF(AND(H40="",J40=""),"לא נבדק",IF(AND(OR(H40="",H40=I40),OR(J40="",J40=K40)),"תואם","לא תואם")))</f>
        <v/>
      </c>
      <c r="AT40" s="36">
        <f>IF($A40="","",IF(AND(AS40&lt;&gt;"לא תואם",G40&lt;&gt;"לא ברור"),"אמין","לפרש בזהירות"))</f>
        <v/>
      </c>
    </row>
    <row r="41">
      <c r="A41" s="38" t="n"/>
      <c r="B41" s="38" t="n"/>
      <c r="C41" s="38" t="n"/>
      <c r="D41" s="38" t="n"/>
      <c r="E41" s="38" t="n"/>
      <c r="F41" s="38" t="n"/>
      <c r="G41" s="38" t="n"/>
      <c r="H41" s="38" t="n"/>
      <c r="I41" s="38" t="n"/>
      <c r="J41" s="38" t="n"/>
      <c r="K41" s="38" t="n"/>
      <c r="L41" s="38" t="n"/>
      <c r="M41" s="38" t="n"/>
      <c r="N41" s="38" t="n"/>
      <c r="O41" s="38" t="n"/>
      <c r="P41" s="38" t="n"/>
      <c r="Q41" s="38" t="n"/>
      <c r="R41" s="38" t="n"/>
      <c r="S41" s="38" t="n"/>
      <c r="T41" s="38" t="n"/>
      <c r="U41" s="38" t="n"/>
      <c r="V41" s="38" t="n"/>
      <c r="W41" s="38" t="n"/>
      <c r="X41" s="38" t="n"/>
      <c r="Y41" s="38" t="n"/>
      <c r="Z41" s="38" t="n"/>
      <c r="AA41" s="38" t="n"/>
      <c r="AB41" s="38" t="n"/>
      <c r="AC41" s="38" t="n"/>
      <c r="AD41" s="38" t="n"/>
      <c r="AE41" s="38" t="n"/>
      <c r="AF41" s="36">
        <f>IF($A41="","",$A41&amp;"|"&amp;$C41)</f>
        <v/>
      </c>
      <c r="AG41" s="37">
        <f>IF($A41="","",IFERROR(COUNTIF(L41:M41,"כן")/(COUNTIF(L41:M41,"כן")+COUNTIF(L41:M41,"לא")),""))</f>
        <v/>
      </c>
      <c r="AH41" s="37">
        <f>IF($A41="","",IFERROR(COUNTIF(N41:O41,"כן")/(COUNTIF(N41:O41,"כן")+COUNTIF(N41:O41,"לא")),""))</f>
        <v/>
      </c>
      <c r="AI41" s="37">
        <f>IF($A41="","",IFERROR(COUNTIF(P41:Q41,"כן")/(COUNTIF(P41:Q41,"כן")+COUNTIF(P41:Q41,"לא")),""))</f>
        <v/>
      </c>
      <c r="AJ41" s="37">
        <f>IF($A41="","",IFERROR(COUNTIF(R41:S41,"כן")/(COUNTIF(R41:S41,"כן")+COUNTIF(R41:S41,"לא")),""))</f>
        <v/>
      </c>
      <c r="AK41" s="37">
        <f>IF($A41="","",IFERROR(COUNTIF(T41:U41,"כן")/(COUNTIF(T41:U41,"כן")+COUNTIF(T41:U41,"לא")),""))</f>
        <v/>
      </c>
      <c r="AL41" s="37">
        <f>IF($A41="","",IFERROR(COUNTIF(L41:U41,"כן")/(COUNTIF(L41:U41,"כן")+COUNTIF(L41:U41,"לא")),""))</f>
        <v/>
      </c>
      <c r="AM41" s="45">
        <f>IF($A41="","",IFERROR(AVERAGE(V41:W41),""))</f>
        <v/>
      </c>
      <c r="AN41" s="45">
        <f>IF($A41="","",IFERROR(AVERAGE(X41:Y41),""))</f>
        <v/>
      </c>
      <c r="AO41" s="45">
        <f>IF($A41="","",IFERROR(AVERAGE(Z41:AA41),""))</f>
        <v/>
      </c>
      <c r="AP41" s="45">
        <f>IF($A41="","",IFERROR(AVERAGE(AB41:AC41),""))</f>
        <v/>
      </c>
      <c r="AQ41" s="45">
        <f>IF($A41="","",IFERROR(AVERAGE(AD41),""))</f>
        <v/>
      </c>
      <c r="AR41" s="45">
        <f>IF($A41="","",IFERROR(AVERAGE(V41:AD41),""))</f>
        <v/>
      </c>
      <c r="AS41" s="36">
        <f>IF($A41="","",IF(AND(H41="",J41=""),"לא נבדק",IF(AND(OR(H41="",H41=I41),OR(J41="",J41=K41)),"תואם","לא תואם")))</f>
        <v/>
      </c>
      <c r="AT41" s="36">
        <f>IF($A41="","",IF(AND(AS41&lt;&gt;"לא תואם",G41&lt;&gt;"לא ברור"),"אמין","לפרש בזהירות"))</f>
        <v/>
      </c>
    </row>
    <row r="42">
      <c r="A42" s="38" t="n"/>
      <c r="B42" s="38" t="n"/>
      <c r="C42" s="38" t="n"/>
      <c r="D42" s="38" t="n"/>
      <c r="E42" s="38" t="n"/>
      <c r="F42" s="38" t="n"/>
      <c r="G42" s="38" t="n"/>
      <c r="H42" s="38" t="n"/>
      <c r="I42" s="38" t="n"/>
      <c r="J42" s="38" t="n"/>
      <c r="K42" s="38" t="n"/>
      <c r="L42" s="38" t="n"/>
      <c r="M42" s="38" t="n"/>
      <c r="N42" s="38" t="n"/>
      <c r="O42" s="38" t="n"/>
      <c r="P42" s="38" t="n"/>
      <c r="Q42" s="38" t="n"/>
      <c r="R42" s="38" t="n"/>
      <c r="S42" s="38" t="n"/>
      <c r="T42" s="38" t="n"/>
      <c r="U42" s="38" t="n"/>
      <c r="V42" s="38" t="n"/>
      <c r="W42" s="38" t="n"/>
      <c r="X42" s="38" t="n"/>
      <c r="Y42" s="38" t="n"/>
      <c r="Z42" s="38" t="n"/>
      <c r="AA42" s="38" t="n"/>
      <c r="AB42" s="38" t="n"/>
      <c r="AC42" s="38" t="n"/>
      <c r="AD42" s="38" t="n"/>
      <c r="AE42" s="38" t="n"/>
      <c r="AF42" s="36">
        <f>IF($A42="","",$A42&amp;"|"&amp;$C42)</f>
        <v/>
      </c>
      <c r="AG42" s="37">
        <f>IF($A42="","",IFERROR(COUNTIF(L42:M42,"כן")/(COUNTIF(L42:M42,"כן")+COUNTIF(L42:M42,"לא")),""))</f>
        <v/>
      </c>
      <c r="AH42" s="37">
        <f>IF($A42="","",IFERROR(COUNTIF(N42:O42,"כן")/(COUNTIF(N42:O42,"כן")+COUNTIF(N42:O42,"לא")),""))</f>
        <v/>
      </c>
      <c r="AI42" s="37">
        <f>IF($A42="","",IFERROR(COUNTIF(P42:Q42,"כן")/(COUNTIF(P42:Q42,"כן")+COUNTIF(P42:Q42,"לא")),""))</f>
        <v/>
      </c>
      <c r="AJ42" s="37">
        <f>IF($A42="","",IFERROR(COUNTIF(R42:S42,"כן")/(COUNTIF(R42:S42,"כן")+COUNTIF(R42:S42,"לא")),""))</f>
        <v/>
      </c>
      <c r="AK42" s="37">
        <f>IF($A42="","",IFERROR(COUNTIF(T42:U42,"כן")/(COUNTIF(T42:U42,"כן")+COUNTIF(T42:U42,"לא")),""))</f>
        <v/>
      </c>
      <c r="AL42" s="37">
        <f>IF($A42="","",IFERROR(COUNTIF(L42:U42,"כן")/(COUNTIF(L42:U42,"כן")+COUNTIF(L42:U42,"לא")),""))</f>
        <v/>
      </c>
      <c r="AM42" s="45">
        <f>IF($A42="","",IFERROR(AVERAGE(V42:W42),""))</f>
        <v/>
      </c>
      <c r="AN42" s="45">
        <f>IF($A42="","",IFERROR(AVERAGE(X42:Y42),""))</f>
        <v/>
      </c>
      <c r="AO42" s="45">
        <f>IF($A42="","",IFERROR(AVERAGE(Z42:AA42),""))</f>
        <v/>
      </c>
      <c r="AP42" s="45">
        <f>IF($A42="","",IFERROR(AVERAGE(AB42:AC42),""))</f>
        <v/>
      </c>
      <c r="AQ42" s="45">
        <f>IF($A42="","",IFERROR(AVERAGE(AD42),""))</f>
        <v/>
      </c>
      <c r="AR42" s="45">
        <f>IF($A42="","",IFERROR(AVERAGE(V42:AD42),""))</f>
        <v/>
      </c>
      <c r="AS42" s="36">
        <f>IF($A42="","",IF(AND(H42="",J42=""),"לא נבדק",IF(AND(OR(H42="",H42=I42),OR(J42="",J42=K42)),"תואם","לא תואם")))</f>
        <v/>
      </c>
      <c r="AT42" s="36">
        <f>IF($A42="","",IF(AND(AS42&lt;&gt;"לא תואם",G42&lt;&gt;"לא ברור"),"אמין","לפרש בזהירות"))</f>
        <v/>
      </c>
    </row>
    <row r="43">
      <c r="A43" s="38" t="n"/>
      <c r="B43" s="38" t="n"/>
      <c r="C43" s="38" t="n"/>
      <c r="D43" s="38" t="n"/>
      <c r="E43" s="38" t="n"/>
      <c r="F43" s="38" t="n"/>
      <c r="G43" s="38" t="n"/>
      <c r="H43" s="38" t="n"/>
      <c r="I43" s="38" t="n"/>
      <c r="J43" s="38" t="n"/>
      <c r="K43" s="38" t="n"/>
      <c r="L43" s="38" t="n"/>
      <c r="M43" s="38" t="n"/>
      <c r="N43" s="38" t="n"/>
      <c r="O43" s="38" t="n"/>
      <c r="P43" s="38" t="n"/>
      <c r="Q43" s="38" t="n"/>
      <c r="R43" s="38" t="n"/>
      <c r="S43" s="38" t="n"/>
      <c r="T43" s="38" t="n"/>
      <c r="U43" s="38" t="n"/>
      <c r="V43" s="38" t="n"/>
      <c r="W43" s="38" t="n"/>
      <c r="X43" s="38" t="n"/>
      <c r="Y43" s="38" t="n"/>
      <c r="Z43" s="38" t="n"/>
      <c r="AA43" s="38" t="n"/>
      <c r="AB43" s="38" t="n"/>
      <c r="AC43" s="38" t="n"/>
      <c r="AD43" s="38" t="n"/>
      <c r="AE43" s="38" t="n"/>
      <c r="AF43" s="36">
        <f>IF($A43="","",$A43&amp;"|"&amp;$C43)</f>
        <v/>
      </c>
      <c r="AG43" s="37">
        <f>IF($A43="","",IFERROR(COUNTIF(L43:M43,"כן")/(COUNTIF(L43:M43,"כן")+COUNTIF(L43:M43,"לא")),""))</f>
        <v/>
      </c>
      <c r="AH43" s="37">
        <f>IF($A43="","",IFERROR(COUNTIF(N43:O43,"כן")/(COUNTIF(N43:O43,"כן")+COUNTIF(N43:O43,"לא")),""))</f>
        <v/>
      </c>
      <c r="AI43" s="37">
        <f>IF($A43="","",IFERROR(COUNTIF(P43:Q43,"כן")/(COUNTIF(P43:Q43,"כן")+COUNTIF(P43:Q43,"לא")),""))</f>
        <v/>
      </c>
      <c r="AJ43" s="37">
        <f>IF($A43="","",IFERROR(COUNTIF(R43:S43,"כן")/(COUNTIF(R43:S43,"כן")+COUNTIF(R43:S43,"לא")),""))</f>
        <v/>
      </c>
      <c r="AK43" s="37">
        <f>IF($A43="","",IFERROR(COUNTIF(T43:U43,"כן")/(COUNTIF(T43:U43,"כן")+COUNTIF(T43:U43,"לא")),""))</f>
        <v/>
      </c>
      <c r="AL43" s="37">
        <f>IF($A43="","",IFERROR(COUNTIF(L43:U43,"כן")/(COUNTIF(L43:U43,"כן")+COUNTIF(L43:U43,"לא")),""))</f>
        <v/>
      </c>
      <c r="AM43" s="45">
        <f>IF($A43="","",IFERROR(AVERAGE(V43:W43),""))</f>
        <v/>
      </c>
      <c r="AN43" s="45">
        <f>IF($A43="","",IFERROR(AVERAGE(X43:Y43),""))</f>
        <v/>
      </c>
      <c r="AO43" s="45">
        <f>IF($A43="","",IFERROR(AVERAGE(Z43:AA43),""))</f>
        <v/>
      </c>
      <c r="AP43" s="45">
        <f>IF($A43="","",IFERROR(AVERAGE(AB43:AC43),""))</f>
        <v/>
      </c>
      <c r="AQ43" s="45">
        <f>IF($A43="","",IFERROR(AVERAGE(AD43),""))</f>
        <v/>
      </c>
      <c r="AR43" s="45">
        <f>IF($A43="","",IFERROR(AVERAGE(V43:AD43),""))</f>
        <v/>
      </c>
      <c r="AS43" s="36">
        <f>IF($A43="","",IF(AND(H43="",J43=""),"לא נבדק",IF(AND(OR(H43="",H43=I43),OR(J43="",J43=K43)),"תואם","לא תואם")))</f>
        <v/>
      </c>
      <c r="AT43" s="36">
        <f>IF($A43="","",IF(AND(AS43&lt;&gt;"לא תואם",G43&lt;&gt;"לא ברור"),"אמין","לפרש בזהירות"))</f>
        <v/>
      </c>
    </row>
    <row r="44">
      <c r="A44" s="38" t="n"/>
      <c r="B44" s="38" t="n"/>
      <c r="C44" s="38" t="n"/>
      <c r="D44" s="38" t="n"/>
      <c r="E44" s="38" t="n"/>
      <c r="F44" s="38" t="n"/>
      <c r="G44" s="38" t="n"/>
      <c r="H44" s="38" t="n"/>
      <c r="I44" s="38" t="n"/>
      <c r="J44" s="38" t="n"/>
      <c r="K44" s="38" t="n"/>
      <c r="L44" s="38" t="n"/>
      <c r="M44" s="38" t="n"/>
      <c r="N44" s="38" t="n"/>
      <c r="O44" s="38" t="n"/>
      <c r="P44" s="38" t="n"/>
      <c r="Q44" s="38" t="n"/>
      <c r="R44" s="38" t="n"/>
      <c r="S44" s="38" t="n"/>
      <c r="T44" s="38" t="n"/>
      <c r="U44" s="38" t="n"/>
      <c r="V44" s="38" t="n"/>
      <c r="W44" s="38" t="n"/>
      <c r="X44" s="38" t="n"/>
      <c r="Y44" s="38" t="n"/>
      <c r="Z44" s="38" t="n"/>
      <c r="AA44" s="38" t="n"/>
      <c r="AB44" s="38" t="n"/>
      <c r="AC44" s="38" t="n"/>
      <c r="AD44" s="38" t="n"/>
      <c r="AE44" s="38" t="n"/>
      <c r="AF44" s="36">
        <f>IF($A44="","",$A44&amp;"|"&amp;$C44)</f>
        <v/>
      </c>
      <c r="AG44" s="37">
        <f>IF($A44="","",IFERROR(COUNTIF(L44:M44,"כן")/(COUNTIF(L44:M44,"כן")+COUNTIF(L44:M44,"לא")),""))</f>
        <v/>
      </c>
      <c r="AH44" s="37">
        <f>IF($A44="","",IFERROR(COUNTIF(N44:O44,"כן")/(COUNTIF(N44:O44,"כן")+COUNTIF(N44:O44,"לא")),""))</f>
        <v/>
      </c>
      <c r="AI44" s="37">
        <f>IF($A44="","",IFERROR(COUNTIF(P44:Q44,"כן")/(COUNTIF(P44:Q44,"כן")+COUNTIF(P44:Q44,"לא")),""))</f>
        <v/>
      </c>
      <c r="AJ44" s="37">
        <f>IF($A44="","",IFERROR(COUNTIF(R44:S44,"כן")/(COUNTIF(R44:S44,"כן")+COUNTIF(R44:S44,"לא")),""))</f>
        <v/>
      </c>
      <c r="AK44" s="37">
        <f>IF($A44="","",IFERROR(COUNTIF(T44:U44,"כן")/(COUNTIF(T44:U44,"כן")+COUNTIF(T44:U44,"לא")),""))</f>
        <v/>
      </c>
      <c r="AL44" s="37">
        <f>IF($A44="","",IFERROR(COUNTIF(L44:U44,"כן")/(COUNTIF(L44:U44,"כן")+COUNTIF(L44:U44,"לא")),""))</f>
        <v/>
      </c>
      <c r="AM44" s="45">
        <f>IF($A44="","",IFERROR(AVERAGE(V44:W44),""))</f>
        <v/>
      </c>
      <c r="AN44" s="45">
        <f>IF($A44="","",IFERROR(AVERAGE(X44:Y44),""))</f>
        <v/>
      </c>
      <c r="AO44" s="45">
        <f>IF($A44="","",IFERROR(AVERAGE(Z44:AA44),""))</f>
        <v/>
      </c>
      <c r="AP44" s="45">
        <f>IF($A44="","",IFERROR(AVERAGE(AB44:AC44),""))</f>
        <v/>
      </c>
      <c r="AQ44" s="45">
        <f>IF($A44="","",IFERROR(AVERAGE(AD44),""))</f>
        <v/>
      </c>
      <c r="AR44" s="45">
        <f>IF($A44="","",IFERROR(AVERAGE(V44:AD44),""))</f>
        <v/>
      </c>
      <c r="AS44" s="36">
        <f>IF($A44="","",IF(AND(H44="",J44=""),"לא נבדק",IF(AND(OR(H44="",H44=I44),OR(J44="",J44=K44)),"תואם","לא תואם")))</f>
        <v/>
      </c>
      <c r="AT44" s="36">
        <f>IF($A44="","",IF(AND(AS44&lt;&gt;"לא תואם",G44&lt;&gt;"לא ברור"),"אמין","לפרש בזהירות"))</f>
        <v/>
      </c>
    </row>
    <row r="45">
      <c r="A45" s="38" t="n"/>
      <c r="B45" s="38" t="n"/>
      <c r="C45" s="38" t="n"/>
      <c r="D45" s="38" t="n"/>
      <c r="E45" s="38" t="n"/>
      <c r="F45" s="38" t="n"/>
      <c r="G45" s="38" t="n"/>
      <c r="H45" s="38" t="n"/>
      <c r="I45" s="38" t="n"/>
      <c r="J45" s="38" t="n"/>
      <c r="K45" s="38" t="n"/>
      <c r="L45" s="38" t="n"/>
      <c r="M45" s="38" t="n"/>
      <c r="N45" s="38" t="n"/>
      <c r="O45" s="38" t="n"/>
      <c r="P45" s="38" t="n"/>
      <c r="Q45" s="38" t="n"/>
      <c r="R45" s="38" t="n"/>
      <c r="S45" s="38" t="n"/>
      <c r="T45" s="38" t="n"/>
      <c r="U45" s="38" t="n"/>
      <c r="V45" s="38" t="n"/>
      <c r="W45" s="38" t="n"/>
      <c r="X45" s="38" t="n"/>
      <c r="Y45" s="38" t="n"/>
      <c r="Z45" s="38" t="n"/>
      <c r="AA45" s="38" t="n"/>
      <c r="AB45" s="38" t="n"/>
      <c r="AC45" s="38" t="n"/>
      <c r="AD45" s="38" t="n"/>
      <c r="AE45" s="38" t="n"/>
      <c r="AF45" s="36">
        <f>IF($A45="","",$A45&amp;"|"&amp;$C45)</f>
        <v/>
      </c>
      <c r="AG45" s="37">
        <f>IF($A45="","",IFERROR(COUNTIF(L45:M45,"כן")/(COUNTIF(L45:M45,"כן")+COUNTIF(L45:M45,"לא")),""))</f>
        <v/>
      </c>
      <c r="AH45" s="37">
        <f>IF($A45="","",IFERROR(COUNTIF(N45:O45,"כן")/(COUNTIF(N45:O45,"כן")+COUNTIF(N45:O45,"לא")),""))</f>
        <v/>
      </c>
      <c r="AI45" s="37">
        <f>IF($A45="","",IFERROR(COUNTIF(P45:Q45,"כן")/(COUNTIF(P45:Q45,"כן")+COUNTIF(P45:Q45,"לא")),""))</f>
        <v/>
      </c>
      <c r="AJ45" s="37">
        <f>IF($A45="","",IFERROR(COUNTIF(R45:S45,"כן")/(COUNTIF(R45:S45,"כן")+COUNTIF(R45:S45,"לא")),""))</f>
        <v/>
      </c>
      <c r="AK45" s="37">
        <f>IF($A45="","",IFERROR(COUNTIF(T45:U45,"כן")/(COUNTIF(T45:U45,"כן")+COUNTIF(T45:U45,"לא")),""))</f>
        <v/>
      </c>
      <c r="AL45" s="37">
        <f>IF($A45="","",IFERROR(COUNTIF(L45:U45,"כן")/(COUNTIF(L45:U45,"כן")+COUNTIF(L45:U45,"לא")),""))</f>
        <v/>
      </c>
      <c r="AM45" s="45">
        <f>IF($A45="","",IFERROR(AVERAGE(V45:W45),""))</f>
        <v/>
      </c>
      <c r="AN45" s="45">
        <f>IF($A45="","",IFERROR(AVERAGE(X45:Y45),""))</f>
        <v/>
      </c>
      <c r="AO45" s="45">
        <f>IF($A45="","",IFERROR(AVERAGE(Z45:AA45),""))</f>
        <v/>
      </c>
      <c r="AP45" s="45">
        <f>IF($A45="","",IFERROR(AVERAGE(AB45:AC45),""))</f>
        <v/>
      </c>
      <c r="AQ45" s="45">
        <f>IF($A45="","",IFERROR(AVERAGE(AD45),""))</f>
        <v/>
      </c>
      <c r="AR45" s="45">
        <f>IF($A45="","",IFERROR(AVERAGE(V45:AD45),""))</f>
        <v/>
      </c>
      <c r="AS45" s="36">
        <f>IF($A45="","",IF(AND(H45="",J45=""),"לא נבדק",IF(AND(OR(H45="",H45=I45),OR(J45="",J45=K45)),"תואם","לא תואם")))</f>
        <v/>
      </c>
      <c r="AT45" s="36">
        <f>IF($A45="","",IF(AND(AS45&lt;&gt;"לא תואם",G45&lt;&gt;"לא ברור"),"אמין","לפרש בזהירות"))</f>
        <v/>
      </c>
    </row>
    <row r="46">
      <c r="A46" s="38" t="n"/>
      <c r="B46" s="38" t="n"/>
      <c r="C46" s="38" t="n"/>
      <c r="D46" s="38" t="n"/>
      <c r="E46" s="38" t="n"/>
      <c r="F46" s="38" t="n"/>
      <c r="G46" s="38" t="n"/>
      <c r="H46" s="38" t="n"/>
      <c r="I46" s="38" t="n"/>
      <c r="J46" s="38" t="n"/>
      <c r="K46" s="38" t="n"/>
      <c r="L46" s="38" t="n"/>
      <c r="M46" s="38" t="n"/>
      <c r="N46" s="38" t="n"/>
      <c r="O46" s="38" t="n"/>
      <c r="P46" s="38" t="n"/>
      <c r="Q46" s="38" t="n"/>
      <c r="R46" s="38" t="n"/>
      <c r="S46" s="38" t="n"/>
      <c r="T46" s="38" t="n"/>
      <c r="U46" s="38" t="n"/>
      <c r="V46" s="38" t="n"/>
      <c r="W46" s="38" t="n"/>
      <c r="X46" s="38" t="n"/>
      <c r="Y46" s="38" t="n"/>
      <c r="Z46" s="38" t="n"/>
      <c r="AA46" s="38" t="n"/>
      <c r="AB46" s="38" t="n"/>
      <c r="AC46" s="38" t="n"/>
      <c r="AD46" s="38" t="n"/>
      <c r="AE46" s="38" t="n"/>
      <c r="AF46" s="36">
        <f>IF($A46="","",$A46&amp;"|"&amp;$C46)</f>
        <v/>
      </c>
      <c r="AG46" s="37">
        <f>IF($A46="","",IFERROR(COUNTIF(L46:M46,"כן")/(COUNTIF(L46:M46,"כן")+COUNTIF(L46:M46,"לא")),""))</f>
        <v/>
      </c>
      <c r="AH46" s="37">
        <f>IF($A46="","",IFERROR(COUNTIF(N46:O46,"כן")/(COUNTIF(N46:O46,"כן")+COUNTIF(N46:O46,"לא")),""))</f>
        <v/>
      </c>
      <c r="AI46" s="37">
        <f>IF($A46="","",IFERROR(COUNTIF(P46:Q46,"כן")/(COUNTIF(P46:Q46,"כן")+COUNTIF(P46:Q46,"לא")),""))</f>
        <v/>
      </c>
      <c r="AJ46" s="37">
        <f>IF($A46="","",IFERROR(COUNTIF(R46:S46,"כן")/(COUNTIF(R46:S46,"כן")+COUNTIF(R46:S46,"לא")),""))</f>
        <v/>
      </c>
      <c r="AK46" s="37">
        <f>IF($A46="","",IFERROR(COUNTIF(T46:U46,"כן")/(COUNTIF(T46:U46,"כן")+COUNTIF(T46:U46,"לא")),""))</f>
        <v/>
      </c>
      <c r="AL46" s="37">
        <f>IF($A46="","",IFERROR(COUNTIF(L46:U46,"כן")/(COUNTIF(L46:U46,"כן")+COUNTIF(L46:U46,"לא")),""))</f>
        <v/>
      </c>
      <c r="AM46" s="45">
        <f>IF($A46="","",IFERROR(AVERAGE(V46:W46),""))</f>
        <v/>
      </c>
      <c r="AN46" s="45">
        <f>IF($A46="","",IFERROR(AVERAGE(X46:Y46),""))</f>
        <v/>
      </c>
      <c r="AO46" s="45">
        <f>IF($A46="","",IFERROR(AVERAGE(Z46:AA46),""))</f>
        <v/>
      </c>
      <c r="AP46" s="45">
        <f>IF($A46="","",IFERROR(AVERAGE(AB46:AC46),""))</f>
        <v/>
      </c>
      <c r="AQ46" s="45">
        <f>IF($A46="","",IFERROR(AVERAGE(AD46),""))</f>
        <v/>
      </c>
      <c r="AR46" s="45">
        <f>IF($A46="","",IFERROR(AVERAGE(V46:AD46),""))</f>
        <v/>
      </c>
      <c r="AS46" s="36">
        <f>IF($A46="","",IF(AND(H46="",J46=""),"לא נבדק",IF(AND(OR(H46="",H46=I46),OR(J46="",J46=K46)),"תואם","לא תואם")))</f>
        <v/>
      </c>
      <c r="AT46" s="36">
        <f>IF($A46="","",IF(AND(AS46&lt;&gt;"לא תואם",G46&lt;&gt;"לא ברור"),"אמין","לפרש בזהירות"))</f>
        <v/>
      </c>
    </row>
    <row r="47">
      <c r="A47" s="38" t="n"/>
      <c r="B47" s="38" t="n"/>
      <c r="C47" s="38" t="n"/>
      <c r="D47" s="38" t="n"/>
      <c r="E47" s="38" t="n"/>
      <c r="F47" s="38" t="n"/>
      <c r="G47" s="38" t="n"/>
      <c r="H47" s="38" t="n"/>
      <c r="I47" s="38" t="n"/>
      <c r="J47" s="38" t="n"/>
      <c r="K47" s="38" t="n"/>
      <c r="L47" s="38" t="n"/>
      <c r="M47" s="38" t="n"/>
      <c r="N47" s="38" t="n"/>
      <c r="O47" s="38" t="n"/>
      <c r="P47" s="38" t="n"/>
      <c r="Q47" s="38" t="n"/>
      <c r="R47" s="38" t="n"/>
      <c r="S47" s="38" t="n"/>
      <c r="T47" s="38" t="n"/>
      <c r="U47" s="38" t="n"/>
      <c r="V47" s="38" t="n"/>
      <c r="W47" s="38" t="n"/>
      <c r="X47" s="38" t="n"/>
      <c r="Y47" s="38" t="n"/>
      <c r="Z47" s="38" t="n"/>
      <c r="AA47" s="38" t="n"/>
      <c r="AB47" s="38" t="n"/>
      <c r="AC47" s="38" t="n"/>
      <c r="AD47" s="38" t="n"/>
      <c r="AE47" s="38" t="n"/>
      <c r="AF47" s="36">
        <f>IF($A47="","",$A47&amp;"|"&amp;$C47)</f>
        <v/>
      </c>
      <c r="AG47" s="37">
        <f>IF($A47="","",IFERROR(COUNTIF(L47:M47,"כן")/(COUNTIF(L47:M47,"כן")+COUNTIF(L47:M47,"לא")),""))</f>
        <v/>
      </c>
      <c r="AH47" s="37">
        <f>IF($A47="","",IFERROR(COUNTIF(N47:O47,"כן")/(COUNTIF(N47:O47,"כן")+COUNTIF(N47:O47,"לא")),""))</f>
        <v/>
      </c>
      <c r="AI47" s="37">
        <f>IF($A47="","",IFERROR(COUNTIF(P47:Q47,"כן")/(COUNTIF(P47:Q47,"כן")+COUNTIF(P47:Q47,"לא")),""))</f>
        <v/>
      </c>
      <c r="AJ47" s="37">
        <f>IF($A47="","",IFERROR(COUNTIF(R47:S47,"כן")/(COUNTIF(R47:S47,"כן")+COUNTIF(R47:S47,"לא")),""))</f>
        <v/>
      </c>
      <c r="AK47" s="37">
        <f>IF($A47="","",IFERROR(COUNTIF(T47:U47,"כן")/(COUNTIF(T47:U47,"כן")+COUNTIF(T47:U47,"לא")),""))</f>
        <v/>
      </c>
      <c r="AL47" s="37">
        <f>IF($A47="","",IFERROR(COUNTIF(L47:U47,"כן")/(COUNTIF(L47:U47,"כן")+COUNTIF(L47:U47,"לא")),""))</f>
        <v/>
      </c>
      <c r="AM47" s="45">
        <f>IF($A47="","",IFERROR(AVERAGE(V47:W47),""))</f>
        <v/>
      </c>
      <c r="AN47" s="45">
        <f>IF($A47="","",IFERROR(AVERAGE(X47:Y47),""))</f>
        <v/>
      </c>
      <c r="AO47" s="45">
        <f>IF($A47="","",IFERROR(AVERAGE(Z47:AA47),""))</f>
        <v/>
      </c>
      <c r="AP47" s="45">
        <f>IF($A47="","",IFERROR(AVERAGE(AB47:AC47),""))</f>
        <v/>
      </c>
      <c r="AQ47" s="45">
        <f>IF($A47="","",IFERROR(AVERAGE(AD47),""))</f>
        <v/>
      </c>
      <c r="AR47" s="45">
        <f>IF($A47="","",IFERROR(AVERAGE(V47:AD47),""))</f>
        <v/>
      </c>
      <c r="AS47" s="36">
        <f>IF($A47="","",IF(AND(H47="",J47=""),"לא נבדק",IF(AND(OR(H47="",H47=I47),OR(J47="",J47=K47)),"תואם","לא תואם")))</f>
        <v/>
      </c>
      <c r="AT47" s="36">
        <f>IF($A47="","",IF(AND(AS47&lt;&gt;"לא תואם",G47&lt;&gt;"לא ברור"),"אמין","לפרש בזהירות"))</f>
        <v/>
      </c>
    </row>
    <row r="48">
      <c r="A48" s="38" t="n"/>
      <c r="B48" s="38" t="n"/>
      <c r="C48" s="38" t="n"/>
      <c r="D48" s="38" t="n"/>
      <c r="E48" s="38" t="n"/>
      <c r="F48" s="38" t="n"/>
      <c r="G48" s="38" t="n"/>
      <c r="H48" s="38" t="n"/>
      <c r="I48" s="38" t="n"/>
      <c r="J48" s="38" t="n"/>
      <c r="K48" s="38" t="n"/>
      <c r="L48" s="38" t="n"/>
      <c r="M48" s="38" t="n"/>
      <c r="N48" s="38" t="n"/>
      <c r="O48" s="38" t="n"/>
      <c r="P48" s="38" t="n"/>
      <c r="Q48" s="38" t="n"/>
      <c r="R48" s="38" t="n"/>
      <c r="S48" s="38" t="n"/>
      <c r="T48" s="38" t="n"/>
      <c r="U48" s="38" t="n"/>
      <c r="V48" s="38" t="n"/>
      <c r="W48" s="38" t="n"/>
      <c r="X48" s="38" t="n"/>
      <c r="Y48" s="38" t="n"/>
      <c r="Z48" s="38" t="n"/>
      <c r="AA48" s="38" t="n"/>
      <c r="AB48" s="38" t="n"/>
      <c r="AC48" s="38" t="n"/>
      <c r="AD48" s="38" t="n"/>
      <c r="AE48" s="38" t="n"/>
      <c r="AF48" s="36">
        <f>IF($A48="","",$A48&amp;"|"&amp;$C48)</f>
        <v/>
      </c>
      <c r="AG48" s="37">
        <f>IF($A48="","",IFERROR(COUNTIF(L48:M48,"כן")/(COUNTIF(L48:M48,"כן")+COUNTIF(L48:M48,"לא")),""))</f>
        <v/>
      </c>
      <c r="AH48" s="37">
        <f>IF($A48="","",IFERROR(COUNTIF(N48:O48,"כן")/(COUNTIF(N48:O48,"כן")+COUNTIF(N48:O48,"לא")),""))</f>
        <v/>
      </c>
      <c r="AI48" s="37">
        <f>IF($A48="","",IFERROR(COUNTIF(P48:Q48,"כן")/(COUNTIF(P48:Q48,"כן")+COUNTIF(P48:Q48,"לא")),""))</f>
        <v/>
      </c>
      <c r="AJ48" s="37">
        <f>IF($A48="","",IFERROR(COUNTIF(R48:S48,"כן")/(COUNTIF(R48:S48,"כן")+COUNTIF(R48:S48,"לא")),""))</f>
        <v/>
      </c>
      <c r="AK48" s="37">
        <f>IF($A48="","",IFERROR(COUNTIF(T48:U48,"כן")/(COUNTIF(T48:U48,"כן")+COUNTIF(T48:U48,"לא")),""))</f>
        <v/>
      </c>
      <c r="AL48" s="37">
        <f>IF($A48="","",IFERROR(COUNTIF(L48:U48,"כן")/(COUNTIF(L48:U48,"כן")+COUNTIF(L48:U48,"לא")),""))</f>
        <v/>
      </c>
      <c r="AM48" s="45">
        <f>IF($A48="","",IFERROR(AVERAGE(V48:W48),""))</f>
        <v/>
      </c>
      <c r="AN48" s="45">
        <f>IF($A48="","",IFERROR(AVERAGE(X48:Y48),""))</f>
        <v/>
      </c>
      <c r="AO48" s="45">
        <f>IF($A48="","",IFERROR(AVERAGE(Z48:AA48),""))</f>
        <v/>
      </c>
      <c r="AP48" s="45">
        <f>IF($A48="","",IFERROR(AVERAGE(AB48:AC48),""))</f>
        <v/>
      </c>
      <c r="AQ48" s="45">
        <f>IF($A48="","",IFERROR(AVERAGE(AD48),""))</f>
        <v/>
      </c>
      <c r="AR48" s="45">
        <f>IF($A48="","",IFERROR(AVERAGE(V48:AD48),""))</f>
        <v/>
      </c>
      <c r="AS48" s="36">
        <f>IF($A48="","",IF(AND(H48="",J48=""),"לא נבדק",IF(AND(OR(H48="",H48=I48),OR(J48="",J48=K48)),"תואם","לא תואם")))</f>
        <v/>
      </c>
      <c r="AT48" s="36">
        <f>IF($A48="","",IF(AND(AS48&lt;&gt;"לא תואם",G48&lt;&gt;"לא ברור"),"אמין","לפרש בזהירות"))</f>
        <v/>
      </c>
    </row>
    <row r="49">
      <c r="A49" s="38" t="n"/>
      <c r="B49" s="38" t="n"/>
      <c r="C49" s="38" t="n"/>
      <c r="D49" s="38" t="n"/>
      <c r="E49" s="38" t="n"/>
      <c r="F49" s="38" t="n"/>
      <c r="G49" s="38" t="n"/>
      <c r="H49" s="38" t="n"/>
      <c r="I49" s="38" t="n"/>
      <c r="J49" s="38" t="n"/>
      <c r="K49" s="38" t="n"/>
      <c r="L49" s="38" t="n"/>
      <c r="M49" s="38" t="n"/>
      <c r="N49" s="38" t="n"/>
      <c r="O49" s="38" t="n"/>
      <c r="P49" s="38" t="n"/>
      <c r="Q49" s="38" t="n"/>
      <c r="R49" s="38" t="n"/>
      <c r="S49" s="38" t="n"/>
      <c r="T49" s="38" t="n"/>
      <c r="U49" s="38" t="n"/>
      <c r="V49" s="38" t="n"/>
      <c r="W49" s="38" t="n"/>
      <c r="X49" s="38" t="n"/>
      <c r="Y49" s="38" t="n"/>
      <c r="Z49" s="38" t="n"/>
      <c r="AA49" s="38" t="n"/>
      <c r="AB49" s="38" t="n"/>
      <c r="AC49" s="38" t="n"/>
      <c r="AD49" s="38" t="n"/>
      <c r="AE49" s="38" t="n"/>
      <c r="AF49" s="36">
        <f>IF($A49="","",$A49&amp;"|"&amp;$C49)</f>
        <v/>
      </c>
      <c r="AG49" s="37">
        <f>IF($A49="","",IFERROR(COUNTIF(L49:M49,"כן")/(COUNTIF(L49:M49,"כן")+COUNTIF(L49:M49,"לא")),""))</f>
        <v/>
      </c>
      <c r="AH49" s="37">
        <f>IF($A49="","",IFERROR(COUNTIF(N49:O49,"כן")/(COUNTIF(N49:O49,"כן")+COUNTIF(N49:O49,"לא")),""))</f>
        <v/>
      </c>
      <c r="AI49" s="37">
        <f>IF($A49="","",IFERROR(COUNTIF(P49:Q49,"כן")/(COUNTIF(P49:Q49,"כן")+COUNTIF(P49:Q49,"לא")),""))</f>
        <v/>
      </c>
      <c r="AJ49" s="37">
        <f>IF($A49="","",IFERROR(COUNTIF(R49:S49,"כן")/(COUNTIF(R49:S49,"כן")+COUNTIF(R49:S49,"לא")),""))</f>
        <v/>
      </c>
      <c r="AK49" s="37">
        <f>IF($A49="","",IFERROR(COUNTIF(T49:U49,"כן")/(COUNTIF(T49:U49,"כן")+COUNTIF(T49:U49,"לא")),""))</f>
        <v/>
      </c>
      <c r="AL49" s="37">
        <f>IF($A49="","",IFERROR(COUNTIF(L49:U49,"כן")/(COUNTIF(L49:U49,"כן")+COUNTIF(L49:U49,"לא")),""))</f>
        <v/>
      </c>
      <c r="AM49" s="45">
        <f>IF($A49="","",IFERROR(AVERAGE(V49:W49),""))</f>
        <v/>
      </c>
      <c r="AN49" s="45">
        <f>IF($A49="","",IFERROR(AVERAGE(X49:Y49),""))</f>
        <v/>
      </c>
      <c r="AO49" s="45">
        <f>IF($A49="","",IFERROR(AVERAGE(Z49:AA49),""))</f>
        <v/>
      </c>
      <c r="AP49" s="45">
        <f>IF($A49="","",IFERROR(AVERAGE(AB49:AC49),""))</f>
        <v/>
      </c>
      <c r="AQ49" s="45">
        <f>IF($A49="","",IFERROR(AVERAGE(AD49),""))</f>
        <v/>
      </c>
      <c r="AR49" s="45">
        <f>IF($A49="","",IFERROR(AVERAGE(V49:AD49),""))</f>
        <v/>
      </c>
      <c r="AS49" s="36">
        <f>IF($A49="","",IF(AND(H49="",J49=""),"לא נבדק",IF(AND(OR(H49="",H49=I49),OR(J49="",J49=K49)),"תואם","לא תואם")))</f>
        <v/>
      </c>
      <c r="AT49" s="36">
        <f>IF($A49="","",IF(AND(AS49&lt;&gt;"לא תואם",G49&lt;&gt;"לא ברור"),"אמין","לפרש בזהירות"))</f>
        <v/>
      </c>
    </row>
    <row r="50">
      <c r="A50" s="38" t="n"/>
      <c r="B50" s="38" t="n"/>
      <c r="C50" s="38" t="n"/>
      <c r="D50" s="38" t="n"/>
      <c r="E50" s="38" t="n"/>
      <c r="F50" s="38" t="n"/>
      <c r="G50" s="38" t="n"/>
      <c r="H50" s="38" t="n"/>
      <c r="I50" s="38" t="n"/>
      <c r="J50" s="38" t="n"/>
      <c r="K50" s="38" t="n"/>
      <c r="L50" s="38" t="n"/>
      <c r="M50" s="38" t="n"/>
      <c r="N50" s="38" t="n"/>
      <c r="O50" s="38" t="n"/>
      <c r="P50" s="38" t="n"/>
      <c r="Q50" s="38" t="n"/>
      <c r="R50" s="38" t="n"/>
      <c r="S50" s="38" t="n"/>
      <c r="T50" s="38" t="n"/>
      <c r="U50" s="38" t="n"/>
      <c r="V50" s="38" t="n"/>
      <c r="W50" s="38" t="n"/>
      <c r="X50" s="38" t="n"/>
      <c r="Y50" s="38" t="n"/>
      <c r="Z50" s="38" t="n"/>
      <c r="AA50" s="38" t="n"/>
      <c r="AB50" s="38" t="n"/>
      <c r="AC50" s="38" t="n"/>
      <c r="AD50" s="38" t="n"/>
      <c r="AE50" s="38" t="n"/>
      <c r="AF50" s="36">
        <f>IF($A50="","",$A50&amp;"|"&amp;$C50)</f>
        <v/>
      </c>
      <c r="AG50" s="37">
        <f>IF($A50="","",IFERROR(COUNTIF(L50:M50,"כן")/(COUNTIF(L50:M50,"כן")+COUNTIF(L50:M50,"לא")),""))</f>
        <v/>
      </c>
      <c r="AH50" s="37">
        <f>IF($A50="","",IFERROR(COUNTIF(N50:O50,"כן")/(COUNTIF(N50:O50,"כן")+COUNTIF(N50:O50,"לא")),""))</f>
        <v/>
      </c>
      <c r="AI50" s="37">
        <f>IF($A50="","",IFERROR(COUNTIF(P50:Q50,"כן")/(COUNTIF(P50:Q50,"כן")+COUNTIF(P50:Q50,"לא")),""))</f>
        <v/>
      </c>
      <c r="AJ50" s="37">
        <f>IF($A50="","",IFERROR(COUNTIF(R50:S50,"כן")/(COUNTIF(R50:S50,"כן")+COUNTIF(R50:S50,"לא")),""))</f>
        <v/>
      </c>
      <c r="AK50" s="37">
        <f>IF($A50="","",IFERROR(COUNTIF(T50:U50,"כן")/(COUNTIF(T50:U50,"כן")+COUNTIF(T50:U50,"לא")),""))</f>
        <v/>
      </c>
      <c r="AL50" s="37">
        <f>IF($A50="","",IFERROR(COUNTIF(L50:U50,"כן")/(COUNTIF(L50:U50,"כן")+COUNTIF(L50:U50,"לא")),""))</f>
        <v/>
      </c>
      <c r="AM50" s="45">
        <f>IF($A50="","",IFERROR(AVERAGE(V50:W50),""))</f>
        <v/>
      </c>
      <c r="AN50" s="45">
        <f>IF($A50="","",IFERROR(AVERAGE(X50:Y50),""))</f>
        <v/>
      </c>
      <c r="AO50" s="45">
        <f>IF($A50="","",IFERROR(AVERAGE(Z50:AA50),""))</f>
        <v/>
      </c>
      <c r="AP50" s="45">
        <f>IF($A50="","",IFERROR(AVERAGE(AB50:AC50),""))</f>
        <v/>
      </c>
      <c r="AQ50" s="45">
        <f>IF($A50="","",IFERROR(AVERAGE(AD50),""))</f>
        <v/>
      </c>
      <c r="AR50" s="45">
        <f>IF($A50="","",IFERROR(AVERAGE(V50:AD50),""))</f>
        <v/>
      </c>
      <c r="AS50" s="36">
        <f>IF($A50="","",IF(AND(H50="",J50=""),"לא נבדק",IF(AND(OR(H50="",H50=I50),OR(J50="",J50=K50)),"תואם","לא תואם")))</f>
        <v/>
      </c>
      <c r="AT50" s="36">
        <f>IF($A50="","",IF(AND(AS50&lt;&gt;"לא תואם",G50&lt;&gt;"לא ברור"),"אמין","לפרש בזהירות"))</f>
        <v/>
      </c>
    </row>
    <row r="51">
      <c r="A51" s="38" t="n"/>
      <c r="B51" s="38" t="n"/>
      <c r="C51" s="38" t="n"/>
      <c r="D51" s="38" t="n"/>
      <c r="E51" s="38" t="n"/>
      <c r="F51" s="38" t="n"/>
      <c r="G51" s="38" t="n"/>
      <c r="H51" s="38" t="n"/>
      <c r="I51" s="38" t="n"/>
      <c r="J51" s="38" t="n"/>
      <c r="K51" s="38" t="n"/>
      <c r="L51" s="38" t="n"/>
      <c r="M51" s="38" t="n"/>
      <c r="N51" s="38" t="n"/>
      <c r="O51" s="38" t="n"/>
      <c r="P51" s="38" t="n"/>
      <c r="Q51" s="38" t="n"/>
      <c r="R51" s="38" t="n"/>
      <c r="S51" s="38" t="n"/>
      <c r="T51" s="38" t="n"/>
      <c r="U51" s="38" t="n"/>
      <c r="V51" s="38" t="n"/>
      <c r="W51" s="38" t="n"/>
      <c r="X51" s="38" t="n"/>
      <c r="Y51" s="38" t="n"/>
      <c r="Z51" s="38" t="n"/>
      <c r="AA51" s="38" t="n"/>
      <c r="AB51" s="38" t="n"/>
      <c r="AC51" s="38" t="n"/>
      <c r="AD51" s="38" t="n"/>
      <c r="AE51" s="38" t="n"/>
      <c r="AF51" s="36">
        <f>IF($A51="","",$A51&amp;"|"&amp;$C51)</f>
        <v/>
      </c>
      <c r="AG51" s="37">
        <f>IF($A51="","",IFERROR(COUNTIF(L51:M51,"כן")/(COUNTIF(L51:M51,"כן")+COUNTIF(L51:M51,"לא")),""))</f>
        <v/>
      </c>
      <c r="AH51" s="37">
        <f>IF($A51="","",IFERROR(COUNTIF(N51:O51,"כן")/(COUNTIF(N51:O51,"כן")+COUNTIF(N51:O51,"לא")),""))</f>
        <v/>
      </c>
      <c r="AI51" s="37">
        <f>IF($A51="","",IFERROR(COUNTIF(P51:Q51,"כן")/(COUNTIF(P51:Q51,"כן")+COUNTIF(P51:Q51,"לא")),""))</f>
        <v/>
      </c>
      <c r="AJ51" s="37">
        <f>IF($A51="","",IFERROR(COUNTIF(R51:S51,"כן")/(COUNTIF(R51:S51,"כן")+COUNTIF(R51:S51,"לא")),""))</f>
        <v/>
      </c>
      <c r="AK51" s="37">
        <f>IF($A51="","",IFERROR(COUNTIF(T51:U51,"כן")/(COUNTIF(T51:U51,"כן")+COUNTIF(T51:U51,"לא")),""))</f>
        <v/>
      </c>
      <c r="AL51" s="37">
        <f>IF($A51="","",IFERROR(COUNTIF(L51:U51,"כן")/(COUNTIF(L51:U51,"כן")+COUNTIF(L51:U51,"לא")),""))</f>
        <v/>
      </c>
      <c r="AM51" s="45">
        <f>IF($A51="","",IFERROR(AVERAGE(V51:W51),""))</f>
        <v/>
      </c>
      <c r="AN51" s="45">
        <f>IF($A51="","",IFERROR(AVERAGE(X51:Y51),""))</f>
        <v/>
      </c>
      <c r="AO51" s="45">
        <f>IF($A51="","",IFERROR(AVERAGE(Z51:AA51),""))</f>
        <v/>
      </c>
      <c r="AP51" s="45">
        <f>IF($A51="","",IFERROR(AVERAGE(AB51:AC51),""))</f>
        <v/>
      </c>
      <c r="AQ51" s="45">
        <f>IF($A51="","",IFERROR(AVERAGE(AD51),""))</f>
        <v/>
      </c>
      <c r="AR51" s="45">
        <f>IF($A51="","",IFERROR(AVERAGE(V51:AD51),""))</f>
        <v/>
      </c>
      <c r="AS51" s="36">
        <f>IF($A51="","",IF(AND(H51="",J51=""),"לא נבדק",IF(AND(OR(H51="",H51=I51),OR(J51="",J51=K51)),"תואם","לא תואם")))</f>
        <v/>
      </c>
      <c r="AT51" s="36">
        <f>IF($A51="","",IF(AND(AS51&lt;&gt;"לא תואם",G51&lt;&gt;"לא ברור"),"אמין","לפרש בזהירות"))</f>
        <v/>
      </c>
    </row>
    <row r="52">
      <c r="A52" s="38" t="n"/>
      <c r="B52" s="38" t="n"/>
      <c r="C52" s="38" t="n"/>
      <c r="D52" s="38" t="n"/>
      <c r="E52" s="38" t="n"/>
      <c r="F52" s="38" t="n"/>
      <c r="G52" s="38" t="n"/>
      <c r="H52" s="38" t="n"/>
      <c r="I52" s="38" t="n"/>
      <c r="J52" s="38" t="n"/>
      <c r="K52" s="38" t="n"/>
      <c r="L52" s="38" t="n"/>
      <c r="M52" s="38" t="n"/>
      <c r="N52" s="38" t="n"/>
      <c r="O52" s="38" t="n"/>
      <c r="P52" s="38" t="n"/>
      <c r="Q52" s="38" t="n"/>
      <c r="R52" s="38" t="n"/>
      <c r="S52" s="38" t="n"/>
      <c r="T52" s="38" t="n"/>
      <c r="U52" s="38" t="n"/>
      <c r="V52" s="38" t="n"/>
      <c r="W52" s="38" t="n"/>
      <c r="X52" s="38" t="n"/>
      <c r="Y52" s="38" t="n"/>
      <c r="Z52" s="38" t="n"/>
      <c r="AA52" s="38" t="n"/>
      <c r="AB52" s="38" t="n"/>
      <c r="AC52" s="38" t="n"/>
      <c r="AD52" s="38" t="n"/>
      <c r="AE52" s="38" t="n"/>
      <c r="AF52" s="36">
        <f>IF($A52="","",$A52&amp;"|"&amp;$C52)</f>
        <v/>
      </c>
      <c r="AG52" s="37">
        <f>IF($A52="","",IFERROR(COUNTIF(L52:M52,"כן")/(COUNTIF(L52:M52,"כן")+COUNTIF(L52:M52,"לא")),""))</f>
        <v/>
      </c>
      <c r="AH52" s="37">
        <f>IF($A52="","",IFERROR(COUNTIF(N52:O52,"כן")/(COUNTIF(N52:O52,"כן")+COUNTIF(N52:O52,"לא")),""))</f>
        <v/>
      </c>
      <c r="AI52" s="37">
        <f>IF($A52="","",IFERROR(COUNTIF(P52:Q52,"כן")/(COUNTIF(P52:Q52,"כן")+COUNTIF(P52:Q52,"לא")),""))</f>
        <v/>
      </c>
      <c r="AJ52" s="37">
        <f>IF($A52="","",IFERROR(COUNTIF(R52:S52,"כן")/(COUNTIF(R52:S52,"כן")+COUNTIF(R52:S52,"לא")),""))</f>
        <v/>
      </c>
      <c r="AK52" s="37">
        <f>IF($A52="","",IFERROR(COUNTIF(T52:U52,"כן")/(COUNTIF(T52:U52,"כן")+COUNTIF(T52:U52,"לא")),""))</f>
        <v/>
      </c>
      <c r="AL52" s="37">
        <f>IF($A52="","",IFERROR(COUNTIF(L52:U52,"כן")/(COUNTIF(L52:U52,"כן")+COUNTIF(L52:U52,"לא")),""))</f>
        <v/>
      </c>
      <c r="AM52" s="45">
        <f>IF($A52="","",IFERROR(AVERAGE(V52:W52),""))</f>
        <v/>
      </c>
      <c r="AN52" s="45">
        <f>IF($A52="","",IFERROR(AVERAGE(X52:Y52),""))</f>
        <v/>
      </c>
      <c r="AO52" s="45">
        <f>IF($A52="","",IFERROR(AVERAGE(Z52:AA52),""))</f>
        <v/>
      </c>
      <c r="AP52" s="45">
        <f>IF($A52="","",IFERROR(AVERAGE(AB52:AC52),""))</f>
        <v/>
      </c>
      <c r="AQ52" s="45">
        <f>IF($A52="","",IFERROR(AVERAGE(AD52),""))</f>
        <v/>
      </c>
      <c r="AR52" s="45">
        <f>IF($A52="","",IFERROR(AVERAGE(V52:AD52),""))</f>
        <v/>
      </c>
      <c r="AS52" s="36">
        <f>IF($A52="","",IF(AND(H52="",J52=""),"לא נבדק",IF(AND(OR(H52="",H52=I52),OR(J52="",J52=K52)),"תואם","לא תואם")))</f>
        <v/>
      </c>
      <c r="AT52" s="36">
        <f>IF($A52="","",IF(AND(AS52&lt;&gt;"לא תואם",G52&lt;&gt;"לא ברור"),"אמין","לפרש בזהירות"))</f>
        <v/>
      </c>
    </row>
    <row r="53">
      <c r="A53" s="38" t="n"/>
      <c r="B53" s="38" t="n"/>
      <c r="C53" s="38" t="n"/>
      <c r="D53" s="38" t="n"/>
      <c r="E53" s="38" t="n"/>
      <c r="F53" s="38" t="n"/>
      <c r="G53" s="38" t="n"/>
      <c r="H53" s="38" t="n"/>
      <c r="I53" s="38" t="n"/>
      <c r="J53" s="38" t="n"/>
      <c r="K53" s="38" t="n"/>
      <c r="L53" s="38" t="n"/>
      <c r="M53" s="38" t="n"/>
      <c r="N53" s="38" t="n"/>
      <c r="O53" s="38" t="n"/>
      <c r="P53" s="38" t="n"/>
      <c r="Q53" s="38" t="n"/>
      <c r="R53" s="38" t="n"/>
      <c r="S53" s="38" t="n"/>
      <c r="T53" s="38" t="n"/>
      <c r="U53" s="38" t="n"/>
      <c r="V53" s="38" t="n"/>
      <c r="W53" s="38" t="n"/>
      <c r="X53" s="38" t="n"/>
      <c r="Y53" s="38" t="n"/>
      <c r="Z53" s="38" t="n"/>
      <c r="AA53" s="38" t="n"/>
      <c r="AB53" s="38" t="n"/>
      <c r="AC53" s="38" t="n"/>
      <c r="AD53" s="38" t="n"/>
      <c r="AE53" s="38" t="n"/>
      <c r="AF53" s="36">
        <f>IF($A53="","",$A53&amp;"|"&amp;$C53)</f>
        <v/>
      </c>
      <c r="AG53" s="37">
        <f>IF($A53="","",IFERROR(COUNTIF(L53:M53,"כן")/(COUNTIF(L53:M53,"כן")+COUNTIF(L53:M53,"לא")),""))</f>
        <v/>
      </c>
      <c r="AH53" s="37">
        <f>IF($A53="","",IFERROR(COUNTIF(N53:O53,"כן")/(COUNTIF(N53:O53,"כן")+COUNTIF(N53:O53,"לא")),""))</f>
        <v/>
      </c>
      <c r="AI53" s="37">
        <f>IF($A53="","",IFERROR(COUNTIF(P53:Q53,"כן")/(COUNTIF(P53:Q53,"כן")+COUNTIF(P53:Q53,"לא")),""))</f>
        <v/>
      </c>
      <c r="AJ53" s="37">
        <f>IF($A53="","",IFERROR(COUNTIF(R53:S53,"כן")/(COUNTIF(R53:S53,"כן")+COUNTIF(R53:S53,"לא")),""))</f>
        <v/>
      </c>
      <c r="AK53" s="37">
        <f>IF($A53="","",IFERROR(COUNTIF(T53:U53,"כן")/(COUNTIF(T53:U53,"כן")+COUNTIF(T53:U53,"לא")),""))</f>
        <v/>
      </c>
      <c r="AL53" s="37">
        <f>IF($A53="","",IFERROR(COUNTIF(L53:U53,"כן")/(COUNTIF(L53:U53,"כן")+COUNTIF(L53:U53,"לא")),""))</f>
        <v/>
      </c>
      <c r="AM53" s="45">
        <f>IF($A53="","",IFERROR(AVERAGE(V53:W53),""))</f>
        <v/>
      </c>
      <c r="AN53" s="45">
        <f>IF($A53="","",IFERROR(AVERAGE(X53:Y53),""))</f>
        <v/>
      </c>
      <c r="AO53" s="45">
        <f>IF($A53="","",IFERROR(AVERAGE(Z53:AA53),""))</f>
        <v/>
      </c>
      <c r="AP53" s="45">
        <f>IF($A53="","",IFERROR(AVERAGE(AB53:AC53),""))</f>
        <v/>
      </c>
      <c r="AQ53" s="45">
        <f>IF($A53="","",IFERROR(AVERAGE(AD53),""))</f>
        <v/>
      </c>
      <c r="AR53" s="45">
        <f>IF($A53="","",IFERROR(AVERAGE(V53:AD53),""))</f>
        <v/>
      </c>
      <c r="AS53" s="36">
        <f>IF($A53="","",IF(AND(H53="",J53=""),"לא נבדק",IF(AND(OR(H53="",H53=I53),OR(J53="",J53=K53)),"תואם","לא תואם")))</f>
        <v/>
      </c>
      <c r="AT53" s="36">
        <f>IF($A53="","",IF(AND(AS53&lt;&gt;"לא תואם",G53&lt;&gt;"לא ברור"),"אמין","לפרש בזהירות"))</f>
        <v/>
      </c>
    </row>
    <row r="54">
      <c r="A54" s="38" t="n"/>
      <c r="B54" s="38" t="n"/>
      <c r="C54" s="38" t="n"/>
      <c r="D54" s="38" t="n"/>
      <c r="E54" s="38" t="n"/>
      <c r="F54" s="38" t="n"/>
      <c r="G54" s="38" t="n"/>
      <c r="H54" s="38" t="n"/>
      <c r="I54" s="38" t="n"/>
      <c r="J54" s="38" t="n"/>
      <c r="K54" s="38" t="n"/>
      <c r="L54" s="38" t="n"/>
      <c r="M54" s="38" t="n"/>
      <c r="N54" s="38" t="n"/>
      <c r="O54" s="38" t="n"/>
      <c r="P54" s="38" t="n"/>
      <c r="Q54" s="38" t="n"/>
      <c r="R54" s="38" t="n"/>
      <c r="S54" s="38" t="n"/>
      <c r="T54" s="38" t="n"/>
      <c r="U54" s="38" t="n"/>
      <c r="V54" s="38" t="n"/>
      <c r="W54" s="38" t="n"/>
      <c r="X54" s="38" t="n"/>
      <c r="Y54" s="38" t="n"/>
      <c r="Z54" s="38" t="n"/>
      <c r="AA54" s="38" t="n"/>
      <c r="AB54" s="38" t="n"/>
      <c r="AC54" s="38" t="n"/>
      <c r="AD54" s="38" t="n"/>
      <c r="AE54" s="38" t="n"/>
      <c r="AF54" s="36">
        <f>IF($A54="","",$A54&amp;"|"&amp;$C54)</f>
        <v/>
      </c>
      <c r="AG54" s="37">
        <f>IF($A54="","",IFERROR(COUNTIF(L54:M54,"כן")/(COUNTIF(L54:M54,"כן")+COUNTIF(L54:M54,"לא")),""))</f>
        <v/>
      </c>
      <c r="AH54" s="37">
        <f>IF($A54="","",IFERROR(COUNTIF(N54:O54,"כן")/(COUNTIF(N54:O54,"כן")+COUNTIF(N54:O54,"לא")),""))</f>
        <v/>
      </c>
      <c r="AI54" s="37">
        <f>IF($A54="","",IFERROR(COUNTIF(P54:Q54,"כן")/(COUNTIF(P54:Q54,"כן")+COUNTIF(P54:Q54,"לא")),""))</f>
        <v/>
      </c>
      <c r="AJ54" s="37">
        <f>IF($A54="","",IFERROR(COUNTIF(R54:S54,"כן")/(COUNTIF(R54:S54,"כן")+COUNTIF(R54:S54,"לא")),""))</f>
        <v/>
      </c>
      <c r="AK54" s="37">
        <f>IF($A54="","",IFERROR(COUNTIF(T54:U54,"כן")/(COUNTIF(T54:U54,"כן")+COUNTIF(T54:U54,"לא")),""))</f>
        <v/>
      </c>
      <c r="AL54" s="37">
        <f>IF($A54="","",IFERROR(COUNTIF(L54:U54,"כן")/(COUNTIF(L54:U54,"כן")+COUNTIF(L54:U54,"לא")),""))</f>
        <v/>
      </c>
      <c r="AM54" s="45">
        <f>IF($A54="","",IFERROR(AVERAGE(V54:W54),""))</f>
        <v/>
      </c>
      <c r="AN54" s="45">
        <f>IF($A54="","",IFERROR(AVERAGE(X54:Y54),""))</f>
        <v/>
      </c>
      <c r="AO54" s="45">
        <f>IF($A54="","",IFERROR(AVERAGE(Z54:AA54),""))</f>
        <v/>
      </c>
      <c r="AP54" s="45">
        <f>IF($A54="","",IFERROR(AVERAGE(AB54:AC54),""))</f>
        <v/>
      </c>
      <c r="AQ54" s="45">
        <f>IF($A54="","",IFERROR(AVERAGE(AD54),""))</f>
        <v/>
      </c>
      <c r="AR54" s="45">
        <f>IF($A54="","",IFERROR(AVERAGE(V54:AD54),""))</f>
        <v/>
      </c>
      <c r="AS54" s="36">
        <f>IF($A54="","",IF(AND(H54="",J54=""),"לא נבדק",IF(AND(OR(H54="",H54=I54),OR(J54="",J54=K54)),"תואם","לא תואם")))</f>
        <v/>
      </c>
      <c r="AT54" s="36">
        <f>IF($A54="","",IF(AND(AS54&lt;&gt;"לא תואם",G54&lt;&gt;"לא ברור"),"אמין","לפרש בזהירות"))</f>
        <v/>
      </c>
    </row>
    <row r="55">
      <c r="A55" s="38" t="n"/>
      <c r="B55" s="38" t="n"/>
      <c r="C55" s="38" t="n"/>
      <c r="D55" s="38" t="n"/>
      <c r="E55" s="38" t="n"/>
      <c r="F55" s="38" t="n"/>
      <c r="G55" s="38" t="n"/>
      <c r="H55" s="38" t="n"/>
      <c r="I55" s="38" t="n"/>
      <c r="J55" s="38" t="n"/>
      <c r="K55" s="38" t="n"/>
      <c r="L55" s="38" t="n"/>
      <c r="M55" s="38" t="n"/>
      <c r="N55" s="38" t="n"/>
      <c r="O55" s="38" t="n"/>
      <c r="P55" s="38" t="n"/>
      <c r="Q55" s="38" t="n"/>
      <c r="R55" s="38" t="n"/>
      <c r="S55" s="38" t="n"/>
      <c r="T55" s="38" t="n"/>
      <c r="U55" s="38" t="n"/>
      <c r="V55" s="38" t="n"/>
      <c r="W55" s="38" t="n"/>
      <c r="X55" s="38" t="n"/>
      <c r="Y55" s="38" t="n"/>
      <c r="Z55" s="38" t="n"/>
      <c r="AA55" s="38" t="n"/>
      <c r="AB55" s="38" t="n"/>
      <c r="AC55" s="38" t="n"/>
      <c r="AD55" s="38" t="n"/>
      <c r="AE55" s="38" t="n"/>
      <c r="AF55" s="36">
        <f>IF($A55="","",$A55&amp;"|"&amp;$C55)</f>
        <v/>
      </c>
      <c r="AG55" s="37">
        <f>IF($A55="","",IFERROR(COUNTIF(L55:M55,"כן")/(COUNTIF(L55:M55,"כן")+COUNTIF(L55:M55,"לא")),""))</f>
        <v/>
      </c>
      <c r="AH55" s="37">
        <f>IF($A55="","",IFERROR(COUNTIF(N55:O55,"כן")/(COUNTIF(N55:O55,"כן")+COUNTIF(N55:O55,"לא")),""))</f>
        <v/>
      </c>
      <c r="AI55" s="37">
        <f>IF($A55="","",IFERROR(COUNTIF(P55:Q55,"כן")/(COUNTIF(P55:Q55,"כן")+COUNTIF(P55:Q55,"לא")),""))</f>
        <v/>
      </c>
      <c r="AJ55" s="37">
        <f>IF($A55="","",IFERROR(COUNTIF(R55:S55,"כן")/(COUNTIF(R55:S55,"כן")+COUNTIF(R55:S55,"לא")),""))</f>
        <v/>
      </c>
      <c r="AK55" s="37">
        <f>IF($A55="","",IFERROR(COUNTIF(T55:U55,"כן")/(COUNTIF(T55:U55,"כן")+COUNTIF(T55:U55,"לא")),""))</f>
        <v/>
      </c>
      <c r="AL55" s="37">
        <f>IF($A55="","",IFERROR(COUNTIF(L55:U55,"כן")/(COUNTIF(L55:U55,"כן")+COUNTIF(L55:U55,"לא")),""))</f>
        <v/>
      </c>
      <c r="AM55" s="45">
        <f>IF($A55="","",IFERROR(AVERAGE(V55:W55),""))</f>
        <v/>
      </c>
      <c r="AN55" s="45">
        <f>IF($A55="","",IFERROR(AVERAGE(X55:Y55),""))</f>
        <v/>
      </c>
      <c r="AO55" s="45">
        <f>IF($A55="","",IFERROR(AVERAGE(Z55:AA55),""))</f>
        <v/>
      </c>
      <c r="AP55" s="45">
        <f>IF($A55="","",IFERROR(AVERAGE(AB55:AC55),""))</f>
        <v/>
      </c>
      <c r="AQ55" s="45">
        <f>IF($A55="","",IFERROR(AVERAGE(AD55),""))</f>
        <v/>
      </c>
      <c r="AR55" s="45">
        <f>IF($A55="","",IFERROR(AVERAGE(V55:AD55),""))</f>
        <v/>
      </c>
      <c r="AS55" s="36">
        <f>IF($A55="","",IF(AND(H55="",J55=""),"לא נבדק",IF(AND(OR(H55="",H55=I55),OR(J55="",J55=K55)),"תואם","לא תואם")))</f>
        <v/>
      </c>
      <c r="AT55" s="36">
        <f>IF($A55="","",IF(AND(AS55&lt;&gt;"לא תואם",G55&lt;&gt;"לא ברור"),"אמין","לפרש בזהירות"))</f>
        <v/>
      </c>
    </row>
    <row r="56">
      <c r="A56" s="38" t="n"/>
      <c r="B56" s="38" t="n"/>
      <c r="C56" s="38" t="n"/>
      <c r="D56" s="38" t="n"/>
      <c r="E56" s="38" t="n"/>
      <c r="F56" s="38" t="n"/>
      <c r="G56" s="38" t="n"/>
      <c r="H56" s="38" t="n"/>
      <c r="I56" s="38" t="n"/>
      <c r="J56" s="38" t="n"/>
      <c r="K56" s="38" t="n"/>
      <c r="L56" s="38" t="n"/>
      <c r="M56" s="38" t="n"/>
      <c r="N56" s="38" t="n"/>
      <c r="O56" s="38" t="n"/>
      <c r="P56" s="38" t="n"/>
      <c r="Q56" s="38" t="n"/>
      <c r="R56" s="38" t="n"/>
      <c r="S56" s="38" t="n"/>
      <c r="T56" s="38" t="n"/>
      <c r="U56" s="38" t="n"/>
      <c r="V56" s="38" t="n"/>
      <c r="W56" s="38" t="n"/>
      <c r="X56" s="38" t="n"/>
      <c r="Y56" s="38" t="n"/>
      <c r="Z56" s="38" t="n"/>
      <c r="AA56" s="38" t="n"/>
      <c r="AB56" s="38" t="n"/>
      <c r="AC56" s="38" t="n"/>
      <c r="AD56" s="38" t="n"/>
      <c r="AE56" s="38" t="n"/>
      <c r="AF56" s="36">
        <f>IF($A56="","",$A56&amp;"|"&amp;$C56)</f>
        <v/>
      </c>
      <c r="AG56" s="37">
        <f>IF($A56="","",IFERROR(COUNTIF(L56:M56,"כן")/(COUNTIF(L56:M56,"כן")+COUNTIF(L56:M56,"לא")),""))</f>
        <v/>
      </c>
      <c r="AH56" s="37">
        <f>IF($A56="","",IFERROR(COUNTIF(N56:O56,"כן")/(COUNTIF(N56:O56,"כן")+COUNTIF(N56:O56,"לא")),""))</f>
        <v/>
      </c>
      <c r="AI56" s="37">
        <f>IF($A56="","",IFERROR(COUNTIF(P56:Q56,"כן")/(COUNTIF(P56:Q56,"כן")+COUNTIF(P56:Q56,"לא")),""))</f>
        <v/>
      </c>
      <c r="AJ56" s="37">
        <f>IF($A56="","",IFERROR(COUNTIF(R56:S56,"כן")/(COUNTIF(R56:S56,"כן")+COUNTIF(R56:S56,"לא")),""))</f>
        <v/>
      </c>
      <c r="AK56" s="37">
        <f>IF($A56="","",IFERROR(COUNTIF(T56:U56,"כן")/(COUNTIF(T56:U56,"כן")+COUNTIF(T56:U56,"לא")),""))</f>
        <v/>
      </c>
      <c r="AL56" s="37">
        <f>IF($A56="","",IFERROR(COUNTIF(L56:U56,"כן")/(COUNTIF(L56:U56,"כן")+COUNTIF(L56:U56,"לא")),""))</f>
        <v/>
      </c>
      <c r="AM56" s="45">
        <f>IF($A56="","",IFERROR(AVERAGE(V56:W56),""))</f>
        <v/>
      </c>
      <c r="AN56" s="45">
        <f>IF($A56="","",IFERROR(AVERAGE(X56:Y56),""))</f>
        <v/>
      </c>
      <c r="AO56" s="45">
        <f>IF($A56="","",IFERROR(AVERAGE(Z56:AA56),""))</f>
        <v/>
      </c>
      <c r="AP56" s="45">
        <f>IF($A56="","",IFERROR(AVERAGE(AB56:AC56),""))</f>
        <v/>
      </c>
      <c r="AQ56" s="45">
        <f>IF($A56="","",IFERROR(AVERAGE(AD56),""))</f>
        <v/>
      </c>
      <c r="AR56" s="45">
        <f>IF($A56="","",IFERROR(AVERAGE(V56:AD56),""))</f>
        <v/>
      </c>
      <c r="AS56" s="36">
        <f>IF($A56="","",IF(AND(H56="",J56=""),"לא נבדק",IF(AND(OR(H56="",H56=I56),OR(J56="",J56=K56)),"תואם","לא תואם")))</f>
        <v/>
      </c>
      <c r="AT56" s="36">
        <f>IF($A56="","",IF(AND(AS56&lt;&gt;"לא תואם",G56&lt;&gt;"לא ברור"),"אמין","לפרש בזהירות"))</f>
        <v/>
      </c>
    </row>
    <row r="57">
      <c r="A57" s="38" t="n"/>
      <c r="B57" s="38" t="n"/>
      <c r="C57" s="38" t="n"/>
      <c r="D57" s="38" t="n"/>
      <c r="E57" s="38" t="n"/>
      <c r="F57" s="38" t="n"/>
      <c r="G57" s="38" t="n"/>
      <c r="H57" s="38" t="n"/>
      <c r="I57" s="38" t="n"/>
      <c r="J57" s="38" t="n"/>
      <c r="K57" s="38" t="n"/>
      <c r="L57" s="38" t="n"/>
      <c r="M57" s="38" t="n"/>
      <c r="N57" s="38" t="n"/>
      <c r="O57" s="38" t="n"/>
      <c r="P57" s="38" t="n"/>
      <c r="Q57" s="38" t="n"/>
      <c r="R57" s="38" t="n"/>
      <c r="S57" s="38" t="n"/>
      <c r="T57" s="38" t="n"/>
      <c r="U57" s="38" t="n"/>
      <c r="V57" s="38" t="n"/>
      <c r="W57" s="38" t="n"/>
      <c r="X57" s="38" t="n"/>
      <c r="Y57" s="38" t="n"/>
      <c r="Z57" s="38" t="n"/>
      <c r="AA57" s="38" t="n"/>
      <c r="AB57" s="38" t="n"/>
      <c r="AC57" s="38" t="n"/>
      <c r="AD57" s="38" t="n"/>
      <c r="AE57" s="38" t="n"/>
      <c r="AF57" s="36">
        <f>IF($A57="","",$A57&amp;"|"&amp;$C57)</f>
        <v/>
      </c>
      <c r="AG57" s="37">
        <f>IF($A57="","",IFERROR(COUNTIF(L57:M57,"כן")/(COUNTIF(L57:M57,"כן")+COUNTIF(L57:M57,"לא")),""))</f>
        <v/>
      </c>
      <c r="AH57" s="37">
        <f>IF($A57="","",IFERROR(COUNTIF(N57:O57,"כן")/(COUNTIF(N57:O57,"כן")+COUNTIF(N57:O57,"לא")),""))</f>
        <v/>
      </c>
      <c r="AI57" s="37">
        <f>IF($A57="","",IFERROR(COUNTIF(P57:Q57,"כן")/(COUNTIF(P57:Q57,"כן")+COUNTIF(P57:Q57,"לא")),""))</f>
        <v/>
      </c>
      <c r="AJ57" s="37">
        <f>IF($A57="","",IFERROR(COUNTIF(R57:S57,"כן")/(COUNTIF(R57:S57,"כן")+COUNTIF(R57:S57,"לא")),""))</f>
        <v/>
      </c>
      <c r="AK57" s="37">
        <f>IF($A57="","",IFERROR(COUNTIF(T57:U57,"כן")/(COUNTIF(T57:U57,"כן")+COUNTIF(T57:U57,"לא")),""))</f>
        <v/>
      </c>
      <c r="AL57" s="37">
        <f>IF($A57="","",IFERROR(COUNTIF(L57:U57,"כן")/(COUNTIF(L57:U57,"כן")+COUNTIF(L57:U57,"לא")),""))</f>
        <v/>
      </c>
      <c r="AM57" s="45">
        <f>IF($A57="","",IFERROR(AVERAGE(V57:W57),""))</f>
        <v/>
      </c>
      <c r="AN57" s="45">
        <f>IF($A57="","",IFERROR(AVERAGE(X57:Y57),""))</f>
        <v/>
      </c>
      <c r="AO57" s="45">
        <f>IF($A57="","",IFERROR(AVERAGE(Z57:AA57),""))</f>
        <v/>
      </c>
      <c r="AP57" s="45">
        <f>IF($A57="","",IFERROR(AVERAGE(AB57:AC57),""))</f>
        <v/>
      </c>
      <c r="AQ57" s="45">
        <f>IF($A57="","",IFERROR(AVERAGE(AD57),""))</f>
        <v/>
      </c>
      <c r="AR57" s="45">
        <f>IF($A57="","",IFERROR(AVERAGE(V57:AD57),""))</f>
        <v/>
      </c>
      <c r="AS57" s="36">
        <f>IF($A57="","",IF(AND(H57="",J57=""),"לא נבדק",IF(AND(OR(H57="",H57=I57),OR(J57="",J57=K57)),"תואם","לא תואם")))</f>
        <v/>
      </c>
      <c r="AT57" s="36">
        <f>IF($A57="","",IF(AND(AS57&lt;&gt;"לא תואם",G57&lt;&gt;"לא ברור"),"אמין","לפרש בזהירות"))</f>
        <v/>
      </c>
    </row>
    <row r="58">
      <c r="A58" s="38" t="n"/>
      <c r="B58" s="38" t="n"/>
      <c r="C58" s="38" t="n"/>
      <c r="D58" s="38" t="n"/>
      <c r="E58" s="38" t="n"/>
      <c r="F58" s="38" t="n"/>
      <c r="G58" s="38" t="n"/>
      <c r="H58" s="38" t="n"/>
      <c r="I58" s="38" t="n"/>
      <c r="J58" s="38" t="n"/>
      <c r="K58" s="38" t="n"/>
      <c r="L58" s="38" t="n"/>
      <c r="M58" s="38" t="n"/>
      <c r="N58" s="38" t="n"/>
      <c r="O58" s="38" t="n"/>
      <c r="P58" s="38" t="n"/>
      <c r="Q58" s="38" t="n"/>
      <c r="R58" s="38" t="n"/>
      <c r="S58" s="38" t="n"/>
      <c r="T58" s="38" t="n"/>
      <c r="U58" s="38" t="n"/>
      <c r="V58" s="38" t="n"/>
      <c r="W58" s="38" t="n"/>
      <c r="X58" s="38" t="n"/>
      <c r="Y58" s="38" t="n"/>
      <c r="Z58" s="38" t="n"/>
      <c r="AA58" s="38" t="n"/>
      <c r="AB58" s="38" t="n"/>
      <c r="AC58" s="38" t="n"/>
      <c r="AD58" s="38" t="n"/>
      <c r="AE58" s="38" t="n"/>
      <c r="AF58" s="36">
        <f>IF($A58="","",$A58&amp;"|"&amp;$C58)</f>
        <v/>
      </c>
      <c r="AG58" s="37">
        <f>IF($A58="","",IFERROR(COUNTIF(L58:M58,"כן")/(COUNTIF(L58:M58,"כן")+COUNTIF(L58:M58,"לא")),""))</f>
        <v/>
      </c>
      <c r="AH58" s="37">
        <f>IF($A58="","",IFERROR(COUNTIF(N58:O58,"כן")/(COUNTIF(N58:O58,"כן")+COUNTIF(N58:O58,"לא")),""))</f>
        <v/>
      </c>
      <c r="AI58" s="37">
        <f>IF($A58="","",IFERROR(COUNTIF(P58:Q58,"כן")/(COUNTIF(P58:Q58,"כן")+COUNTIF(P58:Q58,"לא")),""))</f>
        <v/>
      </c>
      <c r="AJ58" s="37">
        <f>IF($A58="","",IFERROR(COUNTIF(R58:S58,"כן")/(COUNTIF(R58:S58,"כן")+COUNTIF(R58:S58,"לא")),""))</f>
        <v/>
      </c>
      <c r="AK58" s="37">
        <f>IF($A58="","",IFERROR(COUNTIF(T58:U58,"כן")/(COUNTIF(T58:U58,"כן")+COUNTIF(T58:U58,"לא")),""))</f>
        <v/>
      </c>
      <c r="AL58" s="37">
        <f>IF($A58="","",IFERROR(COUNTIF(L58:U58,"כן")/(COUNTIF(L58:U58,"כן")+COUNTIF(L58:U58,"לא")),""))</f>
        <v/>
      </c>
      <c r="AM58" s="45">
        <f>IF($A58="","",IFERROR(AVERAGE(V58:W58),""))</f>
        <v/>
      </c>
      <c r="AN58" s="45">
        <f>IF($A58="","",IFERROR(AVERAGE(X58:Y58),""))</f>
        <v/>
      </c>
      <c r="AO58" s="45">
        <f>IF($A58="","",IFERROR(AVERAGE(Z58:AA58),""))</f>
        <v/>
      </c>
      <c r="AP58" s="45">
        <f>IF($A58="","",IFERROR(AVERAGE(AB58:AC58),""))</f>
        <v/>
      </c>
      <c r="AQ58" s="45">
        <f>IF($A58="","",IFERROR(AVERAGE(AD58),""))</f>
        <v/>
      </c>
      <c r="AR58" s="45">
        <f>IF($A58="","",IFERROR(AVERAGE(V58:AD58),""))</f>
        <v/>
      </c>
      <c r="AS58" s="36">
        <f>IF($A58="","",IF(AND(H58="",J58=""),"לא נבדק",IF(AND(OR(H58="",H58=I58),OR(J58="",J58=K58)),"תואם","לא תואם")))</f>
        <v/>
      </c>
      <c r="AT58" s="36">
        <f>IF($A58="","",IF(AND(AS58&lt;&gt;"לא תואם",G58&lt;&gt;"לא ברור"),"אמין","לפרש בזהירות"))</f>
        <v/>
      </c>
    </row>
    <row r="59">
      <c r="A59" s="38" t="n"/>
      <c r="B59" s="38" t="n"/>
      <c r="C59" s="38" t="n"/>
      <c r="D59" s="38" t="n"/>
      <c r="E59" s="38" t="n"/>
      <c r="F59" s="38" t="n"/>
      <c r="G59" s="38" t="n"/>
      <c r="H59" s="38" t="n"/>
      <c r="I59" s="38" t="n"/>
      <c r="J59" s="38" t="n"/>
      <c r="K59" s="38" t="n"/>
      <c r="L59" s="38" t="n"/>
      <c r="M59" s="38" t="n"/>
      <c r="N59" s="38" t="n"/>
      <c r="O59" s="38" t="n"/>
      <c r="P59" s="38" t="n"/>
      <c r="Q59" s="38" t="n"/>
      <c r="R59" s="38" t="n"/>
      <c r="S59" s="38" t="n"/>
      <c r="T59" s="38" t="n"/>
      <c r="U59" s="38" t="n"/>
      <c r="V59" s="38" t="n"/>
      <c r="W59" s="38" t="n"/>
      <c r="X59" s="38" t="n"/>
      <c r="Y59" s="38" t="n"/>
      <c r="Z59" s="38" t="n"/>
      <c r="AA59" s="38" t="n"/>
      <c r="AB59" s="38" t="n"/>
      <c r="AC59" s="38" t="n"/>
      <c r="AD59" s="38" t="n"/>
      <c r="AE59" s="38" t="n"/>
      <c r="AF59" s="36">
        <f>IF($A59="","",$A59&amp;"|"&amp;$C59)</f>
        <v/>
      </c>
      <c r="AG59" s="37">
        <f>IF($A59="","",IFERROR(COUNTIF(L59:M59,"כן")/(COUNTIF(L59:M59,"כן")+COUNTIF(L59:M59,"לא")),""))</f>
        <v/>
      </c>
      <c r="AH59" s="37">
        <f>IF($A59="","",IFERROR(COUNTIF(N59:O59,"כן")/(COUNTIF(N59:O59,"כן")+COUNTIF(N59:O59,"לא")),""))</f>
        <v/>
      </c>
      <c r="AI59" s="37">
        <f>IF($A59="","",IFERROR(COUNTIF(P59:Q59,"כן")/(COUNTIF(P59:Q59,"כן")+COUNTIF(P59:Q59,"לא")),""))</f>
        <v/>
      </c>
      <c r="AJ59" s="37">
        <f>IF($A59="","",IFERROR(COUNTIF(R59:S59,"כן")/(COUNTIF(R59:S59,"כן")+COUNTIF(R59:S59,"לא")),""))</f>
        <v/>
      </c>
      <c r="AK59" s="37">
        <f>IF($A59="","",IFERROR(COUNTIF(T59:U59,"כן")/(COUNTIF(T59:U59,"כן")+COUNTIF(T59:U59,"לא")),""))</f>
        <v/>
      </c>
      <c r="AL59" s="37">
        <f>IF($A59="","",IFERROR(COUNTIF(L59:U59,"כן")/(COUNTIF(L59:U59,"כן")+COUNTIF(L59:U59,"לא")),""))</f>
        <v/>
      </c>
      <c r="AM59" s="45">
        <f>IF($A59="","",IFERROR(AVERAGE(V59:W59),""))</f>
        <v/>
      </c>
      <c r="AN59" s="45">
        <f>IF($A59="","",IFERROR(AVERAGE(X59:Y59),""))</f>
        <v/>
      </c>
      <c r="AO59" s="45">
        <f>IF($A59="","",IFERROR(AVERAGE(Z59:AA59),""))</f>
        <v/>
      </c>
      <c r="AP59" s="45">
        <f>IF($A59="","",IFERROR(AVERAGE(AB59:AC59),""))</f>
        <v/>
      </c>
      <c r="AQ59" s="45">
        <f>IF($A59="","",IFERROR(AVERAGE(AD59),""))</f>
        <v/>
      </c>
      <c r="AR59" s="45">
        <f>IF($A59="","",IFERROR(AVERAGE(V59:AD59),""))</f>
        <v/>
      </c>
      <c r="AS59" s="36">
        <f>IF($A59="","",IF(AND(H59="",J59=""),"לא נבדק",IF(AND(OR(H59="",H59=I59),OR(J59="",J59=K59)),"תואם","לא תואם")))</f>
        <v/>
      </c>
      <c r="AT59" s="36">
        <f>IF($A59="","",IF(AND(AS59&lt;&gt;"לא תואם",G59&lt;&gt;"לא ברור"),"אמין","לפרש בזהירות"))</f>
        <v/>
      </c>
    </row>
    <row r="60">
      <c r="A60" s="38" t="n"/>
      <c r="B60" s="38" t="n"/>
      <c r="C60" s="38" t="n"/>
      <c r="D60" s="38" t="n"/>
      <c r="E60" s="38" t="n"/>
      <c r="F60" s="38" t="n"/>
      <c r="G60" s="38" t="n"/>
      <c r="H60" s="38" t="n"/>
      <c r="I60" s="38" t="n"/>
      <c r="J60" s="38" t="n"/>
      <c r="K60" s="38" t="n"/>
      <c r="L60" s="38" t="n"/>
      <c r="M60" s="38" t="n"/>
      <c r="N60" s="38" t="n"/>
      <c r="O60" s="38" t="n"/>
      <c r="P60" s="38" t="n"/>
      <c r="Q60" s="38" t="n"/>
      <c r="R60" s="38" t="n"/>
      <c r="S60" s="38" t="n"/>
      <c r="T60" s="38" t="n"/>
      <c r="U60" s="38" t="n"/>
      <c r="V60" s="38" t="n"/>
      <c r="W60" s="38" t="n"/>
      <c r="X60" s="38" t="n"/>
      <c r="Y60" s="38" t="n"/>
      <c r="Z60" s="38" t="n"/>
      <c r="AA60" s="38" t="n"/>
      <c r="AB60" s="38" t="n"/>
      <c r="AC60" s="38" t="n"/>
      <c r="AD60" s="38" t="n"/>
      <c r="AE60" s="38" t="n"/>
      <c r="AF60" s="36">
        <f>IF($A60="","",$A60&amp;"|"&amp;$C60)</f>
        <v/>
      </c>
      <c r="AG60" s="37">
        <f>IF($A60="","",IFERROR(COUNTIF(L60:M60,"כן")/(COUNTIF(L60:M60,"כן")+COUNTIF(L60:M60,"לא")),""))</f>
        <v/>
      </c>
      <c r="AH60" s="37">
        <f>IF($A60="","",IFERROR(COUNTIF(N60:O60,"כן")/(COUNTIF(N60:O60,"כן")+COUNTIF(N60:O60,"לא")),""))</f>
        <v/>
      </c>
      <c r="AI60" s="37">
        <f>IF($A60="","",IFERROR(COUNTIF(P60:Q60,"כן")/(COUNTIF(P60:Q60,"כן")+COUNTIF(P60:Q60,"לא")),""))</f>
        <v/>
      </c>
      <c r="AJ60" s="37">
        <f>IF($A60="","",IFERROR(COUNTIF(R60:S60,"כן")/(COUNTIF(R60:S60,"כן")+COUNTIF(R60:S60,"לא")),""))</f>
        <v/>
      </c>
      <c r="AK60" s="37">
        <f>IF($A60="","",IFERROR(COUNTIF(T60:U60,"כן")/(COUNTIF(T60:U60,"כן")+COUNTIF(T60:U60,"לא")),""))</f>
        <v/>
      </c>
      <c r="AL60" s="37">
        <f>IF($A60="","",IFERROR(COUNTIF(L60:U60,"כן")/(COUNTIF(L60:U60,"כן")+COUNTIF(L60:U60,"לא")),""))</f>
        <v/>
      </c>
      <c r="AM60" s="45">
        <f>IF($A60="","",IFERROR(AVERAGE(V60:W60),""))</f>
        <v/>
      </c>
      <c r="AN60" s="45">
        <f>IF($A60="","",IFERROR(AVERAGE(X60:Y60),""))</f>
        <v/>
      </c>
      <c r="AO60" s="45">
        <f>IF($A60="","",IFERROR(AVERAGE(Z60:AA60),""))</f>
        <v/>
      </c>
      <c r="AP60" s="45">
        <f>IF($A60="","",IFERROR(AVERAGE(AB60:AC60),""))</f>
        <v/>
      </c>
      <c r="AQ60" s="45">
        <f>IF($A60="","",IFERROR(AVERAGE(AD60),""))</f>
        <v/>
      </c>
      <c r="AR60" s="45">
        <f>IF($A60="","",IFERROR(AVERAGE(V60:AD60),""))</f>
        <v/>
      </c>
      <c r="AS60" s="36">
        <f>IF($A60="","",IF(AND(H60="",J60=""),"לא נבדק",IF(AND(OR(H60="",H60=I60),OR(J60="",J60=K60)),"תואם","לא תואם")))</f>
        <v/>
      </c>
      <c r="AT60" s="36">
        <f>IF($A60="","",IF(AND(AS60&lt;&gt;"לא תואם",G60&lt;&gt;"לא ברור"),"אמין","לפרש בזהירות"))</f>
        <v/>
      </c>
    </row>
    <row r="61">
      <c r="A61" s="38" t="n"/>
      <c r="B61" s="38" t="n"/>
      <c r="C61" s="38" t="n"/>
      <c r="D61" s="38" t="n"/>
      <c r="E61" s="38" t="n"/>
      <c r="F61" s="38" t="n"/>
      <c r="G61" s="38" t="n"/>
      <c r="H61" s="38" t="n"/>
      <c r="I61" s="38" t="n"/>
      <c r="J61" s="38" t="n"/>
      <c r="K61" s="38" t="n"/>
      <c r="L61" s="38" t="n"/>
      <c r="M61" s="38" t="n"/>
      <c r="N61" s="38" t="n"/>
      <c r="O61" s="38" t="n"/>
      <c r="P61" s="38" t="n"/>
      <c r="Q61" s="38" t="n"/>
      <c r="R61" s="38" t="n"/>
      <c r="S61" s="38" t="n"/>
      <c r="T61" s="38" t="n"/>
      <c r="U61" s="38" t="n"/>
      <c r="V61" s="38" t="n"/>
      <c r="W61" s="38" t="n"/>
      <c r="X61" s="38" t="n"/>
      <c r="Y61" s="38" t="n"/>
      <c r="Z61" s="38" t="n"/>
      <c r="AA61" s="38" t="n"/>
      <c r="AB61" s="38" t="n"/>
      <c r="AC61" s="38" t="n"/>
      <c r="AD61" s="38" t="n"/>
      <c r="AE61" s="38" t="n"/>
      <c r="AF61" s="36">
        <f>IF($A61="","",$A61&amp;"|"&amp;$C61)</f>
        <v/>
      </c>
      <c r="AG61" s="37">
        <f>IF($A61="","",IFERROR(COUNTIF(L61:M61,"כן")/(COUNTIF(L61:M61,"כן")+COUNTIF(L61:M61,"לא")),""))</f>
        <v/>
      </c>
      <c r="AH61" s="37">
        <f>IF($A61="","",IFERROR(COUNTIF(N61:O61,"כן")/(COUNTIF(N61:O61,"כן")+COUNTIF(N61:O61,"לא")),""))</f>
        <v/>
      </c>
      <c r="AI61" s="37">
        <f>IF($A61="","",IFERROR(COUNTIF(P61:Q61,"כן")/(COUNTIF(P61:Q61,"כן")+COUNTIF(P61:Q61,"לא")),""))</f>
        <v/>
      </c>
      <c r="AJ61" s="37">
        <f>IF($A61="","",IFERROR(COUNTIF(R61:S61,"כן")/(COUNTIF(R61:S61,"כן")+COUNTIF(R61:S61,"לא")),""))</f>
        <v/>
      </c>
      <c r="AK61" s="37">
        <f>IF($A61="","",IFERROR(COUNTIF(T61:U61,"כן")/(COUNTIF(T61:U61,"כן")+COUNTIF(T61:U61,"לא")),""))</f>
        <v/>
      </c>
      <c r="AL61" s="37">
        <f>IF($A61="","",IFERROR(COUNTIF(L61:U61,"כן")/(COUNTIF(L61:U61,"כן")+COUNTIF(L61:U61,"לא")),""))</f>
        <v/>
      </c>
      <c r="AM61" s="45">
        <f>IF($A61="","",IFERROR(AVERAGE(V61:W61),""))</f>
        <v/>
      </c>
      <c r="AN61" s="45">
        <f>IF($A61="","",IFERROR(AVERAGE(X61:Y61),""))</f>
        <v/>
      </c>
      <c r="AO61" s="45">
        <f>IF($A61="","",IFERROR(AVERAGE(Z61:AA61),""))</f>
        <v/>
      </c>
      <c r="AP61" s="45">
        <f>IF($A61="","",IFERROR(AVERAGE(AB61:AC61),""))</f>
        <v/>
      </c>
      <c r="AQ61" s="45">
        <f>IF($A61="","",IFERROR(AVERAGE(AD61),""))</f>
        <v/>
      </c>
      <c r="AR61" s="45">
        <f>IF($A61="","",IFERROR(AVERAGE(V61:AD61),""))</f>
        <v/>
      </c>
      <c r="AS61" s="36">
        <f>IF($A61="","",IF(AND(H61="",J61=""),"לא נבדק",IF(AND(OR(H61="",H61=I61),OR(J61="",J61=K61)),"תואם","לא תואם")))</f>
        <v/>
      </c>
      <c r="AT61" s="36">
        <f>IF($A61="","",IF(AND(AS61&lt;&gt;"לא תואם",G61&lt;&gt;"לא ברור"),"אמין","לפרש בזהירות"))</f>
        <v/>
      </c>
    </row>
    <row r="62">
      <c r="A62" s="38" t="n"/>
      <c r="B62" s="38" t="n"/>
      <c r="C62" s="38" t="n"/>
      <c r="D62" s="38" t="n"/>
      <c r="E62" s="38" t="n"/>
      <c r="F62" s="38" t="n"/>
      <c r="G62" s="38" t="n"/>
      <c r="H62" s="38" t="n"/>
      <c r="I62" s="38" t="n"/>
      <c r="J62" s="38" t="n"/>
      <c r="K62" s="38" t="n"/>
      <c r="L62" s="38" t="n"/>
      <c r="M62" s="38" t="n"/>
      <c r="N62" s="38" t="n"/>
      <c r="O62" s="38" t="n"/>
      <c r="P62" s="38" t="n"/>
      <c r="Q62" s="38" t="n"/>
      <c r="R62" s="38" t="n"/>
      <c r="S62" s="38" t="n"/>
      <c r="T62" s="38" t="n"/>
      <c r="U62" s="38" t="n"/>
      <c r="V62" s="38" t="n"/>
      <c r="W62" s="38" t="n"/>
      <c r="X62" s="38" t="n"/>
      <c r="Y62" s="38" t="n"/>
      <c r="Z62" s="38" t="n"/>
      <c r="AA62" s="38" t="n"/>
      <c r="AB62" s="38" t="n"/>
      <c r="AC62" s="38" t="n"/>
      <c r="AD62" s="38" t="n"/>
      <c r="AE62" s="38" t="n"/>
      <c r="AF62" s="36">
        <f>IF($A62="","",$A62&amp;"|"&amp;$C62)</f>
        <v/>
      </c>
      <c r="AG62" s="37">
        <f>IF($A62="","",IFERROR(COUNTIF(L62:M62,"כן")/(COUNTIF(L62:M62,"כן")+COUNTIF(L62:M62,"לא")),""))</f>
        <v/>
      </c>
      <c r="AH62" s="37">
        <f>IF($A62="","",IFERROR(COUNTIF(N62:O62,"כן")/(COUNTIF(N62:O62,"כן")+COUNTIF(N62:O62,"לא")),""))</f>
        <v/>
      </c>
      <c r="AI62" s="37">
        <f>IF($A62="","",IFERROR(COUNTIF(P62:Q62,"כן")/(COUNTIF(P62:Q62,"כן")+COUNTIF(P62:Q62,"לא")),""))</f>
        <v/>
      </c>
      <c r="AJ62" s="37">
        <f>IF($A62="","",IFERROR(COUNTIF(R62:S62,"כן")/(COUNTIF(R62:S62,"כן")+COUNTIF(R62:S62,"לא")),""))</f>
        <v/>
      </c>
      <c r="AK62" s="37">
        <f>IF($A62="","",IFERROR(COUNTIF(T62:U62,"כן")/(COUNTIF(T62:U62,"כן")+COUNTIF(T62:U62,"לא")),""))</f>
        <v/>
      </c>
      <c r="AL62" s="37">
        <f>IF($A62="","",IFERROR(COUNTIF(L62:U62,"כן")/(COUNTIF(L62:U62,"כן")+COUNTIF(L62:U62,"לא")),""))</f>
        <v/>
      </c>
      <c r="AM62" s="45">
        <f>IF($A62="","",IFERROR(AVERAGE(V62:W62),""))</f>
        <v/>
      </c>
      <c r="AN62" s="45">
        <f>IF($A62="","",IFERROR(AVERAGE(X62:Y62),""))</f>
        <v/>
      </c>
      <c r="AO62" s="45">
        <f>IF($A62="","",IFERROR(AVERAGE(Z62:AA62),""))</f>
        <v/>
      </c>
      <c r="AP62" s="45">
        <f>IF($A62="","",IFERROR(AVERAGE(AB62:AC62),""))</f>
        <v/>
      </c>
      <c r="AQ62" s="45">
        <f>IF($A62="","",IFERROR(AVERAGE(AD62),""))</f>
        <v/>
      </c>
      <c r="AR62" s="45">
        <f>IF($A62="","",IFERROR(AVERAGE(V62:AD62),""))</f>
        <v/>
      </c>
      <c r="AS62" s="36">
        <f>IF($A62="","",IF(AND(H62="",J62=""),"לא נבדק",IF(AND(OR(H62="",H62=I62),OR(J62="",J62=K62)),"תואם","לא תואם")))</f>
        <v/>
      </c>
      <c r="AT62" s="36">
        <f>IF($A62="","",IF(AND(AS62&lt;&gt;"לא תואם",G62&lt;&gt;"לא ברור"),"אמין","לפרש בזהירות"))</f>
        <v/>
      </c>
    </row>
    <row r="63">
      <c r="A63" s="38" t="n"/>
      <c r="B63" s="38" t="n"/>
      <c r="C63" s="38" t="n"/>
      <c r="D63" s="38" t="n"/>
      <c r="E63" s="38" t="n"/>
      <c r="F63" s="38" t="n"/>
      <c r="G63" s="38" t="n"/>
      <c r="H63" s="38" t="n"/>
      <c r="I63" s="38" t="n"/>
      <c r="J63" s="38" t="n"/>
      <c r="K63" s="38" t="n"/>
      <c r="L63" s="38" t="n"/>
      <c r="M63" s="38" t="n"/>
      <c r="N63" s="38" t="n"/>
      <c r="O63" s="38" t="n"/>
      <c r="P63" s="38" t="n"/>
      <c r="Q63" s="38" t="n"/>
      <c r="R63" s="38" t="n"/>
      <c r="S63" s="38" t="n"/>
      <c r="T63" s="38" t="n"/>
      <c r="U63" s="38" t="n"/>
      <c r="V63" s="38" t="n"/>
      <c r="W63" s="38" t="n"/>
      <c r="X63" s="38" t="n"/>
      <c r="Y63" s="38" t="n"/>
      <c r="Z63" s="38" t="n"/>
      <c r="AA63" s="38" t="n"/>
      <c r="AB63" s="38" t="n"/>
      <c r="AC63" s="38" t="n"/>
      <c r="AD63" s="38" t="n"/>
      <c r="AE63" s="38" t="n"/>
      <c r="AF63" s="36">
        <f>IF($A63="","",$A63&amp;"|"&amp;$C63)</f>
        <v/>
      </c>
      <c r="AG63" s="37">
        <f>IF($A63="","",IFERROR(COUNTIF(L63:M63,"כן")/(COUNTIF(L63:M63,"כן")+COUNTIF(L63:M63,"לא")),""))</f>
        <v/>
      </c>
      <c r="AH63" s="37">
        <f>IF($A63="","",IFERROR(COUNTIF(N63:O63,"כן")/(COUNTIF(N63:O63,"כן")+COUNTIF(N63:O63,"לא")),""))</f>
        <v/>
      </c>
      <c r="AI63" s="37">
        <f>IF($A63="","",IFERROR(COUNTIF(P63:Q63,"כן")/(COUNTIF(P63:Q63,"כן")+COUNTIF(P63:Q63,"לא")),""))</f>
        <v/>
      </c>
      <c r="AJ63" s="37">
        <f>IF($A63="","",IFERROR(COUNTIF(R63:S63,"כן")/(COUNTIF(R63:S63,"כן")+COUNTIF(R63:S63,"לא")),""))</f>
        <v/>
      </c>
      <c r="AK63" s="37">
        <f>IF($A63="","",IFERROR(COUNTIF(T63:U63,"כן")/(COUNTIF(T63:U63,"כן")+COUNTIF(T63:U63,"לא")),""))</f>
        <v/>
      </c>
      <c r="AL63" s="37">
        <f>IF($A63="","",IFERROR(COUNTIF(L63:U63,"כן")/(COUNTIF(L63:U63,"כן")+COUNTIF(L63:U63,"לא")),""))</f>
        <v/>
      </c>
      <c r="AM63" s="45">
        <f>IF($A63="","",IFERROR(AVERAGE(V63:W63),""))</f>
        <v/>
      </c>
      <c r="AN63" s="45">
        <f>IF($A63="","",IFERROR(AVERAGE(X63:Y63),""))</f>
        <v/>
      </c>
      <c r="AO63" s="45">
        <f>IF($A63="","",IFERROR(AVERAGE(Z63:AA63),""))</f>
        <v/>
      </c>
      <c r="AP63" s="45">
        <f>IF($A63="","",IFERROR(AVERAGE(AB63:AC63),""))</f>
        <v/>
      </c>
      <c r="AQ63" s="45">
        <f>IF($A63="","",IFERROR(AVERAGE(AD63),""))</f>
        <v/>
      </c>
      <c r="AR63" s="45">
        <f>IF($A63="","",IFERROR(AVERAGE(V63:AD63),""))</f>
        <v/>
      </c>
      <c r="AS63" s="36">
        <f>IF($A63="","",IF(AND(H63="",J63=""),"לא נבדק",IF(AND(OR(H63="",H63=I63),OR(J63="",J63=K63)),"תואם","לא תואם")))</f>
        <v/>
      </c>
      <c r="AT63" s="36">
        <f>IF($A63="","",IF(AND(AS63&lt;&gt;"לא תואם",G63&lt;&gt;"לא ברור"),"אמין","לפרש בזהירות"))</f>
        <v/>
      </c>
    </row>
    <row r="64">
      <c r="A64" s="38" t="n"/>
      <c r="B64" s="38" t="n"/>
      <c r="C64" s="38" t="n"/>
      <c r="D64" s="38" t="n"/>
      <c r="E64" s="38" t="n"/>
      <c r="F64" s="38" t="n"/>
      <c r="G64" s="38" t="n"/>
      <c r="H64" s="38" t="n"/>
      <c r="I64" s="38" t="n"/>
      <c r="J64" s="38" t="n"/>
      <c r="K64" s="38" t="n"/>
      <c r="L64" s="38" t="n"/>
      <c r="M64" s="38" t="n"/>
      <c r="N64" s="38" t="n"/>
      <c r="O64" s="38" t="n"/>
      <c r="P64" s="38" t="n"/>
      <c r="Q64" s="38" t="n"/>
      <c r="R64" s="38" t="n"/>
      <c r="S64" s="38" t="n"/>
      <c r="T64" s="38" t="n"/>
      <c r="U64" s="38" t="n"/>
      <c r="V64" s="38" t="n"/>
      <c r="W64" s="38" t="n"/>
      <c r="X64" s="38" t="n"/>
      <c r="Y64" s="38" t="n"/>
      <c r="Z64" s="38" t="n"/>
      <c r="AA64" s="38" t="n"/>
      <c r="AB64" s="38" t="n"/>
      <c r="AC64" s="38" t="n"/>
      <c r="AD64" s="38" t="n"/>
      <c r="AE64" s="38" t="n"/>
      <c r="AF64" s="36">
        <f>IF($A64="","",$A64&amp;"|"&amp;$C64)</f>
        <v/>
      </c>
      <c r="AG64" s="37">
        <f>IF($A64="","",IFERROR(COUNTIF(L64:M64,"כן")/(COUNTIF(L64:M64,"כן")+COUNTIF(L64:M64,"לא")),""))</f>
        <v/>
      </c>
      <c r="AH64" s="37">
        <f>IF($A64="","",IFERROR(COUNTIF(N64:O64,"כן")/(COUNTIF(N64:O64,"כן")+COUNTIF(N64:O64,"לא")),""))</f>
        <v/>
      </c>
      <c r="AI64" s="37">
        <f>IF($A64="","",IFERROR(COUNTIF(P64:Q64,"כן")/(COUNTIF(P64:Q64,"כן")+COUNTIF(P64:Q64,"לא")),""))</f>
        <v/>
      </c>
      <c r="AJ64" s="37">
        <f>IF($A64="","",IFERROR(COUNTIF(R64:S64,"כן")/(COUNTIF(R64:S64,"כן")+COUNTIF(R64:S64,"לא")),""))</f>
        <v/>
      </c>
      <c r="AK64" s="37">
        <f>IF($A64="","",IFERROR(COUNTIF(T64:U64,"כן")/(COUNTIF(T64:U64,"כן")+COUNTIF(T64:U64,"לא")),""))</f>
        <v/>
      </c>
      <c r="AL64" s="37">
        <f>IF($A64="","",IFERROR(COUNTIF(L64:U64,"כן")/(COUNTIF(L64:U64,"כן")+COUNTIF(L64:U64,"לא")),""))</f>
        <v/>
      </c>
      <c r="AM64" s="45">
        <f>IF($A64="","",IFERROR(AVERAGE(V64:W64),""))</f>
        <v/>
      </c>
      <c r="AN64" s="45">
        <f>IF($A64="","",IFERROR(AVERAGE(X64:Y64),""))</f>
        <v/>
      </c>
      <c r="AO64" s="45">
        <f>IF($A64="","",IFERROR(AVERAGE(Z64:AA64),""))</f>
        <v/>
      </c>
      <c r="AP64" s="45">
        <f>IF($A64="","",IFERROR(AVERAGE(AB64:AC64),""))</f>
        <v/>
      </c>
      <c r="AQ64" s="45">
        <f>IF($A64="","",IFERROR(AVERAGE(AD64),""))</f>
        <v/>
      </c>
      <c r="AR64" s="45">
        <f>IF($A64="","",IFERROR(AVERAGE(V64:AD64),""))</f>
        <v/>
      </c>
      <c r="AS64" s="36">
        <f>IF($A64="","",IF(AND(H64="",J64=""),"לא נבדק",IF(AND(OR(H64="",H64=I64),OR(J64="",J64=K64)),"תואם","לא תואם")))</f>
        <v/>
      </c>
      <c r="AT64" s="36">
        <f>IF($A64="","",IF(AND(AS64&lt;&gt;"לא תואם",G64&lt;&gt;"לא ברור"),"אמין","לפרש בזהירות"))</f>
        <v/>
      </c>
    </row>
    <row r="65">
      <c r="A65" s="38" t="n"/>
      <c r="B65" s="38" t="n"/>
      <c r="C65" s="38" t="n"/>
      <c r="D65" s="38" t="n"/>
      <c r="E65" s="38" t="n"/>
      <c r="F65" s="38" t="n"/>
      <c r="G65" s="38" t="n"/>
      <c r="H65" s="38" t="n"/>
      <c r="I65" s="38" t="n"/>
      <c r="J65" s="38" t="n"/>
      <c r="K65" s="38" t="n"/>
      <c r="L65" s="38" t="n"/>
      <c r="M65" s="38" t="n"/>
      <c r="N65" s="38" t="n"/>
      <c r="O65" s="38" t="n"/>
      <c r="P65" s="38" t="n"/>
      <c r="Q65" s="38" t="n"/>
      <c r="R65" s="38" t="n"/>
      <c r="S65" s="38" t="n"/>
      <c r="T65" s="38" t="n"/>
      <c r="U65" s="38" t="n"/>
      <c r="V65" s="38" t="n"/>
      <c r="W65" s="38" t="n"/>
      <c r="X65" s="38" t="n"/>
      <c r="Y65" s="38" t="n"/>
      <c r="Z65" s="38" t="n"/>
      <c r="AA65" s="38" t="n"/>
      <c r="AB65" s="38" t="n"/>
      <c r="AC65" s="38" t="n"/>
      <c r="AD65" s="38" t="n"/>
      <c r="AE65" s="38" t="n"/>
      <c r="AF65" s="36">
        <f>IF($A65="","",$A65&amp;"|"&amp;$C65)</f>
        <v/>
      </c>
      <c r="AG65" s="37">
        <f>IF($A65="","",IFERROR(COUNTIF(L65:M65,"כן")/(COUNTIF(L65:M65,"כן")+COUNTIF(L65:M65,"לא")),""))</f>
        <v/>
      </c>
      <c r="AH65" s="37">
        <f>IF($A65="","",IFERROR(COUNTIF(N65:O65,"כן")/(COUNTIF(N65:O65,"כן")+COUNTIF(N65:O65,"לא")),""))</f>
        <v/>
      </c>
      <c r="AI65" s="37">
        <f>IF($A65="","",IFERROR(COUNTIF(P65:Q65,"כן")/(COUNTIF(P65:Q65,"כן")+COUNTIF(P65:Q65,"לא")),""))</f>
        <v/>
      </c>
      <c r="AJ65" s="37">
        <f>IF($A65="","",IFERROR(COUNTIF(R65:S65,"כן")/(COUNTIF(R65:S65,"כן")+COUNTIF(R65:S65,"לא")),""))</f>
        <v/>
      </c>
      <c r="AK65" s="37">
        <f>IF($A65="","",IFERROR(COUNTIF(T65:U65,"כן")/(COUNTIF(T65:U65,"כן")+COUNTIF(T65:U65,"לא")),""))</f>
        <v/>
      </c>
      <c r="AL65" s="37">
        <f>IF($A65="","",IFERROR(COUNTIF(L65:U65,"כן")/(COUNTIF(L65:U65,"כן")+COUNTIF(L65:U65,"לא")),""))</f>
        <v/>
      </c>
      <c r="AM65" s="45">
        <f>IF($A65="","",IFERROR(AVERAGE(V65:W65),""))</f>
        <v/>
      </c>
      <c r="AN65" s="45">
        <f>IF($A65="","",IFERROR(AVERAGE(X65:Y65),""))</f>
        <v/>
      </c>
      <c r="AO65" s="45">
        <f>IF($A65="","",IFERROR(AVERAGE(Z65:AA65),""))</f>
        <v/>
      </c>
      <c r="AP65" s="45">
        <f>IF($A65="","",IFERROR(AVERAGE(AB65:AC65),""))</f>
        <v/>
      </c>
      <c r="AQ65" s="45">
        <f>IF($A65="","",IFERROR(AVERAGE(AD65),""))</f>
        <v/>
      </c>
      <c r="AR65" s="45">
        <f>IF($A65="","",IFERROR(AVERAGE(V65:AD65),""))</f>
        <v/>
      </c>
      <c r="AS65" s="36">
        <f>IF($A65="","",IF(AND(H65="",J65=""),"לא נבדק",IF(AND(OR(H65="",H65=I65),OR(J65="",J65=K65)),"תואם","לא תואם")))</f>
        <v/>
      </c>
      <c r="AT65" s="36">
        <f>IF($A65="","",IF(AND(AS65&lt;&gt;"לא תואם",G65&lt;&gt;"לא ברור"),"אמין","לפרש בזהירות"))</f>
        <v/>
      </c>
    </row>
    <row r="66">
      <c r="A66" s="38" t="n"/>
      <c r="B66" s="38" t="n"/>
      <c r="C66" s="38" t="n"/>
      <c r="D66" s="38" t="n"/>
      <c r="E66" s="38" t="n"/>
      <c r="F66" s="38" t="n"/>
      <c r="G66" s="38" t="n"/>
      <c r="H66" s="38" t="n"/>
      <c r="I66" s="38" t="n"/>
      <c r="J66" s="38" t="n"/>
      <c r="K66" s="38" t="n"/>
      <c r="L66" s="38" t="n"/>
      <c r="M66" s="38" t="n"/>
      <c r="N66" s="38" t="n"/>
      <c r="O66" s="38" t="n"/>
      <c r="P66" s="38" t="n"/>
      <c r="Q66" s="38" t="n"/>
      <c r="R66" s="38" t="n"/>
      <c r="S66" s="38" t="n"/>
      <c r="T66" s="38" t="n"/>
      <c r="U66" s="38" t="n"/>
      <c r="V66" s="38" t="n"/>
      <c r="W66" s="38" t="n"/>
      <c r="X66" s="38" t="n"/>
      <c r="Y66" s="38" t="n"/>
      <c r="Z66" s="38" t="n"/>
      <c r="AA66" s="38" t="n"/>
      <c r="AB66" s="38" t="n"/>
      <c r="AC66" s="38" t="n"/>
      <c r="AD66" s="38" t="n"/>
      <c r="AE66" s="38" t="n"/>
      <c r="AF66" s="36">
        <f>IF($A66="","",$A66&amp;"|"&amp;$C66)</f>
        <v/>
      </c>
      <c r="AG66" s="37">
        <f>IF($A66="","",IFERROR(COUNTIF(L66:M66,"כן")/(COUNTIF(L66:M66,"כן")+COUNTIF(L66:M66,"לא")),""))</f>
        <v/>
      </c>
      <c r="AH66" s="37">
        <f>IF($A66="","",IFERROR(COUNTIF(N66:O66,"כן")/(COUNTIF(N66:O66,"כן")+COUNTIF(N66:O66,"לא")),""))</f>
        <v/>
      </c>
      <c r="AI66" s="37">
        <f>IF($A66="","",IFERROR(COUNTIF(P66:Q66,"כן")/(COUNTIF(P66:Q66,"כן")+COUNTIF(P66:Q66,"לא")),""))</f>
        <v/>
      </c>
      <c r="AJ66" s="37">
        <f>IF($A66="","",IFERROR(COUNTIF(R66:S66,"כן")/(COUNTIF(R66:S66,"כן")+COUNTIF(R66:S66,"לא")),""))</f>
        <v/>
      </c>
      <c r="AK66" s="37">
        <f>IF($A66="","",IFERROR(COUNTIF(T66:U66,"כן")/(COUNTIF(T66:U66,"כן")+COUNTIF(T66:U66,"לא")),""))</f>
        <v/>
      </c>
      <c r="AL66" s="37">
        <f>IF($A66="","",IFERROR(COUNTIF(L66:U66,"כן")/(COUNTIF(L66:U66,"כן")+COUNTIF(L66:U66,"לא")),""))</f>
        <v/>
      </c>
      <c r="AM66" s="45">
        <f>IF($A66="","",IFERROR(AVERAGE(V66:W66),""))</f>
        <v/>
      </c>
      <c r="AN66" s="45">
        <f>IF($A66="","",IFERROR(AVERAGE(X66:Y66),""))</f>
        <v/>
      </c>
      <c r="AO66" s="45">
        <f>IF($A66="","",IFERROR(AVERAGE(Z66:AA66),""))</f>
        <v/>
      </c>
      <c r="AP66" s="45">
        <f>IF($A66="","",IFERROR(AVERAGE(AB66:AC66),""))</f>
        <v/>
      </c>
      <c r="AQ66" s="45">
        <f>IF($A66="","",IFERROR(AVERAGE(AD66),""))</f>
        <v/>
      </c>
      <c r="AR66" s="45">
        <f>IF($A66="","",IFERROR(AVERAGE(V66:AD66),""))</f>
        <v/>
      </c>
      <c r="AS66" s="36">
        <f>IF($A66="","",IF(AND(H66="",J66=""),"לא נבדק",IF(AND(OR(H66="",H66=I66),OR(J66="",J66=K66)),"תואם","לא תואם")))</f>
        <v/>
      </c>
      <c r="AT66" s="36">
        <f>IF($A66="","",IF(AND(AS66&lt;&gt;"לא תואם",G66&lt;&gt;"לא ברור"),"אמין","לפרש בזהירות"))</f>
        <v/>
      </c>
    </row>
    <row r="67">
      <c r="A67" s="38" t="n"/>
      <c r="B67" s="38" t="n"/>
      <c r="C67" s="38" t="n"/>
      <c r="D67" s="38" t="n"/>
      <c r="E67" s="38" t="n"/>
      <c r="F67" s="38" t="n"/>
      <c r="G67" s="38" t="n"/>
      <c r="H67" s="38" t="n"/>
      <c r="I67" s="38" t="n"/>
      <c r="J67" s="38" t="n"/>
      <c r="K67" s="38" t="n"/>
      <c r="L67" s="38" t="n"/>
      <c r="M67" s="38" t="n"/>
      <c r="N67" s="38" t="n"/>
      <c r="O67" s="38" t="n"/>
      <c r="P67" s="38" t="n"/>
      <c r="Q67" s="38" t="n"/>
      <c r="R67" s="38" t="n"/>
      <c r="S67" s="38" t="n"/>
      <c r="T67" s="38" t="n"/>
      <c r="U67" s="38" t="n"/>
      <c r="V67" s="38" t="n"/>
      <c r="W67" s="38" t="n"/>
      <c r="X67" s="38" t="n"/>
      <c r="Y67" s="38" t="n"/>
      <c r="Z67" s="38" t="n"/>
      <c r="AA67" s="38" t="n"/>
      <c r="AB67" s="38" t="n"/>
      <c r="AC67" s="38" t="n"/>
      <c r="AD67" s="38" t="n"/>
      <c r="AE67" s="38" t="n"/>
      <c r="AF67" s="36">
        <f>IF($A67="","",$A67&amp;"|"&amp;$C67)</f>
        <v/>
      </c>
      <c r="AG67" s="37">
        <f>IF($A67="","",IFERROR(COUNTIF(L67:M67,"כן")/(COUNTIF(L67:M67,"כן")+COUNTIF(L67:M67,"לא")),""))</f>
        <v/>
      </c>
      <c r="AH67" s="37">
        <f>IF($A67="","",IFERROR(COUNTIF(N67:O67,"כן")/(COUNTIF(N67:O67,"כן")+COUNTIF(N67:O67,"לא")),""))</f>
        <v/>
      </c>
      <c r="AI67" s="37">
        <f>IF($A67="","",IFERROR(COUNTIF(P67:Q67,"כן")/(COUNTIF(P67:Q67,"כן")+COUNTIF(P67:Q67,"לא")),""))</f>
        <v/>
      </c>
      <c r="AJ67" s="37">
        <f>IF($A67="","",IFERROR(COUNTIF(R67:S67,"כן")/(COUNTIF(R67:S67,"כן")+COUNTIF(R67:S67,"לא")),""))</f>
        <v/>
      </c>
      <c r="AK67" s="37">
        <f>IF($A67="","",IFERROR(COUNTIF(T67:U67,"כן")/(COUNTIF(T67:U67,"כן")+COUNTIF(T67:U67,"לא")),""))</f>
        <v/>
      </c>
      <c r="AL67" s="37">
        <f>IF($A67="","",IFERROR(COUNTIF(L67:U67,"כן")/(COUNTIF(L67:U67,"כן")+COUNTIF(L67:U67,"לא")),""))</f>
        <v/>
      </c>
      <c r="AM67" s="45">
        <f>IF($A67="","",IFERROR(AVERAGE(V67:W67),""))</f>
        <v/>
      </c>
      <c r="AN67" s="45">
        <f>IF($A67="","",IFERROR(AVERAGE(X67:Y67),""))</f>
        <v/>
      </c>
      <c r="AO67" s="45">
        <f>IF($A67="","",IFERROR(AVERAGE(Z67:AA67),""))</f>
        <v/>
      </c>
      <c r="AP67" s="45">
        <f>IF($A67="","",IFERROR(AVERAGE(AB67:AC67),""))</f>
        <v/>
      </c>
      <c r="AQ67" s="45">
        <f>IF($A67="","",IFERROR(AVERAGE(AD67),""))</f>
        <v/>
      </c>
      <c r="AR67" s="45">
        <f>IF($A67="","",IFERROR(AVERAGE(V67:AD67),""))</f>
        <v/>
      </c>
      <c r="AS67" s="36">
        <f>IF($A67="","",IF(AND(H67="",J67=""),"לא נבדק",IF(AND(OR(H67="",H67=I67),OR(J67="",J67=K67)),"תואם","לא תואם")))</f>
        <v/>
      </c>
      <c r="AT67" s="36">
        <f>IF($A67="","",IF(AND(AS67&lt;&gt;"לא תואם",G67&lt;&gt;"לא ברור"),"אמין","לפרש בזהירות"))</f>
        <v/>
      </c>
    </row>
    <row r="68">
      <c r="A68" s="38" t="n"/>
      <c r="B68" s="38" t="n"/>
      <c r="C68" s="38" t="n"/>
      <c r="D68" s="38" t="n"/>
      <c r="E68" s="38" t="n"/>
      <c r="F68" s="38" t="n"/>
      <c r="G68" s="38" t="n"/>
      <c r="H68" s="38" t="n"/>
      <c r="I68" s="38" t="n"/>
      <c r="J68" s="38" t="n"/>
      <c r="K68" s="38" t="n"/>
      <c r="L68" s="38" t="n"/>
      <c r="M68" s="38" t="n"/>
      <c r="N68" s="38" t="n"/>
      <c r="O68" s="38" t="n"/>
      <c r="P68" s="38" t="n"/>
      <c r="Q68" s="38" t="n"/>
      <c r="R68" s="38" t="n"/>
      <c r="S68" s="38" t="n"/>
      <c r="T68" s="38" t="n"/>
      <c r="U68" s="38" t="n"/>
      <c r="V68" s="38" t="n"/>
      <c r="W68" s="38" t="n"/>
      <c r="X68" s="38" t="n"/>
      <c r="Y68" s="38" t="n"/>
      <c r="Z68" s="38" t="n"/>
      <c r="AA68" s="38" t="n"/>
      <c r="AB68" s="38" t="n"/>
      <c r="AC68" s="38" t="n"/>
      <c r="AD68" s="38" t="n"/>
      <c r="AE68" s="38" t="n"/>
      <c r="AF68" s="36">
        <f>IF($A68="","",$A68&amp;"|"&amp;$C68)</f>
        <v/>
      </c>
      <c r="AG68" s="37">
        <f>IF($A68="","",IFERROR(COUNTIF(L68:M68,"כן")/(COUNTIF(L68:M68,"כן")+COUNTIF(L68:M68,"לא")),""))</f>
        <v/>
      </c>
      <c r="AH68" s="37">
        <f>IF($A68="","",IFERROR(COUNTIF(N68:O68,"כן")/(COUNTIF(N68:O68,"כן")+COUNTIF(N68:O68,"לא")),""))</f>
        <v/>
      </c>
      <c r="AI68" s="37">
        <f>IF($A68="","",IFERROR(COUNTIF(P68:Q68,"כן")/(COUNTIF(P68:Q68,"כן")+COUNTIF(P68:Q68,"לא")),""))</f>
        <v/>
      </c>
      <c r="AJ68" s="37">
        <f>IF($A68="","",IFERROR(COUNTIF(R68:S68,"כן")/(COUNTIF(R68:S68,"כן")+COUNTIF(R68:S68,"לא")),""))</f>
        <v/>
      </c>
      <c r="AK68" s="37">
        <f>IF($A68="","",IFERROR(COUNTIF(T68:U68,"כן")/(COUNTIF(T68:U68,"כן")+COUNTIF(T68:U68,"לא")),""))</f>
        <v/>
      </c>
      <c r="AL68" s="37">
        <f>IF($A68="","",IFERROR(COUNTIF(L68:U68,"כן")/(COUNTIF(L68:U68,"כן")+COUNTIF(L68:U68,"לא")),""))</f>
        <v/>
      </c>
      <c r="AM68" s="45">
        <f>IF($A68="","",IFERROR(AVERAGE(V68:W68),""))</f>
        <v/>
      </c>
      <c r="AN68" s="45">
        <f>IF($A68="","",IFERROR(AVERAGE(X68:Y68),""))</f>
        <v/>
      </c>
      <c r="AO68" s="45">
        <f>IF($A68="","",IFERROR(AVERAGE(Z68:AA68),""))</f>
        <v/>
      </c>
      <c r="AP68" s="45">
        <f>IF($A68="","",IFERROR(AVERAGE(AB68:AC68),""))</f>
        <v/>
      </c>
      <c r="AQ68" s="45">
        <f>IF($A68="","",IFERROR(AVERAGE(AD68),""))</f>
        <v/>
      </c>
      <c r="AR68" s="45">
        <f>IF($A68="","",IFERROR(AVERAGE(V68:AD68),""))</f>
        <v/>
      </c>
      <c r="AS68" s="36">
        <f>IF($A68="","",IF(AND(H68="",J68=""),"לא נבדק",IF(AND(OR(H68="",H68=I68),OR(J68="",J68=K68)),"תואם","לא תואם")))</f>
        <v/>
      </c>
      <c r="AT68" s="36">
        <f>IF($A68="","",IF(AND(AS68&lt;&gt;"לא תואם",G68&lt;&gt;"לא ברור"),"אמין","לפרש בזהירות"))</f>
        <v/>
      </c>
    </row>
    <row r="69">
      <c r="A69" s="38" t="n"/>
      <c r="B69" s="38" t="n"/>
      <c r="C69" s="38" t="n"/>
      <c r="D69" s="38" t="n"/>
      <c r="E69" s="38" t="n"/>
      <c r="F69" s="38" t="n"/>
      <c r="G69" s="38" t="n"/>
      <c r="H69" s="38" t="n"/>
      <c r="I69" s="38" t="n"/>
      <c r="J69" s="38" t="n"/>
      <c r="K69" s="38" t="n"/>
      <c r="L69" s="38" t="n"/>
      <c r="M69" s="38" t="n"/>
      <c r="N69" s="38" t="n"/>
      <c r="O69" s="38" t="n"/>
      <c r="P69" s="38" t="n"/>
      <c r="Q69" s="38" t="n"/>
      <c r="R69" s="38" t="n"/>
      <c r="S69" s="38" t="n"/>
      <c r="T69" s="38" t="n"/>
      <c r="U69" s="38" t="n"/>
      <c r="V69" s="38" t="n"/>
      <c r="W69" s="38" t="n"/>
      <c r="X69" s="38" t="n"/>
      <c r="Y69" s="38" t="n"/>
      <c r="Z69" s="38" t="n"/>
      <c r="AA69" s="38" t="n"/>
      <c r="AB69" s="38" t="n"/>
      <c r="AC69" s="38" t="n"/>
      <c r="AD69" s="38" t="n"/>
      <c r="AE69" s="38" t="n"/>
      <c r="AF69" s="36">
        <f>IF($A69="","",$A69&amp;"|"&amp;$C69)</f>
        <v/>
      </c>
      <c r="AG69" s="37">
        <f>IF($A69="","",IFERROR(COUNTIF(L69:M69,"כן")/(COUNTIF(L69:M69,"כן")+COUNTIF(L69:M69,"לא")),""))</f>
        <v/>
      </c>
      <c r="AH69" s="37">
        <f>IF($A69="","",IFERROR(COUNTIF(N69:O69,"כן")/(COUNTIF(N69:O69,"כן")+COUNTIF(N69:O69,"לא")),""))</f>
        <v/>
      </c>
      <c r="AI69" s="37">
        <f>IF($A69="","",IFERROR(COUNTIF(P69:Q69,"כן")/(COUNTIF(P69:Q69,"כן")+COUNTIF(P69:Q69,"לא")),""))</f>
        <v/>
      </c>
      <c r="AJ69" s="37">
        <f>IF($A69="","",IFERROR(COUNTIF(R69:S69,"כן")/(COUNTIF(R69:S69,"כן")+COUNTIF(R69:S69,"לא")),""))</f>
        <v/>
      </c>
      <c r="AK69" s="37">
        <f>IF($A69="","",IFERROR(COUNTIF(T69:U69,"כן")/(COUNTIF(T69:U69,"כן")+COUNTIF(T69:U69,"לא")),""))</f>
        <v/>
      </c>
      <c r="AL69" s="37">
        <f>IF($A69="","",IFERROR(COUNTIF(L69:U69,"כן")/(COUNTIF(L69:U69,"כן")+COUNTIF(L69:U69,"לא")),""))</f>
        <v/>
      </c>
      <c r="AM69" s="45">
        <f>IF($A69="","",IFERROR(AVERAGE(V69:W69),""))</f>
        <v/>
      </c>
      <c r="AN69" s="45">
        <f>IF($A69="","",IFERROR(AVERAGE(X69:Y69),""))</f>
        <v/>
      </c>
      <c r="AO69" s="45">
        <f>IF($A69="","",IFERROR(AVERAGE(Z69:AA69),""))</f>
        <v/>
      </c>
      <c r="AP69" s="45">
        <f>IF($A69="","",IFERROR(AVERAGE(AB69:AC69),""))</f>
        <v/>
      </c>
      <c r="AQ69" s="45">
        <f>IF($A69="","",IFERROR(AVERAGE(AD69),""))</f>
        <v/>
      </c>
      <c r="AR69" s="45">
        <f>IF($A69="","",IFERROR(AVERAGE(V69:AD69),""))</f>
        <v/>
      </c>
      <c r="AS69" s="36">
        <f>IF($A69="","",IF(AND(H69="",J69=""),"לא נבדק",IF(AND(OR(H69="",H69=I69),OR(J69="",J69=K69)),"תואם","לא תואם")))</f>
        <v/>
      </c>
      <c r="AT69" s="36">
        <f>IF($A69="","",IF(AND(AS69&lt;&gt;"לא תואם",G69&lt;&gt;"לא ברור"),"אמין","לפרש בזהירות"))</f>
        <v/>
      </c>
    </row>
    <row r="70">
      <c r="A70" s="38" t="n"/>
      <c r="B70" s="38" t="n"/>
      <c r="C70" s="38" t="n"/>
      <c r="D70" s="38" t="n"/>
      <c r="E70" s="38" t="n"/>
      <c r="F70" s="38" t="n"/>
      <c r="G70" s="38" t="n"/>
      <c r="H70" s="38" t="n"/>
      <c r="I70" s="38" t="n"/>
      <c r="J70" s="38" t="n"/>
      <c r="K70" s="38" t="n"/>
      <c r="L70" s="38" t="n"/>
      <c r="M70" s="38" t="n"/>
      <c r="N70" s="38" t="n"/>
      <c r="O70" s="38" t="n"/>
      <c r="P70" s="38" t="n"/>
      <c r="Q70" s="38" t="n"/>
      <c r="R70" s="38" t="n"/>
      <c r="S70" s="38" t="n"/>
      <c r="T70" s="38" t="n"/>
      <c r="U70" s="38" t="n"/>
      <c r="V70" s="38" t="n"/>
      <c r="W70" s="38" t="n"/>
      <c r="X70" s="38" t="n"/>
      <c r="Y70" s="38" t="n"/>
      <c r="Z70" s="38" t="n"/>
      <c r="AA70" s="38" t="n"/>
      <c r="AB70" s="38" t="n"/>
      <c r="AC70" s="38" t="n"/>
      <c r="AD70" s="38" t="n"/>
      <c r="AE70" s="38" t="n"/>
      <c r="AF70" s="36">
        <f>IF($A70="","",$A70&amp;"|"&amp;$C70)</f>
        <v/>
      </c>
      <c r="AG70" s="37">
        <f>IF($A70="","",IFERROR(COUNTIF(L70:M70,"כן")/(COUNTIF(L70:M70,"כן")+COUNTIF(L70:M70,"לא")),""))</f>
        <v/>
      </c>
      <c r="AH70" s="37">
        <f>IF($A70="","",IFERROR(COUNTIF(N70:O70,"כן")/(COUNTIF(N70:O70,"כן")+COUNTIF(N70:O70,"לא")),""))</f>
        <v/>
      </c>
      <c r="AI70" s="37">
        <f>IF($A70="","",IFERROR(COUNTIF(P70:Q70,"כן")/(COUNTIF(P70:Q70,"כן")+COUNTIF(P70:Q70,"לא")),""))</f>
        <v/>
      </c>
      <c r="AJ70" s="37">
        <f>IF($A70="","",IFERROR(COUNTIF(R70:S70,"כן")/(COUNTIF(R70:S70,"כן")+COUNTIF(R70:S70,"לא")),""))</f>
        <v/>
      </c>
      <c r="AK70" s="37">
        <f>IF($A70="","",IFERROR(COUNTIF(T70:U70,"כן")/(COUNTIF(T70:U70,"כן")+COUNTIF(T70:U70,"לא")),""))</f>
        <v/>
      </c>
      <c r="AL70" s="37">
        <f>IF($A70="","",IFERROR(COUNTIF(L70:U70,"כן")/(COUNTIF(L70:U70,"כן")+COUNTIF(L70:U70,"לא")),""))</f>
        <v/>
      </c>
      <c r="AM70" s="45">
        <f>IF($A70="","",IFERROR(AVERAGE(V70:W70),""))</f>
        <v/>
      </c>
      <c r="AN70" s="45">
        <f>IF($A70="","",IFERROR(AVERAGE(X70:Y70),""))</f>
        <v/>
      </c>
      <c r="AO70" s="45">
        <f>IF($A70="","",IFERROR(AVERAGE(Z70:AA70),""))</f>
        <v/>
      </c>
      <c r="AP70" s="45">
        <f>IF($A70="","",IFERROR(AVERAGE(AB70:AC70),""))</f>
        <v/>
      </c>
      <c r="AQ70" s="45">
        <f>IF($A70="","",IFERROR(AVERAGE(AD70),""))</f>
        <v/>
      </c>
      <c r="AR70" s="45">
        <f>IF($A70="","",IFERROR(AVERAGE(V70:AD70),""))</f>
        <v/>
      </c>
      <c r="AS70" s="36">
        <f>IF($A70="","",IF(AND(H70="",J70=""),"לא נבדק",IF(AND(OR(H70="",H70=I70),OR(J70="",J70=K70)),"תואם","לא תואם")))</f>
        <v/>
      </c>
      <c r="AT70" s="36">
        <f>IF($A70="","",IF(AND(AS70&lt;&gt;"לא תואם",G70&lt;&gt;"לא ברור"),"אמין","לפרש בזהירות"))</f>
        <v/>
      </c>
    </row>
    <row r="71">
      <c r="A71" s="38" t="n"/>
      <c r="B71" s="38" t="n"/>
      <c r="C71" s="38" t="n"/>
      <c r="D71" s="38" t="n"/>
      <c r="E71" s="38" t="n"/>
      <c r="F71" s="38" t="n"/>
      <c r="G71" s="38" t="n"/>
      <c r="H71" s="38" t="n"/>
      <c r="I71" s="38" t="n"/>
      <c r="J71" s="38" t="n"/>
      <c r="K71" s="38" t="n"/>
      <c r="L71" s="38" t="n"/>
      <c r="M71" s="38" t="n"/>
      <c r="N71" s="38" t="n"/>
      <c r="O71" s="38" t="n"/>
      <c r="P71" s="38" t="n"/>
      <c r="Q71" s="38" t="n"/>
      <c r="R71" s="38" t="n"/>
      <c r="S71" s="38" t="n"/>
      <c r="T71" s="38" t="n"/>
      <c r="U71" s="38" t="n"/>
      <c r="V71" s="38" t="n"/>
      <c r="W71" s="38" t="n"/>
      <c r="X71" s="38" t="n"/>
      <c r="Y71" s="38" t="n"/>
      <c r="Z71" s="38" t="n"/>
      <c r="AA71" s="38" t="n"/>
      <c r="AB71" s="38" t="n"/>
      <c r="AC71" s="38" t="n"/>
      <c r="AD71" s="38" t="n"/>
      <c r="AE71" s="38" t="n"/>
      <c r="AF71" s="36">
        <f>IF($A71="","",$A71&amp;"|"&amp;$C71)</f>
        <v/>
      </c>
      <c r="AG71" s="37">
        <f>IF($A71="","",IFERROR(COUNTIF(L71:M71,"כן")/(COUNTIF(L71:M71,"כן")+COUNTIF(L71:M71,"לא")),""))</f>
        <v/>
      </c>
      <c r="AH71" s="37">
        <f>IF($A71="","",IFERROR(COUNTIF(N71:O71,"כן")/(COUNTIF(N71:O71,"כן")+COUNTIF(N71:O71,"לא")),""))</f>
        <v/>
      </c>
      <c r="AI71" s="37">
        <f>IF($A71="","",IFERROR(COUNTIF(P71:Q71,"כן")/(COUNTIF(P71:Q71,"כן")+COUNTIF(P71:Q71,"לא")),""))</f>
        <v/>
      </c>
      <c r="AJ71" s="37">
        <f>IF($A71="","",IFERROR(COUNTIF(R71:S71,"כן")/(COUNTIF(R71:S71,"כן")+COUNTIF(R71:S71,"לא")),""))</f>
        <v/>
      </c>
      <c r="AK71" s="37">
        <f>IF($A71="","",IFERROR(COUNTIF(T71:U71,"כן")/(COUNTIF(T71:U71,"כן")+COUNTIF(T71:U71,"לא")),""))</f>
        <v/>
      </c>
      <c r="AL71" s="37">
        <f>IF($A71="","",IFERROR(COUNTIF(L71:U71,"כן")/(COUNTIF(L71:U71,"כן")+COUNTIF(L71:U71,"לא")),""))</f>
        <v/>
      </c>
      <c r="AM71" s="45">
        <f>IF($A71="","",IFERROR(AVERAGE(V71:W71),""))</f>
        <v/>
      </c>
      <c r="AN71" s="45">
        <f>IF($A71="","",IFERROR(AVERAGE(X71:Y71),""))</f>
        <v/>
      </c>
      <c r="AO71" s="45">
        <f>IF($A71="","",IFERROR(AVERAGE(Z71:AA71),""))</f>
        <v/>
      </c>
      <c r="AP71" s="45">
        <f>IF($A71="","",IFERROR(AVERAGE(AB71:AC71),""))</f>
        <v/>
      </c>
      <c r="AQ71" s="45">
        <f>IF($A71="","",IFERROR(AVERAGE(AD71),""))</f>
        <v/>
      </c>
      <c r="AR71" s="45">
        <f>IF($A71="","",IFERROR(AVERAGE(V71:AD71),""))</f>
        <v/>
      </c>
      <c r="AS71" s="36">
        <f>IF($A71="","",IF(AND(H71="",J71=""),"לא נבדק",IF(AND(OR(H71="",H71=I71),OR(J71="",J71=K71)),"תואם","לא תואם")))</f>
        <v/>
      </c>
      <c r="AT71" s="36">
        <f>IF($A71="","",IF(AND(AS71&lt;&gt;"לא תואם",G71&lt;&gt;"לא ברור"),"אמין","לפרש בזהירות"))</f>
        <v/>
      </c>
    </row>
    <row r="72">
      <c r="A72" s="38" t="n"/>
      <c r="B72" s="38" t="n"/>
      <c r="C72" s="38" t="n"/>
      <c r="D72" s="38" t="n"/>
      <c r="E72" s="38" t="n"/>
      <c r="F72" s="38" t="n"/>
      <c r="G72" s="38" t="n"/>
      <c r="H72" s="38" t="n"/>
      <c r="I72" s="38" t="n"/>
      <c r="J72" s="38" t="n"/>
      <c r="K72" s="38" t="n"/>
      <c r="L72" s="38" t="n"/>
      <c r="M72" s="38" t="n"/>
      <c r="N72" s="38" t="n"/>
      <c r="O72" s="38" t="n"/>
      <c r="P72" s="38" t="n"/>
      <c r="Q72" s="38" t="n"/>
      <c r="R72" s="38" t="n"/>
      <c r="S72" s="38" t="n"/>
      <c r="T72" s="38" t="n"/>
      <c r="U72" s="38" t="n"/>
      <c r="V72" s="38" t="n"/>
      <c r="W72" s="38" t="n"/>
      <c r="X72" s="38" t="n"/>
      <c r="Y72" s="38" t="n"/>
      <c r="Z72" s="38" t="n"/>
      <c r="AA72" s="38" t="n"/>
      <c r="AB72" s="38" t="n"/>
      <c r="AC72" s="38" t="n"/>
      <c r="AD72" s="38" t="n"/>
      <c r="AE72" s="38" t="n"/>
      <c r="AF72" s="36">
        <f>IF($A72="","",$A72&amp;"|"&amp;$C72)</f>
        <v/>
      </c>
      <c r="AG72" s="37">
        <f>IF($A72="","",IFERROR(COUNTIF(L72:M72,"כן")/(COUNTIF(L72:M72,"כן")+COUNTIF(L72:M72,"לא")),""))</f>
        <v/>
      </c>
      <c r="AH72" s="37">
        <f>IF($A72="","",IFERROR(COUNTIF(N72:O72,"כן")/(COUNTIF(N72:O72,"כן")+COUNTIF(N72:O72,"לא")),""))</f>
        <v/>
      </c>
      <c r="AI72" s="37">
        <f>IF($A72="","",IFERROR(COUNTIF(P72:Q72,"כן")/(COUNTIF(P72:Q72,"כן")+COUNTIF(P72:Q72,"לא")),""))</f>
        <v/>
      </c>
      <c r="AJ72" s="37">
        <f>IF($A72="","",IFERROR(COUNTIF(R72:S72,"כן")/(COUNTIF(R72:S72,"כן")+COUNTIF(R72:S72,"לא")),""))</f>
        <v/>
      </c>
      <c r="AK72" s="37">
        <f>IF($A72="","",IFERROR(COUNTIF(T72:U72,"כן")/(COUNTIF(T72:U72,"כן")+COUNTIF(T72:U72,"לא")),""))</f>
        <v/>
      </c>
      <c r="AL72" s="37">
        <f>IF($A72="","",IFERROR(COUNTIF(L72:U72,"כן")/(COUNTIF(L72:U72,"כן")+COUNTIF(L72:U72,"לא")),""))</f>
        <v/>
      </c>
      <c r="AM72" s="45">
        <f>IF($A72="","",IFERROR(AVERAGE(V72:W72),""))</f>
        <v/>
      </c>
      <c r="AN72" s="45">
        <f>IF($A72="","",IFERROR(AVERAGE(X72:Y72),""))</f>
        <v/>
      </c>
      <c r="AO72" s="45">
        <f>IF($A72="","",IFERROR(AVERAGE(Z72:AA72),""))</f>
        <v/>
      </c>
      <c r="AP72" s="45">
        <f>IF($A72="","",IFERROR(AVERAGE(AB72:AC72),""))</f>
        <v/>
      </c>
      <c r="AQ72" s="45">
        <f>IF($A72="","",IFERROR(AVERAGE(AD72),""))</f>
        <v/>
      </c>
      <c r="AR72" s="45">
        <f>IF($A72="","",IFERROR(AVERAGE(V72:AD72),""))</f>
        <v/>
      </c>
      <c r="AS72" s="36">
        <f>IF($A72="","",IF(AND(H72="",J72=""),"לא נבדק",IF(AND(OR(H72="",H72=I72),OR(J72="",J72=K72)),"תואם","לא תואם")))</f>
        <v/>
      </c>
      <c r="AT72" s="36">
        <f>IF($A72="","",IF(AND(AS72&lt;&gt;"לא תואם",G72&lt;&gt;"לא ברור"),"אמין","לפרש בזהירות"))</f>
        <v/>
      </c>
    </row>
    <row r="73">
      <c r="A73" s="38" t="n"/>
      <c r="B73" s="38" t="n"/>
      <c r="C73" s="38" t="n"/>
      <c r="D73" s="38" t="n"/>
      <c r="E73" s="38" t="n"/>
      <c r="F73" s="38" t="n"/>
      <c r="G73" s="38" t="n"/>
      <c r="H73" s="38" t="n"/>
      <c r="I73" s="38" t="n"/>
      <c r="J73" s="38" t="n"/>
      <c r="K73" s="38" t="n"/>
      <c r="L73" s="38" t="n"/>
      <c r="M73" s="38" t="n"/>
      <c r="N73" s="38" t="n"/>
      <c r="O73" s="38" t="n"/>
      <c r="P73" s="38" t="n"/>
      <c r="Q73" s="38" t="n"/>
      <c r="R73" s="38" t="n"/>
      <c r="S73" s="38" t="n"/>
      <c r="T73" s="38" t="n"/>
      <c r="U73" s="38" t="n"/>
      <c r="V73" s="38" t="n"/>
      <c r="W73" s="38" t="n"/>
      <c r="X73" s="38" t="n"/>
      <c r="Y73" s="38" t="n"/>
      <c r="Z73" s="38" t="n"/>
      <c r="AA73" s="38" t="n"/>
      <c r="AB73" s="38" t="n"/>
      <c r="AC73" s="38" t="n"/>
      <c r="AD73" s="38" t="n"/>
      <c r="AE73" s="38" t="n"/>
      <c r="AF73" s="36">
        <f>IF($A73="","",$A73&amp;"|"&amp;$C73)</f>
        <v/>
      </c>
      <c r="AG73" s="37">
        <f>IF($A73="","",IFERROR(COUNTIF(L73:M73,"כן")/(COUNTIF(L73:M73,"כן")+COUNTIF(L73:M73,"לא")),""))</f>
        <v/>
      </c>
      <c r="AH73" s="37">
        <f>IF($A73="","",IFERROR(COUNTIF(N73:O73,"כן")/(COUNTIF(N73:O73,"כן")+COUNTIF(N73:O73,"לא")),""))</f>
        <v/>
      </c>
      <c r="AI73" s="37">
        <f>IF($A73="","",IFERROR(COUNTIF(P73:Q73,"כן")/(COUNTIF(P73:Q73,"כן")+COUNTIF(P73:Q73,"לא")),""))</f>
        <v/>
      </c>
      <c r="AJ73" s="37">
        <f>IF($A73="","",IFERROR(COUNTIF(R73:S73,"כן")/(COUNTIF(R73:S73,"כן")+COUNTIF(R73:S73,"לא")),""))</f>
        <v/>
      </c>
      <c r="AK73" s="37">
        <f>IF($A73="","",IFERROR(COUNTIF(T73:U73,"כן")/(COUNTIF(T73:U73,"כן")+COUNTIF(T73:U73,"לא")),""))</f>
        <v/>
      </c>
      <c r="AL73" s="37">
        <f>IF($A73="","",IFERROR(COUNTIF(L73:U73,"כן")/(COUNTIF(L73:U73,"כן")+COUNTIF(L73:U73,"לא")),""))</f>
        <v/>
      </c>
      <c r="AM73" s="45">
        <f>IF($A73="","",IFERROR(AVERAGE(V73:W73),""))</f>
        <v/>
      </c>
      <c r="AN73" s="45">
        <f>IF($A73="","",IFERROR(AVERAGE(X73:Y73),""))</f>
        <v/>
      </c>
      <c r="AO73" s="45">
        <f>IF($A73="","",IFERROR(AVERAGE(Z73:AA73),""))</f>
        <v/>
      </c>
      <c r="AP73" s="45">
        <f>IF($A73="","",IFERROR(AVERAGE(AB73:AC73),""))</f>
        <v/>
      </c>
      <c r="AQ73" s="45">
        <f>IF($A73="","",IFERROR(AVERAGE(AD73),""))</f>
        <v/>
      </c>
      <c r="AR73" s="45">
        <f>IF($A73="","",IFERROR(AVERAGE(V73:AD73),""))</f>
        <v/>
      </c>
      <c r="AS73" s="36">
        <f>IF($A73="","",IF(AND(H73="",J73=""),"לא נבדק",IF(AND(OR(H73="",H73=I73),OR(J73="",J73=K73)),"תואם","לא תואם")))</f>
        <v/>
      </c>
      <c r="AT73" s="36">
        <f>IF($A73="","",IF(AND(AS73&lt;&gt;"לא תואם",G73&lt;&gt;"לא ברור"),"אמין","לפרש בזהירות"))</f>
        <v/>
      </c>
    </row>
    <row r="74">
      <c r="A74" s="38" t="n"/>
      <c r="B74" s="38" t="n"/>
      <c r="C74" s="38" t="n"/>
      <c r="D74" s="38" t="n"/>
      <c r="E74" s="38" t="n"/>
      <c r="F74" s="38" t="n"/>
      <c r="G74" s="38" t="n"/>
      <c r="H74" s="38" t="n"/>
      <c r="I74" s="38" t="n"/>
      <c r="J74" s="38" t="n"/>
      <c r="K74" s="38" t="n"/>
      <c r="L74" s="38" t="n"/>
      <c r="M74" s="38" t="n"/>
      <c r="N74" s="38" t="n"/>
      <c r="O74" s="38" t="n"/>
      <c r="P74" s="38" t="n"/>
      <c r="Q74" s="38" t="n"/>
      <c r="R74" s="38" t="n"/>
      <c r="S74" s="38" t="n"/>
      <c r="T74" s="38" t="n"/>
      <c r="U74" s="38" t="n"/>
      <c r="V74" s="38" t="n"/>
      <c r="W74" s="38" t="n"/>
      <c r="X74" s="38" t="n"/>
      <c r="Y74" s="38" t="n"/>
      <c r="Z74" s="38" t="n"/>
      <c r="AA74" s="38" t="n"/>
      <c r="AB74" s="38" t="n"/>
      <c r="AC74" s="38" t="n"/>
      <c r="AD74" s="38" t="n"/>
      <c r="AE74" s="38" t="n"/>
      <c r="AF74" s="36">
        <f>IF($A74="","",$A74&amp;"|"&amp;$C74)</f>
        <v/>
      </c>
      <c r="AG74" s="37">
        <f>IF($A74="","",IFERROR(COUNTIF(L74:M74,"כן")/(COUNTIF(L74:M74,"כן")+COUNTIF(L74:M74,"לא")),""))</f>
        <v/>
      </c>
      <c r="AH74" s="37">
        <f>IF($A74="","",IFERROR(COUNTIF(N74:O74,"כן")/(COUNTIF(N74:O74,"כן")+COUNTIF(N74:O74,"לא")),""))</f>
        <v/>
      </c>
      <c r="AI74" s="37">
        <f>IF($A74="","",IFERROR(COUNTIF(P74:Q74,"כן")/(COUNTIF(P74:Q74,"כן")+COUNTIF(P74:Q74,"לא")),""))</f>
        <v/>
      </c>
      <c r="AJ74" s="37">
        <f>IF($A74="","",IFERROR(COUNTIF(R74:S74,"כן")/(COUNTIF(R74:S74,"כן")+COUNTIF(R74:S74,"לא")),""))</f>
        <v/>
      </c>
      <c r="AK74" s="37">
        <f>IF($A74="","",IFERROR(COUNTIF(T74:U74,"כן")/(COUNTIF(T74:U74,"כן")+COUNTIF(T74:U74,"לא")),""))</f>
        <v/>
      </c>
      <c r="AL74" s="37">
        <f>IF($A74="","",IFERROR(COUNTIF(L74:U74,"כן")/(COUNTIF(L74:U74,"כן")+COUNTIF(L74:U74,"לא")),""))</f>
        <v/>
      </c>
      <c r="AM74" s="45">
        <f>IF($A74="","",IFERROR(AVERAGE(V74:W74),""))</f>
        <v/>
      </c>
      <c r="AN74" s="45">
        <f>IF($A74="","",IFERROR(AVERAGE(X74:Y74),""))</f>
        <v/>
      </c>
      <c r="AO74" s="45">
        <f>IF($A74="","",IFERROR(AVERAGE(Z74:AA74),""))</f>
        <v/>
      </c>
      <c r="AP74" s="45">
        <f>IF($A74="","",IFERROR(AVERAGE(AB74:AC74),""))</f>
        <v/>
      </c>
      <c r="AQ74" s="45">
        <f>IF($A74="","",IFERROR(AVERAGE(AD74),""))</f>
        <v/>
      </c>
      <c r="AR74" s="45">
        <f>IF($A74="","",IFERROR(AVERAGE(V74:AD74),""))</f>
        <v/>
      </c>
      <c r="AS74" s="36">
        <f>IF($A74="","",IF(AND(H74="",J74=""),"לא נבדק",IF(AND(OR(H74="",H74=I74),OR(J74="",J74=K74)),"תואם","לא תואם")))</f>
        <v/>
      </c>
      <c r="AT74" s="36">
        <f>IF($A74="","",IF(AND(AS74&lt;&gt;"לא תואם",G74&lt;&gt;"לא ברור"),"אמין","לפרש בזהירות"))</f>
        <v/>
      </c>
    </row>
    <row r="75">
      <c r="A75" s="38" t="n"/>
      <c r="B75" s="38" t="n"/>
      <c r="C75" s="38" t="n"/>
      <c r="D75" s="38" t="n"/>
      <c r="E75" s="38" t="n"/>
      <c r="F75" s="38" t="n"/>
      <c r="G75" s="38" t="n"/>
      <c r="H75" s="38" t="n"/>
      <c r="I75" s="38" t="n"/>
      <c r="J75" s="38" t="n"/>
      <c r="K75" s="38" t="n"/>
      <c r="L75" s="38" t="n"/>
      <c r="M75" s="38" t="n"/>
      <c r="N75" s="38" t="n"/>
      <c r="O75" s="38" t="n"/>
      <c r="P75" s="38" t="n"/>
      <c r="Q75" s="38" t="n"/>
      <c r="R75" s="38" t="n"/>
      <c r="S75" s="38" t="n"/>
      <c r="T75" s="38" t="n"/>
      <c r="U75" s="38" t="n"/>
      <c r="V75" s="38" t="n"/>
      <c r="W75" s="38" t="n"/>
      <c r="X75" s="38" t="n"/>
      <c r="Y75" s="38" t="n"/>
      <c r="Z75" s="38" t="n"/>
      <c r="AA75" s="38" t="n"/>
      <c r="AB75" s="38" t="n"/>
      <c r="AC75" s="38" t="n"/>
      <c r="AD75" s="38" t="n"/>
      <c r="AE75" s="38" t="n"/>
      <c r="AF75" s="36">
        <f>IF($A75="","",$A75&amp;"|"&amp;$C75)</f>
        <v/>
      </c>
      <c r="AG75" s="37">
        <f>IF($A75="","",IFERROR(COUNTIF(L75:M75,"כן")/(COUNTIF(L75:M75,"כן")+COUNTIF(L75:M75,"לא")),""))</f>
        <v/>
      </c>
      <c r="AH75" s="37">
        <f>IF($A75="","",IFERROR(COUNTIF(N75:O75,"כן")/(COUNTIF(N75:O75,"כן")+COUNTIF(N75:O75,"לא")),""))</f>
        <v/>
      </c>
      <c r="AI75" s="37">
        <f>IF($A75="","",IFERROR(COUNTIF(P75:Q75,"כן")/(COUNTIF(P75:Q75,"כן")+COUNTIF(P75:Q75,"לא")),""))</f>
        <v/>
      </c>
      <c r="AJ75" s="37">
        <f>IF($A75="","",IFERROR(COUNTIF(R75:S75,"כן")/(COUNTIF(R75:S75,"כן")+COUNTIF(R75:S75,"לא")),""))</f>
        <v/>
      </c>
      <c r="AK75" s="37">
        <f>IF($A75="","",IFERROR(COUNTIF(T75:U75,"כן")/(COUNTIF(T75:U75,"כן")+COUNTIF(T75:U75,"לא")),""))</f>
        <v/>
      </c>
      <c r="AL75" s="37">
        <f>IF($A75="","",IFERROR(COUNTIF(L75:U75,"כן")/(COUNTIF(L75:U75,"כן")+COUNTIF(L75:U75,"לא")),""))</f>
        <v/>
      </c>
      <c r="AM75" s="45">
        <f>IF($A75="","",IFERROR(AVERAGE(V75:W75),""))</f>
        <v/>
      </c>
      <c r="AN75" s="45">
        <f>IF($A75="","",IFERROR(AVERAGE(X75:Y75),""))</f>
        <v/>
      </c>
      <c r="AO75" s="45">
        <f>IF($A75="","",IFERROR(AVERAGE(Z75:AA75),""))</f>
        <v/>
      </c>
      <c r="AP75" s="45">
        <f>IF($A75="","",IFERROR(AVERAGE(AB75:AC75),""))</f>
        <v/>
      </c>
      <c r="AQ75" s="45">
        <f>IF($A75="","",IFERROR(AVERAGE(AD75),""))</f>
        <v/>
      </c>
      <c r="AR75" s="45">
        <f>IF($A75="","",IFERROR(AVERAGE(V75:AD75),""))</f>
        <v/>
      </c>
      <c r="AS75" s="36">
        <f>IF($A75="","",IF(AND(H75="",J75=""),"לא נבדק",IF(AND(OR(H75="",H75=I75),OR(J75="",J75=K75)),"תואם","לא תואם")))</f>
        <v/>
      </c>
      <c r="AT75" s="36">
        <f>IF($A75="","",IF(AND(AS75&lt;&gt;"לא תואם",G75&lt;&gt;"לא ברור"),"אמין","לפרש בזהירות"))</f>
        <v/>
      </c>
    </row>
    <row r="76">
      <c r="A76" s="38" t="n"/>
      <c r="B76" s="38" t="n"/>
      <c r="C76" s="38" t="n"/>
      <c r="D76" s="38" t="n"/>
      <c r="E76" s="38" t="n"/>
      <c r="F76" s="38" t="n"/>
      <c r="G76" s="38" t="n"/>
      <c r="H76" s="38" t="n"/>
      <c r="I76" s="38" t="n"/>
      <c r="J76" s="38" t="n"/>
      <c r="K76" s="38" t="n"/>
      <c r="L76" s="38" t="n"/>
      <c r="M76" s="38" t="n"/>
      <c r="N76" s="38" t="n"/>
      <c r="O76" s="38" t="n"/>
      <c r="P76" s="38" t="n"/>
      <c r="Q76" s="38" t="n"/>
      <c r="R76" s="38" t="n"/>
      <c r="S76" s="38" t="n"/>
      <c r="T76" s="38" t="n"/>
      <c r="U76" s="38" t="n"/>
      <c r="V76" s="38" t="n"/>
      <c r="W76" s="38" t="n"/>
      <c r="X76" s="38" t="n"/>
      <c r="Y76" s="38" t="n"/>
      <c r="Z76" s="38" t="n"/>
      <c r="AA76" s="38" t="n"/>
      <c r="AB76" s="38" t="n"/>
      <c r="AC76" s="38" t="n"/>
      <c r="AD76" s="38" t="n"/>
      <c r="AE76" s="38" t="n"/>
      <c r="AF76" s="36">
        <f>IF($A76="","",$A76&amp;"|"&amp;$C76)</f>
        <v/>
      </c>
      <c r="AG76" s="37">
        <f>IF($A76="","",IFERROR(COUNTIF(L76:M76,"כן")/(COUNTIF(L76:M76,"כן")+COUNTIF(L76:M76,"לא")),""))</f>
        <v/>
      </c>
      <c r="AH76" s="37">
        <f>IF($A76="","",IFERROR(COUNTIF(N76:O76,"כן")/(COUNTIF(N76:O76,"כן")+COUNTIF(N76:O76,"לא")),""))</f>
        <v/>
      </c>
      <c r="AI76" s="37">
        <f>IF($A76="","",IFERROR(COUNTIF(P76:Q76,"כן")/(COUNTIF(P76:Q76,"כן")+COUNTIF(P76:Q76,"לא")),""))</f>
        <v/>
      </c>
      <c r="AJ76" s="37">
        <f>IF($A76="","",IFERROR(COUNTIF(R76:S76,"כן")/(COUNTIF(R76:S76,"כן")+COUNTIF(R76:S76,"לא")),""))</f>
        <v/>
      </c>
      <c r="AK76" s="37">
        <f>IF($A76="","",IFERROR(COUNTIF(T76:U76,"כן")/(COUNTIF(T76:U76,"כן")+COUNTIF(T76:U76,"לא")),""))</f>
        <v/>
      </c>
      <c r="AL76" s="37">
        <f>IF($A76="","",IFERROR(COUNTIF(L76:U76,"כן")/(COUNTIF(L76:U76,"כן")+COUNTIF(L76:U76,"לא")),""))</f>
        <v/>
      </c>
      <c r="AM76" s="45">
        <f>IF($A76="","",IFERROR(AVERAGE(V76:W76),""))</f>
        <v/>
      </c>
      <c r="AN76" s="45">
        <f>IF($A76="","",IFERROR(AVERAGE(X76:Y76),""))</f>
        <v/>
      </c>
      <c r="AO76" s="45">
        <f>IF($A76="","",IFERROR(AVERAGE(Z76:AA76),""))</f>
        <v/>
      </c>
      <c r="AP76" s="45">
        <f>IF($A76="","",IFERROR(AVERAGE(AB76:AC76),""))</f>
        <v/>
      </c>
      <c r="AQ76" s="45">
        <f>IF($A76="","",IFERROR(AVERAGE(AD76),""))</f>
        <v/>
      </c>
      <c r="AR76" s="45">
        <f>IF($A76="","",IFERROR(AVERAGE(V76:AD76),""))</f>
        <v/>
      </c>
      <c r="AS76" s="36">
        <f>IF($A76="","",IF(AND(H76="",J76=""),"לא נבדק",IF(AND(OR(H76="",H76=I76),OR(J76="",J76=K76)),"תואם","לא תואם")))</f>
        <v/>
      </c>
      <c r="AT76" s="36">
        <f>IF($A76="","",IF(AND(AS76&lt;&gt;"לא תואם",G76&lt;&gt;"לא ברור"),"אמין","לפרש בזהירות"))</f>
        <v/>
      </c>
    </row>
    <row r="77">
      <c r="A77" s="38" t="n"/>
      <c r="B77" s="38" t="n"/>
      <c r="C77" s="38" t="n"/>
      <c r="D77" s="38" t="n"/>
      <c r="E77" s="38" t="n"/>
      <c r="F77" s="38" t="n"/>
      <c r="G77" s="38" t="n"/>
      <c r="H77" s="38" t="n"/>
      <c r="I77" s="38" t="n"/>
      <c r="J77" s="38" t="n"/>
      <c r="K77" s="38" t="n"/>
      <c r="L77" s="38" t="n"/>
      <c r="M77" s="38" t="n"/>
      <c r="N77" s="38" t="n"/>
      <c r="O77" s="38" t="n"/>
      <c r="P77" s="38" t="n"/>
      <c r="Q77" s="38" t="n"/>
      <c r="R77" s="38" t="n"/>
      <c r="S77" s="38" t="n"/>
      <c r="T77" s="38" t="n"/>
      <c r="U77" s="38" t="n"/>
      <c r="V77" s="38" t="n"/>
      <c r="W77" s="38" t="n"/>
      <c r="X77" s="38" t="n"/>
      <c r="Y77" s="38" t="n"/>
      <c r="Z77" s="38" t="n"/>
      <c r="AA77" s="38" t="n"/>
      <c r="AB77" s="38" t="n"/>
      <c r="AC77" s="38" t="n"/>
      <c r="AD77" s="38" t="n"/>
      <c r="AE77" s="38" t="n"/>
      <c r="AF77" s="36">
        <f>IF($A77="","",$A77&amp;"|"&amp;$C77)</f>
        <v/>
      </c>
      <c r="AG77" s="37">
        <f>IF($A77="","",IFERROR(COUNTIF(L77:M77,"כן")/(COUNTIF(L77:M77,"כן")+COUNTIF(L77:M77,"לא")),""))</f>
        <v/>
      </c>
      <c r="AH77" s="37">
        <f>IF($A77="","",IFERROR(COUNTIF(N77:O77,"כן")/(COUNTIF(N77:O77,"כן")+COUNTIF(N77:O77,"לא")),""))</f>
        <v/>
      </c>
      <c r="AI77" s="37">
        <f>IF($A77="","",IFERROR(COUNTIF(P77:Q77,"כן")/(COUNTIF(P77:Q77,"כן")+COUNTIF(P77:Q77,"לא")),""))</f>
        <v/>
      </c>
      <c r="AJ77" s="37">
        <f>IF($A77="","",IFERROR(COUNTIF(R77:S77,"כן")/(COUNTIF(R77:S77,"כן")+COUNTIF(R77:S77,"לא")),""))</f>
        <v/>
      </c>
      <c r="AK77" s="37">
        <f>IF($A77="","",IFERROR(COUNTIF(T77:U77,"כן")/(COUNTIF(T77:U77,"כן")+COUNTIF(T77:U77,"לא")),""))</f>
        <v/>
      </c>
      <c r="AL77" s="37">
        <f>IF($A77="","",IFERROR(COUNTIF(L77:U77,"כן")/(COUNTIF(L77:U77,"כן")+COUNTIF(L77:U77,"לא")),""))</f>
        <v/>
      </c>
      <c r="AM77" s="45">
        <f>IF($A77="","",IFERROR(AVERAGE(V77:W77),""))</f>
        <v/>
      </c>
      <c r="AN77" s="45">
        <f>IF($A77="","",IFERROR(AVERAGE(X77:Y77),""))</f>
        <v/>
      </c>
      <c r="AO77" s="45">
        <f>IF($A77="","",IFERROR(AVERAGE(Z77:AA77),""))</f>
        <v/>
      </c>
      <c r="AP77" s="45">
        <f>IF($A77="","",IFERROR(AVERAGE(AB77:AC77),""))</f>
        <v/>
      </c>
      <c r="AQ77" s="45">
        <f>IF($A77="","",IFERROR(AVERAGE(AD77),""))</f>
        <v/>
      </c>
      <c r="AR77" s="45">
        <f>IF($A77="","",IFERROR(AVERAGE(V77:AD77),""))</f>
        <v/>
      </c>
      <c r="AS77" s="36">
        <f>IF($A77="","",IF(AND(H77="",J77=""),"לא נבדק",IF(AND(OR(H77="",H77=I77),OR(J77="",J77=K77)),"תואם","לא תואם")))</f>
        <v/>
      </c>
      <c r="AT77" s="36">
        <f>IF($A77="","",IF(AND(AS77&lt;&gt;"לא תואם",G77&lt;&gt;"לא ברור"),"אמין","לפרש בזהירות"))</f>
        <v/>
      </c>
    </row>
    <row r="78">
      <c r="A78" s="38" t="n"/>
      <c r="B78" s="38" t="n"/>
      <c r="C78" s="38" t="n"/>
      <c r="D78" s="38" t="n"/>
      <c r="E78" s="38" t="n"/>
      <c r="F78" s="38" t="n"/>
      <c r="G78" s="38" t="n"/>
      <c r="H78" s="38" t="n"/>
      <c r="I78" s="38" t="n"/>
      <c r="J78" s="38" t="n"/>
      <c r="K78" s="38" t="n"/>
      <c r="L78" s="38" t="n"/>
      <c r="M78" s="38" t="n"/>
      <c r="N78" s="38" t="n"/>
      <c r="O78" s="38" t="n"/>
      <c r="P78" s="38" t="n"/>
      <c r="Q78" s="38" t="n"/>
      <c r="R78" s="38" t="n"/>
      <c r="S78" s="38" t="n"/>
      <c r="T78" s="38" t="n"/>
      <c r="U78" s="38" t="n"/>
      <c r="V78" s="38" t="n"/>
      <c r="W78" s="38" t="n"/>
      <c r="X78" s="38" t="n"/>
      <c r="Y78" s="38" t="n"/>
      <c r="Z78" s="38" t="n"/>
      <c r="AA78" s="38" t="n"/>
      <c r="AB78" s="38" t="n"/>
      <c r="AC78" s="38" t="n"/>
      <c r="AD78" s="38" t="n"/>
      <c r="AE78" s="38" t="n"/>
      <c r="AF78" s="36">
        <f>IF($A78="","",$A78&amp;"|"&amp;$C78)</f>
        <v/>
      </c>
      <c r="AG78" s="37">
        <f>IF($A78="","",IFERROR(COUNTIF(L78:M78,"כן")/(COUNTIF(L78:M78,"כן")+COUNTIF(L78:M78,"לא")),""))</f>
        <v/>
      </c>
      <c r="AH78" s="37">
        <f>IF($A78="","",IFERROR(COUNTIF(N78:O78,"כן")/(COUNTIF(N78:O78,"כן")+COUNTIF(N78:O78,"לא")),""))</f>
        <v/>
      </c>
      <c r="AI78" s="37">
        <f>IF($A78="","",IFERROR(COUNTIF(P78:Q78,"כן")/(COUNTIF(P78:Q78,"כן")+COUNTIF(P78:Q78,"לא")),""))</f>
        <v/>
      </c>
      <c r="AJ78" s="37">
        <f>IF($A78="","",IFERROR(COUNTIF(R78:S78,"כן")/(COUNTIF(R78:S78,"כן")+COUNTIF(R78:S78,"לא")),""))</f>
        <v/>
      </c>
      <c r="AK78" s="37">
        <f>IF($A78="","",IFERROR(COUNTIF(T78:U78,"כן")/(COUNTIF(T78:U78,"כן")+COUNTIF(T78:U78,"לא")),""))</f>
        <v/>
      </c>
      <c r="AL78" s="37">
        <f>IF($A78="","",IFERROR(COUNTIF(L78:U78,"כן")/(COUNTIF(L78:U78,"כן")+COUNTIF(L78:U78,"לא")),""))</f>
        <v/>
      </c>
      <c r="AM78" s="45">
        <f>IF($A78="","",IFERROR(AVERAGE(V78:W78),""))</f>
        <v/>
      </c>
      <c r="AN78" s="45">
        <f>IF($A78="","",IFERROR(AVERAGE(X78:Y78),""))</f>
        <v/>
      </c>
      <c r="AO78" s="45">
        <f>IF($A78="","",IFERROR(AVERAGE(Z78:AA78),""))</f>
        <v/>
      </c>
      <c r="AP78" s="45">
        <f>IF($A78="","",IFERROR(AVERAGE(AB78:AC78),""))</f>
        <v/>
      </c>
      <c r="AQ78" s="45">
        <f>IF($A78="","",IFERROR(AVERAGE(AD78),""))</f>
        <v/>
      </c>
      <c r="AR78" s="45">
        <f>IF($A78="","",IFERROR(AVERAGE(V78:AD78),""))</f>
        <v/>
      </c>
      <c r="AS78" s="36">
        <f>IF($A78="","",IF(AND(H78="",J78=""),"לא נבדק",IF(AND(OR(H78="",H78=I78),OR(J78="",J78=K78)),"תואם","לא תואם")))</f>
        <v/>
      </c>
      <c r="AT78" s="36">
        <f>IF($A78="","",IF(AND(AS78&lt;&gt;"לא תואם",G78&lt;&gt;"לא ברור"),"אמין","לפרש בזהירות"))</f>
        <v/>
      </c>
    </row>
    <row r="79">
      <c r="A79" s="38" t="n"/>
      <c r="B79" s="38" t="n"/>
      <c r="C79" s="38" t="n"/>
      <c r="D79" s="38" t="n"/>
      <c r="E79" s="38" t="n"/>
      <c r="F79" s="38" t="n"/>
      <c r="G79" s="38" t="n"/>
      <c r="H79" s="38" t="n"/>
      <c r="I79" s="38" t="n"/>
      <c r="J79" s="38" t="n"/>
      <c r="K79" s="38" t="n"/>
      <c r="L79" s="38" t="n"/>
      <c r="M79" s="38" t="n"/>
      <c r="N79" s="38" t="n"/>
      <c r="O79" s="38" t="n"/>
      <c r="P79" s="38" t="n"/>
      <c r="Q79" s="38" t="n"/>
      <c r="R79" s="38" t="n"/>
      <c r="S79" s="38" t="n"/>
      <c r="T79" s="38" t="n"/>
      <c r="U79" s="38" t="n"/>
      <c r="V79" s="38" t="n"/>
      <c r="W79" s="38" t="n"/>
      <c r="X79" s="38" t="n"/>
      <c r="Y79" s="38" t="n"/>
      <c r="Z79" s="38" t="n"/>
      <c r="AA79" s="38" t="n"/>
      <c r="AB79" s="38" t="n"/>
      <c r="AC79" s="38" t="n"/>
      <c r="AD79" s="38" t="n"/>
      <c r="AE79" s="38" t="n"/>
      <c r="AF79" s="36">
        <f>IF($A79="","",$A79&amp;"|"&amp;$C79)</f>
        <v/>
      </c>
      <c r="AG79" s="37">
        <f>IF($A79="","",IFERROR(COUNTIF(L79:M79,"כן")/(COUNTIF(L79:M79,"כן")+COUNTIF(L79:M79,"לא")),""))</f>
        <v/>
      </c>
      <c r="AH79" s="37">
        <f>IF($A79="","",IFERROR(COUNTIF(N79:O79,"כן")/(COUNTIF(N79:O79,"כן")+COUNTIF(N79:O79,"לא")),""))</f>
        <v/>
      </c>
      <c r="AI79" s="37">
        <f>IF($A79="","",IFERROR(COUNTIF(P79:Q79,"כן")/(COUNTIF(P79:Q79,"כן")+COUNTIF(P79:Q79,"לא")),""))</f>
        <v/>
      </c>
      <c r="AJ79" s="37">
        <f>IF($A79="","",IFERROR(COUNTIF(R79:S79,"כן")/(COUNTIF(R79:S79,"כן")+COUNTIF(R79:S79,"לא")),""))</f>
        <v/>
      </c>
      <c r="AK79" s="37">
        <f>IF($A79="","",IFERROR(COUNTIF(T79:U79,"כן")/(COUNTIF(T79:U79,"כן")+COUNTIF(T79:U79,"לא")),""))</f>
        <v/>
      </c>
      <c r="AL79" s="37">
        <f>IF($A79="","",IFERROR(COUNTIF(L79:U79,"כן")/(COUNTIF(L79:U79,"כן")+COUNTIF(L79:U79,"לא")),""))</f>
        <v/>
      </c>
      <c r="AM79" s="45">
        <f>IF($A79="","",IFERROR(AVERAGE(V79:W79),""))</f>
        <v/>
      </c>
      <c r="AN79" s="45">
        <f>IF($A79="","",IFERROR(AVERAGE(X79:Y79),""))</f>
        <v/>
      </c>
      <c r="AO79" s="45">
        <f>IF($A79="","",IFERROR(AVERAGE(Z79:AA79),""))</f>
        <v/>
      </c>
      <c r="AP79" s="45">
        <f>IF($A79="","",IFERROR(AVERAGE(AB79:AC79),""))</f>
        <v/>
      </c>
      <c r="AQ79" s="45">
        <f>IF($A79="","",IFERROR(AVERAGE(AD79),""))</f>
        <v/>
      </c>
      <c r="AR79" s="45">
        <f>IF($A79="","",IFERROR(AVERAGE(V79:AD79),""))</f>
        <v/>
      </c>
      <c r="AS79" s="36">
        <f>IF($A79="","",IF(AND(H79="",J79=""),"לא נבדק",IF(AND(OR(H79="",H79=I79),OR(J79="",J79=K79)),"תואם","לא תואם")))</f>
        <v/>
      </c>
      <c r="AT79" s="36">
        <f>IF($A79="","",IF(AND(AS79&lt;&gt;"לא תואם",G79&lt;&gt;"לא ברור"),"אמין","לפרש בזהירות"))</f>
        <v/>
      </c>
    </row>
    <row r="80">
      <c r="A80" s="38" t="n"/>
      <c r="B80" s="38" t="n"/>
      <c r="C80" s="38" t="n"/>
      <c r="D80" s="38" t="n"/>
      <c r="E80" s="38" t="n"/>
      <c r="F80" s="38" t="n"/>
      <c r="G80" s="38" t="n"/>
      <c r="H80" s="38" t="n"/>
      <c r="I80" s="38" t="n"/>
      <c r="J80" s="38" t="n"/>
      <c r="K80" s="38" t="n"/>
      <c r="L80" s="38" t="n"/>
      <c r="M80" s="38" t="n"/>
      <c r="N80" s="38" t="n"/>
      <c r="O80" s="38" t="n"/>
      <c r="P80" s="38" t="n"/>
      <c r="Q80" s="38" t="n"/>
      <c r="R80" s="38" t="n"/>
      <c r="S80" s="38" t="n"/>
      <c r="T80" s="38" t="n"/>
      <c r="U80" s="38" t="n"/>
      <c r="V80" s="38" t="n"/>
      <c r="W80" s="38" t="n"/>
      <c r="X80" s="38" t="n"/>
      <c r="Y80" s="38" t="n"/>
      <c r="Z80" s="38" t="n"/>
      <c r="AA80" s="38" t="n"/>
      <c r="AB80" s="38" t="n"/>
      <c r="AC80" s="38" t="n"/>
      <c r="AD80" s="38" t="n"/>
      <c r="AE80" s="38" t="n"/>
      <c r="AF80" s="36">
        <f>IF($A80="","",$A80&amp;"|"&amp;$C80)</f>
        <v/>
      </c>
      <c r="AG80" s="37">
        <f>IF($A80="","",IFERROR(COUNTIF(L80:M80,"כן")/(COUNTIF(L80:M80,"כן")+COUNTIF(L80:M80,"לא")),""))</f>
        <v/>
      </c>
      <c r="AH80" s="37">
        <f>IF($A80="","",IFERROR(COUNTIF(N80:O80,"כן")/(COUNTIF(N80:O80,"כן")+COUNTIF(N80:O80,"לא")),""))</f>
        <v/>
      </c>
      <c r="AI80" s="37">
        <f>IF($A80="","",IFERROR(COUNTIF(P80:Q80,"כן")/(COUNTIF(P80:Q80,"כן")+COUNTIF(P80:Q80,"לא")),""))</f>
        <v/>
      </c>
      <c r="AJ80" s="37">
        <f>IF($A80="","",IFERROR(COUNTIF(R80:S80,"כן")/(COUNTIF(R80:S80,"כן")+COUNTIF(R80:S80,"לא")),""))</f>
        <v/>
      </c>
      <c r="AK80" s="37">
        <f>IF($A80="","",IFERROR(COUNTIF(T80:U80,"כן")/(COUNTIF(T80:U80,"כן")+COUNTIF(T80:U80,"לא")),""))</f>
        <v/>
      </c>
      <c r="AL80" s="37">
        <f>IF($A80="","",IFERROR(COUNTIF(L80:U80,"כן")/(COUNTIF(L80:U80,"כן")+COUNTIF(L80:U80,"לא")),""))</f>
        <v/>
      </c>
      <c r="AM80" s="45">
        <f>IF($A80="","",IFERROR(AVERAGE(V80:W80),""))</f>
        <v/>
      </c>
      <c r="AN80" s="45">
        <f>IF($A80="","",IFERROR(AVERAGE(X80:Y80),""))</f>
        <v/>
      </c>
      <c r="AO80" s="45">
        <f>IF($A80="","",IFERROR(AVERAGE(Z80:AA80),""))</f>
        <v/>
      </c>
      <c r="AP80" s="45">
        <f>IF($A80="","",IFERROR(AVERAGE(AB80:AC80),""))</f>
        <v/>
      </c>
      <c r="AQ80" s="45">
        <f>IF($A80="","",IFERROR(AVERAGE(AD80),""))</f>
        <v/>
      </c>
      <c r="AR80" s="45">
        <f>IF($A80="","",IFERROR(AVERAGE(V80:AD80),""))</f>
        <v/>
      </c>
      <c r="AS80" s="36">
        <f>IF($A80="","",IF(AND(H80="",J80=""),"לא נבדק",IF(AND(OR(H80="",H80=I80),OR(J80="",J80=K80)),"תואם","לא תואם")))</f>
        <v/>
      </c>
      <c r="AT80" s="36">
        <f>IF($A80="","",IF(AND(AS80&lt;&gt;"לא תואם",G80&lt;&gt;"לא ברור"),"אמין","לפרש בזהירות"))</f>
        <v/>
      </c>
    </row>
    <row r="81">
      <c r="A81" s="38" t="n"/>
      <c r="B81" s="38" t="n"/>
      <c r="C81" s="38" t="n"/>
      <c r="D81" s="38" t="n"/>
      <c r="E81" s="38" t="n"/>
      <c r="F81" s="38" t="n"/>
      <c r="G81" s="38" t="n"/>
      <c r="H81" s="38" t="n"/>
      <c r="I81" s="38" t="n"/>
      <c r="J81" s="38" t="n"/>
      <c r="K81" s="38" t="n"/>
      <c r="L81" s="38" t="n"/>
      <c r="M81" s="38" t="n"/>
      <c r="N81" s="38" t="n"/>
      <c r="O81" s="38" t="n"/>
      <c r="P81" s="38" t="n"/>
      <c r="Q81" s="38" t="n"/>
      <c r="R81" s="38" t="n"/>
      <c r="S81" s="38" t="n"/>
      <c r="T81" s="38" t="n"/>
      <c r="U81" s="38" t="n"/>
      <c r="V81" s="38" t="n"/>
      <c r="W81" s="38" t="n"/>
      <c r="X81" s="38" t="n"/>
      <c r="Y81" s="38" t="n"/>
      <c r="Z81" s="38" t="n"/>
      <c r="AA81" s="38" t="n"/>
      <c r="AB81" s="38" t="n"/>
      <c r="AC81" s="38" t="n"/>
      <c r="AD81" s="38" t="n"/>
      <c r="AE81" s="38" t="n"/>
      <c r="AF81" s="36">
        <f>IF($A81="","",$A81&amp;"|"&amp;$C81)</f>
        <v/>
      </c>
      <c r="AG81" s="37">
        <f>IF($A81="","",IFERROR(COUNTIF(L81:M81,"כן")/(COUNTIF(L81:M81,"כן")+COUNTIF(L81:M81,"לא")),""))</f>
        <v/>
      </c>
      <c r="AH81" s="37">
        <f>IF($A81="","",IFERROR(COUNTIF(N81:O81,"כן")/(COUNTIF(N81:O81,"כן")+COUNTIF(N81:O81,"לא")),""))</f>
        <v/>
      </c>
      <c r="AI81" s="37">
        <f>IF($A81="","",IFERROR(COUNTIF(P81:Q81,"כן")/(COUNTIF(P81:Q81,"כן")+COUNTIF(P81:Q81,"לא")),""))</f>
        <v/>
      </c>
      <c r="AJ81" s="37">
        <f>IF($A81="","",IFERROR(COUNTIF(R81:S81,"כן")/(COUNTIF(R81:S81,"כן")+COUNTIF(R81:S81,"לא")),""))</f>
        <v/>
      </c>
      <c r="AK81" s="37">
        <f>IF($A81="","",IFERROR(COUNTIF(T81:U81,"כן")/(COUNTIF(T81:U81,"כן")+COUNTIF(T81:U81,"לא")),""))</f>
        <v/>
      </c>
      <c r="AL81" s="37">
        <f>IF($A81="","",IFERROR(COUNTIF(L81:U81,"כן")/(COUNTIF(L81:U81,"כן")+COUNTIF(L81:U81,"לא")),""))</f>
        <v/>
      </c>
      <c r="AM81" s="45">
        <f>IF($A81="","",IFERROR(AVERAGE(V81:W81),""))</f>
        <v/>
      </c>
      <c r="AN81" s="45">
        <f>IF($A81="","",IFERROR(AVERAGE(X81:Y81),""))</f>
        <v/>
      </c>
      <c r="AO81" s="45">
        <f>IF($A81="","",IFERROR(AVERAGE(Z81:AA81),""))</f>
        <v/>
      </c>
      <c r="AP81" s="45">
        <f>IF($A81="","",IFERROR(AVERAGE(AB81:AC81),""))</f>
        <v/>
      </c>
      <c r="AQ81" s="45">
        <f>IF($A81="","",IFERROR(AVERAGE(AD81),""))</f>
        <v/>
      </c>
      <c r="AR81" s="45">
        <f>IF($A81="","",IFERROR(AVERAGE(V81:AD81),""))</f>
        <v/>
      </c>
      <c r="AS81" s="36">
        <f>IF($A81="","",IF(AND(H81="",J81=""),"לא נבדק",IF(AND(OR(H81="",H81=I81),OR(J81="",J81=K81)),"תואם","לא תואם")))</f>
        <v/>
      </c>
      <c r="AT81" s="36">
        <f>IF($A81="","",IF(AND(AS81&lt;&gt;"לא תואם",G81&lt;&gt;"לא ברור"),"אמין","לפרש בזהירות"))</f>
        <v/>
      </c>
    </row>
    <row r="82">
      <c r="A82" s="38" t="n"/>
      <c r="B82" s="38" t="n"/>
      <c r="C82" s="38" t="n"/>
      <c r="D82" s="38" t="n"/>
      <c r="E82" s="38" t="n"/>
      <c r="F82" s="38" t="n"/>
      <c r="G82" s="38" t="n"/>
      <c r="H82" s="38" t="n"/>
      <c r="I82" s="38" t="n"/>
      <c r="J82" s="38" t="n"/>
      <c r="K82" s="38" t="n"/>
      <c r="L82" s="38" t="n"/>
      <c r="M82" s="38" t="n"/>
      <c r="N82" s="38" t="n"/>
      <c r="O82" s="38" t="n"/>
      <c r="P82" s="38" t="n"/>
      <c r="Q82" s="38" t="n"/>
      <c r="R82" s="38" t="n"/>
      <c r="S82" s="38" t="n"/>
      <c r="T82" s="38" t="n"/>
      <c r="U82" s="38" t="n"/>
      <c r="V82" s="38" t="n"/>
      <c r="W82" s="38" t="n"/>
      <c r="X82" s="38" t="n"/>
      <c r="Y82" s="38" t="n"/>
      <c r="Z82" s="38" t="n"/>
      <c r="AA82" s="38" t="n"/>
      <c r="AB82" s="38" t="n"/>
      <c r="AC82" s="38" t="n"/>
      <c r="AD82" s="38" t="n"/>
      <c r="AE82" s="38" t="n"/>
      <c r="AF82" s="36">
        <f>IF($A82="","",$A82&amp;"|"&amp;$C82)</f>
        <v/>
      </c>
      <c r="AG82" s="37">
        <f>IF($A82="","",IFERROR(COUNTIF(L82:M82,"כן")/(COUNTIF(L82:M82,"כן")+COUNTIF(L82:M82,"לא")),""))</f>
        <v/>
      </c>
      <c r="AH82" s="37">
        <f>IF($A82="","",IFERROR(COUNTIF(N82:O82,"כן")/(COUNTIF(N82:O82,"כן")+COUNTIF(N82:O82,"לא")),""))</f>
        <v/>
      </c>
      <c r="AI82" s="37">
        <f>IF($A82="","",IFERROR(COUNTIF(P82:Q82,"כן")/(COUNTIF(P82:Q82,"כן")+COUNTIF(P82:Q82,"לא")),""))</f>
        <v/>
      </c>
      <c r="AJ82" s="37">
        <f>IF($A82="","",IFERROR(COUNTIF(R82:S82,"כן")/(COUNTIF(R82:S82,"כן")+COUNTIF(R82:S82,"לא")),""))</f>
        <v/>
      </c>
      <c r="AK82" s="37">
        <f>IF($A82="","",IFERROR(COUNTIF(T82:U82,"כן")/(COUNTIF(T82:U82,"כן")+COUNTIF(T82:U82,"לא")),""))</f>
        <v/>
      </c>
      <c r="AL82" s="37">
        <f>IF($A82="","",IFERROR(COUNTIF(L82:U82,"כן")/(COUNTIF(L82:U82,"כן")+COUNTIF(L82:U82,"לא")),""))</f>
        <v/>
      </c>
      <c r="AM82" s="45">
        <f>IF($A82="","",IFERROR(AVERAGE(V82:W82),""))</f>
        <v/>
      </c>
      <c r="AN82" s="45">
        <f>IF($A82="","",IFERROR(AVERAGE(X82:Y82),""))</f>
        <v/>
      </c>
      <c r="AO82" s="45">
        <f>IF($A82="","",IFERROR(AVERAGE(Z82:AA82),""))</f>
        <v/>
      </c>
      <c r="AP82" s="45">
        <f>IF($A82="","",IFERROR(AVERAGE(AB82:AC82),""))</f>
        <v/>
      </c>
      <c r="AQ82" s="45">
        <f>IF($A82="","",IFERROR(AVERAGE(AD82),""))</f>
        <v/>
      </c>
      <c r="AR82" s="45">
        <f>IF($A82="","",IFERROR(AVERAGE(V82:AD82),""))</f>
        <v/>
      </c>
      <c r="AS82" s="36">
        <f>IF($A82="","",IF(AND(H82="",J82=""),"לא נבדק",IF(AND(OR(H82="",H82=I82),OR(J82="",J82=K82)),"תואם","לא תואם")))</f>
        <v/>
      </c>
      <c r="AT82" s="36">
        <f>IF($A82="","",IF(AND(AS82&lt;&gt;"לא תואם",G82&lt;&gt;"לא ברור"),"אמין","לפרש בזהירות"))</f>
        <v/>
      </c>
    </row>
    <row r="83">
      <c r="A83" s="38" t="n"/>
      <c r="B83" s="38" t="n"/>
      <c r="C83" s="38" t="n"/>
      <c r="D83" s="38" t="n"/>
      <c r="E83" s="38" t="n"/>
      <c r="F83" s="38" t="n"/>
      <c r="G83" s="38" t="n"/>
      <c r="H83" s="38" t="n"/>
      <c r="I83" s="38" t="n"/>
      <c r="J83" s="38" t="n"/>
      <c r="K83" s="38" t="n"/>
      <c r="L83" s="38" t="n"/>
      <c r="M83" s="38" t="n"/>
      <c r="N83" s="38" t="n"/>
      <c r="O83" s="38" t="n"/>
      <c r="P83" s="38" t="n"/>
      <c r="Q83" s="38" t="n"/>
      <c r="R83" s="38" t="n"/>
      <c r="S83" s="38" t="n"/>
      <c r="T83" s="38" t="n"/>
      <c r="U83" s="38" t="n"/>
      <c r="V83" s="38" t="n"/>
      <c r="W83" s="38" t="n"/>
      <c r="X83" s="38" t="n"/>
      <c r="Y83" s="38" t="n"/>
      <c r="Z83" s="38" t="n"/>
      <c r="AA83" s="38" t="n"/>
      <c r="AB83" s="38" t="n"/>
      <c r="AC83" s="38" t="n"/>
      <c r="AD83" s="38" t="n"/>
      <c r="AE83" s="38" t="n"/>
      <c r="AF83" s="36">
        <f>IF($A83="","",$A83&amp;"|"&amp;$C83)</f>
        <v/>
      </c>
      <c r="AG83" s="37">
        <f>IF($A83="","",IFERROR(COUNTIF(L83:M83,"כן")/(COUNTIF(L83:M83,"כן")+COUNTIF(L83:M83,"לא")),""))</f>
        <v/>
      </c>
      <c r="AH83" s="37">
        <f>IF($A83="","",IFERROR(COUNTIF(N83:O83,"כן")/(COUNTIF(N83:O83,"כן")+COUNTIF(N83:O83,"לא")),""))</f>
        <v/>
      </c>
      <c r="AI83" s="37">
        <f>IF($A83="","",IFERROR(COUNTIF(P83:Q83,"כן")/(COUNTIF(P83:Q83,"כן")+COUNTIF(P83:Q83,"לא")),""))</f>
        <v/>
      </c>
      <c r="AJ83" s="37">
        <f>IF($A83="","",IFERROR(COUNTIF(R83:S83,"כן")/(COUNTIF(R83:S83,"כן")+COUNTIF(R83:S83,"לא")),""))</f>
        <v/>
      </c>
      <c r="AK83" s="37">
        <f>IF($A83="","",IFERROR(COUNTIF(T83:U83,"כן")/(COUNTIF(T83:U83,"כן")+COUNTIF(T83:U83,"לא")),""))</f>
        <v/>
      </c>
      <c r="AL83" s="37">
        <f>IF($A83="","",IFERROR(COUNTIF(L83:U83,"כן")/(COUNTIF(L83:U83,"כן")+COUNTIF(L83:U83,"לא")),""))</f>
        <v/>
      </c>
      <c r="AM83" s="45">
        <f>IF($A83="","",IFERROR(AVERAGE(V83:W83),""))</f>
        <v/>
      </c>
      <c r="AN83" s="45">
        <f>IF($A83="","",IFERROR(AVERAGE(X83:Y83),""))</f>
        <v/>
      </c>
      <c r="AO83" s="45">
        <f>IF($A83="","",IFERROR(AVERAGE(Z83:AA83),""))</f>
        <v/>
      </c>
      <c r="AP83" s="45">
        <f>IF($A83="","",IFERROR(AVERAGE(AB83:AC83),""))</f>
        <v/>
      </c>
      <c r="AQ83" s="45">
        <f>IF($A83="","",IFERROR(AVERAGE(AD83),""))</f>
        <v/>
      </c>
      <c r="AR83" s="45">
        <f>IF($A83="","",IFERROR(AVERAGE(V83:AD83),""))</f>
        <v/>
      </c>
      <c r="AS83" s="36">
        <f>IF($A83="","",IF(AND(H83="",J83=""),"לא נבדק",IF(AND(OR(H83="",H83=I83),OR(J83="",J83=K83)),"תואם","לא תואם")))</f>
        <v/>
      </c>
      <c r="AT83" s="36">
        <f>IF($A83="","",IF(AND(AS83&lt;&gt;"לא תואם",G83&lt;&gt;"לא ברור"),"אמין","לפרש בזהירות"))</f>
        <v/>
      </c>
    </row>
    <row r="84">
      <c r="A84" s="38" t="n"/>
      <c r="B84" s="38" t="n"/>
      <c r="C84" s="38" t="n"/>
      <c r="D84" s="38" t="n"/>
      <c r="E84" s="38" t="n"/>
      <c r="F84" s="38" t="n"/>
      <c r="G84" s="38" t="n"/>
      <c r="H84" s="38" t="n"/>
      <c r="I84" s="38" t="n"/>
      <c r="J84" s="38" t="n"/>
      <c r="K84" s="38" t="n"/>
      <c r="L84" s="38" t="n"/>
      <c r="M84" s="38" t="n"/>
      <c r="N84" s="38" t="n"/>
      <c r="O84" s="38" t="n"/>
      <c r="P84" s="38" t="n"/>
      <c r="Q84" s="38" t="n"/>
      <c r="R84" s="38" t="n"/>
      <c r="S84" s="38" t="n"/>
      <c r="T84" s="38" t="n"/>
      <c r="U84" s="38" t="n"/>
      <c r="V84" s="38" t="n"/>
      <c r="W84" s="38" t="n"/>
      <c r="X84" s="38" t="n"/>
      <c r="Y84" s="38" t="n"/>
      <c r="Z84" s="38" t="n"/>
      <c r="AA84" s="38" t="n"/>
      <c r="AB84" s="38" t="n"/>
      <c r="AC84" s="38" t="n"/>
      <c r="AD84" s="38" t="n"/>
      <c r="AE84" s="38" t="n"/>
      <c r="AF84" s="36">
        <f>IF($A84="","",$A84&amp;"|"&amp;$C84)</f>
        <v/>
      </c>
      <c r="AG84" s="37">
        <f>IF($A84="","",IFERROR(COUNTIF(L84:M84,"כן")/(COUNTIF(L84:M84,"כן")+COUNTIF(L84:M84,"לא")),""))</f>
        <v/>
      </c>
      <c r="AH84" s="37">
        <f>IF($A84="","",IFERROR(COUNTIF(N84:O84,"כן")/(COUNTIF(N84:O84,"כן")+COUNTIF(N84:O84,"לא")),""))</f>
        <v/>
      </c>
      <c r="AI84" s="37">
        <f>IF($A84="","",IFERROR(COUNTIF(P84:Q84,"כן")/(COUNTIF(P84:Q84,"כן")+COUNTIF(P84:Q84,"לא")),""))</f>
        <v/>
      </c>
      <c r="AJ84" s="37">
        <f>IF($A84="","",IFERROR(COUNTIF(R84:S84,"כן")/(COUNTIF(R84:S84,"כן")+COUNTIF(R84:S84,"לא")),""))</f>
        <v/>
      </c>
      <c r="AK84" s="37">
        <f>IF($A84="","",IFERROR(COUNTIF(T84:U84,"כן")/(COUNTIF(T84:U84,"כן")+COUNTIF(T84:U84,"לא")),""))</f>
        <v/>
      </c>
      <c r="AL84" s="37">
        <f>IF($A84="","",IFERROR(COUNTIF(L84:U84,"כן")/(COUNTIF(L84:U84,"כן")+COUNTIF(L84:U84,"לא")),""))</f>
        <v/>
      </c>
      <c r="AM84" s="45">
        <f>IF($A84="","",IFERROR(AVERAGE(V84:W84),""))</f>
        <v/>
      </c>
      <c r="AN84" s="45">
        <f>IF($A84="","",IFERROR(AVERAGE(X84:Y84),""))</f>
        <v/>
      </c>
      <c r="AO84" s="45">
        <f>IF($A84="","",IFERROR(AVERAGE(Z84:AA84),""))</f>
        <v/>
      </c>
      <c r="AP84" s="45">
        <f>IF($A84="","",IFERROR(AVERAGE(AB84:AC84),""))</f>
        <v/>
      </c>
      <c r="AQ84" s="45">
        <f>IF($A84="","",IFERROR(AVERAGE(AD84),""))</f>
        <v/>
      </c>
      <c r="AR84" s="45">
        <f>IF($A84="","",IFERROR(AVERAGE(V84:AD84),""))</f>
        <v/>
      </c>
      <c r="AS84" s="36">
        <f>IF($A84="","",IF(AND(H84="",J84=""),"לא נבדק",IF(AND(OR(H84="",H84=I84),OR(J84="",J84=K84)),"תואם","לא תואם")))</f>
        <v/>
      </c>
      <c r="AT84" s="36">
        <f>IF($A84="","",IF(AND(AS84&lt;&gt;"לא תואם",G84&lt;&gt;"לא ברור"),"אמין","לפרש בזהירות"))</f>
        <v/>
      </c>
    </row>
    <row r="85">
      <c r="A85" s="38" t="n"/>
      <c r="B85" s="38" t="n"/>
      <c r="C85" s="38" t="n"/>
      <c r="D85" s="38" t="n"/>
      <c r="E85" s="38" t="n"/>
      <c r="F85" s="38" t="n"/>
      <c r="G85" s="38" t="n"/>
      <c r="H85" s="38" t="n"/>
      <c r="I85" s="38" t="n"/>
      <c r="J85" s="38" t="n"/>
      <c r="K85" s="38" t="n"/>
      <c r="L85" s="38" t="n"/>
      <c r="M85" s="38" t="n"/>
      <c r="N85" s="38" t="n"/>
      <c r="O85" s="38" t="n"/>
      <c r="P85" s="38" t="n"/>
      <c r="Q85" s="38" t="n"/>
      <c r="R85" s="38" t="n"/>
      <c r="S85" s="38" t="n"/>
      <c r="T85" s="38" t="n"/>
      <c r="U85" s="38" t="n"/>
      <c r="V85" s="38" t="n"/>
      <c r="W85" s="38" t="n"/>
      <c r="X85" s="38" t="n"/>
      <c r="Y85" s="38" t="n"/>
      <c r="Z85" s="38" t="n"/>
      <c r="AA85" s="38" t="n"/>
      <c r="AB85" s="38" t="n"/>
      <c r="AC85" s="38" t="n"/>
      <c r="AD85" s="38" t="n"/>
      <c r="AE85" s="38" t="n"/>
      <c r="AF85" s="36">
        <f>IF($A85="","",$A85&amp;"|"&amp;$C85)</f>
        <v/>
      </c>
      <c r="AG85" s="37">
        <f>IF($A85="","",IFERROR(COUNTIF(L85:M85,"כן")/(COUNTIF(L85:M85,"כן")+COUNTIF(L85:M85,"לא")),""))</f>
        <v/>
      </c>
      <c r="AH85" s="37">
        <f>IF($A85="","",IFERROR(COUNTIF(N85:O85,"כן")/(COUNTIF(N85:O85,"כן")+COUNTIF(N85:O85,"לא")),""))</f>
        <v/>
      </c>
      <c r="AI85" s="37">
        <f>IF($A85="","",IFERROR(COUNTIF(P85:Q85,"כן")/(COUNTIF(P85:Q85,"כן")+COUNTIF(P85:Q85,"לא")),""))</f>
        <v/>
      </c>
      <c r="AJ85" s="37">
        <f>IF($A85="","",IFERROR(COUNTIF(R85:S85,"כן")/(COUNTIF(R85:S85,"כן")+COUNTIF(R85:S85,"לא")),""))</f>
        <v/>
      </c>
      <c r="AK85" s="37">
        <f>IF($A85="","",IFERROR(COUNTIF(T85:U85,"כן")/(COUNTIF(T85:U85,"כן")+COUNTIF(T85:U85,"לא")),""))</f>
        <v/>
      </c>
      <c r="AL85" s="37">
        <f>IF($A85="","",IFERROR(COUNTIF(L85:U85,"כן")/(COUNTIF(L85:U85,"כן")+COUNTIF(L85:U85,"לא")),""))</f>
        <v/>
      </c>
      <c r="AM85" s="45">
        <f>IF($A85="","",IFERROR(AVERAGE(V85:W85),""))</f>
        <v/>
      </c>
      <c r="AN85" s="45">
        <f>IF($A85="","",IFERROR(AVERAGE(X85:Y85),""))</f>
        <v/>
      </c>
      <c r="AO85" s="45">
        <f>IF($A85="","",IFERROR(AVERAGE(Z85:AA85),""))</f>
        <v/>
      </c>
      <c r="AP85" s="45">
        <f>IF($A85="","",IFERROR(AVERAGE(AB85:AC85),""))</f>
        <v/>
      </c>
      <c r="AQ85" s="45">
        <f>IF($A85="","",IFERROR(AVERAGE(AD85),""))</f>
        <v/>
      </c>
      <c r="AR85" s="45">
        <f>IF($A85="","",IFERROR(AVERAGE(V85:AD85),""))</f>
        <v/>
      </c>
      <c r="AS85" s="36">
        <f>IF($A85="","",IF(AND(H85="",J85=""),"לא נבדק",IF(AND(OR(H85="",H85=I85),OR(J85="",J85=K85)),"תואם","לא תואם")))</f>
        <v/>
      </c>
      <c r="AT85" s="36">
        <f>IF($A85="","",IF(AND(AS85&lt;&gt;"לא תואם",G85&lt;&gt;"לא ברור"),"אמין","לפרש בזהירות"))</f>
        <v/>
      </c>
    </row>
    <row r="86">
      <c r="A86" s="38" t="n"/>
      <c r="B86" s="38" t="n"/>
      <c r="C86" s="38" t="n"/>
      <c r="D86" s="38" t="n"/>
      <c r="E86" s="38" t="n"/>
      <c r="F86" s="38" t="n"/>
      <c r="G86" s="38" t="n"/>
      <c r="H86" s="38" t="n"/>
      <c r="I86" s="38" t="n"/>
      <c r="J86" s="38" t="n"/>
      <c r="K86" s="38" t="n"/>
      <c r="L86" s="38" t="n"/>
      <c r="M86" s="38" t="n"/>
      <c r="N86" s="38" t="n"/>
      <c r="O86" s="38" t="n"/>
      <c r="P86" s="38" t="n"/>
      <c r="Q86" s="38" t="n"/>
      <c r="R86" s="38" t="n"/>
      <c r="S86" s="38" t="n"/>
      <c r="T86" s="38" t="n"/>
      <c r="U86" s="38" t="n"/>
      <c r="V86" s="38" t="n"/>
      <c r="W86" s="38" t="n"/>
      <c r="X86" s="38" t="n"/>
      <c r="Y86" s="38" t="n"/>
      <c r="Z86" s="38" t="n"/>
      <c r="AA86" s="38" t="n"/>
      <c r="AB86" s="38" t="n"/>
      <c r="AC86" s="38" t="n"/>
      <c r="AD86" s="38" t="n"/>
      <c r="AE86" s="38" t="n"/>
      <c r="AF86" s="36">
        <f>IF($A86="","",$A86&amp;"|"&amp;$C86)</f>
        <v/>
      </c>
      <c r="AG86" s="37">
        <f>IF($A86="","",IFERROR(COUNTIF(L86:M86,"כן")/(COUNTIF(L86:M86,"כן")+COUNTIF(L86:M86,"לא")),""))</f>
        <v/>
      </c>
      <c r="AH86" s="37">
        <f>IF($A86="","",IFERROR(COUNTIF(N86:O86,"כן")/(COUNTIF(N86:O86,"כן")+COUNTIF(N86:O86,"לא")),""))</f>
        <v/>
      </c>
      <c r="AI86" s="37">
        <f>IF($A86="","",IFERROR(COUNTIF(P86:Q86,"כן")/(COUNTIF(P86:Q86,"כן")+COUNTIF(P86:Q86,"לא")),""))</f>
        <v/>
      </c>
      <c r="AJ86" s="37">
        <f>IF($A86="","",IFERROR(COUNTIF(R86:S86,"כן")/(COUNTIF(R86:S86,"כן")+COUNTIF(R86:S86,"לא")),""))</f>
        <v/>
      </c>
      <c r="AK86" s="37">
        <f>IF($A86="","",IFERROR(COUNTIF(T86:U86,"כן")/(COUNTIF(T86:U86,"כן")+COUNTIF(T86:U86,"לא")),""))</f>
        <v/>
      </c>
      <c r="AL86" s="37">
        <f>IF($A86="","",IFERROR(COUNTIF(L86:U86,"כן")/(COUNTIF(L86:U86,"כן")+COUNTIF(L86:U86,"לא")),""))</f>
        <v/>
      </c>
      <c r="AM86" s="45">
        <f>IF($A86="","",IFERROR(AVERAGE(V86:W86),""))</f>
        <v/>
      </c>
      <c r="AN86" s="45">
        <f>IF($A86="","",IFERROR(AVERAGE(X86:Y86),""))</f>
        <v/>
      </c>
      <c r="AO86" s="45">
        <f>IF($A86="","",IFERROR(AVERAGE(Z86:AA86),""))</f>
        <v/>
      </c>
      <c r="AP86" s="45">
        <f>IF($A86="","",IFERROR(AVERAGE(AB86:AC86),""))</f>
        <v/>
      </c>
      <c r="AQ86" s="45">
        <f>IF($A86="","",IFERROR(AVERAGE(AD86),""))</f>
        <v/>
      </c>
      <c r="AR86" s="45">
        <f>IF($A86="","",IFERROR(AVERAGE(V86:AD86),""))</f>
        <v/>
      </c>
      <c r="AS86" s="36">
        <f>IF($A86="","",IF(AND(H86="",J86=""),"לא נבדק",IF(AND(OR(H86="",H86=I86),OR(J86="",J86=K86)),"תואם","לא תואם")))</f>
        <v/>
      </c>
      <c r="AT86" s="36">
        <f>IF($A86="","",IF(AND(AS86&lt;&gt;"לא תואם",G86&lt;&gt;"לא ברור"),"אמין","לפרש בזהירות"))</f>
        <v/>
      </c>
    </row>
    <row r="87">
      <c r="A87" s="38" t="n"/>
      <c r="B87" s="38" t="n"/>
      <c r="C87" s="38" t="n"/>
      <c r="D87" s="38" t="n"/>
      <c r="E87" s="38" t="n"/>
      <c r="F87" s="38" t="n"/>
      <c r="G87" s="38" t="n"/>
      <c r="H87" s="38" t="n"/>
      <c r="I87" s="38" t="n"/>
      <c r="J87" s="38" t="n"/>
      <c r="K87" s="38" t="n"/>
      <c r="L87" s="38" t="n"/>
      <c r="M87" s="38" t="n"/>
      <c r="N87" s="38" t="n"/>
      <c r="O87" s="38" t="n"/>
      <c r="P87" s="38" t="n"/>
      <c r="Q87" s="38" t="n"/>
      <c r="R87" s="38" t="n"/>
      <c r="S87" s="38" t="n"/>
      <c r="T87" s="38" t="n"/>
      <c r="U87" s="38" t="n"/>
      <c r="V87" s="38" t="n"/>
      <c r="W87" s="38" t="n"/>
      <c r="X87" s="38" t="n"/>
      <c r="Y87" s="38" t="n"/>
      <c r="Z87" s="38" t="n"/>
      <c r="AA87" s="38" t="n"/>
      <c r="AB87" s="38" t="n"/>
      <c r="AC87" s="38" t="n"/>
      <c r="AD87" s="38" t="n"/>
      <c r="AE87" s="38" t="n"/>
      <c r="AF87" s="36">
        <f>IF($A87="","",$A87&amp;"|"&amp;$C87)</f>
        <v/>
      </c>
      <c r="AG87" s="37">
        <f>IF($A87="","",IFERROR(COUNTIF(L87:M87,"כן")/(COUNTIF(L87:M87,"כן")+COUNTIF(L87:M87,"לא")),""))</f>
        <v/>
      </c>
      <c r="AH87" s="37">
        <f>IF($A87="","",IFERROR(COUNTIF(N87:O87,"כן")/(COUNTIF(N87:O87,"כן")+COUNTIF(N87:O87,"לא")),""))</f>
        <v/>
      </c>
      <c r="AI87" s="37">
        <f>IF($A87="","",IFERROR(COUNTIF(P87:Q87,"כן")/(COUNTIF(P87:Q87,"כן")+COUNTIF(P87:Q87,"לא")),""))</f>
        <v/>
      </c>
      <c r="AJ87" s="37">
        <f>IF($A87="","",IFERROR(COUNTIF(R87:S87,"כן")/(COUNTIF(R87:S87,"כן")+COUNTIF(R87:S87,"לא")),""))</f>
        <v/>
      </c>
      <c r="AK87" s="37">
        <f>IF($A87="","",IFERROR(COUNTIF(T87:U87,"כן")/(COUNTIF(T87:U87,"כן")+COUNTIF(T87:U87,"לא")),""))</f>
        <v/>
      </c>
      <c r="AL87" s="37">
        <f>IF($A87="","",IFERROR(COUNTIF(L87:U87,"כן")/(COUNTIF(L87:U87,"כן")+COUNTIF(L87:U87,"לא")),""))</f>
        <v/>
      </c>
      <c r="AM87" s="45">
        <f>IF($A87="","",IFERROR(AVERAGE(V87:W87),""))</f>
        <v/>
      </c>
      <c r="AN87" s="45">
        <f>IF($A87="","",IFERROR(AVERAGE(X87:Y87),""))</f>
        <v/>
      </c>
      <c r="AO87" s="45">
        <f>IF($A87="","",IFERROR(AVERAGE(Z87:AA87),""))</f>
        <v/>
      </c>
      <c r="AP87" s="45">
        <f>IF($A87="","",IFERROR(AVERAGE(AB87:AC87),""))</f>
        <v/>
      </c>
      <c r="AQ87" s="45">
        <f>IF($A87="","",IFERROR(AVERAGE(AD87),""))</f>
        <v/>
      </c>
      <c r="AR87" s="45">
        <f>IF($A87="","",IFERROR(AVERAGE(V87:AD87),""))</f>
        <v/>
      </c>
      <c r="AS87" s="36">
        <f>IF($A87="","",IF(AND(H87="",J87=""),"לא נבדק",IF(AND(OR(H87="",H87=I87),OR(J87="",J87=K87)),"תואם","לא תואם")))</f>
        <v/>
      </c>
      <c r="AT87" s="36">
        <f>IF($A87="","",IF(AND(AS87&lt;&gt;"לא תואם",G87&lt;&gt;"לא ברור"),"אמין","לפרש בזהירות"))</f>
        <v/>
      </c>
    </row>
    <row r="88">
      <c r="A88" s="38" t="n"/>
      <c r="B88" s="38" t="n"/>
      <c r="C88" s="38" t="n"/>
      <c r="D88" s="38" t="n"/>
      <c r="E88" s="38" t="n"/>
      <c r="F88" s="38" t="n"/>
      <c r="G88" s="38" t="n"/>
      <c r="H88" s="38" t="n"/>
      <c r="I88" s="38" t="n"/>
      <c r="J88" s="38" t="n"/>
      <c r="K88" s="38" t="n"/>
      <c r="L88" s="38" t="n"/>
      <c r="M88" s="38" t="n"/>
      <c r="N88" s="38" t="n"/>
      <c r="O88" s="38" t="n"/>
      <c r="P88" s="38" t="n"/>
      <c r="Q88" s="38" t="n"/>
      <c r="R88" s="38" t="n"/>
      <c r="S88" s="38" t="n"/>
      <c r="T88" s="38" t="n"/>
      <c r="U88" s="38" t="n"/>
      <c r="V88" s="38" t="n"/>
      <c r="W88" s="38" t="n"/>
      <c r="X88" s="38" t="n"/>
      <c r="Y88" s="38" t="n"/>
      <c r="Z88" s="38" t="n"/>
      <c r="AA88" s="38" t="n"/>
      <c r="AB88" s="38" t="n"/>
      <c r="AC88" s="38" t="n"/>
      <c r="AD88" s="38" t="n"/>
      <c r="AE88" s="38" t="n"/>
      <c r="AF88" s="36">
        <f>IF($A88="","",$A88&amp;"|"&amp;$C88)</f>
        <v/>
      </c>
      <c r="AG88" s="37">
        <f>IF($A88="","",IFERROR(COUNTIF(L88:M88,"כן")/(COUNTIF(L88:M88,"כן")+COUNTIF(L88:M88,"לא")),""))</f>
        <v/>
      </c>
      <c r="AH88" s="37">
        <f>IF($A88="","",IFERROR(COUNTIF(N88:O88,"כן")/(COUNTIF(N88:O88,"כן")+COUNTIF(N88:O88,"לא")),""))</f>
        <v/>
      </c>
      <c r="AI88" s="37">
        <f>IF($A88="","",IFERROR(COUNTIF(P88:Q88,"כן")/(COUNTIF(P88:Q88,"כן")+COUNTIF(P88:Q88,"לא")),""))</f>
        <v/>
      </c>
      <c r="AJ88" s="37">
        <f>IF($A88="","",IFERROR(COUNTIF(R88:S88,"כן")/(COUNTIF(R88:S88,"כן")+COUNTIF(R88:S88,"לא")),""))</f>
        <v/>
      </c>
      <c r="AK88" s="37">
        <f>IF($A88="","",IFERROR(COUNTIF(T88:U88,"כן")/(COUNTIF(T88:U88,"כן")+COUNTIF(T88:U88,"לא")),""))</f>
        <v/>
      </c>
      <c r="AL88" s="37">
        <f>IF($A88="","",IFERROR(COUNTIF(L88:U88,"כן")/(COUNTIF(L88:U88,"כן")+COUNTIF(L88:U88,"לא")),""))</f>
        <v/>
      </c>
      <c r="AM88" s="45">
        <f>IF($A88="","",IFERROR(AVERAGE(V88:W88),""))</f>
        <v/>
      </c>
      <c r="AN88" s="45">
        <f>IF($A88="","",IFERROR(AVERAGE(X88:Y88),""))</f>
        <v/>
      </c>
      <c r="AO88" s="45">
        <f>IF($A88="","",IFERROR(AVERAGE(Z88:AA88),""))</f>
        <v/>
      </c>
      <c r="AP88" s="45">
        <f>IF($A88="","",IFERROR(AVERAGE(AB88:AC88),""))</f>
        <v/>
      </c>
      <c r="AQ88" s="45">
        <f>IF($A88="","",IFERROR(AVERAGE(AD88),""))</f>
        <v/>
      </c>
      <c r="AR88" s="45">
        <f>IF($A88="","",IFERROR(AVERAGE(V88:AD88),""))</f>
        <v/>
      </c>
      <c r="AS88" s="36">
        <f>IF($A88="","",IF(AND(H88="",J88=""),"לא נבדק",IF(AND(OR(H88="",H88=I88),OR(J88="",J88=K88)),"תואם","לא תואם")))</f>
        <v/>
      </c>
      <c r="AT88" s="36">
        <f>IF($A88="","",IF(AND(AS88&lt;&gt;"לא תואם",G88&lt;&gt;"לא ברור"),"אמין","לפרש בזהירות"))</f>
        <v/>
      </c>
    </row>
    <row r="89">
      <c r="A89" s="38" t="n"/>
      <c r="B89" s="38" t="n"/>
      <c r="C89" s="38" t="n"/>
      <c r="D89" s="38" t="n"/>
      <c r="E89" s="38" t="n"/>
      <c r="F89" s="38" t="n"/>
      <c r="G89" s="38" t="n"/>
      <c r="H89" s="38" t="n"/>
      <c r="I89" s="38" t="n"/>
      <c r="J89" s="38" t="n"/>
      <c r="K89" s="38" t="n"/>
      <c r="L89" s="38" t="n"/>
      <c r="M89" s="38" t="n"/>
      <c r="N89" s="38" t="n"/>
      <c r="O89" s="38" t="n"/>
      <c r="P89" s="38" t="n"/>
      <c r="Q89" s="38" t="n"/>
      <c r="R89" s="38" t="n"/>
      <c r="S89" s="38" t="n"/>
      <c r="T89" s="38" t="n"/>
      <c r="U89" s="38" t="n"/>
      <c r="V89" s="38" t="n"/>
      <c r="W89" s="38" t="n"/>
      <c r="X89" s="38" t="n"/>
      <c r="Y89" s="38" t="n"/>
      <c r="Z89" s="38" t="n"/>
      <c r="AA89" s="38" t="n"/>
      <c r="AB89" s="38" t="n"/>
      <c r="AC89" s="38" t="n"/>
      <c r="AD89" s="38" t="n"/>
      <c r="AE89" s="38" t="n"/>
      <c r="AF89" s="36">
        <f>IF($A89="","",$A89&amp;"|"&amp;$C89)</f>
        <v/>
      </c>
      <c r="AG89" s="37">
        <f>IF($A89="","",IFERROR(COUNTIF(L89:M89,"כן")/(COUNTIF(L89:M89,"כן")+COUNTIF(L89:M89,"לא")),""))</f>
        <v/>
      </c>
      <c r="AH89" s="37">
        <f>IF($A89="","",IFERROR(COUNTIF(N89:O89,"כן")/(COUNTIF(N89:O89,"כן")+COUNTIF(N89:O89,"לא")),""))</f>
        <v/>
      </c>
      <c r="AI89" s="37">
        <f>IF($A89="","",IFERROR(COUNTIF(P89:Q89,"כן")/(COUNTIF(P89:Q89,"כן")+COUNTIF(P89:Q89,"לא")),""))</f>
        <v/>
      </c>
      <c r="AJ89" s="37">
        <f>IF($A89="","",IFERROR(COUNTIF(R89:S89,"כן")/(COUNTIF(R89:S89,"כן")+COUNTIF(R89:S89,"לא")),""))</f>
        <v/>
      </c>
      <c r="AK89" s="37">
        <f>IF($A89="","",IFERROR(COUNTIF(T89:U89,"כן")/(COUNTIF(T89:U89,"כן")+COUNTIF(T89:U89,"לא")),""))</f>
        <v/>
      </c>
      <c r="AL89" s="37">
        <f>IF($A89="","",IFERROR(COUNTIF(L89:U89,"כן")/(COUNTIF(L89:U89,"כן")+COUNTIF(L89:U89,"לא")),""))</f>
        <v/>
      </c>
      <c r="AM89" s="45">
        <f>IF($A89="","",IFERROR(AVERAGE(V89:W89),""))</f>
        <v/>
      </c>
      <c r="AN89" s="45">
        <f>IF($A89="","",IFERROR(AVERAGE(X89:Y89),""))</f>
        <v/>
      </c>
      <c r="AO89" s="45">
        <f>IF($A89="","",IFERROR(AVERAGE(Z89:AA89),""))</f>
        <v/>
      </c>
      <c r="AP89" s="45">
        <f>IF($A89="","",IFERROR(AVERAGE(AB89:AC89),""))</f>
        <v/>
      </c>
      <c r="AQ89" s="45">
        <f>IF($A89="","",IFERROR(AVERAGE(AD89),""))</f>
        <v/>
      </c>
      <c r="AR89" s="45">
        <f>IF($A89="","",IFERROR(AVERAGE(V89:AD89),""))</f>
        <v/>
      </c>
      <c r="AS89" s="36">
        <f>IF($A89="","",IF(AND(H89="",J89=""),"לא נבדק",IF(AND(OR(H89="",H89=I89),OR(J89="",J89=K89)),"תואם","לא תואם")))</f>
        <v/>
      </c>
      <c r="AT89" s="36">
        <f>IF($A89="","",IF(AND(AS89&lt;&gt;"לא תואם",G89&lt;&gt;"לא ברור"),"אמין","לפרש בזהירות"))</f>
        <v/>
      </c>
    </row>
    <row r="90">
      <c r="A90" s="38" t="n"/>
      <c r="B90" s="38" t="n"/>
      <c r="C90" s="38" t="n"/>
      <c r="D90" s="38" t="n"/>
      <c r="E90" s="38" t="n"/>
      <c r="F90" s="38" t="n"/>
      <c r="G90" s="38" t="n"/>
      <c r="H90" s="38" t="n"/>
      <c r="I90" s="38" t="n"/>
      <c r="J90" s="38" t="n"/>
      <c r="K90" s="38" t="n"/>
      <c r="L90" s="38" t="n"/>
      <c r="M90" s="38" t="n"/>
      <c r="N90" s="38" t="n"/>
      <c r="O90" s="38" t="n"/>
      <c r="P90" s="38" t="n"/>
      <c r="Q90" s="38" t="n"/>
      <c r="R90" s="38" t="n"/>
      <c r="S90" s="38" t="n"/>
      <c r="T90" s="38" t="n"/>
      <c r="U90" s="38" t="n"/>
      <c r="V90" s="38" t="n"/>
      <c r="W90" s="38" t="n"/>
      <c r="X90" s="38" t="n"/>
      <c r="Y90" s="38" t="n"/>
      <c r="Z90" s="38" t="n"/>
      <c r="AA90" s="38" t="n"/>
      <c r="AB90" s="38" t="n"/>
      <c r="AC90" s="38" t="n"/>
      <c r="AD90" s="38" t="n"/>
      <c r="AE90" s="38" t="n"/>
      <c r="AF90" s="36">
        <f>IF($A90="","",$A90&amp;"|"&amp;$C90)</f>
        <v/>
      </c>
      <c r="AG90" s="37">
        <f>IF($A90="","",IFERROR(COUNTIF(L90:M90,"כן")/(COUNTIF(L90:M90,"כן")+COUNTIF(L90:M90,"לא")),""))</f>
        <v/>
      </c>
      <c r="AH90" s="37">
        <f>IF($A90="","",IFERROR(COUNTIF(N90:O90,"כן")/(COUNTIF(N90:O90,"כן")+COUNTIF(N90:O90,"לא")),""))</f>
        <v/>
      </c>
      <c r="AI90" s="37">
        <f>IF($A90="","",IFERROR(COUNTIF(P90:Q90,"כן")/(COUNTIF(P90:Q90,"כן")+COUNTIF(P90:Q90,"לא")),""))</f>
        <v/>
      </c>
      <c r="AJ90" s="37">
        <f>IF($A90="","",IFERROR(COUNTIF(R90:S90,"כן")/(COUNTIF(R90:S90,"כן")+COUNTIF(R90:S90,"לא")),""))</f>
        <v/>
      </c>
      <c r="AK90" s="37">
        <f>IF($A90="","",IFERROR(COUNTIF(T90:U90,"כן")/(COUNTIF(T90:U90,"כן")+COUNTIF(T90:U90,"לא")),""))</f>
        <v/>
      </c>
      <c r="AL90" s="37">
        <f>IF($A90="","",IFERROR(COUNTIF(L90:U90,"כן")/(COUNTIF(L90:U90,"כן")+COUNTIF(L90:U90,"לא")),""))</f>
        <v/>
      </c>
      <c r="AM90" s="45">
        <f>IF($A90="","",IFERROR(AVERAGE(V90:W90),""))</f>
        <v/>
      </c>
      <c r="AN90" s="45">
        <f>IF($A90="","",IFERROR(AVERAGE(X90:Y90),""))</f>
        <v/>
      </c>
      <c r="AO90" s="45">
        <f>IF($A90="","",IFERROR(AVERAGE(Z90:AA90),""))</f>
        <v/>
      </c>
      <c r="AP90" s="45">
        <f>IF($A90="","",IFERROR(AVERAGE(AB90:AC90),""))</f>
        <v/>
      </c>
      <c r="AQ90" s="45">
        <f>IF($A90="","",IFERROR(AVERAGE(AD90),""))</f>
        <v/>
      </c>
      <c r="AR90" s="45">
        <f>IF($A90="","",IFERROR(AVERAGE(V90:AD90),""))</f>
        <v/>
      </c>
      <c r="AS90" s="36">
        <f>IF($A90="","",IF(AND(H90="",J90=""),"לא נבדק",IF(AND(OR(H90="",H90=I90),OR(J90="",J90=K90)),"תואם","לא תואם")))</f>
        <v/>
      </c>
      <c r="AT90" s="36">
        <f>IF($A90="","",IF(AND(AS90&lt;&gt;"לא תואם",G90&lt;&gt;"לא ברור"),"אמין","לפרש בזהירות"))</f>
        <v/>
      </c>
    </row>
    <row r="91">
      <c r="A91" s="38" t="n"/>
      <c r="B91" s="38" t="n"/>
      <c r="C91" s="38" t="n"/>
      <c r="D91" s="38" t="n"/>
      <c r="E91" s="38" t="n"/>
      <c r="F91" s="38" t="n"/>
      <c r="G91" s="38" t="n"/>
      <c r="H91" s="38" t="n"/>
      <c r="I91" s="38" t="n"/>
      <c r="J91" s="38" t="n"/>
      <c r="K91" s="38" t="n"/>
      <c r="L91" s="38" t="n"/>
      <c r="M91" s="38" t="n"/>
      <c r="N91" s="38" t="n"/>
      <c r="O91" s="38" t="n"/>
      <c r="P91" s="38" t="n"/>
      <c r="Q91" s="38" t="n"/>
      <c r="R91" s="38" t="n"/>
      <c r="S91" s="38" t="n"/>
      <c r="T91" s="38" t="n"/>
      <c r="U91" s="38" t="n"/>
      <c r="V91" s="38" t="n"/>
      <c r="W91" s="38" t="n"/>
      <c r="X91" s="38" t="n"/>
      <c r="Y91" s="38" t="n"/>
      <c r="Z91" s="38" t="n"/>
      <c r="AA91" s="38" t="n"/>
      <c r="AB91" s="38" t="n"/>
      <c r="AC91" s="38" t="n"/>
      <c r="AD91" s="38" t="n"/>
      <c r="AE91" s="38" t="n"/>
      <c r="AF91" s="36">
        <f>IF($A91="","",$A91&amp;"|"&amp;$C91)</f>
        <v/>
      </c>
      <c r="AG91" s="37">
        <f>IF($A91="","",IFERROR(COUNTIF(L91:M91,"כן")/(COUNTIF(L91:M91,"כן")+COUNTIF(L91:M91,"לא")),""))</f>
        <v/>
      </c>
      <c r="AH91" s="37">
        <f>IF($A91="","",IFERROR(COUNTIF(N91:O91,"כן")/(COUNTIF(N91:O91,"כן")+COUNTIF(N91:O91,"לא")),""))</f>
        <v/>
      </c>
      <c r="AI91" s="37">
        <f>IF($A91="","",IFERROR(COUNTIF(P91:Q91,"כן")/(COUNTIF(P91:Q91,"כן")+COUNTIF(P91:Q91,"לא")),""))</f>
        <v/>
      </c>
      <c r="AJ91" s="37">
        <f>IF($A91="","",IFERROR(COUNTIF(R91:S91,"כן")/(COUNTIF(R91:S91,"כן")+COUNTIF(R91:S91,"לא")),""))</f>
        <v/>
      </c>
      <c r="AK91" s="37">
        <f>IF($A91="","",IFERROR(COUNTIF(T91:U91,"כן")/(COUNTIF(T91:U91,"כן")+COUNTIF(T91:U91,"לא")),""))</f>
        <v/>
      </c>
      <c r="AL91" s="37">
        <f>IF($A91="","",IFERROR(COUNTIF(L91:U91,"כן")/(COUNTIF(L91:U91,"כן")+COUNTIF(L91:U91,"לא")),""))</f>
        <v/>
      </c>
      <c r="AM91" s="45">
        <f>IF($A91="","",IFERROR(AVERAGE(V91:W91),""))</f>
        <v/>
      </c>
      <c r="AN91" s="45">
        <f>IF($A91="","",IFERROR(AVERAGE(X91:Y91),""))</f>
        <v/>
      </c>
      <c r="AO91" s="45">
        <f>IF($A91="","",IFERROR(AVERAGE(Z91:AA91),""))</f>
        <v/>
      </c>
      <c r="AP91" s="45">
        <f>IF($A91="","",IFERROR(AVERAGE(AB91:AC91),""))</f>
        <v/>
      </c>
      <c r="AQ91" s="45">
        <f>IF($A91="","",IFERROR(AVERAGE(AD91),""))</f>
        <v/>
      </c>
      <c r="AR91" s="45">
        <f>IF($A91="","",IFERROR(AVERAGE(V91:AD91),""))</f>
        <v/>
      </c>
      <c r="AS91" s="36">
        <f>IF($A91="","",IF(AND(H91="",J91=""),"לא נבדק",IF(AND(OR(H91="",H91=I91),OR(J91="",J91=K91)),"תואם","לא תואם")))</f>
        <v/>
      </c>
      <c r="AT91" s="36">
        <f>IF($A91="","",IF(AND(AS91&lt;&gt;"לא תואם",G91&lt;&gt;"לא ברור"),"אמין","לפרש בזהירות"))</f>
        <v/>
      </c>
    </row>
    <row r="92">
      <c r="A92" s="38" t="n"/>
      <c r="B92" s="38" t="n"/>
      <c r="C92" s="38" t="n"/>
      <c r="D92" s="38" t="n"/>
      <c r="E92" s="38" t="n"/>
      <c r="F92" s="38" t="n"/>
      <c r="G92" s="38" t="n"/>
      <c r="H92" s="38" t="n"/>
      <c r="I92" s="38" t="n"/>
      <c r="J92" s="38" t="n"/>
      <c r="K92" s="38" t="n"/>
      <c r="L92" s="38" t="n"/>
      <c r="M92" s="38" t="n"/>
      <c r="N92" s="38" t="n"/>
      <c r="O92" s="38" t="n"/>
      <c r="P92" s="38" t="n"/>
      <c r="Q92" s="38" t="n"/>
      <c r="R92" s="38" t="n"/>
      <c r="S92" s="38" t="n"/>
      <c r="T92" s="38" t="n"/>
      <c r="U92" s="38" t="n"/>
      <c r="V92" s="38" t="n"/>
      <c r="W92" s="38" t="n"/>
      <c r="X92" s="38" t="n"/>
      <c r="Y92" s="38" t="n"/>
      <c r="Z92" s="38" t="n"/>
      <c r="AA92" s="38" t="n"/>
      <c r="AB92" s="38" t="n"/>
      <c r="AC92" s="38" t="n"/>
      <c r="AD92" s="38" t="n"/>
      <c r="AE92" s="38" t="n"/>
      <c r="AF92" s="36">
        <f>IF($A92="","",$A92&amp;"|"&amp;$C92)</f>
        <v/>
      </c>
      <c r="AG92" s="37">
        <f>IF($A92="","",IFERROR(COUNTIF(L92:M92,"כן")/(COUNTIF(L92:M92,"כן")+COUNTIF(L92:M92,"לא")),""))</f>
        <v/>
      </c>
      <c r="AH92" s="37">
        <f>IF($A92="","",IFERROR(COUNTIF(N92:O92,"כן")/(COUNTIF(N92:O92,"כן")+COUNTIF(N92:O92,"לא")),""))</f>
        <v/>
      </c>
      <c r="AI92" s="37">
        <f>IF($A92="","",IFERROR(COUNTIF(P92:Q92,"כן")/(COUNTIF(P92:Q92,"כן")+COUNTIF(P92:Q92,"לא")),""))</f>
        <v/>
      </c>
      <c r="AJ92" s="37">
        <f>IF($A92="","",IFERROR(COUNTIF(R92:S92,"כן")/(COUNTIF(R92:S92,"כן")+COUNTIF(R92:S92,"לא")),""))</f>
        <v/>
      </c>
      <c r="AK92" s="37">
        <f>IF($A92="","",IFERROR(COUNTIF(T92:U92,"כן")/(COUNTIF(T92:U92,"כן")+COUNTIF(T92:U92,"לא")),""))</f>
        <v/>
      </c>
      <c r="AL92" s="37">
        <f>IF($A92="","",IFERROR(COUNTIF(L92:U92,"כן")/(COUNTIF(L92:U92,"כן")+COUNTIF(L92:U92,"לא")),""))</f>
        <v/>
      </c>
      <c r="AM92" s="45">
        <f>IF($A92="","",IFERROR(AVERAGE(V92:W92),""))</f>
        <v/>
      </c>
      <c r="AN92" s="45">
        <f>IF($A92="","",IFERROR(AVERAGE(X92:Y92),""))</f>
        <v/>
      </c>
      <c r="AO92" s="45">
        <f>IF($A92="","",IFERROR(AVERAGE(Z92:AA92),""))</f>
        <v/>
      </c>
      <c r="AP92" s="45">
        <f>IF($A92="","",IFERROR(AVERAGE(AB92:AC92),""))</f>
        <v/>
      </c>
      <c r="AQ92" s="45">
        <f>IF($A92="","",IFERROR(AVERAGE(AD92),""))</f>
        <v/>
      </c>
      <c r="AR92" s="45">
        <f>IF($A92="","",IFERROR(AVERAGE(V92:AD92),""))</f>
        <v/>
      </c>
      <c r="AS92" s="36">
        <f>IF($A92="","",IF(AND(H92="",J92=""),"לא נבדק",IF(AND(OR(H92="",H92=I92),OR(J92="",J92=K92)),"תואם","לא תואם")))</f>
        <v/>
      </c>
      <c r="AT92" s="36">
        <f>IF($A92="","",IF(AND(AS92&lt;&gt;"לא תואם",G92&lt;&gt;"לא ברור"),"אמין","לפרש בזהירות"))</f>
        <v/>
      </c>
    </row>
    <row r="93">
      <c r="A93" s="38" t="n"/>
      <c r="B93" s="38" t="n"/>
      <c r="C93" s="38" t="n"/>
      <c r="D93" s="38" t="n"/>
      <c r="E93" s="38" t="n"/>
      <c r="F93" s="38" t="n"/>
      <c r="G93" s="38" t="n"/>
      <c r="H93" s="38" t="n"/>
      <c r="I93" s="38" t="n"/>
      <c r="J93" s="38" t="n"/>
      <c r="K93" s="38" t="n"/>
      <c r="L93" s="38" t="n"/>
      <c r="M93" s="38" t="n"/>
      <c r="N93" s="38" t="n"/>
      <c r="O93" s="38" t="n"/>
      <c r="P93" s="38" t="n"/>
      <c r="Q93" s="38" t="n"/>
      <c r="R93" s="38" t="n"/>
      <c r="S93" s="38" t="n"/>
      <c r="T93" s="38" t="n"/>
      <c r="U93" s="38" t="n"/>
      <c r="V93" s="38" t="n"/>
      <c r="W93" s="38" t="n"/>
      <c r="X93" s="38" t="n"/>
      <c r="Y93" s="38" t="n"/>
      <c r="Z93" s="38" t="n"/>
      <c r="AA93" s="38" t="n"/>
      <c r="AB93" s="38" t="n"/>
      <c r="AC93" s="38" t="n"/>
      <c r="AD93" s="38" t="n"/>
      <c r="AE93" s="38" t="n"/>
      <c r="AF93" s="36">
        <f>IF($A93="","",$A93&amp;"|"&amp;$C93)</f>
        <v/>
      </c>
      <c r="AG93" s="37">
        <f>IF($A93="","",IFERROR(COUNTIF(L93:M93,"כן")/(COUNTIF(L93:M93,"כן")+COUNTIF(L93:M93,"לא")),""))</f>
        <v/>
      </c>
      <c r="AH93" s="37">
        <f>IF($A93="","",IFERROR(COUNTIF(N93:O93,"כן")/(COUNTIF(N93:O93,"כן")+COUNTIF(N93:O93,"לא")),""))</f>
        <v/>
      </c>
      <c r="AI93" s="37">
        <f>IF($A93="","",IFERROR(COUNTIF(P93:Q93,"כן")/(COUNTIF(P93:Q93,"כן")+COUNTIF(P93:Q93,"לא")),""))</f>
        <v/>
      </c>
      <c r="AJ93" s="37">
        <f>IF($A93="","",IFERROR(COUNTIF(R93:S93,"כן")/(COUNTIF(R93:S93,"כן")+COUNTIF(R93:S93,"לא")),""))</f>
        <v/>
      </c>
      <c r="AK93" s="37">
        <f>IF($A93="","",IFERROR(COUNTIF(T93:U93,"כן")/(COUNTIF(T93:U93,"כן")+COUNTIF(T93:U93,"לא")),""))</f>
        <v/>
      </c>
      <c r="AL93" s="37">
        <f>IF($A93="","",IFERROR(COUNTIF(L93:U93,"כן")/(COUNTIF(L93:U93,"כן")+COUNTIF(L93:U93,"לא")),""))</f>
        <v/>
      </c>
      <c r="AM93" s="45">
        <f>IF($A93="","",IFERROR(AVERAGE(V93:W93),""))</f>
        <v/>
      </c>
      <c r="AN93" s="45">
        <f>IF($A93="","",IFERROR(AVERAGE(X93:Y93),""))</f>
        <v/>
      </c>
      <c r="AO93" s="45">
        <f>IF($A93="","",IFERROR(AVERAGE(Z93:AA93),""))</f>
        <v/>
      </c>
      <c r="AP93" s="45">
        <f>IF($A93="","",IFERROR(AVERAGE(AB93:AC93),""))</f>
        <v/>
      </c>
      <c r="AQ93" s="45">
        <f>IF($A93="","",IFERROR(AVERAGE(AD93),""))</f>
        <v/>
      </c>
      <c r="AR93" s="45">
        <f>IF($A93="","",IFERROR(AVERAGE(V93:AD93),""))</f>
        <v/>
      </c>
      <c r="AS93" s="36">
        <f>IF($A93="","",IF(AND(H93="",J93=""),"לא נבדק",IF(AND(OR(H93="",H93=I93),OR(J93="",J93=K93)),"תואם","לא תואם")))</f>
        <v/>
      </c>
      <c r="AT93" s="36">
        <f>IF($A93="","",IF(AND(AS93&lt;&gt;"לא תואם",G93&lt;&gt;"לא ברור"),"אמין","לפרש בזהירות"))</f>
        <v/>
      </c>
    </row>
    <row r="94">
      <c r="A94" s="38" t="n"/>
      <c r="B94" s="38" t="n"/>
      <c r="C94" s="38" t="n"/>
      <c r="D94" s="38" t="n"/>
      <c r="E94" s="38" t="n"/>
      <c r="F94" s="38" t="n"/>
      <c r="G94" s="38" t="n"/>
      <c r="H94" s="38" t="n"/>
      <c r="I94" s="38" t="n"/>
      <c r="J94" s="38" t="n"/>
      <c r="K94" s="38" t="n"/>
      <c r="L94" s="38" t="n"/>
      <c r="M94" s="38" t="n"/>
      <c r="N94" s="38" t="n"/>
      <c r="O94" s="38" t="n"/>
      <c r="P94" s="38" t="n"/>
      <c r="Q94" s="38" t="n"/>
      <c r="R94" s="38" t="n"/>
      <c r="S94" s="38" t="n"/>
      <c r="T94" s="38" t="n"/>
      <c r="U94" s="38" t="n"/>
      <c r="V94" s="38" t="n"/>
      <c r="W94" s="38" t="n"/>
      <c r="X94" s="38" t="n"/>
      <c r="Y94" s="38" t="n"/>
      <c r="Z94" s="38" t="n"/>
      <c r="AA94" s="38" t="n"/>
      <c r="AB94" s="38" t="n"/>
      <c r="AC94" s="38" t="n"/>
      <c r="AD94" s="38" t="n"/>
      <c r="AE94" s="38" t="n"/>
      <c r="AF94" s="36">
        <f>IF($A94="","",$A94&amp;"|"&amp;$C94)</f>
        <v/>
      </c>
      <c r="AG94" s="37">
        <f>IF($A94="","",IFERROR(COUNTIF(L94:M94,"כן")/(COUNTIF(L94:M94,"כן")+COUNTIF(L94:M94,"לא")),""))</f>
        <v/>
      </c>
      <c r="AH94" s="37">
        <f>IF($A94="","",IFERROR(COUNTIF(N94:O94,"כן")/(COUNTIF(N94:O94,"כן")+COUNTIF(N94:O94,"לא")),""))</f>
        <v/>
      </c>
      <c r="AI94" s="37">
        <f>IF($A94="","",IFERROR(COUNTIF(P94:Q94,"כן")/(COUNTIF(P94:Q94,"כן")+COUNTIF(P94:Q94,"לא")),""))</f>
        <v/>
      </c>
      <c r="AJ94" s="37">
        <f>IF($A94="","",IFERROR(COUNTIF(R94:S94,"כן")/(COUNTIF(R94:S94,"כן")+COUNTIF(R94:S94,"לא")),""))</f>
        <v/>
      </c>
      <c r="AK94" s="37">
        <f>IF($A94="","",IFERROR(COUNTIF(T94:U94,"כן")/(COUNTIF(T94:U94,"כן")+COUNTIF(T94:U94,"לא")),""))</f>
        <v/>
      </c>
      <c r="AL94" s="37">
        <f>IF($A94="","",IFERROR(COUNTIF(L94:U94,"כן")/(COUNTIF(L94:U94,"כן")+COUNTIF(L94:U94,"לא")),""))</f>
        <v/>
      </c>
      <c r="AM94" s="45">
        <f>IF($A94="","",IFERROR(AVERAGE(V94:W94),""))</f>
        <v/>
      </c>
      <c r="AN94" s="45">
        <f>IF($A94="","",IFERROR(AVERAGE(X94:Y94),""))</f>
        <v/>
      </c>
      <c r="AO94" s="45">
        <f>IF($A94="","",IFERROR(AVERAGE(Z94:AA94),""))</f>
        <v/>
      </c>
      <c r="AP94" s="45">
        <f>IF($A94="","",IFERROR(AVERAGE(AB94:AC94),""))</f>
        <v/>
      </c>
      <c r="AQ94" s="45">
        <f>IF($A94="","",IFERROR(AVERAGE(AD94),""))</f>
        <v/>
      </c>
      <c r="AR94" s="45">
        <f>IF($A94="","",IFERROR(AVERAGE(V94:AD94),""))</f>
        <v/>
      </c>
      <c r="AS94" s="36">
        <f>IF($A94="","",IF(AND(H94="",J94=""),"לא נבדק",IF(AND(OR(H94="",H94=I94),OR(J94="",J94=K94)),"תואם","לא תואם")))</f>
        <v/>
      </c>
      <c r="AT94" s="36">
        <f>IF($A94="","",IF(AND(AS94&lt;&gt;"לא תואם",G94&lt;&gt;"לא ברור"),"אמין","לפרש בזהירות"))</f>
        <v/>
      </c>
    </row>
    <row r="95">
      <c r="A95" s="38" t="n"/>
      <c r="B95" s="38" t="n"/>
      <c r="C95" s="38" t="n"/>
      <c r="D95" s="38" t="n"/>
      <c r="E95" s="38" t="n"/>
      <c r="F95" s="38" t="n"/>
      <c r="G95" s="38" t="n"/>
      <c r="H95" s="38" t="n"/>
      <c r="I95" s="38" t="n"/>
      <c r="J95" s="38" t="n"/>
      <c r="K95" s="38" t="n"/>
      <c r="L95" s="38" t="n"/>
      <c r="M95" s="38" t="n"/>
      <c r="N95" s="38" t="n"/>
      <c r="O95" s="38" t="n"/>
      <c r="P95" s="38" t="n"/>
      <c r="Q95" s="38" t="n"/>
      <c r="R95" s="38" t="n"/>
      <c r="S95" s="38" t="n"/>
      <c r="T95" s="38" t="n"/>
      <c r="U95" s="38" t="n"/>
      <c r="V95" s="38" t="n"/>
      <c r="W95" s="38" t="n"/>
      <c r="X95" s="38" t="n"/>
      <c r="Y95" s="38" t="n"/>
      <c r="Z95" s="38" t="n"/>
      <c r="AA95" s="38" t="n"/>
      <c r="AB95" s="38" t="n"/>
      <c r="AC95" s="38" t="n"/>
      <c r="AD95" s="38" t="n"/>
      <c r="AE95" s="38" t="n"/>
      <c r="AF95" s="36">
        <f>IF($A95="","",$A95&amp;"|"&amp;$C95)</f>
        <v/>
      </c>
      <c r="AG95" s="37">
        <f>IF($A95="","",IFERROR(COUNTIF(L95:M95,"כן")/(COUNTIF(L95:M95,"כן")+COUNTIF(L95:M95,"לא")),""))</f>
        <v/>
      </c>
      <c r="AH95" s="37">
        <f>IF($A95="","",IFERROR(COUNTIF(N95:O95,"כן")/(COUNTIF(N95:O95,"כן")+COUNTIF(N95:O95,"לא")),""))</f>
        <v/>
      </c>
      <c r="AI95" s="37">
        <f>IF($A95="","",IFERROR(COUNTIF(P95:Q95,"כן")/(COUNTIF(P95:Q95,"כן")+COUNTIF(P95:Q95,"לא")),""))</f>
        <v/>
      </c>
      <c r="AJ95" s="37">
        <f>IF($A95="","",IFERROR(COUNTIF(R95:S95,"כן")/(COUNTIF(R95:S95,"כן")+COUNTIF(R95:S95,"לא")),""))</f>
        <v/>
      </c>
      <c r="AK95" s="37">
        <f>IF($A95="","",IFERROR(COUNTIF(T95:U95,"כן")/(COUNTIF(T95:U95,"כן")+COUNTIF(T95:U95,"לא")),""))</f>
        <v/>
      </c>
      <c r="AL95" s="37">
        <f>IF($A95="","",IFERROR(COUNTIF(L95:U95,"כן")/(COUNTIF(L95:U95,"כן")+COUNTIF(L95:U95,"לא")),""))</f>
        <v/>
      </c>
      <c r="AM95" s="45">
        <f>IF($A95="","",IFERROR(AVERAGE(V95:W95),""))</f>
        <v/>
      </c>
      <c r="AN95" s="45">
        <f>IF($A95="","",IFERROR(AVERAGE(X95:Y95),""))</f>
        <v/>
      </c>
      <c r="AO95" s="45">
        <f>IF($A95="","",IFERROR(AVERAGE(Z95:AA95),""))</f>
        <v/>
      </c>
      <c r="AP95" s="45">
        <f>IF($A95="","",IFERROR(AVERAGE(AB95:AC95),""))</f>
        <v/>
      </c>
      <c r="AQ95" s="45">
        <f>IF($A95="","",IFERROR(AVERAGE(AD95),""))</f>
        <v/>
      </c>
      <c r="AR95" s="45">
        <f>IF($A95="","",IFERROR(AVERAGE(V95:AD95),""))</f>
        <v/>
      </c>
      <c r="AS95" s="36">
        <f>IF($A95="","",IF(AND(H95="",J95=""),"לא נבדק",IF(AND(OR(H95="",H95=I95),OR(J95="",J95=K95)),"תואם","לא תואם")))</f>
        <v/>
      </c>
      <c r="AT95" s="36">
        <f>IF($A95="","",IF(AND(AS95&lt;&gt;"לא תואם",G95&lt;&gt;"לא ברור"),"אמין","לפרש בזהירות"))</f>
        <v/>
      </c>
    </row>
    <row r="96">
      <c r="A96" s="38" t="n"/>
      <c r="B96" s="38" t="n"/>
      <c r="C96" s="38" t="n"/>
      <c r="D96" s="38" t="n"/>
      <c r="E96" s="38" t="n"/>
      <c r="F96" s="38" t="n"/>
      <c r="G96" s="38" t="n"/>
      <c r="H96" s="38" t="n"/>
      <c r="I96" s="38" t="n"/>
      <c r="J96" s="38" t="n"/>
      <c r="K96" s="38" t="n"/>
      <c r="L96" s="38" t="n"/>
      <c r="M96" s="38" t="n"/>
      <c r="N96" s="38" t="n"/>
      <c r="O96" s="38" t="n"/>
      <c r="P96" s="38" t="n"/>
      <c r="Q96" s="38" t="n"/>
      <c r="R96" s="38" t="n"/>
      <c r="S96" s="38" t="n"/>
      <c r="T96" s="38" t="n"/>
      <c r="U96" s="38" t="n"/>
      <c r="V96" s="38" t="n"/>
      <c r="W96" s="38" t="n"/>
      <c r="X96" s="38" t="n"/>
      <c r="Y96" s="38" t="n"/>
      <c r="Z96" s="38" t="n"/>
      <c r="AA96" s="38" t="n"/>
      <c r="AB96" s="38" t="n"/>
      <c r="AC96" s="38" t="n"/>
      <c r="AD96" s="38" t="n"/>
      <c r="AE96" s="38" t="n"/>
      <c r="AF96" s="36">
        <f>IF($A96="","",$A96&amp;"|"&amp;$C96)</f>
        <v/>
      </c>
      <c r="AG96" s="37">
        <f>IF($A96="","",IFERROR(COUNTIF(L96:M96,"כן")/(COUNTIF(L96:M96,"כן")+COUNTIF(L96:M96,"לא")),""))</f>
        <v/>
      </c>
      <c r="AH96" s="37">
        <f>IF($A96="","",IFERROR(COUNTIF(N96:O96,"כן")/(COUNTIF(N96:O96,"כן")+COUNTIF(N96:O96,"לא")),""))</f>
        <v/>
      </c>
      <c r="AI96" s="37">
        <f>IF($A96="","",IFERROR(COUNTIF(P96:Q96,"כן")/(COUNTIF(P96:Q96,"כן")+COUNTIF(P96:Q96,"לא")),""))</f>
        <v/>
      </c>
      <c r="AJ96" s="37">
        <f>IF($A96="","",IFERROR(COUNTIF(R96:S96,"כן")/(COUNTIF(R96:S96,"כן")+COUNTIF(R96:S96,"לא")),""))</f>
        <v/>
      </c>
      <c r="AK96" s="37">
        <f>IF($A96="","",IFERROR(COUNTIF(T96:U96,"כן")/(COUNTIF(T96:U96,"כן")+COUNTIF(T96:U96,"לא")),""))</f>
        <v/>
      </c>
      <c r="AL96" s="37">
        <f>IF($A96="","",IFERROR(COUNTIF(L96:U96,"כן")/(COUNTIF(L96:U96,"כן")+COUNTIF(L96:U96,"לא")),""))</f>
        <v/>
      </c>
      <c r="AM96" s="45">
        <f>IF($A96="","",IFERROR(AVERAGE(V96:W96),""))</f>
        <v/>
      </c>
      <c r="AN96" s="45">
        <f>IF($A96="","",IFERROR(AVERAGE(X96:Y96),""))</f>
        <v/>
      </c>
      <c r="AO96" s="45">
        <f>IF($A96="","",IFERROR(AVERAGE(Z96:AA96),""))</f>
        <v/>
      </c>
      <c r="AP96" s="45">
        <f>IF($A96="","",IFERROR(AVERAGE(AB96:AC96),""))</f>
        <v/>
      </c>
      <c r="AQ96" s="45">
        <f>IF($A96="","",IFERROR(AVERAGE(AD96),""))</f>
        <v/>
      </c>
      <c r="AR96" s="45">
        <f>IF($A96="","",IFERROR(AVERAGE(V96:AD96),""))</f>
        <v/>
      </c>
      <c r="AS96" s="36">
        <f>IF($A96="","",IF(AND(H96="",J96=""),"לא נבדק",IF(AND(OR(H96="",H96=I96),OR(J96="",J96=K96)),"תואם","לא תואם")))</f>
        <v/>
      </c>
      <c r="AT96" s="36">
        <f>IF($A96="","",IF(AND(AS96&lt;&gt;"לא תואם",G96&lt;&gt;"לא ברור"),"אמין","לפרש בזהירות"))</f>
        <v/>
      </c>
    </row>
    <row r="97">
      <c r="A97" s="38" t="n"/>
      <c r="B97" s="38" t="n"/>
      <c r="C97" s="38" t="n"/>
      <c r="D97" s="38" t="n"/>
      <c r="E97" s="38" t="n"/>
      <c r="F97" s="38" t="n"/>
      <c r="G97" s="38" t="n"/>
      <c r="H97" s="38" t="n"/>
      <c r="I97" s="38" t="n"/>
      <c r="J97" s="38" t="n"/>
      <c r="K97" s="38" t="n"/>
      <c r="L97" s="38" t="n"/>
      <c r="M97" s="38" t="n"/>
      <c r="N97" s="38" t="n"/>
      <c r="O97" s="38" t="n"/>
      <c r="P97" s="38" t="n"/>
      <c r="Q97" s="38" t="n"/>
      <c r="R97" s="38" t="n"/>
      <c r="S97" s="38" t="n"/>
      <c r="T97" s="38" t="n"/>
      <c r="U97" s="38" t="n"/>
      <c r="V97" s="38" t="n"/>
      <c r="W97" s="38" t="n"/>
      <c r="X97" s="38" t="n"/>
      <c r="Y97" s="38" t="n"/>
      <c r="Z97" s="38" t="n"/>
      <c r="AA97" s="38" t="n"/>
      <c r="AB97" s="38" t="n"/>
      <c r="AC97" s="38" t="n"/>
      <c r="AD97" s="38" t="n"/>
      <c r="AE97" s="38" t="n"/>
      <c r="AF97" s="36">
        <f>IF($A97="","",$A97&amp;"|"&amp;$C97)</f>
        <v/>
      </c>
      <c r="AG97" s="37">
        <f>IF($A97="","",IFERROR(COUNTIF(L97:M97,"כן")/(COUNTIF(L97:M97,"כן")+COUNTIF(L97:M97,"לא")),""))</f>
        <v/>
      </c>
      <c r="AH97" s="37">
        <f>IF($A97="","",IFERROR(COUNTIF(N97:O97,"כן")/(COUNTIF(N97:O97,"כן")+COUNTIF(N97:O97,"לא")),""))</f>
        <v/>
      </c>
      <c r="AI97" s="37">
        <f>IF($A97="","",IFERROR(COUNTIF(P97:Q97,"כן")/(COUNTIF(P97:Q97,"כן")+COUNTIF(P97:Q97,"לא")),""))</f>
        <v/>
      </c>
      <c r="AJ97" s="37">
        <f>IF($A97="","",IFERROR(COUNTIF(R97:S97,"כן")/(COUNTIF(R97:S97,"כן")+COUNTIF(R97:S97,"לא")),""))</f>
        <v/>
      </c>
      <c r="AK97" s="37">
        <f>IF($A97="","",IFERROR(COUNTIF(T97:U97,"כן")/(COUNTIF(T97:U97,"כן")+COUNTIF(T97:U97,"לא")),""))</f>
        <v/>
      </c>
      <c r="AL97" s="37">
        <f>IF($A97="","",IFERROR(COUNTIF(L97:U97,"כן")/(COUNTIF(L97:U97,"כן")+COUNTIF(L97:U97,"לא")),""))</f>
        <v/>
      </c>
      <c r="AM97" s="45">
        <f>IF($A97="","",IFERROR(AVERAGE(V97:W97),""))</f>
        <v/>
      </c>
      <c r="AN97" s="45">
        <f>IF($A97="","",IFERROR(AVERAGE(X97:Y97),""))</f>
        <v/>
      </c>
      <c r="AO97" s="45">
        <f>IF($A97="","",IFERROR(AVERAGE(Z97:AA97),""))</f>
        <v/>
      </c>
      <c r="AP97" s="45">
        <f>IF($A97="","",IFERROR(AVERAGE(AB97:AC97),""))</f>
        <v/>
      </c>
      <c r="AQ97" s="45">
        <f>IF($A97="","",IFERROR(AVERAGE(AD97),""))</f>
        <v/>
      </c>
      <c r="AR97" s="45">
        <f>IF($A97="","",IFERROR(AVERAGE(V97:AD97),""))</f>
        <v/>
      </c>
      <c r="AS97" s="36">
        <f>IF($A97="","",IF(AND(H97="",J97=""),"לא נבדק",IF(AND(OR(H97="",H97=I97),OR(J97="",J97=K97)),"תואם","לא תואם")))</f>
        <v/>
      </c>
      <c r="AT97" s="36">
        <f>IF($A97="","",IF(AND(AS97&lt;&gt;"לא תואם",G97&lt;&gt;"לא ברור"),"אמין","לפרש בזהירות"))</f>
        <v/>
      </c>
    </row>
    <row r="98">
      <c r="A98" s="38" t="n"/>
      <c r="B98" s="38" t="n"/>
      <c r="C98" s="38" t="n"/>
      <c r="D98" s="38" t="n"/>
      <c r="E98" s="38" t="n"/>
      <c r="F98" s="38" t="n"/>
      <c r="G98" s="38" t="n"/>
      <c r="H98" s="38" t="n"/>
      <c r="I98" s="38" t="n"/>
      <c r="J98" s="38" t="n"/>
      <c r="K98" s="38" t="n"/>
      <c r="L98" s="38" t="n"/>
      <c r="M98" s="38" t="n"/>
      <c r="N98" s="38" t="n"/>
      <c r="O98" s="38" t="n"/>
      <c r="P98" s="38" t="n"/>
      <c r="Q98" s="38" t="n"/>
      <c r="R98" s="38" t="n"/>
      <c r="S98" s="38" t="n"/>
      <c r="T98" s="38" t="n"/>
      <c r="U98" s="38" t="n"/>
      <c r="V98" s="38" t="n"/>
      <c r="W98" s="38" t="n"/>
      <c r="X98" s="38" t="n"/>
      <c r="Y98" s="38" t="n"/>
      <c r="Z98" s="38" t="n"/>
      <c r="AA98" s="38" t="n"/>
      <c r="AB98" s="38" t="n"/>
      <c r="AC98" s="38" t="n"/>
      <c r="AD98" s="38" t="n"/>
      <c r="AE98" s="38" t="n"/>
      <c r="AF98" s="36">
        <f>IF($A98="","",$A98&amp;"|"&amp;$C98)</f>
        <v/>
      </c>
      <c r="AG98" s="37">
        <f>IF($A98="","",IFERROR(COUNTIF(L98:M98,"כן")/(COUNTIF(L98:M98,"כן")+COUNTIF(L98:M98,"לא")),""))</f>
        <v/>
      </c>
      <c r="AH98" s="37">
        <f>IF($A98="","",IFERROR(COUNTIF(N98:O98,"כן")/(COUNTIF(N98:O98,"כן")+COUNTIF(N98:O98,"לא")),""))</f>
        <v/>
      </c>
      <c r="AI98" s="37">
        <f>IF($A98="","",IFERROR(COUNTIF(P98:Q98,"כן")/(COUNTIF(P98:Q98,"כן")+COUNTIF(P98:Q98,"לא")),""))</f>
        <v/>
      </c>
      <c r="AJ98" s="37">
        <f>IF($A98="","",IFERROR(COUNTIF(R98:S98,"כן")/(COUNTIF(R98:S98,"כן")+COUNTIF(R98:S98,"לא")),""))</f>
        <v/>
      </c>
      <c r="AK98" s="37">
        <f>IF($A98="","",IFERROR(COUNTIF(T98:U98,"כן")/(COUNTIF(T98:U98,"כן")+COUNTIF(T98:U98,"לא")),""))</f>
        <v/>
      </c>
      <c r="AL98" s="37">
        <f>IF($A98="","",IFERROR(COUNTIF(L98:U98,"כן")/(COUNTIF(L98:U98,"כן")+COUNTIF(L98:U98,"לא")),""))</f>
        <v/>
      </c>
      <c r="AM98" s="45">
        <f>IF($A98="","",IFERROR(AVERAGE(V98:W98),""))</f>
        <v/>
      </c>
      <c r="AN98" s="45">
        <f>IF($A98="","",IFERROR(AVERAGE(X98:Y98),""))</f>
        <v/>
      </c>
      <c r="AO98" s="45">
        <f>IF($A98="","",IFERROR(AVERAGE(Z98:AA98),""))</f>
        <v/>
      </c>
      <c r="AP98" s="45">
        <f>IF($A98="","",IFERROR(AVERAGE(AB98:AC98),""))</f>
        <v/>
      </c>
      <c r="AQ98" s="45">
        <f>IF($A98="","",IFERROR(AVERAGE(AD98),""))</f>
        <v/>
      </c>
      <c r="AR98" s="45">
        <f>IF($A98="","",IFERROR(AVERAGE(V98:AD98),""))</f>
        <v/>
      </c>
      <c r="AS98" s="36">
        <f>IF($A98="","",IF(AND(H98="",J98=""),"לא נבדק",IF(AND(OR(H98="",H98=I98),OR(J98="",J98=K98)),"תואם","לא תואם")))</f>
        <v/>
      </c>
      <c r="AT98" s="36">
        <f>IF($A98="","",IF(AND(AS98&lt;&gt;"לא תואם",G98&lt;&gt;"לא ברור"),"אמין","לפרש בזהירות"))</f>
        <v/>
      </c>
    </row>
    <row r="99">
      <c r="A99" s="38" t="n"/>
      <c r="B99" s="38" t="n"/>
      <c r="C99" s="38" t="n"/>
      <c r="D99" s="38" t="n"/>
      <c r="E99" s="38" t="n"/>
      <c r="F99" s="38" t="n"/>
      <c r="G99" s="38" t="n"/>
      <c r="H99" s="38" t="n"/>
      <c r="I99" s="38" t="n"/>
      <c r="J99" s="38" t="n"/>
      <c r="K99" s="38" t="n"/>
      <c r="L99" s="38" t="n"/>
      <c r="M99" s="38" t="n"/>
      <c r="N99" s="38" t="n"/>
      <c r="O99" s="38" t="n"/>
      <c r="P99" s="38" t="n"/>
      <c r="Q99" s="38" t="n"/>
      <c r="R99" s="38" t="n"/>
      <c r="S99" s="38" t="n"/>
      <c r="T99" s="38" t="n"/>
      <c r="U99" s="38" t="n"/>
      <c r="V99" s="38" t="n"/>
      <c r="W99" s="38" t="n"/>
      <c r="X99" s="38" t="n"/>
      <c r="Y99" s="38" t="n"/>
      <c r="Z99" s="38" t="n"/>
      <c r="AA99" s="38" t="n"/>
      <c r="AB99" s="38" t="n"/>
      <c r="AC99" s="38" t="n"/>
      <c r="AD99" s="38" t="n"/>
      <c r="AE99" s="38" t="n"/>
      <c r="AF99" s="36">
        <f>IF($A99="","",$A99&amp;"|"&amp;$C99)</f>
        <v/>
      </c>
      <c r="AG99" s="37">
        <f>IF($A99="","",IFERROR(COUNTIF(L99:M99,"כן")/(COUNTIF(L99:M99,"כן")+COUNTIF(L99:M99,"לא")),""))</f>
        <v/>
      </c>
      <c r="AH99" s="37">
        <f>IF($A99="","",IFERROR(COUNTIF(N99:O99,"כן")/(COUNTIF(N99:O99,"כן")+COUNTIF(N99:O99,"לא")),""))</f>
        <v/>
      </c>
      <c r="AI99" s="37">
        <f>IF($A99="","",IFERROR(COUNTIF(P99:Q99,"כן")/(COUNTIF(P99:Q99,"כן")+COUNTIF(P99:Q99,"לא")),""))</f>
        <v/>
      </c>
      <c r="AJ99" s="37">
        <f>IF($A99="","",IFERROR(COUNTIF(R99:S99,"כן")/(COUNTIF(R99:S99,"כן")+COUNTIF(R99:S99,"לא")),""))</f>
        <v/>
      </c>
      <c r="AK99" s="37">
        <f>IF($A99="","",IFERROR(COUNTIF(T99:U99,"כן")/(COUNTIF(T99:U99,"כן")+COUNTIF(T99:U99,"לא")),""))</f>
        <v/>
      </c>
      <c r="AL99" s="37">
        <f>IF($A99="","",IFERROR(COUNTIF(L99:U99,"כן")/(COUNTIF(L99:U99,"כן")+COUNTIF(L99:U99,"לא")),""))</f>
        <v/>
      </c>
      <c r="AM99" s="45">
        <f>IF($A99="","",IFERROR(AVERAGE(V99:W99),""))</f>
        <v/>
      </c>
      <c r="AN99" s="45">
        <f>IF($A99="","",IFERROR(AVERAGE(X99:Y99),""))</f>
        <v/>
      </c>
      <c r="AO99" s="45">
        <f>IF($A99="","",IFERROR(AVERAGE(Z99:AA99),""))</f>
        <v/>
      </c>
      <c r="AP99" s="45">
        <f>IF($A99="","",IFERROR(AVERAGE(AB99:AC99),""))</f>
        <v/>
      </c>
      <c r="AQ99" s="45">
        <f>IF($A99="","",IFERROR(AVERAGE(AD99),""))</f>
        <v/>
      </c>
      <c r="AR99" s="45">
        <f>IF($A99="","",IFERROR(AVERAGE(V99:AD99),""))</f>
        <v/>
      </c>
      <c r="AS99" s="36">
        <f>IF($A99="","",IF(AND(H99="",J99=""),"לא נבדק",IF(AND(OR(H99="",H99=I99),OR(J99="",J99=K99)),"תואם","לא תואם")))</f>
        <v/>
      </c>
      <c r="AT99" s="36">
        <f>IF($A99="","",IF(AND(AS99&lt;&gt;"לא תואם",G99&lt;&gt;"לא ברור"),"אמין","לפרש בזהירות"))</f>
        <v/>
      </c>
    </row>
    <row r="100">
      <c r="A100" s="38" t="n"/>
      <c r="B100" s="38" t="n"/>
      <c r="C100" s="38" t="n"/>
      <c r="D100" s="38" t="n"/>
      <c r="E100" s="38" t="n"/>
      <c r="F100" s="38" t="n"/>
      <c r="G100" s="38" t="n"/>
      <c r="H100" s="38" t="n"/>
      <c r="I100" s="38" t="n"/>
      <c r="J100" s="38" t="n"/>
      <c r="K100" s="38" t="n"/>
      <c r="L100" s="38" t="n"/>
      <c r="M100" s="38" t="n"/>
      <c r="N100" s="38" t="n"/>
      <c r="O100" s="38" t="n"/>
      <c r="P100" s="38" t="n"/>
      <c r="Q100" s="38" t="n"/>
      <c r="R100" s="38" t="n"/>
      <c r="S100" s="38" t="n"/>
      <c r="T100" s="38" t="n"/>
      <c r="U100" s="38" t="n"/>
      <c r="V100" s="38" t="n"/>
      <c r="W100" s="38" t="n"/>
      <c r="X100" s="38" t="n"/>
      <c r="Y100" s="38" t="n"/>
      <c r="Z100" s="38" t="n"/>
      <c r="AA100" s="38" t="n"/>
      <c r="AB100" s="38" t="n"/>
      <c r="AC100" s="38" t="n"/>
      <c r="AD100" s="38" t="n"/>
      <c r="AE100" s="38" t="n"/>
      <c r="AF100" s="36">
        <f>IF($A100="","",$A100&amp;"|"&amp;$C100)</f>
        <v/>
      </c>
      <c r="AG100" s="37">
        <f>IF($A100="","",IFERROR(COUNTIF(L100:M100,"כן")/(COUNTIF(L100:M100,"כן")+COUNTIF(L100:M100,"לא")),""))</f>
        <v/>
      </c>
      <c r="AH100" s="37">
        <f>IF($A100="","",IFERROR(COUNTIF(N100:O100,"כן")/(COUNTIF(N100:O100,"כן")+COUNTIF(N100:O100,"לא")),""))</f>
        <v/>
      </c>
      <c r="AI100" s="37">
        <f>IF($A100="","",IFERROR(COUNTIF(P100:Q100,"כן")/(COUNTIF(P100:Q100,"כן")+COUNTIF(P100:Q100,"לא")),""))</f>
        <v/>
      </c>
      <c r="AJ100" s="37">
        <f>IF($A100="","",IFERROR(COUNTIF(R100:S100,"כן")/(COUNTIF(R100:S100,"כן")+COUNTIF(R100:S100,"לא")),""))</f>
        <v/>
      </c>
      <c r="AK100" s="37">
        <f>IF($A100="","",IFERROR(COUNTIF(T100:U100,"כן")/(COUNTIF(T100:U100,"כן")+COUNTIF(T100:U100,"לא")),""))</f>
        <v/>
      </c>
      <c r="AL100" s="37">
        <f>IF($A100="","",IFERROR(COUNTIF(L100:U100,"כן")/(COUNTIF(L100:U100,"כן")+COUNTIF(L100:U100,"לא")),""))</f>
        <v/>
      </c>
      <c r="AM100" s="45">
        <f>IF($A100="","",IFERROR(AVERAGE(V100:W100),""))</f>
        <v/>
      </c>
      <c r="AN100" s="45">
        <f>IF($A100="","",IFERROR(AVERAGE(X100:Y100),""))</f>
        <v/>
      </c>
      <c r="AO100" s="45">
        <f>IF($A100="","",IFERROR(AVERAGE(Z100:AA100),""))</f>
        <v/>
      </c>
      <c r="AP100" s="45">
        <f>IF($A100="","",IFERROR(AVERAGE(AB100:AC100),""))</f>
        <v/>
      </c>
      <c r="AQ100" s="45">
        <f>IF($A100="","",IFERROR(AVERAGE(AD100),""))</f>
        <v/>
      </c>
      <c r="AR100" s="45">
        <f>IF($A100="","",IFERROR(AVERAGE(V100:AD100),""))</f>
        <v/>
      </c>
      <c r="AS100" s="36">
        <f>IF($A100="","",IF(AND(H100="",J100=""),"לא נבדק",IF(AND(OR(H100="",H100=I100),OR(J100="",J100=K100)),"תואם","לא תואם")))</f>
        <v/>
      </c>
      <c r="AT100" s="36">
        <f>IF($A100="","",IF(AND(AS100&lt;&gt;"לא תואם",G100&lt;&gt;"לא ברור"),"אמין","לפרש בזהירות"))</f>
        <v/>
      </c>
    </row>
    <row r="101">
      <c r="A101" s="38" t="n"/>
      <c r="B101" s="38" t="n"/>
      <c r="C101" s="38" t="n"/>
      <c r="D101" s="38" t="n"/>
      <c r="E101" s="38" t="n"/>
      <c r="F101" s="38" t="n"/>
      <c r="G101" s="38" t="n"/>
      <c r="H101" s="38" t="n"/>
      <c r="I101" s="38" t="n"/>
      <c r="J101" s="38" t="n"/>
      <c r="K101" s="38" t="n"/>
      <c r="L101" s="38" t="n"/>
      <c r="M101" s="38" t="n"/>
      <c r="N101" s="38" t="n"/>
      <c r="O101" s="38" t="n"/>
      <c r="P101" s="38" t="n"/>
      <c r="Q101" s="38" t="n"/>
      <c r="R101" s="38" t="n"/>
      <c r="S101" s="38" t="n"/>
      <c r="T101" s="38" t="n"/>
      <c r="U101" s="38" t="n"/>
      <c r="V101" s="38" t="n"/>
      <c r="W101" s="38" t="n"/>
      <c r="X101" s="38" t="n"/>
      <c r="Y101" s="38" t="n"/>
      <c r="Z101" s="38" t="n"/>
      <c r="AA101" s="38" t="n"/>
      <c r="AB101" s="38" t="n"/>
      <c r="AC101" s="38" t="n"/>
      <c r="AD101" s="38" t="n"/>
      <c r="AE101" s="38" t="n"/>
      <c r="AF101" s="36">
        <f>IF($A101="","",$A101&amp;"|"&amp;$C101)</f>
        <v/>
      </c>
      <c r="AG101" s="37">
        <f>IF($A101="","",IFERROR(COUNTIF(L101:M101,"כן")/(COUNTIF(L101:M101,"כן")+COUNTIF(L101:M101,"לא")),""))</f>
        <v/>
      </c>
      <c r="AH101" s="37">
        <f>IF($A101="","",IFERROR(COUNTIF(N101:O101,"כן")/(COUNTIF(N101:O101,"כן")+COUNTIF(N101:O101,"לא")),""))</f>
        <v/>
      </c>
      <c r="AI101" s="37">
        <f>IF($A101="","",IFERROR(COUNTIF(P101:Q101,"כן")/(COUNTIF(P101:Q101,"כן")+COUNTIF(P101:Q101,"לא")),""))</f>
        <v/>
      </c>
      <c r="AJ101" s="37">
        <f>IF($A101="","",IFERROR(COUNTIF(R101:S101,"כן")/(COUNTIF(R101:S101,"כן")+COUNTIF(R101:S101,"לא")),""))</f>
        <v/>
      </c>
      <c r="AK101" s="37">
        <f>IF($A101="","",IFERROR(COUNTIF(T101:U101,"כן")/(COUNTIF(T101:U101,"כן")+COUNTIF(T101:U101,"לא")),""))</f>
        <v/>
      </c>
      <c r="AL101" s="37">
        <f>IF($A101="","",IFERROR(COUNTIF(L101:U101,"כן")/(COUNTIF(L101:U101,"כן")+COUNTIF(L101:U101,"לא")),""))</f>
        <v/>
      </c>
      <c r="AM101" s="45">
        <f>IF($A101="","",IFERROR(AVERAGE(V101:W101),""))</f>
        <v/>
      </c>
      <c r="AN101" s="45">
        <f>IF($A101="","",IFERROR(AVERAGE(X101:Y101),""))</f>
        <v/>
      </c>
      <c r="AO101" s="45">
        <f>IF($A101="","",IFERROR(AVERAGE(Z101:AA101),""))</f>
        <v/>
      </c>
      <c r="AP101" s="45">
        <f>IF($A101="","",IFERROR(AVERAGE(AB101:AC101),""))</f>
        <v/>
      </c>
      <c r="AQ101" s="45">
        <f>IF($A101="","",IFERROR(AVERAGE(AD101),""))</f>
        <v/>
      </c>
      <c r="AR101" s="45">
        <f>IF($A101="","",IFERROR(AVERAGE(V101:AD101),""))</f>
        <v/>
      </c>
      <c r="AS101" s="36">
        <f>IF($A101="","",IF(AND(H101="",J101=""),"לא נבדק",IF(AND(OR(H101="",H101=I101),OR(J101="",J101=K101)),"תואם","לא תואם")))</f>
        <v/>
      </c>
      <c r="AT101" s="36">
        <f>IF($A101="","",IF(AND(AS101&lt;&gt;"לא תואם",G101&lt;&gt;"לא ברור"),"אמין","לפרש בזהירות"))</f>
        <v/>
      </c>
    </row>
    <row r="102">
      <c r="A102" s="38" t="n"/>
      <c r="B102" s="38" t="n"/>
      <c r="C102" s="38" t="n"/>
      <c r="D102" s="38" t="n"/>
      <c r="E102" s="38" t="n"/>
      <c r="F102" s="38" t="n"/>
      <c r="G102" s="38" t="n"/>
      <c r="H102" s="38" t="n"/>
      <c r="I102" s="38" t="n"/>
      <c r="J102" s="38" t="n"/>
      <c r="K102" s="38" t="n"/>
      <c r="L102" s="38" t="n"/>
      <c r="M102" s="38" t="n"/>
      <c r="N102" s="38" t="n"/>
      <c r="O102" s="38" t="n"/>
      <c r="P102" s="38" t="n"/>
      <c r="Q102" s="38" t="n"/>
      <c r="R102" s="38" t="n"/>
      <c r="S102" s="38" t="n"/>
      <c r="T102" s="38" t="n"/>
      <c r="U102" s="38" t="n"/>
      <c r="V102" s="38" t="n"/>
      <c r="W102" s="38" t="n"/>
      <c r="X102" s="38" t="n"/>
      <c r="Y102" s="38" t="n"/>
      <c r="Z102" s="38" t="n"/>
      <c r="AA102" s="38" t="n"/>
      <c r="AB102" s="38" t="n"/>
      <c r="AC102" s="38" t="n"/>
      <c r="AD102" s="38" t="n"/>
      <c r="AE102" s="38" t="n"/>
      <c r="AF102" s="36">
        <f>IF($A102="","",$A102&amp;"|"&amp;$C102)</f>
        <v/>
      </c>
      <c r="AG102" s="37">
        <f>IF($A102="","",IFERROR(COUNTIF(L102:M102,"כן")/(COUNTIF(L102:M102,"כן")+COUNTIF(L102:M102,"לא")),""))</f>
        <v/>
      </c>
      <c r="AH102" s="37">
        <f>IF($A102="","",IFERROR(COUNTIF(N102:O102,"כן")/(COUNTIF(N102:O102,"כן")+COUNTIF(N102:O102,"לא")),""))</f>
        <v/>
      </c>
      <c r="AI102" s="37">
        <f>IF($A102="","",IFERROR(COUNTIF(P102:Q102,"כן")/(COUNTIF(P102:Q102,"כן")+COUNTIF(P102:Q102,"לא")),""))</f>
        <v/>
      </c>
      <c r="AJ102" s="37">
        <f>IF($A102="","",IFERROR(COUNTIF(R102:S102,"כן")/(COUNTIF(R102:S102,"כן")+COUNTIF(R102:S102,"לא")),""))</f>
        <v/>
      </c>
      <c r="AK102" s="37">
        <f>IF($A102="","",IFERROR(COUNTIF(T102:U102,"כן")/(COUNTIF(T102:U102,"כן")+COUNTIF(T102:U102,"לא")),""))</f>
        <v/>
      </c>
      <c r="AL102" s="37">
        <f>IF($A102="","",IFERROR(COUNTIF(L102:U102,"כן")/(COUNTIF(L102:U102,"כן")+COUNTIF(L102:U102,"לא")),""))</f>
        <v/>
      </c>
      <c r="AM102" s="45">
        <f>IF($A102="","",IFERROR(AVERAGE(V102:W102),""))</f>
        <v/>
      </c>
      <c r="AN102" s="45">
        <f>IF($A102="","",IFERROR(AVERAGE(X102:Y102),""))</f>
        <v/>
      </c>
      <c r="AO102" s="45">
        <f>IF($A102="","",IFERROR(AVERAGE(Z102:AA102),""))</f>
        <v/>
      </c>
      <c r="AP102" s="45">
        <f>IF($A102="","",IFERROR(AVERAGE(AB102:AC102),""))</f>
        <v/>
      </c>
      <c r="AQ102" s="45">
        <f>IF($A102="","",IFERROR(AVERAGE(AD102),""))</f>
        <v/>
      </c>
      <c r="AR102" s="45">
        <f>IF($A102="","",IFERROR(AVERAGE(V102:AD102),""))</f>
        <v/>
      </c>
      <c r="AS102" s="36">
        <f>IF($A102="","",IF(AND(H102="",J102=""),"לא נבדק",IF(AND(OR(H102="",H102=I102),OR(J102="",J102=K102)),"תואם","לא תואם")))</f>
        <v/>
      </c>
      <c r="AT102" s="36">
        <f>IF($A102="","",IF(AND(AS102&lt;&gt;"לא תואם",G102&lt;&gt;"לא ברור"),"אמין","לפרש בזהירות"))</f>
        <v/>
      </c>
    </row>
    <row r="103">
      <c r="A103" s="38" t="n"/>
      <c r="B103" s="38" t="n"/>
      <c r="C103" s="38" t="n"/>
      <c r="D103" s="38" t="n"/>
      <c r="E103" s="38" t="n"/>
      <c r="F103" s="38" t="n"/>
      <c r="G103" s="38" t="n"/>
      <c r="H103" s="38" t="n"/>
      <c r="I103" s="38" t="n"/>
      <c r="J103" s="38" t="n"/>
      <c r="K103" s="38" t="n"/>
      <c r="L103" s="38" t="n"/>
      <c r="M103" s="38" t="n"/>
      <c r="N103" s="38" t="n"/>
      <c r="O103" s="38" t="n"/>
      <c r="P103" s="38" t="n"/>
      <c r="Q103" s="38" t="n"/>
      <c r="R103" s="38" t="n"/>
      <c r="S103" s="38" t="n"/>
      <c r="T103" s="38" t="n"/>
      <c r="U103" s="38" t="n"/>
      <c r="V103" s="38" t="n"/>
      <c r="W103" s="38" t="n"/>
      <c r="X103" s="38" t="n"/>
      <c r="Y103" s="38" t="n"/>
      <c r="Z103" s="38" t="n"/>
      <c r="AA103" s="38" t="n"/>
      <c r="AB103" s="38" t="n"/>
      <c r="AC103" s="38" t="n"/>
      <c r="AD103" s="38" t="n"/>
      <c r="AE103" s="38" t="n"/>
      <c r="AF103" s="36">
        <f>IF($A103="","",$A103&amp;"|"&amp;$C103)</f>
        <v/>
      </c>
      <c r="AG103" s="37">
        <f>IF($A103="","",IFERROR(COUNTIF(L103:M103,"כן")/(COUNTIF(L103:M103,"כן")+COUNTIF(L103:M103,"לא")),""))</f>
        <v/>
      </c>
      <c r="AH103" s="37">
        <f>IF($A103="","",IFERROR(COUNTIF(N103:O103,"כן")/(COUNTIF(N103:O103,"כן")+COUNTIF(N103:O103,"לא")),""))</f>
        <v/>
      </c>
      <c r="AI103" s="37">
        <f>IF($A103="","",IFERROR(COUNTIF(P103:Q103,"כן")/(COUNTIF(P103:Q103,"כן")+COUNTIF(P103:Q103,"לא")),""))</f>
        <v/>
      </c>
      <c r="AJ103" s="37">
        <f>IF($A103="","",IFERROR(COUNTIF(R103:S103,"כן")/(COUNTIF(R103:S103,"כן")+COUNTIF(R103:S103,"לא")),""))</f>
        <v/>
      </c>
      <c r="AK103" s="37">
        <f>IF($A103="","",IFERROR(COUNTIF(T103:U103,"כן")/(COUNTIF(T103:U103,"כן")+COUNTIF(T103:U103,"לא")),""))</f>
        <v/>
      </c>
      <c r="AL103" s="37">
        <f>IF($A103="","",IFERROR(COUNTIF(L103:U103,"כן")/(COUNTIF(L103:U103,"כן")+COUNTIF(L103:U103,"לא")),""))</f>
        <v/>
      </c>
      <c r="AM103" s="45">
        <f>IF($A103="","",IFERROR(AVERAGE(V103:W103),""))</f>
        <v/>
      </c>
      <c r="AN103" s="45">
        <f>IF($A103="","",IFERROR(AVERAGE(X103:Y103),""))</f>
        <v/>
      </c>
      <c r="AO103" s="45">
        <f>IF($A103="","",IFERROR(AVERAGE(Z103:AA103),""))</f>
        <v/>
      </c>
      <c r="AP103" s="45">
        <f>IF($A103="","",IFERROR(AVERAGE(AB103:AC103),""))</f>
        <v/>
      </c>
      <c r="AQ103" s="45">
        <f>IF($A103="","",IFERROR(AVERAGE(AD103),""))</f>
        <v/>
      </c>
      <c r="AR103" s="45">
        <f>IF($A103="","",IFERROR(AVERAGE(V103:AD103),""))</f>
        <v/>
      </c>
      <c r="AS103" s="36">
        <f>IF($A103="","",IF(AND(H103="",J103=""),"לא נבדק",IF(AND(OR(H103="",H103=I103),OR(J103="",J103=K103)),"תואם","לא תואם")))</f>
        <v/>
      </c>
      <c r="AT103" s="36">
        <f>IF($A103="","",IF(AND(AS103&lt;&gt;"לא תואם",G103&lt;&gt;"לא ברור"),"אמין","לפרש בזהירות"))</f>
        <v/>
      </c>
    </row>
    <row r="104">
      <c r="A104" s="38" t="n"/>
      <c r="B104" s="38" t="n"/>
      <c r="C104" s="38" t="n"/>
      <c r="D104" s="38" t="n"/>
      <c r="E104" s="38" t="n"/>
      <c r="F104" s="38" t="n"/>
      <c r="G104" s="38" t="n"/>
      <c r="H104" s="38" t="n"/>
      <c r="I104" s="38" t="n"/>
      <c r="J104" s="38" t="n"/>
      <c r="K104" s="38" t="n"/>
      <c r="L104" s="38" t="n"/>
      <c r="M104" s="38" t="n"/>
      <c r="N104" s="38" t="n"/>
      <c r="O104" s="38" t="n"/>
      <c r="P104" s="38" t="n"/>
      <c r="Q104" s="38" t="n"/>
      <c r="R104" s="38" t="n"/>
      <c r="S104" s="38" t="n"/>
      <c r="T104" s="38" t="n"/>
      <c r="U104" s="38" t="n"/>
      <c r="V104" s="38" t="n"/>
      <c r="W104" s="38" t="n"/>
      <c r="X104" s="38" t="n"/>
      <c r="Y104" s="38" t="n"/>
      <c r="Z104" s="38" t="n"/>
      <c r="AA104" s="38" t="n"/>
      <c r="AB104" s="38" t="n"/>
      <c r="AC104" s="38" t="n"/>
      <c r="AD104" s="38" t="n"/>
      <c r="AE104" s="38" t="n"/>
      <c r="AF104" s="36">
        <f>IF($A104="","",$A104&amp;"|"&amp;$C104)</f>
        <v/>
      </c>
      <c r="AG104" s="37">
        <f>IF($A104="","",IFERROR(COUNTIF(L104:M104,"כן")/(COUNTIF(L104:M104,"כן")+COUNTIF(L104:M104,"לא")),""))</f>
        <v/>
      </c>
      <c r="AH104" s="37">
        <f>IF($A104="","",IFERROR(COUNTIF(N104:O104,"כן")/(COUNTIF(N104:O104,"כן")+COUNTIF(N104:O104,"לא")),""))</f>
        <v/>
      </c>
      <c r="AI104" s="37">
        <f>IF($A104="","",IFERROR(COUNTIF(P104:Q104,"כן")/(COUNTIF(P104:Q104,"כן")+COUNTIF(P104:Q104,"לא")),""))</f>
        <v/>
      </c>
      <c r="AJ104" s="37">
        <f>IF($A104="","",IFERROR(COUNTIF(R104:S104,"כן")/(COUNTIF(R104:S104,"כן")+COUNTIF(R104:S104,"לא")),""))</f>
        <v/>
      </c>
      <c r="AK104" s="37">
        <f>IF($A104="","",IFERROR(COUNTIF(T104:U104,"כן")/(COUNTIF(T104:U104,"כן")+COUNTIF(T104:U104,"לא")),""))</f>
        <v/>
      </c>
      <c r="AL104" s="37">
        <f>IF($A104="","",IFERROR(COUNTIF(L104:U104,"כן")/(COUNTIF(L104:U104,"כן")+COUNTIF(L104:U104,"לא")),""))</f>
        <v/>
      </c>
      <c r="AM104" s="45">
        <f>IF($A104="","",IFERROR(AVERAGE(V104:W104),""))</f>
        <v/>
      </c>
      <c r="AN104" s="45">
        <f>IF($A104="","",IFERROR(AVERAGE(X104:Y104),""))</f>
        <v/>
      </c>
      <c r="AO104" s="45">
        <f>IF($A104="","",IFERROR(AVERAGE(Z104:AA104),""))</f>
        <v/>
      </c>
      <c r="AP104" s="45">
        <f>IF($A104="","",IFERROR(AVERAGE(AB104:AC104),""))</f>
        <v/>
      </c>
      <c r="AQ104" s="45">
        <f>IF($A104="","",IFERROR(AVERAGE(AD104),""))</f>
        <v/>
      </c>
      <c r="AR104" s="45">
        <f>IF($A104="","",IFERROR(AVERAGE(V104:AD104),""))</f>
        <v/>
      </c>
      <c r="AS104" s="36">
        <f>IF($A104="","",IF(AND(H104="",J104=""),"לא נבדק",IF(AND(OR(H104="",H104=I104),OR(J104="",J104=K104)),"תואם","לא תואם")))</f>
        <v/>
      </c>
      <c r="AT104" s="36">
        <f>IF($A104="","",IF(AND(AS104&lt;&gt;"לא תואם",G104&lt;&gt;"לא ברור"),"אמין","לפרש בזהירות"))</f>
        <v/>
      </c>
    </row>
    <row r="105">
      <c r="A105" s="38" t="n"/>
      <c r="B105" s="38" t="n"/>
      <c r="C105" s="38" t="n"/>
      <c r="D105" s="38" t="n"/>
      <c r="E105" s="38" t="n"/>
      <c r="F105" s="38" t="n"/>
      <c r="G105" s="38" t="n"/>
      <c r="H105" s="38" t="n"/>
      <c r="I105" s="38" t="n"/>
      <c r="J105" s="38" t="n"/>
      <c r="K105" s="38" t="n"/>
      <c r="L105" s="38" t="n"/>
      <c r="M105" s="38" t="n"/>
      <c r="N105" s="38" t="n"/>
      <c r="O105" s="38" t="n"/>
      <c r="P105" s="38" t="n"/>
      <c r="Q105" s="38" t="n"/>
      <c r="R105" s="38" t="n"/>
      <c r="S105" s="38" t="n"/>
      <c r="T105" s="38" t="n"/>
      <c r="U105" s="38" t="n"/>
      <c r="V105" s="38" t="n"/>
      <c r="W105" s="38" t="n"/>
      <c r="X105" s="38" t="n"/>
      <c r="Y105" s="38" t="n"/>
      <c r="Z105" s="38" t="n"/>
      <c r="AA105" s="38" t="n"/>
      <c r="AB105" s="38" t="n"/>
      <c r="AC105" s="38" t="n"/>
      <c r="AD105" s="38" t="n"/>
      <c r="AE105" s="38" t="n"/>
      <c r="AF105" s="36">
        <f>IF($A105="","",$A105&amp;"|"&amp;$C105)</f>
        <v/>
      </c>
      <c r="AG105" s="37">
        <f>IF($A105="","",IFERROR(COUNTIF(L105:M105,"כן")/(COUNTIF(L105:M105,"כן")+COUNTIF(L105:M105,"לא")),""))</f>
        <v/>
      </c>
      <c r="AH105" s="37">
        <f>IF($A105="","",IFERROR(COUNTIF(N105:O105,"כן")/(COUNTIF(N105:O105,"כן")+COUNTIF(N105:O105,"לא")),""))</f>
        <v/>
      </c>
      <c r="AI105" s="37">
        <f>IF($A105="","",IFERROR(COUNTIF(P105:Q105,"כן")/(COUNTIF(P105:Q105,"כן")+COUNTIF(P105:Q105,"לא")),""))</f>
        <v/>
      </c>
      <c r="AJ105" s="37">
        <f>IF($A105="","",IFERROR(COUNTIF(R105:S105,"כן")/(COUNTIF(R105:S105,"כן")+COUNTIF(R105:S105,"לא")),""))</f>
        <v/>
      </c>
      <c r="AK105" s="37">
        <f>IF($A105="","",IFERROR(COUNTIF(T105:U105,"כן")/(COUNTIF(T105:U105,"כן")+COUNTIF(T105:U105,"לא")),""))</f>
        <v/>
      </c>
      <c r="AL105" s="37">
        <f>IF($A105="","",IFERROR(COUNTIF(L105:U105,"כן")/(COUNTIF(L105:U105,"כן")+COUNTIF(L105:U105,"לא")),""))</f>
        <v/>
      </c>
      <c r="AM105" s="45">
        <f>IF($A105="","",IFERROR(AVERAGE(V105:W105),""))</f>
        <v/>
      </c>
      <c r="AN105" s="45">
        <f>IF($A105="","",IFERROR(AVERAGE(X105:Y105),""))</f>
        <v/>
      </c>
      <c r="AO105" s="45">
        <f>IF($A105="","",IFERROR(AVERAGE(Z105:AA105),""))</f>
        <v/>
      </c>
      <c r="AP105" s="45">
        <f>IF($A105="","",IFERROR(AVERAGE(AB105:AC105),""))</f>
        <v/>
      </c>
      <c r="AQ105" s="45">
        <f>IF($A105="","",IFERROR(AVERAGE(AD105),""))</f>
        <v/>
      </c>
      <c r="AR105" s="45">
        <f>IF($A105="","",IFERROR(AVERAGE(V105:AD105),""))</f>
        <v/>
      </c>
      <c r="AS105" s="36">
        <f>IF($A105="","",IF(AND(H105="",J105=""),"לא נבדק",IF(AND(OR(H105="",H105=I105),OR(J105="",J105=K105)),"תואם","לא תואם")))</f>
        <v/>
      </c>
      <c r="AT105" s="36">
        <f>IF($A105="","",IF(AND(AS105&lt;&gt;"לא תואם",G105&lt;&gt;"לא ברור"),"אמין","לפרש בזהירות"))</f>
        <v/>
      </c>
    </row>
    <row r="106">
      <c r="A106" s="38" t="n"/>
      <c r="B106" s="38" t="n"/>
      <c r="C106" s="38" t="n"/>
      <c r="D106" s="38" t="n"/>
      <c r="E106" s="38" t="n"/>
      <c r="F106" s="38" t="n"/>
      <c r="G106" s="38" t="n"/>
      <c r="H106" s="38" t="n"/>
      <c r="I106" s="38" t="n"/>
      <c r="J106" s="38" t="n"/>
      <c r="K106" s="38" t="n"/>
      <c r="L106" s="38" t="n"/>
      <c r="M106" s="38" t="n"/>
      <c r="N106" s="38" t="n"/>
      <c r="O106" s="38" t="n"/>
      <c r="P106" s="38" t="n"/>
      <c r="Q106" s="38" t="n"/>
      <c r="R106" s="38" t="n"/>
      <c r="S106" s="38" t="n"/>
      <c r="T106" s="38" t="n"/>
      <c r="U106" s="38" t="n"/>
      <c r="V106" s="38" t="n"/>
      <c r="W106" s="38" t="n"/>
      <c r="X106" s="38" t="n"/>
      <c r="Y106" s="38" t="n"/>
      <c r="Z106" s="38" t="n"/>
      <c r="AA106" s="38" t="n"/>
      <c r="AB106" s="38" t="n"/>
      <c r="AC106" s="38" t="n"/>
      <c r="AD106" s="38" t="n"/>
      <c r="AE106" s="38" t="n"/>
      <c r="AF106" s="36">
        <f>IF($A106="","",$A106&amp;"|"&amp;$C106)</f>
        <v/>
      </c>
      <c r="AG106" s="37">
        <f>IF($A106="","",IFERROR(COUNTIF(L106:M106,"כן")/(COUNTIF(L106:M106,"כן")+COUNTIF(L106:M106,"לא")),""))</f>
        <v/>
      </c>
      <c r="AH106" s="37">
        <f>IF($A106="","",IFERROR(COUNTIF(N106:O106,"כן")/(COUNTIF(N106:O106,"כן")+COUNTIF(N106:O106,"לא")),""))</f>
        <v/>
      </c>
      <c r="AI106" s="37">
        <f>IF($A106="","",IFERROR(COUNTIF(P106:Q106,"כן")/(COUNTIF(P106:Q106,"כן")+COUNTIF(P106:Q106,"לא")),""))</f>
        <v/>
      </c>
      <c r="AJ106" s="37">
        <f>IF($A106="","",IFERROR(COUNTIF(R106:S106,"כן")/(COUNTIF(R106:S106,"כן")+COUNTIF(R106:S106,"לא")),""))</f>
        <v/>
      </c>
      <c r="AK106" s="37">
        <f>IF($A106="","",IFERROR(COUNTIF(T106:U106,"כן")/(COUNTIF(T106:U106,"כן")+COUNTIF(T106:U106,"לא")),""))</f>
        <v/>
      </c>
      <c r="AL106" s="37">
        <f>IF($A106="","",IFERROR(COUNTIF(L106:U106,"כן")/(COUNTIF(L106:U106,"כן")+COUNTIF(L106:U106,"לא")),""))</f>
        <v/>
      </c>
      <c r="AM106" s="45">
        <f>IF($A106="","",IFERROR(AVERAGE(V106:W106),""))</f>
        <v/>
      </c>
      <c r="AN106" s="45">
        <f>IF($A106="","",IFERROR(AVERAGE(X106:Y106),""))</f>
        <v/>
      </c>
      <c r="AO106" s="45">
        <f>IF($A106="","",IFERROR(AVERAGE(Z106:AA106),""))</f>
        <v/>
      </c>
      <c r="AP106" s="45">
        <f>IF($A106="","",IFERROR(AVERAGE(AB106:AC106),""))</f>
        <v/>
      </c>
      <c r="AQ106" s="45">
        <f>IF($A106="","",IFERROR(AVERAGE(AD106),""))</f>
        <v/>
      </c>
      <c r="AR106" s="45">
        <f>IF($A106="","",IFERROR(AVERAGE(V106:AD106),""))</f>
        <v/>
      </c>
      <c r="AS106" s="36">
        <f>IF($A106="","",IF(AND(H106="",J106=""),"לא נבדק",IF(AND(OR(H106="",H106=I106),OR(J106="",J106=K106)),"תואם","לא תואם")))</f>
        <v/>
      </c>
      <c r="AT106" s="36">
        <f>IF($A106="","",IF(AND(AS106&lt;&gt;"לא תואם",G106&lt;&gt;"לא ברור"),"אמין","לפרש בזהירות"))</f>
        <v/>
      </c>
    </row>
    <row r="107">
      <c r="A107" s="38" t="n"/>
      <c r="B107" s="38" t="n"/>
      <c r="C107" s="38" t="n"/>
      <c r="D107" s="38" t="n"/>
      <c r="E107" s="38" t="n"/>
      <c r="F107" s="38" t="n"/>
      <c r="G107" s="38" t="n"/>
      <c r="H107" s="38" t="n"/>
      <c r="I107" s="38" t="n"/>
      <c r="J107" s="38" t="n"/>
      <c r="K107" s="38" t="n"/>
      <c r="L107" s="38" t="n"/>
      <c r="M107" s="38" t="n"/>
      <c r="N107" s="38" t="n"/>
      <c r="O107" s="38" t="n"/>
      <c r="P107" s="38" t="n"/>
      <c r="Q107" s="38" t="n"/>
      <c r="R107" s="38" t="n"/>
      <c r="S107" s="38" t="n"/>
      <c r="T107" s="38" t="n"/>
      <c r="U107" s="38" t="n"/>
      <c r="V107" s="38" t="n"/>
      <c r="W107" s="38" t="n"/>
      <c r="X107" s="38" t="n"/>
      <c r="Y107" s="38" t="n"/>
      <c r="Z107" s="38" t="n"/>
      <c r="AA107" s="38" t="n"/>
      <c r="AB107" s="38" t="n"/>
      <c r="AC107" s="38" t="n"/>
      <c r="AD107" s="38" t="n"/>
      <c r="AE107" s="38" t="n"/>
      <c r="AF107" s="36">
        <f>IF($A107="","",$A107&amp;"|"&amp;$C107)</f>
        <v/>
      </c>
      <c r="AG107" s="37">
        <f>IF($A107="","",IFERROR(COUNTIF(L107:M107,"כן")/(COUNTIF(L107:M107,"כן")+COUNTIF(L107:M107,"לא")),""))</f>
        <v/>
      </c>
      <c r="AH107" s="37">
        <f>IF($A107="","",IFERROR(COUNTIF(N107:O107,"כן")/(COUNTIF(N107:O107,"כן")+COUNTIF(N107:O107,"לא")),""))</f>
        <v/>
      </c>
      <c r="AI107" s="37">
        <f>IF($A107="","",IFERROR(COUNTIF(P107:Q107,"כן")/(COUNTIF(P107:Q107,"כן")+COUNTIF(P107:Q107,"לא")),""))</f>
        <v/>
      </c>
      <c r="AJ107" s="37">
        <f>IF($A107="","",IFERROR(COUNTIF(R107:S107,"כן")/(COUNTIF(R107:S107,"כן")+COUNTIF(R107:S107,"לא")),""))</f>
        <v/>
      </c>
      <c r="AK107" s="37">
        <f>IF($A107="","",IFERROR(COUNTIF(T107:U107,"כן")/(COUNTIF(T107:U107,"כן")+COUNTIF(T107:U107,"לא")),""))</f>
        <v/>
      </c>
      <c r="AL107" s="37">
        <f>IF($A107="","",IFERROR(COUNTIF(L107:U107,"כן")/(COUNTIF(L107:U107,"כן")+COUNTIF(L107:U107,"לא")),""))</f>
        <v/>
      </c>
      <c r="AM107" s="45">
        <f>IF($A107="","",IFERROR(AVERAGE(V107:W107),""))</f>
        <v/>
      </c>
      <c r="AN107" s="45">
        <f>IF($A107="","",IFERROR(AVERAGE(X107:Y107),""))</f>
        <v/>
      </c>
      <c r="AO107" s="45">
        <f>IF($A107="","",IFERROR(AVERAGE(Z107:AA107),""))</f>
        <v/>
      </c>
      <c r="AP107" s="45">
        <f>IF($A107="","",IFERROR(AVERAGE(AB107:AC107),""))</f>
        <v/>
      </c>
      <c r="AQ107" s="45">
        <f>IF($A107="","",IFERROR(AVERAGE(AD107),""))</f>
        <v/>
      </c>
      <c r="AR107" s="45">
        <f>IF($A107="","",IFERROR(AVERAGE(V107:AD107),""))</f>
        <v/>
      </c>
      <c r="AS107" s="36">
        <f>IF($A107="","",IF(AND(H107="",J107=""),"לא נבדק",IF(AND(OR(H107="",H107=I107),OR(J107="",J107=K107)),"תואם","לא תואם")))</f>
        <v/>
      </c>
      <c r="AT107" s="36">
        <f>IF($A107="","",IF(AND(AS107&lt;&gt;"לא תואם",G107&lt;&gt;"לא ברור"),"אמין","לפרש בזהירות"))</f>
        <v/>
      </c>
    </row>
    <row r="108">
      <c r="A108" s="38" t="n"/>
      <c r="B108" s="38" t="n"/>
      <c r="C108" s="38" t="n"/>
      <c r="D108" s="38" t="n"/>
      <c r="E108" s="38" t="n"/>
      <c r="F108" s="38" t="n"/>
      <c r="G108" s="38" t="n"/>
      <c r="H108" s="38" t="n"/>
      <c r="I108" s="38" t="n"/>
      <c r="J108" s="38" t="n"/>
      <c r="K108" s="38" t="n"/>
      <c r="L108" s="38" t="n"/>
      <c r="M108" s="38" t="n"/>
      <c r="N108" s="38" t="n"/>
      <c r="O108" s="38" t="n"/>
      <c r="P108" s="38" t="n"/>
      <c r="Q108" s="38" t="n"/>
      <c r="R108" s="38" t="n"/>
      <c r="S108" s="38" t="n"/>
      <c r="T108" s="38" t="n"/>
      <c r="U108" s="38" t="n"/>
      <c r="V108" s="38" t="n"/>
      <c r="W108" s="38" t="n"/>
      <c r="X108" s="38" t="n"/>
      <c r="Y108" s="38" t="n"/>
      <c r="Z108" s="38" t="n"/>
      <c r="AA108" s="38" t="n"/>
      <c r="AB108" s="38" t="n"/>
      <c r="AC108" s="38" t="n"/>
      <c r="AD108" s="38" t="n"/>
      <c r="AE108" s="38" t="n"/>
      <c r="AF108" s="36">
        <f>IF($A108="","",$A108&amp;"|"&amp;$C108)</f>
        <v/>
      </c>
      <c r="AG108" s="37">
        <f>IF($A108="","",IFERROR(COUNTIF(L108:M108,"כן")/(COUNTIF(L108:M108,"כן")+COUNTIF(L108:M108,"לא")),""))</f>
        <v/>
      </c>
      <c r="AH108" s="37">
        <f>IF($A108="","",IFERROR(COUNTIF(N108:O108,"כן")/(COUNTIF(N108:O108,"כן")+COUNTIF(N108:O108,"לא")),""))</f>
        <v/>
      </c>
      <c r="AI108" s="37">
        <f>IF($A108="","",IFERROR(COUNTIF(P108:Q108,"כן")/(COUNTIF(P108:Q108,"כן")+COUNTIF(P108:Q108,"לא")),""))</f>
        <v/>
      </c>
      <c r="AJ108" s="37">
        <f>IF($A108="","",IFERROR(COUNTIF(R108:S108,"כן")/(COUNTIF(R108:S108,"כן")+COUNTIF(R108:S108,"לא")),""))</f>
        <v/>
      </c>
      <c r="AK108" s="37">
        <f>IF($A108="","",IFERROR(COUNTIF(T108:U108,"כן")/(COUNTIF(T108:U108,"כן")+COUNTIF(T108:U108,"לא")),""))</f>
        <v/>
      </c>
      <c r="AL108" s="37">
        <f>IF($A108="","",IFERROR(COUNTIF(L108:U108,"כן")/(COUNTIF(L108:U108,"כן")+COUNTIF(L108:U108,"לא")),""))</f>
        <v/>
      </c>
      <c r="AM108" s="45">
        <f>IF($A108="","",IFERROR(AVERAGE(V108:W108),""))</f>
        <v/>
      </c>
      <c r="AN108" s="45">
        <f>IF($A108="","",IFERROR(AVERAGE(X108:Y108),""))</f>
        <v/>
      </c>
      <c r="AO108" s="45">
        <f>IF($A108="","",IFERROR(AVERAGE(Z108:AA108),""))</f>
        <v/>
      </c>
      <c r="AP108" s="45">
        <f>IF($A108="","",IFERROR(AVERAGE(AB108:AC108),""))</f>
        <v/>
      </c>
      <c r="AQ108" s="45">
        <f>IF($A108="","",IFERROR(AVERAGE(AD108),""))</f>
        <v/>
      </c>
      <c r="AR108" s="45">
        <f>IF($A108="","",IFERROR(AVERAGE(V108:AD108),""))</f>
        <v/>
      </c>
      <c r="AS108" s="36">
        <f>IF($A108="","",IF(AND(H108="",J108=""),"לא נבדק",IF(AND(OR(H108="",H108=I108),OR(J108="",J108=K108)),"תואם","לא תואם")))</f>
        <v/>
      </c>
      <c r="AT108" s="36">
        <f>IF($A108="","",IF(AND(AS108&lt;&gt;"לא תואם",G108&lt;&gt;"לא ברור"),"אמין","לפרש בזהירות"))</f>
        <v/>
      </c>
    </row>
    <row r="109">
      <c r="A109" s="38" t="n"/>
      <c r="B109" s="38" t="n"/>
      <c r="C109" s="38" t="n"/>
      <c r="D109" s="38" t="n"/>
      <c r="E109" s="38" t="n"/>
      <c r="F109" s="38" t="n"/>
      <c r="G109" s="38" t="n"/>
      <c r="H109" s="38" t="n"/>
      <c r="I109" s="38" t="n"/>
      <c r="J109" s="38" t="n"/>
      <c r="K109" s="38" t="n"/>
      <c r="L109" s="38" t="n"/>
      <c r="M109" s="38" t="n"/>
      <c r="N109" s="38" t="n"/>
      <c r="O109" s="38" t="n"/>
      <c r="P109" s="38" t="n"/>
      <c r="Q109" s="38" t="n"/>
      <c r="R109" s="38" t="n"/>
      <c r="S109" s="38" t="n"/>
      <c r="T109" s="38" t="n"/>
      <c r="U109" s="38" t="n"/>
      <c r="V109" s="38" t="n"/>
      <c r="W109" s="38" t="n"/>
      <c r="X109" s="38" t="n"/>
      <c r="Y109" s="38" t="n"/>
      <c r="Z109" s="38" t="n"/>
      <c r="AA109" s="38" t="n"/>
      <c r="AB109" s="38" t="n"/>
      <c r="AC109" s="38" t="n"/>
      <c r="AD109" s="38" t="n"/>
      <c r="AE109" s="38" t="n"/>
      <c r="AF109" s="36">
        <f>IF($A109="","",$A109&amp;"|"&amp;$C109)</f>
        <v/>
      </c>
      <c r="AG109" s="37">
        <f>IF($A109="","",IFERROR(COUNTIF(L109:M109,"כן")/(COUNTIF(L109:M109,"כן")+COUNTIF(L109:M109,"לא")),""))</f>
        <v/>
      </c>
      <c r="AH109" s="37">
        <f>IF($A109="","",IFERROR(COUNTIF(N109:O109,"כן")/(COUNTIF(N109:O109,"כן")+COUNTIF(N109:O109,"לא")),""))</f>
        <v/>
      </c>
      <c r="AI109" s="37">
        <f>IF($A109="","",IFERROR(COUNTIF(P109:Q109,"כן")/(COUNTIF(P109:Q109,"כן")+COUNTIF(P109:Q109,"לא")),""))</f>
        <v/>
      </c>
      <c r="AJ109" s="37">
        <f>IF($A109="","",IFERROR(COUNTIF(R109:S109,"כן")/(COUNTIF(R109:S109,"כן")+COUNTIF(R109:S109,"לא")),""))</f>
        <v/>
      </c>
      <c r="AK109" s="37">
        <f>IF($A109="","",IFERROR(COUNTIF(T109:U109,"כן")/(COUNTIF(T109:U109,"כן")+COUNTIF(T109:U109,"לא")),""))</f>
        <v/>
      </c>
      <c r="AL109" s="37">
        <f>IF($A109="","",IFERROR(COUNTIF(L109:U109,"כן")/(COUNTIF(L109:U109,"כן")+COUNTIF(L109:U109,"לא")),""))</f>
        <v/>
      </c>
      <c r="AM109" s="45">
        <f>IF($A109="","",IFERROR(AVERAGE(V109:W109),""))</f>
        <v/>
      </c>
      <c r="AN109" s="45">
        <f>IF($A109="","",IFERROR(AVERAGE(X109:Y109),""))</f>
        <v/>
      </c>
      <c r="AO109" s="45">
        <f>IF($A109="","",IFERROR(AVERAGE(Z109:AA109),""))</f>
        <v/>
      </c>
      <c r="AP109" s="45">
        <f>IF($A109="","",IFERROR(AVERAGE(AB109:AC109),""))</f>
        <v/>
      </c>
      <c r="AQ109" s="45">
        <f>IF($A109="","",IFERROR(AVERAGE(AD109),""))</f>
        <v/>
      </c>
      <c r="AR109" s="45">
        <f>IF($A109="","",IFERROR(AVERAGE(V109:AD109),""))</f>
        <v/>
      </c>
      <c r="AS109" s="36">
        <f>IF($A109="","",IF(AND(H109="",J109=""),"לא נבדק",IF(AND(OR(H109="",H109=I109),OR(J109="",J109=K109)),"תואם","לא תואם")))</f>
        <v/>
      </c>
      <c r="AT109" s="36">
        <f>IF($A109="","",IF(AND(AS109&lt;&gt;"לא תואם",G109&lt;&gt;"לא ברור"),"אמין","לפרש בזהירות"))</f>
        <v/>
      </c>
    </row>
    <row r="110">
      <c r="A110" s="38" t="n"/>
      <c r="B110" s="38" t="n"/>
      <c r="C110" s="38" t="n"/>
      <c r="D110" s="38" t="n"/>
      <c r="E110" s="38" t="n"/>
      <c r="F110" s="38" t="n"/>
      <c r="G110" s="38" t="n"/>
      <c r="H110" s="38" t="n"/>
      <c r="I110" s="38" t="n"/>
      <c r="J110" s="38" t="n"/>
      <c r="K110" s="38" t="n"/>
      <c r="L110" s="38" t="n"/>
      <c r="M110" s="38" t="n"/>
      <c r="N110" s="38" t="n"/>
      <c r="O110" s="38" t="n"/>
      <c r="P110" s="38" t="n"/>
      <c r="Q110" s="38" t="n"/>
      <c r="R110" s="38" t="n"/>
      <c r="S110" s="38" t="n"/>
      <c r="T110" s="38" t="n"/>
      <c r="U110" s="38" t="n"/>
      <c r="V110" s="38" t="n"/>
      <c r="W110" s="38" t="n"/>
      <c r="X110" s="38" t="n"/>
      <c r="Y110" s="38" t="n"/>
      <c r="Z110" s="38" t="n"/>
      <c r="AA110" s="38" t="n"/>
      <c r="AB110" s="38" t="n"/>
      <c r="AC110" s="38" t="n"/>
      <c r="AD110" s="38" t="n"/>
      <c r="AE110" s="38" t="n"/>
      <c r="AF110" s="36">
        <f>IF($A110="","",$A110&amp;"|"&amp;$C110)</f>
        <v/>
      </c>
      <c r="AG110" s="37">
        <f>IF($A110="","",IFERROR(COUNTIF(L110:M110,"כן")/(COUNTIF(L110:M110,"כן")+COUNTIF(L110:M110,"לא")),""))</f>
        <v/>
      </c>
      <c r="AH110" s="37">
        <f>IF($A110="","",IFERROR(COUNTIF(N110:O110,"כן")/(COUNTIF(N110:O110,"כן")+COUNTIF(N110:O110,"לא")),""))</f>
        <v/>
      </c>
      <c r="AI110" s="37">
        <f>IF($A110="","",IFERROR(COUNTIF(P110:Q110,"כן")/(COUNTIF(P110:Q110,"כן")+COUNTIF(P110:Q110,"לא")),""))</f>
        <v/>
      </c>
      <c r="AJ110" s="37">
        <f>IF($A110="","",IFERROR(COUNTIF(R110:S110,"כן")/(COUNTIF(R110:S110,"כן")+COUNTIF(R110:S110,"לא")),""))</f>
        <v/>
      </c>
      <c r="AK110" s="37">
        <f>IF($A110="","",IFERROR(COUNTIF(T110:U110,"כן")/(COUNTIF(T110:U110,"כן")+COUNTIF(T110:U110,"לא")),""))</f>
        <v/>
      </c>
      <c r="AL110" s="37">
        <f>IF($A110="","",IFERROR(COUNTIF(L110:U110,"כן")/(COUNTIF(L110:U110,"כן")+COUNTIF(L110:U110,"לא")),""))</f>
        <v/>
      </c>
      <c r="AM110" s="45">
        <f>IF($A110="","",IFERROR(AVERAGE(V110:W110),""))</f>
        <v/>
      </c>
      <c r="AN110" s="45">
        <f>IF($A110="","",IFERROR(AVERAGE(X110:Y110),""))</f>
        <v/>
      </c>
      <c r="AO110" s="45">
        <f>IF($A110="","",IFERROR(AVERAGE(Z110:AA110),""))</f>
        <v/>
      </c>
      <c r="AP110" s="45">
        <f>IF($A110="","",IFERROR(AVERAGE(AB110:AC110),""))</f>
        <v/>
      </c>
      <c r="AQ110" s="45">
        <f>IF($A110="","",IFERROR(AVERAGE(AD110),""))</f>
        <v/>
      </c>
      <c r="AR110" s="45">
        <f>IF($A110="","",IFERROR(AVERAGE(V110:AD110),""))</f>
        <v/>
      </c>
      <c r="AS110" s="36">
        <f>IF($A110="","",IF(AND(H110="",J110=""),"לא נבדק",IF(AND(OR(H110="",H110=I110),OR(J110="",J110=K110)),"תואם","לא תואם")))</f>
        <v/>
      </c>
      <c r="AT110" s="36">
        <f>IF($A110="","",IF(AND(AS110&lt;&gt;"לא תואם",G110&lt;&gt;"לא ברור"),"אמין","לפרש בזהירות"))</f>
        <v/>
      </c>
    </row>
    <row r="111">
      <c r="A111" s="38" t="n"/>
      <c r="B111" s="38" t="n"/>
      <c r="C111" s="38" t="n"/>
      <c r="D111" s="38" t="n"/>
      <c r="E111" s="38" t="n"/>
      <c r="F111" s="38" t="n"/>
      <c r="G111" s="38" t="n"/>
      <c r="H111" s="38" t="n"/>
      <c r="I111" s="38" t="n"/>
      <c r="J111" s="38" t="n"/>
      <c r="K111" s="38" t="n"/>
      <c r="L111" s="38" t="n"/>
      <c r="M111" s="38" t="n"/>
      <c r="N111" s="38" t="n"/>
      <c r="O111" s="38" t="n"/>
      <c r="P111" s="38" t="n"/>
      <c r="Q111" s="38" t="n"/>
      <c r="R111" s="38" t="n"/>
      <c r="S111" s="38" t="n"/>
      <c r="T111" s="38" t="n"/>
      <c r="U111" s="38" t="n"/>
      <c r="V111" s="38" t="n"/>
      <c r="W111" s="38" t="n"/>
      <c r="X111" s="38" t="n"/>
      <c r="Y111" s="38" t="n"/>
      <c r="Z111" s="38" t="n"/>
      <c r="AA111" s="38" t="n"/>
      <c r="AB111" s="38" t="n"/>
      <c r="AC111" s="38" t="n"/>
      <c r="AD111" s="38" t="n"/>
      <c r="AE111" s="38" t="n"/>
      <c r="AF111" s="36">
        <f>IF($A111="","",$A111&amp;"|"&amp;$C111)</f>
        <v/>
      </c>
      <c r="AG111" s="37">
        <f>IF($A111="","",IFERROR(COUNTIF(L111:M111,"כן")/(COUNTIF(L111:M111,"כן")+COUNTIF(L111:M111,"לא")),""))</f>
        <v/>
      </c>
      <c r="AH111" s="37">
        <f>IF($A111="","",IFERROR(COUNTIF(N111:O111,"כן")/(COUNTIF(N111:O111,"כן")+COUNTIF(N111:O111,"לא")),""))</f>
        <v/>
      </c>
      <c r="AI111" s="37">
        <f>IF($A111="","",IFERROR(COUNTIF(P111:Q111,"כן")/(COUNTIF(P111:Q111,"כן")+COUNTIF(P111:Q111,"לא")),""))</f>
        <v/>
      </c>
      <c r="AJ111" s="37">
        <f>IF($A111="","",IFERROR(COUNTIF(R111:S111,"כן")/(COUNTIF(R111:S111,"כן")+COUNTIF(R111:S111,"לא")),""))</f>
        <v/>
      </c>
      <c r="AK111" s="37">
        <f>IF($A111="","",IFERROR(COUNTIF(T111:U111,"כן")/(COUNTIF(T111:U111,"כן")+COUNTIF(T111:U111,"לא")),""))</f>
        <v/>
      </c>
      <c r="AL111" s="37">
        <f>IF($A111="","",IFERROR(COUNTIF(L111:U111,"כן")/(COUNTIF(L111:U111,"כן")+COUNTIF(L111:U111,"לא")),""))</f>
        <v/>
      </c>
      <c r="AM111" s="45">
        <f>IF($A111="","",IFERROR(AVERAGE(V111:W111),""))</f>
        <v/>
      </c>
      <c r="AN111" s="45">
        <f>IF($A111="","",IFERROR(AVERAGE(X111:Y111),""))</f>
        <v/>
      </c>
      <c r="AO111" s="45">
        <f>IF($A111="","",IFERROR(AVERAGE(Z111:AA111),""))</f>
        <v/>
      </c>
      <c r="AP111" s="45">
        <f>IF($A111="","",IFERROR(AVERAGE(AB111:AC111),""))</f>
        <v/>
      </c>
      <c r="AQ111" s="45">
        <f>IF($A111="","",IFERROR(AVERAGE(AD111),""))</f>
        <v/>
      </c>
      <c r="AR111" s="45">
        <f>IF($A111="","",IFERROR(AVERAGE(V111:AD111),""))</f>
        <v/>
      </c>
      <c r="AS111" s="36">
        <f>IF($A111="","",IF(AND(H111="",J111=""),"לא נבדק",IF(AND(OR(H111="",H111=I111),OR(J111="",J111=K111)),"תואם","לא תואם")))</f>
        <v/>
      </c>
      <c r="AT111" s="36">
        <f>IF($A111="","",IF(AND(AS111&lt;&gt;"לא תואם",G111&lt;&gt;"לא ברור"),"אמין","לפרש בזהירות"))</f>
        <v/>
      </c>
    </row>
    <row r="112">
      <c r="A112" s="38" t="n"/>
      <c r="B112" s="38" t="n"/>
      <c r="C112" s="38" t="n"/>
      <c r="D112" s="38" t="n"/>
      <c r="E112" s="38" t="n"/>
      <c r="F112" s="38" t="n"/>
      <c r="G112" s="38" t="n"/>
      <c r="H112" s="38" t="n"/>
      <c r="I112" s="38" t="n"/>
      <c r="J112" s="38" t="n"/>
      <c r="K112" s="38" t="n"/>
      <c r="L112" s="38" t="n"/>
      <c r="M112" s="38" t="n"/>
      <c r="N112" s="38" t="n"/>
      <c r="O112" s="38" t="n"/>
      <c r="P112" s="38" t="n"/>
      <c r="Q112" s="38" t="n"/>
      <c r="R112" s="38" t="n"/>
      <c r="S112" s="38" t="n"/>
      <c r="T112" s="38" t="n"/>
      <c r="U112" s="38" t="n"/>
      <c r="V112" s="38" t="n"/>
      <c r="W112" s="38" t="n"/>
      <c r="X112" s="38" t="n"/>
      <c r="Y112" s="38" t="n"/>
      <c r="Z112" s="38" t="n"/>
      <c r="AA112" s="38" t="n"/>
      <c r="AB112" s="38" t="n"/>
      <c r="AC112" s="38" t="n"/>
      <c r="AD112" s="38" t="n"/>
      <c r="AE112" s="38" t="n"/>
      <c r="AF112" s="36">
        <f>IF($A112="","",$A112&amp;"|"&amp;$C112)</f>
        <v/>
      </c>
      <c r="AG112" s="37">
        <f>IF($A112="","",IFERROR(COUNTIF(L112:M112,"כן")/(COUNTIF(L112:M112,"כן")+COUNTIF(L112:M112,"לא")),""))</f>
        <v/>
      </c>
      <c r="AH112" s="37">
        <f>IF($A112="","",IFERROR(COUNTIF(N112:O112,"כן")/(COUNTIF(N112:O112,"כן")+COUNTIF(N112:O112,"לא")),""))</f>
        <v/>
      </c>
      <c r="AI112" s="37">
        <f>IF($A112="","",IFERROR(COUNTIF(P112:Q112,"כן")/(COUNTIF(P112:Q112,"כן")+COUNTIF(P112:Q112,"לא")),""))</f>
        <v/>
      </c>
      <c r="AJ112" s="37">
        <f>IF($A112="","",IFERROR(COUNTIF(R112:S112,"כן")/(COUNTIF(R112:S112,"כן")+COUNTIF(R112:S112,"לא")),""))</f>
        <v/>
      </c>
      <c r="AK112" s="37">
        <f>IF($A112="","",IFERROR(COUNTIF(T112:U112,"כן")/(COUNTIF(T112:U112,"כן")+COUNTIF(T112:U112,"לא")),""))</f>
        <v/>
      </c>
      <c r="AL112" s="37">
        <f>IF($A112="","",IFERROR(COUNTIF(L112:U112,"כן")/(COUNTIF(L112:U112,"כן")+COUNTIF(L112:U112,"לא")),""))</f>
        <v/>
      </c>
      <c r="AM112" s="45">
        <f>IF($A112="","",IFERROR(AVERAGE(V112:W112),""))</f>
        <v/>
      </c>
      <c r="AN112" s="45">
        <f>IF($A112="","",IFERROR(AVERAGE(X112:Y112),""))</f>
        <v/>
      </c>
      <c r="AO112" s="45">
        <f>IF($A112="","",IFERROR(AVERAGE(Z112:AA112),""))</f>
        <v/>
      </c>
      <c r="AP112" s="45">
        <f>IF($A112="","",IFERROR(AVERAGE(AB112:AC112),""))</f>
        <v/>
      </c>
      <c r="AQ112" s="45">
        <f>IF($A112="","",IFERROR(AVERAGE(AD112),""))</f>
        <v/>
      </c>
      <c r="AR112" s="45">
        <f>IF($A112="","",IFERROR(AVERAGE(V112:AD112),""))</f>
        <v/>
      </c>
      <c r="AS112" s="36">
        <f>IF($A112="","",IF(AND(H112="",J112=""),"לא נבדק",IF(AND(OR(H112="",H112=I112),OR(J112="",J112=K112)),"תואם","לא תואם")))</f>
        <v/>
      </c>
      <c r="AT112" s="36">
        <f>IF($A112="","",IF(AND(AS112&lt;&gt;"לא תואם",G112&lt;&gt;"לא ברור"),"אמין","לפרש בזהירות"))</f>
        <v/>
      </c>
    </row>
    <row r="113">
      <c r="A113" s="38" t="n"/>
      <c r="B113" s="38" t="n"/>
      <c r="C113" s="38" t="n"/>
      <c r="D113" s="38" t="n"/>
      <c r="E113" s="38" t="n"/>
      <c r="F113" s="38" t="n"/>
      <c r="G113" s="38" t="n"/>
      <c r="H113" s="38" t="n"/>
      <c r="I113" s="38" t="n"/>
      <c r="J113" s="38" t="n"/>
      <c r="K113" s="38" t="n"/>
      <c r="L113" s="38" t="n"/>
      <c r="M113" s="38" t="n"/>
      <c r="N113" s="38" t="n"/>
      <c r="O113" s="38" t="n"/>
      <c r="P113" s="38" t="n"/>
      <c r="Q113" s="38" t="n"/>
      <c r="R113" s="38" t="n"/>
      <c r="S113" s="38" t="n"/>
      <c r="T113" s="38" t="n"/>
      <c r="U113" s="38" t="n"/>
      <c r="V113" s="38" t="n"/>
      <c r="W113" s="38" t="n"/>
      <c r="X113" s="38" t="n"/>
      <c r="Y113" s="38" t="n"/>
      <c r="Z113" s="38" t="n"/>
      <c r="AA113" s="38" t="n"/>
      <c r="AB113" s="38" t="n"/>
      <c r="AC113" s="38" t="n"/>
      <c r="AD113" s="38" t="n"/>
      <c r="AE113" s="38" t="n"/>
      <c r="AF113" s="36">
        <f>IF($A113="","",$A113&amp;"|"&amp;$C113)</f>
        <v/>
      </c>
      <c r="AG113" s="37">
        <f>IF($A113="","",IFERROR(COUNTIF(L113:M113,"כן")/(COUNTIF(L113:M113,"כן")+COUNTIF(L113:M113,"לא")),""))</f>
        <v/>
      </c>
      <c r="AH113" s="37">
        <f>IF($A113="","",IFERROR(COUNTIF(N113:O113,"כן")/(COUNTIF(N113:O113,"כן")+COUNTIF(N113:O113,"לא")),""))</f>
        <v/>
      </c>
      <c r="AI113" s="37">
        <f>IF($A113="","",IFERROR(COUNTIF(P113:Q113,"כן")/(COUNTIF(P113:Q113,"כן")+COUNTIF(P113:Q113,"לא")),""))</f>
        <v/>
      </c>
      <c r="AJ113" s="37">
        <f>IF($A113="","",IFERROR(COUNTIF(R113:S113,"כן")/(COUNTIF(R113:S113,"כן")+COUNTIF(R113:S113,"לא")),""))</f>
        <v/>
      </c>
      <c r="AK113" s="37">
        <f>IF($A113="","",IFERROR(COUNTIF(T113:U113,"כן")/(COUNTIF(T113:U113,"כן")+COUNTIF(T113:U113,"לא")),""))</f>
        <v/>
      </c>
      <c r="AL113" s="37">
        <f>IF($A113="","",IFERROR(COUNTIF(L113:U113,"כן")/(COUNTIF(L113:U113,"כן")+COUNTIF(L113:U113,"לא")),""))</f>
        <v/>
      </c>
      <c r="AM113" s="45">
        <f>IF($A113="","",IFERROR(AVERAGE(V113:W113),""))</f>
        <v/>
      </c>
      <c r="AN113" s="45">
        <f>IF($A113="","",IFERROR(AVERAGE(X113:Y113),""))</f>
        <v/>
      </c>
      <c r="AO113" s="45">
        <f>IF($A113="","",IFERROR(AVERAGE(Z113:AA113),""))</f>
        <v/>
      </c>
      <c r="AP113" s="45">
        <f>IF($A113="","",IFERROR(AVERAGE(AB113:AC113),""))</f>
        <v/>
      </c>
      <c r="AQ113" s="45">
        <f>IF($A113="","",IFERROR(AVERAGE(AD113),""))</f>
        <v/>
      </c>
      <c r="AR113" s="45">
        <f>IF($A113="","",IFERROR(AVERAGE(V113:AD113),""))</f>
        <v/>
      </c>
      <c r="AS113" s="36">
        <f>IF($A113="","",IF(AND(H113="",J113=""),"לא נבדק",IF(AND(OR(H113="",H113=I113),OR(J113="",J113=K113)),"תואם","לא תואם")))</f>
        <v/>
      </c>
      <c r="AT113" s="36">
        <f>IF($A113="","",IF(AND(AS113&lt;&gt;"לא תואם",G113&lt;&gt;"לא ברור"),"אמין","לפרש בזהירות"))</f>
        <v/>
      </c>
    </row>
    <row r="114">
      <c r="A114" s="38" t="n"/>
      <c r="B114" s="38" t="n"/>
      <c r="C114" s="38" t="n"/>
      <c r="D114" s="38" t="n"/>
      <c r="E114" s="38" t="n"/>
      <c r="F114" s="38" t="n"/>
      <c r="G114" s="38" t="n"/>
      <c r="H114" s="38" t="n"/>
      <c r="I114" s="38" t="n"/>
      <c r="J114" s="38" t="n"/>
      <c r="K114" s="38" t="n"/>
      <c r="L114" s="38" t="n"/>
      <c r="M114" s="38" t="n"/>
      <c r="N114" s="38" t="n"/>
      <c r="O114" s="38" t="n"/>
      <c r="P114" s="38" t="n"/>
      <c r="Q114" s="38" t="n"/>
      <c r="R114" s="38" t="n"/>
      <c r="S114" s="38" t="n"/>
      <c r="T114" s="38" t="n"/>
      <c r="U114" s="38" t="n"/>
      <c r="V114" s="38" t="n"/>
      <c r="W114" s="38" t="n"/>
      <c r="X114" s="38" t="n"/>
      <c r="Y114" s="38" t="n"/>
      <c r="Z114" s="38" t="n"/>
      <c r="AA114" s="38" t="n"/>
      <c r="AB114" s="38" t="n"/>
      <c r="AC114" s="38" t="n"/>
      <c r="AD114" s="38" t="n"/>
      <c r="AE114" s="38" t="n"/>
      <c r="AF114" s="36">
        <f>IF($A114="","",$A114&amp;"|"&amp;$C114)</f>
        <v/>
      </c>
      <c r="AG114" s="37">
        <f>IF($A114="","",IFERROR(COUNTIF(L114:M114,"כן")/(COUNTIF(L114:M114,"כן")+COUNTIF(L114:M114,"לא")),""))</f>
        <v/>
      </c>
      <c r="AH114" s="37">
        <f>IF($A114="","",IFERROR(COUNTIF(N114:O114,"כן")/(COUNTIF(N114:O114,"כן")+COUNTIF(N114:O114,"לא")),""))</f>
        <v/>
      </c>
      <c r="AI114" s="37">
        <f>IF($A114="","",IFERROR(COUNTIF(P114:Q114,"כן")/(COUNTIF(P114:Q114,"כן")+COUNTIF(P114:Q114,"לא")),""))</f>
        <v/>
      </c>
      <c r="AJ114" s="37">
        <f>IF($A114="","",IFERROR(COUNTIF(R114:S114,"כן")/(COUNTIF(R114:S114,"כן")+COUNTIF(R114:S114,"לא")),""))</f>
        <v/>
      </c>
      <c r="AK114" s="37">
        <f>IF($A114="","",IFERROR(COUNTIF(T114:U114,"כן")/(COUNTIF(T114:U114,"כן")+COUNTIF(T114:U114,"לא")),""))</f>
        <v/>
      </c>
      <c r="AL114" s="37">
        <f>IF($A114="","",IFERROR(COUNTIF(L114:U114,"כן")/(COUNTIF(L114:U114,"כן")+COUNTIF(L114:U114,"לא")),""))</f>
        <v/>
      </c>
      <c r="AM114" s="45">
        <f>IF($A114="","",IFERROR(AVERAGE(V114:W114),""))</f>
        <v/>
      </c>
      <c r="AN114" s="45">
        <f>IF($A114="","",IFERROR(AVERAGE(X114:Y114),""))</f>
        <v/>
      </c>
      <c r="AO114" s="45">
        <f>IF($A114="","",IFERROR(AVERAGE(Z114:AA114),""))</f>
        <v/>
      </c>
      <c r="AP114" s="45">
        <f>IF($A114="","",IFERROR(AVERAGE(AB114:AC114),""))</f>
        <v/>
      </c>
      <c r="AQ114" s="45">
        <f>IF($A114="","",IFERROR(AVERAGE(AD114),""))</f>
        <v/>
      </c>
      <c r="AR114" s="45">
        <f>IF($A114="","",IFERROR(AVERAGE(V114:AD114),""))</f>
        <v/>
      </c>
      <c r="AS114" s="36">
        <f>IF($A114="","",IF(AND(H114="",J114=""),"לא נבדק",IF(AND(OR(H114="",H114=I114),OR(J114="",J114=K114)),"תואם","לא תואם")))</f>
        <v/>
      </c>
      <c r="AT114" s="36">
        <f>IF($A114="","",IF(AND(AS114&lt;&gt;"לא תואם",G114&lt;&gt;"לא ברור"),"אמין","לפרש בזהירות"))</f>
        <v/>
      </c>
    </row>
    <row r="115">
      <c r="A115" s="38" t="n"/>
      <c r="B115" s="38" t="n"/>
      <c r="C115" s="38" t="n"/>
      <c r="D115" s="38" t="n"/>
      <c r="E115" s="38" t="n"/>
      <c r="F115" s="38" t="n"/>
      <c r="G115" s="38" t="n"/>
      <c r="H115" s="38" t="n"/>
      <c r="I115" s="38" t="n"/>
      <c r="J115" s="38" t="n"/>
      <c r="K115" s="38" t="n"/>
      <c r="L115" s="38" t="n"/>
      <c r="M115" s="38" t="n"/>
      <c r="N115" s="38" t="n"/>
      <c r="O115" s="38" t="n"/>
      <c r="P115" s="38" t="n"/>
      <c r="Q115" s="38" t="n"/>
      <c r="R115" s="38" t="n"/>
      <c r="S115" s="38" t="n"/>
      <c r="T115" s="38" t="n"/>
      <c r="U115" s="38" t="n"/>
      <c r="V115" s="38" t="n"/>
      <c r="W115" s="38" t="n"/>
      <c r="X115" s="38" t="n"/>
      <c r="Y115" s="38" t="n"/>
      <c r="Z115" s="38" t="n"/>
      <c r="AA115" s="38" t="n"/>
      <c r="AB115" s="38" t="n"/>
      <c r="AC115" s="38" t="n"/>
      <c r="AD115" s="38" t="n"/>
      <c r="AE115" s="38" t="n"/>
      <c r="AF115" s="36">
        <f>IF($A115="","",$A115&amp;"|"&amp;$C115)</f>
        <v/>
      </c>
      <c r="AG115" s="37">
        <f>IF($A115="","",IFERROR(COUNTIF(L115:M115,"כן")/(COUNTIF(L115:M115,"כן")+COUNTIF(L115:M115,"לא")),""))</f>
        <v/>
      </c>
      <c r="AH115" s="37">
        <f>IF($A115="","",IFERROR(COUNTIF(N115:O115,"כן")/(COUNTIF(N115:O115,"כן")+COUNTIF(N115:O115,"לא")),""))</f>
        <v/>
      </c>
      <c r="AI115" s="37">
        <f>IF($A115="","",IFERROR(COUNTIF(P115:Q115,"כן")/(COUNTIF(P115:Q115,"כן")+COUNTIF(P115:Q115,"לא")),""))</f>
        <v/>
      </c>
      <c r="AJ115" s="37">
        <f>IF($A115="","",IFERROR(COUNTIF(R115:S115,"כן")/(COUNTIF(R115:S115,"כן")+COUNTIF(R115:S115,"לא")),""))</f>
        <v/>
      </c>
      <c r="AK115" s="37">
        <f>IF($A115="","",IFERROR(COUNTIF(T115:U115,"כן")/(COUNTIF(T115:U115,"כן")+COUNTIF(T115:U115,"לא")),""))</f>
        <v/>
      </c>
      <c r="AL115" s="37">
        <f>IF($A115="","",IFERROR(COUNTIF(L115:U115,"כן")/(COUNTIF(L115:U115,"כן")+COUNTIF(L115:U115,"לא")),""))</f>
        <v/>
      </c>
      <c r="AM115" s="45">
        <f>IF($A115="","",IFERROR(AVERAGE(V115:W115),""))</f>
        <v/>
      </c>
      <c r="AN115" s="45">
        <f>IF($A115="","",IFERROR(AVERAGE(X115:Y115),""))</f>
        <v/>
      </c>
      <c r="AO115" s="45">
        <f>IF($A115="","",IFERROR(AVERAGE(Z115:AA115),""))</f>
        <v/>
      </c>
      <c r="AP115" s="45">
        <f>IF($A115="","",IFERROR(AVERAGE(AB115:AC115),""))</f>
        <v/>
      </c>
      <c r="AQ115" s="45">
        <f>IF($A115="","",IFERROR(AVERAGE(AD115),""))</f>
        <v/>
      </c>
      <c r="AR115" s="45">
        <f>IF($A115="","",IFERROR(AVERAGE(V115:AD115),""))</f>
        <v/>
      </c>
      <c r="AS115" s="36">
        <f>IF($A115="","",IF(AND(H115="",J115=""),"לא נבדק",IF(AND(OR(H115="",H115=I115),OR(J115="",J115=K115)),"תואם","לא תואם")))</f>
        <v/>
      </c>
      <c r="AT115" s="36">
        <f>IF($A115="","",IF(AND(AS115&lt;&gt;"לא תואם",G115&lt;&gt;"לא ברור"),"אמין","לפרש בזהירות"))</f>
        <v/>
      </c>
    </row>
    <row r="116">
      <c r="A116" s="38" t="n"/>
      <c r="B116" s="38" t="n"/>
      <c r="C116" s="38" t="n"/>
      <c r="D116" s="38" t="n"/>
      <c r="E116" s="38" t="n"/>
      <c r="F116" s="38" t="n"/>
      <c r="G116" s="38" t="n"/>
      <c r="H116" s="38" t="n"/>
      <c r="I116" s="38" t="n"/>
      <c r="J116" s="38" t="n"/>
      <c r="K116" s="38" t="n"/>
      <c r="L116" s="38" t="n"/>
      <c r="M116" s="38" t="n"/>
      <c r="N116" s="38" t="n"/>
      <c r="O116" s="38" t="n"/>
      <c r="P116" s="38" t="n"/>
      <c r="Q116" s="38" t="n"/>
      <c r="R116" s="38" t="n"/>
      <c r="S116" s="38" t="n"/>
      <c r="T116" s="38" t="n"/>
      <c r="U116" s="38" t="n"/>
      <c r="V116" s="38" t="n"/>
      <c r="W116" s="38" t="n"/>
      <c r="X116" s="38" t="n"/>
      <c r="Y116" s="38" t="n"/>
      <c r="Z116" s="38" t="n"/>
      <c r="AA116" s="38" t="n"/>
      <c r="AB116" s="38" t="n"/>
      <c r="AC116" s="38" t="n"/>
      <c r="AD116" s="38" t="n"/>
      <c r="AE116" s="38" t="n"/>
      <c r="AF116" s="36">
        <f>IF($A116="","",$A116&amp;"|"&amp;$C116)</f>
        <v/>
      </c>
      <c r="AG116" s="37">
        <f>IF($A116="","",IFERROR(COUNTIF(L116:M116,"כן")/(COUNTIF(L116:M116,"כן")+COUNTIF(L116:M116,"לא")),""))</f>
        <v/>
      </c>
      <c r="AH116" s="37">
        <f>IF($A116="","",IFERROR(COUNTIF(N116:O116,"כן")/(COUNTIF(N116:O116,"כן")+COUNTIF(N116:O116,"לא")),""))</f>
        <v/>
      </c>
      <c r="AI116" s="37">
        <f>IF($A116="","",IFERROR(COUNTIF(P116:Q116,"כן")/(COUNTIF(P116:Q116,"כן")+COUNTIF(P116:Q116,"לא")),""))</f>
        <v/>
      </c>
      <c r="AJ116" s="37">
        <f>IF($A116="","",IFERROR(COUNTIF(R116:S116,"כן")/(COUNTIF(R116:S116,"כן")+COUNTIF(R116:S116,"לא")),""))</f>
        <v/>
      </c>
      <c r="AK116" s="37">
        <f>IF($A116="","",IFERROR(COUNTIF(T116:U116,"כן")/(COUNTIF(T116:U116,"כן")+COUNTIF(T116:U116,"לא")),""))</f>
        <v/>
      </c>
      <c r="AL116" s="37">
        <f>IF($A116="","",IFERROR(COUNTIF(L116:U116,"כן")/(COUNTIF(L116:U116,"כן")+COUNTIF(L116:U116,"לא")),""))</f>
        <v/>
      </c>
      <c r="AM116" s="45">
        <f>IF($A116="","",IFERROR(AVERAGE(V116:W116),""))</f>
        <v/>
      </c>
      <c r="AN116" s="45">
        <f>IF($A116="","",IFERROR(AVERAGE(X116:Y116),""))</f>
        <v/>
      </c>
      <c r="AO116" s="45">
        <f>IF($A116="","",IFERROR(AVERAGE(Z116:AA116),""))</f>
        <v/>
      </c>
      <c r="AP116" s="45">
        <f>IF($A116="","",IFERROR(AVERAGE(AB116:AC116),""))</f>
        <v/>
      </c>
      <c r="AQ116" s="45">
        <f>IF($A116="","",IFERROR(AVERAGE(AD116),""))</f>
        <v/>
      </c>
      <c r="AR116" s="45">
        <f>IF($A116="","",IFERROR(AVERAGE(V116:AD116),""))</f>
        <v/>
      </c>
      <c r="AS116" s="36">
        <f>IF($A116="","",IF(AND(H116="",J116=""),"לא נבדק",IF(AND(OR(H116="",H116=I116),OR(J116="",J116=K116)),"תואם","לא תואם")))</f>
        <v/>
      </c>
      <c r="AT116" s="36">
        <f>IF($A116="","",IF(AND(AS116&lt;&gt;"לא תואם",G116&lt;&gt;"לא ברור"),"אמין","לפרש בזהירות"))</f>
        <v/>
      </c>
    </row>
    <row r="117">
      <c r="A117" s="38" t="n"/>
      <c r="B117" s="38" t="n"/>
      <c r="C117" s="38" t="n"/>
      <c r="D117" s="38" t="n"/>
      <c r="E117" s="38" t="n"/>
      <c r="F117" s="38" t="n"/>
      <c r="G117" s="38" t="n"/>
      <c r="H117" s="38" t="n"/>
      <c r="I117" s="38" t="n"/>
      <c r="J117" s="38" t="n"/>
      <c r="K117" s="38" t="n"/>
      <c r="L117" s="38" t="n"/>
      <c r="M117" s="38" t="n"/>
      <c r="N117" s="38" t="n"/>
      <c r="O117" s="38" t="n"/>
      <c r="P117" s="38" t="n"/>
      <c r="Q117" s="38" t="n"/>
      <c r="R117" s="38" t="n"/>
      <c r="S117" s="38" t="n"/>
      <c r="T117" s="38" t="n"/>
      <c r="U117" s="38" t="n"/>
      <c r="V117" s="38" t="n"/>
      <c r="W117" s="38" t="n"/>
      <c r="X117" s="38" t="n"/>
      <c r="Y117" s="38" t="n"/>
      <c r="Z117" s="38" t="n"/>
      <c r="AA117" s="38" t="n"/>
      <c r="AB117" s="38" t="n"/>
      <c r="AC117" s="38" t="n"/>
      <c r="AD117" s="38" t="n"/>
      <c r="AE117" s="38" t="n"/>
      <c r="AF117" s="36">
        <f>IF($A117="","",$A117&amp;"|"&amp;$C117)</f>
        <v/>
      </c>
      <c r="AG117" s="37">
        <f>IF($A117="","",IFERROR(COUNTIF(L117:M117,"כן")/(COUNTIF(L117:M117,"כן")+COUNTIF(L117:M117,"לא")),""))</f>
        <v/>
      </c>
      <c r="AH117" s="37">
        <f>IF($A117="","",IFERROR(COUNTIF(N117:O117,"כן")/(COUNTIF(N117:O117,"כן")+COUNTIF(N117:O117,"לא")),""))</f>
        <v/>
      </c>
      <c r="AI117" s="37">
        <f>IF($A117="","",IFERROR(COUNTIF(P117:Q117,"כן")/(COUNTIF(P117:Q117,"כן")+COUNTIF(P117:Q117,"לא")),""))</f>
        <v/>
      </c>
      <c r="AJ117" s="37">
        <f>IF($A117="","",IFERROR(COUNTIF(R117:S117,"כן")/(COUNTIF(R117:S117,"כן")+COUNTIF(R117:S117,"לא")),""))</f>
        <v/>
      </c>
      <c r="AK117" s="37">
        <f>IF($A117="","",IFERROR(COUNTIF(T117:U117,"כן")/(COUNTIF(T117:U117,"כן")+COUNTIF(T117:U117,"לא")),""))</f>
        <v/>
      </c>
      <c r="AL117" s="37">
        <f>IF($A117="","",IFERROR(COUNTIF(L117:U117,"כן")/(COUNTIF(L117:U117,"כן")+COUNTIF(L117:U117,"לא")),""))</f>
        <v/>
      </c>
      <c r="AM117" s="45">
        <f>IF($A117="","",IFERROR(AVERAGE(V117:W117),""))</f>
        <v/>
      </c>
      <c r="AN117" s="45">
        <f>IF($A117="","",IFERROR(AVERAGE(X117:Y117),""))</f>
        <v/>
      </c>
      <c r="AO117" s="45">
        <f>IF($A117="","",IFERROR(AVERAGE(Z117:AA117),""))</f>
        <v/>
      </c>
      <c r="AP117" s="45">
        <f>IF($A117="","",IFERROR(AVERAGE(AB117:AC117),""))</f>
        <v/>
      </c>
      <c r="AQ117" s="45">
        <f>IF($A117="","",IFERROR(AVERAGE(AD117),""))</f>
        <v/>
      </c>
      <c r="AR117" s="45">
        <f>IF($A117="","",IFERROR(AVERAGE(V117:AD117),""))</f>
        <v/>
      </c>
      <c r="AS117" s="36">
        <f>IF($A117="","",IF(AND(H117="",J117=""),"לא נבדק",IF(AND(OR(H117="",H117=I117),OR(J117="",J117=K117)),"תואם","לא תואם")))</f>
        <v/>
      </c>
      <c r="AT117" s="36">
        <f>IF($A117="","",IF(AND(AS117&lt;&gt;"לא תואם",G117&lt;&gt;"לא ברור"),"אמין","לפרש בזהירות"))</f>
        <v/>
      </c>
    </row>
    <row r="118">
      <c r="A118" s="38" t="n"/>
      <c r="B118" s="38" t="n"/>
      <c r="C118" s="38" t="n"/>
      <c r="D118" s="38" t="n"/>
      <c r="E118" s="38" t="n"/>
      <c r="F118" s="38" t="n"/>
      <c r="G118" s="38" t="n"/>
      <c r="H118" s="38" t="n"/>
      <c r="I118" s="38" t="n"/>
      <c r="J118" s="38" t="n"/>
      <c r="K118" s="38" t="n"/>
      <c r="L118" s="38" t="n"/>
      <c r="M118" s="38" t="n"/>
      <c r="N118" s="38" t="n"/>
      <c r="O118" s="38" t="n"/>
      <c r="P118" s="38" t="n"/>
      <c r="Q118" s="38" t="n"/>
      <c r="R118" s="38" t="n"/>
      <c r="S118" s="38" t="n"/>
      <c r="T118" s="38" t="n"/>
      <c r="U118" s="38" t="n"/>
      <c r="V118" s="38" t="n"/>
      <c r="W118" s="38" t="n"/>
      <c r="X118" s="38" t="n"/>
      <c r="Y118" s="38" t="n"/>
      <c r="Z118" s="38" t="n"/>
      <c r="AA118" s="38" t="n"/>
      <c r="AB118" s="38" t="n"/>
      <c r="AC118" s="38" t="n"/>
      <c r="AD118" s="38" t="n"/>
      <c r="AE118" s="38" t="n"/>
      <c r="AF118" s="36">
        <f>IF($A118="","",$A118&amp;"|"&amp;$C118)</f>
        <v/>
      </c>
      <c r="AG118" s="37">
        <f>IF($A118="","",IFERROR(COUNTIF(L118:M118,"כן")/(COUNTIF(L118:M118,"כן")+COUNTIF(L118:M118,"לא")),""))</f>
        <v/>
      </c>
      <c r="AH118" s="37">
        <f>IF($A118="","",IFERROR(COUNTIF(N118:O118,"כן")/(COUNTIF(N118:O118,"כן")+COUNTIF(N118:O118,"לא")),""))</f>
        <v/>
      </c>
      <c r="AI118" s="37">
        <f>IF($A118="","",IFERROR(COUNTIF(P118:Q118,"כן")/(COUNTIF(P118:Q118,"כן")+COUNTIF(P118:Q118,"לא")),""))</f>
        <v/>
      </c>
      <c r="AJ118" s="37">
        <f>IF($A118="","",IFERROR(COUNTIF(R118:S118,"כן")/(COUNTIF(R118:S118,"כן")+COUNTIF(R118:S118,"לא")),""))</f>
        <v/>
      </c>
      <c r="AK118" s="37">
        <f>IF($A118="","",IFERROR(COUNTIF(T118:U118,"כן")/(COUNTIF(T118:U118,"כן")+COUNTIF(T118:U118,"לא")),""))</f>
        <v/>
      </c>
      <c r="AL118" s="37">
        <f>IF($A118="","",IFERROR(COUNTIF(L118:U118,"כן")/(COUNTIF(L118:U118,"כן")+COUNTIF(L118:U118,"לא")),""))</f>
        <v/>
      </c>
      <c r="AM118" s="45">
        <f>IF($A118="","",IFERROR(AVERAGE(V118:W118),""))</f>
        <v/>
      </c>
      <c r="AN118" s="45">
        <f>IF($A118="","",IFERROR(AVERAGE(X118:Y118),""))</f>
        <v/>
      </c>
      <c r="AO118" s="45">
        <f>IF($A118="","",IFERROR(AVERAGE(Z118:AA118),""))</f>
        <v/>
      </c>
      <c r="AP118" s="45">
        <f>IF($A118="","",IFERROR(AVERAGE(AB118:AC118),""))</f>
        <v/>
      </c>
      <c r="AQ118" s="45">
        <f>IF($A118="","",IFERROR(AVERAGE(AD118),""))</f>
        <v/>
      </c>
      <c r="AR118" s="45">
        <f>IF($A118="","",IFERROR(AVERAGE(V118:AD118),""))</f>
        <v/>
      </c>
      <c r="AS118" s="36">
        <f>IF($A118="","",IF(AND(H118="",J118=""),"לא נבדק",IF(AND(OR(H118="",H118=I118),OR(J118="",J118=K118)),"תואם","לא תואם")))</f>
        <v/>
      </c>
      <c r="AT118" s="36">
        <f>IF($A118="","",IF(AND(AS118&lt;&gt;"לא תואם",G118&lt;&gt;"לא ברור"),"אמין","לפרש בזהירות"))</f>
        <v/>
      </c>
    </row>
    <row r="119">
      <c r="A119" s="38" t="n"/>
      <c r="B119" s="38" t="n"/>
      <c r="C119" s="38" t="n"/>
      <c r="D119" s="38" t="n"/>
      <c r="E119" s="38" t="n"/>
      <c r="F119" s="38" t="n"/>
      <c r="G119" s="38" t="n"/>
      <c r="H119" s="38" t="n"/>
      <c r="I119" s="38" t="n"/>
      <c r="J119" s="38" t="n"/>
      <c r="K119" s="38" t="n"/>
      <c r="L119" s="38" t="n"/>
      <c r="M119" s="38" t="n"/>
      <c r="N119" s="38" t="n"/>
      <c r="O119" s="38" t="n"/>
      <c r="P119" s="38" t="n"/>
      <c r="Q119" s="38" t="n"/>
      <c r="R119" s="38" t="n"/>
      <c r="S119" s="38" t="n"/>
      <c r="T119" s="38" t="n"/>
      <c r="U119" s="38" t="n"/>
      <c r="V119" s="38" t="n"/>
      <c r="W119" s="38" t="n"/>
      <c r="X119" s="38" t="n"/>
      <c r="Y119" s="38" t="n"/>
      <c r="Z119" s="38" t="n"/>
      <c r="AA119" s="38" t="n"/>
      <c r="AB119" s="38" t="n"/>
      <c r="AC119" s="38" t="n"/>
      <c r="AD119" s="38" t="n"/>
      <c r="AE119" s="38" t="n"/>
      <c r="AF119" s="36">
        <f>IF($A119="","",$A119&amp;"|"&amp;$C119)</f>
        <v/>
      </c>
      <c r="AG119" s="37">
        <f>IF($A119="","",IFERROR(COUNTIF(L119:M119,"כן")/(COUNTIF(L119:M119,"כן")+COUNTIF(L119:M119,"לא")),""))</f>
        <v/>
      </c>
      <c r="AH119" s="37">
        <f>IF($A119="","",IFERROR(COUNTIF(N119:O119,"כן")/(COUNTIF(N119:O119,"כן")+COUNTIF(N119:O119,"לא")),""))</f>
        <v/>
      </c>
      <c r="AI119" s="37">
        <f>IF($A119="","",IFERROR(COUNTIF(P119:Q119,"כן")/(COUNTIF(P119:Q119,"כן")+COUNTIF(P119:Q119,"לא")),""))</f>
        <v/>
      </c>
      <c r="AJ119" s="37">
        <f>IF($A119="","",IFERROR(COUNTIF(R119:S119,"כן")/(COUNTIF(R119:S119,"כן")+COUNTIF(R119:S119,"לא")),""))</f>
        <v/>
      </c>
      <c r="AK119" s="37">
        <f>IF($A119="","",IFERROR(COUNTIF(T119:U119,"כן")/(COUNTIF(T119:U119,"כן")+COUNTIF(T119:U119,"לא")),""))</f>
        <v/>
      </c>
      <c r="AL119" s="37">
        <f>IF($A119="","",IFERROR(COUNTIF(L119:U119,"כן")/(COUNTIF(L119:U119,"כן")+COUNTIF(L119:U119,"לא")),""))</f>
        <v/>
      </c>
      <c r="AM119" s="45">
        <f>IF($A119="","",IFERROR(AVERAGE(V119:W119),""))</f>
        <v/>
      </c>
      <c r="AN119" s="45">
        <f>IF($A119="","",IFERROR(AVERAGE(X119:Y119),""))</f>
        <v/>
      </c>
      <c r="AO119" s="45">
        <f>IF($A119="","",IFERROR(AVERAGE(Z119:AA119),""))</f>
        <v/>
      </c>
      <c r="AP119" s="45">
        <f>IF($A119="","",IFERROR(AVERAGE(AB119:AC119),""))</f>
        <v/>
      </c>
      <c r="AQ119" s="45">
        <f>IF($A119="","",IFERROR(AVERAGE(AD119),""))</f>
        <v/>
      </c>
      <c r="AR119" s="45">
        <f>IF($A119="","",IFERROR(AVERAGE(V119:AD119),""))</f>
        <v/>
      </c>
      <c r="AS119" s="36">
        <f>IF($A119="","",IF(AND(H119="",J119=""),"לא נבדק",IF(AND(OR(H119="",H119=I119),OR(J119="",J119=K119)),"תואם","לא תואם")))</f>
        <v/>
      </c>
      <c r="AT119" s="36">
        <f>IF($A119="","",IF(AND(AS119&lt;&gt;"לא תואם",G119&lt;&gt;"לא ברור"),"אמין","לפרש בזהירות"))</f>
        <v/>
      </c>
    </row>
    <row r="120">
      <c r="A120" s="38" t="n"/>
      <c r="B120" s="38" t="n"/>
      <c r="C120" s="38" t="n"/>
      <c r="D120" s="38" t="n"/>
      <c r="E120" s="38" t="n"/>
      <c r="F120" s="38" t="n"/>
      <c r="G120" s="38" t="n"/>
      <c r="H120" s="38" t="n"/>
      <c r="I120" s="38" t="n"/>
      <c r="J120" s="38" t="n"/>
      <c r="K120" s="38" t="n"/>
      <c r="L120" s="38" t="n"/>
      <c r="M120" s="38" t="n"/>
      <c r="N120" s="38" t="n"/>
      <c r="O120" s="38" t="n"/>
      <c r="P120" s="38" t="n"/>
      <c r="Q120" s="38" t="n"/>
      <c r="R120" s="38" t="n"/>
      <c r="S120" s="38" t="n"/>
      <c r="T120" s="38" t="n"/>
      <c r="U120" s="38" t="n"/>
      <c r="V120" s="38" t="n"/>
      <c r="W120" s="38" t="n"/>
      <c r="X120" s="38" t="n"/>
      <c r="Y120" s="38" t="n"/>
      <c r="Z120" s="38" t="n"/>
      <c r="AA120" s="38" t="n"/>
      <c r="AB120" s="38" t="n"/>
      <c r="AC120" s="38" t="n"/>
      <c r="AD120" s="38" t="n"/>
      <c r="AE120" s="38" t="n"/>
      <c r="AF120" s="36">
        <f>IF($A120="","",$A120&amp;"|"&amp;$C120)</f>
        <v/>
      </c>
      <c r="AG120" s="37">
        <f>IF($A120="","",IFERROR(COUNTIF(L120:M120,"כן")/(COUNTIF(L120:M120,"כן")+COUNTIF(L120:M120,"לא")),""))</f>
        <v/>
      </c>
      <c r="AH120" s="37">
        <f>IF($A120="","",IFERROR(COUNTIF(N120:O120,"כן")/(COUNTIF(N120:O120,"כן")+COUNTIF(N120:O120,"לא")),""))</f>
        <v/>
      </c>
      <c r="AI120" s="37">
        <f>IF($A120="","",IFERROR(COUNTIF(P120:Q120,"כן")/(COUNTIF(P120:Q120,"כן")+COUNTIF(P120:Q120,"לא")),""))</f>
        <v/>
      </c>
      <c r="AJ120" s="37">
        <f>IF($A120="","",IFERROR(COUNTIF(R120:S120,"כן")/(COUNTIF(R120:S120,"כן")+COUNTIF(R120:S120,"לא")),""))</f>
        <v/>
      </c>
      <c r="AK120" s="37">
        <f>IF($A120="","",IFERROR(COUNTIF(T120:U120,"כן")/(COUNTIF(T120:U120,"כן")+COUNTIF(T120:U120,"לא")),""))</f>
        <v/>
      </c>
      <c r="AL120" s="37">
        <f>IF($A120="","",IFERROR(COUNTIF(L120:U120,"כן")/(COUNTIF(L120:U120,"כן")+COUNTIF(L120:U120,"לא")),""))</f>
        <v/>
      </c>
      <c r="AM120" s="45">
        <f>IF($A120="","",IFERROR(AVERAGE(V120:W120),""))</f>
        <v/>
      </c>
      <c r="AN120" s="45">
        <f>IF($A120="","",IFERROR(AVERAGE(X120:Y120),""))</f>
        <v/>
      </c>
      <c r="AO120" s="45">
        <f>IF($A120="","",IFERROR(AVERAGE(Z120:AA120),""))</f>
        <v/>
      </c>
      <c r="AP120" s="45">
        <f>IF($A120="","",IFERROR(AVERAGE(AB120:AC120),""))</f>
        <v/>
      </c>
      <c r="AQ120" s="45">
        <f>IF($A120="","",IFERROR(AVERAGE(AD120),""))</f>
        <v/>
      </c>
      <c r="AR120" s="45">
        <f>IF($A120="","",IFERROR(AVERAGE(V120:AD120),""))</f>
        <v/>
      </c>
      <c r="AS120" s="36">
        <f>IF($A120="","",IF(AND(H120="",J120=""),"לא נבדק",IF(AND(OR(H120="",H120=I120),OR(J120="",J120=K120)),"תואם","לא תואם")))</f>
        <v/>
      </c>
      <c r="AT120" s="36">
        <f>IF($A120="","",IF(AND(AS120&lt;&gt;"לא תואם",G120&lt;&gt;"לא ברור"),"אמין","לפרש בזהירות"))</f>
        <v/>
      </c>
    </row>
    <row r="121">
      <c r="A121" s="38" t="n"/>
      <c r="B121" s="38" t="n"/>
      <c r="C121" s="38" t="n"/>
      <c r="D121" s="38" t="n"/>
      <c r="E121" s="38" t="n"/>
      <c r="F121" s="38" t="n"/>
      <c r="G121" s="38" t="n"/>
      <c r="H121" s="38" t="n"/>
      <c r="I121" s="38" t="n"/>
      <c r="J121" s="38" t="n"/>
      <c r="K121" s="38" t="n"/>
      <c r="L121" s="38" t="n"/>
      <c r="M121" s="38" t="n"/>
      <c r="N121" s="38" t="n"/>
      <c r="O121" s="38" t="n"/>
      <c r="P121" s="38" t="n"/>
      <c r="Q121" s="38" t="n"/>
      <c r="R121" s="38" t="n"/>
      <c r="S121" s="38" t="n"/>
      <c r="T121" s="38" t="n"/>
      <c r="U121" s="38" t="n"/>
      <c r="V121" s="38" t="n"/>
      <c r="W121" s="38" t="n"/>
      <c r="X121" s="38" t="n"/>
      <c r="Y121" s="38" t="n"/>
      <c r="Z121" s="38" t="n"/>
      <c r="AA121" s="38" t="n"/>
      <c r="AB121" s="38" t="n"/>
      <c r="AC121" s="38" t="n"/>
      <c r="AD121" s="38" t="n"/>
      <c r="AE121" s="38" t="n"/>
      <c r="AF121" s="36">
        <f>IF($A121="","",$A121&amp;"|"&amp;$C121)</f>
        <v/>
      </c>
      <c r="AG121" s="37">
        <f>IF($A121="","",IFERROR(COUNTIF(L121:M121,"כן")/(COUNTIF(L121:M121,"כן")+COUNTIF(L121:M121,"לא")),""))</f>
        <v/>
      </c>
      <c r="AH121" s="37">
        <f>IF($A121="","",IFERROR(COUNTIF(N121:O121,"כן")/(COUNTIF(N121:O121,"כן")+COUNTIF(N121:O121,"לא")),""))</f>
        <v/>
      </c>
      <c r="AI121" s="37">
        <f>IF($A121="","",IFERROR(COUNTIF(P121:Q121,"כן")/(COUNTIF(P121:Q121,"כן")+COUNTIF(P121:Q121,"לא")),""))</f>
        <v/>
      </c>
      <c r="AJ121" s="37">
        <f>IF($A121="","",IFERROR(COUNTIF(R121:S121,"כן")/(COUNTIF(R121:S121,"כן")+COUNTIF(R121:S121,"לא")),""))</f>
        <v/>
      </c>
      <c r="AK121" s="37">
        <f>IF($A121="","",IFERROR(COUNTIF(T121:U121,"כן")/(COUNTIF(T121:U121,"כן")+COUNTIF(T121:U121,"לא")),""))</f>
        <v/>
      </c>
      <c r="AL121" s="37">
        <f>IF($A121="","",IFERROR(COUNTIF(L121:U121,"כן")/(COUNTIF(L121:U121,"כן")+COUNTIF(L121:U121,"לא")),""))</f>
        <v/>
      </c>
      <c r="AM121" s="45">
        <f>IF($A121="","",IFERROR(AVERAGE(V121:W121),""))</f>
        <v/>
      </c>
      <c r="AN121" s="45">
        <f>IF($A121="","",IFERROR(AVERAGE(X121:Y121),""))</f>
        <v/>
      </c>
      <c r="AO121" s="45">
        <f>IF($A121="","",IFERROR(AVERAGE(Z121:AA121),""))</f>
        <v/>
      </c>
      <c r="AP121" s="45">
        <f>IF($A121="","",IFERROR(AVERAGE(AB121:AC121),""))</f>
        <v/>
      </c>
      <c r="AQ121" s="45">
        <f>IF($A121="","",IFERROR(AVERAGE(AD121),""))</f>
        <v/>
      </c>
      <c r="AR121" s="45">
        <f>IF($A121="","",IFERROR(AVERAGE(V121:AD121),""))</f>
        <v/>
      </c>
      <c r="AS121" s="36">
        <f>IF($A121="","",IF(AND(H121="",J121=""),"לא נבדק",IF(AND(OR(H121="",H121=I121),OR(J121="",J121=K121)),"תואם","לא תואם")))</f>
        <v/>
      </c>
      <c r="AT121" s="36">
        <f>IF($A121="","",IF(AND(AS121&lt;&gt;"לא תואם",G121&lt;&gt;"לא ברור"),"אמין","לפרש בזהירות"))</f>
        <v/>
      </c>
    </row>
    <row r="122">
      <c r="A122" s="38" t="n"/>
      <c r="B122" s="38" t="n"/>
      <c r="C122" s="38" t="n"/>
      <c r="D122" s="38" t="n"/>
      <c r="E122" s="38" t="n"/>
      <c r="F122" s="38" t="n"/>
      <c r="G122" s="38" t="n"/>
      <c r="H122" s="38" t="n"/>
      <c r="I122" s="38" t="n"/>
      <c r="J122" s="38" t="n"/>
      <c r="K122" s="38" t="n"/>
      <c r="L122" s="38" t="n"/>
      <c r="M122" s="38" t="n"/>
      <c r="N122" s="38" t="n"/>
      <c r="O122" s="38" t="n"/>
      <c r="P122" s="38" t="n"/>
      <c r="Q122" s="38" t="n"/>
      <c r="R122" s="38" t="n"/>
      <c r="S122" s="38" t="n"/>
      <c r="T122" s="38" t="n"/>
      <c r="U122" s="38" t="n"/>
      <c r="V122" s="38" t="n"/>
      <c r="W122" s="38" t="n"/>
      <c r="X122" s="38" t="n"/>
      <c r="Y122" s="38" t="n"/>
      <c r="Z122" s="38" t="n"/>
      <c r="AA122" s="38" t="n"/>
      <c r="AB122" s="38" t="n"/>
      <c r="AC122" s="38" t="n"/>
      <c r="AD122" s="38" t="n"/>
      <c r="AE122" s="38" t="n"/>
      <c r="AF122" s="36">
        <f>IF($A122="","",$A122&amp;"|"&amp;$C122)</f>
        <v/>
      </c>
      <c r="AG122" s="37">
        <f>IF($A122="","",IFERROR(COUNTIF(L122:M122,"כן")/(COUNTIF(L122:M122,"כן")+COUNTIF(L122:M122,"לא")),""))</f>
        <v/>
      </c>
      <c r="AH122" s="37">
        <f>IF($A122="","",IFERROR(COUNTIF(N122:O122,"כן")/(COUNTIF(N122:O122,"כן")+COUNTIF(N122:O122,"לא")),""))</f>
        <v/>
      </c>
      <c r="AI122" s="37">
        <f>IF($A122="","",IFERROR(COUNTIF(P122:Q122,"כן")/(COUNTIF(P122:Q122,"כן")+COUNTIF(P122:Q122,"לא")),""))</f>
        <v/>
      </c>
      <c r="AJ122" s="37">
        <f>IF($A122="","",IFERROR(COUNTIF(R122:S122,"כן")/(COUNTIF(R122:S122,"כן")+COUNTIF(R122:S122,"לא")),""))</f>
        <v/>
      </c>
      <c r="AK122" s="37">
        <f>IF($A122="","",IFERROR(COUNTIF(T122:U122,"כן")/(COUNTIF(T122:U122,"כן")+COUNTIF(T122:U122,"לא")),""))</f>
        <v/>
      </c>
      <c r="AL122" s="37">
        <f>IF($A122="","",IFERROR(COUNTIF(L122:U122,"כן")/(COUNTIF(L122:U122,"כן")+COUNTIF(L122:U122,"לא")),""))</f>
        <v/>
      </c>
      <c r="AM122" s="45">
        <f>IF($A122="","",IFERROR(AVERAGE(V122:W122),""))</f>
        <v/>
      </c>
      <c r="AN122" s="45">
        <f>IF($A122="","",IFERROR(AVERAGE(X122:Y122),""))</f>
        <v/>
      </c>
      <c r="AO122" s="45">
        <f>IF($A122="","",IFERROR(AVERAGE(Z122:AA122),""))</f>
        <v/>
      </c>
      <c r="AP122" s="45">
        <f>IF($A122="","",IFERROR(AVERAGE(AB122:AC122),""))</f>
        <v/>
      </c>
      <c r="AQ122" s="45">
        <f>IF($A122="","",IFERROR(AVERAGE(AD122),""))</f>
        <v/>
      </c>
      <c r="AR122" s="45">
        <f>IF($A122="","",IFERROR(AVERAGE(V122:AD122),""))</f>
        <v/>
      </c>
      <c r="AS122" s="36">
        <f>IF($A122="","",IF(AND(H122="",J122=""),"לא נבדק",IF(AND(OR(H122="",H122=I122),OR(J122="",J122=K122)),"תואם","לא תואם")))</f>
        <v/>
      </c>
      <c r="AT122" s="36">
        <f>IF($A122="","",IF(AND(AS122&lt;&gt;"לא תואם",G122&lt;&gt;"לא ברור"),"אמין","לפרש בזהירות"))</f>
        <v/>
      </c>
    </row>
    <row r="123">
      <c r="A123" s="38" t="n"/>
      <c r="B123" s="38" t="n"/>
      <c r="C123" s="38" t="n"/>
      <c r="D123" s="38" t="n"/>
      <c r="E123" s="38" t="n"/>
      <c r="F123" s="38" t="n"/>
      <c r="G123" s="38" t="n"/>
      <c r="H123" s="38" t="n"/>
      <c r="I123" s="38" t="n"/>
      <c r="J123" s="38" t="n"/>
      <c r="K123" s="38" t="n"/>
      <c r="L123" s="38" t="n"/>
      <c r="M123" s="38" t="n"/>
      <c r="N123" s="38" t="n"/>
      <c r="O123" s="38" t="n"/>
      <c r="P123" s="38" t="n"/>
      <c r="Q123" s="38" t="n"/>
      <c r="R123" s="38" t="n"/>
      <c r="S123" s="38" t="n"/>
      <c r="T123" s="38" t="n"/>
      <c r="U123" s="38" t="n"/>
      <c r="V123" s="38" t="n"/>
      <c r="W123" s="38" t="n"/>
      <c r="X123" s="38" t="n"/>
      <c r="Y123" s="38" t="n"/>
      <c r="Z123" s="38" t="n"/>
      <c r="AA123" s="38" t="n"/>
      <c r="AB123" s="38" t="n"/>
      <c r="AC123" s="38" t="n"/>
      <c r="AD123" s="38" t="n"/>
      <c r="AE123" s="38" t="n"/>
      <c r="AF123" s="36">
        <f>IF($A123="","",$A123&amp;"|"&amp;$C123)</f>
        <v/>
      </c>
      <c r="AG123" s="37">
        <f>IF($A123="","",IFERROR(COUNTIF(L123:M123,"כן")/(COUNTIF(L123:M123,"כן")+COUNTIF(L123:M123,"לא")),""))</f>
        <v/>
      </c>
      <c r="AH123" s="37">
        <f>IF($A123="","",IFERROR(COUNTIF(N123:O123,"כן")/(COUNTIF(N123:O123,"כן")+COUNTIF(N123:O123,"לא")),""))</f>
        <v/>
      </c>
      <c r="AI123" s="37">
        <f>IF($A123="","",IFERROR(COUNTIF(P123:Q123,"כן")/(COUNTIF(P123:Q123,"כן")+COUNTIF(P123:Q123,"לא")),""))</f>
        <v/>
      </c>
      <c r="AJ123" s="37">
        <f>IF($A123="","",IFERROR(COUNTIF(R123:S123,"כן")/(COUNTIF(R123:S123,"כן")+COUNTIF(R123:S123,"לא")),""))</f>
        <v/>
      </c>
      <c r="AK123" s="37">
        <f>IF($A123="","",IFERROR(COUNTIF(T123:U123,"כן")/(COUNTIF(T123:U123,"כן")+COUNTIF(T123:U123,"לא")),""))</f>
        <v/>
      </c>
      <c r="AL123" s="37">
        <f>IF($A123="","",IFERROR(COUNTIF(L123:U123,"כן")/(COUNTIF(L123:U123,"כן")+COUNTIF(L123:U123,"לא")),""))</f>
        <v/>
      </c>
      <c r="AM123" s="45">
        <f>IF($A123="","",IFERROR(AVERAGE(V123:W123),""))</f>
        <v/>
      </c>
      <c r="AN123" s="45">
        <f>IF($A123="","",IFERROR(AVERAGE(X123:Y123),""))</f>
        <v/>
      </c>
      <c r="AO123" s="45">
        <f>IF($A123="","",IFERROR(AVERAGE(Z123:AA123),""))</f>
        <v/>
      </c>
      <c r="AP123" s="45">
        <f>IF($A123="","",IFERROR(AVERAGE(AB123:AC123),""))</f>
        <v/>
      </c>
      <c r="AQ123" s="45">
        <f>IF($A123="","",IFERROR(AVERAGE(AD123),""))</f>
        <v/>
      </c>
      <c r="AR123" s="45">
        <f>IF($A123="","",IFERROR(AVERAGE(V123:AD123),""))</f>
        <v/>
      </c>
      <c r="AS123" s="36">
        <f>IF($A123="","",IF(AND(H123="",J123=""),"לא נבדק",IF(AND(OR(H123="",H123=I123),OR(J123="",J123=K123)),"תואם","לא תואם")))</f>
        <v/>
      </c>
      <c r="AT123" s="36">
        <f>IF($A123="","",IF(AND(AS123&lt;&gt;"לא תואם",G123&lt;&gt;"לא ברור"),"אמין","לפרש בזהירות"))</f>
        <v/>
      </c>
    </row>
    <row r="124">
      <c r="A124" s="38" t="n"/>
      <c r="B124" s="38" t="n"/>
      <c r="C124" s="38" t="n"/>
      <c r="D124" s="38" t="n"/>
      <c r="E124" s="38" t="n"/>
      <c r="F124" s="38" t="n"/>
      <c r="G124" s="38" t="n"/>
      <c r="H124" s="38" t="n"/>
      <c r="I124" s="38" t="n"/>
      <c r="J124" s="38" t="n"/>
      <c r="K124" s="38" t="n"/>
      <c r="L124" s="38" t="n"/>
      <c r="M124" s="38" t="n"/>
      <c r="N124" s="38" t="n"/>
      <c r="O124" s="38" t="n"/>
      <c r="P124" s="38" t="n"/>
      <c r="Q124" s="38" t="n"/>
      <c r="R124" s="38" t="n"/>
      <c r="S124" s="38" t="n"/>
      <c r="T124" s="38" t="n"/>
      <c r="U124" s="38" t="n"/>
      <c r="V124" s="38" t="n"/>
      <c r="W124" s="38" t="n"/>
      <c r="X124" s="38" t="n"/>
      <c r="Y124" s="38" t="n"/>
      <c r="Z124" s="38" t="n"/>
      <c r="AA124" s="38" t="n"/>
      <c r="AB124" s="38" t="n"/>
      <c r="AC124" s="38" t="n"/>
      <c r="AD124" s="38" t="n"/>
      <c r="AE124" s="38" t="n"/>
      <c r="AF124" s="36">
        <f>IF($A124="","",$A124&amp;"|"&amp;$C124)</f>
        <v/>
      </c>
      <c r="AG124" s="37">
        <f>IF($A124="","",IFERROR(COUNTIF(L124:M124,"כן")/(COUNTIF(L124:M124,"כן")+COUNTIF(L124:M124,"לא")),""))</f>
        <v/>
      </c>
      <c r="AH124" s="37">
        <f>IF($A124="","",IFERROR(COUNTIF(N124:O124,"כן")/(COUNTIF(N124:O124,"כן")+COUNTIF(N124:O124,"לא")),""))</f>
        <v/>
      </c>
      <c r="AI124" s="37">
        <f>IF($A124="","",IFERROR(COUNTIF(P124:Q124,"כן")/(COUNTIF(P124:Q124,"כן")+COUNTIF(P124:Q124,"לא")),""))</f>
        <v/>
      </c>
      <c r="AJ124" s="37">
        <f>IF($A124="","",IFERROR(COUNTIF(R124:S124,"כן")/(COUNTIF(R124:S124,"כן")+COUNTIF(R124:S124,"לא")),""))</f>
        <v/>
      </c>
      <c r="AK124" s="37">
        <f>IF($A124="","",IFERROR(COUNTIF(T124:U124,"כן")/(COUNTIF(T124:U124,"כן")+COUNTIF(T124:U124,"לא")),""))</f>
        <v/>
      </c>
      <c r="AL124" s="37">
        <f>IF($A124="","",IFERROR(COUNTIF(L124:U124,"כן")/(COUNTIF(L124:U124,"כן")+COUNTIF(L124:U124,"לא")),""))</f>
        <v/>
      </c>
      <c r="AM124" s="45">
        <f>IF($A124="","",IFERROR(AVERAGE(V124:W124),""))</f>
        <v/>
      </c>
      <c r="AN124" s="45">
        <f>IF($A124="","",IFERROR(AVERAGE(X124:Y124),""))</f>
        <v/>
      </c>
      <c r="AO124" s="45">
        <f>IF($A124="","",IFERROR(AVERAGE(Z124:AA124),""))</f>
        <v/>
      </c>
      <c r="AP124" s="45">
        <f>IF($A124="","",IFERROR(AVERAGE(AB124:AC124),""))</f>
        <v/>
      </c>
      <c r="AQ124" s="45">
        <f>IF($A124="","",IFERROR(AVERAGE(AD124),""))</f>
        <v/>
      </c>
      <c r="AR124" s="45">
        <f>IF($A124="","",IFERROR(AVERAGE(V124:AD124),""))</f>
        <v/>
      </c>
      <c r="AS124" s="36">
        <f>IF($A124="","",IF(AND(H124="",J124=""),"לא נבדק",IF(AND(OR(H124="",H124=I124),OR(J124="",J124=K124)),"תואם","לא תואם")))</f>
        <v/>
      </c>
      <c r="AT124" s="36">
        <f>IF($A124="","",IF(AND(AS124&lt;&gt;"לא תואם",G124&lt;&gt;"לא ברור"),"אמין","לפרש בזהירות"))</f>
        <v/>
      </c>
    </row>
    <row r="125">
      <c r="A125" s="38" t="n"/>
      <c r="B125" s="38" t="n"/>
      <c r="C125" s="38" t="n"/>
      <c r="D125" s="38" t="n"/>
      <c r="E125" s="38" t="n"/>
      <c r="F125" s="38" t="n"/>
      <c r="G125" s="38" t="n"/>
      <c r="H125" s="38" t="n"/>
      <c r="I125" s="38" t="n"/>
      <c r="J125" s="38" t="n"/>
      <c r="K125" s="38" t="n"/>
      <c r="L125" s="38" t="n"/>
      <c r="M125" s="38" t="n"/>
      <c r="N125" s="38" t="n"/>
      <c r="O125" s="38" t="n"/>
      <c r="P125" s="38" t="n"/>
      <c r="Q125" s="38" t="n"/>
      <c r="R125" s="38" t="n"/>
      <c r="S125" s="38" t="n"/>
      <c r="T125" s="38" t="n"/>
      <c r="U125" s="38" t="n"/>
      <c r="V125" s="38" t="n"/>
      <c r="W125" s="38" t="n"/>
      <c r="X125" s="38" t="n"/>
      <c r="Y125" s="38" t="n"/>
      <c r="Z125" s="38" t="n"/>
      <c r="AA125" s="38" t="n"/>
      <c r="AB125" s="38" t="n"/>
      <c r="AC125" s="38" t="n"/>
      <c r="AD125" s="38" t="n"/>
      <c r="AE125" s="38" t="n"/>
      <c r="AF125" s="36">
        <f>IF($A125="","",$A125&amp;"|"&amp;$C125)</f>
        <v/>
      </c>
      <c r="AG125" s="37">
        <f>IF($A125="","",IFERROR(COUNTIF(L125:M125,"כן")/(COUNTIF(L125:M125,"כן")+COUNTIF(L125:M125,"לא")),""))</f>
        <v/>
      </c>
      <c r="AH125" s="37">
        <f>IF($A125="","",IFERROR(COUNTIF(N125:O125,"כן")/(COUNTIF(N125:O125,"כן")+COUNTIF(N125:O125,"לא")),""))</f>
        <v/>
      </c>
      <c r="AI125" s="37">
        <f>IF($A125="","",IFERROR(COUNTIF(P125:Q125,"כן")/(COUNTIF(P125:Q125,"כן")+COUNTIF(P125:Q125,"לא")),""))</f>
        <v/>
      </c>
      <c r="AJ125" s="37">
        <f>IF($A125="","",IFERROR(COUNTIF(R125:S125,"כן")/(COUNTIF(R125:S125,"כן")+COUNTIF(R125:S125,"לא")),""))</f>
        <v/>
      </c>
      <c r="AK125" s="37">
        <f>IF($A125="","",IFERROR(COUNTIF(T125:U125,"כן")/(COUNTIF(T125:U125,"כן")+COUNTIF(T125:U125,"לא")),""))</f>
        <v/>
      </c>
      <c r="AL125" s="37">
        <f>IF($A125="","",IFERROR(COUNTIF(L125:U125,"כן")/(COUNTIF(L125:U125,"כן")+COUNTIF(L125:U125,"לא")),""))</f>
        <v/>
      </c>
      <c r="AM125" s="45">
        <f>IF($A125="","",IFERROR(AVERAGE(V125:W125),""))</f>
        <v/>
      </c>
      <c r="AN125" s="45">
        <f>IF($A125="","",IFERROR(AVERAGE(X125:Y125),""))</f>
        <v/>
      </c>
      <c r="AO125" s="45">
        <f>IF($A125="","",IFERROR(AVERAGE(Z125:AA125),""))</f>
        <v/>
      </c>
      <c r="AP125" s="45">
        <f>IF($A125="","",IFERROR(AVERAGE(AB125:AC125),""))</f>
        <v/>
      </c>
      <c r="AQ125" s="45">
        <f>IF($A125="","",IFERROR(AVERAGE(AD125),""))</f>
        <v/>
      </c>
      <c r="AR125" s="45">
        <f>IF($A125="","",IFERROR(AVERAGE(V125:AD125),""))</f>
        <v/>
      </c>
      <c r="AS125" s="36">
        <f>IF($A125="","",IF(AND(H125="",J125=""),"לא נבדק",IF(AND(OR(H125="",H125=I125),OR(J125="",J125=K125)),"תואם","לא תואם")))</f>
        <v/>
      </c>
      <c r="AT125" s="36">
        <f>IF($A125="","",IF(AND(AS125&lt;&gt;"לא תואם",G125&lt;&gt;"לא ברור"),"אמין","לפרש בזהירות"))</f>
        <v/>
      </c>
    </row>
    <row r="126">
      <c r="A126" s="38" t="n"/>
      <c r="B126" s="38" t="n"/>
      <c r="C126" s="38" t="n"/>
      <c r="D126" s="38" t="n"/>
      <c r="E126" s="38" t="n"/>
      <c r="F126" s="38" t="n"/>
      <c r="G126" s="38" t="n"/>
      <c r="H126" s="38" t="n"/>
      <c r="I126" s="38" t="n"/>
      <c r="J126" s="38" t="n"/>
      <c r="K126" s="38" t="n"/>
      <c r="L126" s="38" t="n"/>
      <c r="M126" s="38" t="n"/>
      <c r="N126" s="38" t="n"/>
      <c r="O126" s="38" t="n"/>
      <c r="P126" s="38" t="n"/>
      <c r="Q126" s="38" t="n"/>
      <c r="R126" s="38" t="n"/>
      <c r="S126" s="38" t="n"/>
      <c r="T126" s="38" t="n"/>
      <c r="U126" s="38" t="n"/>
      <c r="V126" s="38" t="n"/>
      <c r="W126" s="38" t="n"/>
      <c r="X126" s="38" t="n"/>
      <c r="Y126" s="38" t="n"/>
      <c r="Z126" s="38" t="n"/>
      <c r="AA126" s="38" t="n"/>
      <c r="AB126" s="38" t="n"/>
      <c r="AC126" s="38" t="n"/>
      <c r="AD126" s="38" t="n"/>
      <c r="AE126" s="38" t="n"/>
      <c r="AF126" s="36">
        <f>IF($A126="","",$A126&amp;"|"&amp;$C126)</f>
        <v/>
      </c>
      <c r="AG126" s="37">
        <f>IF($A126="","",IFERROR(COUNTIF(L126:M126,"כן")/(COUNTIF(L126:M126,"כן")+COUNTIF(L126:M126,"לא")),""))</f>
        <v/>
      </c>
      <c r="AH126" s="37">
        <f>IF($A126="","",IFERROR(COUNTIF(N126:O126,"כן")/(COUNTIF(N126:O126,"כן")+COUNTIF(N126:O126,"לא")),""))</f>
        <v/>
      </c>
      <c r="AI126" s="37">
        <f>IF($A126="","",IFERROR(COUNTIF(P126:Q126,"כן")/(COUNTIF(P126:Q126,"כן")+COUNTIF(P126:Q126,"לא")),""))</f>
        <v/>
      </c>
      <c r="AJ126" s="37">
        <f>IF($A126="","",IFERROR(COUNTIF(R126:S126,"כן")/(COUNTIF(R126:S126,"כן")+COUNTIF(R126:S126,"לא")),""))</f>
        <v/>
      </c>
      <c r="AK126" s="37">
        <f>IF($A126="","",IFERROR(COUNTIF(T126:U126,"כן")/(COUNTIF(T126:U126,"כן")+COUNTIF(T126:U126,"לא")),""))</f>
        <v/>
      </c>
      <c r="AL126" s="37">
        <f>IF($A126="","",IFERROR(COUNTIF(L126:U126,"כן")/(COUNTIF(L126:U126,"כן")+COUNTIF(L126:U126,"לא")),""))</f>
        <v/>
      </c>
      <c r="AM126" s="45">
        <f>IF($A126="","",IFERROR(AVERAGE(V126:W126),""))</f>
        <v/>
      </c>
      <c r="AN126" s="45">
        <f>IF($A126="","",IFERROR(AVERAGE(X126:Y126),""))</f>
        <v/>
      </c>
      <c r="AO126" s="45">
        <f>IF($A126="","",IFERROR(AVERAGE(Z126:AA126),""))</f>
        <v/>
      </c>
      <c r="AP126" s="45">
        <f>IF($A126="","",IFERROR(AVERAGE(AB126:AC126),""))</f>
        <v/>
      </c>
      <c r="AQ126" s="45">
        <f>IF($A126="","",IFERROR(AVERAGE(AD126),""))</f>
        <v/>
      </c>
      <c r="AR126" s="45">
        <f>IF($A126="","",IFERROR(AVERAGE(V126:AD126),""))</f>
        <v/>
      </c>
      <c r="AS126" s="36">
        <f>IF($A126="","",IF(AND(H126="",J126=""),"לא נבדק",IF(AND(OR(H126="",H126=I126),OR(J126="",J126=K126)),"תואם","לא תואם")))</f>
        <v/>
      </c>
      <c r="AT126" s="36">
        <f>IF($A126="","",IF(AND(AS126&lt;&gt;"לא תואם",G126&lt;&gt;"לא ברור"),"אמין","לפרש בזהירות"))</f>
        <v/>
      </c>
    </row>
    <row r="127">
      <c r="A127" s="38" t="n"/>
      <c r="B127" s="38" t="n"/>
      <c r="C127" s="38" t="n"/>
      <c r="D127" s="38" t="n"/>
      <c r="E127" s="38" t="n"/>
      <c r="F127" s="38" t="n"/>
      <c r="G127" s="38" t="n"/>
      <c r="H127" s="38" t="n"/>
      <c r="I127" s="38" t="n"/>
      <c r="J127" s="38" t="n"/>
      <c r="K127" s="38" t="n"/>
      <c r="L127" s="38" t="n"/>
      <c r="M127" s="38" t="n"/>
      <c r="N127" s="38" t="n"/>
      <c r="O127" s="38" t="n"/>
      <c r="P127" s="38" t="n"/>
      <c r="Q127" s="38" t="n"/>
      <c r="R127" s="38" t="n"/>
      <c r="S127" s="38" t="n"/>
      <c r="T127" s="38" t="n"/>
      <c r="U127" s="38" t="n"/>
      <c r="V127" s="38" t="n"/>
      <c r="W127" s="38" t="n"/>
      <c r="X127" s="38" t="n"/>
      <c r="Y127" s="38" t="n"/>
      <c r="Z127" s="38" t="n"/>
      <c r="AA127" s="38" t="n"/>
      <c r="AB127" s="38" t="n"/>
      <c r="AC127" s="38" t="n"/>
      <c r="AD127" s="38" t="n"/>
      <c r="AE127" s="38" t="n"/>
      <c r="AF127" s="36">
        <f>IF($A127="","",$A127&amp;"|"&amp;$C127)</f>
        <v/>
      </c>
      <c r="AG127" s="37">
        <f>IF($A127="","",IFERROR(COUNTIF(L127:M127,"כן")/(COUNTIF(L127:M127,"כן")+COUNTIF(L127:M127,"לא")),""))</f>
        <v/>
      </c>
      <c r="AH127" s="37">
        <f>IF($A127="","",IFERROR(COUNTIF(N127:O127,"כן")/(COUNTIF(N127:O127,"כן")+COUNTIF(N127:O127,"לא")),""))</f>
        <v/>
      </c>
      <c r="AI127" s="37">
        <f>IF($A127="","",IFERROR(COUNTIF(P127:Q127,"כן")/(COUNTIF(P127:Q127,"כן")+COUNTIF(P127:Q127,"לא")),""))</f>
        <v/>
      </c>
      <c r="AJ127" s="37">
        <f>IF($A127="","",IFERROR(COUNTIF(R127:S127,"כן")/(COUNTIF(R127:S127,"כן")+COUNTIF(R127:S127,"לא")),""))</f>
        <v/>
      </c>
      <c r="AK127" s="37">
        <f>IF($A127="","",IFERROR(COUNTIF(T127:U127,"כן")/(COUNTIF(T127:U127,"כן")+COUNTIF(T127:U127,"לא")),""))</f>
        <v/>
      </c>
      <c r="AL127" s="37">
        <f>IF($A127="","",IFERROR(COUNTIF(L127:U127,"כן")/(COUNTIF(L127:U127,"כן")+COUNTIF(L127:U127,"לא")),""))</f>
        <v/>
      </c>
      <c r="AM127" s="45">
        <f>IF($A127="","",IFERROR(AVERAGE(V127:W127),""))</f>
        <v/>
      </c>
      <c r="AN127" s="45">
        <f>IF($A127="","",IFERROR(AVERAGE(X127:Y127),""))</f>
        <v/>
      </c>
      <c r="AO127" s="45">
        <f>IF($A127="","",IFERROR(AVERAGE(Z127:AA127),""))</f>
        <v/>
      </c>
      <c r="AP127" s="45">
        <f>IF($A127="","",IFERROR(AVERAGE(AB127:AC127),""))</f>
        <v/>
      </c>
      <c r="AQ127" s="45">
        <f>IF($A127="","",IFERROR(AVERAGE(AD127),""))</f>
        <v/>
      </c>
      <c r="AR127" s="45">
        <f>IF($A127="","",IFERROR(AVERAGE(V127:AD127),""))</f>
        <v/>
      </c>
      <c r="AS127" s="36">
        <f>IF($A127="","",IF(AND(H127="",J127=""),"לא נבדק",IF(AND(OR(H127="",H127=I127),OR(J127="",J127=K127)),"תואם","לא תואם")))</f>
        <v/>
      </c>
      <c r="AT127" s="36">
        <f>IF($A127="","",IF(AND(AS127&lt;&gt;"לא תואם",G127&lt;&gt;"לא ברור"),"אמין","לפרש בזהירות"))</f>
        <v/>
      </c>
    </row>
    <row r="128">
      <c r="A128" s="38" t="n"/>
      <c r="B128" s="38" t="n"/>
      <c r="C128" s="38" t="n"/>
      <c r="D128" s="38" t="n"/>
      <c r="E128" s="38" t="n"/>
      <c r="F128" s="38" t="n"/>
      <c r="G128" s="38" t="n"/>
      <c r="H128" s="38" t="n"/>
      <c r="I128" s="38" t="n"/>
      <c r="J128" s="38" t="n"/>
      <c r="K128" s="38" t="n"/>
      <c r="L128" s="38" t="n"/>
      <c r="M128" s="38" t="n"/>
      <c r="N128" s="38" t="n"/>
      <c r="O128" s="38" t="n"/>
      <c r="P128" s="38" t="n"/>
      <c r="Q128" s="38" t="n"/>
      <c r="R128" s="38" t="n"/>
      <c r="S128" s="38" t="n"/>
      <c r="T128" s="38" t="n"/>
      <c r="U128" s="38" t="n"/>
      <c r="V128" s="38" t="n"/>
      <c r="W128" s="38" t="n"/>
      <c r="X128" s="38" t="n"/>
      <c r="Y128" s="38" t="n"/>
      <c r="Z128" s="38" t="n"/>
      <c r="AA128" s="38" t="n"/>
      <c r="AB128" s="38" t="n"/>
      <c r="AC128" s="38" t="n"/>
      <c r="AD128" s="38" t="n"/>
      <c r="AE128" s="38" t="n"/>
      <c r="AF128" s="36">
        <f>IF($A128="","",$A128&amp;"|"&amp;$C128)</f>
        <v/>
      </c>
      <c r="AG128" s="37">
        <f>IF($A128="","",IFERROR(COUNTIF(L128:M128,"כן")/(COUNTIF(L128:M128,"כן")+COUNTIF(L128:M128,"לא")),""))</f>
        <v/>
      </c>
      <c r="AH128" s="37">
        <f>IF($A128="","",IFERROR(COUNTIF(N128:O128,"כן")/(COUNTIF(N128:O128,"כן")+COUNTIF(N128:O128,"לא")),""))</f>
        <v/>
      </c>
      <c r="AI128" s="37">
        <f>IF($A128="","",IFERROR(COUNTIF(P128:Q128,"כן")/(COUNTIF(P128:Q128,"כן")+COUNTIF(P128:Q128,"לא")),""))</f>
        <v/>
      </c>
      <c r="AJ128" s="37">
        <f>IF($A128="","",IFERROR(COUNTIF(R128:S128,"כן")/(COUNTIF(R128:S128,"כן")+COUNTIF(R128:S128,"לא")),""))</f>
        <v/>
      </c>
      <c r="AK128" s="37">
        <f>IF($A128="","",IFERROR(COUNTIF(T128:U128,"כן")/(COUNTIF(T128:U128,"כן")+COUNTIF(T128:U128,"לא")),""))</f>
        <v/>
      </c>
      <c r="AL128" s="37">
        <f>IF($A128="","",IFERROR(COUNTIF(L128:U128,"כן")/(COUNTIF(L128:U128,"כן")+COUNTIF(L128:U128,"לא")),""))</f>
        <v/>
      </c>
      <c r="AM128" s="45">
        <f>IF($A128="","",IFERROR(AVERAGE(V128:W128),""))</f>
        <v/>
      </c>
      <c r="AN128" s="45">
        <f>IF($A128="","",IFERROR(AVERAGE(X128:Y128),""))</f>
        <v/>
      </c>
      <c r="AO128" s="45">
        <f>IF($A128="","",IFERROR(AVERAGE(Z128:AA128),""))</f>
        <v/>
      </c>
      <c r="AP128" s="45">
        <f>IF($A128="","",IFERROR(AVERAGE(AB128:AC128),""))</f>
        <v/>
      </c>
      <c r="AQ128" s="45">
        <f>IF($A128="","",IFERROR(AVERAGE(AD128),""))</f>
        <v/>
      </c>
      <c r="AR128" s="45">
        <f>IF($A128="","",IFERROR(AVERAGE(V128:AD128),""))</f>
        <v/>
      </c>
      <c r="AS128" s="36">
        <f>IF($A128="","",IF(AND(H128="",J128=""),"לא נבדק",IF(AND(OR(H128="",H128=I128),OR(J128="",J128=K128)),"תואם","לא תואם")))</f>
        <v/>
      </c>
      <c r="AT128" s="36">
        <f>IF($A128="","",IF(AND(AS128&lt;&gt;"לא תואם",G128&lt;&gt;"לא ברור"),"אמין","לפרש בזהירות"))</f>
        <v/>
      </c>
    </row>
    <row r="129">
      <c r="A129" s="38" t="n"/>
      <c r="B129" s="38" t="n"/>
      <c r="C129" s="38" t="n"/>
      <c r="D129" s="38" t="n"/>
      <c r="E129" s="38" t="n"/>
      <c r="F129" s="38" t="n"/>
      <c r="G129" s="38" t="n"/>
      <c r="H129" s="38" t="n"/>
      <c r="I129" s="38" t="n"/>
      <c r="J129" s="38" t="n"/>
      <c r="K129" s="38" t="n"/>
      <c r="L129" s="38" t="n"/>
      <c r="M129" s="38" t="n"/>
      <c r="N129" s="38" t="n"/>
      <c r="O129" s="38" t="n"/>
      <c r="P129" s="38" t="n"/>
      <c r="Q129" s="38" t="n"/>
      <c r="R129" s="38" t="n"/>
      <c r="S129" s="38" t="n"/>
      <c r="T129" s="38" t="n"/>
      <c r="U129" s="38" t="n"/>
      <c r="V129" s="38" t="n"/>
      <c r="W129" s="38" t="n"/>
      <c r="X129" s="38" t="n"/>
      <c r="Y129" s="38" t="n"/>
      <c r="Z129" s="38" t="n"/>
      <c r="AA129" s="38" t="n"/>
      <c r="AB129" s="38" t="n"/>
      <c r="AC129" s="38" t="n"/>
      <c r="AD129" s="38" t="n"/>
      <c r="AE129" s="38" t="n"/>
      <c r="AF129" s="36">
        <f>IF($A129="","",$A129&amp;"|"&amp;$C129)</f>
        <v/>
      </c>
      <c r="AG129" s="37">
        <f>IF($A129="","",IFERROR(COUNTIF(L129:M129,"כן")/(COUNTIF(L129:M129,"כן")+COUNTIF(L129:M129,"לא")),""))</f>
        <v/>
      </c>
      <c r="AH129" s="37">
        <f>IF($A129="","",IFERROR(COUNTIF(N129:O129,"כן")/(COUNTIF(N129:O129,"כן")+COUNTIF(N129:O129,"לא")),""))</f>
        <v/>
      </c>
      <c r="AI129" s="37">
        <f>IF($A129="","",IFERROR(COUNTIF(P129:Q129,"כן")/(COUNTIF(P129:Q129,"כן")+COUNTIF(P129:Q129,"לא")),""))</f>
        <v/>
      </c>
      <c r="AJ129" s="37">
        <f>IF($A129="","",IFERROR(COUNTIF(R129:S129,"כן")/(COUNTIF(R129:S129,"כן")+COUNTIF(R129:S129,"לא")),""))</f>
        <v/>
      </c>
      <c r="AK129" s="37">
        <f>IF($A129="","",IFERROR(COUNTIF(T129:U129,"כן")/(COUNTIF(T129:U129,"כן")+COUNTIF(T129:U129,"לא")),""))</f>
        <v/>
      </c>
      <c r="AL129" s="37">
        <f>IF($A129="","",IFERROR(COUNTIF(L129:U129,"כן")/(COUNTIF(L129:U129,"כן")+COUNTIF(L129:U129,"לא")),""))</f>
        <v/>
      </c>
      <c r="AM129" s="45">
        <f>IF($A129="","",IFERROR(AVERAGE(V129:W129),""))</f>
        <v/>
      </c>
      <c r="AN129" s="45">
        <f>IF($A129="","",IFERROR(AVERAGE(X129:Y129),""))</f>
        <v/>
      </c>
      <c r="AO129" s="45">
        <f>IF($A129="","",IFERROR(AVERAGE(Z129:AA129),""))</f>
        <v/>
      </c>
      <c r="AP129" s="45">
        <f>IF($A129="","",IFERROR(AVERAGE(AB129:AC129),""))</f>
        <v/>
      </c>
      <c r="AQ129" s="45">
        <f>IF($A129="","",IFERROR(AVERAGE(AD129),""))</f>
        <v/>
      </c>
      <c r="AR129" s="45">
        <f>IF($A129="","",IFERROR(AVERAGE(V129:AD129),""))</f>
        <v/>
      </c>
      <c r="AS129" s="36">
        <f>IF($A129="","",IF(AND(H129="",J129=""),"לא נבדק",IF(AND(OR(H129="",H129=I129),OR(J129="",J129=K129)),"תואם","לא תואם")))</f>
        <v/>
      </c>
      <c r="AT129" s="36">
        <f>IF($A129="","",IF(AND(AS129&lt;&gt;"לא תואם",G129&lt;&gt;"לא ברור"),"אמין","לפרש בזהירות"))</f>
        <v/>
      </c>
    </row>
    <row r="130">
      <c r="A130" s="38" t="n"/>
      <c r="B130" s="38" t="n"/>
      <c r="C130" s="38" t="n"/>
      <c r="D130" s="38" t="n"/>
      <c r="E130" s="38" t="n"/>
      <c r="F130" s="38" t="n"/>
      <c r="G130" s="38" t="n"/>
      <c r="H130" s="38" t="n"/>
      <c r="I130" s="38" t="n"/>
      <c r="J130" s="38" t="n"/>
      <c r="K130" s="38" t="n"/>
      <c r="L130" s="38" t="n"/>
      <c r="M130" s="38" t="n"/>
      <c r="N130" s="38" t="n"/>
      <c r="O130" s="38" t="n"/>
      <c r="P130" s="38" t="n"/>
      <c r="Q130" s="38" t="n"/>
      <c r="R130" s="38" t="n"/>
      <c r="S130" s="38" t="n"/>
      <c r="T130" s="38" t="n"/>
      <c r="U130" s="38" t="n"/>
      <c r="V130" s="38" t="n"/>
      <c r="W130" s="38" t="n"/>
      <c r="X130" s="38" t="n"/>
      <c r="Y130" s="38" t="n"/>
      <c r="Z130" s="38" t="n"/>
      <c r="AA130" s="38" t="n"/>
      <c r="AB130" s="38" t="n"/>
      <c r="AC130" s="38" t="n"/>
      <c r="AD130" s="38" t="n"/>
      <c r="AE130" s="38" t="n"/>
      <c r="AF130" s="36">
        <f>IF($A130="","",$A130&amp;"|"&amp;$C130)</f>
        <v/>
      </c>
      <c r="AG130" s="37">
        <f>IF($A130="","",IFERROR(COUNTIF(L130:M130,"כן")/(COUNTIF(L130:M130,"כן")+COUNTIF(L130:M130,"לא")),""))</f>
        <v/>
      </c>
      <c r="AH130" s="37">
        <f>IF($A130="","",IFERROR(COUNTIF(N130:O130,"כן")/(COUNTIF(N130:O130,"כן")+COUNTIF(N130:O130,"לא")),""))</f>
        <v/>
      </c>
      <c r="AI130" s="37">
        <f>IF($A130="","",IFERROR(COUNTIF(P130:Q130,"כן")/(COUNTIF(P130:Q130,"כן")+COUNTIF(P130:Q130,"לא")),""))</f>
        <v/>
      </c>
      <c r="AJ130" s="37">
        <f>IF($A130="","",IFERROR(COUNTIF(R130:S130,"כן")/(COUNTIF(R130:S130,"כן")+COUNTIF(R130:S130,"לא")),""))</f>
        <v/>
      </c>
      <c r="AK130" s="37">
        <f>IF($A130="","",IFERROR(COUNTIF(T130:U130,"כן")/(COUNTIF(T130:U130,"כן")+COUNTIF(T130:U130,"לא")),""))</f>
        <v/>
      </c>
      <c r="AL130" s="37">
        <f>IF($A130="","",IFERROR(COUNTIF(L130:U130,"כן")/(COUNTIF(L130:U130,"כן")+COUNTIF(L130:U130,"לא")),""))</f>
        <v/>
      </c>
      <c r="AM130" s="45">
        <f>IF($A130="","",IFERROR(AVERAGE(V130:W130),""))</f>
        <v/>
      </c>
      <c r="AN130" s="45">
        <f>IF($A130="","",IFERROR(AVERAGE(X130:Y130),""))</f>
        <v/>
      </c>
      <c r="AO130" s="45">
        <f>IF($A130="","",IFERROR(AVERAGE(Z130:AA130),""))</f>
        <v/>
      </c>
      <c r="AP130" s="45">
        <f>IF($A130="","",IFERROR(AVERAGE(AB130:AC130),""))</f>
        <v/>
      </c>
      <c r="AQ130" s="45">
        <f>IF($A130="","",IFERROR(AVERAGE(AD130),""))</f>
        <v/>
      </c>
      <c r="AR130" s="45">
        <f>IF($A130="","",IFERROR(AVERAGE(V130:AD130),""))</f>
        <v/>
      </c>
      <c r="AS130" s="36">
        <f>IF($A130="","",IF(AND(H130="",J130=""),"לא נבדק",IF(AND(OR(H130="",H130=I130),OR(J130="",J130=K130)),"תואם","לא תואם")))</f>
        <v/>
      </c>
      <c r="AT130" s="36">
        <f>IF($A130="","",IF(AND(AS130&lt;&gt;"לא תואם",G130&lt;&gt;"לא ברור"),"אמין","לפרש בזהירות"))</f>
        <v/>
      </c>
    </row>
    <row r="131">
      <c r="A131" s="38" t="n"/>
      <c r="B131" s="38" t="n"/>
      <c r="C131" s="38" t="n"/>
      <c r="D131" s="38" t="n"/>
      <c r="E131" s="38" t="n"/>
      <c r="F131" s="38" t="n"/>
      <c r="G131" s="38" t="n"/>
      <c r="H131" s="38" t="n"/>
      <c r="I131" s="38" t="n"/>
      <c r="J131" s="38" t="n"/>
      <c r="K131" s="38" t="n"/>
      <c r="L131" s="38" t="n"/>
      <c r="M131" s="38" t="n"/>
      <c r="N131" s="38" t="n"/>
      <c r="O131" s="38" t="n"/>
      <c r="P131" s="38" t="n"/>
      <c r="Q131" s="38" t="n"/>
      <c r="R131" s="38" t="n"/>
      <c r="S131" s="38" t="n"/>
      <c r="T131" s="38" t="n"/>
      <c r="U131" s="38" t="n"/>
      <c r="V131" s="38" t="n"/>
      <c r="W131" s="38" t="n"/>
      <c r="X131" s="38" t="n"/>
      <c r="Y131" s="38" t="n"/>
      <c r="Z131" s="38" t="n"/>
      <c r="AA131" s="38" t="n"/>
      <c r="AB131" s="38" t="n"/>
      <c r="AC131" s="38" t="n"/>
      <c r="AD131" s="38" t="n"/>
      <c r="AE131" s="38" t="n"/>
      <c r="AF131" s="36">
        <f>IF($A131="","",$A131&amp;"|"&amp;$C131)</f>
        <v/>
      </c>
      <c r="AG131" s="37">
        <f>IF($A131="","",IFERROR(COUNTIF(L131:M131,"כן")/(COUNTIF(L131:M131,"כן")+COUNTIF(L131:M131,"לא")),""))</f>
        <v/>
      </c>
      <c r="AH131" s="37">
        <f>IF($A131="","",IFERROR(COUNTIF(N131:O131,"כן")/(COUNTIF(N131:O131,"כן")+COUNTIF(N131:O131,"לא")),""))</f>
        <v/>
      </c>
      <c r="AI131" s="37">
        <f>IF($A131="","",IFERROR(COUNTIF(P131:Q131,"כן")/(COUNTIF(P131:Q131,"כן")+COUNTIF(P131:Q131,"לא")),""))</f>
        <v/>
      </c>
      <c r="AJ131" s="37">
        <f>IF($A131="","",IFERROR(COUNTIF(R131:S131,"כן")/(COUNTIF(R131:S131,"כן")+COUNTIF(R131:S131,"לא")),""))</f>
        <v/>
      </c>
      <c r="AK131" s="37">
        <f>IF($A131="","",IFERROR(COUNTIF(T131:U131,"כן")/(COUNTIF(T131:U131,"כן")+COUNTIF(T131:U131,"לא")),""))</f>
        <v/>
      </c>
      <c r="AL131" s="37">
        <f>IF($A131="","",IFERROR(COUNTIF(L131:U131,"כן")/(COUNTIF(L131:U131,"כן")+COUNTIF(L131:U131,"לא")),""))</f>
        <v/>
      </c>
      <c r="AM131" s="45">
        <f>IF($A131="","",IFERROR(AVERAGE(V131:W131),""))</f>
        <v/>
      </c>
      <c r="AN131" s="45">
        <f>IF($A131="","",IFERROR(AVERAGE(X131:Y131),""))</f>
        <v/>
      </c>
      <c r="AO131" s="45">
        <f>IF($A131="","",IFERROR(AVERAGE(Z131:AA131),""))</f>
        <v/>
      </c>
      <c r="AP131" s="45">
        <f>IF($A131="","",IFERROR(AVERAGE(AB131:AC131),""))</f>
        <v/>
      </c>
      <c r="AQ131" s="45">
        <f>IF($A131="","",IFERROR(AVERAGE(AD131),""))</f>
        <v/>
      </c>
      <c r="AR131" s="45">
        <f>IF($A131="","",IFERROR(AVERAGE(V131:AD131),""))</f>
        <v/>
      </c>
      <c r="AS131" s="36">
        <f>IF($A131="","",IF(AND(H131="",J131=""),"לא נבדק",IF(AND(OR(H131="",H131=I131),OR(J131="",J131=K131)),"תואם","לא תואם")))</f>
        <v/>
      </c>
      <c r="AT131" s="36">
        <f>IF($A131="","",IF(AND(AS131&lt;&gt;"לא תואם",G131&lt;&gt;"לא ברור"),"אמין","לפרש בזהירות"))</f>
        <v/>
      </c>
    </row>
    <row r="132">
      <c r="A132" s="38" t="n"/>
      <c r="B132" s="38" t="n"/>
      <c r="C132" s="38" t="n"/>
      <c r="D132" s="38" t="n"/>
      <c r="E132" s="38" t="n"/>
      <c r="F132" s="38" t="n"/>
      <c r="G132" s="38" t="n"/>
      <c r="H132" s="38" t="n"/>
      <c r="I132" s="38" t="n"/>
      <c r="J132" s="38" t="n"/>
      <c r="K132" s="38" t="n"/>
      <c r="L132" s="38" t="n"/>
      <c r="M132" s="38" t="n"/>
      <c r="N132" s="38" t="n"/>
      <c r="O132" s="38" t="n"/>
      <c r="P132" s="38" t="n"/>
      <c r="Q132" s="38" t="n"/>
      <c r="R132" s="38" t="n"/>
      <c r="S132" s="38" t="n"/>
      <c r="T132" s="38" t="n"/>
      <c r="U132" s="38" t="n"/>
      <c r="V132" s="38" t="n"/>
      <c r="W132" s="38" t="n"/>
      <c r="X132" s="38" t="n"/>
      <c r="Y132" s="38" t="n"/>
      <c r="Z132" s="38" t="n"/>
      <c r="AA132" s="38" t="n"/>
      <c r="AB132" s="38" t="n"/>
      <c r="AC132" s="38" t="n"/>
      <c r="AD132" s="38" t="n"/>
      <c r="AE132" s="38" t="n"/>
      <c r="AF132" s="36">
        <f>IF($A132="","",$A132&amp;"|"&amp;$C132)</f>
        <v/>
      </c>
      <c r="AG132" s="37">
        <f>IF($A132="","",IFERROR(COUNTIF(L132:M132,"כן")/(COUNTIF(L132:M132,"כן")+COUNTIF(L132:M132,"לא")),""))</f>
        <v/>
      </c>
      <c r="AH132" s="37">
        <f>IF($A132="","",IFERROR(COUNTIF(N132:O132,"כן")/(COUNTIF(N132:O132,"כן")+COUNTIF(N132:O132,"לא")),""))</f>
        <v/>
      </c>
      <c r="AI132" s="37">
        <f>IF($A132="","",IFERROR(COUNTIF(P132:Q132,"כן")/(COUNTIF(P132:Q132,"כן")+COUNTIF(P132:Q132,"לא")),""))</f>
        <v/>
      </c>
      <c r="AJ132" s="37">
        <f>IF($A132="","",IFERROR(COUNTIF(R132:S132,"כן")/(COUNTIF(R132:S132,"כן")+COUNTIF(R132:S132,"לא")),""))</f>
        <v/>
      </c>
      <c r="AK132" s="37">
        <f>IF($A132="","",IFERROR(COUNTIF(T132:U132,"כן")/(COUNTIF(T132:U132,"כן")+COUNTIF(T132:U132,"לא")),""))</f>
        <v/>
      </c>
      <c r="AL132" s="37">
        <f>IF($A132="","",IFERROR(COUNTIF(L132:U132,"כן")/(COUNTIF(L132:U132,"כן")+COUNTIF(L132:U132,"לא")),""))</f>
        <v/>
      </c>
      <c r="AM132" s="45">
        <f>IF($A132="","",IFERROR(AVERAGE(V132:W132),""))</f>
        <v/>
      </c>
      <c r="AN132" s="45">
        <f>IF($A132="","",IFERROR(AVERAGE(X132:Y132),""))</f>
        <v/>
      </c>
      <c r="AO132" s="45">
        <f>IF($A132="","",IFERROR(AVERAGE(Z132:AA132),""))</f>
        <v/>
      </c>
      <c r="AP132" s="45">
        <f>IF($A132="","",IFERROR(AVERAGE(AB132:AC132),""))</f>
        <v/>
      </c>
      <c r="AQ132" s="45">
        <f>IF($A132="","",IFERROR(AVERAGE(AD132),""))</f>
        <v/>
      </c>
      <c r="AR132" s="45">
        <f>IF($A132="","",IFERROR(AVERAGE(V132:AD132),""))</f>
        <v/>
      </c>
      <c r="AS132" s="36">
        <f>IF($A132="","",IF(AND(H132="",J132=""),"לא נבדק",IF(AND(OR(H132="",H132=I132),OR(J132="",J132=K132)),"תואם","לא תואם")))</f>
        <v/>
      </c>
      <c r="AT132" s="36">
        <f>IF($A132="","",IF(AND(AS132&lt;&gt;"לא תואם",G132&lt;&gt;"לא ברור"),"אמין","לפרש בזהירות"))</f>
        <v/>
      </c>
    </row>
    <row r="133">
      <c r="A133" s="38" t="n"/>
      <c r="B133" s="38" t="n"/>
      <c r="C133" s="38" t="n"/>
      <c r="D133" s="38" t="n"/>
      <c r="E133" s="38" t="n"/>
      <c r="F133" s="38" t="n"/>
      <c r="G133" s="38" t="n"/>
      <c r="H133" s="38" t="n"/>
      <c r="I133" s="38" t="n"/>
      <c r="J133" s="38" t="n"/>
      <c r="K133" s="38" t="n"/>
      <c r="L133" s="38" t="n"/>
      <c r="M133" s="38" t="n"/>
      <c r="N133" s="38" t="n"/>
      <c r="O133" s="38" t="n"/>
      <c r="P133" s="38" t="n"/>
      <c r="Q133" s="38" t="n"/>
      <c r="R133" s="38" t="n"/>
      <c r="S133" s="38" t="n"/>
      <c r="T133" s="38" t="n"/>
      <c r="U133" s="38" t="n"/>
      <c r="V133" s="38" t="n"/>
      <c r="W133" s="38" t="n"/>
      <c r="X133" s="38" t="n"/>
      <c r="Y133" s="38" t="n"/>
      <c r="Z133" s="38" t="n"/>
      <c r="AA133" s="38" t="n"/>
      <c r="AB133" s="38" t="n"/>
      <c r="AC133" s="38" t="n"/>
      <c r="AD133" s="38" t="n"/>
      <c r="AE133" s="38" t="n"/>
      <c r="AF133" s="36">
        <f>IF($A133="","",$A133&amp;"|"&amp;$C133)</f>
        <v/>
      </c>
      <c r="AG133" s="37">
        <f>IF($A133="","",IFERROR(COUNTIF(L133:M133,"כן")/(COUNTIF(L133:M133,"כן")+COUNTIF(L133:M133,"לא")),""))</f>
        <v/>
      </c>
      <c r="AH133" s="37">
        <f>IF($A133="","",IFERROR(COUNTIF(N133:O133,"כן")/(COUNTIF(N133:O133,"כן")+COUNTIF(N133:O133,"לא")),""))</f>
        <v/>
      </c>
      <c r="AI133" s="37">
        <f>IF($A133="","",IFERROR(COUNTIF(P133:Q133,"כן")/(COUNTIF(P133:Q133,"כן")+COUNTIF(P133:Q133,"לא")),""))</f>
        <v/>
      </c>
      <c r="AJ133" s="37">
        <f>IF($A133="","",IFERROR(COUNTIF(R133:S133,"כן")/(COUNTIF(R133:S133,"כן")+COUNTIF(R133:S133,"לא")),""))</f>
        <v/>
      </c>
      <c r="AK133" s="37">
        <f>IF($A133="","",IFERROR(COUNTIF(T133:U133,"כן")/(COUNTIF(T133:U133,"כן")+COUNTIF(T133:U133,"לא")),""))</f>
        <v/>
      </c>
      <c r="AL133" s="37">
        <f>IF($A133="","",IFERROR(COUNTIF(L133:U133,"כן")/(COUNTIF(L133:U133,"כן")+COUNTIF(L133:U133,"לא")),""))</f>
        <v/>
      </c>
      <c r="AM133" s="45">
        <f>IF($A133="","",IFERROR(AVERAGE(V133:W133),""))</f>
        <v/>
      </c>
      <c r="AN133" s="45">
        <f>IF($A133="","",IFERROR(AVERAGE(X133:Y133),""))</f>
        <v/>
      </c>
      <c r="AO133" s="45">
        <f>IF($A133="","",IFERROR(AVERAGE(Z133:AA133),""))</f>
        <v/>
      </c>
      <c r="AP133" s="45">
        <f>IF($A133="","",IFERROR(AVERAGE(AB133:AC133),""))</f>
        <v/>
      </c>
      <c r="AQ133" s="45">
        <f>IF($A133="","",IFERROR(AVERAGE(AD133),""))</f>
        <v/>
      </c>
      <c r="AR133" s="45">
        <f>IF($A133="","",IFERROR(AVERAGE(V133:AD133),""))</f>
        <v/>
      </c>
      <c r="AS133" s="36">
        <f>IF($A133="","",IF(AND(H133="",J133=""),"לא נבדק",IF(AND(OR(H133="",H133=I133),OR(J133="",J133=K133)),"תואם","לא תואם")))</f>
        <v/>
      </c>
      <c r="AT133" s="36">
        <f>IF($A133="","",IF(AND(AS133&lt;&gt;"לא תואם",G133&lt;&gt;"לא ברור"),"אמין","לפרש בזהירות"))</f>
        <v/>
      </c>
    </row>
    <row r="134">
      <c r="A134" s="38" t="n"/>
      <c r="B134" s="38" t="n"/>
      <c r="C134" s="38" t="n"/>
      <c r="D134" s="38" t="n"/>
      <c r="E134" s="38" t="n"/>
      <c r="F134" s="38" t="n"/>
      <c r="G134" s="38" t="n"/>
      <c r="H134" s="38" t="n"/>
      <c r="I134" s="38" t="n"/>
      <c r="J134" s="38" t="n"/>
      <c r="K134" s="38" t="n"/>
      <c r="L134" s="38" t="n"/>
      <c r="M134" s="38" t="n"/>
      <c r="N134" s="38" t="n"/>
      <c r="O134" s="38" t="n"/>
      <c r="P134" s="38" t="n"/>
      <c r="Q134" s="38" t="n"/>
      <c r="R134" s="38" t="n"/>
      <c r="S134" s="38" t="n"/>
      <c r="T134" s="38" t="n"/>
      <c r="U134" s="38" t="n"/>
      <c r="V134" s="38" t="n"/>
      <c r="W134" s="38" t="n"/>
      <c r="X134" s="38" t="n"/>
      <c r="Y134" s="38" t="n"/>
      <c r="Z134" s="38" t="n"/>
      <c r="AA134" s="38" t="n"/>
      <c r="AB134" s="38" t="n"/>
      <c r="AC134" s="38" t="n"/>
      <c r="AD134" s="38" t="n"/>
      <c r="AE134" s="38" t="n"/>
      <c r="AF134" s="36">
        <f>IF($A134="","",$A134&amp;"|"&amp;$C134)</f>
        <v/>
      </c>
      <c r="AG134" s="37">
        <f>IF($A134="","",IFERROR(COUNTIF(L134:M134,"כן")/(COUNTIF(L134:M134,"כן")+COUNTIF(L134:M134,"לא")),""))</f>
        <v/>
      </c>
      <c r="AH134" s="37">
        <f>IF($A134="","",IFERROR(COUNTIF(N134:O134,"כן")/(COUNTIF(N134:O134,"כן")+COUNTIF(N134:O134,"לא")),""))</f>
        <v/>
      </c>
      <c r="AI134" s="37">
        <f>IF($A134="","",IFERROR(COUNTIF(P134:Q134,"כן")/(COUNTIF(P134:Q134,"כן")+COUNTIF(P134:Q134,"לא")),""))</f>
        <v/>
      </c>
      <c r="AJ134" s="37">
        <f>IF($A134="","",IFERROR(COUNTIF(R134:S134,"כן")/(COUNTIF(R134:S134,"כן")+COUNTIF(R134:S134,"לא")),""))</f>
        <v/>
      </c>
      <c r="AK134" s="37">
        <f>IF($A134="","",IFERROR(COUNTIF(T134:U134,"כן")/(COUNTIF(T134:U134,"כן")+COUNTIF(T134:U134,"לא")),""))</f>
        <v/>
      </c>
      <c r="AL134" s="37">
        <f>IF($A134="","",IFERROR(COUNTIF(L134:U134,"כן")/(COUNTIF(L134:U134,"כן")+COUNTIF(L134:U134,"לא")),""))</f>
        <v/>
      </c>
      <c r="AM134" s="45">
        <f>IF($A134="","",IFERROR(AVERAGE(V134:W134),""))</f>
        <v/>
      </c>
      <c r="AN134" s="45">
        <f>IF($A134="","",IFERROR(AVERAGE(X134:Y134),""))</f>
        <v/>
      </c>
      <c r="AO134" s="45">
        <f>IF($A134="","",IFERROR(AVERAGE(Z134:AA134),""))</f>
        <v/>
      </c>
      <c r="AP134" s="45">
        <f>IF($A134="","",IFERROR(AVERAGE(AB134:AC134),""))</f>
        <v/>
      </c>
      <c r="AQ134" s="45">
        <f>IF($A134="","",IFERROR(AVERAGE(AD134),""))</f>
        <v/>
      </c>
      <c r="AR134" s="45">
        <f>IF($A134="","",IFERROR(AVERAGE(V134:AD134),""))</f>
        <v/>
      </c>
      <c r="AS134" s="36">
        <f>IF($A134="","",IF(AND(H134="",J134=""),"לא נבדק",IF(AND(OR(H134="",H134=I134),OR(J134="",J134=K134)),"תואם","לא תואם")))</f>
        <v/>
      </c>
      <c r="AT134" s="36">
        <f>IF($A134="","",IF(AND(AS134&lt;&gt;"לא תואם",G134&lt;&gt;"לא ברור"),"אמין","לפרש בזהירות"))</f>
        <v/>
      </c>
    </row>
    <row r="135">
      <c r="A135" s="38" t="n"/>
      <c r="B135" s="38" t="n"/>
      <c r="C135" s="38" t="n"/>
      <c r="D135" s="38" t="n"/>
      <c r="E135" s="38" t="n"/>
      <c r="F135" s="38" t="n"/>
      <c r="G135" s="38" t="n"/>
      <c r="H135" s="38" t="n"/>
      <c r="I135" s="38" t="n"/>
      <c r="J135" s="38" t="n"/>
      <c r="K135" s="38" t="n"/>
      <c r="L135" s="38" t="n"/>
      <c r="M135" s="38" t="n"/>
      <c r="N135" s="38" t="n"/>
      <c r="O135" s="38" t="n"/>
      <c r="P135" s="38" t="n"/>
      <c r="Q135" s="38" t="n"/>
      <c r="R135" s="38" t="n"/>
      <c r="S135" s="38" t="n"/>
      <c r="T135" s="38" t="n"/>
      <c r="U135" s="38" t="n"/>
      <c r="V135" s="38" t="n"/>
      <c r="W135" s="38" t="n"/>
      <c r="X135" s="38" t="n"/>
      <c r="Y135" s="38" t="n"/>
      <c r="Z135" s="38" t="n"/>
      <c r="AA135" s="38" t="n"/>
      <c r="AB135" s="38" t="n"/>
      <c r="AC135" s="38" t="n"/>
      <c r="AD135" s="38" t="n"/>
      <c r="AE135" s="38" t="n"/>
      <c r="AF135" s="36">
        <f>IF($A135="","",$A135&amp;"|"&amp;$C135)</f>
        <v/>
      </c>
      <c r="AG135" s="37">
        <f>IF($A135="","",IFERROR(COUNTIF(L135:M135,"כן")/(COUNTIF(L135:M135,"כן")+COUNTIF(L135:M135,"לא")),""))</f>
        <v/>
      </c>
      <c r="AH135" s="37">
        <f>IF($A135="","",IFERROR(COUNTIF(N135:O135,"כן")/(COUNTIF(N135:O135,"כן")+COUNTIF(N135:O135,"לא")),""))</f>
        <v/>
      </c>
      <c r="AI135" s="37">
        <f>IF($A135="","",IFERROR(COUNTIF(P135:Q135,"כן")/(COUNTIF(P135:Q135,"כן")+COUNTIF(P135:Q135,"לא")),""))</f>
        <v/>
      </c>
      <c r="AJ135" s="37">
        <f>IF($A135="","",IFERROR(COUNTIF(R135:S135,"כן")/(COUNTIF(R135:S135,"כן")+COUNTIF(R135:S135,"לא")),""))</f>
        <v/>
      </c>
      <c r="AK135" s="37">
        <f>IF($A135="","",IFERROR(COUNTIF(T135:U135,"כן")/(COUNTIF(T135:U135,"כן")+COUNTIF(T135:U135,"לא")),""))</f>
        <v/>
      </c>
      <c r="AL135" s="37">
        <f>IF($A135="","",IFERROR(COUNTIF(L135:U135,"כן")/(COUNTIF(L135:U135,"כן")+COUNTIF(L135:U135,"לא")),""))</f>
        <v/>
      </c>
      <c r="AM135" s="45">
        <f>IF($A135="","",IFERROR(AVERAGE(V135:W135),""))</f>
        <v/>
      </c>
      <c r="AN135" s="45">
        <f>IF($A135="","",IFERROR(AVERAGE(X135:Y135),""))</f>
        <v/>
      </c>
      <c r="AO135" s="45">
        <f>IF($A135="","",IFERROR(AVERAGE(Z135:AA135),""))</f>
        <v/>
      </c>
      <c r="AP135" s="45">
        <f>IF($A135="","",IFERROR(AVERAGE(AB135:AC135),""))</f>
        <v/>
      </c>
      <c r="AQ135" s="45">
        <f>IF($A135="","",IFERROR(AVERAGE(AD135),""))</f>
        <v/>
      </c>
      <c r="AR135" s="45">
        <f>IF($A135="","",IFERROR(AVERAGE(V135:AD135),""))</f>
        <v/>
      </c>
      <c r="AS135" s="36">
        <f>IF($A135="","",IF(AND(H135="",J135=""),"לא נבדק",IF(AND(OR(H135="",H135=I135),OR(J135="",J135=K135)),"תואם","לא תואם")))</f>
        <v/>
      </c>
      <c r="AT135" s="36">
        <f>IF($A135="","",IF(AND(AS135&lt;&gt;"לא תואם",G135&lt;&gt;"לא ברור"),"אמין","לפרש בזהירות"))</f>
        <v/>
      </c>
    </row>
    <row r="136">
      <c r="A136" s="38" t="n"/>
      <c r="B136" s="38" t="n"/>
      <c r="C136" s="38" t="n"/>
      <c r="D136" s="38" t="n"/>
      <c r="E136" s="38" t="n"/>
      <c r="F136" s="38" t="n"/>
      <c r="G136" s="38" t="n"/>
      <c r="H136" s="38" t="n"/>
      <c r="I136" s="38" t="n"/>
      <c r="J136" s="38" t="n"/>
      <c r="K136" s="38" t="n"/>
      <c r="L136" s="38" t="n"/>
      <c r="M136" s="38" t="n"/>
      <c r="N136" s="38" t="n"/>
      <c r="O136" s="38" t="n"/>
      <c r="P136" s="38" t="n"/>
      <c r="Q136" s="38" t="n"/>
      <c r="R136" s="38" t="n"/>
      <c r="S136" s="38" t="n"/>
      <c r="T136" s="38" t="n"/>
      <c r="U136" s="38" t="n"/>
      <c r="V136" s="38" t="n"/>
      <c r="W136" s="38" t="n"/>
      <c r="X136" s="38" t="n"/>
      <c r="Y136" s="38" t="n"/>
      <c r="Z136" s="38" t="n"/>
      <c r="AA136" s="38" t="n"/>
      <c r="AB136" s="38" t="n"/>
      <c r="AC136" s="38" t="n"/>
      <c r="AD136" s="38" t="n"/>
      <c r="AE136" s="38" t="n"/>
      <c r="AF136" s="36">
        <f>IF($A136="","",$A136&amp;"|"&amp;$C136)</f>
        <v/>
      </c>
      <c r="AG136" s="37">
        <f>IF($A136="","",IFERROR(COUNTIF(L136:M136,"כן")/(COUNTIF(L136:M136,"כן")+COUNTIF(L136:M136,"לא")),""))</f>
        <v/>
      </c>
      <c r="AH136" s="37">
        <f>IF($A136="","",IFERROR(COUNTIF(N136:O136,"כן")/(COUNTIF(N136:O136,"כן")+COUNTIF(N136:O136,"לא")),""))</f>
        <v/>
      </c>
      <c r="AI136" s="37">
        <f>IF($A136="","",IFERROR(COUNTIF(P136:Q136,"כן")/(COUNTIF(P136:Q136,"כן")+COUNTIF(P136:Q136,"לא")),""))</f>
        <v/>
      </c>
      <c r="AJ136" s="37">
        <f>IF($A136="","",IFERROR(COUNTIF(R136:S136,"כן")/(COUNTIF(R136:S136,"כן")+COUNTIF(R136:S136,"לא")),""))</f>
        <v/>
      </c>
      <c r="AK136" s="37">
        <f>IF($A136="","",IFERROR(COUNTIF(T136:U136,"כן")/(COUNTIF(T136:U136,"כן")+COUNTIF(T136:U136,"לא")),""))</f>
        <v/>
      </c>
      <c r="AL136" s="37">
        <f>IF($A136="","",IFERROR(COUNTIF(L136:U136,"כן")/(COUNTIF(L136:U136,"כן")+COUNTIF(L136:U136,"לא")),""))</f>
        <v/>
      </c>
      <c r="AM136" s="45">
        <f>IF($A136="","",IFERROR(AVERAGE(V136:W136),""))</f>
        <v/>
      </c>
      <c r="AN136" s="45">
        <f>IF($A136="","",IFERROR(AVERAGE(X136:Y136),""))</f>
        <v/>
      </c>
      <c r="AO136" s="45">
        <f>IF($A136="","",IFERROR(AVERAGE(Z136:AA136),""))</f>
        <v/>
      </c>
      <c r="AP136" s="45">
        <f>IF($A136="","",IFERROR(AVERAGE(AB136:AC136),""))</f>
        <v/>
      </c>
      <c r="AQ136" s="45">
        <f>IF($A136="","",IFERROR(AVERAGE(AD136),""))</f>
        <v/>
      </c>
      <c r="AR136" s="45">
        <f>IF($A136="","",IFERROR(AVERAGE(V136:AD136),""))</f>
        <v/>
      </c>
      <c r="AS136" s="36">
        <f>IF($A136="","",IF(AND(H136="",J136=""),"לא נבדק",IF(AND(OR(H136="",H136=I136),OR(J136="",J136=K136)),"תואם","לא תואם")))</f>
        <v/>
      </c>
      <c r="AT136" s="36">
        <f>IF($A136="","",IF(AND(AS136&lt;&gt;"לא תואם",G136&lt;&gt;"לא ברור"),"אמין","לפרש בזהירות"))</f>
        <v/>
      </c>
    </row>
    <row r="137">
      <c r="A137" s="38" t="n"/>
      <c r="B137" s="38" t="n"/>
      <c r="C137" s="38" t="n"/>
      <c r="D137" s="38" t="n"/>
      <c r="E137" s="38" t="n"/>
      <c r="F137" s="38" t="n"/>
      <c r="G137" s="38" t="n"/>
      <c r="H137" s="38" t="n"/>
      <c r="I137" s="38" t="n"/>
      <c r="J137" s="38" t="n"/>
      <c r="K137" s="38" t="n"/>
      <c r="L137" s="38" t="n"/>
      <c r="M137" s="38" t="n"/>
      <c r="N137" s="38" t="n"/>
      <c r="O137" s="38" t="n"/>
      <c r="P137" s="38" t="n"/>
      <c r="Q137" s="38" t="n"/>
      <c r="R137" s="38" t="n"/>
      <c r="S137" s="38" t="n"/>
      <c r="T137" s="38" t="n"/>
      <c r="U137" s="38" t="n"/>
      <c r="V137" s="38" t="n"/>
      <c r="W137" s="38" t="n"/>
      <c r="X137" s="38" t="n"/>
      <c r="Y137" s="38" t="n"/>
      <c r="Z137" s="38" t="n"/>
      <c r="AA137" s="38" t="n"/>
      <c r="AB137" s="38" t="n"/>
      <c r="AC137" s="38" t="n"/>
      <c r="AD137" s="38" t="n"/>
      <c r="AE137" s="38" t="n"/>
      <c r="AF137" s="36">
        <f>IF($A137="","",$A137&amp;"|"&amp;$C137)</f>
        <v/>
      </c>
      <c r="AG137" s="37">
        <f>IF($A137="","",IFERROR(COUNTIF(L137:M137,"כן")/(COUNTIF(L137:M137,"כן")+COUNTIF(L137:M137,"לא")),""))</f>
        <v/>
      </c>
      <c r="AH137" s="37">
        <f>IF($A137="","",IFERROR(COUNTIF(N137:O137,"כן")/(COUNTIF(N137:O137,"כן")+COUNTIF(N137:O137,"לא")),""))</f>
        <v/>
      </c>
      <c r="AI137" s="37">
        <f>IF($A137="","",IFERROR(COUNTIF(P137:Q137,"כן")/(COUNTIF(P137:Q137,"כן")+COUNTIF(P137:Q137,"לא")),""))</f>
        <v/>
      </c>
      <c r="AJ137" s="37">
        <f>IF($A137="","",IFERROR(COUNTIF(R137:S137,"כן")/(COUNTIF(R137:S137,"כן")+COUNTIF(R137:S137,"לא")),""))</f>
        <v/>
      </c>
      <c r="AK137" s="37">
        <f>IF($A137="","",IFERROR(COUNTIF(T137:U137,"כן")/(COUNTIF(T137:U137,"כן")+COUNTIF(T137:U137,"לא")),""))</f>
        <v/>
      </c>
      <c r="AL137" s="37">
        <f>IF($A137="","",IFERROR(COUNTIF(L137:U137,"כן")/(COUNTIF(L137:U137,"כן")+COUNTIF(L137:U137,"לא")),""))</f>
        <v/>
      </c>
      <c r="AM137" s="45">
        <f>IF($A137="","",IFERROR(AVERAGE(V137:W137),""))</f>
        <v/>
      </c>
      <c r="AN137" s="45">
        <f>IF($A137="","",IFERROR(AVERAGE(X137:Y137),""))</f>
        <v/>
      </c>
      <c r="AO137" s="45">
        <f>IF($A137="","",IFERROR(AVERAGE(Z137:AA137),""))</f>
        <v/>
      </c>
      <c r="AP137" s="45">
        <f>IF($A137="","",IFERROR(AVERAGE(AB137:AC137),""))</f>
        <v/>
      </c>
      <c r="AQ137" s="45">
        <f>IF($A137="","",IFERROR(AVERAGE(AD137),""))</f>
        <v/>
      </c>
      <c r="AR137" s="45">
        <f>IF($A137="","",IFERROR(AVERAGE(V137:AD137),""))</f>
        <v/>
      </c>
      <c r="AS137" s="36">
        <f>IF($A137="","",IF(AND(H137="",J137=""),"לא נבדק",IF(AND(OR(H137="",H137=I137),OR(J137="",J137=K137)),"תואם","לא תואם")))</f>
        <v/>
      </c>
      <c r="AT137" s="36">
        <f>IF($A137="","",IF(AND(AS137&lt;&gt;"לא תואם",G137&lt;&gt;"לא ברור"),"אמין","לפרש בזהירות"))</f>
        <v/>
      </c>
    </row>
    <row r="138">
      <c r="A138" s="38" t="n"/>
      <c r="B138" s="38" t="n"/>
      <c r="C138" s="38" t="n"/>
      <c r="D138" s="38" t="n"/>
      <c r="E138" s="38" t="n"/>
      <c r="F138" s="38" t="n"/>
      <c r="G138" s="38" t="n"/>
      <c r="H138" s="38" t="n"/>
      <c r="I138" s="38" t="n"/>
      <c r="J138" s="38" t="n"/>
      <c r="K138" s="38" t="n"/>
      <c r="L138" s="38" t="n"/>
      <c r="M138" s="38" t="n"/>
      <c r="N138" s="38" t="n"/>
      <c r="O138" s="38" t="n"/>
      <c r="P138" s="38" t="n"/>
      <c r="Q138" s="38" t="n"/>
      <c r="R138" s="38" t="n"/>
      <c r="S138" s="38" t="n"/>
      <c r="T138" s="38" t="n"/>
      <c r="U138" s="38" t="n"/>
      <c r="V138" s="38" t="n"/>
      <c r="W138" s="38" t="n"/>
      <c r="X138" s="38" t="n"/>
      <c r="Y138" s="38" t="n"/>
      <c r="Z138" s="38" t="n"/>
      <c r="AA138" s="38" t="n"/>
      <c r="AB138" s="38" t="n"/>
      <c r="AC138" s="38" t="n"/>
      <c r="AD138" s="38" t="n"/>
      <c r="AE138" s="38" t="n"/>
      <c r="AF138" s="36">
        <f>IF($A138="","",$A138&amp;"|"&amp;$C138)</f>
        <v/>
      </c>
      <c r="AG138" s="37">
        <f>IF($A138="","",IFERROR(COUNTIF(L138:M138,"כן")/(COUNTIF(L138:M138,"כן")+COUNTIF(L138:M138,"לא")),""))</f>
        <v/>
      </c>
      <c r="AH138" s="37">
        <f>IF($A138="","",IFERROR(COUNTIF(N138:O138,"כן")/(COUNTIF(N138:O138,"כן")+COUNTIF(N138:O138,"לא")),""))</f>
        <v/>
      </c>
      <c r="AI138" s="37">
        <f>IF($A138="","",IFERROR(COUNTIF(P138:Q138,"כן")/(COUNTIF(P138:Q138,"כן")+COUNTIF(P138:Q138,"לא")),""))</f>
        <v/>
      </c>
      <c r="AJ138" s="37">
        <f>IF($A138="","",IFERROR(COUNTIF(R138:S138,"כן")/(COUNTIF(R138:S138,"כן")+COUNTIF(R138:S138,"לא")),""))</f>
        <v/>
      </c>
      <c r="AK138" s="37">
        <f>IF($A138="","",IFERROR(COUNTIF(T138:U138,"כן")/(COUNTIF(T138:U138,"כן")+COUNTIF(T138:U138,"לא")),""))</f>
        <v/>
      </c>
      <c r="AL138" s="37">
        <f>IF($A138="","",IFERROR(COUNTIF(L138:U138,"כן")/(COUNTIF(L138:U138,"כן")+COUNTIF(L138:U138,"לא")),""))</f>
        <v/>
      </c>
      <c r="AM138" s="45">
        <f>IF($A138="","",IFERROR(AVERAGE(V138:W138),""))</f>
        <v/>
      </c>
      <c r="AN138" s="45">
        <f>IF($A138="","",IFERROR(AVERAGE(X138:Y138),""))</f>
        <v/>
      </c>
      <c r="AO138" s="45">
        <f>IF($A138="","",IFERROR(AVERAGE(Z138:AA138),""))</f>
        <v/>
      </c>
      <c r="AP138" s="45">
        <f>IF($A138="","",IFERROR(AVERAGE(AB138:AC138),""))</f>
        <v/>
      </c>
      <c r="AQ138" s="45">
        <f>IF($A138="","",IFERROR(AVERAGE(AD138),""))</f>
        <v/>
      </c>
      <c r="AR138" s="45">
        <f>IF($A138="","",IFERROR(AVERAGE(V138:AD138),""))</f>
        <v/>
      </c>
      <c r="AS138" s="36">
        <f>IF($A138="","",IF(AND(H138="",J138=""),"לא נבדק",IF(AND(OR(H138="",H138=I138),OR(J138="",J138=K138)),"תואם","לא תואם")))</f>
        <v/>
      </c>
      <c r="AT138" s="36">
        <f>IF($A138="","",IF(AND(AS138&lt;&gt;"לא תואם",G138&lt;&gt;"לא ברור"),"אמין","לפרש בזהירות"))</f>
        <v/>
      </c>
    </row>
    <row r="139">
      <c r="A139" s="38" t="n"/>
      <c r="B139" s="38" t="n"/>
      <c r="C139" s="38" t="n"/>
      <c r="D139" s="38" t="n"/>
      <c r="E139" s="38" t="n"/>
      <c r="F139" s="38" t="n"/>
      <c r="G139" s="38" t="n"/>
      <c r="H139" s="38" t="n"/>
      <c r="I139" s="38" t="n"/>
      <c r="J139" s="38" t="n"/>
      <c r="K139" s="38" t="n"/>
      <c r="L139" s="38" t="n"/>
      <c r="M139" s="38" t="n"/>
      <c r="N139" s="38" t="n"/>
      <c r="O139" s="38" t="n"/>
      <c r="P139" s="38" t="n"/>
      <c r="Q139" s="38" t="n"/>
      <c r="R139" s="38" t="n"/>
      <c r="S139" s="38" t="n"/>
      <c r="T139" s="38" t="n"/>
      <c r="U139" s="38" t="n"/>
      <c r="V139" s="38" t="n"/>
      <c r="W139" s="38" t="n"/>
      <c r="X139" s="38" t="n"/>
      <c r="Y139" s="38" t="n"/>
      <c r="Z139" s="38" t="n"/>
      <c r="AA139" s="38" t="n"/>
      <c r="AB139" s="38" t="n"/>
      <c r="AC139" s="38" t="n"/>
      <c r="AD139" s="38" t="n"/>
      <c r="AE139" s="38" t="n"/>
      <c r="AF139" s="36">
        <f>IF($A139="","",$A139&amp;"|"&amp;$C139)</f>
        <v/>
      </c>
      <c r="AG139" s="37">
        <f>IF($A139="","",IFERROR(COUNTIF(L139:M139,"כן")/(COUNTIF(L139:M139,"כן")+COUNTIF(L139:M139,"לא")),""))</f>
        <v/>
      </c>
      <c r="AH139" s="37">
        <f>IF($A139="","",IFERROR(COUNTIF(N139:O139,"כן")/(COUNTIF(N139:O139,"כן")+COUNTIF(N139:O139,"לא")),""))</f>
        <v/>
      </c>
      <c r="AI139" s="37">
        <f>IF($A139="","",IFERROR(COUNTIF(P139:Q139,"כן")/(COUNTIF(P139:Q139,"כן")+COUNTIF(P139:Q139,"לא")),""))</f>
        <v/>
      </c>
      <c r="AJ139" s="37">
        <f>IF($A139="","",IFERROR(COUNTIF(R139:S139,"כן")/(COUNTIF(R139:S139,"כן")+COUNTIF(R139:S139,"לא")),""))</f>
        <v/>
      </c>
      <c r="AK139" s="37">
        <f>IF($A139="","",IFERROR(COUNTIF(T139:U139,"כן")/(COUNTIF(T139:U139,"כן")+COUNTIF(T139:U139,"לא")),""))</f>
        <v/>
      </c>
      <c r="AL139" s="37">
        <f>IF($A139="","",IFERROR(COUNTIF(L139:U139,"כן")/(COUNTIF(L139:U139,"כן")+COUNTIF(L139:U139,"לא")),""))</f>
        <v/>
      </c>
      <c r="AM139" s="45">
        <f>IF($A139="","",IFERROR(AVERAGE(V139:W139),""))</f>
        <v/>
      </c>
      <c r="AN139" s="45">
        <f>IF($A139="","",IFERROR(AVERAGE(X139:Y139),""))</f>
        <v/>
      </c>
      <c r="AO139" s="45">
        <f>IF($A139="","",IFERROR(AVERAGE(Z139:AA139),""))</f>
        <v/>
      </c>
      <c r="AP139" s="45">
        <f>IF($A139="","",IFERROR(AVERAGE(AB139:AC139),""))</f>
        <v/>
      </c>
      <c r="AQ139" s="45">
        <f>IF($A139="","",IFERROR(AVERAGE(AD139),""))</f>
        <v/>
      </c>
      <c r="AR139" s="45">
        <f>IF($A139="","",IFERROR(AVERAGE(V139:AD139),""))</f>
        <v/>
      </c>
      <c r="AS139" s="36">
        <f>IF($A139="","",IF(AND(H139="",J139=""),"לא נבדק",IF(AND(OR(H139="",H139=I139),OR(J139="",J139=K139)),"תואם","לא תואם")))</f>
        <v/>
      </c>
      <c r="AT139" s="36">
        <f>IF($A139="","",IF(AND(AS139&lt;&gt;"לא תואם",G139&lt;&gt;"לא ברור"),"אמין","לפרש בזהירות"))</f>
        <v/>
      </c>
    </row>
    <row r="140">
      <c r="A140" s="38" t="n"/>
      <c r="B140" s="38" t="n"/>
      <c r="C140" s="38" t="n"/>
      <c r="D140" s="38" t="n"/>
      <c r="E140" s="38" t="n"/>
      <c r="F140" s="38" t="n"/>
      <c r="G140" s="38" t="n"/>
      <c r="H140" s="38" t="n"/>
      <c r="I140" s="38" t="n"/>
      <c r="J140" s="38" t="n"/>
      <c r="K140" s="38" t="n"/>
      <c r="L140" s="38" t="n"/>
      <c r="M140" s="38" t="n"/>
      <c r="N140" s="38" t="n"/>
      <c r="O140" s="38" t="n"/>
      <c r="P140" s="38" t="n"/>
      <c r="Q140" s="38" t="n"/>
      <c r="R140" s="38" t="n"/>
      <c r="S140" s="38" t="n"/>
      <c r="T140" s="38" t="n"/>
      <c r="U140" s="38" t="n"/>
      <c r="V140" s="38" t="n"/>
      <c r="W140" s="38" t="n"/>
      <c r="X140" s="38" t="n"/>
      <c r="Y140" s="38" t="n"/>
      <c r="Z140" s="38" t="n"/>
      <c r="AA140" s="38" t="n"/>
      <c r="AB140" s="38" t="n"/>
      <c r="AC140" s="38" t="n"/>
      <c r="AD140" s="38" t="n"/>
      <c r="AE140" s="38" t="n"/>
      <c r="AF140" s="36">
        <f>IF($A140="","",$A140&amp;"|"&amp;$C140)</f>
        <v/>
      </c>
      <c r="AG140" s="37">
        <f>IF($A140="","",IFERROR(COUNTIF(L140:M140,"כן")/(COUNTIF(L140:M140,"כן")+COUNTIF(L140:M140,"לא")),""))</f>
        <v/>
      </c>
      <c r="AH140" s="37">
        <f>IF($A140="","",IFERROR(COUNTIF(N140:O140,"כן")/(COUNTIF(N140:O140,"כן")+COUNTIF(N140:O140,"לא")),""))</f>
        <v/>
      </c>
      <c r="AI140" s="37">
        <f>IF($A140="","",IFERROR(COUNTIF(P140:Q140,"כן")/(COUNTIF(P140:Q140,"כן")+COUNTIF(P140:Q140,"לא")),""))</f>
        <v/>
      </c>
      <c r="AJ140" s="37">
        <f>IF($A140="","",IFERROR(COUNTIF(R140:S140,"כן")/(COUNTIF(R140:S140,"כן")+COUNTIF(R140:S140,"לא")),""))</f>
        <v/>
      </c>
      <c r="AK140" s="37">
        <f>IF($A140="","",IFERROR(COUNTIF(T140:U140,"כן")/(COUNTIF(T140:U140,"כן")+COUNTIF(T140:U140,"לא")),""))</f>
        <v/>
      </c>
      <c r="AL140" s="37">
        <f>IF($A140="","",IFERROR(COUNTIF(L140:U140,"כן")/(COUNTIF(L140:U140,"כן")+COUNTIF(L140:U140,"לא")),""))</f>
        <v/>
      </c>
      <c r="AM140" s="45">
        <f>IF($A140="","",IFERROR(AVERAGE(V140:W140),""))</f>
        <v/>
      </c>
      <c r="AN140" s="45">
        <f>IF($A140="","",IFERROR(AVERAGE(X140:Y140),""))</f>
        <v/>
      </c>
      <c r="AO140" s="45">
        <f>IF($A140="","",IFERROR(AVERAGE(Z140:AA140),""))</f>
        <v/>
      </c>
      <c r="AP140" s="45">
        <f>IF($A140="","",IFERROR(AVERAGE(AB140:AC140),""))</f>
        <v/>
      </c>
      <c r="AQ140" s="45">
        <f>IF($A140="","",IFERROR(AVERAGE(AD140),""))</f>
        <v/>
      </c>
      <c r="AR140" s="45">
        <f>IF($A140="","",IFERROR(AVERAGE(V140:AD140),""))</f>
        <v/>
      </c>
      <c r="AS140" s="36">
        <f>IF($A140="","",IF(AND(H140="",J140=""),"לא נבדק",IF(AND(OR(H140="",H140=I140),OR(J140="",J140=K140)),"תואם","לא תואם")))</f>
        <v/>
      </c>
      <c r="AT140" s="36">
        <f>IF($A140="","",IF(AND(AS140&lt;&gt;"לא תואם",G140&lt;&gt;"לא ברור"),"אמין","לפרש בזהירות"))</f>
        <v/>
      </c>
    </row>
    <row r="141">
      <c r="A141" s="38" t="n"/>
      <c r="B141" s="38" t="n"/>
      <c r="C141" s="38" t="n"/>
      <c r="D141" s="38" t="n"/>
      <c r="E141" s="38" t="n"/>
      <c r="F141" s="38" t="n"/>
      <c r="G141" s="38" t="n"/>
      <c r="H141" s="38" t="n"/>
      <c r="I141" s="38" t="n"/>
      <c r="J141" s="38" t="n"/>
      <c r="K141" s="38" t="n"/>
      <c r="L141" s="38" t="n"/>
      <c r="M141" s="38" t="n"/>
      <c r="N141" s="38" t="n"/>
      <c r="O141" s="38" t="n"/>
      <c r="P141" s="38" t="n"/>
      <c r="Q141" s="38" t="n"/>
      <c r="R141" s="38" t="n"/>
      <c r="S141" s="38" t="n"/>
      <c r="T141" s="38" t="n"/>
      <c r="U141" s="38" t="n"/>
      <c r="V141" s="38" t="n"/>
      <c r="W141" s="38" t="n"/>
      <c r="X141" s="38" t="n"/>
      <c r="Y141" s="38" t="n"/>
      <c r="Z141" s="38" t="n"/>
      <c r="AA141" s="38" t="n"/>
      <c r="AB141" s="38" t="n"/>
      <c r="AC141" s="38" t="n"/>
      <c r="AD141" s="38" t="n"/>
      <c r="AE141" s="38" t="n"/>
      <c r="AF141" s="36">
        <f>IF($A141="","",$A141&amp;"|"&amp;$C141)</f>
        <v/>
      </c>
      <c r="AG141" s="37">
        <f>IF($A141="","",IFERROR(COUNTIF(L141:M141,"כן")/(COUNTIF(L141:M141,"כן")+COUNTIF(L141:M141,"לא")),""))</f>
        <v/>
      </c>
      <c r="AH141" s="37">
        <f>IF($A141="","",IFERROR(COUNTIF(N141:O141,"כן")/(COUNTIF(N141:O141,"כן")+COUNTIF(N141:O141,"לא")),""))</f>
        <v/>
      </c>
      <c r="AI141" s="37">
        <f>IF($A141="","",IFERROR(COUNTIF(P141:Q141,"כן")/(COUNTIF(P141:Q141,"כן")+COUNTIF(P141:Q141,"לא")),""))</f>
        <v/>
      </c>
      <c r="AJ141" s="37">
        <f>IF($A141="","",IFERROR(COUNTIF(R141:S141,"כן")/(COUNTIF(R141:S141,"כן")+COUNTIF(R141:S141,"לא")),""))</f>
        <v/>
      </c>
      <c r="AK141" s="37">
        <f>IF($A141="","",IFERROR(COUNTIF(T141:U141,"כן")/(COUNTIF(T141:U141,"כן")+COUNTIF(T141:U141,"לא")),""))</f>
        <v/>
      </c>
      <c r="AL141" s="37">
        <f>IF($A141="","",IFERROR(COUNTIF(L141:U141,"כן")/(COUNTIF(L141:U141,"כן")+COUNTIF(L141:U141,"לא")),""))</f>
        <v/>
      </c>
      <c r="AM141" s="45">
        <f>IF($A141="","",IFERROR(AVERAGE(V141:W141),""))</f>
        <v/>
      </c>
      <c r="AN141" s="45">
        <f>IF($A141="","",IFERROR(AVERAGE(X141:Y141),""))</f>
        <v/>
      </c>
      <c r="AO141" s="45">
        <f>IF($A141="","",IFERROR(AVERAGE(Z141:AA141),""))</f>
        <v/>
      </c>
      <c r="AP141" s="45">
        <f>IF($A141="","",IFERROR(AVERAGE(AB141:AC141),""))</f>
        <v/>
      </c>
      <c r="AQ141" s="45">
        <f>IF($A141="","",IFERROR(AVERAGE(AD141),""))</f>
        <v/>
      </c>
      <c r="AR141" s="45">
        <f>IF($A141="","",IFERROR(AVERAGE(V141:AD141),""))</f>
        <v/>
      </c>
      <c r="AS141" s="36">
        <f>IF($A141="","",IF(AND(H141="",J141=""),"לא נבדק",IF(AND(OR(H141="",H141=I141),OR(J141="",J141=K141)),"תואם","לא תואם")))</f>
        <v/>
      </c>
      <c r="AT141" s="36">
        <f>IF($A141="","",IF(AND(AS141&lt;&gt;"לא תואם",G141&lt;&gt;"לא ברור"),"אמין","לפרש בזהירות"))</f>
        <v/>
      </c>
    </row>
    <row r="142">
      <c r="A142" s="38" t="n"/>
      <c r="B142" s="38" t="n"/>
      <c r="C142" s="38" t="n"/>
      <c r="D142" s="38" t="n"/>
      <c r="E142" s="38" t="n"/>
      <c r="F142" s="38" t="n"/>
      <c r="G142" s="38" t="n"/>
      <c r="H142" s="38" t="n"/>
      <c r="I142" s="38" t="n"/>
      <c r="J142" s="38" t="n"/>
      <c r="K142" s="38" t="n"/>
      <c r="L142" s="38" t="n"/>
      <c r="M142" s="38" t="n"/>
      <c r="N142" s="38" t="n"/>
      <c r="O142" s="38" t="n"/>
      <c r="P142" s="38" t="n"/>
      <c r="Q142" s="38" t="n"/>
      <c r="R142" s="38" t="n"/>
      <c r="S142" s="38" t="n"/>
      <c r="T142" s="38" t="n"/>
      <c r="U142" s="38" t="n"/>
      <c r="V142" s="38" t="n"/>
      <c r="W142" s="38" t="n"/>
      <c r="X142" s="38" t="n"/>
      <c r="Y142" s="38" t="n"/>
      <c r="Z142" s="38" t="n"/>
      <c r="AA142" s="38" t="n"/>
      <c r="AB142" s="38" t="n"/>
      <c r="AC142" s="38" t="n"/>
      <c r="AD142" s="38" t="n"/>
      <c r="AE142" s="38" t="n"/>
      <c r="AF142" s="36">
        <f>IF($A142="","",$A142&amp;"|"&amp;$C142)</f>
        <v/>
      </c>
      <c r="AG142" s="37">
        <f>IF($A142="","",IFERROR(COUNTIF(L142:M142,"כן")/(COUNTIF(L142:M142,"כן")+COUNTIF(L142:M142,"לא")),""))</f>
        <v/>
      </c>
      <c r="AH142" s="37">
        <f>IF($A142="","",IFERROR(COUNTIF(N142:O142,"כן")/(COUNTIF(N142:O142,"כן")+COUNTIF(N142:O142,"לא")),""))</f>
        <v/>
      </c>
      <c r="AI142" s="37">
        <f>IF($A142="","",IFERROR(COUNTIF(P142:Q142,"כן")/(COUNTIF(P142:Q142,"כן")+COUNTIF(P142:Q142,"לא")),""))</f>
        <v/>
      </c>
      <c r="AJ142" s="37">
        <f>IF($A142="","",IFERROR(COUNTIF(R142:S142,"כן")/(COUNTIF(R142:S142,"כן")+COUNTIF(R142:S142,"לא")),""))</f>
        <v/>
      </c>
      <c r="AK142" s="37">
        <f>IF($A142="","",IFERROR(COUNTIF(T142:U142,"כן")/(COUNTIF(T142:U142,"כן")+COUNTIF(T142:U142,"לא")),""))</f>
        <v/>
      </c>
      <c r="AL142" s="37">
        <f>IF($A142="","",IFERROR(COUNTIF(L142:U142,"כן")/(COUNTIF(L142:U142,"כן")+COUNTIF(L142:U142,"לא")),""))</f>
        <v/>
      </c>
      <c r="AM142" s="45">
        <f>IF($A142="","",IFERROR(AVERAGE(V142:W142),""))</f>
        <v/>
      </c>
      <c r="AN142" s="45">
        <f>IF($A142="","",IFERROR(AVERAGE(X142:Y142),""))</f>
        <v/>
      </c>
      <c r="AO142" s="45">
        <f>IF($A142="","",IFERROR(AVERAGE(Z142:AA142),""))</f>
        <v/>
      </c>
      <c r="AP142" s="45">
        <f>IF($A142="","",IFERROR(AVERAGE(AB142:AC142),""))</f>
        <v/>
      </c>
      <c r="AQ142" s="45">
        <f>IF($A142="","",IFERROR(AVERAGE(AD142),""))</f>
        <v/>
      </c>
      <c r="AR142" s="45">
        <f>IF($A142="","",IFERROR(AVERAGE(V142:AD142),""))</f>
        <v/>
      </c>
      <c r="AS142" s="36">
        <f>IF($A142="","",IF(AND(H142="",J142=""),"לא נבדק",IF(AND(OR(H142="",H142=I142),OR(J142="",J142=K142)),"תואם","לא תואם")))</f>
        <v/>
      </c>
      <c r="AT142" s="36">
        <f>IF($A142="","",IF(AND(AS142&lt;&gt;"לא תואם",G142&lt;&gt;"לא ברור"),"אמין","לפרש בזהירות"))</f>
        <v/>
      </c>
    </row>
    <row r="143">
      <c r="A143" s="38" t="n"/>
      <c r="B143" s="38" t="n"/>
      <c r="C143" s="38" t="n"/>
      <c r="D143" s="38" t="n"/>
      <c r="E143" s="38" t="n"/>
      <c r="F143" s="38" t="n"/>
      <c r="G143" s="38" t="n"/>
      <c r="H143" s="38" t="n"/>
      <c r="I143" s="38" t="n"/>
      <c r="J143" s="38" t="n"/>
      <c r="K143" s="38" t="n"/>
      <c r="L143" s="38" t="n"/>
      <c r="M143" s="38" t="n"/>
      <c r="N143" s="38" t="n"/>
      <c r="O143" s="38" t="n"/>
      <c r="P143" s="38" t="n"/>
      <c r="Q143" s="38" t="n"/>
      <c r="R143" s="38" t="n"/>
      <c r="S143" s="38" t="n"/>
      <c r="T143" s="38" t="n"/>
      <c r="U143" s="38" t="n"/>
      <c r="V143" s="38" t="n"/>
      <c r="W143" s="38" t="n"/>
      <c r="X143" s="38" t="n"/>
      <c r="Y143" s="38" t="n"/>
      <c r="Z143" s="38" t="n"/>
      <c r="AA143" s="38" t="n"/>
      <c r="AB143" s="38" t="n"/>
      <c r="AC143" s="38" t="n"/>
      <c r="AD143" s="38" t="n"/>
      <c r="AE143" s="38" t="n"/>
      <c r="AF143" s="36">
        <f>IF($A143="","",$A143&amp;"|"&amp;$C143)</f>
        <v/>
      </c>
      <c r="AG143" s="37">
        <f>IF($A143="","",IFERROR(COUNTIF(L143:M143,"כן")/(COUNTIF(L143:M143,"כן")+COUNTIF(L143:M143,"לא")),""))</f>
        <v/>
      </c>
      <c r="AH143" s="37">
        <f>IF($A143="","",IFERROR(COUNTIF(N143:O143,"כן")/(COUNTIF(N143:O143,"כן")+COUNTIF(N143:O143,"לא")),""))</f>
        <v/>
      </c>
      <c r="AI143" s="37">
        <f>IF($A143="","",IFERROR(COUNTIF(P143:Q143,"כן")/(COUNTIF(P143:Q143,"כן")+COUNTIF(P143:Q143,"לא")),""))</f>
        <v/>
      </c>
      <c r="AJ143" s="37">
        <f>IF($A143="","",IFERROR(COUNTIF(R143:S143,"כן")/(COUNTIF(R143:S143,"כן")+COUNTIF(R143:S143,"לא")),""))</f>
        <v/>
      </c>
      <c r="AK143" s="37">
        <f>IF($A143="","",IFERROR(COUNTIF(T143:U143,"כן")/(COUNTIF(T143:U143,"כן")+COUNTIF(T143:U143,"לא")),""))</f>
        <v/>
      </c>
      <c r="AL143" s="37">
        <f>IF($A143="","",IFERROR(COUNTIF(L143:U143,"כן")/(COUNTIF(L143:U143,"כן")+COUNTIF(L143:U143,"לא")),""))</f>
        <v/>
      </c>
      <c r="AM143" s="45">
        <f>IF($A143="","",IFERROR(AVERAGE(V143:W143),""))</f>
        <v/>
      </c>
      <c r="AN143" s="45">
        <f>IF($A143="","",IFERROR(AVERAGE(X143:Y143),""))</f>
        <v/>
      </c>
      <c r="AO143" s="45">
        <f>IF($A143="","",IFERROR(AVERAGE(Z143:AA143),""))</f>
        <v/>
      </c>
      <c r="AP143" s="45">
        <f>IF($A143="","",IFERROR(AVERAGE(AB143:AC143),""))</f>
        <v/>
      </c>
      <c r="AQ143" s="45">
        <f>IF($A143="","",IFERROR(AVERAGE(AD143),""))</f>
        <v/>
      </c>
      <c r="AR143" s="45">
        <f>IF($A143="","",IFERROR(AVERAGE(V143:AD143),""))</f>
        <v/>
      </c>
      <c r="AS143" s="36">
        <f>IF($A143="","",IF(AND(H143="",J143=""),"לא נבדק",IF(AND(OR(H143="",H143=I143),OR(J143="",J143=K143)),"תואם","לא תואם")))</f>
        <v/>
      </c>
      <c r="AT143" s="36">
        <f>IF($A143="","",IF(AND(AS143&lt;&gt;"לא תואם",G143&lt;&gt;"לא ברור"),"אמין","לפרש בזהירות"))</f>
        <v/>
      </c>
    </row>
    <row r="144">
      <c r="A144" s="38" t="n"/>
      <c r="B144" s="38" t="n"/>
      <c r="C144" s="38" t="n"/>
      <c r="D144" s="38" t="n"/>
      <c r="E144" s="38" t="n"/>
      <c r="F144" s="38" t="n"/>
      <c r="G144" s="38" t="n"/>
      <c r="H144" s="38" t="n"/>
      <c r="I144" s="38" t="n"/>
      <c r="J144" s="38" t="n"/>
      <c r="K144" s="38" t="n"/>
      <c r="L144" s="38" t="n"/>
      <c r="M144" s="38" t="n"/>
      <c r="N144" s="38" t="n"/>
      <c r="O144" s="38" t="n"/>
      <c r="P144" s="38" t="n"/>
      <c r="Q144" s="38" t="n"/>
      <c r="R144" s="38" t="n"/>
      <c r="S144" s="38" t="n"/>
      <c r="T144" s="38" t="n"/>
      <c r="U144" s="38" t="n"/>
      <c r="V144" s="38" t="n"/>
      <c r="W144" s="38" t="n"/>
      <c r="X144" s="38" t="n"/>
      <c r="Y144" s="38" t="n"/>
      <c r="Z144" s="38" t="n"/>
      <c r="AA144" s="38" t="n"/>
      <c r="AB144" s="38" t="n"/>
      <c r="AC144" s="38" t="n"/>
      <c r="AD144" s="38" t="n"/>
      <c r="AE144" s="38" t="n"/>
      <c r="AF144" s="36">
        <f>IF($A144="","",$A144&amp;"|"&amp;$C144)</f>
        <v/>
      </c>
      <c r="AG144" s="37">
        <f>IF($A144="","",IFERROR(COUNTIF(L144:M144,"כן")/(COUNTIF(L144:M144,"כן")+COUNTIF(L144:M144,"לא")),""))</f>
        <v/>
      </c>
      <c r="AH144" s="37">
        <f>IF($A144="","",IFERROR(COUNTIF(N144:O144,"כן")/(COUNTIF(N144:O144,"כן")+COUNTIF(N144:O144,"לא")),""))</f>
        <v/>
      </c>
      <c r="AI144" s="37">
        <f>IF($A144="","",IFERROR(COUNTIF(P144:Q144,"כן")/(COUNTIF(P144:Q144,"כן")+COUNTIF(P144:Q144,"לא")),""))</f>
        <v/>
      </c>
      <c r="AJ144" s="37">
        <f>IF($A144="","",IFERROR(COUNTIF(R144:S144,"כן")/(COUNTIF(R144:S144,"כן")+COUNTIF(R144:S144,"לא")),""))</f>
        <v/>
      </c>
      <c r="AK144" s="37">
        <f>IF($A144="","",IFERROR(COUNTIF(T144:U144,"כן")/(COUNTIF(T144:U144,"כן")+COUNTIF(T144:U144,"לא")),""))</f>
        <v/>
      </c>
      <c r="AL144" s="37">
        <f>IF($A144="","",IFERROR(COUNTIF(L144:U144,"כן")/(COUNTIF(L144:U144,"כן")+COUNTIF(L144:U144,"לא")),""))</f>
        <v/>
      </c>
      <c r="AM144" s="45">
        <f>IF($A144="","",IFERROR(AVERAGE(V144:W144),""))</f>
        <v/>
      </c>
      <c r="AN144" s="45">
        <f>IF($A144="","",IFERROR(AVERAGE(X144:Y144),""))</f>
        <v/>
      </c>
      <c r="AO144" s="45">
        <f>IF($A144="","",IFERROR(AVERAGE(Z144:AA144),""))</f>
        <v/>
      </c>
      <c r="AP144" s="45">
        <f>IF($A144="","",IFERROR(AVERAGE(AB144:AC144),""))</f>
        <v/>
      </c>
      <c r="AQ144" s="45">
        <f>IF($A144="","",IFERROR(AVERAGE(AD144),""))</f>
        <v/>
      </c>
      <c r="AR144" s="45">
        <f>IF($A144="","",IFERROR(AVERAGE(V144:AD144),""))</f>
        <v/>
      </c>
      <c r="AS144" s="36">
        <f>IF($A144="","",IF(AND(H144="",J144=""),"לא נבדק",IF(AND(OR(H144="",H144=I144),OR(J144="",J144=K144)),"תואם","לא תואם")))</f>
        <v/>
      </c>
      <c r="AT144" s="36">
        <f>IF($A144="","",IF(AND(AS144&lt;&gt;"לא תואם",G144&lt;&gt;"לא ברור"),"אמין","לפרש בזהירות"))</f>
        <v/>
      </c>
    </row>
    <row r="145">
      <c r="A145" s="38" t="n"/>
      <c r="B145" s="38" t="n"/>
      <c r="C145" s="38" t="n"/>
      <c r="D145" s="38" t="n"/>
      <c r="E145" s="38" t="n"/>
      <c r="F145" s="38" t="n"/>
      <c r="G145" s="38" t="n"/>
      <c r="H145" s="38" t="n"/>
      <c r="I145" s="38" t="n"/>
      <c r="J145" s="38" t="n"/>
      <c r="K145" s="38" t="n"/>
      <c r="L145" s="38" t="n"/>
      <c r="M145" s="38" t="n"/>
      <c r="N145" s="38" t="n"/>
      <c r="O145" s="38" t="n"/>
      <c r="P145" s="38" t="n"/>
      <c r="Q145" s="38" t="n"/>
      <c r="R145" s="38" t="n"/>
      <c r="S145" s="38" t="n"/>
      <c r="T145" s="38" t="n"/>
      <c r="U145" s="38" t="n"/>
      <c r="V145" s="38" t="n"/>
      <c r="W145" s="38" t="n"/>
      <c r="X145" s="38" t="n"/>
      <c r="Y145" s="38" t="n"/>
      <c r="Z145" s="38" t="n"/>
      <c r="AA145" s="38" t="n"/>
      <c r="AB145" s="38" t="n"/>
      <c r="AC145" s="38" t="n"/>
      <c r="AD145" s="38" t="n"/>
      <c r="AE145" s="38" t="n"/>
      <c r="AF145" s="36">
        <f>IF($A145="","",$A145&amp;"|"&amp;$C145)</f>
        <v/>
      </c>
      <c r="AG145" s="37">
        <f>IF($A145="","",IFERROR(COUNTIF(L145:M145,"כן")/(COUNTIF(L145:M145,"כן")+COUNTIF(L145:M145,"לא")),""))</f>
        <v/>
      </c>
      <c r="AH145" s="37">
        <f>IF($A145="","",IFERROR(COUNTIF(N145:O145,"כן")/(COUNTIF(N145:O145,"כן")+COUNTIF(N145:O145,"לא")),""))</f>
        <v/>
      </c>
      <c r="AI145" s="37">
        <f>IF($A145="","",IFERROR(COUNTIF(P145:Q145,"כן")/(COUNTIF(P145:Q145,"כן")+COUNTIF(P145:Q145,"לא")),""))</f>
        <v/>
      </c>
      <c r="AJ145" s="37">
        <f>IF($A145="","",IFERROR(COUNTIF(R145:S145,"כן")/(COUNTIF(R145:S145,"כן")+COUNTIF(R145:S145,"לא")),""))</f>
        <v/>
      </c>
      <c r="AK145" s="37">
        <f>IF($A145="","",IFERROR(COUNTIF(T145:U145,"כן")/(COUNTIF(T145:U145,"כן")+COUNTIF(T145:U145,"לא")),""))</f>
        <v/>
      </c>
      <c r="AL145" s="37">
        <f>IF($A145="","",IFERROR(COUNTIF(L145:U145,"כן")/(COUNTIF(L145:U145,"כן")+COUNTIF(L145:U145,"לא")),""))</f>
        <v/>
      </c>
      <c r="AM145" s="45">
        <f>IF($A145="","",IFERROR(AVERAGE(V145:W145),""))</f>
        <v/>
      </c>
      <c r="AN145" s="45">
        <f>IF($A145="","",IFERROR(AVERAGE(X145:Y145),""))</f>
        <v/>
      </c>
      <c r="AO145" s="45">
        <f>IF($A145="","",IFERROR(AVERAGE(Z145:AA145),""))</f>
        <v/>
      </c>
      <c r="AP145" s="45">
        <f>IF($A145="","",IFERROR(AVERAGE(AB145:AC145),""))</f>
        <v/>
      </c>
      <c r="AQ145" s="45">
        <f>IF($A145="","",IFERROR(AVERAGE(AD145),""))</f>
        <v/>
      </c>
      <c r="AR145" s="45">
        <f>IF($A145="","",IFERROR(AVERAGE(V145:AD145),""))</f>
        <v/>
      </c>
      <c r="AS145" s="36">
        <f>IF($A145="","",IF(AND(H145="",J145=""),"לא נבדק",IF(AND(OR(H145="",H145=I145),OR(J145="",J145=K145)),"תואם","לא תואם")))</f>
        <v/>
      </c>
      <c r="AT145" s="36">
        <f>IF($A145="","",IF(AND(AS145&lt;&gt;"לא תואם",G145&lt;&gt;"לא ברור"),"אמין","לפרש בזהירות"))</f>
        <v/>
      </c>
    </row>
    <row r="146">
      <c r="A146" s="38" t="n"/>
      <c r="B146" s="38" t="n"/>
      <c r="C146" s="38" t="n"/>
      <c r="D146" s="38" t="n"/>
      <c r="E146" s="38" t="n"/>
      <c r="F146" s="38" t="n"/>
      <c r="G146" s="38" t="n"/>
      <c r="H146" s="38" t="n"/>
      <c r="I146" s="38" t="n"/>
      <c r="J146" s="38" t="n"/>
      <c r="K146" s="38" t="n"/>
      <c r="L146" s="38" t="n"/>
      <c r="M146" s="38" t="n"/>
      <c r="N146" s="38" t="n"/>
      <c r="O146" s="38" t="n"/>
      <c r="P146" s="38" t="n"/>
      <c r="Q146" s="38" t="n"/>
      <c r="R146" s="38" t="n"/>
      <c r="S146" s="38" t="n"/>
      <c r="T146" s="38" t="n"/>
      <c r="U146" s="38" t="n"/>
      <c r="V146" s="38" t="n"/>
      <c r="W146" s="38" t="n"/>
      <c r="X146" s="38" t="n"/>
      <c r="Y146" s="38" t="n"/>
      <c r="Z146" s="38" t="n"/>
      <c r="AA146" s="38" t="n"/>
      <c r="AB146" s="38" t="n"/>
      <c r="AC146" s="38" t="n"/>
      <c r="AD146" s="38" t="n"/>
      <c r="AE146" s="38" t="n"/>
      <c r="AF146" s="36">
        <f>IF($A146="","",$A146&amp;"|"&amp;$C146)</f>
        <v/>
      </c>
      <c r="AG146" s="37">
        <f>IF($A146="","",IFERROR(COUNTIF(L146:M146,"כן")/(COUNTIF(L146:M146,"כן")+COUNTIF(L146:M146,"לא")),""))</f>
        <v/>
      </c>
      <c r="AH146" s="37">
        <f>IF($A146="","",IFERROR(COUNTIF(N146:O146,"כן")/(COUNTIF(N146:O146,"כן")+COUNTIF(N146:O146,"לא")),""))</f>
        <v/>
      </c>
      <c r="AI146" s="37">
        <f>IF($A146="","",IFERROR(COUNTIF(P146:Q146,"כן")/(COUNTIF(P146:Q146,"כן")+COUNTIF(P146:Q146,"לא")),""))</f>
        <v/>
      </c>
      <c r="AJ146" s="37">
        <f>IF($A146="","",IFERROR(COUNTIF(R146:S146,"כן")/(COUNTIF(R146:S146,"כן")+COUNTIF(R146:S146,"לא")),""))</f>
        <v/>
      </c>
      <c r="AK146" s="37">
        <f>IF($A146="","",IFERROR(COUNTIF(T146:U146,"כן")/(COUNTIF(T146:U146,"כן")+COUNTIF(T146:U146,"לא")),""))</f>
        <v/>
      </c>
      <c r="AL146" s="37">
        <f>IF($A146="","",IFERROR(COUNTIF(L146:U146,"כן")/(COUNTIF(L146:U146,"כן")+COUNTIF(L146:U146,"לא")),""))</f>
        <v/>
      </c>
      <c r="AM146" s="45">
        <f>IF($A146="","",IFERROR(AVERAGE(V146:W146),""))</f>
        <v/>
      </c>
      <c r="AN146" s="45">
        <f>IF($A146="","",IFERROR(AVERAGE(X146:Y146),""))</f>
        <v/>
      </c>
      <c r="AO146" s="45">
        <f>IF($A146="","",IFERROR(AVERAGE(Z146:AA146),""))</f>
        <v/>
      </c>
      <c r="AP146" s="45">
        <f>IF($A146="","",IFERROR(AVERAGE(AB146:AC146),""))</f>
        <v/>
      </c>
      <c r="AQ146" s="45">
        <f>IF($A146="","",IFERROR(AVERAGE(AD146),""))</f>
        <v/>
      </c>
      <c r="AR146" s="45">
        <f>IF($A146="","",IFERROR(AVERAGE(V146:AD146),""))</f>
        <v/>
      </c>
      <c r="AS146" s="36">
        <f>IF($A146="","",IF(AND(H146="",J146=""),"לא נבדק",IF(AND(OR(H146="",H146=I146),OR(J146="",J146=K146)),"תואם","לא תואם")))</f>
        <v/>
      </c>
      <c r="AT146" s="36">
        <f>IF($A146="","",IF(AND(AS146&lt;&gt;"לא תואם",G146&lt;&gt;"לא ברור"),"אמין","לפרש בזהירות"))</f>
        <v/>
      </c>
    </row>
    <row r="147">
      <c r="A147" s="38" t="n"/>
      <c r="B147" s="38" t="n"/>
      <c r="C147" s="38" t="n"/>
      <c r="D147" s="38" t="n"/>
      <c r="E147" s="38" t="n"/>
      <c r="F147" s="38" t="n"/>
      <c r="G147" s="38" t="n"/>
      <c r="H147" s="38" t="n"/>
      <c r="I147" s="38" t="n"/>
      <c r="J147" s="38" t="n"/>
      <c r="K147" s="38" t="n"/>
      <c r="L147" s="38" t="n"/>
      <c r="M147" s="38" t="n"/>
      <c r="N147" s="38" t="n"/>
      <c r="O147" s="38" t="n"/>
      <c r="P147" s="38" t="n"/>
      <c r="Q147" s="38" t="n"/>
      <c r="R147" s="38" t="n"/>
      <c r="S147" s="38" t="n"/>
      <c r="T147" s="38" t="n"/>
      <c r="U147" s="38" t="n"/>
      <c r="V147" s="38" t="n"/>
      <c r="W147" s="38" t="n"/>
      <c r="X147" s="38" t="n"/>
      <c r="Y147" s="38" t="n"/>
      <c r="Z147" s="38" t="n"/>
      <c r="AA147" s="38" t="n"/>
      <c r="AB147" s="38" t="n"/>
      <c r="AC147" s="38" t="n"/>
      <c r="AD147" s="38" t="n"/>
      <c r="AE147" s="38" t="n"/>
      <c r="AF147" s="36">
        <f>IF($A147="","",$A147&amp;"|"&amp;$C147)</f>
        <v/>
      </c>
      <c r="AG147" s="37">
        <f>IF($A147="","",IFERROR(COUNTIF(L147:M147,"כן")/(COUNTIF(L147:M147,"כן")+COUNTIF(L147:M147,"לא")),""))</f>
        <v/>
      </c>
      <c r="AH147" s="37">
        <f>IF($A147="","",IFERROR(COUNTIF(N147:O147,"כן")/(COUNTIF(N147:O147,"כן")+COUNTIF(N147:O147,"לא")),""))</f>
        <v/>
      </c>
      <c r="AI147" s="37">
        <f>IF($A147="","",IFERROR(COUNTIF(P147:Q147,"כן")/(COUNTIF(P147:Q147,"כן")+COUNTIF(P147:Q147,"לא")),""))</f>
        <v/>
      </c>
      <c r="AJ147" s="37">
        <f>IF($A147="","",IFERROR(COUNTIF(R147:S147,"כן")/(COUNTIF(R147:S147,"כן")+COUNTIF(R147:S147,"לא")),""))</f>
        <v/>
      </c>
      <c r="AK147" s="37">
        <f>IF($A147="","",IFERROR(COUNTIF(T147:U147,"כן")/(COUNTIF(T147:U147,"כן")+COUNTIF(T147:U147,"לא")),""))</f>
        <v/>
      </c>
      <c r="AL147" s="37">
        <f>IF($A147="","",IFERROR(COUNTIF(L147:U147,"כן")/(COUNTIF(L147:U147,"כן")+COUNTIF(L147:U147,"לא")),""))</f>
        <v/>
      </c>
      <c r="AM147" s="45">
        <f>IF($A147="","",IFERROR(AVERAGE(V147:W147),""))</f>
        <v/>
      </c>
      <c r="AN147" s="45">
        <f>IF($A147="","",IFERROR(AVERAGE(X147:Y147),""))</f>
        <v/>
      </c>
      <c r="AO147" s="45">
        <f>IF($A147="","",IFERROR(AVERAGE(Z147:AA147),""))</f>
        <v/>
      </c>
      <c r="AP147" s="45">
        <f>IF($A147="","",IFERROR(AVERAGE(AB147:AC147),""))</f>
        <v/>
      </c>
      <c r="AQ147" s="45">
        <f>IF($A147="","",IFERROR(AVERAGE(AD147),""))</f>
        <v/>
      </c>
      <c r="AR147" s="45">
        <f>IF($A147="","",IFERROR(AVERAGE(V147:AD147),""))</f>
        <v/>
      </c>
      <c r="AS147" s="36">
        <f>IF($A147="","",IF(AND(H147="",J147=""),"לא נבדק",IF(AND(OR(H147="",H147=I147),OR(J147="",J147=K147)),"תואם","לא תואם")))</f>
        <v/>
      </c>
      <c r="AT147" s="36">
        <f>IF($A147="","",IF(AND(AS147&lt;&gt;"לא תואם",G147&lt;&gt;"לא ברור"),"אמין","לפרש בזהירות"))</f>
        <v/>
      </c>
    </row>
    <row r="148">
      <c r="A148" s="38" t="n"/>
      <c r="B148" s="38" t="n"/>
      <c r="C148" s="38" t="n"/>
      <c r="D148" s="38" t="n"/>
      <c r="E148" s="38" t="n"/>
      <c r="F148" s="38" t="n"/>
      <c r="G148" s="38" t="n"/>
      <c r="H148" s="38" t="n"/>
      <c r="I148" s="38" t="n"/>
      <c r="J148" s="38" t="n"/>
      <c r="K148" s="38" t="n"/>
      <c r="L148" s="38" t="n"/>
      <c r="M148" s="38" t="n"/>
      <c r="N148" s="38" t="n"/>
      <c r="O148" s="38" t="n"/>
      <c r="P148" s="38" t="n"/>
      <c r="Q148" s="38" t="n"/>
      <c r="R148" s="38" t="n"/>
      <c r="S148" s="38" t="n"/>
      <c r="T148" s="38" t="n"/>
      <c r="U148" s="38" t="n"/>
      <c r="V148" s="38" t="n"/>
      <c r="W148" s="38" t="n"/>
      <c r="X148" s="38" t="n"/>
      <c r="Y148" s="38" t="n"/>
      <c r="Z148" s="38" t="n"/>
      <c r="AA148" s="38" t="n"/>
      <c r="AB148" s="38" t="n"/>
      <c r="AC148" s="38" t="n"/>
      <c r="AD148" s="38" t="n"/>
      <c r="AE148" s="38" t="n"/>
      <c r="AF148" s="36">
        <f>IF($A148="","",$A148&amp;"|"&amp;$C148)</f>
        <v/>
      </c>
      <c r="AG148" s="37">
        <f>IF($A148="","",IFERROR(COUNTIF(L148:M148,"כן")/(COUNTIF(L148:M148,"כן")+COUNTIF(L148:M148,"לא")),""))</f>
        <v/>
      </c>
      <c r="AH148" s="37">
        <f>IF($A148="","",IFERROR(COUNTIF(N148:O148,"כן")/(COUNTIF(N148:O148,"כן")+COUNTIF(N148:O148,"לא")),""))</f>
        <v/>
      </c>
      <c r="AI148" s="37">
        <f>IF($A148="","",IFERROR(COUNTIF(P148:Q148,"כן")/(COUNTIF(P148:Q148,"כן")+COUNTIF(P148:Q148,"לא")),""))</f>
        <v/>
      </c>
      <c r="AJ148" s="37">
        <f>IF($A148="","",IFERROR(COUNTIF(R148:S148,"כן")/(COUNTIF(R148:S148,"כן")+COUNTIF(R148:S148,"לא")),""))</f>
        <v/>
      </c>
      <c r="AK148" s="37">
        <f>IF($A148="","",IFERROR(COUNTIF(T148:U148,"כן")/(COUNTIF(T148:U148,"כן")+COUNTIF(T148:U148,"לא")),""))</f>
        <v/>
      </c>
      <c r="AL148" s="37">
        <f>IF($A148="","",IFERROR(COUNTIF(L148:U148,"כן")/(COUNTIF(L148:U148,"כן")+COUNTIF(L148:U148,"לא")),""))</f>
        <v/>
      </c>
      <c r="AM148" s="45">
        <f>IF($A148="","",IFERROR(AVERAGE(V148:W148),""))</f>
        <v/>
      </c>
      <c r="AN148" s="45">
        <f>IF($A148="","",IFERROR(AVERAGE(X148:Y148),""))</f>
        <v/>
      </c>
      <c r="AO148" s="45">
        <f>IF($A148="","",IFERROR(AVERAGE(Z148:AA148),""))</f>
        <v/>
      </c>
      <c r="AP148" s="45">
        <f>IF($A148="","",IFERROR(AVERAGE(AB148:AC148),""))</f>
        <v/>
      </c>
      <c r="AQ148" s="45">
        <f>IF($A148="","",IFERROR(AVERAGE(AD148),""))</f>
        <v/>
      </c>
      <c r="AR148" s="45">
        <f>IF($A148="","",IFERROR(AVERAGE(V148:AD148),""))</f>
        <v/>
      </c>
      <c r="AS148" s="36">
        <f>IF($A148="","",IF(AND(H148="",J148=""),"לא נבדק",IF(AND(OR(H148="",H148=I148),OR(J148="",J148=K148)),"תואם","לא תואם")))</f>
        <v/>
      </c>
      <c r="AT148" s="36">
        <f>IF($A148="","",IF(AND(AS148&lt;&gt;"לא תואם",G148&lt;&gt;"לא ברור"),"אמין","לפרש בזהירות"))</f>
        <v/>
      </c>
    </row>
    <row r="149">
      <c r="A149" s="38" t="n"/>
      <c r="B149" s="38" t="n"/>
      <c r="C149" s="38" t="n"/>
      <c r="D149" s="38" t="n"/>
      <c r="E149" s="38" t="n"/>
      <c r="F149" s="38" t="n"/>
      <c r="G149" s="38" t="n"/>
      <c r="H149" s="38" t="n"/>
      <c r="I149" s="38" t="n"/>
      <c r="J149" s="38" t="n"/>
      <c r="K149" s="38" t="n"/>
      <c r="L149" s="38" t="n"/>
      <c r="M149" s="38" t="n"/>
      <c r="N149" s="38" t="n"/>
      <c r="O149" s="38" t="n"/>
      <c r="P149" s="38" t="n"/>
      <c r="Q149" s="38" t="n"/>
      <c r="R149" s="38" t="n"/>
      <c r="S149" s="38" t="n"/>
      <c r="T149" s="38" t="n"/>
      <c r="U149" s="38" t="n"/>
      <c r="V149" s="38" t="n"/>
      <c r="W149" s="38" t="n"/>
      <c r="X149" s="38" t="n"/>
      <c r="Y149" s="38" t="n"/>
      <c r="Z149" s="38" t="n"/>
      <c r="AA149" s="38" t="n"/>
      <c r="AB149" s="38" t="n"/>
      <c r="AC149" s="38" t="n"/>
      <c r="AD149" s="38" t="n"/>
      <c r="AE149" s="38" t="n"/>
      <c r="AF149" s="36">
        <f>IF($A149="","",$A149&amp;"|"&amp;$C149)</f>
        <v/>
      </c>
      <c r="AG149" s="37">
        <f>IF($A149="","",IFERROR(COUNTIF(L149:M149,"כן")/(COUNTIF(L149:M149,"כן")+COUNTIF(L149:M149,"לא")),""))</f>
        <v/>
      </c>
      <c r="AH149" s="37">
        <f>IF($A149="","",IFERROR(COUNTIF(N149:O149,"כן")/(COUNTIF(N149:O149,"כן")+COUNTIF(N149:O149,"לא")),""))</f>
        <v/>
      </c>
      <c r="AI149" s="37">
        <f>IF($A149="","",IFERROR(COUNTIF(P149:Q149,"כן")/(COUNTIF(P149:Q149,"כן")+COUNTIF(P149:Q149,"לא")),""))</f>
        <v/>
      </c>
      <c r="AJ149" s="37">
        <f>IF($A149="","",IFERROR(COUNTIF(R149:S149,"כן")/(COUNTIF(R149:S149,"כן")+COUNTIF(R149:S149,"לא")),""))</f>
        <v/>
      </c>
      <c r="AK149" s="37">
        <f>IF($A149="","",IFERROR(COUNTIF(T149:U149,"כן")/(COUNTIF(T149:U149,"כן")+COUNTIF(T149:U149,"לא")),""))</f>
        <v/>
      </c>
      <c r="AL149" s="37">
        <f>IF($A149="","",IFERROR(COUNTIF(L149:U149,"כן")/(COUNTIF(L149:U149,"כן")+COUNTIF(L149:U149,"לא")),""))</f>
        <v/>
      </c>
      <c r="AM149" s="45">
        <f>IF($A149="","",IFERROR(AVERAGE(V149:W149),""))</f>
        <v/>
      </c>
      <c r="AN149" s="45">
        <f>IF($A149="","",IFERROR(AVERAGE(X149:Y149),""))</f>
        <v/>
      </c>
      <c r="AO149" s="45">
        <f>IF($A149="","",IFERROR(AVERAGE(Z149:AA149),""))</f>
        <v/>
      </c>
      <c r="AP149" s="45">
        <f>IF($A149="","",IFERROR(AVERAGE(AB149:AC149),""))</f>
        <v/>
      </c>
      <c r="AQ149" s="45">
        <f>IF($A149="","",IFERROR(AVERAGE(AD149),""))</f>
        <v/>
      </c>
      <c r="AR149" s="45">
        <f>IF($A149="","",IFERROR(AVERAGE(V149:AD149),""))</f>
        <v/>
      </c>
      <c r="AS149" s="36">
        <f>IF($A149="","",IF(AND(H149="",J149=""),"לא נבדק",IF(AND(OR(H149="",H149=I149),OR(J149="",J149=K149)),"תואם","לא תואם")))</f>
        <v/>
      </c>
      <c r="AT149" s="36">
        <f>IF($A149="","",IF(AND(AS149&lt;&gt;"לא תואם",G149&lt;&gt;"לא ברור"),"אמין","לפרש בזהירות"))</f>
        <v/>
      </c>
    </row>
    <row r="150">
      <c r="A150" s="38" t="n"/>
      <c r="B150" s="38" t="n"/>
      <c r="C150" s="38" t="n"/>
      <c r="D150" s="38" t="n"/>
      <c r="E150" s="38" t="n"/>
      <c r="F150" s="38" t="n"/>
      <c r="G150" s="38" t="n"/>
      <c r="H150" s="38" t="n"/>
      <c r="I150" s="38" t="n"/>
      <c r="J150" s="38" t="n"/>
      <c r="K150" s="38" t="n"/>
      <c r="L150" s="38" t="n"/>
      <c r="M150" s="38" t="n"/>
      <c r="N150" s="38" t="n"/>
      <c r="O150" s="38" t="n"/>
      <c r="P150" s="38" t="n"/>
      <c r="Q150" s="38" t="n"/>
      <c r="R150" s="38" t="n"/>
      <c r="S150" s="38" t="n"/>
      <c r="T150" s="38" t="n"/>
      <c r="U150" s="38" t="n"/>
      <c r="V150" s="38" t="n"/>
      <c r="W150" s="38" t="n"/>
      <c r="X150" s="38" t="n"/>
      <c r="Y150" s="38" t="n"/>
      <c r="Z150" s="38" t="n"/>
      <c r="AA150" s="38" t="n"/>
      <c r="AB150" s="38" t="n"/>
      <c r="AC150" s="38" t="n"/>
      <c r="AD150" s="38" t="n"/>
      <c r="AE150" s="38" t="n"/>
      <c r="AF150" s="36">
        <f>IF($A150="","",$A150&amp;"|"&amp;$C150)</f>
        <v/>
      </c>
      <c r="AG150" s="37">
        <f>IF($A150="","",IFERROR(COUNTIF(L150:M150,"כן")/(COUNTIF(L150:M150,"כן")+COUNTIF(L150:M150,"לא")),""))</f>
        <v/>
      </c>
      <c r="AH150" s="37">
        <f>IF($A150="","",IFERROR(COUNTIF(N150:O150,"כן")/(COUNTIF(N150:O150,"כן")+COUNTIF(N150:O150,"לא")),""))</f>
        <v/>
      </c>
      <c r="AI150" s="37">
        <f>IF($A150="","",IFERROR(COUNTIF(P150:Q150,"כן")/(COUNTIF(P150:Q150,"כן")+COUNTIF(P150:Q150,"לא")),""))</f>
        <v/>
      </c>
      <c r="AJ150" s="37">
        <f>IF($A150="","",IFERROR(COUNTIF(R150:S150,"כן")/(COUNTIF(R150:S150,"כן")+COUNTIF(R150:S150,"לא")),""))</f>
        <v/>
      </c>
      <c r="AK150" s="37">
        <f>IF($A150="","",IFERROR(COUNTIF(T150:U150,"כן")/(COUNTIF(T150:U150,"כן")+COUNTIF(T150:U150,"לא")),""))</f>
        <v/>
      </c>
      <c r="AL150" s="37">
        <f>IF($A150="","",IFERROR(COUNTIF(L150:U150,"כן")/(COUNTIF(L150:U150,"כן")+COUNTIF(L150:U150,"לא")),""))</f>
        <v/>
      </c>
      <c r="AM150" s="45">
        <f>IF($A150="","",IFERROR(AVERAGE(V150:W150),""))</f>
        <v/>
      </c>
      <c r="AN150" s="45">
        <f>IF($A150="","",IFERROR(AVERAGE(X150:Y150),""))</f>
        <v/>
      </c>
      <c r="AO150" s="45">
        <f>IF($A150="","",IFERROR(AVERAGE(Z150:AA150),""))</f>
        <v/>
      </c>
      <c r="AP150" s="45">
        <f>IF($A150="","",IFERROR(AVERAGE(AB150:AC150),""))</f>
        <v/>
      </c>
      <c r="AQ150" s="45">
        <f>IF($A150="","",IFERROR(AVERAGE(AD150),""))</f>
        <v/>
      </c>
      <c r="AR150" s="45">
        <f>IF($A150="","",IFERROR(AVERAGE(V150:AD150),""))</f>
        <v/>
      </c>
      <c r="AS150" s="36">
        <f>IF($A150="","",IF(AND(H150="",J150=""),"לא נבדק",IF(AND(OR(H150="",H150=I150),OR(J150="",J150=K150)),"תואם","לא תואם")))</f>
        <v/>
      </c>
      <c r="AT150" s="36">
        <f>IF($A150="","",IF(AND(AS150&lt;&gt;"לא תואם",G150&lt;&gt;"לא ברור"),"אמין","לפרש בזהירות"))</f>
        <v/>
      </c>
    </row>
    <row r="151">
      <c r="A151" s="38" t="n"/>
      <c r="B151" s="38" t="n"/>
      <c r="C151" s="38" t="n"/>
      <c r="D151" s="38" t="n"/>
      <c r="E151" s="38" t="n"/>
      <c r="F151" s="38" t="n"/>
      <c r="G151" s="38" t="n"/>
      <c r="H151" s="38" t="n"/>
      <c r="I151" s="38" t="n"/>
      <c r="J151" s="38" t="n"/>
      <c r="K151" s="38" t="n"/>
      <c r="L151" s="38" t="n"/>
      <c r="M151" s="38" t="n"/>
      <c r="N151" s="38" t="n"/>
      <c r="O151" s="38" t="n"/>
      <c r="P151" s="38" t="n"/>
      <c r="Q151" s="38" t="n"/>
      <c r="R151" s="38" t="n"/>
      <c r="S151" s="38" t="n"/>
      <c r="T151" s="38" t="n"/>
      <c r="U151" s="38" t="n"/>
      <c r="V151" s="38" t="n"/>
      <c r="W151" s="38" t="n"/>
      <c r="X151" s="38" t="n"/>
      <c r="Y151" s="38" t="n"/>
      <c r="Z151" s="38" t="n"/>
      <c r="AA151" s="38" t="n"/>
      <c r="AB151" s="38" t="n"/>
      <c r="AC151" s="38" t="n"/>
      <c r="AD151" s="38" t="n"/>
      <c r="AE151" s="38" t="n"/>
      <c r="AF151" s="36">
        <f>IF($A151="","",$A151&amp;"|"&amp;$C151)</f>
        <v/>
      </c>
      <c r="AG151" s="37">
        <f>IF($A151="","",IFERROR(COUNTIF(L151:M151,"כן")/(COUNTIF(L151:M151,"כן")+COUNTIF(L151:M151,"לא")),""))</f>
        <v/>
      </c>
      <c r="AH151" s="37">
        <f>IF($A151="","",IFERROR(COUNTIF(N151:O151,"כן")/(COUNTIF(N151:O151,"כן")+COUNTIF(N151:O151,"לא")),""))</f>
        <v/>
      </c>
      <c r="AI151" s="37">
        <f>IF($A151="","",IFERROR(COUNTIF(P151:Q151,"כן")/(COUNTIF(P151:Q151,"כן")+COUNTIF(P151:Q151,"לא")),""))</f>
        <v/>
      </c>
      <c r="AJ151" s="37">
        <f>IF($A151="","",IFERROR(COUNTIF(R151:S151,"כן")/(COUNTIF(R151:S151,"כן")+COUNTIF(R151:S151,"לא")),""))</f>
        <v/>
      </c>
      <c r="AK151" s="37">
        <f>IF($A151="","",IFERROR(COUNTIF(T151:U151,"כן")/(COUNTIF(T151:U151,"כן")+COUNTIF(T151:U151,"לא")),""))</f>
        <v/>
      </c>
      <c r="AL151" s="37">
        <f>IF($A151="","",IFERROR(COUNTIF(L151:U151,"כן")/(COUNTIF(L151:U151,"כן")+COUNTIF(L151:U151,"לא")),""))</f>
        <v/>
      </c>
      <c r="AM151" s="45">
        <f>IF($A151="","",IFERROR(AVERAGE(V151:W151),""))</f>
        <v/>
      </c>
      <c r="AN151" s="45">
        <f>IF($A151="","",IFERROR(AVERAGE(X151:Y151),""))</f>
        <v/>
      </c>
      <c r="AO151" s="45">
        <f>IF($A151="","",IFERROR(AVERAGE(Z151:AA151),""))</f>
        <v/>
      </c>
      <c r="AP151" s="45">
        <f>IF($A151="","",IFERROR(AVERAGE(AB151:AC151),""))</f>
        <v/>
      </c>
      <c r="AQ151" s="45">
        <f>IF($A151="","",IFERROR(AVERAGE(AD151),""))</f>
        <v/>
      </c>
      <c r="AR151" s="45">
        <f>IF($A151="","",IFERROR(AVERAGE(V151:AD151),""))</f>
        <v/>
      </c>
      <c r="AS151" s="36">
        <f>IF($A151="","",IF(AND(H151="",J151=""),"לא נבדק",IF(AND(OR(H151="",H151=I151),OR(J151="",J151=K151)),"תואם","לא תואם")))</f>
        <v/>
      </c>
      <c r="AT151" s="36">
        <f>IF($A151="","",IF(AND(AS151&lt;&gt;"לא תואם",G151&lt;&gt;"לא ברור"),"אמין","לפרש בזהירות"))</f>
        <v/>
      </c>
    </row>
    <row r="152">
      <c r="A152" s="38" t="n"/>
      <c r="B152" s="38" t="n"/>
      <c r="C152" s="38" t="n"/>
      <c r="D152" s="38" t="n"/>
      <c r="E152" s="38" t="n"/>
      <c r="F152" s="38" t="n"/>
      <c r="G152" s="38" t="n"/>
      <c r="H152" s="38" t="n"/>
      <c r="I152" s="38" t="n"/>
      <c r="J152" s="38" t="n"/>
      <c r="K152" s="38" t="n"/>
      <c r="L152" s="38" t="n"/>
      <c r="M152" s="38" t="n"/>
      <c r="N152" s="38" t="n"/>
      <c r="O152" s="38" t="n"/>
      <c r="P152" s="38" t="n"/>
      <c r="Q152" s="38" t="n"/>
      <c r="R152" s="38" t="n"/>
      <c r="S152" s="38" t="n"/>
      <c r="T152" s="38" t="n"/>
      <c r="U152" s="38" t="n"/>
      <c r="V152" s="38" t="n"/>
      <c r="W152" s="38" t="n"/>
      <c r="X152" s="38" t="n"/>
      <c r="Y152" s="38" t="n"/>
      <c r="Z152" s="38" t="n"/>
      <c r="AA152" s="38" t="n"/>
      <c r="AB152" s="38" t="n"/>
      <c r="AC152" s="38" t="n"/>
      <c r="AD152" s="38" t="n"/>
      <c r="AE152" s="38" t="n"/>
      <c r="AF152" s="36">
        <f>IF($A152="","",$A152&amp;"|"&amp;$C152)</f>
        <v/>
      </c>
      <c r="AG152" s="37">
        <f>IF($A152="","",IFERROR(COUNTIF(L152:M152,"כן")/(COUNTIF(L152:M152,"כן")+COUNTIF(L152:M152,"לא")),""))</f>
        <v/>
      </c>
      <c r="AH152" s="37">
        <f>IF($A152="","",IFERROR(COUNTIF(N152:O152,"כן")/(COUNTIF(N152:O152,"כן")+COUNTIF(N152:O152,"לא")),""))</f>
        <v/>
      </c>
      <c r="AI152" s="37">
        <f>IF($A152="","",IFERROR(COUNTIF(P152:Q152,"כן")/(COUNTIF(P152:Q152,"כן")+COUNTIF(P152:Q152,"לא")),""))</f>
        <v/>
      </c>
      <c r="AJ152" s="37">
        <f>IF($A152="","",IFERROR(COUNTIF(R152:S152,"כן")/(COUNTIF(R152:S152,"כן")+COUNTIF(R152:S152,"לא")),""))</f>
        <v/>
      </c>
      <c r="AK152" s="37">
        <f>IF($A152="","",IFERROR(COUNTIF(T152:U152,"כן")/(COUNTIF(T152:U152,"כן")+COUNTIF(T152:U152,"לא")),""))</f>
        <v/>
      </c>
      <c r="AL152" s="37">
        <f>IF($A152="","",IFERROR(COUNTIF(L152:U152,"כן")/(COUNTIF(L152:U152,"כן")+COUNTIF(L152:U152,"לא")),""))</f>
        <v/>
      </c>
      <c r="AM152" s="45">
        <f>IF($A152="","",IFERROR(AVERAGE(V152:W152),""))</f>
        <v/>
      </c>
      <c r="AN152" s="45">
        <f>IF($A152="","",IFERROR(AVERAGE(X152:Y152),""))</f>
        <v/>
      </c>
      <c r="AO152" s="45">
        <f>IF($A152="","",IFERROR(AVERAGE(Z152:AA152),""))</f>
        <v/>
      </c>
      <c r="AP152" s="45">
        <f>IF($A152="","",IFERROR(AVERAGE(AB152:AC152),""))</f>
        <v/>
      </c>
      <c r="AQ152" s="45">
        <f>IF($A152="","",IFERROR(AVERAGE(AD152),""))</f>
        <v/>
      </c>
      <c r="AR152" s="45">
        <f>IF($A152="","",IFERROR(AVERAGE(V152:AD152),""))</f>
        <v/>
      </c>
      <c r="AS152" s="36">
        <f>IF($A152="","",IF(AND(H152="",J152=""),"לא נבדק",IF(AND(OR(H152="",H152=I152),OR(J152="",J152=K152)),"תואם","לא תואם")))</f>
        <v/>
      </c>
      <c r="AT152" s="36">
        <f>IF($A152="","",IF(AND(AS152&lt;&gt;"לא תואם",G152&lt;&gt;"לא ברור"),"אמין","לפרש בזהירות"))</f>
        <v/>
      </c>
    </row>
    <row r="153">
      <c r="A153" s="38" t="n"/>
      <c r="B153" s="38" t="n"/>
      <c r="C153" s="38" t="n"/>
      <c r="D153" s="38" t="n"/>
      <c r="E153" s="38" t="n"/>
      <c r="F153" s="38" t="n"/>
      <c r="G153" s="38" t="n"/>
      <c r="H153" s="38" t="n"/>
      <c r="I153" s="38" t="n"/>
      <c r="J153" s="38" t="n"/>
      <c r="K153" s="38" t="n"/>
      <c r="L153" s="38" t="n"/>
      <c r="M153" s="38" t="n"/>
      <c r="N153" s="38" t="n"/>
      <c r="O153" s="38" t="n"/>
      <c r="P153" s="38" t="n"/>
      <c r="Q153" s="38" t="n"/>
      <c r="R153" s="38" t="n"/>
      <c r="S153" s="38" t="n"/>
      <c r="T153" s="38" t="n"/>
      <c r="U153" s="38" t="n"/>
      <c r="V153" s="38" t="n"/>
      <c r="W153" s="38" t="n"/>
      <c r="X153" s="38" t="n"/>
      <c r="Y153" s="38" t="n"/>
      <c r="Z153" s="38" t="n"/>
      <c r="AA153" s="38" t="n"/>
      <c r="AB153" s="38" t="n"/>
      <c r="AC153" s="38" t="n"/>
      <c r="AD153" s="38" t="n"/>
      <c r="AE153" s="38" t="n"/>
      <c r="AF153" s="36">
        <f>IF($A153="","",$A153&amp;"|"&amp;$C153)</f>
        <v/>
      </c>
      <c r="AG153" s="37">
        <f>IF($A153="","",IFERROR(COUNTIF(L153:M153,"כן")/(COUNTIF(L153:M153,"כן")+COUNTIF(L153:M153,"לא")),""))</f>
        <v/>
      </c>
      <c r="AH153" s="37">
        <f>IF($A153="","",IFERROR(COUNTIF(N153:O153,"כן")/(COUNTIF(N153:O153,"כן")+COUNTIF(N153:O153,"לא")),""))</f>
        <v/>
      </c>
      <c r="AI153" s="37">
        <f>IF($A153="","",IFERROR(COUNTIF(P153:Q153,"כן")/(COUNTIF(P153:Q153,"כן")+COUNTIF(P153:Q153,"לא")),""))</f>
        <v/>
      </c>
      <c r="AJ153" s="37">
        <f>IF($A153="","",IFERROR(COUNTIF(R153:S153,"כן")/(COUNTIF(R153:S153,"כן")+COUNTIF(R153:S153,"לא")),""))</f>
        <v/>
      </c>
      <c r="AK153" s="37">
        <f>IF($A153="","",IFERROR(COUNTIF(T153:U153,"כן")/(COUNTIF(T153:U153,"כן")+COUNTIF(T153:U153,"לא")),""))</f>
        <v/>
      </c>
      <c r="AL153" s="37">
        <f>IF($A153="","",IFERROR(COUNTIF(L153:U153,"כן")/(COUNTIF(L153:U153,"כן")+COUNTIF(L153:U153,"לא")),""))</f>
        <v/>
      </c>
      <c r="AM153" s="45">
        <f>IF($A153="","",IFERROR(AVERAGE(V153:W153),""))</f>
        <v/>
      </c>
      <c r="AN153" s="45">
        <f>IF($A153="","",IFERROR(AVERAGE(X153:Y153),""))</f>
        <v/>
      </c>
      <c r="AO153" s="45">
        <f>IF($A153="","",IFERROR(AVERAGE(Z153:AA153),""))</f>
        <v/>
      </c>
      <c r="AP153" s="45">
        <f>IF($A153="","",IFERROR(AVERAGE(AB153:AC153),""))</f>
        <v/>
      </c>
      <c r="AQ153" s="45">
        <f>IF($A153="","",IFERROR(AVERAGE(AD153),""))</f>
        <v/>
      </c>
      <c r="AR153" s="45">
        <f>IF($A153="","",IFERROR(AVERAGE(V153:AD153),""))</f>
        <v/>
      </c>
      <c r="AS153" s="36">
        <f>IF($A153="","",IF(AND(H153="",J153=""),"לא נבדק",IF(AND(OR(H153="",H153=I153),OR(J153="",J153=K153)),"תואם","לא תואם")))</f>
        <v/>
      </c>
      <c r="AT153" s="36">
        <f>IF($A153="","",IF(AND(AS153&lt;&gt;"לא תואם",G153&lt;&gt;"לא ברור"),"אמין","לפרש בזהירות"))</f>
        <v/>
      </c>
    </row>
    <row r="154">
      <c r="A154" s="38" t="n"/>
      <c r="B154" s="38" t="n"/>
      <c r="C154" s="38" t="n"/>
      <c r="D154" s="38" t="n"/>
      <c r="E154" s="38" t="n"/>
      <c r="F154" s="38" t="n"/>
      <c r="G154" s="38" t="n"/>
      <c r="H154" s="38" t="n"/>
      <c r="I154" s="38" t="n"/>
      <c r="J154" s="38" t="n"/>
      <c r="K154" s="38" t="n"/>
      <c r="L154" s="38" t="n"/>
      <c r="M154" s="38" t="n"/>
      <c r="N154" s="38" t="n"/>
      <c r="O154" s="38" t="n"/>
      <c r="P154" s="38" t="n"/>
      <c r="Q154" s="38" t="n"/>
      <c r="R154" s="38" t="n"/>
      <c r="S154" s="38" t="n"/>
      <c r="T154" s="38" t="n"/>
      <c r="U154" s="38" t="n"/>
      <c r="V154" s="38" t="n"/>
      <c r="W154" s="38" t="n"/>
      <c r="X154" s="38" t="n"/>
      <c r="Y154" s="38" t="n"/>
      <c r="Z154" s="38" t="n"/>
      <c r="AA154" s="38" t="n"/>
      <c r="AB154" s="38" t="n"/>
      <c r="AC154" s="38" t="n"/>
      <c r="AD154" s="38" t="n"/>
      <c r="AE154" s="38" t="n"/>
      <c r="AF154" s="36">
        <f>IF($A154="","",$A154&amp;"|"&amp;$C154)</f>
        <v/>
      </c>
      <c r="AG154" s="37">
        <f>IF($A154="","",IFERROR(COUNTIF(L154:M154,"כן")/(COUNTIF(L154:M154,"כן")+COUNTIF(L154:M154,"לא")),""))</f>
        <v/>
      </c>
      <c r="AH154" s="37">
        <f>IF($A154="","",IFERROR(COUNTIF(N154:O154,"כן")/(COUNTIF(N154:O154,"כן")+COUNTIF(N154:O154,"לא")),""))</f>
        <v/>
      </c>
      <c r="AI154" s="37">
        <f>IF($A154="","",IFERROR(COUNTIF(P154:Q154,"כן")/(COUNTIF(P154:Q154,"כן")+COUNTIF(P154:Q154,"לא")),""))</f>
        <v/>
      </c>
      <c r="AJ154" s="37">
        <f>IF($A154="","",IFERROR(COUNTIF(R154:S154,"כן")/(COUNTIF(R154:S154,"כן")+COUNTIF(R154:S154,"לא")),""))</f>
        <v/>
      </c>
      <c r="AK154" s="37">
        <f>IF($A154="","",IFERROR(COUNTIF(T154:U154,"כן")/(COUNTIF(T154:U154,"כן")+COUNTIF(T154:U154,"לא")),""))</f>
        <v/>
      </c>
      <c r="AL154" s="37">
        <f>IF($A154="","",IFERROR(COUNTIF(L154:U154,"כן")/(COUNTIF(L154:U154,"כן")+COUNTIF(L154:U154,"לא")),""))</f>
        <v/>
      </c>
      <c r="AM154" s="45">
        <f>IF($A154="","",IFERROR(AVERAGE(V154:W154),""))</f>
        <v/>
      </c>
      <c r="AN154" s="45">
        <f>IF($A154="","",IFERROR(AVERAGE(X154:Y154),""))</f>
        <v/>
      </c>
      <c r="AO154" s="45">
        <f>IF($A154="","",IFERROR(AVERAGE(Z154:AA154),""))</f>
        <v/>
      </c>
      <c r="AP154" s="45">
        <f>IF($A154="","",IFERROR(AVERAGE(AB154:AC154),""))</f>
        <v/>
      </c>
      <c r="AQ154" s="45">
        <f>IF($A154="","",IFERROR(AVERAGE(AD154),""))</f>
        <v/>
      </c>
      <c r="AR154" s="45">
        <f>IF($A154="","",IFERROR(AVERAGE(V154:AD154),""))</f>
        <v/>
      </c>
      <c r="AS154" s="36">
        <f>IF($A154="","",IF(AND(H154="",J154=""),"לא נבדק",IF(AND(OR(H154="",H154=I154),OR(J154="",J154=K154)),"תואם","לא תואם")))</f>
        <v/>
      </c>
      <c r="AT154" s="36">
        <f>IF($A154="","",IF(AND(AS154&lt;&gt;"לא תואם",G154&lt;&gt;"לא ברור"),"אמין","לפרש בזהירות"))</f>
        <v/>
      </c>
    </row>
    <row r="155">
      <c r="A155" s="38" t="n"/>
      <c r="B155" s="38" t="n"/>
      <c r="C155" s="38" t="n"/>
      <c r="D155" s="38" t="n"/>
      <c r="E155" s="38" t="n"/>
      <c r="F155" s="38" t="n"/>
      <c r="G155" s="38" t="n"/>
      <c r="H155" s="38" t="n"/>
      <c r="I155" s="38" t="n"/>
      <c r="J155" s="38" t="n"/>
      <c r="K155" s="38" t="n"/>
      <c r="L155" s="38" t="n"/>
      <c r="M155" s="38" t="n"/>
      <c r="N155" s="38" t="n"/>
      <c r="O155" s="38" t="n"/>
      <c r="P155" s="38" t="n"/>
      <c r="Q155" s="38" t="n"/>
      <c r="R155" s="38" t="n"/>
      <c r="S155" s="38" t="n"/>
      <c r="T155" s="38" t="n"/>
      <c r="U155" s="38" t="n"/>
      <c r="V155" s="38" t="n"/>
      <c r="W155" s="38" t="n"/>
      <c r="X155" s="38" t="n"/>
      <c r="Y155" s="38" t="n"/>
      <c r="Z155" s="38" t="n"/>
      <c r="AA155" s="38" t="n"/>
      <c r="AB155" s="38" t="n"/>
      <c r="AC155" s="38" t="n"/>
      <c r="AD155" s="38" t="n"/>
      <c r="AE155" s="38" t="n"/>
      <c r="AF155" s="36">
        <f>IF($A155="","",$A155&amp;"|"&amp;$C155)</f>
        <v/>
      </c>
      <c r="AG155" s="37">
        <f>IF($A155="","",IFERROR(COUNTIF(L155:M155,"כן")/(COUNTIF(L155:M155,"כן")+COUNTIF(L155:M155,"לא")),""))</f>
        <v/>
      </c>
      <c r="AH155" s="37">
        <f>IF($A155="","",IFERROR(COUNTIF(N155:O155,"כן")/(COUNTIF(N155:O155,"כן")+COUNTIF(N155:O155,"לא")),""))</f>
        <v/>
      </c>
      <c r="AI155" s="37">
        <f>IF($A155="","",IFERROR(COUNTIF(P155:Q155,"כן")/(COUNTIF(P155:Q155,"כן")+COUNTIF(P155:Q155,"לא")),""))</f>
        <v/>
      </c>
      <c r="AJ155" s="37">
        <f>IF($A155="","",IFERROR(COUNTIF(R155:S155,"כן")/(COUNTIF(R155:S155,"כן")+COUNTIF(R155:S155,"לא")),""))</f>
        <v/>
      </c>
      <c r="AK155" s="37">
        <f>IF($A155="","",IFERROR(COUNTIF(T155:U155,"כן")/(COUNTIF(T155:U155,"כן")+COUNTIF(T155:U155,"לא")),""))</f>
        <v/>
      </c>
      <c r="AL155" s="37">
        <f>IF($A155="","",IFERROR(COUNTIF(L155:U155,"כן")/(COUNTIF(L155:U155,"כן")+COUNTIF(L155:U155,"לא")),""))</f>
        <v/>
      </c>
      <c r="AM155" s="45">
        <f>IF($A155="","",IFERROR(AVERAGE(V155:W155),""))</f>
        <v/>
      </c>
      <c r="AN155" s="45">
        <f>IF($A155="","",IFERROR(AVERAGE(X155:Y155),""))</f>
        <v/>
      </c>
      <c r="AO155" s="45">
        <f>IF($A155="","",IFERROR(AVERAGE(Z155:AA155),""))</f>
        <v/>
      </c>
      <c r="AP155" s="45">
        <f>IF($A155="","",IFERROR(AVERAGE(AB155:AC155),""))</f>
        <v/>
      </c>
      <c r="AQ155" s="45">
        <f>IF($A155="","",IFERROR(AVERAGE(AD155),""))</f>
        <v/>
      </c>
      <c r="AR155" s="45">
        <f>IF($A155="","",IFERROR(AVERAGE(V155:AD155),""))</f>
        <v/>
      </c>
      <c r="AS155" s="36">
        <f>IF($A155="","",IF(AND(H155="",J155=""),"לא נבדק",IF(AND(OR(H155="",H155=I155),OR(J155="",J155=K155)),"תואם","לא תואם")))</f>
        <v/>
      </c>
      <c r="AT155" s="36">
        <f>IF($A155="","",IF(AND(AS155&lt;&gt;"לא תואם",G155&lt;&gt;"לא ברור"),"אמין","לפרש בזהירות"))</f>
        <v/>
      </c>
    </row>
    <row r="156">
      <c r="A156" s="38" t="n"/>
      <c r="B156" s="38" t="n"/>
      <c r="C156" s="38" t="n"/>
      <c r="D156" s="38" t="n"/>
      <c r="E156" s="38" t="n"/>
      <c r="F156" s="38" t="n"/>
      <c r="G156" s="38" t="n"/>
      <c r="H156" s="38" t="n"/>
      <c r="I156" s="38" t="n"/>
      <c r="J156" s="38" t="n"/>
      <c r="K156" s="38" t="n"/>
      <c r="L156" s="38" t="n"/>
      <c r="M156" s="38" t="n"/>
      <c r="N156" s="38" t="n"/>
      <c r="O156" s="38" t="n"/>
      <c r="P156" s="38" t="n"/>
      <c r="Q156" s="38" t="n"/>
      <c r="R156" s="38" t="n"/>
      <c r="S156" s="38" t="n"/>
      <c r="T156" s="38" t="n"/>
      <c r="U156" s="38" t="n"/>
      <c r="V156" s="38" t="n"/>
      <c r="W156" s="38" t="n"/>
      <c r="X156" s="38" t="n"/>
      <c r="Y156" s="38" t="n"/>
      <c r="Z156" s="38" t="n"/>
      <c r="AA156" s="38" t="n"/>
      <c r="AB156" s="38" t="n"/>
      <c r="AC156" s="38" t="n"/>
      <c r="AD156" s="38" t="n"/>
      <c r="AE156" s="38" t="n"/>
      <c r="AF156" s="36">
        <f>IF($A156="","",$A156&amp;"|"&amp;$C156)</f>
        <v/>
      </c>
      <c r="AG156" s="37">
        <f>IF($A156="","",IFERROR(COUNTIF(L156:M156,"כן")/(COUNTIF(L156:M156,"כן")+COUNTIF(L156:M156,"לא")),""))</f>
        <v/>
      </c>
      <c r="AH156" s="37">
        <f>IF($A156="","",IFERROR(COUNTIF(N156:O156,"כן")/(COUNTIF(N156:O156,"כן")+COUNTIF(N156:O156,"לא")),""))</f>
        <v/>
      </c>
      <c r="AI156" s="37">
        <f>IF($A156="","",IFERROR(COUNTIF(P156:Q156,"כן")/(COUNTIF(P156:Q156,"כן")+COUNTIF(P156:Q156,"לא")),""))</f>
        <v/>
      </c>
      <c r="AJ156" s="37">
        <f>IF($A156="","",IFERROR(COUNTIF(R156:S156,"כן")/(COUNTIF(R156:S156,"כן")+COUNTIF(R156:S156,"לא")),""))</f>
        <v/>
      </c>
      <c r="AK156" s="37">
        <f>IF($A156="","",IFERROR(COUNTIF(T156:U156,"כן")/(COUNTIF(T156:U156,"כן")+COUNTIF(T156:U156,"לא")),""))</f>
        <v/>
      </c>
      <c r="AL156" s="37">
        <f>IF($A156="","",IFERROR(COUNTIF(L156:U156,"כן")/(COUNTIF(L156:U156,"כן")+COUNTIF(L156:U156,"לא")),""))</f>
        <v/>
      </c>
      <c r="AM156" s="45">
        <f>IF($A156="","",IFERROR(AVERAGE(V156:W156),""))</f>
        <v/>
      </c>
      <c r="AN156" s="45">
        <f>IF($A156="","",IFERROR(AVERAGE(X156:Y156),""))</f>
        <v/>
      </c>
      <c r="AO156" s="45">
        <f>IF($A156="","",IFERROR(AVERAGE(Z156:AA156),""))</f>
        <v/>
      </c>
      <c r="AP156" s="45">
        <f>IF($A156="","",IFERROR(AVERAGE(AB156:AC156),""))</f>
        <v/>
      </c>
      <c r="AQ156" s="45">
        <f>IF($A156="","",IFERROR(AVERAGE(AD156),""))</f>
        <v/>
      </c>
      <c r="AR156" s="45">
        <f>IF($A156="","",IFERROR(AVERAGE(V156:AD156),""))</f>
        <v/>
      </c>
      <c r="AS156" s="36">
        <f>IF($A156="","",IF(AND(H156="",J156=""),"לא נבדק",IF(AND(OR(H156="",H156=I156),OR(J156="",J156=K156)),"תואם","לא תואם")))</f>
        <v/>
      </c>
      <c r="AT156" s="36">
        <f>IF($A156="","",IF(AND(AS156&lt;&gt;"לא תואם",G156&lt;&gt;"לא ברור"),"אמין","לפרש בזהירות"))</f>
        <v/>
      </c>
    </row>
    <row r="157">
      <c r="A157" s="38" t="n"/>
      <c r="B157" s="38" t="n"/>
      <c r="C157" s="38" t="n"/>
      <c r="D157" s="38" t="n"/>
      <c r="E157" s="38" t="n"/>
      <c r="F157" s="38" t="n"/>
      <c r="G157" s="38" t="n"/>
      <c r="H157" s="38" t="n"/>
      <c r="I157" s="38" t="n"/>
      <c r="J157" s="38" t="n"/>
      <c r="K157" s="38" t="n"/>
      <c r="L157" s="38" t="n"/>
      <c r="M157" s="38" t="n"/>
      <c r="N157" s="38" t="n"/>
      <c r="O157" s="38" t="n"/>
      <c r="P157" s="38" t="n"/>
      <c r="Q157" s="38" t="n"/>
      <c r="R157" s="38" t="n"/>
      <c r="S157" s="38" t="n"/>
      <c r="T157" s="38" t="n"/>
      <c r="U157" s="38" t="n"/>
      <c r="V157" s="38" t="n"/>
      <c r="W157" s="38" t="n"/>
      <c r="X157" s="38" t="n"/>
      <c r="Y157" s="38" t="n"/>
      <c r="Z157" s="38" t="n"/>
      <c r="AA157" s="38" t="n"/>
      <c r="AB157" s="38" t="n"/>
      <c r="AC157" s="38" t="n"/>
      <c r="AD157" s="38" t="n"/>
      <c r="AE157" s="38" t="n"/>
      <c r="AF157" s="36">
        <f>IF($A157="","",$A157&amp;"|"&amp;$C157)</f>
        <v/>
      </c>
      <c r="AG157" s="37">
        <f>IF($A157="","",IFERROR(COUNTIF(L157:M157,"כן")/(COUNTIF(L157:M157,"כן")+COUNTIF(L157:M157,"לא")),""))</f>
        <v/>
      </c>
      <c r="AH157" s="37">
        <f>IF($A157="","",IFERROR(COUNTIF(N157:O157,"כן")/(COUNTIF(N157:O157,"כן")+COUNTIF(N157:O157,"לא")),""))</f>
        <v/>
      </c>
      <c r="AI157" s="37">
        <f>IF($A157="","",IFERROR(COUNTIF(P157:Q157,"כן")/(COUNTIF(P157:Q157,"כן")+COUNTIF(P157:Q157,"לא")),""))</f>
        <v/>
      </c>
      <c r="AJ157" s="37">
        <f>IF($A157="","",IFERROR(COUNTIF(R157:S157,"כן")/(COUNTIF(R157:S157,"כן")+COUNTIF(R157:S157,"לא")),""))</f>
        <v/>
      </c>
      <c r="AK157" s="37">
        <f>IF($A157="","",IFERROR(COUNTIF(T157:U157,"כן")/(COUNTIF(T157:U157,"כן")+COUNTIF(T157:U157,"לא")),""))</f>
        <v/>
      </c>
      <c r="AL157" s="37">
        <f>IF($A157="","",IFERROR(COUNTIF(L157:U157,"כן")/(COUNTIF(L157:U157,"כן")+COUNTIF(L157:U157,"לא")),""))</f>
        <v/>
      </c>
      <c r="AM157" s="45">
        <f>IF($A157="","",IFERROR(AVERAGE(V157:W157),""))</f>
        <v/>
      </c>
      <c r="AN157" s="45">
        <f>IF($A157="","",IFERROR(AVERAGE(X157:Y157),""))</f>
        <v/>
      </c>
      <c r="AO157" s="45">
        <f>IF($A157="","",IFERROR(AVERAGE(Z157:AA157),""))</f>
        <v/>
      </c>
      <c r="AP157" s="45">
        <f>IF($A157="","",IFERROR(AVERAGE(AB157:AC157),""))</f>
        <v/>
      </c>
      <c r="AQ157" s="45">
        <f>IF($A157="","",IFERROR(AVERAGE(AD157),""))</f>
        <v/>
      </c>
      <c r="AR157" s="45">
        <f>IF($A157="","",IFERROR(AVERAGE(V157:AD157),""))</f>
        <v/>
      </c>
      <c r="AS157" s="36">
        <f>IF($A157="","",IF(AND(H157="",J157=""),"לא נבדק",IF(AND(OR(H157="",H157=I157),OR(J157="",J157=K157)),"תואם","לא תואם")))</f>
        <v/>
      </c>
      <c r="AT157" s="36">
        <f>IF($A157="","",IF(AND(AS157&lt;&gt;"לא תואם",G157&lt;&gt;"לא ברור"),"אמין","לפרש בזהירות"))</f>
        <v/>
      </c>
    </row>
    <row r="158">
      <c r="A158" s="38" t="n"/>
      <c r="B158" s="38" t="n"/>
      <c r="C158" s="38" t="n"/>
      <c r="D158" s="38" t="n"/>
      <c r="E158" s="38" t="n"/>
      <c r="F158" s="38" t="n"/>
      <c r="G158" s="38" t="n"/>
      <c r="H158" s="38" t="n"/>
      <c r="I158" s="38" t="n"/>
      <c r="J158" s="38" t="n"/>
      <c r="K158" s="38" t="n"/>
      <c r="L158" s="38" t="n"/>
      <c r="M158" s="38" t="n"/>
      <c r="N158" s="38" t="n"/>
      <c r="O158" s="38" t="n"/>
      <c r="P158" s="38" t="n"/>
      <c r="Q158" s="38" t="n"/>
      <c r="R158" s="38" t="n"/>
      <c r="S158" s="38" t="n"/>
      <c r="T158" s="38" t="n"/>
      <c r="U158" s="38" t="n"/>
      <c r="V158" s="38" t="n"/>
      <c r="W158" s="38" t="n"/>
      <c r="X158" s="38" t="n"/>
      <c r="Y158" s="38" t="n"/>
      <c r="Z158" s="38" t="n"/>
      <c r="AA158" s="38" t="n"/>
      <c r="AB158" s="38" t="n"/>
      <c r="AC158" s="38" t="n"/>
      <c r="AD158" s="38" t="n"/>
      <c r="AE158" s="38" t="n"/>
      <c r="AF158" s="36">
        <f>IF($A158="","",$A158&amp;"|"&amp;$C158)</f>
        <v/>
      </c>
      <c r="AG158" s="37">
        <f>IF($A158="","",IFERROR(COUNTIF(L158:M158,"כן")/(COUNTIF(L158:M158,"כן")+COUNTIF(L158:M158,"לא")),""))</f>
        <v/>
      </c>
      <c r="AH158" s="37">
        <f>IF($A158="","",IFERROR(COUNTIF(N158:O158,"כן")/(COUNTIF(N158:O158,"כן")+COUNTIF(N158:O158,"לא")),""))</f>
        <v/>
      </c>
      <c r="AI158" s="37">
        <f>IF($A158="","",IFERROR(COUNTIF(P158:Q158,"כן")/(COUNTIF(P158:Q158,"כן")+COUNTIF(P158:Q158,"לא")),""))</f>
        <v/>
      </c>
      <c r="AJ158" s="37">
        <f>IF($A158="","",IFERROR(COUNTIF(R158:S158,"כן")/(COUNTIF(R158:S158,"כן")+COUNTIF(R158:S158,"לא")),""))</f>
        <v/>
      </c>
      <c r="AK158" s="37">
        <f>IF($A158="","",IFERROR(COUNTIF(T158:U158,"כן")/(COUNTIF(T158:U158,"כן")+COUNTIF(T158:U158,"לא")),""))</f>
        <v/>
      </c>
      <c r="AL158" s="37">
        <f>IF($A158="","",IFERROR(COUNTIF(L158:U158,"כן")/(COUNTIF(L158:U158,"כן")+COUNTIF(L158:U158,"לא")),""))</f>
        <v/>
      </c>
      <c r="AM158" s="45">
        <f>IF($A158="","",IFERROR(AVERAGE(V158:W158),""))</f>
        <v/>
      </c>
      <c r="AN158" s="45">
        <f>IF($A158="","",IFERROR(AVERAGE(X158:Y158),""))</f>
        <v/>
      </c>
      <c r="AO158" s="45">
        <f>IF($A158="","",IFERROR(AVERAGE(Z158:AA158),""))</f>
        <v/>
      </c>
      <c r="AP158" s="45">
        <f>IF($A158="","",IFERROR(AVERAGE(AB158:AC158),""))</f>
        <v/>
      </c>
      <c r="AQ158" s="45">
        <f>IF($A158="","",IFERROR(AVERAGE(AD158),""))</f>
        <v/>
      </c>
      <c r="AR158" s="45">
        <f>IF($A158="","",IFERROR(AVERAGE(V158:AD158),""))</f>
        <v/>
      </c>
      <c r="AS158" s="36">
        <f>IF($A158="","",IF(AND(H158="",J158=""),"לא נבדק",IF(AND(OR(H158="",H158=I158),OR(J158="",J158=K158)),"תואם","לא תואם")))</f>
        <v/>
      </c>
      <c r="AT158" s="36">
        <f>IF($A158="","",IF(AND(AS158&lt;&gt;"לא תואם",G158&lt;&gt;"לא ברור"),"אמין","לפרש בזהירות"))</f>
        <v/>
      </c>
    </row>
    <row r="159">
      <c r="A159" s="38" t="n"/>
      <c r="B159" s="38" t="n"/>
      <c r="C159" s="38" t="n"/>
      <c r="D159" s="38" t="n"/>
      <c r="E159" s="38" t="n"/>
      <c r="F159" s="38" t="n"/>
      <c r="G159" s="38" t="n"/>
      <c r="H159" s="38" t="n"/>
      <c r="I159" s="38" t="n"/>
      <c r="J159" s="38" t="n"/>
      <c r="K159" s="38" t="n"/>
      <c r="L159" s="38" t="n"/>
      <c r="M159" s="38" t="n"/>
      <c r="N159" s="38" t="n"/>
      <c r="O159" s="38" t="n"/>
      <c r="P159" s="38" t="n"/>
      <c r="Q159" s="38" t="n"/>
      <c r="R159" s="38" t="n"/>
      <c r="S159" s="38" t="n"/>
      <c r="T159" s="38" t="n"/>
      <c r="U159" s="38" t="n"/>
      <c r="V159" s="38" t="n"/>
      <c r="W159" s="38" t="n"/>
      <c r="X159" s="38" t="n"/>
      <c r="Y159" s="38" t="n"/>
      <c r="Z159" s="38" t="n"/>
      <c r="AA159" s="38" t="n"/>
      <c r="AB159" s="38" t="n"/>
      <c r="AC159" s="38" t="n"/>
      <c r="AD159" s="38" t="n"/>
      <c r="AE159" s="38" t="n"/>
      <c r="AF159" s="36">
        <f>IF($A159="","",$A159&amp;"|"&amp;$C159)</f>
        <v/>
      </c>
      <c r="AG159" s="37">
        <f>IF($A159="","",IFERROR(COUNTIF(L159:M159,"כן")/(COUNTIF(L159:M159,"כן")+COUNTIF(L159:M159,"לא")),""))</f>
        <v/>
      </c>
      <c r="AH159" s="37">
        <f>IF($A159="","",IFERROR(COUNTIF(N159:O159,"כן")/(COUNTIF(N159:O159,"כן")+COUNTIF(N159:O159,"לא")),""))</f>
        <v/>
      </c>
      <c r="AI159" s="37">
        <f>IF($A159="","",IFERROR(COUNTIF(P159:Q159,"כן")/(COUNTIF(P159:Q159,"כן")+COUNTIF(P159:Q159,"לא")),""))</f>
        <v/>
      </c>
      <c r="AJ159" s="37">
        <f>IF($A159="","",IFERROR(COUNTIF(R159:S159,"כן")/(COUNTIF(R159:S159,"כן")+COUNTIF(R159:S159,"לא")),""))</f>
        <v/>
      </c>
      <c r="AK159" s="37">
        <f>IF($A159="","",IFERROR(COUNTIF(T159:U159,"כן")/(COUNTIF(T159:U159,"כן")+COUNTIF(T159:U159,"לא")),""))</f>
        <v/>
      </c>
      <c r="AL159" s="37">
        <f>IF($A159="","",IFERROR(COUNTIF(L159:U159,"כן")/(COUNTIF(L159:U159,"כן")+COUNTIF(L159:U159,"לא")),""))</f>
        <v/>
      </c>
      <c r="AM159" s="45">
        <f>IF($A159="","",IFERROR(AVERAGE(V159:W159),""))</f>
        <v/>
      </c>
      <c r="AN159" s="45">
        <f>IF($A159="","",IFERROR(AVERAGE(X159:Y159),""))</f>
        <v/>
      </c>
      <c r="AO159" s="45">
        <f>IF($A159="","",IFERROR(AVERAGE(Z159:AA159),""))</f>
        <v/>
      </c>
      <c r="AP159" s="45">
        <f>IF($A159="","",IFERROR(AVERAGE(AB159:AC159),""))</f>
        <v/>
      </c>
      <c r="AQ159" s="45">
        <f>IF($A159="","",IFERROR(AVERAGE(AD159),""))</f>
        <v/>
      </c>
      <c r="AR159" s="45">
        <f>IF($A159="","",IFERROR(AVERAGE(V159:AD159),""))</f>
        <v/>
      </c>
      <c r="AS159" s="36">
        <f>IF($A159="","",IF(AND(H159="",J159=""),"לא נבדק",IF(AND(OR(H159="",H159=I159),OR(J159="",J159=K159)),"תואם","לא תואם")))</f>
        <v/>
      </c>
      <c r="AT159" s="36">
        <f>IF($A159="","",IF(AND(AS159&lt;&gt;"לא תואם",G159&lt;&gt;"לא ברור"),"אמין","לפרש בזהירות"))</f>
        <v/>
      </c>
    </row>
    <row r="160">
      <c r="A160" s="38" t="n"/>
      <c r="B160" s="38" t="n"/>
      <c r="C160" s="38" t="n"/>
      <c r="D160" s="38" t="n"/>
      <c r="E160" s="38" t="n"/>
      <c r="F160" s="38" t="n"/>
      <c r="G160" s="38" t="n"/>
      <c r="H160" s="38" t="n"/>
      <c r="I160" s="38" t="n"/>
      <c r="J160" s="38" t="n"/>
      <c r="K160" s="38" t="n"/>
      <c r="L160" s="38" t="n"/>
      <c r="M160" s="38" t="n"/>
      <c r="N160" s="38" t="n"/>
      <c r="O160" s="38" t="n"/>
      <c r="P160" s="38" t="n"/>
      <c r="Q160" s="38" t="n"/>
      <c r="R160" s="38" t="n"/>
      <c r="S160" s="38" t="n"/>
      <c r="T160" s="38" t="n"/>
      <c r="U160" s="38" t="n"/>
      <c r="V160" s="38" t="n"/>
      <c r="W160" s="38" t="n"/>
      <c r="X160" s="38" t="n"/>
      <c r="Y160" s="38" t="n"/>
      <c r="Z160" s="38" t="n"/>
      <c r="AA160" s="38" t="n"/>
      <c r="AB160" s="38" t="n"/>
      <c r="AC160" s="38" t="n"/>
      <c r="AD160" s="38" t="n"/>
      <c r="AE160" s="38" t="n"/>
      <c r="AF160" s="36">
        <f>IF($A160="","",$A160&amp;"|"&amp;$C160)</f>
        <v/>
      </c>
      <c r="AG160" s="37">
        <f>IF($A160="","",IFERROR(COUNTIF(L160:M160,"כן")/(COUNTIF(L160:M160,"כן")+COUNTIF(L160:M160,"לא")),""))</f>
        <v/>
      </c>
      <c r="AH160" s="37">
        <f>IF($A160="","",IFERROR(COUNTIF(N160:O160,"כן")/(COUNTIF(N160:O160,"כן")+COUNTIF(N160:O160,"לא")),""))</f>
        <v/>
      </c>
      <c r="AI160" s="37">
        <f>IF($A160="","",IFERROR(COUNTIF(P160:Q160,"כן")/(COUNTIF(P160:Q160,"כן")+COUNTIF(P160:Q160,"לא")),""))</f>
        <v/>
      </c>
      <c r="AJ160" s="37">
        <f>IF($A160="","",IFERROR(COUNTIF(R160:S160,"כן")/(COUNTIF(R160:S160,"כן")+COUNTIF(R160:S160,"לא")),""))</f>
        <v/>
      </c>
      <c r="AK160" s="37">
        <f>IF($A160="","",IFERROR(COUNTIF(T160:U160,"כן")/(COUNTIF(T160:U160,"כן")+COUNTIF(T160:U160,"לא")),""))</f>
        <v/>
      </c>
      <c r="AL160" s="37">
        <f>IF($A160="","",IFERROR(COUNTIF(L160:U160,"כן")/(COUNTIF(L160:U160,"כן")+COUNTIF(L160:U160,"לא")),""))</f>
        <v/>
      </c>
      <c r="AM160" s="45">
        <f>IF($A160="","",IFERROR(AVERAGE(V160:W160),""))</f>
        <v/>
      </c>
      <c r="AN160" s="45">
        <f>IF($A160="","",IFERROR(AVERAGE(X160:Y160),""))</f>
        <v/>
      </c>
      <c r="AO160" s="45">
        <f>IF($A160="","",IFERROR(AVERAGE(Z160:AA160),""))</f>
        <v/>
      </c>
      <c r="AP160" s="45">
        <f>IF($A160="","",IFERROR(AVERAGE(AB160:AC160),""))</f>
        <v/>
      </c>
      <c r="AQ160" s="45">
        <f>IF($A160="","",IFERROR(AVERAGE(AD160),""))</f>
        <v/>
      </c>
      <c r="AR160" s="45">
        <f>IF($A160="","",IFERROR(AVERAGE(V160:AD160),""))</f>
        <v/>
      </c>
      <c r="AS160" s="36">
        <f>IF($A160="","",IF(AND(H160="",J160=""),"לא נבדק",IF(AND(OR(H160="",H160=I160),OR(J160="",J160=K160)),"תואם","לא תואם")))</f>
        <v/>
      </c>
      <c r="AT160" s="36">
        <f>IF($A160="","",IF(AND(AS160&lt;&gt;"לא תואם",G160&lt;&gt;"לא ברור"),"אמין","לפרש בזהירות"))</f>
        <v/>
      </c>
    </row>
    <row r="161">
      <c r="A161" s="38" t="n"/>
      <c r="B161" s="38" t="n"/>
      <c r="C161" s="38" t="n"/>
      <c r="D161" s="38" t="n"/>
      <c r="E161" s="38" t="n"/>
      <c r="F161" s="38" t="n"/>
      <c r="G161" s="38" t="n"/>
      <c r="H161" s="38" t="n"/>
      <c r="I161" s="38" t="n"/>
      <c r="J161" s="38" t="n"/>
      <c r="K161" s="38" t="n"/>
      <c r="L161" s="38" t="n"/>
      <c r="M161" s="38" t="n"/>
      <c r="N161" s="38" t="n"/>
      <c r="O161" s="38" t="n"/>
      <c r="P161" s="38" t="n"/>
      <c r="Q161" s="38" t="n"/>
      <c r="R161" s="38" t="n"/>
      <c r="S161" s="38" t="n"/>
      <c r="T161" s="38" t="n"/>
      <c r="U161" s="38" t="n"/>
      <c r="V161" s="38" t="n"/>
      <c r="W161" s="38" t="n"/>
      <c r="X161" s="38" t="n"/>
      <c r="Y161" s="38" t="n"/>
      <c r="Z161" s="38" t="n"/>
      <c r="AA161" s="38" t="n"/>
      <c r="AB161" s="38" t="n"/>
      <c r="AC161" s="38" t="n"/>
      <c r="AD161" s="38" t="n"/>
      <c r="AE161" s="38" t="n"/>
      <c r="AF161" s="36">
        <f>IF($A161="","",$A161&amp;"|"&amp;$C161)</f>
        <v/>
      </c>
      <c r="AG161" s="37">
        <f>IF($A161="","",IFERROR(COUNTIF(L161:M161,"כן")/(COUNTIF(L161:M161,"כן")+COUNTIF(L161:M161,"לא")),""))</f>
        <v/>
      </c>
      <c r="AH161" s="37">
        <f>IF($A161="","",IFERROR(COUNTIF(N161:O161,"כן")/(COUNTIF(N161:O161,"כן")+COUNTIF(N161:O161,"לא")),""))</f>
        <v/>
      </c>
      <c r="AI161" s="37">
        <f>IF($A161="","",IFERROR(COUNTIF(P161:Q161,"כן")/(COUNTIF(P161:Q161,"כן")+COUNTIF(P161:Q161,"לא")),""))</f>
        <v/>
      </c>
      <c r="AJ161" s="37">
        <f>IF($A161="","",IFERROR(COUNTIF(R161:S161,"כן")/(COUNTIF(R161:S161,"כן")+COUNTIF(R161:S161,"לא")),""))</f>
        <v/>
      </c>
      <c r="AK161" s="37">
        <f>IF($A161="","",IFERROR(COUNTIF(T161:U161,"כן")/(COUNTIF(T161:U161,"כן")+COUNTIF(T161:U161,"לא")),""))</f>
        <v/>
      </c>
      <c r="AL161" s="37">
        <f>IF($A161="","",IFERROR(COUNTIF(L161:U161,"כן")/(COUNTIF(L161:U161,"כן")+COUNTIF(L161:U161,"לא")),""))</f>
        <v/>
      </c>
      <c r="AM161" s="45">
        <f>IF($A161="","",IFERROR(AVERAGE(V161:W161),""))</f>
        <v/>
      </c>
      <c r="AN161" s="45">
        <f>IF($A161="","",IFERROR(AVERAGE(X161:Y161),""))</f>
        <v/>
      </c>
      <c r="AO161" s="45">
        <f>IF($A161="","",IFERROR(AVERAGE(Z161:AA161),""))</f>
        <v/>
      </c>
      <c r="AP161" s="45">
        <f>IF($A161="","",IFERROR(AVERAGE(AB161:AC161),""))</f>
        <v/>
      </c>
      <c r="AQ161" s="45">
        <f>IF($A161="","",IFERROR(AVERAGE(AD161),""))</f>
        <v/>
      </c>
      <c r="AR161" s="45">
        <f>IF($A161="","",IFERROR(AVERAGE(V161:AD161),""))</f>
        <v/>
      </c>
      <c r="AS161" s="36">
        <f>IF($A161="","",IF(AND(H161="",J161=""),"לא נבדק",IF(AND(OR(H161="",H161=I161),OR(J161="",J161=K161)),"תואם","לא תואם")))</f>
        <v/>
      </c>
      <c r="AT161" s="36">
        <f>IF($A161="","",IF(AND(AS161&lt;&gt;"לא תואם",G161&lt;&gt;"לא ברור"),"אמין","לפרש בזהירות"))</f>
        <v/>
      </c>
    </row>
    <row r="162">
      <c r="A162" s="38" t="n"/>
      <c r="B162" s="38" t="n"/>
      <c r="C162" s="38" t="n"/>
      <c r="D162" s="38" t="n"/>
      <c r="E162" s="38" t="n"/>
      <c r="F162" s="38" t="n"/>
      <c r="G162" s="38" t="n"/>
      <c r="H162" s="38" t="n"/>
      <c r="I162" s="38" t="n"/>
      <c r="J162" s="38" t="n"/>
      <c r="K162" s="38" t="n"/>
      <c r="L162" s="38" t="n"/>
      <c r="M162" s="38" t="n"/>
      <c r="N162" s="38" t="n"/>
      <c r="O162" s="38" t="n"/>
      <c r="P162" s="38" t="n"/>
      <c r="Q162" s="38" t="n"/>
      <c r="R162" s="38" t="n"/>
      <c r="S162" s="38" t="n"/>
      <c r="T162" s="38" t="n"/>
      <c r="U162" s="38" t="n"/>
      <c r="V162" s="38" t="n"/>
      <c r="W162" s="38" t="n"/>
      <c r="X162" s="38" t="n"/>
      <c r="Y162" s="38" t="n"/>
      <c r="Z162" s="38" t="n"/>
      <c r="AA162" s="38" t="n"/>
      <c r="AB162" s="38" t="n"/>
      <c r="AC162" s="38" t="n"/>
      <c r="AD162" s="38" t="n"/>
      <c r="AE162" s="38" t="n"/>
      <c r="AF162" s="36">
        <f>IF($A162="","",$A162&amp;"|"&amp;$C162)</f>
        <v/>
      </c>
      <c r="AG162" s="37">
        <f>IF($A162="","",IFERROR(COUNTIF(L162:M162,"כן")/(COUNTIF(L162:M162,"כן")+COUNTIF(L162:M162,"לא")),""))</f>
        <v/>
      </c>
      <c r="AH162" s="37">
        <f>IF($A162="","",IFERROR(COUNTIF(N162:O162,"כן")/(COUNTIF(N162:O162,"כן")+COUNTIF(N162:O162,"לא")),""))</f>
        <v/>
      </c>
      <c r="AI162" s="37">
        <f>IF($A162="","",IFERROR(COUNTIF(P162:Q162,"כן")/(COUNTIF(P162:Q162,"כן")+COUNTIF(P162:Q162,"לא")),""))</f>
        <v/>
      </c>
      <c r="AJ162" s="37">
        <f>IF($A162="","",IFERROR(COUNTIF(R162:S162,"כן")/(COUNTIF(R162:S162,"כן")+COUNTIF(R162:S162,"לא")),""))</f>
        <v/>
      </c>
      <c r="AK162" s="37">
        <f>IF($A162="","",IFERROR(COUNTIF(T162:U162,"כן")/(COUNTIF(T162:U162,"כן")+COUNTIF(T162:U162,"לא")),""))</f>
        <v/>
      </c>
      <c r="AL162" s="37">
        <f>IF($A162="","",IFERROR(COUNTIF(L162:U162,"כן")/(COUNTIF(L162:U162,"כן")+COUNTIF(L162:U162,"לא")),""))</f>
        <v/>
      </c>
      <c r="AM162" s="45">
        <f>IF($A162="","",IFERROR(AVERAGE(V162:W162),""))</f>
        <v/>
      </c>
      <c r="AN162" s="45">
        <f>IF($A162="","",IFERROR(AVERAGE(X162:Y162),""))</f>
        <v/>
      </c>
      <c r="AO162" s="45">
        <f>IF($A162="","",IFERROR(AVERAGE(Z162:AA162),""))</f>
        <v/>
      </c>
      <c r="AP162" s="45">
        <f>IF($A162="","",IFERROR(AVERAGE(AB162:AC162),""))</f>
        <v/>
      </c>
      <c r="AQ162" s="45">
        <f>IF($A162="","",IFERROR(AVERAGE(AD162),""))</f>
        <v/>
      </c>
      <c r="AR162" s="45">
        <f>IF($A162="","",IFERROR(AVERAGE(V162:AD162),""))</f>
        <v/>
      </c>
      <c r="AS162" s="36">
        <f>IF($A162="","",IF(AND(H162="",J162=""),"לא נבדק",IF(AND(OR(H162="",H162=I162),OR(J162="",J162=K162)),"תואם","לא תואם")))</f>
        <v/>
      </c>
      <c r="AT162" s="36">
        <f>IF($A162="","",IF(AND(AS162&lt;&gt;"לא תואם",G162&lt;&gt;"לא ברור"),"אמין","לפרש בזהירות"))</f>
        <v/>
      </c>
    </row>
    <row r="163">
      <c r="A163" s="38" t="n"/>
      <c r="B163" s="38" t="n"/>
      <c r="C163" s="38" t="n"/>
      <c r="D163" s="38" t="n"/>
      <c r="E163" s="38" t="n"/>
      <c r="F163" s="38" t="n"/>
      <c r="G163" s="38" t="n"/>
      <c r="H163" s="38" t="n"/>
      <c r="I163" s="38" t="n"/>
      <c r="J163" s="38" t="n"/>
      <c r="K163" s="38" t="n"/>
      <c r="L163" s="38" t="n"/>
      <c r="M163" s="38" t="n"/>
      <c r="N163" s="38" t="n"/>
      <c r="O163" s="38" t="n"/>
      <c r="P163" s="38" t="n"/>
      <c r="Q163" s="38" t="n"/>
      <c r="R163" s="38" t="n"/>
      <c r="S163" s="38" t="n"/>
      <c r="T163" s="38" t="n"/>
      <c r="U163" s="38" t="n"/>
      <c r="V163" s="38" t="n"/>
      <c r="W163" s="38" t="n"/>
      <c r="X163" s="38" t="n"/>
      <c r="Y163" s="38" t="n"/>
      <c r="Z163" s="38" t="n"/>
      <c r="AA163" s="38" t="n"/>
      <c r="AB163" s="38" t="n"/>
      <c r="AC163" s="38" t="n"/>
      <c r="AD163" s="38" t="n"/>
      <c r="AE163" s="38" t="n"/>
      <c r="AF163" s="36">
        <f>IF($A163="","",$A163&amp;"|"&amp;$C163)</f>
        <v/>
      </c>
      <c r="AG163" s="37">
        <f>IF($A163="","",IFERROR(COUNTIF(L163:M163,"כן")/(COUNTIF(L163:M163,"כן")+COUNTIF(L163:M163,"לא")),""))</f>
        <v/>
      </c>
      <c r="AH163" s="37">
        <f>IF($A163="","",IFERROR(COUNTIF(N163:O163,"כן")/(COUNTIF(N163:O163,"כן")+COUNTIF(N163:O163,"לא")),""))</f>
        <v/>
      </c>
      <c r="AI163" s="37">
        <f>IF($A163="","",IFERROR(COUNTIF(P163:Q163,"כן")/(COUNTIF(P163:Q163,"כן")+COUNTIF(P163:Q163,"לא")),""))</f>
        <v/>
      </c>
      <c r="AJ163" s="37">
        <f>IF($A163="","",IFERROR(COUNTIF(R163:S163,"כן")/(COUNTIF(R163:S163,"כן")+COUNTIF(R163:S163,"לא")),""))</f>
        <v/>
      </c>
      <c r="AK163" s="37">
        <f>IF($A163="","",IFERROR(COUNTIF(T163:U163,"כן")/(COUNTIF(T163:U163,"כן")+COUNTIF(T163:U163,"לא")),""))</f>
        <v/>
      </c>
      <c r="AL163" s="37">
        <f>IF($A163="","",IFERROR(COUNTIF(L163:U163,"כן")/(COUNTIF(L163:U163,"כן")+COUNTIF(L163:U163,"לא")),""))</f>
        <v/>
      </c>
      <c r="AM163" s="45">
        <f>IF($A163="","",IFERROR(AVERAGE(V163:W163),""))</f>
        <v/>
      </c>
      <c r="AN163" s="45">
        <f>IF($A163="","",IFERROR(AVERAGE(X163:Y163),""))</f>
        <v/>
      </c>
      <c r="AO163" s="45">
        <f>IF($A163="","",IFERROR(AVERAGE(Z163:AA163),""))</f>
        <v/>
      </c>
      <c r="AP163" s="45">
        <f>IF($A163="","",IFERROR(AVERAGE(AB163:AC163),""))</f>
        <v/>
      </c>
      <c r="AQ163" s="45">
        <f>IF($A163="","",IFERROR(AVERAGE(AD163),""))</f>
        <v/>
      </c>
      <c r="AR163" s="45">
        <f>IF($A163="","",IFERROR(AVERAGE(V163:AD163),""))</f>
        <v/>
      </c>
      <c r="AS163" s="36">
        <f>IF($A163="","",IF(AND(H163="",J163=""),"לא נבדק",IF(AND(OR(H163="",H163=I163),OR(J163="",J163=K163)),"תואם","לא תואם")))</f>
        <v/>
      </c>
      <c r="AT163" s="36">
        <f>IF($A163="","",IF(AND(AS163&lt;&gt;"לא תואם",G163&lt;&gt;"לא ברור"),"אמין","לפרש בזהירות"))</f>
        <v/>
      </c>
    </row>
    <row r="164">
      <c r="A164" s="38" t="n"/>
      <c r="B164" s="38" t="n"/>
      <c r="C164" s="38" t="n"/>
      <c r="D164" s="38" t="n"/>
      <c r="E164" s="38" t="n"/>
      <c r="F164" s="38" t="n"/>
      <c r="G164" s="38" t="n"/>
      <c r="H164" s="38" t="n"/>
      <c r="I164" s="38" t="n"/>
      <c r="J164" s="38" t="n"/>
      <c r="K164" s="38" t="n"/>
      <c r="L164" s="38" t="n"/>
      <c r="M164" s="38" t="n"/>
      <c r="N164" s="38" t="n"/>
      <c r="O164" s="38" t="n"/>
      <c r="P164" s="38" t="n"/>
      <c r="Q164" s="38" t="n"/>
      <c r="R164" s="38" t="n"/>
      <c r="S164" s="38" t="n"/>
      <c r="T164" s="38" t="n"/>
      <c r="U164" s="38" t="n"/>
      <c r="V164" s="38" t="n"/>
      <c r="W164" s="38" t="n"/>
      <c r="X164" s="38" t="n"/>
      <c r="Y164" s="38" t="n"/>
      <c r="Z164" s="38" t="n"/>
      <c r="AA164" s="38" t="n"/>
      <c r="AB164" s="38" t="n"/>
      <c r="AC164" s="38" t="n"/>
      <c r="AD164" s="38" t="n"/>
      <c r="AE164" s="38" t="n"/>
      <c r="AF164" s="36">
        <f>IF($A164="","",$A164&amp;"|"&amp;$C164)</f>
        <v/>
      </c>
      <c r="AG164" s="37">
        <f>IF($A164="","",IFERROR(COUNTIF(L164:M164,"כן")/(COUNTIF(L164:M164,"כן")+COUNTIF(L164:M164,"לא")),""))</f>
        <v/>
      </c>
      <c r="AH164" s="37">
        <f>IF($A164="","",IFERROR(COUNTIF(N164:O164,"כן")/(COUNTIF(N164:O164,"כן")+COUNTIF(N164:O164,"לא")),""))</f>
        <v/>
      </c>
      <c r="AI164" s="37">
        <f>IF($A164="","",IFERROR(COUNTIF(P164:Q164,"כן")/(COUNTIF(P164:Q164,"כן")+COUNTIF(P164:Q164,"לא")),""))</f>
        <v/>
      </c>
      <c r="AJ164" s="37">
        <f>IF($A164="","",IFERROR(COUNTIF(R164:S164,"כן")/(COUNTIF(R164:S164,"כן")+COUNTIF(R164:S164,"לא")),""))</f>
        <v/>
      </c>
      <c r="AK164" s="37">
        <f>IF($A164="","",IFERROR(COUNTIF(T164:U164,"כן")/(COUNTIF(T164:U164,"כן")+COUNTIF(T164:U164,"לא")),""))</f>
        <v/>
      </c>
      <c r="AL164" s="37">
        <f>IF($A164="","",IFERROR(COUNTIF(L164:U164,"כן")/(COUNTIF(L164:U164,"כן")+COUNTIF(L164:U164,"לא")),""))</f>
        <v/>
      </c>
      <c r="AM164" s="45">
        <f>IF($A164="","",IFERROR(AVERAGE(V164:W164),""))</f>
        <v/>
      </c>
      <c r="AN164" s="45">
        <f>IF($A164="","",IFERROR(AVERAGE(X164:Y164),""))</f>
        <v/>
      </c>
      <c r="AO164" s="45">
        <f>IF($A164="","",IFERROR(AVERAGE(Z164:AA164),""))</f>
        <v/>
      </c>
      <c r="AP164" s="45">
        <f>IF($A164="","",IFERROR(AVERAGE(AB164:AC164),""))</f>
        <v/>
      </c>
      <c r="AQ164" s="45">
        <f>IF($A164="","",IFERROR(AVERAGE(AD164),""))</f>
        <v/>
      </c>
      <c r="AR164" s="45">
        <f>IF($A164="","",IFERROR(AVERAGE(V164:AD164),""))</f>
        <v/>
      </c>
      <c r="AS164" s="36">
        <f>IF($A164="","",IF(AND(H164="",J164=""),"לא נבדק",IF(AND(OR(H164="",H164=I164),OR(J164="",J164=K164)),"תואם","לא תואם")))</f>
        <v/>
      </c>
      <c r="AT164" s="36">
        <f>IF($A164="","",IF(AND(AS164&lt;&gt;"לא תואם",G164&lt;&gt;"לא ברור"),"אמין","לפרש בזהירות"))</f>
        <v/>
      </c>
    </row>
    <row r="165">
      <c r="A165" s="38" t="n"/>
      <c r="B165" s="38" t="n"/>
      <c r="C165" s="38" t="n"/>
      <c r="D165" s="38" t="n"/>
      <c r="E165" s="38" t="n"/>
      <c r="F165" s="38" t="n"/>
      <c r="G165" s="38" t="n"/>
      <c r="H165" s="38" t="n"/>
      <c r="I165" s="38" t="n"/>
      <c r="J165" s="38" t="n"/>
      <c r="K165" s="38" t="n"/>
      <c r="L165" s="38" t="n"/>
      <c r="M165" s="38" t="n"/>
      <c r="N165" s="38" t="n"/>
      <c r="O165" s="38" t="n"/>
      <c r="P165" s="38" t="n"/>
      <c r="Q165" s="38" t="n"/>
      <c r="R165" s="38" t="n"/>
      <c r="S165" s="38" t="n"/>
      <c r="T165" s="38" t="n"/>
      <c r="U165" s="38" t="n"/>
      <c r="V165" s="38" t="n"/>
      <c r="W165" s="38" t="n"/>
      <c r="X165" s="38" t="n"/>
      <c r="Y165" s="38" t="n"/>
      <c r="Z165" s="38" t="n"/>
      <c r="AA165" s="38" t="n"/>
      <c r="AB165" s="38" t="n"/>
      <c r="AC165" s="38" t="n"/>
      <c r="AD165" s="38" t="n"/>
      <c r="AE165" s="38" t="n"/>
      <c r="AF165" s="36">
        <f>IF($A165="","",$A165&amp;"|"&amp;$C165)</f>
        <v/>
      </c>
      <c r="AG165" s="37">
        <f>IF($A165="","",IFERROR(COUNTIF(L165:M165,"כן")/(COUNTIF(L165:M165,"כן")+COUNTIF(L165:M165,"לא")),""))</f>
        <v/>
      </c>
      <c r="AH165" s="37">
        <f>IF($A165="","",IFERROR(COUNTIF(N165:O165,"כן")/(COUNTIF(N165:O165,"כן")+COUNTIF(N165:O165,"לא")),""))</f>
        <v/>
      </c>
      <c r="AI165" s="37">
        <f>IF($A165="","",IFERROR(COUNTIF(P165:Q165,"כן")/(COUNTIF(P165:Q165,"כן")+COUNTIF(P165:Q165,"לא")),""))</f>
        <v/>
      </c>
      <c r="AJ165" s="37">
        <f>IF($A165="","",IFERROR(COUNTIF(R165:S165,"כן")/(COUNTIF(R165:S165,"כן")+COUNTIF(R165:S165,"לא")),""))</f>
        <v/>
      </c>
      <c r="AK165" s="37">
        <f>IF($A165="","",IFERROR(COUNTIF(T165:U165,"כן")/(COUNTIF(T165:U165,"כן")+COUNTIF(T165:U165,"לא")),""))</f>
        <v/>
      </c>
      <c r="AL165" s="37">
        <f>IF($A165="","",IFERROR(COUNTIF(L165:U165,"כן")/(COUNTIF(L165:U165,"כן")+COUNTIF(L165:U165,"לא")),""))</f>
        <v/>
      </c>
      <c r="AM165" s="45">
        <f>IF($A165="","",IFERROR(AVERAGE(V165:W165),""))</f>
        <v/>
      </c>
      <c r="AN165" s="45">
        <f>IF($A165="","",IFERROR(AVERAGE(X165:Y165),""))</f>
        <v/>
      </c>
      <c r="AO165" s="45">
        <f>IF($A165="","",IFERROR(AVERAGE(Z165:AA165),""))</f>
        <v/>
      </c>
      <c r="AP165" s="45">
        <f>IF($A165="","",IFERROR(AVERAGE(AB165:AC165),""))</f>
        <v/>
      </c>
      <c r="AQ165" s="45">
        <f>IF($A165="","",IFERROR(AVERAGE(AD165),""))</f>
        <v/>
      </c>
      <c r="AR165" s="45">
        <f>IF($A165="","",IFERROR(AVERAGE(V165:AD165),""))</f>
        <v/>
      </c>
      <c r="AS165" s="36">
        <f>IF($A165="","",IF(AND(H165="",J165=""),"לא נבדק",IF(AND(OR(H165="",H165=I165),OR(J165="",J165=K165)),"תואם","לא תואם")))</f>
        <v/>
      </c>
      <c r="AT165" s="36">
        <f>IF($A165="","",IF(AND(AS165&lt;&gt;"לא תואם",G165&lt;&gt;"לא ברור"),"אמין","לפרש בזהירות"))</f>
        <v/>
      </c>
    </row>
    <row r="166">
      <c r="A166" s="38" t="n"/>
      <c r="B166" s="38" t="n"/>
      <c r="C166" s="38" t="n"/>
      <c r="D166" s="38" t="n"/>
      <c r="E166" s="38" t="n"/>
      <c r="F166" s="38" t="n"/>
      <c r="G166" s="38" t="n"/>
      <c r="H166" s="38" t="n"/>
      <c r="I166" s="38" t="n"/>
      <c r="J166" s="38" t="n"/>
      <c r="K166" s="38" t="n"/>
      <c r="L166" s="38" t="n"/>
      <c r="M166" s="38" t="n"/>
      <c r="N166" s="38" t="n"/>
      <c r="O166" s="38" t="n"/>
      <c r="P166" s="38" t="n"/>
      <c r="Q166" s="38" t="n"/>
      <c r="R166" s="38" t="n"/>
      <c r="S166" s="38" t="n"/>
      <c r="T166" s="38" t="n"/>
      <c r="U166" s="38" t="n"/>
      <c r="V166" s="38" t="n"/>
      <c r="W166" s="38" t="n"/>
      <c r="X166" s="38" t="n"/>
      <c r="Y166" s="38" t="n"/>
      <c r="Z166" s="38" t="n"/>
      <c r="AA166" s="38" t="n"/>
      <c r="AB166" s="38" t="n"/>
      <c r="AC166" s="38" t="n"/>
      <c r="AD166" s="38" t="n"/>
      <c r="AE166" s="38" t="n"/>
      <c r="AF166" s="36">
        <f>IF($A166="","",$A166&amp;"|"&amp;$C166)</f>
        <v/>
      </c>
      <c r="AG166" s="37">
        <f>IF($A166="","",IFERROR(COUNTIF(L166:M166,"כן")/(COUNTIF(L166:M166,"כן")+COUNTIF(L166:M166,"לא")),""))</f>
        <v/>
      </c>
      <c r="AH166" s="37">
        <f>IF($A166="","",IFERROR(COUNTIF(N166:O166,"כן")/(COUNTIF(N166:O166,"כן")+COUNTIF(N166:O166,"לא")),""))</f>
        <v/>
      </c>
      <c r="AI166" s="37">
        <f>IF($A166="","",IFERROR(COUNTIF(P166:Q166,"כן")/(COUNTIF(P166:Q166,"כן")+COUNTIF(P166:Q166,"לא")),""))</f>
        <v/>
      </c>
      <c r="AJ166" s="37">
        <f>IF($A166="","",IFERROR(COUNTIF(R166:S166,"כן")/(COUNTIF(R166:S166,"כן")+COUNTIF(R166:S166,"לא")),""))</f>
        <v/>
      </c>
      <c r="AK166" s="37">
        <f>IF($A166="","",IFERROR(COUNTIF(T166:U166,"כן")/(COUNTIF(T166:U166,"כן")+COUNTIF(T166:U166,"לא")),""))</f>
        <v/>
      </c>
      <c r="AL166" s="37">
        <f>IF($A166="","",IFERROR(COUNTIF(L166:U166,"כן")/(COUNTIF(L166:U166,"כן")+COUNTIF(L166:U166,"לא")),""))</f>
        <v/>
      </c>
      <c r="AM166" s="45">
        <f>IF($A166="","",IFERROR(AVERAGE(V166:W166),""))</f>
        <v/>
      </c>
      <c r="AN166" s="45">
        <f>IF($A166="","",IFERROR(AVERAGE(X166:Y166),""))</f>
        <v/>
      </c>
      <c r="AO166" s="45">
        <f>IF($A166="","",IFERROR(AVERAGE(Z166:AA166),""))</f>
        <v/>
      </c>
      <c r="AP166" s="45">
        <f>IF($A166="","",IFERROR(AVERAGE(AB166:AC166),""))</f>
        <v/>
      </c>
      <c r="AQ166" s="45">
        <f>IF($A166="","",IFERROR(AVERAGE(AD166),""))</f>
        <v/>
      </c>
      <c r="AR166" s="45">
        <f>IF($A166="","",IFERROR(AVERAGE(V166:AD166),""))</f>
        <v/>
      </c>
      <c r="AS166" s="36">
        <f>IF($A166="","",IF(AND(H166="",J166=""),"לא נבדק",IF(AND(OR(H166="",H166=I166),OR(J166="",J166=K166)),"תואם","לא תואם")))</f>
        <v/>
      </c>
      <c r="AT166" s="36">
        <f>IF($A166="","",IF(AND(AS166&lt;&gt;"לא תואם",G166&lt;&gt;"לא ברור"),"אמין","לפרש בזהירות"))</f>
        <v/>
      </c>
    </row>
    <row r="167">
      <c r="A167" s="38" t="n"/>
      <c r="B167" s="38" t="n"/>
      <c r="C167" s="38" t="n"/>
      <c r="D167" s="38" t="n"/>
      <c r="E167" s="38" t="n"/>
      <c r="F167" s="38" t="n"/>
      <c r="G167" s="38" t="n"/>
      <c r="H167" s="38" t="n"/>
      <c r="I167" s="38" t="n"/>
      <c r="J167" s="38" t="n"/>
      <c r="K167" s="38" t="n"/>
      <c r="L167" s="38" t="n"/>
      <c r="M167" s="38" t="n"/>
      <c r="N167" s="38" t="n"/>
      <c r="O167" s="38" t="n"/>
      <c r="P167" s="38" t="n"/>
      <c r="Q167" s="38" t="n"/>
      <c r="R167" s="38" t="n"/>
      <c r="S167" s="38" t="n"/>
      <c r="T167" s="38" t="n"/>
      <c r="U167" s="38" t="n"/>
      <c r="V167" s="38" t="n"/>
      <c r="W167" s="38" t="n"/>
      <c r="X167" s="38" t="n"/>
      <c r="Y167" s="38" t="n"/>
      <c r="Z167" s="38" t="n"/>
      <c r="AA167" s="38" t="n"/>
      <c r="AB167" s="38" t="n"/>
      <c r="AC167" s="38" t="n"/>
      <c r="AD167" s="38" t="n"/>
      <c r="AE167" s="38" t="n"/>
      <c r="AF167" s="36">
        <f>IF($A167="","",$A167&amp;"|"&amp;$C167)</f>
        <v/>
      </c>
      <c r="AG167" s="37">
        <f>IF($A167="","",IFERROR(COUNTIF(L167:M167,"כן")/(COUNTIF(L167:M167,"כן")+COUNTIF(L167:M167,"לא")),""))</f>
        <v/>
      </c>
      <c r="AH167" s="37">
        <f>IF($A167="","",IFERROR(COUNTIF(N167:O167,"כן")/(COUNTIF(N167:O167,"כן")+COUNTIF(N167:O167,"לא")),""))</f>
        <v/>
      </c>
      <c r="AI167" s="37">
        <f>IF($A167="","",IFERROR(COUNTIF(P167:Q167,"כן")/(COUNTIF(P167:Q167,"כן")+COUNTIF(P167:Q167,"לא")),""))</f>
        <v/>
      </c>
      <c r="AJ167" s="37">
        <f>IF($A167="","",IFERROR(COUNTIF(R167:S167,"כן")/(COUNTIF(R167:S167,"כן")+COUNTIF(R167:S167,"לא")),""))</f>
        <v/>
      </c>
      <c r="AK167" s="37">
        <f>IF($A167="","",IFERROR(COUNTIF(T167:U167,"כן")/(COUNTIF(T167:U167,"כן")+COUNTIF(T167:U167,"לא")),""))</f>
        <v/>
      </c>
      <c r="AL167" s="37">
        <f>IF($A167="","",IFERROR(COUNTIF(L167:U167,"כן")/(COUNTIF(L167:U167,"כן")+COUNTIF(L167:U167,"לא")),""))</f>
        <v/>
      </c>
      <c r="AM167" s="45">
        <f>IF($A167="","",IFERROR(AVERAGE(V167:W167),""))</f>
        <v/>
      </c>
      <c r="AN167" s="45">
        <f>IF($A167="","",IFERROR(AVERAGE(X167:Y167),""))</f>
        <v/>
      </c>
      <c r="AO167" s="45">
        <f>IF($A167="","",IFERROR(AVERAGE(Z167:AA167),""))</f>
        <v/>
      </c>
      <c r="AP167" s="45">
        <f>IF($A167="","",IFERROR(AVERAGE(AB167:AC167),""))</f>
        <v/>
      </c>
      <c r="AQ167" s="45">
        <f>IF($A167="","",IFERROR(AVERAGE(AD167),""))</f>
        <v/>
      </c>
      <c r="AR167" s="45">
        <f>IF($A167="","",IFERROR(AVERAGE(V167:AD167),""))</f>
        <v/>
      </c>
      <c r="AS167" s="36">
        <f>IF($A167="","",IF(AND(H167="",J167=""),"לא נבדק",IF(AND(OR(H167="",H167=I167),OR(J167="",J167=K167)),"תואם","לא תואם")))</f>
        <v/>
      </c>
      <c r="AT167" s="36">
        <f>IF($A167="","",IF(AND(AS167&lt;&gt;"לא תואם",G167&lt;&gt;"לא ברור"),"אמין","לפרש בזהירות"))</f>
        <v/>
      </c>
    </row>
    <row r="168">
      <c r="A168" s="38" t="n"/>
      <c r="B168" s="38" t="n"/>
      <c r="C168" s="38" t="n"/>
      <c r="D168" s="38" t="n"/>
      <c r="E168" s="38" t="n"/>
      <c r="F168" s="38" t="n"/>
      <c r="G168" s="38" t="n"/>
      <c r="H168" s="38" t="n"/>
      <c r="I168" s="38" t="n"/>
      <c r="J168" s="38" t="n"/>
      <c r="K168" s="38" t="n"/>
      <c r="L168" s="38" t="n"/>
      <c r="M168" s="38" t="n"/>
      <c r="N168" s="38" t="n"/>
      <c r="O168" s="38" t="n"/>
      <c r="P168" s="38" t="n"/>
      <c r="Q168" s="38" t="n"/>
      <c r="R168" s="38" t="n"/>
      <c r="S168" s="38" t="n"/>
      <c r="T168" s="38" t="n"/>
      <c r="U168" s="38" t="n"/>
      <c r="V168" s="38" t="n"/>
      <c r="W168" s="38" t="n"/>
      <c r="X168" s="38" t="n"/>
      <c r="Y168" s="38" t="n"/>
      <c r="Z168" s="38" t="n"/>
      <c r="AA168" s="38" t="n"/>
      <c r="AB168" s="38" t="n"/>
      <c r="AC168" s="38" t="n"/>
      <c r="AD168" s="38" t="n"/>
      <c r="AE168" s="38" t="n"/>
      <c r="AF168" s="36">
        <f>IF($A168="","",$A168&amp;"|"&amp;$C168)</f>
        <v/>
      </c>
      <c r="AG168" s="37">
        <f>IF($A168="","",IFERROR(COUNTIF(L168:M168,"כן")/(COUNTIF(L168:M168,"כן")+COUNTIF(L168:M168,"לא")),""))</f>
        <v/>
      </c>
      <c r="AH168" s="37">
        <f>IF($A168="","",IFERROR(COUNTIF(N168:O168,"כן")/(COUNTIF(N168:O168,"כן")+COUNTIF(N168:O168,"לא")),""))</f>
        <v/>
      </c>
      <c r="AI168" s="37">
        <f>IF($A168="","",IFERROR(COUNTIF(P168:Q168,"כן")/(COUNTIF(P168:Q168,"כן")+COUNTIF(P168:Q168,"לא")),""))</f>
        <v/>
      </c>
      <c r="AJ168" s="37">
        <f>IF($A168="","",IFERROR(COUNTIF(R168:S168,"כן")/(COUNTIF(R168:S168,"כן")+COUNTIF(R168:S168,"לא")),""))</f>
        <v/>
      </c>
      <c r="AK168" s="37">
        <f>IF($A168="","",IFERROR(COUNTIF(T168:U168,"כן")/(COUNTIF(T168:U168,"כן")+COUNTIF(T168:U168,"לא")),""))</f>
        <v/>
      </c>
      <c r="AL168" s="37">
        <f>IF($A168="","",IFERROR(COUNTIF(L168:U168,"כן")/(COUNTIF(L168:U168,"כן")+COUNTIF(L168:U168,"לא")),""))</f>
        <v/>
      </c>
      <c r="AM168" s="45">
        <f>IF($A168="","",IFERROR(AVERAGE(V168:W168),""))</f>
        <v/>
      </c>
      <c r="AN168" s="45">
        <f>IF($A168="","",IFERROR(AVERAGE(X168:Y168),""))</f>
        <v/>
      </c>
      <c r="AO168" s="45">
        <f>IF($A168="","",IFERROR(AVERAGE(Z168:AA168),""))</f>
        <v/>
      </c>
      <c r="AP168" s="45">
        <f>IF($A168="","",IFERROR(AVERAGE(AB168:AC168),""))</f>
        <v/>
      </c>
      <c r="AQ168" s="45">
        <f>IF($A168="","",IFERROR(AVERAGE(AD168),""))</f>
        <v/>
      </c>
      <c r="AR168" s="45">
        <f>IF($A168="","",IFERROR(AVERAGE(V168:AD168),""))</f>
        <v/>
      </c>
      <c r="AS168" s="36">
        <f>IF($A168="","",IF(AND(H168="",J168=""),"לא נבדק",IF(AND(OR(H168="",H168=I168),OR(J168="",J168=K168)),"תואם","לא תואם")))</f>
        <v/>
      </c>
      <c r="AT168" s="36">
        <f>IF($A168="","",IF(AND(AS168&lt;&gt;"לא תואם",G168&lt;&gt;"לא ברור"),"אמין","לפרש בזהירות"))</f>
        <v/>
      </c>
    </row>
    <row r="169">
      <c r="A169" s="38" t="n"/>
      <c r="B169" s="38" t="n"/>
      <c r="C169" s="38" t="n"/>
      <c r="D169" s="38" t="n"/>
      <c r="E169" s="38" t="n"/>
      <c r="F169" s="38" t="n"/>
      <c r="G169" s="38" t="n"/>
      <c r="H169" s="38" t="n"/>
      <c r="I169" s="38" t="n"/>
      <c r="J169" s="38" t="n"/>
      <c r="K169" s="38" t="n"/>
      <c r="L169" s="38" t="n"/>
      <c r="M169" s="38" t="n"/>
      <c r="N169" s="38" t="n"/>
      <c r="O169" s="38" t="n"/>
      <c r="P169" s="38" t="n"/>
      <c r="Q169" s="38" t="n"/>
      <c r="R169" s="38" t="n"/>
      <c r="S169" s="38" t="n"/>
      <c r="T169" s="38" t="n"/>
      <c r="U169" s="38" t="n"/>
      <c r="V169" s="38" t="n"/>
      <c r="W169" s="38" t="n"/>
      <c r="X169" s="38" t="n"/>
      <c r="Y169" s="38" t="n"/>
      <c r="Z169" s="38" t="n"/>
      <c r="AA169" s="38" t="n"/>
      <c r="AB169" s="38" t="n"/>
      <c r="AC169" s="38" t="n"/>
      <c r="AD169" s="38" t="n"/>
      <c r="AE169" s="38" t="n"/>
      <c r="AF169" s="36">
        <f>IF($A169="","",$A169&amp;"|"&amp;$C169)</f>
        <v/>
      </c>
      <c r="AG169" s="37">
        <f>IF($A169="","",IFERROR(COUNTIF(L169:M169,"כן")/(COUNTIF(L169:M169,"כן")+COUNTIF(L169:M169,"לא")),""))</f>
        <v/>
      </c>
      <c r="AH169" s="37">
        <f>IF($A169="","",IFERROR(COUNTIF(N169:O169,"כן")/(COUNTIF(N169:O169,"כן")+COUNTIF(N169:O169,"לא")),""))</f>
        <v/>
      </c>
      <c r="AI169" s="37">
        <f>IF($A169="","",IFERROR(COUNTIF(P169:Q169,"כן")/(COUNTIF(P169:Q169,"כן")+COUNTIF(P169:Q169,"לא")),""))</f>
        <v/>
      </c>
      <c r="AJ169" s="37">
        <f>IF($A169="","",IFERROR(COUNTIF(R169:S169,"כן")/(COUNTIF(R169:S169,"כן")+COUNTIF(R169:S169,"לא")),""))</f>
        <v/>
      </c>
      <c r="AK169" s="37">
        <f>IF($A169="","",IFERROR(COUNTIF(T169:U169,"כן")/(COUNTIF(T169:U169,"כן")+COUNTIF(T169:U169,"לא")),""))</f>
        <v/>
      </c>
      <c r="AL169" s="37">
        <f>IF($A169="","",IFERROR(COUNTIF(L169:U169,"כן")/(COUNTIF(L169:U169,"כן")+COUNTIF(L169:U169,"לא")),""))</f>
        <v/>
      </c>
      <c r="AM169" s="45">
        <f>IF($A169="","",IFERROR(AVERAGE(V169:W169),""))</f>
        <v/>
      </c>
      <c r="AN169" s="45">
        <f>IF($A169="","",IFERROR(AVERAGE(X169:Y169),""))</f>
        <v/>
      </c>
      <c r="AO169" s="45">
        <f>IF($A169="","",IFERROR(AVERAGE(Z169:AA169),""))</f>
        <v/>
      </c>
      <c r="AP169" s="45">
        <f>IF($A169="","",IFERROR(AVERAGE(AB169:AC169),""))</f>
        <v/>
      </c>
      <c r="AQ169" s="45">
        <f>IF($A169="","",IFERROR(AVERAGE(AD169),""))</f>
        <v/>
      </c>
      <c r="AR169" s="45">
        <f>IF($A169="","",IFERROR(AVERAGE(V169:AD169),""))</f>
        <v/>
      </c>
      <c r="AS169" s="36">
        <f>IF($A169="","",IF(AND(H169="",J169=""),"לא נבדק",IF(AND(OR(H169="",H169=I169),OR(J169="",J169=K169)),"תואם","לא תואם")))</f>
        <v/>
      </c>
      <c r="AT169" s="36">
        <f>IF($A169="","",IF(AND(AS169&lt;&gt;"לא תואם",G169&lt;&gt;"לא ברור"),"אמין","לפרש בזהירות"))</f>
        <v/>
      </c>
    </row>
    <row r="170">
      <c r="A170" s="38" t="n"/>
      <c r="B170" s="38" t="n"/>
      <c r="C170" s="38" t="n"/>
      <c r="D170" s="38" t="n"/>
      <c r="E170" s="38" t="n"/>
      <c r="F170" s="38" t="n"/>
      <c r="G170" s="38" t="n"/>
      <c r="H170" s="38" t="n"/>
      <c r="I170" s="38" t="n"/>
      <c r="J170" s="38" t="n"/>
      <c r="K170" s="38" t="n"/>
      <c r="L170" s="38" t="n"/>
      <c r="M170" s="38" t="n"/>
      <c r="N170" s="38" t="n"/>
      <c r="O170" s="38" t="n"/>
      <c r="P170" s="38" t="n"/>
      <c r="Q170" s="38" t="n"/>
      <c r="R170" s="38" t="n"/>
      <c r="S170" s="38" t="n"/>
      <c r="T170" s="38" t="n"/>
      <c r="U170" s="38" t="n"/>
      <c r="V170" s="38" t="n"/>
      <c r="W170" s="38" t="n"/>
      <c r="X170" s="38" t="n"/>
      <c r="Y170" s="38" t="n"/>
      <c r="Z170" s="38" t="n"/>
      <c r="AA170" s="38" t="n"/>
      <c r="AB170" s="38" t="n"/>
      <c r="AC170" s="38" t="n"/>
      <c r="AD170" s="38" t="n"/>
      <c r="AE170" s="38" t="n"/>
      <c r="AF170" s="36">
        <f>IF($A170="","",$A170&amp;"|"&amp;$C170)</f>
        <v/>
      </c>
      <c r="AG170" s="37">
        <f>IF($A170="","",IFERROR(COUNTIF(L170:M170,"כן")/(COUNTIF(L170:M170,"כן")+COUNTIF(L170:M170,"לא")),""))</f>
        <v/>
      </c>
      <c r="AH170" s="37">
        <f>IF($A170="","",IFERROR(COUNTIF(N170:O170,"כן")/(COUNTIF(N170:O170,"כן")+COUNTIF(N170:O170,"לא")),""))</f>
        <v/>
      </c>
      <c r="AI170" s="37">
        <f>IF($A170="","",IFERROR(COUNTIF(P170:Q170,"כן")/(COUNTIF(P170:Q170,"כן")+COUNTIF(P170:Q170,"לא")),""))</f>
        <v/>
      </c>
      <c r="AJ170" s="37">
        <f>IF($A170="","",IFERROR(COUNTIF(R170:S170,"כן")/(COUNTIF(R170:S170,"כן")+COUNTIF(R170:S170,"לא")),""))</f>
        <v/>
      </c>
      <c r="AK170" s="37">
        <f>IF($A170="","",IFERROR(COUNTIF(T170:U170,"כן")/(COUNTIF(T170:U170,"כן")+COUNTIF(T170:U170,"לא")),""))</f>
        <v/>
      </c>
      <c r="AL170" s="37">
        <f>IF($A170="","",IFERROR(COUNTIF(L170:U170,"כן")/(COUNTIF(L170:U170,"כן")+COUNTIF(L170:U170,"לא")),""))</f>
        <v/>
      </c>
      <c r="AM170" s="45">
        <f>IF($A170="","",IFERROR(AVERAGE(V170:W170),""))</f>
        <v/>
      </c>
      <c r="AN170" s="45">
        <f>IF($A170="","",IFERROR(AVERAGE(X170:Y170),""))</f>
        <v/>
      </c>
      <c r="AO170" s="45">
        <f>IF($A170="","",IFERROR(AVERAGE(Z170:AA170),""))</f>
        <v/>
      </c>
      <c r="AP170" s="45">
        <f>IF($A170="","",IFERROR(AVERAGE(AB170:AC170),""))</f>
        <v/>
      </c>
      <c r="AQ170" s="45">
        <f>IF($A170="","",IFERROR(AVERAGE(AD170),""))</f>
        <v/>
      </c>
      <c r="AR170" s="45">
        <f>IF($A170="","",IFERROR(AVERAGE(V170:AD170),""))</f>
        <v/>
      </c>
      <c r="AS170" s="36">
        <f>IF($A170="","",IF(AND(H170="",J170=""),"לא נבדק",IF(AND(OR(H170="",H170=I170),OR(J170="",J170=K170)),"תואם","לא תואם")))</f>
        <v/>
      </c>
      <c r="AT170" s="36">
        <f>IF($A170="","",IF(AND(AS170&lt;&gt;"לא תואם",G170&lt;&gt;"לא ברור"),"אמין","לפרש בזהירות"))</f>
        <v/>
      </c>
    </row>
    <row r="171">
      <c r="A171" s="38" t="n"/>
      <c r="B171" s="38" t="n"/>
      <c r="C171" s="38" t="n"/>
      <c r="D171" s="38" t="n"/>
      <c r="E171" s="38" t="n"/>
      <c r="F171" s="38" t="n"/>
      <c r="G171" s="38" t="n"/>
      <c r="H171" s="38" t="n"/>
      <c r="I171" s="38" t="n"/>
      <c r="J171" s="38" t="n"/>
      <c r="K171" s="38" t="n"/>
      <c r="L171" s="38" t="n"/>
      <c r="M171" s="38" t="n"/>
      <c r="N171" s="38" t="n"/>
      <c r="O171" s="38" t="n"/>
      <c r="P171" s="38" t="n"/>
      <c r="Q171" s="38" t="n"/>
      <c r="R171" s="38" t="n"/>
      <c r="S171" s="38" t="n"/>
      <c r="T171" s="38" t="n"/>
      <c r="U171" s="38" t="n"/>
      <c r="V171" s="38" t="n"/>
      <c r="W171" s="38" t="n"/>
      <c r="X171" s="38" t="n"/>
      <c r="Y171" s="38" t="n"/>
      <c r="Z171" s="38" t="n"/>
      <c r="AA171" s="38" t="n"/>
      <c r="AB171" s="38" t="n"/>
      <c r="AC171" s="38" t="n"/>
      <c r="AD171" s="38" t="n"/>
      <c r="AE171" s="38" t="n"/>
      <c r="AF171" s="36">
        <f>IF($A171="","",$A171&amp;"|"&amp;$C171)</f>
        <v/>
      </c>
      <c r="AG171" s="37">
        <f>IF($A171="","",IFERROR(COUNTIF(L171:M171,"כן")/(COUNTIF(L171:M171,"כן")+COUNTIF(L171:M171,"לא")),""))</f>
        <v/>
      </c>
      <c r="AH171" s="37">
        <f>IF($A171="","",IFERROR(COUNTIF(N171:O171,"כן")/(COUNTIF(N171:O171,"כן")+COUNTIF(N171:O171,"לא")),""))</f>
        <v/>
      </c>
      <c r="AI171" s="37">
        <f>IF($A171="","",IFERROR(COUNTIF(P171:Q171,"כן")/(COUNTIF(P171:Q171,"כן")+COUNTIF(P171:Q171,"לא")),""))</f>
        <v/>
      </c>
      <c r="AJ171" s="37">
        <f>IF($A171="","",IFERROR(COUNTIF(R171:S171,"כן")/(COUNTIF(R171:S171,"כן")+COUNTIF(R171:S171,"לא")),""))</f>
        <v/>
      </c>
      <c r="AK171" s="37">
        <f>IF($A171="","",IFERROR(COUNTIF(T171:U171,"כן")/(COUNTIF(T171:U171,"כן")+COUNTIF(T171:U171,"לא")),""))</f>
        <v/>
      </c>
      <c r="AL171" s="37">
        <f>IF($A171="","",IFERROR(COUNTIF(L171:U171,"כן")/(COUNTIF(L171:U171,"כן")+COUNTIF(L171:U171,"לא")),""))</f>
        <v/>
      </c>
      <c r="AM171" s="45">
        <f>IF($A171="","",IFERROR(AVERAGE(V171:W171),""))</f>
        <v/>
      </c>
      <c r="AN171" s="45">
        <f>IF($A171="","",IFERROR(AVERAGE(X171:Y171),""))</f>
        <v/>
      </c>
      <c r="AO171" s="45">
        <f>IF($A171="","",IFERROR(AVERAGE(Z171:AA171),""))</f>
        <v/>
      </c>
      <c r="AP171" s="45">
        <f>IF($A171="","",IFERROR(AVERAGE(AB171:AC171),""))</f>
        <v/>
      </c>
      <c r="AQ171" s="45">
        <f>IF($A171="","",IFERROR(AVERAGE(AD171),""))</f>
        <v/>
      </c>
      <c r="AR171" s="45">
        <f>IF($A171="","",IFERROR(AVERAGE(V171:AD171),""))</f>
        <v/>
      </c>
      <c r="AS171" s="36">
        <f>IF($A171="","",IF(AND(H171="",J171=""),"לא נבדק",IF(AND(OR(H171="",H171=I171),OR(J171="",J171=K171)),"תואם","לא תואם")))</f>
        <v/>
      </c>
      <c r="AT171" s="36">
        <f>IF($A171="","",IF(AND(AS171&lt;&gt;"לא תואם",G171&lt;&gt;"לא ברור"),"אמין","לפרש בזהירות"))</f>
        <v/>
      </c>
    </row>
    <row r="172">
      <c r="A172" s="38" t="n"/>
      <c r="B172" s="38" t="n"/>
      <c r="C172" s="38" t="n"/>
      <c r="D172" s="38" t="n"/>
      <c r="E172" s="38" t="n"/>
      <c r="F172" s="38" t="n"/>
      <c r="G172" s="38" t="n"/>
      <c r="H172" s="38" t="n"/>
      <c r="I172" s="38" t="n"/>
      <c r="J172" s="38" t="n"/>
      <c r="K172" s="38" t="n"/>
      <c r="L172" s="38" t="n"/>
      <c r="M172" s="38" t="n"/>
      <c r="N172" s="38" t="n"/>
      <c r="O172" s="38" t="n"/>
      <c r="P172" s="38" t="n"/>
      <c r="Q172" s="38" t="n"/>
      <c r="R172" s="38" t="n"/>
      <c r="S172" s="38" t="n"/>
      <c r="T172" s="38" t="n"/>
      <c r="U172" s="38" t="n"/>
      <c r="V172" s="38" t="n"/>
      <c r="W172" s="38" t="n"/>
      <c r="X172" s="38" t="n"/>
      <c r="Y172" s="38" t="n"/>
      <c r="Z172" s="38" t="n"/>
      <c r="AA172" s="38" t="n"/>
      <c r="AB172" s="38" t="n"/>
      <c r="AC172" s="38" t="n"/>
      <c r="AD172" s="38" t="n"/>
      <c r="AE172" s="38" t="n"/>
      <c r="AF172" s="36">
        <f>IF($A172="","",$A172&amp;"|"&amp;$C172)</f>
        <v/>
      </c>
      <c r="AG172" s="37">
        <f>IF($A172="","",IFERROR(COUNTIF(L172:M172,"כן")/(COUNTIF(L172:M172,"כן")+COUNTIF(L172:M172,"לא")),""))</f>
        <v/>
      </c>
      <c r="AH172" s="37">
        <f>IF($A172="","",IFERROR(COUNTIF(N172:O172,"כן")/(COUNTIF(N172:O172,"כן")+COUNTIF(N172:O172,"לא")),""))</f>
        <v/>
      </c>
      <c r="AI172" s="37">
        <f>IF($A172="","",IFERROR(COUNTIF(P172:Q172,"כן")/(COUNTIF(P172:Q172,"כן")+COUNTIF(P172:Q172,"לא")),""))</f>
        <v/>
      </c>
      <c r="AJ172" s="37">
        <f>IF($A172="","",IFERROR(COUNTIF(R172:S172,"כן")/(COUNTIF(R172:S172,"כן")+COUNTIF(R172:S172,"לא")),""))</f>
        <v/>
      </c>
      <c r="AK172" s="37">
        <f>IF($A172="","",IFERROR(COUNTIF(T172:U172,"כן")/(COUNTIF(T172:U172,"כן")+COUNTIF(T172:U172,"לא")),""))</f>
        <v/>
      </c>
      <c r="AL172" s="37">
        <f>IF($A172="","",IFERROR(COUNTIF(L172:U172,"כן")/(COUNTIF(L172:U172,"כן")+COUNTIF(L172:U172,"לא")),""))</f>
        <v/>
      </c>
      <c r="AM172" s="45">
        <f>IF($A172="","",IFERROR(AVERAGE(V172:W172),""))</f>
        <v/>
      </c>
      <c r="AN172" s="45">
        <f>IF($A172="","",IFERROR(AVERAGE(X172:Y172),""))</f>
        <v/>
      </c>
      <c r="AO172" s="45">
        <f>IF($A172="","",IFERROR(AVERAGE(Z172:AA172),""))</f>
        <v/>
      </c>
      <c r="AP172" s="45">
        <f>IF($A172="","",IFERROR(AVERAGE(AB172:AC172),""))</f>
        <v/>
      </c>
      <c r="AQ172" s="45">
        <f>IF($A172="","",IFERROR(AVERAGE(AD172),""))</f>
        <v/>
      </c>
      <c r="AR172" s="45">
        <f>IF($A172="","",IFERROR(AVERAGE(V172:AD172),""))</f>
        <v/>
      </c>
      <c r="AS172" s="36">
        <f>IF($A172="","",IF(AND(H172="",J172=""),"לא נבדק",IF(AND(OR(H172="",H172=I172),OR(J172="",J172=K172)),"תואם","לא תואם")))</f>
        <v/>
      </c>
      <c r="AT172" s="36">
        <f>IF($A172="","",IF(AND(AS172&lt;&gt;"לא תואם",G172&lt;&gt;"לא ברור"),"אמין","לפרש בזהירות"))</f>
        <v/>
      </c>
    </row>
    <row r="173">
      <c r="A173" s="38" t="n"/>
      <c r="B173" s="38" t="n"/>
      <c r="C173" s="38" t="n"/>
      <c r="D173" s="38" t="n"/>
      <c r="E173" s="38" t="n"/>
      <c r="F173" s="38" t="n"/>
      <c r="G173" s="38" t="n"/>
      <c r="H173" s="38" t="n"/>
      <c r="I173" s="38" t="n"/>
      <c r="J173" s="38" t="n"/>
      <c r="K173" s="38" t="n"/>
      <c r="L173" s="38" t="n"/>
      <c r="M173" s="38" t="n"/>
      <c r="N173" s="38" t="n"/>
      <c r="O173" s="38" t="n"/>
      <c r="P173" s="38" t="n"/>
      <c r="Q173" s="38" t="n"/>
      <c r="R173" s="38" t="n"/>
      <c r="S173" s="38" t="n"/>
      <c r="T173" s="38" t="n"/>
      <c r="U173" s="38" t="n"/>
      <c r="V173" s="38" t="n"/>
      <c r="W173" s="38" t="n"/>
      <c r="X173" s="38" t="n"/>
      <c r="Y173" s="38" t="n"/>
      <c r="Z173" s="38" t="n"/>
      <c r="AA173" s="38" t="n"/>
      <c r="AB173" s="38" t="n"/>
      <c r="AC173" s="38" t="n"/>
      <c r="AD173" s="38" t="n"/>
      <c r="AE173" s="38" t="n"/>
      <c r="AF173" s="36">
        <f>IF($A173="","",$A173&amp;"|"&amp;$C173)</f>
        <v/>
      </c>
      <c r="AG173" s="37">
        <f>IF($A173="","",IFERROR(COUNTIF(L173:M173,"כן")/(COUNTIF(L173:M173,"כן")+COUNTIF(L173:M173,"לא")),""))</f>
        <v/>
      </c>
      <c r="AH173" s="37">
        <f>IF($A173="","",IFERROR(COUNTIF(N173:O173,"כן")/(COUNTIF(N173:O173,"כן")+COUNTIF(N173:O173,"לא")),""))</f>
        <v/>
      </c>
      <c r="AI173" s="37">
        <f>IF($A173="","",IFERROR(COUNTIF(P173:Q173,"כן")/(COUNTIF(P173:Q173,"כן")+COUNTIF(P173:Q173,"לא")),""))</f>
        <v/>
      </c>
      <c r="AJ173" s="37">
        <f>IF($A173="","",IFERROR(COUNTIF(R173:S173,"כן")/(COUNTIF(R173:S173,"כן")+COUNTIF(R173:S173,"לא")),""))</f>
        <v/>
      </c>
      <c r="AK173" s="37">
        <f>IF($A173="","",IFERROR(COUNTIF(T173:U173,"כן")/(COUNTIF(T173:U173,"כן")+COUNTIF(T173:U173,"לא")),""))</f>
        <v/>
      </c>
      <c r="AL173" s="37">
        <f>IF($A173="","",IFERROR(COUNTIF(L173:U173,"כן")/(COUNTIF(L173:U173,"כן")+COUNTIF(L173:U173,"לא")),""))</f>
        <v/>
      </c>
      <c r="AM173" s="45">
        <f>IF($A173="","",IFERROR(AVERAGE(V173:W173),""))</f>
        <v/>
      </c>
      <c r="AN173" s="45">
        <f>IF($A173="","",IFERROR(AVERAGE(X173:Y173),""))</f>
        <v/>
      </c>
      <c r="AO173" s="45">
        <f>IF($A173="","",IFERROR(AVERAGE(Z173:AA173),""))</f>
        <v/>
      </c>
      <c r="AP173" s="45">
        <f>IF($A173="","",IFERROR(AVERAGE(AB173:AC173),""))</f>
        <v/>
      </c>
      <c r="AQ173" s="45">
        <f>IF($A173="","",IFERROR(AVERAGE(AD173),""))</f>
        <v/>
      </c>
      <c r="AR173" s="45">
        <f>IF($A173="","",IFERROR(AVERAGE(V173:AD173),""))</f>
        <v/>
      </c>
      <c r="AS173" s="36">
        <f>IF($A173="","",IF(AND(H173="",J173=""),"לא נבדק",IF(AND(OR(H173="",H173=I173),OR(J173="",J173=K173)),"תואם","לא תואם")))</f>
        <v/>
      </c>
      <c r="AT173" s="36">
        <f>IF($A173="","",IF(AND(AS173&lt;&gt;"לא תואם",G173&lt;&gt;"לא ברור"),"אמין","לפרש בזהירות"))</f>
        <v/>
      </c>
    </row>
    <row r="174">
      <c r="A174" s="38" t="n"/>
      <c r="B174" s="38" t="n"/>
      <c r="C174" s="38" t="n"/>
      <c r="D174" s="38" t="n"/>
      <c r="E174" s="38" t="n"/>
      <c r="F174" s="38" t="n"/>
      <c r="G174" s="38" t="n"/>
      <c r="H174" s="38" t="n"/>
      <c r="I174" s="38" t="n"/>
      <c r="J174" s="38" t="n"/>
      <c r="K174" s="38" t="n"/>
      <c r="L174" s="38" t="n"/>
      <c r="M174" s="38" t="n"/>
      <c r="N174" s="38" t="n"/>
      <c r="O174" s="38" t="n"/>
      <c r="P174" s="38" t="n"/>
      <c r="Q174" s="38" t="n"/>
      <c r="R174" s="38" t="n"/>
      <c r="S174" s="38" t="n"/>
      <c r="T174" s="38" t="n"/>
      <c r="U174" s="38" t="n"/>
      <c r="V174" s="38" t="n"/>
      <c r="W174" s="38" t="n"/>
      <c r="X174" s="38" t="n"/>
      <c r="Y174" s="38" t="n"/>
      <c r="Z174" s="38" t="n"/>
      <c r="AA174" s="38" t="n"/>
      <c r="AB174" s="38" t="n"/>
      <c r="AC174" s="38" t="n"/>
      <c r="AD174" s="38" t="n"/>
      <c r="AE174" s="38" t="n"/>
      <c r="AF174" s="36">
        <f>IF($A174="","",$A174&amp;"|"&amp;$C174)</f>
        <v/>
      </c>
      <c r="AG174" s="37">
        <f>IF($A174="","",IFERROR(COUNTIF(L174:M174,"כן")/(COUNTIF(L174:M174,"כן")+COUNTIF(L174:M174,"לא")),""))</f>
        <v/>
      </c>
      <c r="AH174" s="37">
        <f>IF($A174="","",IFERROR(COUNTIF(N174:O174,"כן")/(COUNTIF(N174:O174,"כן")+COUNTIF(N174:O174,"לא")),""))</f>
        <v/>
      </c>
      <c r="AI174" s="37">
        <f>IF($A174="","",IFERROR(COUNTIF(P174:Q174,"כן")/(COUNTIF(P174:Q174,"כן")+COUNTIF(P174:Q174,"לא")),""))</f>
        <v/>
      </c>
      <c r="AJ174" s="37">
        <f>IF($A174="","",IFERROR(COUNTIF(R174:S174,"כן")/(COUNTIF(R174:S174,"כן")+COUNTIF(R174:S174,"לא")),""))</f>
        <v/>
      </c>
      <c r="AK174" s="37">
        <f>IF($A174="","",IFERROR(COUNTIF(T174:U174,"כן")/(COUNTIF(T174:U174,"כן")+COUNTIF(T174:U174,"לא")),""))</f>
        <v/>
      </c>
      <c r="AL174" s="37">
        <f>IF($A174="","",IFERROR(COUNTIF(L174:U174,"כן")/(COUNTIF(L174:U174,"כן")+COUNTIF(L174:U174,"לא")),""))</f>
        <v/>
      </c>
      <c r="AM174" s="45">
        <f>IF($A174="","",IFERROR(AVERAGE(V174:W174),""))</f>
        <v/>
      </c>
      <c r="AN174" s="45">
        <f>IF($A174="","",IFERROR(AVERAGE(X174:Y174),""))</f>
        <v/>
      </c>
      <c r="AO174" s="45">
        <f>IF($A174="","",IFERROR(AVERAGE(Z174:AA174),""))</f>
        <v/>
      </c>
      <c r="AP174" s="45">
        <f>IF($A174="","",IFERROR(AVERAGE(AB174:AC174),""))</f>
        <v/>
      </c>
      <c r="AQ174" s="45">
        <f>IF($A174="","",IFERROR(AVERAGE(AD174),""))</f>
        <v/>
      </c>
      <c r="AR174" s="45">
        <f>IF($A174="","",IFERROR(AVERAGE(V174:AD174),""))</f>
        <v/>
      </c>
      <c r="AS174" s="36">
        <f>IF($A174="","",IF(AND(H174="",J174=""),"לא נבדק",IF(AND(OR(H174="",H174=I174),OR(J174="",J174=K174)),"תואם","לא תואם")))</f>
        <v/>
      </c>
      <c r="AT174" s="36">
        <f>IF($A174="","",IF(AND(AS174&lt;&gt;"לא תואם",G174&lt;&gt;"לא ברור"),"אמין","לפרש בזהירות"))</f>
        <v/>
      </c>
    </row>
    <row r="175">
      <c r="A175" s="38" t="n"/>
      <c r="B175" s="38" t="n"/>
      <c r="C175" s="38" t="n"/>
      <c r="D175" s="38" t="n"/>
      <c r="E175" s="38" t="n"/>
      <c r="F175" s="38" t="n"/>
      <c r="G175" s="38" t="n"/>
      <c r="H175" s="38" t="n"/>
      <c r="I175" s="38" t="n"/>
      <c r="J175" s="38" t="n"/>
      <c r="K175" s="38" t="n"/>
      <c r="L175" s="38" t="n"/>
      <c r="M175" s="38" t="n"/>
      <c r="N175" s="38" t="n"/>
      <c r="O175" s="38" t="n"/>
      <c r="P175" s="38" t="n"/>
      <c r="Q175" s="38" t="n"/>
      <c r="R175" s="38" t="n"/>
      <c r="S175" s="38" t="n"/>
      <c r="T175" s="38" t="n"/>
      <c r="U175" s="38" t="n"/>
      <c r="V175" s="38" t="n"/>
      <c r="W175" s="38" t="n"/>
      <c r="X175" s="38" t="n"/>
      <c r="Y175" s="38" t="n"/>
      <c r="Z175" s="38" t="n"/>
      <c r="AA175" s="38" t="n"/>
      <c r="AB175" s="38" t="n"/>
      <c r="AC175" s="38" t="n"/>
      <c r="AD175" s="38" t="n"/>
      <c r="AE175" s="38" t="n"/>
      <c r="AF175" s="36">
        <f>IF($A175="","",$A175&amp;"|"&amp;$C175)</f>
        <v/>
      </c>
      <c r="AG175" s="37">
        <f>IF($A175="","",IFERROR(COUNTIF(L175:M175,"כן")/(COUNTIF(L175:M175,"כן")+COUNTIF(L175:M175,"לא")),""))</f>
        <v/>
      </c>
      <c r="AH175" s="37">
        <f>IF($A175="","",IFERROR(COUNTIF(N175:O175,"כן")/(COUNTIF(N175:O175,"כן")+COUNTIF(N175:O175,"לא")),""))</f>
        <v/>
      </c>
      <c r="AI175" s="37">
        <f>IF($A175="","",IFERROR(COUNTIF(P175:Q175,"כן")/(COUNTIF(P175:Q175,"כן")+COUNTIF(P175:Q175,"לא")),""))</f>
        <v/>
      </c>
      <c r="AJ175" s="37">
        <f>IF($A175="","",IFERROR(COUNTIF(R175:S175,"כן")/(COUNTIF(R175:S175,"כן")+COUNTIF(R175:S175,"לא")),""))</f>
        <v/>
      </c>
      <c r="AK175" s="37">
        <f>IF($A175="","",IFERROR(COUNTIF(T175:U175,"כן")/(COUNTIF(T175:U175,"כן")+COUNTIF(T175:U175,"לא")),""))</f>
        <v/>
      </c>
      <c r="AL175" s="37">
        <f>IF($A175="","",IFERROR(COUNTIF(L175:U175,"כן")/(COUNTIF(L175:U175,"כן")+COUNTIF(L175:U175,"לא")),""))</f>
        <v/>
      </c>
      <c r="AM175" s="45">
        <f>IF($A175="","",IFERROR(AVERAGE(V175:W175),""))</f>
        <v/>
      </c>
      <c r="AN175" s="45">
        <f>IF($A175="","",IFERROR(AVERAGE(X175:Y175),""))</f>
        <v/>
      </c>
      <c r="AO175" s="45">
        <f>IF($A175="","",IFERROR(AVERAGE(Z175:AA175),""))</f>
        <v/>
      </c>
      <c r="AP175" s="45">
        <f>IF($A175="","",IFERROR(AVERAGE(AB175:AC175),""))</f>
        <v/>
      </c>
      <c r="AQ175" s="45">
        <f>IF($A175="","",IFERROR(AVERAGE(AD175),""))</f>
        <v/>
      </c>
      <c r="AR175" s="45">
        <f>IF($A175="","",IFERROR(AVERAGE(V175:AD175),""))</f>
        <v/>
      </c>
      <c r="AS175" s="36">
        <f>IF($A175="","",IF(AND(H175="",J175=""),"לא נבדק",IF(AND(OR(H175="",H175=I175),OR(J175="",J175=K175)),"תואם","לא תואם")))</f>
        <v/>
      </c>
      <c r="AT175" s="36">
        <f>IF($A175="","",IF(AND(AS175&lt;&gt;"לא תואם",G175&lt;&gt;"לא ברור"),"אמין","לפרש בזהירות"))</f>
        <v/>
      </c>
    </row>
    <row r="176">
      <c r="A176" s="38" t="n"/>
      <c r="B176" s="38" t="n"/>
      <c r="C176" s="38" t="n"/>
      <c r="D176" s="38" t="n"/>
      <c r="E176" s="38" t="n"/>
      <c r="F176" s="38" t="n"/>
      <c r="G176" s="38" t="n"/>
      <c r="H176" s="38" t="n"/>
      <c r="I176" s="38" t="n"/>
      <c r="J176" s="38" t="n"/>
      <c r="K176" s="38" t="n"/>
      <c r="L176" s="38" t="n"/>
      <c r="M176" s="38" t="n"/>
      <c r="N176" s="38" t="n"/>
      <c r="O176" s="38" t="n"/>
      <c r="P176" s="38" t="n"/>
      <c r="Q176" s="38" t="n"/>
      <c r="R176" s="38" t="n"/>
      <c r="S176" s="38" t="n"/>
      <c r="T176" s="38" t="n"/>
      <c r="U176" s="38" t="n"/>
      <c r="V176" s="38" t="n"/>
      <c r="W176" s="38" t="n"/>
      <c r="X176" s="38" t="n"/>
      <c r="Y176" s="38" t="n"/>
      <c r="Z176" s="38" t="n"/>
      <c r="AA176" s="38" t="n"/>
      <c r="AB176" s="38" t="n"/>
      <c r="AC176" s="38" t="n"/>
      <c r="AD176" s="38" t="n"/>
      <c r="AE176" s="38" t="n"/>
      <c r="AF176" s="36">
        <f>IF($A176="","",$A176&amp;"|"&amp;$C176)</f>
        <v/>
      </c>
      <c r="AG176" s="37">
        <f>IF($A176="","",IFERROR(COUNTIF(L176:M176,"כן")/(COUNTIF(L176:M176,"כן")+COUNTIF(L176:M176,"לא")),""))</f>
        <v/>
      </c>
      <c r="AH176" s="37">
        <f>IF($A176="","",IFERROR(COUNTIF(N176:O176,"כן")/(COUNTIF(N176:O176,"כן")+COUNTIF(N176:O176,"לא")),""))</f>
        <v/>
      </c>
      <c r="AI176" s="37">
        <f>IF($A176="","",IFERROR(COUNTIF(P176:Q176,"כן")/(COUNTIF(P176:Q176,"כן")+COUNTIF(P176:Q176,"לא")),""))</f>
        <v/>
      </c>
      <c r="AJ176" s="37">
        <f>IF($A176="","",IFERROR(COUNTIF(R176:S176,"כן")/(COUNTIF(R176:S176,"כן")+COUNTIF(R176:S176,"לא")),""))</f>
        <v/>
      </c>
      <c r="AK176" s="37">
        <f>IF($A176="","",IFERROR(COUNTIF(T176:U176,"כן")/(COUNTIF(T176:U176,"כן")+COUNTIF(T176:U176,"לא")),""))</f>
        <v/>
      </c>
      <c r="AL176" s="37">
        <f>IF($A176="","",IFERROR(COUNTIF(L176:U176,"כן")/(COUNTIF(L176:U176,"כן")+COUNTIF(L176:U176,"לא")),""))</f>
        <v/>
      </c>
      <c r="AM176" s="45">
        <f>IF($A176="","",IFERROR(AVERAGE(V176:W176),""))</f>
        <v/>
      </c>
      <c r="AN176" s="45">
        <f>IF($A176="","",IFERROR(AVERAGE(X176:Y176),""))</f>
        <v/>
      </c>
      <c r="AO176" s="45">
        <f>IF($A176="","",IFERROR(AVERAGE(Z176:AA176),""))</f>
        <v/>
      </c>
      <c r="AP176" s="45">
        <f>IF($A176="","",IFERROR(AVERAGE(AB176:AC176),""))</f>
        <v/>
      </c>
      <c r="AQ176" s="45">
        <f>IF($A176="","",IFERROR(AVERAGE(AD176),""))</f>
        <v/>
      </c>
      <c r="AR176" s="45">
        <f>IF($A176="","",IFERROR(AVERAGE(V176:AD176),""))</f>
        <v/>
      </c>
      <c r="AS176" s="36">
        <f>IF($A176="","",IF(AND(H176="",J176=""),"לא נבדק",IF(AND(OR(H176="",H176=I176),OR(J176="",J176=K176)),"תואם","לא תואם")))</f>
        <v/>
      </c>
      <c r="AT176" s="36">
        <f>IF($A176="","",IF(AND(AS176&lt;&gt;"לא תואם",G176&lt;&gt;"לא ברור"),"אמין","לפרש בזהירות"))</f>
        <v/>
      </c>
    </row>
    <row r="177">
      <c r="A177" s="38" t="n"/>
      <c r="B177" s="38" t="n"/>
      <c r="C177" s="38" t="n"/>
      <c r="D177" s="38" t="n"/>
      <c r="E177" s="38" t="n"/>
      <c r="F177" s="38" t="n"/>
      <c r="G177" s="38" t="n"/>
      <c r="H177" s="38" t="n"/>
      <c r="I177" s="38" t="n"/>
      <c r="J177" s="38" t="n"/>
      <c r="K177" s="38" t="n"/>
      <c r="L177" s="38" t="n"/>
      <c r="M177" s="38" t="n"/>
      <c r="N177" s="38" t="n"/>
      <c r="O177" s="38" t="n"/>
      <c r="P177" s="38" t="n"/>
      <c r="Q177" s="38" t="n"/>
      <c r="R177" s="38" t="n"/>
      <c r="S177" s="38" t="n"/>
      <c r="T177" s="38" t="n"/>
      <c r="U177" s="38" t="n"/>
      <c r="V177" s="38" t="n"/>
      <c r="W177" s="38" t="n"/>
      <c r="X177" s="38" t="n"/>
      <c r="Y177" s="38" t="n"/>
      <c r="Z177" s="38" t="n"/>
      <c r="AA177" s="38" t="n"/>
      <c r="AB177" s="38" t="n"/>
      <c r="AC177" s="38" t="n"/>
      <c r="AD177" s="38" t="n"/>
      <c r="AE177" s="38" t="n"/>
      <c r="AF177" s="36">
        <f>IF($A177="","",$A177&amp;"|"&amp;$C177)</f>
        <v/>
      </c>
      <c r="AG177" s="37">
        <f>IF($A177="","",IFERROR(COUNTIF(L177:M177,"כן")/(COUNTIF(L177:M177,"כן")+COUNTIF(L177:M177,"לא")),""))</f>
        <v/>
      </c>
      <c r="AH177" s="37">
        <f>IF($A177="","",IFERROR(COUNTIF(N177:O177,"כן")/(COUNTIF(N177:O177,"כן")+COUNTIF(N177:O177,"לא")),""))</f>
        <v/>
      </c>
      <c r="AI177" s="37">
        <f>IF($A177="","",IFERROR(COUNTIF(P177:Q177,"כן")/(COUNTIF(P177:Q177,"כן")+COUNTIF(P177:Q177,"לא")),""))</f>
        <v/>
      </c>
      <c r="AJ177" s="37">
        <f>IF($A177="","",IFERROR(COUNTIF(R177:S177,"כן")/(COUNTIF(R177:S177,"כן")+COUNTIF(R177:S177,"לא")),""))</f>
        <v/>
      </c>
      <c r="AK177" s="37">
        <f>IF($A177="","",IFERROR(COUNTIF(T177:U177,"כן")/(COUNTIF(T177:U177,"כן")+COUNTIF(T177:U177,"לא")),""))</f>
        <v/>
      </c>
      <c r="AL177" s="37">
        <f>IF($A177="","",IFERROR(COUNTIF(L177:U177,"כן")/(COUNTIF(L177:U177,"כן")+COUNTIF(L177:U177,"לא")),""))</f>
        <v/>
      </c>
      <c r="AM177" s="45">
        <f>IF($A177="","",IFERROR(AVERAGE(V177:W177),""))</f>
        <v/>
      </c>
      <c r="AN177" s="45">
        <f>IF($A177="","",IFERROR(AVERAGE(X177:Y177),""))</f>
        <v/>
      </c>
      <c r="AO177" s="45">
        <f>IF($A177="","",IFERROR(AVERAGE(Z177:AA177),""))</f>
        <v/>
      </c>
      <c r="AP177" s="45">
        <f>IF($A177="","",IFERROR(AVERAGE(AB177:AC177),""))</f>
        <v/>
      </c>
      <c r="AQ177" s="45">
        <f>IF($A177="","",IFERROR(AVERAGE(AD177),""))</f>
        <v/>
      </c>
      <c r="AR177" s="45">
        <f>IF($A177="","",IFERROR(AVERAGE(V177:AD177),""))</f>
        <v/>
      </c>
      <c r="AS177" s="36">
        <f>IF($A177="","",IF(AND(H177="",J177=""),"לא נבדק",IF(AND(OR(H177="",H177=I177),OR(J177="",J177=K177)),"תואם","לא תואם")))</f>
        <v/>
      </c>
      <c r="AT177" s="36">
        <f>IF($A177="","",IF(AND(AS177&lt;&gt;"לא תואם",G177&lt;&gt;"לא ברור"),"אמין","לפרש בזהירות"))</f>
        <v/>
      </c>
    </row>
    <row r="178">
      <c r="A178" s="38" t="n"/>
      <c r="B178" s="38" t="n"/>
      <c r="C178" s="38" t="n"/>
      <c r="D178" s="38" t="n"/>
      <c r="E178" s="38" t="n"/>
      <c r="F178" s="38" t="n"/>
      <c r="G178" s="38" t="n"/>
      <c r="H178" s="38" t="n"/>
      <c r="I178" s="38" t="n"/>
      <c r="J178" s="38" t="n"/>
      <c r="K178" s="38" t="n"/>
      <c r="L178" s="38" t="n"/>
      <c r="M178" s="38" t="n"/>
      <c r="N178" s="38" t="n"/>
      <c r="O178" s="38" t="n"/>
      <c r="P178" s="38" t="n"/>
      <c r="Q178" s="38" t="n"/>
      <c r="R178" s="38" t="n"/>
      <c r="S178" s="38" t="n"/>
      <c r="T178" s="38" t="n"/>
      <c r="U178" s="38" t="n"/>
      <c r="V178" s="38" t="n"/>
      <c r="W178" s="38" t="n"/>
      <c r="X178" s="38" t="n"/>
      <c r="Y178" s="38" t="n"/>
      <c r="Z178" s="38" t="n"/>
      <c r="AA178" s="38" t="n"/>
      <c r="AB178" s="38" t="n"/>
      <c r="AC178" s="38" t="n"/>
      <c r="AD178" s="38" t="n"/>
      <c r="AE178" s="38" t="n"/>
      <c r="AF178" s="36">
        <f>IF($A178="","",$A178&amp;"|"&amp;$C178)</f>
        <v/>
      </c>
      <c r="AG178" s="37">
        <f>IF($A178="","",IFERROR(COUNTIF(L178:M178,"כן")/(COUNTIF(L178:M178,"כן")+COUNTIF(L178:M178,"לא")),""))</f>
        <v/>
      </c>
      <c r="AH178" s="37">
        <f>IF($A178="","",IFERROR(COUNTIF(N178:O178,"כן")/(COUNTIF(N178:O178,"כן")+COUNTIF(N178:O178,"לא")),""))</f>
        <v/>
      </c>
      <c r="AI178" s="37">
        <f>IF($A178="","",IFERROR(COUNTIF(P178:Q178,"כן")/(COUNTIF(P178:Q178,"כן")+COUNTIF(P178:Q178,"לא")),""))</f>
        <v/>
      </c>
      <c r="AJ178" s="37">
        <f>IF($A178="","",IFERROR(COUNTIF(R178:S178,"כן")/(COUNTIF(R178:S178,"כן")+COUNTIF(R178:S178,"לא")),""))</f>
        <v/>
      </c>
      <c r="AK178" s="37">
        <f>IF($A178="","",IFERROR(COUNTIF(T178:U178,"כן")/(COUNTIF(T178:U178,"כן")+COUNTIF(T178:U178,"לא")),""))</f>
        <v/>
      </c>
      <c r="AL178" s="37">
        <f>IF($A178="","",IFERROR(COUNTIF(L178:U178,"כן")/(COUNTIF(L178:U178,"כן")+COUNTIF(L178:U178,"לא")),""))</f>
        <v/>
      </c>
      <c r="AM178" s="45">
        <f>IF($A178="","",IFERROR(AVERAGE(V178:W178),""))</f>
        <v/>
      </c>
      <c r="AN178" s="45">
        <f>IF($A178="","",IFERROR(AVERAGE(X178:Y178),""))</f>
        <v/>
      </c>
      <c r="AO178" s="45">
        <f>IF($A178="","",IFERROR(AVERAGE(Z178:AA178),""))</f>
        <v/>
      </c>
      <c r="AP178" s="45">
        <f>IF($A178="","",IFERROR(AVERAGE(AB178:AC178),""))</f>
        <v/>
      </c>
      <c r="AQ178" s="45">
        <f>IF($A178="","",IFERROR(AVERAGE(AD178),""))</f>
        <v/>
      </c>
      <c r="AR178" s="45">
        <f>IF($A178="","",IFERROR(AVERAGE(V178:AD178),""))</f>
        <v/>
      </c>
      <c r="AS178" s="36">
        <f>IF($A178="","",IF(AND(H178="",J178=""),"לא נבדק",IF(AND(OR(H178="",H178=I178),OR(J178="",J178=K178)),"תואם","לא תואם")))</f>
        <v/>
      </c>
      <c r="AT178" s="36">
        <f>IF($A178="","",IF(AND(AS178&lt;&gt;"לא תואם",G178&lt;&gt;"לא ברור"),"אמין","לפרש בזהירות"))</f>
        <v/>
      </c>
    </row>
    <row r="179">
      <c r="A179" s="38" t="n"/>
      <c r="B179" s="38" t="n"/>
      <c r="C179" s="38" t="n"/>
      <c r="D179" s="38" t="n"/>
      <c r="E179" s="38" t="n"/>
      <c r="F179" s="38" t="n"/>
      <c r="G179" s="38" t="n"/>
      <c r="H179" s="38" t="n"/>
      <c r="I179" s="38" t="n"/>
      <c r="J179" s="38" t="n"/>
      <c r="K179" s="38" t="n"/>
      <c r="L179" s="38" t="n"/>
      <c r="M179" s="38" t="n"/>
      <c r="N179" s="38" t="n"/>
      <c r="O179" s="38" t="n"/>
      <c r="P179" s="38" t="n"/>
      <c r="Q179" s="38" t="n"/>
      <c r="R179" s="38" t="n"/>
      <c r="S179" s="38" t="n"/>
      <c r="T179" s="38" t="n"/>
      <c r="U179" s="38" t="n"/>
      <c r="V179" s="38" t="n"/>
      <c r="W179" s="38" t="n"/>
      <c r="X179" s="38" t="n"/>
      <c r="Y179" s="38" t="n"/>
      <c r="Z179" s="38" t="n"/>
      <c r="AA179" s="38" t="n"/>
      <c r="AB179" s="38" t="n"/>
      <c r="AC179" s="38" t="n"/>
      <c r="AD179" s="38" t="n"/>
      <c r="AE179" s="38" t="n"/>
      <c r="AF179" s="36">
        <f>IF($A179="","",$A179&amp;"|"&amp;$C179)</f>
        <v/>
      </c>
      <c r="AG179" s="37">
        <f>IF($A179="","",IFERROR(COUNTIF(L179:M179,"כן")/(COUNTIF(L179:M179,"כן")+COUNTIF(L179:M179,"לא")),""))</f>
        <v/>
      </c>
      <c r="AH179" s="37">
        <f>IF($A179="","",IFERROR(COUNTIF(N179:O179,"כן")/(COUNTIF(N179:O179,"כן")+COUNTIF(N179:O179,"לא")),""))</f>
        <v/>
      </c>
      <c r="AI179" s="37">
        <f>IF($A179="","",IFERROR(COUNTIF(P179:Q179,"כן")/(COUNTIF(P179:Q179,"כן")+COUNTIF(P179:Q179,"לא")),""))</f>
        <v/>
      </c>
      <c r="AJ179" s="37">
        <f>IF($A179="","",IFERROR(COUNTIF(R179:S179,"כן")/(COUNTIF(R179:S179,"כן")+COUNTIF(R179:S179,"לא")),""))</f>
        <v/>
      </c>
      <c r="AK179" s="37">
        <f>IF($A179="","",IFERROR(COUNTIF(T179:U179,"כן")/(COUNTIF(T179:U179,"כן")+COUNTIF(T179:U179,"לא")),""))</f>
        <v/>
      </c>
      <c r="AL179" s="37">
        <f>IF($A179="","",IFERROR(COUNTIF(L179:U179,"כן")/(COUNTIF(L179:U179,"כן")+COUNTIF(L179:U179,"לא")),""))</f>
        <v/>
      </c>
      <c r="AM179" s="45">
        <f>IF($A179="","",IFERROR(AVERAGE(V179:W179),""))</f>
        <v/>
      </c>
      <c r="AN179" s="45">
        <f>IF($A179="","",IFERROR(AVERAGE(X179:Y179),""))</f>
        <v/>
      </c>
      <c r="AO179" s="45">
        <f>IF($A179="","",IFERROR(AVERAGE(Z179:AA179),""))</f>
        <v/>
      </c>
      <c r="AP179" s="45">
        <f>IF($A179="","",IFERROR(AVERAGE(AB179:AC179),""))</f>
        <v/>
      </c>
      <c r="AQ179" s="45">
        <f>IF($A179="","",IFERROR(AVERAGE(AD179),""))</f>
        <v/>
      </c>
      <c r="AR179" s="45">
        <f>IF($A179="","",IFERROR(AVERAGE(V179:AD179),""))</f>
        <v/>
      </c>
      <c r="AS179" s="36">
        <f>IF($A179="","",IF(AND(H179="",J179=""),"לא נבדק",IF(AND(OR(H179="",H179=I179),OR(J179="",J179=K179)),"תואם","לא תואם")))</f>
        <v/>
      </c>
      <c r="AT179" s="36">
        <f>IF($A179="","",IF(AND(AS179&lt;&gt;"לא תואם",G179&lt;&gt;"לא ברור"),"אמין","לפרש בזהירות"))</f>
        <v/>
      </c>
    </row>
    <row r="180">
      <c r="A180" s="38" t="n"/>
      <c r="B180" s="38" t="n"/>
      <c r="C180" s="38" t="n"/>
      <c r="D180" s="38" t="n"/>
      <c r="E180" s="38" t="n"/>
      <c r="F180" s="38" t="n"/>
      <c r="G180" s="38" t="n"/>
      <c r="H180" s="38" t="n"/>
      <c r="I180" s="38" t="n"/>
      <c r="J180" s="38" t="n"/>
      <c r="K180" s="38" t="n"/>
      <c r="L180" s="38" t="n"/>
      <c r="M180" s="38" t="n"/>
      <c r="N180" s="38" t="n"/>
      <c r="O180" s="38" t="n"/>
      <c r="P180" s="38" t="n"/>
      <c r="Q180" s="38" t="n"/>
      <c r="R180" s="38" t="n"/>
      <c r="S180" s="38" t="n"/>
      <c r="T180" s="38" t="n"/>
      <c r="U180" s="38" t="n"/>
      <c r="V180" s="38" t="n"/>
      <c r="W180" s="38" t="n"/>
      <c r="X180" s="38" t="n"/>
      <c r="Y180" s="38" t="n"/>
      <c r="Z180" s="38" t="n"/>
      <c r="AA180" s="38" t="n"/>
      <c r="AB180" s="38" t="n"/>
      <c r="AC180" s="38" t="n"/>
      <c r="AD180" s="38" t="n"/>
      <c r="AE180" s="38" t="n"/>
      <c r="AF180" s="36">
        <f>IF($A180="","",$A180&amp;"|"&amp;$C180)</f>
        <v/>
      </c>
      <c r="AG180" s="37">
        <f>IF($A180="","",IFERROR(COUNTIF(L180:M180,"כן")/(COUNTIF(L180:M180,"כן")+COUNTIF(L180:M180,"לא")),""))</f>
        <v/>
      </c>
      <c r="AH180" s="37">
        <f>IF($A180="","",IFERROR(COUNTIF(N180:O180,"כן")/(COUNTIF(N180:O180,"כן")+COUNTIF(N180:O180,"לא")),""))</f>
        <v/>
      </c>
      <c r="AI180" s="37">
        <f>IF($A180="","",IFERROR(COUNTIF(P180:Q180,"כן")/(COUNTIF(P180:Q180,"כן")+COUNTIF(P180:Q180,"לא")),""))</f>
        <v/>
      </c>
      <c r="AJ180" s="37">
        <f>IF($A180="","",IFERROR(COUNTIF(R180:S180,"כן")/(COUNTIF(R180:S180,"כן")+COUNTIF(R180:S180,"לא")),""))</f>
        <v/>
      </c>
      <c r="AK180" s="37">
        <f>IF($A180="","",IFERROR(COUNTIF(T180:U180,"כן")/(COUNTIF(T180:U180,"כן")+COUNTIF(T180:U180,"לא")),""))</f>
        <v/>
      </c>
      <c r="AL180" s="37">
        <f>IF($A180="","",IFERROR(COUNTIF(L180:U180,"כן")/(COUNTIF(L180:U180,"כן")+COUNTIF(L180:U180,"לא")),""))</f>
        <v/>
      </c>
      <c r="AM180" s="45">
        <f>IF($A180="","",IFERROR(AVERAGE(V180:W180),""))</f>
        <v/>
      </c>
      <c r="AN180" s="45">
        <f>IF($A180="","",IFERROR(AVERAGE(X180:Y180),""))</f>
        <v/>
      </c>
      <c r="AO180" s="45">
        <f>IF($A180="","",IFERROR(AVERAGE(Z180:AA180),""))</f>
        <v/>
      </c>
      <c r="AP180" s="45">
        <f>IF($A180="","",IFERROR(AVERAGE(AB180:AC180),""))</f>
        <v/>
      </c>
      <c r="AQ180" s="45">
        <f>IF($A180="","",IFERROR(AVERAGE(AD180),""))</f>
        <v/>
      </c>
      <c r="AR180" s="45">
        <f>IF($A180="","",IFERROR(AVERAGE(V180:AD180),""))</f>
        <v/>
      </c>
      <c r="AS180" s="36">
        <f>IF($A180="","",IF(AND(H180="",J180=""),"לא נבדק",IF(AND(OR(H180="",H180=I180),OR(J180="",J180=K180)),"תואם","לא תואם")))</f>
        <v/>
      </c>
      <c r="AT180" s="36">
        <f>IF($A180="","",IF(AND(AS180&lt;&gt;"לא תואם",G180&lt;&gt;"לא ברור"),"אמין","לפרש בזהירות"))</f>
        <v/>
      </c>
    </row>
    <row r="181">
      <c r="A181" s="38" t="n"/>
      <c r="B181" s="38" t="n"/>
      <c r="C181" s="38" t="n"/>
      <c r="D181" s="38" t="n"/>
      <c r="E181" s="38" t="n"/>
      <c r="F181" s="38" t="n"/>
      <c r="G181" s="38" t="n"/>
      <c r="H181" s="38" t="n"/>
      <c r="I181" s="38" t="n"/>
      <c r="J181" s="38" t="n"/>
      <c r="K181" s="38" t="n"/>
      <c r="L181" s="38" t="n"/>
      <c r="M181" s="38" t="n"/>
      <c r="N181" s="38" t="n"/>
      <c r="O181" s="38" t="n"/>
      <c r="P181" s="38" t="n"/>
      <c r="Q181" s="38" t="n"/>
      <c r="R181" s="38" t="n"/>
      <c r="S181" s="38" t="n"/>
      <c r="T181" s="38" t="n"/>
      <c r="U181" s="38" t="n"/>
      <c r="V181" s="38" t="n"/>
      <c r="W181" s="38" t="n"/>
      <c r="X181" s="38" t="n"/>
      <c r="Y181" s="38" t="n"/>
      <c r="Z181" s="38" t="n"/>
      <c r="AA181" s="38" t="n"/>
      <c r="AB181" s="38" t="n"/>
      <c r="AC181" s="38" t="n"/>
      <c r="AD181" s="38" t="n"/>
      <c r="AE181" s="38" t="n"/>
      <c r="AF181" s="36">
        <f>IF($A181="","",$A181&amp;"|"&amp;$C181)</f>
        <v/>
      </c>
      <c r="AG181" s="37">
        <f>IF($A181="","",IFERROR(COUNTIF(L181:M181,"כן")/(COUNTIF(L181:M181,"כן")+COUNTIF(L181:M181,"לא")),""))</f>
        <v/>
      </c>
      <c r="AH181" s="37">
        <f>IF($A181="","",IFERROR(COUNTIF(N181:O181,"כן")/(COUNTIF(N181:O181,"כן")+COUNTIF(N181:O181,"לא")),""))</f>
        <v/>
      </c>
      <c r="AI181" s="37">
        <f>IF($A181="","",IFERROR(COUNTIF(P181:Q181,"כן")/(COUNTIF(P181:Q181,"כן")+COUNTIF(P181:Q181,"לא")),""))</f>
        <v/>
      </c>
      <c r="AJ181" s="37">
        <f>IF($A181="","",IFERROR(COUNTIF(R181:S181,"כן")/(COUNTIF(R181:S181,"כן")+COUNTIF(R181:S181,"לא")),""))</f>
        <v/>
      </c>
      <c r="AK181" s="37">
        <f>IF($A181="","",IFERROR(COUNTIF(T181:U181,"כן")/(COUNTIF(T181:U181,"כן")+COUNTIF(T181:U181,"לא")),""))</f>
        <v/>
      </c>
      <c r="AL181" s="37">
        <f>IF($A181="","",IFERROR(COUNTIF(L181:U181,"כן")/(COUNTIF(L181:U181,"כן")+COUNTIF(L181:U181,"לא")),""))</f>
        <v/>
      </c>
      <c r="AM181" s="45">
        <f>IF($A181="","",IFERROR(AVERAGE(V181:W181),""))</f>
        <v/>
      </c>
      <c r="AN181" s="45">
        <f>IF($A181="","",IFERROR(AVERAGE(X181:Y181),""))</f>
        <v/>
      </c>
      <c r="AO181" s="45">
        <f>IF($A181="","",IFERROR(AVERAGE(Z181:AA181),""))</f>
        <v/>
      </c>
      <c r="AP181" s="45">
        <f>IF($A181="","",IFERROR(AVERAGE(AB181:AC181),""))</f>
        <v/>
      </c>
      <c r="AQ181" s="45">
        <f>IF($A181="","",IFERROR(AVERAGE(AD181),""))</f>
        <v/>
      </c>
      <c r="AR181" s="45">
        <f>IF($A181="","",IFERROR(AVERAGE(V181:AD181),""))</f>
        <v/>
      </c>
      <c r="AS181" s="36">
        <f>IF($A181="","",IF(AND(H181="",J181=""),"לא נבדק",IF(AND(OR(H181="",H181=I181),OR(J181="",J181=K181)),"תואם","לא תואם")))</f>
        <v/>
      </c>
      <c r="AT181" s="36">
        <f>IF($A181="","",IF(AND(AS181&lt;&gt;"לא תואם",G181&lt;&gt;"לא ברור"),"אמין","לפרש בזהירות"))</f>
        <v/>
      </c>
    </row>
    <row r="182">
      <c r="A182" s="38" t="n"/>
      <c r="B182" s="38" t="n"/>
      <c r="C182" s="38" t="n"/>
      <c r="D182" s="38" t="n"/>
      <c r="E182" s="38" t="n"/>
      <c r="F182" s="38" t="n"/>
      <c r="G182" s="38" t="n"/>
      <c r="H182" s="38" t="n"/>
      <c r="I182" s="38" t="n"/>
      <c r="J182" s="38" t="n"/>
      <c r="K182" s="38" t="n"/>
      <c r="L182" s="38" t="n"/>
      <c r="M182" s="38" t="n"/>
      <c r="N182" s="38" t="n"/>
      <c r="O182" s="38" t="n"/>
      <c r="P182" s="38" t="n"/>
      <c r="Q182" s="38" t="n"/>
      <c r="R182" s="38" t="n"/>
      <c r="S182" s="38" t="n"/>
      <c r="T182" s="38" t="n"/>
      <c r="U182" s="38" t="n"/>
      <c r="V182" s="38" t="n"/>
      <c r="W182" s="38" t="n"/>
      <c r="X182" s="38" t="n"/>
      <c r="Y182" s="38" t="n"/>
      <c r="Z182" s="38" t="n"/>
      <c r="AA182" s="38" t="n"/>
      <c r="AB182" s="38" t="n"/>
      <c r="AC182" s="38" t="n"/>
      <c r="AD182" s="38" t="n"/>
      <c r="AE182" s="38" t="n"/>
      <c r="AF182" s="36">
        <f>IF($A182="","",$A182&amp;"|"&amp;$C182)</f>
        <v/>
      </c>
      <c r="AG182" s="37">
        <f>IF($A182="","",IFERROR(COUNTIF(L182:M182,"כן")/(COUNTIF(L182:M182,"כן")+COUNTIF(L182:M182,"לא")),""))</f>
        <v/>
      </c>
      <c r="AH182" s="37">
        <f>IF($A182="","",IFERROR(COUNTIF(N182:O182,"כן")/(COUNTIF(N182:O182,"כן")+COUNTIF(N182:O182,"לא")),""))</f>
        <v/>
      </c>
      <c r="AI182" s="37">
        <f>IF($A182="","",IFERROR(COUNTIF(P182:Q182,"כן")/(COUNTIF(P182:Q182,"כן")+COUNTIF(P182:Q182,"לא")),""))</f>
        <v/>
      </c>
      <c r="AJ182" s="37">
        <f>IF($A182="","",IFERROR(COUNTIF(R182:S182,"כן")/(COUNTIF(R182:S182,"כן")+COUNTIF(R182:S182,"לא")),""))</f>
        <v/>
      </c>
      <c r="AK182" s="37">
        <f>IF($A182="","",IFERROR(COUNTIF(T182:U182,"כן")/(COUNTIF(T182:U182,"כן")+COUNTIF(T182:U182,"לא")),""))</f>
        <v/>
      </c>
      <c r="AL182" s="37">
        <f>IF($A182="","",IFERROR(COUNTIF(L182:U182,"כן")/(COUNTIF(L182:U182,"כן")+COUNTIF(L182:U182,"לא")),""))</f>
        <v/>
      </c>
      <c r="AM182" s="45">
        <f>IF($A182="","",IFERROR(AVERAGE(V182:W182),""))</f>
        <v/>
      </c>
      <c r="AN182" s="45">
        <f>IF($A182="","",IFERROR(AVERAGE(X182:Y182),""))</f>
        <v/>
      </c>
      <c r="AO182" s="45">
        <f>IF($A182="","",IFERROR(AVERAGE(Z182:AA182),""))</f>
        <v/>
      </c>
      <c r="AP182" s="45">
        <f>IF($A182="","",IFERROR(AVERAGE(AB182:AC182),""))</f>
        <v/>
      </c>
      <c r="AQ182" s="45">
        <f>IF($A182="","",IFERROR(AVERAGE(AD182),""))</f>
        <v/>
      </c>
      <c r="AR182" s="45">
        <f>IF($A182="","",IFERROR(AVERAGE(V182:AD182),""))</f>
        <v/>
      </c>
      <c r="AS182" s="36">
        <f>IF($A182="","",IF(AND(H182="",J182=""),"לא נבדק",IF(AND(OR(H182="",H182=I182),OR(J182="",J182=K182)),"תואם","לא תואם")))</f>
        <v/>
      </c>
      <c r="AT182" s="36">
        <f>IF($A182="","",IF(AND(AS182&lt;&gt;"לא תואם",G182&lt;&gt;"לא ברור"),"אמין","לפרש בזהירות"))</f>
        <v/>
      </c>
    </row>
    <row r="183">
      <c r="A183" s="38" t="n"/>
      <c r="B183" s="38" t="n"/>
      <c r="C183" s="38" t="n"/>
      <c r="D183" s="38" t="n"/>
      <c r="E183" s="38" t="n"/>
      <c r="F183" s="38" t="n"/>
      <c r="G183" s="38" t="n"/>
      <c r="H183" s="38" t="n"/>
      <c r="I183" s="38" t="n"/>
      <c r="J183" s="38" t="n"/>
      <c r="K183" s="38" t="n"/>
      <c r="L183" s="38" t="n"/>
      <c r="M183" s="38" t="n"/>
      <c r="N183" s="38" t="n"/>
      <c r="O183" s="38" t="n"/>
      <c r="P183" s="38" t="n"/>
      <c r="Q183" s="38" t="n"/>
      <c r="R183" s="38" t="n"/>
      <c r="S183" s="38" t="n"/>
      <c r="T183" s="38" t="n"/>
      <c r="U183" s="38" t="n"/>
      <c r="V183" s="38" t="n"/>
      <c r="W183" s="38" t="n"/>
      <c r="X183" s="38" t="n"/>
      <c r="Y183" s="38" t="n"/>
      <c r="Z183" s="38" t="n"/>
      <c r="AA183" s="38" t="n"/>
      <c r="AB183" s="38" t="n"/>
      <c r="AC183" s="38" t="n"/>
      <c r="AD183" s="38" t="n"/>
      <c r="AE183" s="38" t="n"/>
      <c r="AF183" s="36">
        <f>IF($A183="","",$A183&amp;"|"&amp;$C183)</f>
        <v/>
      </c>
      <c r="AG183" s="37">
        <f>IF($A183="","",IFERROR(COUNTIF(L183:M183,"כן")/(COUNTIF(L183:M183,"כן")+COUNTIF(L183:M183,"לא")),""))</f>
        <v/>
      </c>
      <c r="AH183" s="37">
        <f>IF($A183="","",IFERROR(COUNTIF(N183:O183,"כן")/(COUNTIF(N183:O183,"כן")+COUNTIF(N183:O183,"לא")),""))</f>
        <v/>
      </c>
      <c r="AI183" s="37">
        <f>IF($A183="","",IFERROR(COUNTIF(P183:Q183,"כן")/(COUNTIF(P183:Q183,"כן")+COUNTIF(P183:Q183,"לא")),""))</f>
        <v/>
      </c>
      <c r="AJ183" s="37">
        <f>IF($A183="","",IFERROR(COUNTIF(R183:S183,"כן")/(COUNTIF(R183:S183,"כן")+COUNTIF(R183:S183,"לא")),""))</f>
        <v/>
      </c>
      <c r="AK183" s="37">
        <f>IF($A183="","",IFERROR(COUNTIF(T183:U183,"כן")/(COUNTIF(T183:U183,"כן")+COUNTIF(T183:U183,"לא")),""))</f>
        <v/>
      </c>
      <c r="AL183" s="37">
        <f>IF($A183="","",IFERROR(COUNTIF(L183:U183,"כן")/(COUNTIF(L183:U183,"כן")+COUNTIF(L183:U183,"לא")),""))</f>
        <v/>
      </c>
      <c r="AM183" s="45">
        <f>IF($A183="","",IFERROR(AVERAGE(V183:W183),""))</f>
        <v/>
      </c>
      <c r="AN183" s="45">
        <f>IF($A183="","",IFERROR(AVERAGE(X183:Y183),""))</f>
        <v/>
      </c>
      <c r="AO183" s="45">
        <f>IF($A183="","",IFERROR(AVERAGE(Z183:AA183),""))</f>
        <v/>
      </c>
      <c r="AP183" s="45">
        <f>IF($A183="","",IFERROR(AVERAGE(AB183:AC183),""))</f>
        <v/>
      </c>
      <c r="AQ183" s="45">
        <f>IF($A183="","",IFERROR(AVERAGE(AD183),""))</f>
        <v/>
      </c>
      <c r="AR183" s="45">
        <f>IF($A183="","",IFERROR(AVERAGE(V183:AD183),""))</f>
        <v/>
      </c>
      <c r="AS183" s="36">
        <f>IF($A183="","",IF(AND(H183="",J183=""),"לא נבדק",IF(AND(OR(H183="",H183=I183),OR(J183="",J183=K183)),"תואם","לא תואם")))</f>
        <v/>
      </c>
      <c r="AT183" s="36">
        <f>IF($A183="","",IF(AND(AS183&lt;&gt;"לא תואם",G183&lt;&gt;"לא ברור"),"אמין","לפרש בזהירות"))</f>
        <v/>
      </c>
    </row>
    <row r="184">
      <c r="A184" s="38" t="n"/>
      <c r="B184" s="38" t="n"/>
      <c r="C184" s="38" t="n"/>
      <c r="D184" s="38" t="n"/>
      <c r="E184" s="38" t="n"/>
      <c r="F184" s="38" t="n"/>
      <c r="G184" s="38" t="n"/>
      <c r="H184" s="38" t="n"/>
      <c r="I184" s="38" t="n"/>
      <c r="J184" s="38" t="n"/>
      <c r="K184" s="38" t="n"/>
      <c r="L184" s="38" t="n"/>
      <c r="M184" s="38" t="n"/>
      <c r="N184" s="38" t="n"/>
      <c r="O184" s="38" t="n"/>
      <c r="P184" s="38" t="n"/>
      <c r="Q184" s="38" t="n"/>
      <c r="R184" s="38" t="n"/>
      <c r="S184" s="38" t="n"/>
      <c r="T184" s="38" t="n"/>
      <c r="U184" s="38" t="n"/>
      <c r="V184" s="38" t="n"/>
      <c r="W184" s="38" t="n"/>
      <c r="X184" s="38" t="n"/>
      <c r="Y184" s="38" t="n"/>
      <c r="Z184" s="38" t="n"/>
      <c r="AA184" s="38" t="n"/>
      <c r="AB184" s="38" t="n"/>
      <c r="AC184" s="38" t="n"/>
      <c r="AD184" s="38" t="n"/>
      <c r="AE184" s="38" t="n"/>
      <c r="AF184" s="36">
        <f>IF($A184="","",$A184&amp;"|"&amp;$C184)</f>
        <v/>
      </c>
      <c r="AG184" s="37">
        <f>IF($A184="","",IFERROR(COUNTIF(L184:M184,"כן")/(COUNTIF(L184:M184,"כן")+COUNTIF(L184:M184,"לא")),""))</f>
        <v/>
      </c>
      <c r="AH184" s="37">
        <f>IF($A184="","",IFERROR(COUNTIF(N184:O184,"כן")/(COUNTIF(N184:O184,"כן")+COUNTIF(N184:O184,"לא")),""))</f>
        <v/>
      </c>
      <c r="AI184" s="37">
        <f>IF($A184="","",IFERROR(COUNTIF(P184:Q184,"כן")/(COUNTIF(P184:Q184,"כן")+COUNTIF(P184:Q184,"לא")),""))</f>
        <v/>
      </c>
      <c r="AJ184" s="37">
        <f>IF($A184="","",IFERROR(COUNTIF(R184:S184,"כן")/(COUNTIF(R184:S184,"כן")+COUNTIF(R184:S184,"לא")),""))</f>
        <v/>
      </c>
      <c r="AK184" s="37">
        <f>IF($A184="","",IFERROR(COUNTIF(T184:U184,"כן")/(COUNTIF(T184:U184,"כן")+COUNTIF(T184:U184,"לא")),""))</f>
        <v/>
      </c>
      <c r="AL184" s="37">
        <f>IF($A184="","",IFERROR(COUNTIF(L184:U184,"כן")/(COUNTIF(L184:U184,"כן")+COUNTIF(L184:U184,"לא")),""))</f>
        <v/>
      </c>
      <c r="AM184" s="45">
        <f>IF($A184="","",IFERROR(AVERAGE(V184:W184),""))</f>
        <v/>
      </c>
      <c r="AN184" s="45">
        <f>IF($A184="","",IFERROR(AVERAGE(X184:Y184),""))</f>
        <v/>
      </c>
      <c r="AO184" s="45">
        <f>IF($A184="","",IFERROR(AVERAGE(Z184:AA184),""))</f>
        <v/>
      </c>
      <c r="AP184" s="45">
        <f>IF($A184="","",IFERROR(AVERAGE(AB184:AC184),""))</f>
        <v/>
      </c>
      <c r="AQ184" s="45">
        <f>IF($A184="","",IFERROR(AVERAGE(AD184),""))</f>
        <v/>
      </c>
      <c r="AR184" s="45">
        <f>IF($A184="","",IFERROR(AVERAGE(V184:AD184),""))</f>
        <v/>
      </c>
      <c r="AS184" s="36">
        <f>IF($A184="","",IF(AND(H184="",J184=""),"לא נבדק",IF(AND(OR(H184="",H184=I184),OR(J184="",J184=K184)),"תואם","לא תואם")))</f>
        <v/>
      </c>
      <c r="AT184" s="36">
        <f>IF($A184="","",IF(AND(AS184&lt;&gt;"לא תואם",G184&lt;&gt;"לא ברור"),"אמין","לפרש בזהירות"))</f>
        <v/>
      </c>
    </row>
    <row r="185">
      <c r="A185" s="38" t="n"/>
      <c r="B185" s="38" t="n"/>
      <c r="C185" s="38" t="n"/>
      <c r="D185" s="38" t="n"/>
      <c r="E185" s="38" t="n"/>
      <c r="F185" s="38" t="n"/>
      <c r="G185" s="38" t="n"/>
      <c r="H185" s="38" t="n"/>
      <c r="I185" s="38" t="n"/>
      <c r="J185" s="38" t="n"/>
      <c r="K185" s="38" t="n"/>
      <c r="L185" s="38" t="n"/>
      <c r="M185" s="38" t="n"/>
      <c r="N185" s="38" t="n"/>
      <c r="O185" s="38" t="n"/>
      <c r="P185" s="38" t="n"/>
      <c r="Q185" s="38" t="n"/>
      <c r="R185" s="38" t="n"/>
      <c r="S185" s="38" t="n"/>
      <c r="T185" s="38" t="n"/>
      <c r="U185" s="38" t="n"/>
      <c r="V185" s="38" t="n"/>
      <c r="W185" s="38" t="n"/>
      <c r="X185" s="38" t="n"/>
      <c r="Y185" s="38" t="n"/>
      <c r="Z185" s="38" t="n"/>
      <c r="AA185" s="38" t="n"/>
      <c r="AB185" s="38" t="n"/>
      <c r="AC185" s="38" t="n"/>
      <c r="AD185" s="38" t="n"/>
      <c r="AE185" s="38" t="n"/>
      <c r="AF185" s="36">
        <f>IF($A185="","",$A185&amp;"|"&amp;$C185)</f>
        <v/>
      </c>
      <c r="AG185" s="37">
        <f>IF($A185="","",IFERROR(COUNTIF(L185:M185,"כן")/(COUNTIF(L185:M185,"כן")+COUNTIF(L185:M185,"לא")),""))</f>
        <v/>
      </c>
      <c r="AH185" s="37">
        <f>IF($A185="","",IFERROR(COUNTIF(N185:O185,"כן")/(COUNTIF(N185:O185,"כן")+COUNTIF(N185:O185,"לא")),""))</f>
        <v/>
      </c>
      <c r="AI185" s="37">
        <f>IF($A185="","",IFERROR(COUNTIF(P185:Q185,"כן")/(COUNTIF(P185:Q185,"כן")+COUNTIF(P185:Q185,"לא")),""))</f>
        <v/>
      </c>
      <c r="AJ185" s="37">
        <f>IF($A185="","",IFERROR(COUNTIF(R185:S185,"כן")/(COUNTIF(R185:S185,"כן")+COUNTIF(R185:S185,"לא")),""))</f>
        <v/>
      </c>
      <c r="AK185" s="37">
        <f>IF($A185="","",IFERROR(COUNTIF(T185:U185,"כן")/(COUNTIF(T185:U185,"כן")+COUNTIF(T185:U185,"לא")),""))</f>
        <v/>
      </c>
      <c r="AL185" s="37">
        <f>IF($A185="","",IFERROR(COUNTIF(L185:U185,"כן")/(COUNTIF(L185:U185,"כן")+COUNTIF(L185:U185,"לא")),""))</f>
        <v/>
      </c>
      <c r="AM185" s="45">
        <f>IF($A185="","",IFERROR(AVERAGE(V185:W185),""))</f>
        <v/>
      </c>
      <c r="AN185" s="45">
        <f>IF($A185="","",IFERROR(AVERAGE(X185:Y185),""))</f>
        <v/>
      </c>
      <c r="AO185" s="45">
        <f>IF($A185="","",IFERROR(AVERAGE(Z185:AA185),""))</f>
        <v/>
      </c>
      <c r="AP185" s="45">
        <f>IF($A185="","",IFERROR(AVERAGE(AB185:AC185),""))</f>
        <v/>
      </c>
      <c r="AQ185" s="45">
        <f>IF($A185="","",IFERROR(AVERAGE(AD185),""))</f>
        <v/>
      </c>
      <c r="AR185" s="45">
        <f>IF($A185="","",IFERROR(AVERAGE(V185:AD185),""))</f>
        <v/>
      </c>
      <c r="AS185" s="36">
        <f>IF($A185="","",IF(AND(H185="",J185=""),"לא נבדק",IF(AND(OR(H185="",H185=I185),OR(J185="",J185=K185)),"תואם","לא תואם")))</f>
        <v/>
      </c>
      <c r="AT185" s="36">
        <f>IF($A185="","",IF(AND(AS185&lt;&gt;"לא תואם",G185&lt;&gt;"לא ברור"),"אמין","לפרש בזהירות"))</f>
        <v/>
      </c>
    </row>
    <row r="186">
      <c r="A186" s="38" t="n"/>
      <c r="B186" s="38" t="n"/>
      <c r="C186" s="38" t="n"/>
      <c r="D186" s="38" t="n"/>
      <c r="E186" s="38" t="n"/>
      <c r="F186" s="38" t="n"/>
      <c r="G186" s="38" t="n"/>
      <c r="H186" s="38" t="n"/>
      <c r="I186" s="38" t="n"/>
      <c r="J186" s="38" t="n"/>
      <c r="K186" s="38" t="n"/>
      <c r="L186" s="38" t="n"/>
      <c r="M186" s="38" t="n"/>
      <c r="N186" s="38" t="n"/>
      <c r="O186" s="38" t="n"/>
      <c r="P186" s="38" t="n"/>
      <c r="Q186" s="38" t="n"/>
      <c r="R186" s="38" t="n"/>
      <c r="S186" s="38" t="n"/>
      <c r="T186" s="38" t="n"/>
      <c r="U186" s="38" t="n"/>
      <c r="V186" s="38" t="n"/>
      <c r="W186" s="38" t="n"/>
      <c r="X186" s="38" t="n"/>
      <c r="Y186" s="38" t="n"/>
      <c r="Z186" s="38" t="n"/>
      <c r="AA186" s="38" t="n"/>
      <c r="AB186" s="38" t="n"/>
      <c r="AC186" s="38" t="n"/>
      <c r="AD186" s="38" t="n"/>
      <c r="AE186" s="38" t="n"/>
      <c r="AF186" s="36">
        <f>IF($A186="","",$A186&amp;"|"&amp;$C186)</f>
        <v/>
      </c>
      <c r="AG186" s="37">
        <f>IF($A186="","",IFERROR(COUNTIF(L186:M186,"כן")/(COUNTIF(L186:M186,"כן")+COUNTIF(L186:M186,"לא")),""))</f>
        <v/>
      </c>
      <c r="AH186" s="37">
        <f>IF($A186="","",IFERROR(COUNTIF(N186:O186,"כן")/(COUNTIF(N186:O186,"כן")+COUNTIF(N186:O186,"לא")),""))</f>
        <v/>
      </c>
      <c r="AI186" s="37">
        <f>IF($A186="","",IFERROR(COUNTIF(P186:Q186,"כן")/(COUNTIF(P186:Q186,"כן")+COUNTIF(P186:Q186,"לא")),""))</f>
        <v/>
      </c>
      <c r="AJ186" s="37">
        <f>IF($A186="","",IFERROR(COUNTIF(R186:S186,"כן")/(COUNTIF(R186:S186,"כן")+COUNTIF(R186:S186,"לא")),""))</f>
        <v/>
      </c>
      <c r="AK186" s="37">
        <f>IF($A186="","",IFERROR(COUNTIF(T186:U186,"כן")/(COUNTIF(T186:U186,"כן")+COUNTIF(T186:U186,"לא")),""))</f>
        <v/>
      </c>
      <c r="AL186" s="37">
        <f>IF($A186="","",IFERROR(COUNTIF(L186:U186,"כן")/(COUNTIF(L186:U186,"כן")+COUNTIF(L186:U186,"לא")),""))</f>
        <v/>
      </c>
      <c r="AM186" s="45">
        <f>IF($A186="","",IFERROR(AVERAGE(V186:W186),""))</f>
        <v/>
      </c>
      <c r="AN186" s="45">
        <f>IF($A186="","",IFERROR(AVERAGE(X186:Y186),""))</f>
        <v/>
      </c>
      <c r="AO186" s="45">
        <f>IF($A186="","",IFERROR(AVERAGE(Z186:AA186),""))</f>
        <v/>
      </c>
      <c r="AP186" s="45">
        <f>IF($A186="","",IFERROR(AVERAGE(AB186:AC186),""))</f>
        <v/>
      </c>
      <c r="AQ186" s="45">
        <f>IF($A186="","",IFERROR(AVERAGE(AD186),""))</f>
        <v/>
      </c>
      <c r="AR186" s="45">
        <f>IF($A186="","",IFERROR(AVERAGE(V186:AD186),""))</f>
        <v/>
      </c>
      <c r="AS186" s="36">
        <f>IF($A186="","",IF(AND(H186="",J186=""),"לא נבדק",IF(AND(OR(H186="",H186=I186),OR(J186="",J186=K186)),"תואם","לא תואם")))</f>
        <v/>
      </c>
      <c r="AT186" s="36">
        <f>IF($A186="","",IF(AND(AS186&lt;&gt;"לא תואם",G186&lt;&gt;"לא ברור"),"אמין","לפרש בזהירות"))</f>
        <v/>
      </c>
    </row>
    <row r="187">
      <c r="A187" s="38" t="n"/>
      <c r="B187" s="38" t="n"/>
      <c r="C187" s="38" t="n"/>
      <c r="D187" s="38" t="n"/>
      <c r="E187" s="38" t="n"/>
      <c r="F187" s="38" t="n"/>
      <c r="G187" s="38" t="n"/>
      <c r="H187" s="38" t="n"/>
      <c r="I187" s="38" t="n"/>
      <c r="J187" s="38" t="n"/>
      <c r="K187" s="38" t="n"/>
      <c r="L187" s="38" t="n"/>
      <c r="M187" s="38" t="n"/>
      <c r="N187" s="38" t="n"/>
      <c r="O187" s="38" t="n"/>
      <c r="P187" s="38" t="n"/>
      <c r="Q187" s="38" t="n"/>
      <c r="R187" s="38" t="n"/>
      <c r="S187" s="38" t="n"/>
      <c r="T187" s="38" t="n"/>
      <c r="U187" s="38" t="n"/>
      <c r="V187" s="38" t="n"/>
      <c r="W187" s="38" t="n"/>
      <c r="X187" s="38" t="n"/>
      <c r="Y187" s="38" t="n"/>
      <c r="Z187" s="38" t="n"/>
      <c r="AA187" s="38" t="n"/>
      <c r="AB187" s="38" t="n"/>
      <c r="AC187" s="38" t="n"/>
      <c r="AD187" s="38" t="n"/>
      <c r="AE187" s="38" t="n"/>
      <c r="AF187" s="36">
        <f>IF($A187="","",$A187&amp;"|"&amp;$C187)</f>
        <v/>
      </c>
      <c r="AG187" s="37">
        <f>IF($A187="","",IFERROR(COUNTIF(L187:M187,"כן")/(COUNTIF(L187:M187,"כן")+COUNTIF(L187:M187,"לא")),""))</f>
        <v/>
      </c>
      <c r="AH187" s="37">
        <f>IF($A187="","",IFERROR(COUNTIF(N187:O187,"כן")/(COUNTIF(N187:O187,"כן")+COUNTIF(N187:O187,"לא")),""))</f>
        <v/>
      </c>
      <c r="AI187" s="37">
        <f>IF($A187="","",IFERROR(COUNTIF(P187:Q187,"כן")/(COUNTIF(P187:Q187,"כן")+COUNTIF(P187:Q187,"לא")),""))</f>
        <v/>
      </c>
      <c r="AJ187" s="37">
        <f>IF($A187="","",IFERROR(COUNTIF(R187:S187,"כן")/(COUNTIF(R187:S187,"כן")+COUNTIF(R187:S187,"לא")),""))</f>
        <v/>
      </c>
      <c r="AK187" s="37">
        <f>IF($A187="","",IFERROR(COUNTIF(T187:U187,"כן")/(COUNTIF(T187:U187,"כן")+COUNTIF(T187:U187,"לא")),""))</f>
        <v/>
      </c>
      <c r="AL187" s="37">
        <f>IF($A187="","",IFERROR(COUNTIF(L187:U187,"כן")/(COUNTIF(L187:U187,"כן")+COUNTIF(L187:U187,"לא")),""))</f>
        <v/>
      </c>
      <c r="AM187" s="45">
        <f>IF($A187="","",IFERROR(AVERAGE(V187:W187),""))</f>
        <v/>
      </c>
      <c r="AN187" s="45">
        <f>IF($A187="","",IFERROR(AVERAGE(X187:Y187),""))</f>
        <v/>
      </c>
      <c r="AO187" s="45">
        <f>IF($A187="","",IFERROR(AVERAGE(Z187:AA187),""))</f>
        <v/>
      </c>
      <c r="AP187" s="45">
        <f>IF($A187="","",IFERROR(AVERAGE(AB187:AC187),""))</f>
        <v/>
      </c>
      <c r="AQ187" s="45">
        <f>IF($A187="","",IFERROR(AVERAGE(AD187),""))</f>
        <v/>
      </c>
      <c r="AR187" s="45">
        <f>IF($A187="","",IFERROR(AVERAGE(V187:AD187),""))</f>
        <v/>
      </c>
      <c r="AS187" s="36">
        <f>IF($A187="","",IF(AND(H187="",J187=""),"לא נבדק",IF(AND(OR(H187="",H187=I187),OR(J187="",J187=K187)),"תואם","לא תואם")))</f>
        <v/>
      </c>
      <c r="AT187" s="36">
        <f>IF($A187="","",IF(AND(AS187&lt;&gt;"לא תואם",G187&lt;&gt;"לא ברור"),"אמין","לפרש בזהירות"))</f>
        <v/>
      </c>
    </row>
    <row r="188">
      <c r="A188" s="38" t="n"/>
      <c r="B188" s="38" t="n"/>
      <c r="C188" s="38" t="n"/>
      <c r="D188" s="38" t="n"/>
      <c r="E188" s="38" t="n"/>
      <c r="F188" s="38" t="n"/>
      <c r="G188" s="38" t="n"/>
      <c r="H188" s="38" t="n"/>
      <c r="I188" s="38" t="n"/>
      <c r="J188" s="38" t="n"/>
      <c r="K188" s="38" t="n"/>
      <c r="L188" s="38" t="n"/>
      <c r="M188" s="38" t="n"/>
      <c r="N188" s="38" t="n"/>
      <c r="O188" s="38" t="n"/>
      <c r="P188" s="38" t="n"/>
      <c r="Q188" s="38" t="n"/>
      <c r="R188" s="38" t="n"/>
      <c r="S188" s="38" t="n"/>
      <c r="T188" s="38" t="n"/>
      <c r="U188" s="38" t="n"/>
      <c r="V188" s="38" t="n"/>
      <c r="W188" s="38" t="n"/>
      <c r="X188" s="38" t="n"/>
      <c r="Y188" s="38" t="n"/>
      <c r="Z188" s="38" t="n"/>
      <c r="AA188" s="38" t="n"/>
      <c r="AB188" s="38" t="n"/>
      <c r="AC188" s="38" t="n"/>
      <c r="AD188" s="38" t="n"/>
      <c r="AE188" s="38" t="n"/>
      <c r="AF188" s="36">
        <f>IF($A188="","",$A188&amp;"|"&amp;$C188)</f>
        <v/>
      </c>
      <c r="AG188" s="37">
        <f>IF($A188="","",IFERROR(COUNTIF(L188:M188,"כן")/(COUNTIF(L188:M188,"כן")+COUNTIF(L188:M188,"לא")),""))</f>
        <v/>
      </c>
      <c r="AH188" s="37">
        <f>IF($A188="","",IFERROR(COUNTIF(N188:O188,"כן")/(COUNTIF(N188:O188,"כן")+COUNTIF(N188:O188,"לא")),""))</f>
        <v/>
      </c>
      <c r="AI188" s="37">
        <f>IF($A188="","",IFERROR(COUNTIF(P188:Q188,"כן")/(COUNTIF(P188:Q188,"כן")+COUNTIF(P188:Q188,"לא")),""))</f>
        <v/>
      </c>
      <c r="AJ188" s="37">
        <f>IF($A188="","",IFERROR(COUNTIF(R188:S188,"כן")/(COUNTIF(R188:S188,"כן")+COUNTIF(R188:S188,"לא")),""))</f>
        <v/>
      </c>
      <c r="AK188" s="37">
        <f>IF($A188="","",IFERROR(COUNTIF(T188:U188,"כן")/(COUNTIF(T188:U188,"כן")+COUNTIF(T188:U188,"לא")),""))</f>
        <v/>
      </c>
      <c r="AL188" s="37">
        <f>IF($A188="","",IFERROR(COUNTIF(L188:U188,"כן")/(COUNTIF(L188:U188,"כן")+COUNTIF(L188:U188,"לא")),""))</f>
        <v/>
      </c>
      <c r="AM188" s="45">
        <f>IF($A188="","",IFERROR(AVERAGE(V188:W188),""))</f>
        <v/>
      </c>
      <c r="AN188" s="45">
        <f>IF($A188="","",IFERROR(AVERAGE(X188:Y188),""))</f>
        <v/>
      </c>
      <c r="AO188" s="45">
        <f>IF($A188="","",IFERROR(AVERAGE(Z188:AA188),""))</f>
        <v/>
      </c>
      <c r="AP188" s="45">
        <f>IF($A188="","",IFERROR(AVERAGE(AB188:AC188),""))</f>
        <v/>
      </c>
      <c r="AQ188" s="45">
        <f>IF($A188="","",IFERROR(AVERAGE(AD188),""))</f>
        <v/>
      </c>
      <c r="AR188" s="45">
        <f>IF($A188="","",IFERROR(AVERAGE(V188:AD188),""))</f>
        <v/>
      </c>
      <c r="AS188" s="36">
        <f>IF($A188="","",IF(AND(H188="",J188=""),"לא נבדק",IF(AND(OR(H188="",H188=I188),OR(J188="",J188=K188)),"תואם","לא תואם")))</f>
        <v/>
      </c>
      <c r="AT188" s="36">
        <f>IF($A188="","",IF(AND(AS188&lt;&gt;"לא תואם",G188&lt;&gt;"לא ברור"),"אמין","לפרש בזהירות"))</f>
        <v/>
      </c>
    </row>
    <row r="189">
      <c r="A189" s="38" t="n"/>
      <c r="B189" s="38" t="n"/>
      <c r="C189" s="38" t="n"/>
      <c r="D189" s="38" t="n"/>
      <c r="E189" s="38" t="n"/>
      <c r="F189" s="38" t="n"/>
      <c r="G189" s="38" t="n"/>
      <c r="H189" s="38" t="n"/>
      <c r="I189" s="38" t="n"/>
      <c r="J189" s="38" t="n"/>
      <c r="K189" s="38" t="n"/>
      <c r="L189" s="38" t="n"/>
      <c r="M189" s="38" t="n"/>
      <c r="N189" s="38" t="n"/>
      <c r="O189" s="38" t="n"/>
      <c r="P189" s="38" t="n"/>
      <c r="Q189" s="38" t="n"/>
      <c r="R189" s="38" t="n"/>
      <c r="S189" s="38" t="n"/>
      <c r="T189" s="38" t="n"/>
      <c r="U189" s="38" t="n"/>
      <c r="V189" s="38" t="n"/>
      <c r="W189" s="38" t="n"/>
      <c r="X189" s="38" t="n"/>
      <c r="Y189" s="38" t="n"/>
      <c r="Z189" s="38" t="n"/>
      <c r="AA189" s="38" t="n"/>
      <c r="AB189" s="38" t="n"/>
      <c r="AC189" s="38" t="n"/>
      <c r="AD189" s="38" t="n"/>
      <c r="AE189" s="38" t="n"/>
      <c r="AF189" s="36">
        <f>IF($A189="","",$A189&amp;"|"&amp;$C189)</f>
        <v/>
      </c>
      <c r="AG189" s="37">
        <f>IF($A189="","",IFERROR(COUNTIF(L189:M189,"כן")/(COUNTIF(L189:M189,"כן")+COUNTIF(L189:M189,"לא")),""))</f>
        <v/>
      </c>
      <c r="AH189" s="37">
        <f>IF($A189="","",IFERROR(COUNTIF(N189:O189,"כן")/(COUNTIF(N189:O189,"כן")+COUNTIF(N189:O189,"לא")),""))</f>
        <v/>
      </c>
      <c r="AI189" s="37">
        <f>IF($A189="","",IFERROR(COUNTIF(P189:Q189,"כן")/(COUNTIF(P189:Q189,"כן")+COUNTIF(P189:Q189,"לא")),""))</f>
        <v/>
      </c>
      <c r="AJ189" s="37">
        <f>IF($A189="","",IFERROR(COUNTIF(R189:S189,"כן")/(COUNTIF(R189:S189,"כן")+COUNTIF(R189:S189,"לא")),""))</f>
        <v/>
      </c>
      <c r="AK189" s="37">
        <f>IF($A189="","",IFERROR(COUNTIF(T189:U189,"כן")/(COUNTIF(T189:U189,"כן")+COUNTIF(T189:U189,"לא")),""))</f>
        <v/>
      </c>
      <c r="AL189" s="37">
        <f>IF($A189="","",IFERROR(COUNTIF(L189:U189,"כן")/(COUNTIF(L189:U189,"כן")+COUNTIF(L189:U189,"לא")),""))</f>
        <v/>
      </c>
      <c r="AM189" s="45">
        <f>IF($A189="","",IFERROR(AVERAGE(V189:W189),""))</f>
        <v/>
      </c>
      <c r="AN189" s="45">
        <f>IF($A189="","",IFERROR(AVERAGE(X189:Y189),""))</f>
        <v/>
      </c>
      <c r="AO189" s="45">
        <f>IF($A189="","",IFERROR(AVERAGE(Z189:AA189),""))</f>
        <v/>
      </c>
      <c r="AP189" s="45">
        <f>IF($A189="","",IFERROR(AVERAGE(AB189:AC189),""))</f>
        <v/>
      </c>
      <c r="AQ189" s="45">
        <f>IF($A189="","",IFERROR(AVERAGE(AD189),""))</f>
        <v/>
      </c>
      <c r="AR189" s="45">
        <f>IF($A189="","",IFERROR(AVERAGE(V189:AD189),""))</f>
        <v/>
      </c>
      <c r="AS189" s="36">
        <f>IF($A189="","",IF(AND(H189="",J189=""),"לא נבדק",IF(AND(OR(H189="",H189=I189),OR(J189="",J189=K189)),"תואם","לא תואם")))</f>
        <v/>
      </c>
      <c r="AT189" s="36">
        <f>IF($A189="","",IF(AND(AS189&lt;&gt;"לא תואם",G189&lt;&gt;"לא ברור"),"אמין","לפרש בזהירות"))</f>
        <v/>
      </c>
    </row>
    <row r="190">
      <c r="A190" s="38" t="n"/>
      <c r="B190" s="38" t="n"/>
      <c r="C190" s="38" t="n"/>
      <c r="D190" s="38" t="n"/>
      <c r="E190" s="38" t="n"/>
      <c r="F190" s="38" t="n"/>
      <c r="G190" s="38" t="n"/>
      <c r="H190" s="38" t="n"/>
      <c r="I190" s="38" t="n"/>
      <c r="J190" s="38" t="n"/>
      <c r="K190" s="38" t="n"/>
      <c r="L190" s="38" t="n"/>
      <c r="M190" s="38" t="n"/>
      <c r="N190" s="38" t="n"/>
      <c r="O190" s="38" t="n"/>
      <c r="P190" s="38" t="n"/>
      <c r="Q190" s="38" t="n"/>
      <c r="R190" s="38" t="n"/>
      <c r="S190" s="38" t="n"/>
      <c r="T190" s="38" t="n"/>
      <c r="U190" s="38" t="n"/>
      <c r="V190" s="38" t="n"/>
      <c r="W190" s="38" t="n"/>
      <c r="X190" s="38" t="n"/>
      <c r="Y190" s="38" t="n"/>
      <c r="Z190" s="38" t="n"/>
      <c r="AA190" s="38" t="n"/>
      <c r="AB190" s="38" t="n"/>
      <c r="AC190" s="38" t="n"/>
      <c r="AD190" s="38" t="n"/>
      <c r="AE190" s="38" t="n"/>
      <c r="AF190" s="36">
        <f>IF($A190="","",$A190&amp;"|"&amp;$C190)</f>
        <v/>
      </c>
      <c r="AG190" s="37">
        <f>IF($A190="","",IFERROR(COUNTIF(L190:M190,"כן")/(COUNTIF(L190:M190,"כן")+COUNTIF(L190:M190,"לא")),""))</f>
        <v/>
      </c>
      <c r="AH190" s="37">
        <f>IF($A190="","",IFERROR(COUNTIF(N190:O190,"כן")/(COUNTIF(N190:O190,"כן")+COUNTIF(N190:O190,"לא")),""))</f>
        <v/>
      </c>
      <c r="AI190" s="37">
        <f>IF($A190="","",IFERROR(COUNTIF(P190:Q190,"כן")/(COUNTIF(P190:Q190,"כן")+COUNTIF(P190:Q190,"לא")),""))</f>
        <v/>
      </c>
      <c r="AJ190" s="37">
        <f>IF($A190="","",IFERROR(COUNTIF(R190:S190,"כן")/(COUNTIF(R190:S190,"כן")+COUNTIF(R190:S190,"לא")),""))</f>
        <v/>
      </c>
      <c r="AK190" s="37">
        <f>IF($A190="","",IFERROR(COUNTIF(T190:U190,"כן")/(COUNTIF(T190:U190,"כן")+COUNTIF(T190:U190,"לא")),""))</f>
        <v/>
      </c>
      <c r="AL190" s="37">
        <f>IF($A190="","",IFERROR(COUNTIF(L190:U190,"כן")/(COUNTIF(L190:U190,"כן")+COUNTIF(L190:U190,"לא")),""))</f>
        <v/>
      </c>
      <c r="AM190" s="45">
        <f>IF($A190="","",IFERROR(AVERAGE(V190:W190),""))</f>
        <v/>
      </c>
      <c r="AN190" s="45">
        <f>IF($A190="","",IFERROR(AVERAGE(X190:Y190),""))</f>
        <v/>
      </c>
      <c r="AO190" s="45">
        <f>IF($A190="","",IFERROR(AVERAGE(Z190:AA190),""))</f>
        <v/>
      </c>
      <c r="AP190" s="45">
        <f>IF($A190="","",IFERROR(AVERAGE(AB190:AC190),""))</f>
        <v/>
      </c>
      <c r="AQ190" s="45">
        <f>IF($A190="","",IFERROR(AVERAGE(AD190),""))</f>
        <v/>
      </c>
      <c r="AR190" s="45">
        <f>IF($A190="","",IFERROR(AVERAGE(V190:AD190),""))</f>
        <v/>
      </c>
      <c r="AS190" s="36">
        <f>IF($A190="","",IF(AND(H190="",J190=""),"לא נבדק",IF(AND(OR(H190="",H190=I190),OR(J190="",J190=K190)),"תואם","לא תואם")))</f>
        <v/>
      </c>
      <c r="AT190" s="36">
        <f>IF($A190="","",IF(AND(AS190&lt;&gt;"לא תואם",G190&lt;&gt;"לא ברור"),"אמין","לפרש בזהירות"))</f>
        <v/>
      </c>
    </row>
    <row r="191">
      <c r="A191" s="38" t="n"/>
      <c r="B191" s="38" t="n"/>
      <c r="C191" s="38" t="n"/>
      <c r="D191" s="38" t="n"/>
      <c r="E191" s="38" t="n"/>
      <c r="F191" s="38" t="n"/>
      <c r="G191" s="38" t="n"/>
      <c r="H191" s="38" t="n"/>
      <c r="I191" s="38" t="n"/>
      <c r="J191" s="38" t="n"/>
      <c r="K191" s="38" t="n"/>
      <c r="L191" s="38" t="n"/>
      <c r="M191" s="38" t="n"/>
      <c r="N191" s="38" t="n"/>
      <c r="O191" s="38" t="n"/>
      <c r="P191" s="38" t="n"/>
      <c r="Q191" s="38" t="n"/>
      <c r="R191" s="38" t="n"/>
      <c r="S191" s="38" t="n"/>
      <c r="T191" s="38" t="n"/>
      <c r="U191" s="38" t="n"/>
      <c r="V191" s="38" t="n"/>
      <c r="W191" s="38" t="n"/>
      <c r="X191" s="38" t="n"/>
      <c r="Y191" s="38" t="n"/>
      <c r="Z191" s="38" t="n"/>
      <c r="AA191" s="38" t="n"/>
      <c r="AB191" s="38" t="n"/>
      <c r="AC191" s="38" t="n"/>
      <c r="AD191" s="38" t="n"/>
      <c r="AE191" s="38" t="n"/>
      <c r="AF191" s="36">
        <f>IF($A191="","",$A191&amp;"|"&amp;$C191)</f>
        <v/>
      </c>
      <c r="AG191" s="37">
        <f>IF($A191="","",IFERROR(COUNTIF(L191:M191,"כן")/(COUNTIF(L191:M191,"כן")+COUNTIF(L191:M191,"לא")),""))</f>
        <v/>
      </c>
      <c r="AH191" s="37">
        <f>IF($A191="","",IFERROR(COUNTIF(N191:O191,"כן")/(COUNTIF(N191:O191,"כן")+COUNTIF(N191:O191,"לא")),""))</f>
        <v/>
      </c>
      <c r="AI191" s="37">
        <f>IF($A191="","",IFERROR(COUNTIF(P191:Q191,"כן")/(COUNTIF(P191:Q191,"כן")+COUNTIF(P191:Q191,"לא")),""))</f>
        <v/>
      </c>
      <c r="AJ191" s="37">
        <f>IF($A191="","",IFERROR(COUNTIF(R191:S191,"כן")/(COUNTIF(R191:S191,"כן")+COUNTIF(R191:S191,"לא")),""))</f>
        <v/>
      </c>
      <c r="AK191" s="37">
        <f>IF($A191="","",IFERROR(COUNTIF(T191:U191,"כן")/(COUNTIF(T191:U191,"כן")+COUNTIF(T191:U191,"לא")),""))</f>
        <v/>
      </c>
      <c r="AL191" s="37">
        <f>IF($A191="","",IFERROR(COUNTIF(L191:U191,"כן")/(COUNTIF(L191:U191,"כן")+COUNTIF(L191:U191,"לא")),""))</f>
        <v/>
      </c>
      <c r="AM191" s="45">
        <f>IF($A191="","",IFERROR(AVERAGE(V191:W191),""))</f>
        <v/>
      </c>
      <c r="AN191" s="45">
        <f>IF($A191="","",IFERROR(AVERAGE(X191:Y191),""))</f>
        <v/>
      </c>
      <c r="AO191" s="45">
        <f>IF($A191="","",IFERROR(AVERAGE(Z191:AA191),""))</f>
        <v/>
      </c>
      <c r="AP191" s="45">
        <f>IF($A191="","",IFERROR(AVERAGE(AB191:AC191),""))</f>
        <v/>
      </c>
      <c r="AQ191" s="45">
        <f>IF($A191="","",IFERROR(AVERAGE(AD191),""))</f>
        <v/>
      </c>
      <c r="AR191" s="45">
        <f>IF($A191="","",IFERROR(AVERAGE(V191:AD191),""))</f>
        <v/>
      </c>
      <c r="AS191" s="36">
        <f>IF($A191="","",IF(AND(H191="",J191=""),"לא נבדק",IF(AND(OR(H191="",H191=I191),OR(J191="",J191=K191)),"תואם","לא תואם")))</f>
        <v/>
      </c>
      <c r="AT191" s="36">
        <f>IF($A191="","",IF(AND(AS191&lt;&gt;"לא תואם",G191&lt;&gt;"לא ברור"),"אמין","לפרש בזהירות"))</f>
        <v/>
      </c>
    </row>
    <row r="192">
      <c r="A192" s="38" t="n"/>
      <c r="B192" s="38" t="n"/>
      <c r="C192" s="38" t="n"/>
      <c r="D192" s="38" t="n"/>
      <c r="E192" s="38" t="n"/>
      <c r="F192" s="38" t="n"/>
      <c r="G192" s="38" t="n"/>
      <c r="H192" s="38" t="n"/>
      <c r="I192" s="38" t="n"/>
      <c r="J192" s="38" t="n"/>
      <c r="K192" s="38" t="n"/>
      <c r="L192" s="38" t="n"/>
      <c r="M192" s="38" t="n"/>
      <c r="N192" s="38" t="n"/>
      <c r="O192" s="38" t="n"/>
      <c r="P192" s="38" t="n"/>
      <c r="Q192" s="38" t="n"/>
      <c r="R192" s="38" t="n"/>
      <c r="S192" s="38" t="n"/>
      <c r="T192" s="38" t="n"/>
      <c r="U192" s="38" t="n"/>
      <c r="V192" s="38" t="n"/>
      <c r="W192" s="38" t="n"/>
      <c r="X192" s="38" t="n"/>
      <c r="Y192" s="38" t="n"/>
      <c r="Z192" s="38" t="n"/>
      <c r="AA192" s="38" t="n"/>
      <c r="AB192" s="38" t="n"/>
      <c r="AC192" s="38" t="n"/>
      <c r="AD192" s="38" t="n"/>
      <c r="AE192" s="38" t="n"/>
      <c r="AF192" s="36">
        <f>IF($A192="","",$A192&amp;"|"&amp;$C192)</f>
        <v/>
      </c>
      <c r="AG192" s="37">
        <f>IF($A192="","",IFERROR(COUNTIF(L192:M192,"כן")/(COUNTIF(L192:M192,"כן")+COUNTIF(L192:M192,"לא")),""))</f>
        <v/>
      </c>
      <c r="AH192" s="37">
        <f>IF($A192="","",IFERROR(COUNTIF(N192:O192,"כן")/(COUNTIF(N192:O192,"כן")+COUNTIF(N192:O192,"לא")),""))</f>
        <v/>
      </c>
      <c r="AI192" s="37">
        <f>IF($A192="","",IFERROR(COUNTIF(P192:Q192,"כן")/(COUNTIF(P192:Q192,"כן")+COUNTIF(P192:Q192,"לא")),""))</f>
        <v/>
      </c>
      <c r="AJ192" s="37">
        <f>IF($A192="","",IFERROR(COUNTIF(R192:S192,"כן")/(COUNTIF(R192:S192,"כן")+COUNTIF(R192:S192,"לא")),""))</f>
        <v/>
      </c>
      <c r="AK192" s="37">
        <f>IF($A192="","",IFERROR(COUNTIF(T192:U192,"כן")/(COUNTIF(T192:U192,"כן")+COUNTIF(T192:U192,"לא")),""))</f>
        <v/>
      </c>
      <c r="AL192" s="37">
        <f>IF($A192="","",IFERROR(COUNTIF(L192:U192,"כן")/(COUNTIF(L192:U192,"כן")+COUNTIF(L192:U192,"לא")),""))</f>
        <v/>
      </c>
      <c r="AM192" s="45">
        <f>IF($A192="","",IFERROR(AVERAGE(V192:W192),""))</f>
        <v/>
      </c>
      <c r="AN192" s="45">
        <f>IF($A192="","",IFERROR(AVERAGE(X192:Y192),""))</f>
        <v/>
      </c>
      <c r="AO192" s="45">
        <f>IF($A192="","",IFERROR(AVERAGE(Z192:AA192),""))</f>
        <v/>
      </c>
      <c r="AP192" s="45">
        <f>IF($A192="","",IFERROR(AVERAGE(AB192:AC192),""))</f>
        <v/>
      </c>
      <c r="AQ192" s="45">
        <f>IF($A192="","",IFERROR(AVERAGE(AD192),""))</f>
        <v/>
      </c>
      <c r="AR192" s="45">
        <f>IF($A192="","",IFERROR(AVERAGE(V192:AD192),""))</f>
        <v/>
      </c>
      <c r="AS192" s="36">
        <f>IF($A192="","",IF(AND(H192="",J192=""),"לא נבדק",IF(AND(OR(H192="",H192=I192),OR(J192="",J192=K192)),"תואם","לא תואם")))</f>
        <v/>
      </c>
      <c r="AT192" s="36">
        <f>IF($A192="","",IF(AND(AS192&lt;&gt;"לא תואם",G192&lt;&gt;"לא ברור"),"אמין","לפרש בזהירות"))</f>
        <v/>
      </c>
    </row>
    <row r="193">
      <c r="A193" s="38" t="n"/>
      <c r="B193" s="38" t="n"/>
      <c r="C193" s="38" t="n"/>
      <c r="D193" s="38" t="n"/>
      <c r="E193" s="38" t="n"/>
      <c r="F193" s="38" t="n"/>
      <c r="G193" s="38" t="n"/>
      <c r="H193" s="38" t="n"/>
      <c r="I193" s="38" t="n"/>
      <c r="J193" s="38" t="n"/>
      <c r="K193" s="38" t="n"/>
      <c r="L193" s="38" t="n"/>
      <c r="M193" s="38" t="n"/>
      <c r="N193" s="38" t="n"/>
      <c r="O193" s="38" t="n"/>
      <c r="P193" s="38" t="n"/>
      <c r="Q193" s="38" t="n"/>
      <c r="R193" s="38" t="n"/>
      <c r="S193" s="38" t="n"/>
      <c r="T193" s="38" t="n"/>
      <c r="U193" s="38" t="n"/>
      <c r="V193" s="38" t="n"/>
      <c r="W193" s="38" t="n"/>
      <c r="X193" s="38" t="n"/>
      <c r="Y193" s="38" t="n"/>
      <c r="Z193" s="38" t="n"/>
      <c r="AA193" s="38" t="n"/>
      <c r="AB193" s="38" t="n"/>
      <c r="AC193" s="38" t="n"/>
      <c r="AD193" s="38" t="n"/>
      <c r="AE193" s="38" t="n"/>
      <c r="AF193" s="36">
        <f>IF($A193="","",$A193&amp;"|"&amp;$C193)</f>
        <v/>
      </c>
      <c r="AG193" s="37">
        <f>IF($A193="","",IFERROR(COUNTIF(L193:M193,"כן")/(COUNTIF(L193:M193,"כן")+COUNTIF(L193:M193,"לא")),""))</f>
        <v/>
      </c>
      <c r="AH193" s="37">
        <f>IF($A193="","",IFERROR(COUNTIF(N193:O193,"כן")/(COUNTIF(N193:O193,"כן")+COUNTIF(N193:O193,"לא")),""))</f>
        <v/>
      </c>
      <c r="AI193" s="37">
        <f>IF($A193="","",IFERROR(COUNTIF(P193:Q193,"כן")/(COUNTIF(P193:Q193,"כן")+COUNTIF(P193:Q193,"לא")),""))</f>
        <v/>
      </c>
      <c r="AJ193" s="37">
        <f>IF($A193="","",IFERROR(COUNTIF(R193:S193,"כן")/(COUNTIF(R193:S193,"כן")+COUNTIF(R193:S193,"לא")),""))</f>
        <v/>
      </c>
      <c r="AK193" s="37">
        <f>IF($A193="","",IFERROR(COUNTIF(T193:U193,"כן")/(COUNTIF(T193:U193,"כן")+COUNTIF(T193:U193,"לא")),""))</f>
        <v/>
      </c>
      <c r="AL193" s="37">
        <f>IF($A193="","",IFERROR(COUNTIF(L193:U193,"כן")/(COUNTIF(L193:U193,"כן")+COUNTIF(L193:U193,"לא")),""))</f>
        <v/>
      </c>
      <c r="AM193" s="45">
        <f>IF($A193="","",IFERROR(AVERAGE(V193:W193),""))</f>
        <v/>
      </c>
      <c r="AN193" s="45">
        <f>IF($A193="","",IFERROR(AVERAGE(X193:Y193),""))</f>
        <v/>
      </c>
      <c r="AO193" s="45">
        <f>IF($A193="","",IFERROR(AVERAGE(Z193:AA193),""))</f>
        <v/>
      </c>
      <c r="AP193" s="45">
        <f>IF($A193="","",IFERROR(AVERAGE(AB193:AC193),""))</f>
        <v/>
      </c>
      <c r="AQ193" s="45">
        <f>IF($A193="","",IFERROR(AVERAGE(AD193),""))</f>
        <v/>
      </c>
      <c r="AR193" s="45">
        <f>IF($A193="","",IFERROR(AVERAGE(V193:AD193),""))</f>
        <v/>
      </c>
      <c r="AS193" s="36">
        <f>IF($A193="","",IF(AND(H193="",J193=""),"לא נבדק",IF(AND(OR(H193="",H193=I193),OR(J193="",J193=K193)),"תואם","לא תואם")))</f>
        <v/>
      </c>
      <c r="AT193" s="36">
        <f>IF($A193="","",IF(AND(AS193&lt;&gt;"לא תואם",G193&lt;&gt;"לא ברור"),"אמין","לפרש בזהירות"))</f>
        <v/>
      </c>
    </row>
    <row r="194">
      <c r="A194" s="38" t="n"/>
      <c r="B194" s="38" t="n"/>
      <c r="C194" s="38" t="n"/>
      <c r="D194" s="38" t="n"/>
      <c r="E194" s="38" t="n"/>
      <c r="F194" s="38" t="n"/>
      <c r="G194" s="38" t="n"/>
      <c r="H194" s="38" t="n"/>
      <c r="I194" s="38" t="n"/>
      <c r="J194" s="38" t="n"/>
      <c r="K194" s="38" t="n"/>
      <c r="L194" s="38" t="n"/>
      <c r="M194" s="38" t="n"/>
      <c r="N194" s="38" t="n"/>
      <c r="O194" s="38" t="n"/>
      <c r="P194" s="38" t="n"/>
      <c r="Q194" s="38" t="n"/>
      <c r="R194" s="38" t="n"/>
      <c r="S194" s="38" t="n"/>
      <c r="T194" s="38" t="n"/>
      <c r="U194" s="38" t="n"/>
      <c r="V194" s="38" t="n"/>
      <c r="W194" s="38" t="n"/>
      <c r="X194" s="38" t="n"/>
      <c r="Y194" s="38" t="n"/>
      <c r="Z194" s="38" t="n"/>
      <c r="AA194" s="38" t="n"/>
      <c r="AB194" s="38" t="n"/>
      <c r="AC194" s="38" t="n"/>
      <c r="AD194" s="38" t="n"/>
      <c r="AE194" s="38" t="n"/>
      <c r="AF194" s="36">
        <f>IF($A194="","",$A194&amp;"|"&amp;$C194)</f>
        <v/>
      </c>
      <c r="AG194" s="37">
        <f>IF($A194="","",IFERROR(COUNTIF(L194:M194,"כן")/(COUNTIF(L194:M194,"כן")+COUNTIF(L194:M194,"לא")),""))</f>
        <v/>
      </c>
      <c r="AH194" s="37">
        <f>IF($A194="","",IFERROR(COUNTIF(N194:O194,"כן")/(COUNTIF(N194:O194,"כן")+COUNTIF(N194:O194,"לא")),""))</f>
        <v/>
      </c>
      <c r="AI194" s="37">
        <f>IF($A194="","",IFERROR(COUNTIF(P194:Q194,"כן")/(COUNTIF(P194:Q194,"כן")+COUNTIF(P194:Q194,"לא")),""))</f>
        <v/>
      </c>
      <c r="AJ194" s="37">
        <f>IF($A194="","",IFERROR(COUNTIF(R194:S194,"כן")/(COUNTIF(R194:S194,"כן")+COUNTIF(R194:S194,"לא")),""))</f>
        <v/>
      </c>
      <c r="AK194" s="37">
        <f>IF($A194="","",IFERROR(COUNTIF(T194:U194,"כן")/(COUNTIF(T194:U194,"כן")+COUNTIF(T194:U194,"לא")),""))</f>
        <v/>
      </c>
      <c r="AL194" s="37">
        <f>IF($A194="","",IFERROR(COUNTIF(L194:U194,"כן")/(COUNTIF(L194:U194,"כן")+COUNTIF(L194:U194,"לא")),""))</f>
        <v/>
      </c>
      <c r="AM194" s="45">
        <f>IF($A194="","",IFERROR(AVERAGE(V194:W194),""))</f>
        <v/>
      </c>
      <c r="AN194" s="45">
        <f>IF($A194="","",IFERROR(AVERAGE(X194:Y194),""))</f>
        <v/>
      </c>
      <c r="AO194" s="45">
        <f>IF($A194="","",IFERROR(AVERAGE(Z194:AA194),""))</f>
        <v/>
      </c>
      <c r="AP194" s="45">
        <f>IF($A194="","",IFERROR(AVERAGE(AB194:AC194),""))</f>
        <v/>
      </c>
      <c r="AQ194" s="45">
        <f>IF($A194="","",IFERROR(AVERAGE(AD194),""))</f>
        <v/>
      </c>
      <c r="AR194" s="45">
        <f>IF($A194="","",IFERROR(AVERAGE(V194:AD194),""))</f>
        <v/>
      </c>
      <c r="AS194" s="36">
        <f>IF($A194="","",IF(AND(H194="",J194=""),"לא נבדק",IF(AND(OR(H194="",H194=I194),OR(J194="",J194=K194)),"תואם","לא תואם")))</f>
        <v/>
      </c>
      <c r="AT194" s="36">
        <f>IF($A194="","",IF(AND(AS194&lt;&gt;"לא תואם",G194&lt;&gt;"לא ברור"),"אמין","לפרש בזהירות"))</f>
        <v/>
      </c>
    </row>
    <row r="195">
      <c r="A195" s="38" t="n"/>
      <c r="B195" s="38" t="n"/>
      <c r="C195" s="38" t="n"/>
      <c r="D195" s="38" t="n"/>
      <c r="E195" s="38" t="n"/>
      <c r="F195" s="38" t="n"/>
      <c r="G195" s="38" t="n"/>
      <c r="H195" s="38" t="n"/>
      <c r="I195" s="38" t="n"/>
      <c r="J195" s="38" t="n"/>
      <c r="K195" s="38" t="n"/>
      <c r="L195" s="38" t="n"/>
      <c r="M195" s="38" t="n"/>
      <c r="N195" s="38" t="n"/>
      <c r="O195" s="38" t="n"/>
      <c r="P195" s="38" t="n"/>
      <c r="Q195" s="38" t="n"/>
      <c r="R195" s="38" t="n"/>
      <c r="S195" s="38" t="n"/>
      <c r="T195" s="38" t="n"/>
      <c r="U195" s="38" t="n"/>
      <c r="V195" s="38" t="n"/>
      <c r="W195" s="38" t="n"/>
      <c r="X195" s="38" t="n"/>
      <c r="Y195" s="38" t="n"/>
      <c r="Z195" s="38" t="n"/>
      <c r="AA195" s="38" t="n"/>
      <c r="AB195" s="38" t="n"/>
      <c r="AC195" s="38" t="n"/>
      <c r="AD195" s="38" t="n"/>
      <c r="AE195" s="38" t="n"/>
      <c r="AF195" s="36">
        <f>IF($A195="","",$A195&amp;"|"&amp;$C195)</f>
        <v/>
      </c>
      <c r="AG195" s="37">
        <f>IF($A195="","",IFERROR(COUNTIF(L195:M195,"כן")/(COUNTIF(L195:M195,"כן")+COUNTIF(L195:M195,"לא")),""))</f>
        <v/>
      </c>
      <c r="AH195" s="37">
        <f>IF($A195="","",IFERROR(COUNTIF(N195:O195,"כן")/(COUNTIF(N195:O195,"כן")+COUNTIF(N195:O195,"לא")),""))</f>
        <v/>
      </c>
      <c r="AI195" s="37">
        <f>IF($A195="","",IFERROR(COUNTIF(P195:Q195,"כן")/(COUNTIF(P195:Q195,"כן")+COUNTIF(P195:Q195,"לא")),""))</f>
        <v/>
      </c>
      <c r="AJ195" s="37">
        <f>IF($A195="","",IFERROR(COUNTIF(R195:S195,"כן")/(COUNTIF(R195:S195,"כן")+COUNTIF(R195:S195,"לא")),""))</f>
        <v/>
      </c>
      <c r="AK195" s="37">
        <f>IF($A195="","",IFERROR(COUNTIF(T195:U195,"כן")/(COUNTIF(T195:U195,"כן")+COUNTIF(T195:U195,"לא")),""))</f>
        <v/>
      </c>
      <c r="AL195" s="37">
        <f>IF($A195="","",IFERROR(COUNTIF(L195:U195,"כן")/(COUNTIF(L195:U195,"כן")+COUNTIF(L195:U195,"לא")),""))</f>
        <v/>
      </c>
      <c r="AM195" s="45">
        <f>IF($A195="","",IFERROR(AVERAGE(V195:W195),""))</f>
        <v/>
      </c>
      <c r="AN195" s="45">
        <f>IF($A195="","",IFERROR(AVERAGE(X195:Y195),""))</f>
        <v/>
      </c>
      <c r="AO195" s="45">
        <f>IF($A195="","",IFERROR(AVERAGE(Z195:AA195),""))</f>
        <v/>
      </c>
      <c r="AP195" s="45">
        <f>IF($A195="","",IFERROR(AVERAGE(AB195:AC195),""))</f>
        <v/>
      </c>
      <c r="AQ195" s="45">
        <f>IF($A195="","",IFERROR(AVERAGE(AD195),""))</f>
        <v/>
      </c>
      <c r="AR195" s="45">
        <f>IF($A195="","",IFERROR(AVERAGE(V195:AD195),""))</f>
        <v/>
      </c>
      <c r="AS195" s="36">
        <f>IF($A195="","",IF(AND(H195="",J195=""),"לא נבדק",IF(AND(OR(H195="",H195=I195),OR(J195="",J195=K195)),"תואם","לא תואם")))</f>
        <v/>
      </c>
      <c r="AT195" s="36">
        <f>IF($A195="","",IF(AND(AS195&lt;&gt;"לא תואם",G195&lt;&gt;"לא ברור"),"אמין","לפרש בזהירות"))</f>
        <v/>
      </c>
    </row>
    <row r="196">
      <c r="A196" s="38" t="n"/>
      <c r="B196" s="38" t="n"/>
      <c r="C196" s="38" t="n"/>
      <c r="D196" s="38" t="n"/>
      <c r="E196" s="38" t="n"/>
      <c r="F196" s="38" t="n"/>
      <c r="G196" s="38" t="n"/>
      <c r="H196" s="38" t="n"/>
      <c r="I196" s="38" t="n"/>
      <c r="J196" s="38" t="n"/>
      <c r="K196" s="38" t="n"/>
      <c r="L196" s="38" t="n"/>
      <c r="M196" s="38" t="n"/>
      <c r="N196" s="38" t="n"/>
      <c r="O196" s="38" t="n"/>
      <c r="P196" s="38" t="n"/>
      <c r="Q196" s="38" t="n"/>
      <c r="R196" s="38" t="n"/>
      <c r="S196" s="38" t="n"/>
      <c r="T196" s="38" t="n"/>
      <c r="U196" s="38" t="n"/>
      <c r="V196" s="38" t="n"/>
      <c r="W196" s="38" t="n"/>
      <c r="X196" s="38" t="n"/>
      <c r="Y196" s="38" t="n"/>
      <c r="Z196" s="38" t="n"/>
      <c r="AA196" s="38" t="n"/>
      <c r="AB196" s="38" t="n"/>
      <c r="AC196" s="38" t="n"/>
      <c r="AD196" s="38" t="n"/>
      <c r="AE196" s="38" t="n"/>
      <c r="AF196" s="36">
        <f>IF($A196="","",$A196&amp;"|"&amp;$C196)</f>
        <v/>
      </c>
      <c r="AG196" s="37">
        <f>IF($A196="","",IFERROR(COUNTIF(L196:M196,"כן")/(COUNTIF(L196:M196,"כן")+COUNTIF(L196:M196,"לא")),""))</f>
        <v/>
      </c>
      <c r="AH196" s="37">
        <f>IF($A196="","",IFERROR(COUNTIF(N196:O196,"כן")/(COUNTIF(N196:O196,"כן")+COUNTIF(N196:O196,"לא")),""))</f>
        <v/>
      </c>
      <c r="AI196" s="37">
        <f>IF($A196="","",IFERROR(COUNTIF(P196:Q196,"כן")/(COUNTIF(P196:Q196,"כן")+COUNTIF(P196:Q196,"לא")),""))</f>
        <v/>
      </c>
      <c r="AJ196" s="37">
        <f>IF($A196="","",IFERROR(COUNTIF(R196:S196,"כן")/(COUNTIF(R196:S196,"כן")+COUNTIF(R196:S196,"לא")),""))</f>
        <v/>
      </c>
      <c r="AK196" s="37">
        <f>IF($A196="","",IFERROR(COUNTIF(T196:U196,"כן")/(COUNTIF(T196:U196,"כן")+COUNTIF(T196:U196,"לא")),""))</f>
        <v/>
      </c>
      <c r="AL196" s="37">
        <f>IF($A196="","",IFERROR(COUNTIF(L196:U196,"כן")/(COUNTIF(L196:U196,"כן")+COUNTIF(L196:U196,"לא")),""))</f>
        <v/>
      </c>
      <c r="AM196" s="45">
        <f>IF($A196="","",IFERROR(AVERAGE(V196:W196),""))</f>
        <v/>
      </c>
      <c r="AN196" s="45">
        <f>IF($A196="","",IFERROR(AVERAGE(X196:Y196),""))</f>
        <v/>
      </c>
      <c r="AO196" s="45">
        <f>IF($A196="","",IFERROR(AVERAGE(Z196:AA196),""))</f>
        <v/>
      </c>
      <c r="AP196" s="45">
        <f>IF($A196="","",IFERROR(AVERAGE(AB196:AC196),""))</f>
        <v/>
      </c>
      <c r="AQ196" s="45">
        <f>IF($A196="","",IFERROR(AVERAGE(AD196),""))</f>
        <v/>
      </c>
      <c r="AR196" s="45">
        <f>IF($A196="","",IFERROR(AVERAGE(V196:AD196),""))</f>
        <v/>
      </c>
      <c r="AS196" s="36">
        <f>IF($A196="","",IF(AND(H196="",J196=""),"לא נבדק",IF(AND(OR(H196="",H196=I196),OR(J196="",J196=K196)),"תואם","לא תואם")))</f>
        <v/>
      </c>
      <c r="AT196" s="36">
        <f>IF($A196="","",IF(AND(AS196&lt;&gt;"לא תואם",G196&lt;&gt;"לא ברור"),"אמין","לפרש בזהירות"))</f>
        <v/>
      </c>
    </row>
    <row r="197">
      <c r="A197" s="38" t="n"/>
      <c r="B197" s="38" t="n"/>
      <c r="C197" s="38" t="n"/>
      <c r="D197" s="38" t="n"/>
      <c r="E197" s="38" t="n"/>
      <c r="F197" s="38" t="n"/>
      <c r="G197" s="38" t="n"/>
      <c r="H197" s="38" t="n"/>
      <c r="I197" s="38" t="n"/>
      <c r="J197" s="38" t="n"/>
      <c r="K197" s="38" t="n"/>
      <c r="L197" s="38" t="n"/>
      <c r="M197" s="38" t="n"/>
      <c r="N197" s="38" t="n"/>
      <c r="O197" s="38" t="n"/>
      <c r="P197" s="38" t="n"/>
      <c r="Q197" s="38" t="n"/>
      <c r="R197" s="38" t="n"/>
      <c r="S197" s="38" t="n"/>
      <c r="T197" s="38" t="n"/>
      <c r="U197" s="38" t="n"/>
      <c r="V197" s="38" t="n"/>
      <c r="W197" s="38" t="n"/>
      <c r="X197" s="38" t="n"/>
      <c r="Y197" s="38" t="n"/>
      <c r="Z197" s="38" t="n"/>
      <c r="AA197" s="38" t="n"/>
      <c r="AB197" s="38" t="n"/>
      <c r="AC197" s="38" t="n"/>
      <c r="AD197" s="38" t="n"/>
      <c r="AE197" s="38" t="n"/>
      <c r="AF197" s="36">
        <f>IF($A197="","",$A197&amp;"|"&amp;$C197)</f>
        <v/>
      </c>
      <c r="AG197" s="37">
        <f>IF($A197="","",IFERROR(COUNTIF(L197:M197,"כן")/(COUNTIF(L197:M197,"כן")+COUNTIF(L197:M197,"לא")),""))</f>
        <v/>
      </c>
      <c r="AH197" s="37">
        <f>IF($A197="","",IFERROR(COUNTIF(N197:O197,"כן")/(COUNTIF(N197:O197,"כן")+COUNTIF(N197:O197,"לא")),""))</f>
        <v/>
      </c>
      <c r="AI197" s="37">
        <f>IF($A197="","",IFERROR(COUNTIF(P197:Q197,"כן")/(COUNTIF(P197:Q197,"כן")+COUNTIF(P197:Q197,"לא")),""))</f>
        <v/>
      </c>
      <c r="AJ197" s="37">
        <f>IF($A197="","",IFERROR(COUNTIF(R197:S197,"כן")/(COUNTIF(R197:S197,"כן")+COUNTIF(R197:S197,"לא")),""))</f>
        <v/>
      </c>
      <c r="AK197" s="37">
        <f>IF($A197="","",IFERROR(COUNTIF(T197:U197,"כן")/(COUNTIF(T197:U197,"כן")+COUNTIF(T197:U197,"לא")),""))</f>
        <v/>
      </c>
      <c r="AL197" s="37">
        <f>IF($A197="","",IFERROR(COUNTIF(L197:U197,"כן")/(COUNTIF(L197:U197,"כן")+COUNTIF(L197:U197,"לא")),""))</f>
        <v/>
      </c>
      <c r="AM197" s="45">
        <f>IF($A197="","",IFERROR(AVERAGE(V197:W197),""))</f>
        <v/>
      </c>
      <c r="AN197" s="45">
        <f>IF($A197="","",IFERROR(AVERAGE(X197:Y197),""))</f>
        <v/>
      </c>
      <c r="AO197" s="45">
        <f>IF($A197="","",IFERROR(AVERAGE(Z197:AA197),""))</f>
        <v/>
      </c>
      <c r="AP197" s="45">
        <f>IF($A197="","",IFERROR(AVERAGE(AB197:AC197),""))</f>
        <v/>
      </c>
      <c r="AQ197" s="45">
        <f>IF($A197="","",IFERROR(AVERAGE(AD197),""))</f>
        <v/>
      </c>
      <c r="AR197" s="45">
        <f>IF($A197="","",IFERROR(AVERAGE(V197:AD197),""))</f>
        <v/>
      </c>
      <c r="AS197" s="36">
        <f>IF($A197="","",IF(AND(H197="",J197=""),"לא נבדק",IF(AND(OR(H197="",H197=I197),OR(J197="",J197=K197)),"תואם","לא תואם")))</f>
        <v/>
      </c>
      <c r="AT197" s="36">
        <f>IF($A197="","",IF(AND(AS197&lt;&gt;"לא תואם",G197&lt;&gt;"לא ברור"),"אמין","לפרש בזהירות"))</f>
        <v/>
      </c>
    </row>
    <row r="198">
      <c r="A198" s="38" t="n"/>
      <c r="B198" s="38" t="n"/>
      <c r="C198" s="38" t="n"/>
      <c r="D198" s="38" t="n"/>
      <c r="E198" s="38" t="n"/>
      <c r="F198" s="38" t="n"/>
      <c r="G198" s="38" t="n"/>
      <c r="H198" s="38" t="n"/>
      <c r="I198" s="38" t="n"/>
      <c r="J198" s="38" t="n"/>
      <c r="K198" s="38" t="n"/>
      <c r="L198" s="38" t="n"/>
      <c r="M198" s="38" t="n"/>
      <c r="N198" s="38" t="n"/>
      <c r="O198" s="38" t="n"/>
      <c r="P198" s="38" t="n"/>
      <c r="Q198" s="38" t="n"/>
      <c r="R198" s="38" t="n"/>
      <c r="S198" s="38" t="n"/>
      <c r="T198" s="38" t="n"/>
      <c r="U198" s="38" t="n"/>
      <c r="V198" s="38" t="n"/>
      <c r="W198" s="38" t="n"/>
      <c r="X198" s="38" t="n"/>
      <c r="Y198" s="38" t="n"/>
      <c r="Z198" s="38" t="n"/>
      <c r="AA198" s="38" t="n"/>
      <c r="AB198" s="38" t="n"/>
      <c r="AC198" s="38" t="n"/>
      <c r="AD198" s="38" t="n"/>
      <c r="AE198" s="38" t="n"/>
      <c r="AF198" s="36">
        <f>IF($A198="","",$A198&amp;"|"&amp;$C198)</f>
        <v/>
      </c>
      <c r="AG198" s="37">
        <f>IF($A198="","",IFERROR(COUNTIF(L198:M198,"כן")/(COUNTIF(L198:M198,"כן")+COUNTIF(L198:M198,"לא")),""))</f>
        <v/>
      </c>
      <c r="AH198" s="37">
        <f>IF($A198="","",IFERROR(COUNTIF(N198:O198,"כן")/(COUNTIF(N198:O198,"כן")+COUNTIF(N198:O198,"לא")),""))</f>
        <v/>
      </c>
      <c r="AI198" s="37">
        <f>IF($A198="","",IFERROR(COUNTIF(P198:Q198,"כן")/(COUNTIF(P198:Q198,"כן")+COUNTIF(P198:Q198,"לא")),""))</f>
        <v/>
      </c>
      <c r="AJ198" s="37">
        <f>IF($A198="","",IFERROR(COUNTIF(R198:S198,"כן")/(COUNTIF(R198:S198,"כן")+COUNTIF(R198:S198,"לא")),""))</f>
        <v/>
      </c>
      <c r="AK198" s="37">
        <f>IF($A198="","",IFERROR(COUNTIF(T198:U198,"כן")/(COUNTIF(T198:U198,"כן")+COUNTIF(T198:U198,"לא")),""))</f>
        <v/>
      </c>
      <c r="AL198" s="37">
        <f>IF($A198="","",IFERROR(COUNTIF(L198:U198,"כן")/(COUNTIF(L198:U198,"כן")+COUNTIF(L198:U198,"לא")),""))</f>
        <v/>
      </c>
      <c r="AM198" s="45">
        <f>IF($A198="","",IFERROR(AVERAGE(V198:W198),""))</f>
        <v/>
      </c>
      <c r="AN198" s="45">
        <f>IF($A198="","",IFERROR(AVERAGE(X198:Y198),""))</f>
        <v/>
      </c>
      <c r="AO198" s="45">
        <f>IF($A198="","",IFERROR(AVERAGE(Z198:AA198),""))</f>
        <v/>
      </c>
      <c r="AP198" s="45">
        <f>IF($A198="","",IFERROR(AVERAGE(AB198:AC198),""))</f>
        <v/>
      </c>
      <c r="AQ198" s="45">
        <f>IF($A198="","",IFERROR(AVERAGE(AD198),""))</f>
        <v/>
      </c>
      <c r="AR198" s="45">
        <f>IF($A198="","",IFERROR(AVERAGE(V198:AD198),""))</f>
        <v/>
      </c>
      <c r="AS198" s="36">
        <f>IF($A198="","",IF(AND(H198="",J198=""),"לא נבדק",IF(AND(OR(H198="",H198=I198),OR(J198="",J198=K198)),"תואם","לא תואם")))</f>
        <v/>
      </c>
      <c r="AT198" s="36">
        <f>IF($A198="","",IF(AND(AS198&lt;&gt;"לא תואם",G198&lt;&gt;"לא ברור"),"אמין","לפרש בזהירות"))</f>
        <v/>
      </c>
    </row>
    <row r="199">
      <c r="A199" s="38" t="n"/>
      <c r="B199" s="38" t="n"/>
      <c r="C199" s="38" t="n"/>
      <c r="D199" s="38" t="n"/>
      <c r="E199" s="38" t="n"/>
      <c r="F199" s="38" t="n"/>
      <c r="G199" s="38" t="n"/>
      <c r="H199" s="38" t="n"/>
      <c r="I199" s="38" t="n"/>
      <c r="J199" s="38" t="n"/>
      <c r="K199" s="38" t="n"/>
      <c r="L199" s="38" t="n"/>
      <c r="M199" s="38" t="n"/>
      <c r="N199" s="38" t="n"/>
      <c r="O199" s="38" t="n"/>
      <c r="P199" s="38" t="n"/>
      <c r="Q199" s="38" t="n"/>
      <c r="R199" s="38" t="n"/>
      <c r="S199" s="38" t="n"/>
      <c r="T199" s="38" t="n"/>
      <c r="U199" s="38" t="n"/>
      <c r="V199" s="38" t="n"/>
      <c r="W199" s="38" t="n"/>
      <c r="X199" s="38" t="n"/>
      <c r="Y199" s="38" t="n"/>
      <c r="Z199" s="38" t="n"/>
      <c r="AA199" s="38" t="n"/>
      <c r="AB199" s="38" t="n"/>
      <c r="AC199" s="38" t="n"/>
      <c r="AD199" s="38" t="n"/>
      <c r="AE199" s="38" t="n"/>
      <c r="AF199" s="36">
        <f>IF($A199="","",$A199&amp;"|"&amp;$C199)</f>
        <v/>
      </c>
      <c r="AG199" s="37">
        <f>IF($A199="","",IFERROR(COUNTIF(L199:M199,"כן")/(COUNTIF(L199:M199,"כן")+COUNTIF(L199:M199,"לא")),""))</f>
        <v/>
      </c>
      <c r="AH199" s="37">
        <f>IF($A199="","",IFERROR(COUNTIF(N199:O199,"כן")/(COUNTIF(N199:O199,"כן")+COUNTIF(N199:O199,"לא")),""))</f>
        <v/>
      </c>
      <c r="AI199" s="37">
        <f>IF($A199="","",IFERROR(COUNTIF(P199:Q199,"כן")/(COUNTIF(P199:Q199,"כן")+COUNTIF(P199:Q199,"לא")),""))</f>
        <v/>
      </c>
      <c r="AJ199" s="37">
        <f>IF($A199="","",IFERROR(COUNTIF(R199:S199,"כן")/(COUNTIF(R199:S199,"כן")+COUNTIF(R199:S199,"לא")),""))</f>
        <v/>
      </c>
      <c r="AK199" s="37">
        <f>IF($A199="","",IFERROR(COUNTIF(T199:U199,"כן")/(COUNTIF(T199:U199,"כן")+COUNTIF(T199:U199,"לא")),""))</f>
        <v/>
      </c>
      <c r="AL199" s="37">
        <f>IF($A199="","",IFERROR(COUNTIF(L199:U199,"כן")/(COUNTIF(L199:U199,"כן")+COUNTIF(L199:U199,"לא")),""))</f>
        <v/>
      </c>
      <c r="AM199" s="45">
        <f>IF($A199="","",IFERROR(AVERAGE(V199:W199),""))</f>
        <v/>
      </c>
      <c r="AN199" s="45">
        <f>IF($A199="","",IFERROR(AVERAGE(X199:Y199),""))</f>
        <v/>
      </c>
      <c r="AO199" s="45">
        <f>IF($A199="","",IFERROR(AVERAGE(Z199:AA199),""))</f>
        <v/>
      </c>
      <c r="AP199" s="45">
        <f>IF($A199="","",IFERROR(AVERAGE(AB199:AC199),""))</f>
        <v/>
      </c>
      <c r="AQ199" s="45">
        <f>IF($A199="","",IFERROR(AVERAGE(AD199),""))</f>
        <v/>
      </c>
      <c r="AR199" s="45">
        <f>IF($A199="","",IFERROR(AVERAGE(V199:AD199),""))</f>
        <v/>
      </c>
      <c r="AS199" s="36">
        <f>IF($A199="","",IF(AND(H199="",J199=""),"לא נבדק",IF(AND(OR(H199="",H199=I199),OR(J199="",J199=K199)),"תואם","לא תואם")))</f>
        <v/>
      </c>
      <c r="AT199" s="36">
        <f>IF($A199="","",IF(AND(AS199&lt;&gt;"לא תואם",G199&lt;&gt;"לא ברור"),"אמין","לפרש בזהירות"))</f>
        <v/>
      </c>
    </row>
    <row r="200">
      <c r="A200" s="38" t="n"/>
      <c r="B200" s="38" t="n"/>
      <c r="C200" s="38" t="n"/>
      <c r="D200" s="38" t="n"/>
      <c r="E200" s="38" t="n"/>
      <c r="F200" s="38" t="n"/>
      <c r="G200" s="38" t="n"/>
      <c r="H200" s="38" t="n"/>
      <c r="I200" s="38" t="n"/>
      <c r="J200" s="38" t="n"/>
      <c r="K200" s="38" t="n"/>
      <c r="L200" s="38" t="n"/>
      <c r="M200" s="38" t="n"/>
      <c r="N200" s="38" t="n"/>
      <c r="O200" s="38" t="n"/>
      <c r="P200" s="38" t="n"/>
      <c r="Q200" s="38" t="n"/>
      <c r="R200" s="38" t="n"/>
      <c r="S200" s="38" t="n"/>
      <c r="T200" s="38" t="n"/>
      <c r="U200" s="38" t="n"/>
      <c r="V200" s="38" t="n"/>
      <c r="W200" s="38" t="n"/>
      <c r="X200" s="38" t="n"/>
      <c r="Y200" s="38" t="n"/>
      <c r="Z200" s="38" t="n"/>
      <c r="AA200" s="38" t="n"/>
      <c r="AB200" s="38" t="n"/>
      <c r="AC200" s="38" t="n"/>
      <c r="AD200" s="38" t="n"/>
      <c r="AE200" s="38" t="n"/>
      <c r="AF200" s="36">
        <f>IF($A200="","",$A200&amp;"|"&amp;$C200)</f>
        <v/>
      </c>
      <c r="AG200" s="37">
        <f>IF($A200="","",IFERROR(COUNTIF(L200:M200,"כן")/(COUNTIF(L200:M200,"כן")+COUNTIF(L200:M200,"לא")),""))</f>
        <v/>
      </c>
      <c r="AH200" s="37">
        <f>IF($A200="","",IFERROR(COUNTIF(N200:O200,"כן")/(COUNTIF(N200:O200,"כן")+COUNTIF(N200:O200,"לא")),""))</f>
        <v/>
      </c>
      <c r="AI200" s="37">
        <f>IF($A200="","",IFERROR(COUNTIF(P200:Q200,"כן")/(COUNTIF(P200:Q200,"כן")+COUNTIF(P200:Q200,"לא")),""))</f>
        <v/>
      </c>
      <c r="AJ200" s="37">
        <f>IF($A200="","",IFERROR(COUNTIF(R200:S200,"כן")/(COUNTIF(R200:S200,"כן")+COUNTIF(R200:S200,"לא")),""))</f>
        <v/>
      </c>
      <c r="AK200" s="37">
        <f>IF($A200="","",IFERROR(COUNTIF(T200:U200,"כן")/(COUNTIF(T200:U200,"כן")+COUNTIF(T200:U200,"לא")),""))</f>
        <v/>
      </c>
      <c r="AL200" s="37">
        <f>IF($A200="","",IFERROR(COUNTIF(L200:U200,"כן")/(COUNTIF(L200:U200,"כן")+COUNTIF(L200:U200,"לא")),""))</f>
        <v/>
      </c>
      <c r="AM200" s="45">
        <f>IF($A200="","",IFERROR(AVERAGE(V200:W200),""))</f>
        <v/>
      </c>
      <c r="AN200" s="45">
        <f>IF($A200="","",IFERROR(AVERAGE(X200:Y200),""))</f>
        <v/>
      </c>
      <c r="AO200" s="45">
        <f>IF($A200="","",IFERROR(AVERAGE(Z200:AA200),""))</f>
        <v/>
      </c>
      <c r="AP200" s="45">
        <f>IF($A200="","",IFERROR(AVERAGE(AB200:AC200),""))</f>
        <v/>
      </c>
      <c r="AQ200" s="45">
        <f>IF($A200="","",IFERROR(AVERAGE(AD200),""))</f>
        <v/>
      </c>
      <c r="AR200" s="45">
        <f>IF($A200="","",IFERROR(AVERAGE(V200:AD200),""))</f>
        <v/>
      </c>
      <c r="AS200" s="36">
        <f>IF($A200="","",IF(AND(H200="",J200=""),"לא נבדק",IF(AND(OR(H200="",H200=I200),OR(J200="",J200=K200)),"תואם","לא תואם")))</f>
        <v/>
      </c>
      <c r="AT200" s="36">
        <f>IF($A200="","",IF(AND(AS200&lt;&gt;"לא תואם",G200&lt;&gt;"לא ברור"),"אמין","לפרש בזהירות"))</f>
        <v/>
      </c>
    </row>
    <row r="201">
      <c r="A201" s="38" t="n"/>
      <c r="B201" s="38" t="n"/>
      <c r="C201" s="38" t="n"/>
      <c r="D201" s="38" t="n"/>
      <c r="E201" s="38" t="n"/>
      <c r="F201" s="38" t="n"/>
      <c r="G201" s="38" t="n"/>
      <c r="H201" s="38" t="n"/>
      <c r="I201" s="38" t="n"/>
      <c r="J201" s="38" t="n"/>
      <c r="K201" s="38" t="n"/>
      <c r="L201" s="38" t="n"/>
      <c r="M201" s="38" t="n"/>
      <c r="N201" s="38" t="n"/>
      <c r="O201" s="38" t="n"/>
      <c r="P201" s="38" t="n"/>
      <c r="Q201" s="38" t="n"/>
      <c r="R201" s="38" t="n"/>
      <c r="S201" s="38" t="n"/>
      <c r="T201" s="38" t="n"/>
      <c r="U201" s="38" t="n"/>
      <c r="V201" s="38" t="n"/>
      <c r="W201" s="38" t="n"/>
      <c r="X201" s="38" t="n"/>
      <c r="Y201" s="38" t="n"/>
      <c r="Z201" s="38" t="n"/>
      <c r="AA201" s="38" t="n"/>
      <c r="AB201" s="38" t="n"/>
      <c r="AC201" s="38" t="n"/>
      <c r="AD201" s="38" t="n"/>
      <c r="AE201" s="38" t="n"/>
      <c r="AF201" s="36">
        <f>IF($A201="","",$A201&amp;"|"&amp;$C201)</f>
        <v/>
      </c>
      <c r="AG201" s="37">
        <f>IF($A201="","",IFERROR(COUNTIF(L201:M201,"כן")/(COUNTIF(L201:M201,"כן")+COUNTIF(L201:M201,"לא")),""))</f>
        <v/>
      </c>
      <c r="AH201" s="37">
        <f>IF($A201="","",IFERROR(COUNTIF(N201:O201,"כן")/(COUNTIF(N201:O201,"כן")+COUNTIF(N201:O201,"לא")),""))</f>
        <v/>
      </c>
      <c r="AI201" s="37">
        <f>IF($A201="","",IFERROR(COUNTIF(P201:Q201,"כן")/(COUNTIF(P201:Q201,"כן")+COUNTIF(P201:Q201,"לא")),""))</f>
        <v/>
      </c>
      <c r="AJ201" s="37">
        <f>IF($A201="","",IFERROR(COUNTIF(R201:S201,"כן")/(COUNTIF(R201:S201,"כן")+COUNTIF(R201:S201,"לא")),""))</f>
        <v/>
      </c>
      <c r="AK201" s="37">
        <f>IF($A201="","",IFERROR(COUNTIF(T201:U201,"כן")/(COUNTIF(T201:U201,"כן")+COUNTIF(T201:U201,"לא")),""))</f>
        <v/>
      </c>
      <c r="AL201" s="37">
        <f>IF($A201="","",IFERROR(COUNTIF(L201:U201,"כן")/(COUNTIF(L201:U201,"כן")+COUNTIF(L201:U201,"לא")),""))</f>
        <v/>
      </c>
      <c r="AM201" s="45">
        <f>IF($A201="","",IFERROR(AVERAGE(V201:W201),""))</f>
        <v/>
      </c>
      <c r="AN201" s="45">
        <f>IF($A201="","",IFERROR(AVERAGE(X201:Y201),""))</f>
        <v/>
      </c>
      <c r="AO201" s="45">
        <f>IF($A201="","",IFERROR(AVERAGE(Z201:AA201),""))</f>
        <v/>
      </c>
      <c r="AP201" s="45">
        <f>IF($A201="","",IFERROR(AVERAGE(AB201:AC201),""))</f>
        <v/>
      </c>
      <c r="AQ201" s="45">
        <f>IF($A201="","",IFERROR(AVERAGE(AD201),""))</f>
        <v/>
      </c>
      <c r="AR201" s="45">
        <f>IF($A201="","",IFERROR(AVERAGE(V201:AD201),""))</f>
        <v/>
      </c>
      <c r="AS201" s="36">
        <f>IF($A201="","",IF(AND(H201="",J201=""),"לא נבדק",IF(AND(OR(H201="",H201=I201),OR(J201="",J201=K201)),"תואם","לא תואם")))</f>
        <v/>
      </c>
      <c r="AT201" s="36">
        <f>IF($A201="","",IF(AND(AS201&lt;&gt;"לא תואם",G201&lt;&gt;"לא ברור"),"אמין","לפרש בזהירות"))</f>
        <v/>
      </c>
    </row>
    <row r="202">
      <c r="A202" s="38" t="n"/>
      <c r="B202" s="38" t="n"/>
      <c r="C202" s="38" t="n"/>
      <c r="D202" s="38" t="n"/>
      <c r="E202" s="38" t="n"/>
      <c r="F202" s="38" t="n"/>
      <c r="G202" s="38" t="n"/>
      <c r="H202" s="38" t="n"/>
      <c r="I202" s="38" t="n"/>
      <c r="J202" s="38" t="n"/>
      <c r="K202" s="38" t="n"/>
      <c r="L202" s="38" t="n"/>
      <c r="M202" s="38" t="n"/>
      <c r="N202" s="38" t="n"/>
      <c r="O202" s="38" t="n"/>
      <c r="P202" s="38" t="n"/>
      <c r="Q202" s="38" t="n"/>
      <c r="R202" s="38" t="n"/>
      <c r="S202" s="38" t="n"/>
      <c r="T202" s="38" t="n"/>
      <c r="U202" s="38" t="n"/>
      <c r="V202" s="38" t="n"/>
      <c r="W202" s="38" t="n"/>
      <c r="X202" s="38" t="n"/>
      <c r="Y202" s="38" t="n"/>
      <c r="Z202" s="38" t="n"/>
      <c r="AA202" s="38" t="n"/>
      <c r="AB202" s="38" t="n"/>
      <c r="AC202" s="38" t="n"/>
      <c r="AD202" s="38" t="n"/>
      <c r="AE202" s="38" t="n"/>
      <c r="AF202" s="36">
        <f>IF($A202="","",$A202&amp;"|"&amp;$C202)</f>
        <v/>
      </c>
      <c r="AG202" s="37">
        <f>IF($A202="","",IFERROR(COUNTIF(L202:M202,"כן")/(COUNTIF(L202:M202,"כן")+COUNTIF(L202:M202,"לא")),""))</f>
        <v/>
      </c>
      <c r="AH202" s="37">
        <f>IF($A202="","",IFERROR(COUNTIF(N202:O202,"כן")/(COUNTIF(N202:O202,"כן")+COUNTIF(N202:O202,"לא")),""))</f>
        <v/>
      </c>
      <c r="AI202" s="37">
        <f>IF($A202="","",IFERROR(COUNTIF(P202:Q202,"כן")/(COUNTIF(P202:Q202,"כן")+COUNTIF(P202:Q202,"לא")),""))</f>
        <v/>
      </c>
      <c r="AJ202" s="37">
        <f>IF($A202="","",IFERROR(COUNTIF(R202:S202,"כן")/(COUNTIF(R202:S202,"כן")+COUNTIF(R202:S202,"לא")),""))</f>
        <v/>
      </c>
      <c r="AK202" s="37">
        <f>IF($A202="","",IFERROR(COUNTIF(T202:U202,"כן")/(COUNTIF(T202:U202,"כן")+COUNTIF(T202:U202,"לא")),""))</f>
        <v/>
      </c>
      <c r="AL202" s="37">
        <f>IF($A202="","",IFERROR(COUNTIF(L202:U202,"כן")/(COUNTIF(L202:U202,"כן")+COUNTIF(L202:U202,"לא")),""))</f>
        <v/>
      </c>
      <c r="AM202" s="45">
        <f>IF($A202="","",IFERROR(AVERAGE(V202:W202),""))</f>
        <v/>
      </c>
      <c r="AN202" s="45">
        <f>IF($A202="","",IFERROR(AVERAGE(X202:Y202),""))</f>
        <v/>
      </c>
      <c r="AO202" s="45">
        <f>IF($A202="","",IFERROR(AVERAGE(Z202:AA202),""))</f>
        <v/>
      </c>
      <c r="AP202" s="45">
        <f>IF($A202="","",IFERROR(AVERAGE(AB202:AC202),""))</f>
        <v/>
      </c>
      <c r="AQ202" s="45">
        <f>IF($A202="","",IFERROR(AVERAGE(AD202),""))</f>
        <v/>
      </c>
      <c r="AR202" s="45">
        <f>IF($A202="","",IFERROR(AVERAGE(V202:AD202),""))</f>
        <v/>
      </c>
      <c r="AS202" s="36">
        <f>IF($A202="","",IF(AND(H202="",J202=""),"לא נבדק",IF(AND(OR(H202="",H202=I202),OR(J202="",J202=K202)),"תואם","לא תואם")))</f>
        <v/>
      </c>
      <c r="AT202" s="36">
        <f>IF($A202="","",IF(AND(AS202&lt;&gt;"לא תואם",G202&lt;&gt;"לא ברור"),"אמין","לפרש בזהירות"))</f>
        <v/>
      </c>
    </row>
    <row r="203">
      <c r="A203" s="38" t="n"/>
      <c r="B203" s="38" t="n"/>
      <c r="C203" s="38" t="n"/>
      <c r="D203" s="38" t="n"/>
      <c r="E203" s="38" t="n"/>
      <c r="F203" s="38" t="n"/>
      <c r="G203" s="38" t="n"/>
      <c r="H203" s="38" t="n"/>
      <c r="I203" s="38" t="n"/>
      <c r="J203" s="38" t="n"/>
      <c r="K203" s="38" t="n"/>
      <c r="L203" s="38" t="n"/>
      <c r="M203" s="38" t="n"/>
      <c r="N203" s="38" t="n"/>
      <c r="O203" s="38" t="n"/>
      <c r="P203" s="38" t="n"/>
      <c r="Q203" s="38" t="n"/>
      <c r="R203" s="38" t="n"/>
      <c r="S203" s="38" t="n"/>
      <c r="T203" s="38" t="n"/>
      <c r="U203" s="38" t="n"/>
      <c r="V203" s="38" t="n"/>
      <c r="W203" s="38" t="n"/>
      <c r="X203" s="38" t="n"/>
      <c r="Y203" s="38" t="n"/>
      <c r="Z203" s="38" t="n"/>
      <c r="AA203" s="38" t="n"/>
      <c r="AB203" s="38" t="n"/>
      <c r="AC203" s="38" t="n"/>
      <c r="AD203" s="38" t="n"/>
      <c r="AE203" s="38" t="n"/>
      <c r="AF203" s="36">
        <f>IF($A203="","",$A203&amp;"|"&amp;$C203)</f>
        <v/>
      </c>
      <c r="AG203" s="37">
        <f>IF($A203="","",IFERROR(COUNTIF(L203:M203,"כן")/(COUNTIF(L203:M203,"כן")+COUNTIF(L203:M203,"לא")),""))</f>
        <v/>
      </c>
      <c r="AH203" s="37">
        <f>IF($A203="","",IFERROR(COUNTIF(N203:O203,"כן")/(COUNTIF(N203:O203,"כן")+COUNTIF(N203:O203,"לא")),""))</f>
        <v/>
      </c>
      <c r="AI203" s="37">
        <f>IF($A203="","",IFERROR(COUNTIF(P203:Q203,"כן")/(COUNTIF(P203:Q203,"כן")+COUNTIF(P203:Q203,"לא")),""))</f>
        <v/>
      </c>
      <c r="AJ203" s="37">
        <f>IF($A203="","",IFERROR(COUNTIF(R203:S203,"כן")/(COUNTIF(R203:S203,"כן")+COUNTIF(R203:S203,"לא")),""))</f>
        <v/>
      </c>
      <c r="AK203" s="37">
        <f>IF($A203="","",IFERROR(COUNTIF(T203:U203,"כן")/(COUNTIF(T203:U203,"כן")+COUNTIF(T203:U203,"לא")),""))</f>
        <v/>
      </c>
      <c r="AL203" s="37">
        <f>IF($A203="","",IFERROR(COUNTIF(L203:U203,"כן")/(COUNTIF(L203:U203,"כן")+COUNTIF(L203:U203,"לא")),""))</f>
        <v/>
      </c>
      <c r="AM203" s="45">
        <f>IF($A203="","",IFERROR(AVERAGE(V203:W203),""))</f>
        <v/>
      </c>
      <c r="AN203" s="45">
        <f>IF($A203="","",IFERROR(AVERAGE(X203:Y203),""))</f>
        <v/>
      </c>
      <c r="AO203" s="45">
        <f>IF($A203="","",IFERROR(AVERAGE(Z203:AA203),""))</f>
        <v/>
      </c>
      <c r="AP203" s="45">
        <f>IF($A203="","",IFERROR(AVERAGE(AB203:AC203),""))</f>
        <v/>
      </c>
      <c r="AQ203" s="45">
        <f>IF($A203="","",IFERROR(AVERAGE(AD203),""))</f>
        <v/>
      </c>
      <c r="AR203" s="45">
        <f>IF($A203="","",IFERROR(AVERAGE(V203:AD203),""))</f>
        <v/>
      </c>
      <c r="AS203" s="36">
        <f>IF($A203="","",IF(AND(H203="",J203=""),"לא נבדק",IF(AND(OR(H203="",H203=I203),OR(J203="",J203=K203)),"תואם","לא תואם")))</f>
        <v/>
      </c>
      <c r="AT203" s="36">
        <f>IF($A203="","",IF(AND(AS203&lt;&gt;"לא תואם",G203&lt;&gt;"לא ברור"),"אמין","לפרש בזהירות"))</f>
        <v/>
      </c>
    </row>
    <row r="204">
      <c r="A204" s="38" t="n"/>
      <c r="B204" s="38" t="n"/>
      <c r="C204" s="38" t="n"/>
      <c r="D204" s="38" t="n"/>
      <c r="E204" s="38" t="n"/>
      <c r="F204" s="38" t="n"/>
      <c r="G204" s="38" t="n"/>
      <c r="H204" s="38" t="n"/>
      <c r="I204" s="38" t="n"/>
      <c r="J204" s="38" t="n"/>
      <c r="K204" s="38" t="n"/>
      <c r="L204" s="38" t="n"/>
      <c r="M204" s="38" t="n"/>
      <c r="N204" s="38" t="n"/>
      <c r="O204" s="38" t="n"/>
      <c r="P204" s="38" t="n"/>
      <c r="Q204" s="38" t="n"/>
      <c r="R204" s="38" t="n"/>
      <c r="S204" s="38" t="n"/>
      <c r="T204" s="38" t="n"/>
      <c r="U204" s="38" t="n"/>
      <c r="V204" s="38" t="n"/>
      <c r="W204" s="38" t="n"/>
      <c r="X204" s="38" t="n"/>
      <c r="Y204" s="38" t="n"/>
      <c r="Z204" s="38" t="n"/>
      <c r="AA204" s="38" t="n"/>
      <c r="AB204" s="38" t="n"/>
      <c r="AC204" s="38" t="n"/>
      <c r="AD204" s="38" t="n"/>
      <c r="AE204" s="38" t="n"/>
      <c r="AF204" s="36">
        <f>IF($A204="","",$A204&amp;"|"&amp;$C204)</f>
        <v/>
      </c>
      <c r="AG204" s="37">
        <f>IF($A204="","",IFERROR(COUNTIF(L204:M204,"כן")/(COUNTIF(L204:M204,"כן")+COUNTIF(L204:M204,"לא")),""))</f>
        <v/>
      </c>
      <c r="AH204" s="37">
        <f>IF($A204="","",IFERROR(COUNTIF(N204:O204,"כן")/(COUNTIF(N204:O204,"כן")+COUNTIF(N204:O204,"לא")),""))</f>
        <v/>
      </c>
      <c r="AI204" s="37">
        <f>IF($A204="","",IFERROR(COUNTIF(P204:Q204,"כן")/(COUNTIF(P204:Q204,"כן")+COUNTIF(P204:Q204,"לא")),""))</f>
        <v/>
      </c>
      <c r="AJ204" s="37">
        <f>IF($A204="","",IFERROR(COUNTIF(R204:S204,"כן")/(COUNTIF(R204:S204,"כן")+COUNTIF(R204:S204,"לא")),""))</f>
        <v/>
      </c>
      <c r="AK204" s="37">
        <f>IF($A204="","",IFERROR(COUNTIF(T204:U204,"כן")/(COUNTIF(T204:U204,"כן")+COUNTIF(T204:U204,"לא")),""))</f>
        <v/>
      </c>
      <c r="AL204" s="37">
        <f>IF($A204="","",IFERROR(COUNTIF(L204:U204,"כן")/(COUNTIF(L204:U204,"כן")+COUNTIF(L204:U204,"לא")),""))</f>
        <v/>
      </c>
      <c r="AM204" s="45">
        <f>IF($A204="","",IFERROR(AVERAGE(V204:W204),""))</f>
        <v/>
      </c>
      <c r="AN204" s="45">
        <f>IF($A204="","",IFERROR(AVERAGE(X204:Y204),""))</f>
        <v/>
      </c>
      <c r="AO204" s="45">
        <f>IF($A204="","",IFERROR(AVERAGE(Z204:AA204),""))</f>
        <v/>
      </c>
      <c r="AP204" s="45">
        <f>IF($A204="","",IFERROR(AVERAGE(AB204:AC204),""))</f>
        <v/>
      </c>
      <c r="AQ204" s="45">
        <f>IF($A204="","",IFERROR(AVERAGE(AD204),""))</f>
        <v/>
      </c>
      <c r="AR204" s="45">
        <f>IF($A204="","",IFERROR(AVERAGE(V204:AD204),""))</f>
        <v/>
      </c>
      <c r="AS204" s="36">
        <f>IF($A204="","",IF(AND(H204="",J204=""),"לא נבדק",IF(AND(OR(H204="",H204=I204),OR(J204="",J204=K204)),"תואם","לא תואם")))</f>
        <v/>
      </c>
      <c r="AT204" s="36">
        <f>IF($A204="","",IF(AND(AS204&lt;&gt;"לא תואם",G204&lt;&gt;"לא ברור"),"אמין","לפרש בזהירות"))</f>
        <v/>
      </c>
    </row>
  </sheetData>
  <mergeCells count="5">
    <mergeCell ref="A3:G3"/>
    <mergeCell ref="H3:K3"/>
    <mergeCell ref="L3:U3"/>
    <mergeCell ref="V3:AD3"/>
    <mergeCell ref="AF3:AT3"/>
  </mergeCells>
  <conditionalFormatting sqref="AM5:AR204">
    <cfRule type="colorScale" priority="1">
      <colorScale>
        <cfvo type="num" val="1"/>
        <cfvo type="num" val="2"/>
        <cfvo type="num" val="3"/>
        <color rgb="00F9B5B8"/>
        <color rgb="00FFE07A"/>
        <color rgb="008FD19E"/>
      </colorScale>
    </cfRule>
  </conditionalFormatting>
  <conditionalFormatting sqref="AG5:AL204">
    <cfRule type="colorScale" priority="2">
      <colorScale>
        <cfvo type="num" val="0"/>
        <cfvo type="num" val="0.5"/>
        <cfvo type="num" val="1"/>
        <color rgb="00F9B5B8"/>
        <color rgb="00FFE07A"/>
        <color rgb="008FD19E"/>
      </colorScale>
    </cfRule>
  </conditionalFormatting>
  <conditionalFormatting sqref="AT5:AT204">
    <cfRule type="cellIs" priority="3" operator="equal" dxfId="0">
      <formula>"לפרש בזהירות"</formula>
    </cfRule>
  </conditionalFormatting>
  <conditionalFormatting sqref="AS5:AS204">
    <cfRule type="cellIs" priority="4" operator="equal" dxfId="1">
      <formula>"לא תואם"</formula>
    </cfRule>
  </conditionalFormatting>
  <dataValidations count="6">
    <dataValidation sqref="C5:C204" showDropDown="0" showInputMessage="0" showErrorMessage="0" allowBlank="1" errorTitle="ערך לא תקין" error="בחרו מהרשימה" type="list">
      <formula1>"תחילת שנה,אמצע שנה,סוף שנה"</formula1>
    </dataValidation>
    <dataValidation sqref="F5:F204" showDropDown="0" showInputMessage="0" showErrorMessage="0" allowBlank="1" errorTitle="ערך לא תקין" error="בחרו מהרשימה" type="list">
      <formula1>"מגע או לחיצה,מבט,מתג,תיווך מבוגר/ת"</formula1>
    </dataValidation>
    <dataValidation sqref="G5:G204" showDropDown="0" showInputMessage="0" showErrorMessage="0" allowBlank="1" errorTitle="ערך לא תקין" error="בחרו מהרשימה" type="list">
      <formula1>"הבין/ה,חלקית,לא ברור"</formula1>
    </dataValidation>
    <dataValidation sqref="H5:H204 J5:J204" showDropDown="0" showInputMessage="1" showErrorMessage="0" allowBlank="1" errorTitle="ערך לא תקין" error="בחרו מהרשימה" prompt="ריק = לא ידוע" type="list">
      <formula1>"כן,לא"</formula1>
    </dataValidation>
    <dataValidation sqref="I5:I204 K5:K204 L5:U204" showDropDown="0" showInputMessage="0" showErrorMessage="0" allowBlank="1" errorTitle="ערך לא תקין" error="בחרו מהרשימה" type="list">
      <formula1>"כן,לא,לא ענה"</formula1>
    </dataValidation>
    <dataValidation sqref="V5:AD204" showDropDown="0" showInputMessage="1" showErrorMessage="0" allowBlank="1" errorTitle="ערך לא תקין" error="בחרו מהרשימה" prompt="3 = הרבה · 2 = לפעמים · 1 = כמעט לא" type="list">
      <formula1>"3,2,1"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7775A"/>
    <outlinePr summaryBelow="1" summaryRight="1"/>
    <pageSetUpPr/>
  </sheetPr>
  <dimension ref="A1:L204"/>
  <sheetViews>
    <sheetView rightToLeft="1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2" customWidth="1" min="12" max="12"/>
  </cols>
  <sheetData>
    <row r="1">
      <c r="A1" s="10" t="inlineStr">
        <is>
          <t>רווחה והשתתפות – מעקב לאורך השנה</t>
        </is>
      </c>
    </row>
    <row r="2">
      <c r="A2" s="11" t="inlineStr">
        <is>
          <t>כותבים שם תלמיד/ה בעמודה הצהובה, בדיוק כמו בגיליון הקליטה. השאר מתמלא לבד. השינוי מחושב על מדד התצפית.</t>
        </is>
      </c>
    </row>
    <row r="3">
      <c r="B3" s="39" t="inlineStr">
        <is>
          <t>תחילת שנה</t>
        </is>
      </c>
      <c r="C3" s="40" t="n"/>
      <c r="D3" s="40" t="n"/>
      <c r="E3" s="16" t="inlineStr">
        <is>
          <t>אמצע שנה</t>
        </is>
      </c>
      <c r="F3" s="17" t="n"/>
      <c r="G3" s="17" t="n"/>
      <c r="H3" s="41" t="inlineStr">
        <is>
          <t>סוף שנה</t>
        </is>
      </c>
      <c r="I3" s="42" t="n"/>
      <c r="J3" s="42" t="n"/>
      <c r="K3" s="22" t="inlineStr">
        <is>
          <t>שינוי לאורך השנה</t>
        </is>
      </c>
      <c r="L3" s="23" t="n"/>
    </row>
    <row r="4" ht="58" customHeight="1">
      <c r="A4" s="26" t="inlineStr">
        <is>
          <t>שם התלמיד/ה</t>
        </is>
      </c>
      <c r="B4" s="28" t="inlineStr">
        <is>
          <t>מדד תצפית (1–3)</t>
        </is>
      </c>
      <c r="C4" s="28" t="inlineStr">
        <is>
          <t>תלמיד/ה – ״כן״</t>
        </is>
      </c>
      <c r="D4" s="28" t="inlineStr">
        <is>
          <t>אמינות</t>
        </is>
      </c>
      <c r="E4" s="29" t="inlineStr">
        <is>
          <t>מדד תצפית (1–3)</t>
        </is>
      </c>
      <c r="F4" s="29" t="inlineStr">
        <is>
          <t>תלמיד/ה – ״כן״</t>
        </is>
      </c>
      <c r="G4" s="29" t="inlineStr">
        <is>
          <t>אמינות</t>
        </is>
      </c>
      <c r="H4" s="31" t="inlineStr">
        <is>
          <t>מדד תצפית (1–3)</t>
        </is>
      </c>
      <c r="I4" s="31" t="inlineStr">
        <is>
          <t>תלמיד/ה – ״כן״</t>
        </is>
      </c>
      <c r="J4" s="31" t="inlineStr">
        <is>
          <t>אמינות</t>
        </is>
      </c>
      <c r="K4" s="33" t="inlineStr">
        <is>
          <t>שינוי: סוף מול תחילת שנה</t>
        </is>
      </c>
      <c r="L4" s="33" t="inlineStr">
        <is>
          <t>מגמה</t>
        </is>
      </c>
    </row>
    <row r="5">
      <c r="A5" s="35" t="inlineStr">
        <is>
          <t>תלמיד לדוגמה</t>
        </is>
      </c>
      <c r="B5" s="45">
        <f>IF($A5="","",IFERROR(AVERAGEIFS('רווחה - קליטה'!$AR$5:$AR$204,'רווחה - קליטה'!$A$5:$A$204,$A5,'רווחה - קליטה'!$C$5:$C$204,"תחילת שנה"),""))</f>
        <v/>
      </c>
      <c r="C5" s="37">
        <f>IF($A5="","",IFERROR(AVERAGEIFS('רווחה - קליטה'!$AL$5:$AL$204,'רווחה - קליטה'!$A$5:$A$204,$A5,'רווחה - קליטה'!$C$5:$C$204,"תחילת שנה"),""))</f>
        <v/>
      </c>
      <c r="D5" s="36">
        <f>IF($A5="","",IFERROR(INDEX('רווחה - קליטה'!$AT$5:$AT$204,MATCH($A5&amp;"|תחילת שנה",'רווחה - קליטה'!$AF$5:$AF$204,0)),""))</f>
        <v/>
      </c>
      <c r="E5" s="45">
        <f>IF($A5="","",IFERROR(AVERAGEIFS('רווחה - קליטה'!$AR$5:$AR$204,'רווחה - קליטה'!$A$5:$A$204,$A5,'רווחה - קליטה'!$C$5:$C$204,"אמצע שנה"),""))</f>
        <v/>
      </c>
      <c r="F5" s="37">
        <f>IF($A5="","",IFERROR(AVERAGEIFS('רווחה - קליטה'!$AL$5:$AL$204,'רווחה - קליטה'!$A$5:$A$204,$A5,'רווחה - קליטה'!$C$5:$C$204,"אמצע שנה"),""))</f>
        <v/>
      </c>
      <c r="G5" s="36">
        <f>IF($A5="","",IFERROR(INDEX('רווחה - קליטה'!$AT$5:$AT$204,MATCH($A5&amp;"|אמצע שנה",'רווחה - קליטה'!$AF$5:$AF$204,0)),""))</f>
        <v/>
      </c>
      <c r="H5" s="45">
        <f>IF($A5="","",IFERROR(AVERAGEIFS('רווחה - קליטה'!$AR$5:$AR$204,'רווחה - קליטה'!$A$5:$A$204,$A5,'רווחה - קליטה'!$C$5:$C$204,"סוף שנה"),""))</f>
        <v/>
      </c>
      <c r="I5" s="37">
        <f>IF($A5="","",IFERROR(AVERAGEIFS('רווחה - קליטה'!$AL$5:$AL$204,'רווחה - קליטה'!$A$5:$A$204,$A5,'רווחה - קליטה'!$C$5:$C$204,"סוף שנה"),""))</f>
        <v/>
      </c>
      <c r="J5" s="36">
        <f>IF($A5="","",IFERROR(INDEX('רווחה - קליטה'!$AT$5:$AT$204,MATCH($A5&amp;"|סוף שנה",'רווחה - קליטה'!$AF$5:$AF$204,0)),""))</f>
        <v/>
      </c>
      <c r="K5" s="46">
        <f>IF(AND(ISNUMBER(B5),ISNUMBER(H5)),H5-B5,"")</f>
        <v/>
      </c>
      <c r="L5" s="36">
        <f>IF(K5="","",IF(K5&gt;=0.5,"עלייה",IF(K5&lt;=-0.5,"ירידה","יציב")))</f>
        <v/>
      </c>
    </row>
    <row r="6">
      <c r="A6" s="38" t="n"/>
      <c r="B6" s="45">
        <f>IF($A6="","",IFERROR(AVERAGEIFS('רווחה - קליטה'!$AR$5:$AR$204,'רווחה - קליטה'!$A$5:$A$204,$A6,'רווחה - קליטה'!$C$5:$C$204,"תחילת שנה"),""))</f>
        <v/>
      </c>
      <c r="C6" s="37">
        <f>IF($A6="","",IFERROR(AVERAGEIFS('רווחה - קליטה'!$AL$5:$AL$204,'רווחה - קליטה'!$A$5:$A$204,$A6,'רווחה - קליטה'!$C$5:$C$204,"תחילת שנה"),""))</f>
        <v/>
      </c>
      <c r="D6" s="36">
        <f>IF($A6="","",IFERROR(INDEX('רווחה - קליטה'!$AT$5:$AT$204,MATCH($A6&amp;"|תחילת שנה",'רווחה - קליטה'!$AF$5:$AF$204,0)),""))</f>
        <v/>
      </c>
      <c r="E6" s="45">
        <f>IF($A6="","",IFERROR(AVERAGEIFS('רווחה - קליטה'!$AR$5:$AR$204,'רווחה - קליטה'!$A$5:$A$204,$A6,'רווחה - קליטה'!$C$5:$C$204,"אמצע שנה"),""))</f>
        <v/>
      </c>
      <c r="F6" s="37">
        <f>IF($A6="","",IFERROR(AVERAGEIFS('רווחה - קליטה'!$AL$5:$AL$204,'רווחה - קליטה'!$A$5:$A$204,$A6,'רווחה - קליטה'!$C$5:$C$204,"אמצע שנה"),""))</f>
        <v/>
      </c>
      <c r="G6" s="36">
        <f>IF($A6="","",IFERROR(INDEX('רווחה - קליטה'!$AT$5:$AT$204,MATCH($A6&amp;"|אמצע שנה",'רווחה - קליטה'!$AF$5:$AF$204,0)),""))</f>
        <v/>
      </c>
      <c r="H6" s="45">
        <f>IF($A6="","",IFERROR(AVERAGEIFS('רווחה - קליטה'!$AR$5:$AR$204,'רווחה - קליטה'!$A$5:$A$204,$A6,'רווחה - קליטה'!$C$5:$C$204,"סוף שנה"),""))</f>
        <v/>
      </c>
      <c r="I6" s="37">
        <f>IF($A6="","",IFERROR(AVERAGEIFS('רווחה - קליטה'!$AL$5:$AL$204,'רווחה - קליטה'!$A$5:$A$204,$A6,'רווחה - קליטה'!$C$5:$C$204,"סוף שנה"),""))</f>
        <v/>
      </c>
      <c r="J6" s="36">
        <f>IF($A6="","",IFERROR(INDEX('רווחה - קליטה'!$AT$5:$AT$204,MATCH($A6&amp;"|סוף שנה",'רווחה - קליטה'!$AF$5:$AF$204,0)),""))</f>
        <v/>
      </c>
      <c r="K6" s="46">
        <f>IF(AND(ISNUMBER(B6),ISNUMBER(H6)),H6-B6,"")</f>
        <v/>
      </c>
      <c r="L6" s="36">
        <f>IF(K6="","",IF(K6&gt;=0.5,"עלייה",IF(K6&lt;=-0.5,"ירידה","יציב")))</f>
        <v/>
      </c>
    </row>
    <row r="7">
      <c r="A7" s="38" t="n"/>
      <c r="B7" s="45">
        <f>IF($A7="","",IFERROR(AVERAGEIFS('רווחה - קליטה'!$AR$5:$AR$204,'רווחה - קליטה'!$A$5:$A$204,$A7,'רווחה - קליטה'!$C$5:$C$204,"תחילת שנה"),""))</f>
        <v/>
      </c>
      <c r="C7" s="37">
        <f>IF($A7="","",IFERROR(AVERAGEIFS('רווחה - קליטה'!$AL$5:$AL$204,'רווחה - קליטה'!$A$5:$A$204,$A7,'רווחה - קליטה'!$C$5:$C$204,"תחילת שנה"),""))</f>
        <v/>
      </c>
      <c r="D7" s="36">
        <f>IF($A7="","",IFERROR(INDEX('רווחה - קליטה'!$AT$5:$AT$204,MATCH($A7&amp;"|תחילת שנה",'רווחה - קליטה'!$AF$5:$AF$204,0)),""))</f>
        <v/>
      </c>
      <c r="E7" s="45">
        <f>IF($A7="","",IFERROR(AVERAGEIFS('רווחה - קליטה'!$AR$5:$AR$204,'רווחה - קליטה'!$A$5:$A$204,$A7,'רווחה - קליטה'!$C$5:$C$204,"אמצע שנה"),""))</f>
        <v/>
      </c>
      <c r="F7" s="37">
        <f>IF($A7="","",IFERROR(AVERAGEIFS('רווחה - קליטה'!$AL$5:$AL$204,'רווחה - קליטה'!$A$5:$A$204,$A7,'רווחה - קליטה'!$C$5:$C$204,"אמצע שנה"),""))</f>
        <v/>
      </c>
      <c r="G7" s="36">
        <f>IF($A7="","",IFERROR(INDEX('רווחה - קליטה'!$AT$5:$AT$204,MATCH($A7&amp;"|אמצע שנה",'רווחה - קליטה'!$AF$5:$AF$204,0)),""))</f>
        <v/>
      </c>
      <c r="H7" s="45">
        <f>IF($A7="","",IFERROR(AVERAGEIFS('רווחה - קליטה'!$AR$5:$AR$204,'רווחה - קליטה'!$A$5:$A$204,$A7,'רווחה - קליטה'!$C$5:$C$204,"סוף שנה"),""))</f>
        <v/>
      </c>
      <c r="I7" s="37">
        <f>IF($A7="","",IFERROR(AVERAGEIFS('רווחה - קליטה'!$AL$5:$AL$204,'רווחה - קליטה'!$A$5:$A$204,$A7,'רווחה - קליטה'!$C$5:$C$204,"סוף שנה"),""))</f>
        <v/>
      </c>
      <c r="J7" s="36">
        <f>IF($A7="","",IFERROR(INDEX('רווחה - קליטה'!$AT$5:$AT$204,MATCH($A7&amp;"|סוף שנה",'רווחה - קליטה'!$AF$5:$AF$204,0)),""))</f>
        <v/>
      </c>
      <c r="K7" s="46">
        <f>IF(AND(ISNUMBER(B7),ISNUMBER(H7)),H7-B7,"")</f>
        <v/>
      </c>
      <c r="L7" s="36">
        <f>IF(K7="","",IF(K7&gt;=0.5,"עלייה",IF(K7&lt;=-0.5,"ירידה","יציב")))</f>
        <v/>
      </c>
    </row>
    <row r="8">
      <c r="A8" s="38" t="n"/>
      <c r="B8" s="45">
        <f>IF($A8="","",IFERROR(AVERAGEIFS('רווחה - קליטה'!$AR$5:$AR$204,'רווחה - קליטה'!$A$5:$A$204,$A8,'רווחה - קליטה'!$C$5:$C$204,"תחילת שנה"),""))</f>
        <v/>
      </c>
      <c r="C8" s="37">
        <f>IF($A8="","",IFERROR(AVERAGEIFS('רווחה - קליטה'!$AL$5:$AL$204,'רווחה - קליטה'!$A$5:$A$204,$A8,'רווחה - קליטה'!$C$5:$C$204,"תחילת שנה"),""))</f>
        <v/>
      </c>
      <c r="D8" s="36">
        <f>IF($A8="","",IFERROR(INDEX('רווחה - קליטה'!$AT$5:$AT$204,MATCH($A8&amp;"|תחילת שנה",'רווחה - קליטה'!$AF$5:$AF$204,0)),""))</f>
        <v/>
      </c>
      <c r="E8" s="45">
        <f>IF($A8="","",IFERROR(AVERAGEIFS('רווחה - קליטה'!$AR$5:$AR$204,'רווחה - קליטה'!$A$5:$A$204,$A8,'רווחה - קליטה'!$C$5:$C$204,"אמצע שנה"),""))</f>
        <v/>
      </c>
      <c r="F8" s="37">
        <f>IF($A8="","",IFERROR(AVERAGEIFS('רווחה - קליטה'!$AL$5:$AL$204,'רווחה - קליטה'!$A$5:$A$204,$A8,'רווחה - קליטה'!$C$5:$C$204,"אמצע שנה"),""))</f>
        <v/>
      </c>
      <c r="G8" s="36">
        <f>IF($A8="","",IFERROR(INDEX('רווחה - קליטה'!$AT$5:$AT$204,MATCH($A8&amp;"|אמצע שנה",'רווחה - קליטה'!$AF$5:$AF$204,0)),""))</f>
        <v/>
      </c>
      <c r="H8" s="45">
        <f>IF($A8="","",IFERROR(AVERAGEIFS('רווחה - קליטה'!$AR$5:$AR$204,'רווחה - קליטה'!$A$5:$A$204,$A8,'רווחה - קליטה'!$C$5:$C$204,"סוף שנה"),""))</f>
        <v/>
      </c>
      <c r="I8" s="37">
        <f>IF($A8="","",IFERROR(AVERAGEIFS('רווחה - קליטה'!$AL$5:$AL$204,'רווחה - קליטה'!$A$5:$A$204,$A8,'רווחה - קליטה'!$C$5:$C$204,"סוף שנה"),""))</f>
        <v/>
      </c>
      <c r="J8" s="36">
        <f>IF($A8="","",IFERROR(INDEX('רווחה - קליטה'!$AT$5:$AT$204,MATCH($A8&amp;"|סוף שנה",'רווחה - קליטה'!$AF$5:$AF$204,0)),""))</f>
        <v/>
      </c>
      <c r="K8" s="46">
        <f>IF(AND(ISNUMBER(B8),ISNUMBER(H8)),H8-B8,"")</f>
        <v/>
      </c>
      <c r="L8" s="36">
        <f>IF(K8="","",IF(K8&gt;=0.5,"עלייה",IF(K8&lt;=-0.5,"ירידה","יציב")))</f>
        <v/>
      </c>
    </row>
    <row r="9">
      <c r="A9" s="38" t="n"/>
      <c r="B9" s="45">
        <f>IF($A9="","",IFERROR(AVERAGEIFS('רווחה - קליטה'!$AR$5:$AR$204,'רווחה - קליטה'!$A$5:$A$204,$A9,'רווחה - קליטה'!$C$5:$C$204,"תחילת שנה"),""))</f>
        <v/>
      </c>
      <c r="C9" s="37">
        <f>IF($A9="","",IFERROR(AVERAGEIFS('רווחה - קליטה'!$AL$5:$AL$204,'רווחה - קליטה'!$A$5:$A$204,$A9,'רווחה - קליטה'!$C$5:$C$204,"תחילת שנה"),""))</f>
        <v/>
      </c>
      <c r="D9" s="36">
        <f>IF($A9="","",IFERROR(INDEX('רווחה - קליטה'!$AT$5:$AT$204,MATCH($A9&amp;"|תחילת שנה",'רווחה - קליטה'!$AF$5:$AF$204,0)),""))</f>
        <v/>
      </c>
      <c r="E9" s="45">
        <f>IF($A9="","",IFERROR(AVERAGEIFS('רווחה - קליטה'!$AR$5:$AR$204,'רווחה - קליטה'!$A$5:$A$204,$A9,'רווחה - קליטה'!$C$5:$C$204,"אמצע שנה"),""))</f>
        <v/>
      </c>
      <c r="F9" s="37">
        <f>IF($A9="","",IFERROR(AVERAGEIFS('רווחה - קליטה'!$AL$5:$AL$204,'רווחה - קליטה'!$A$5:$A$204,$A9,'רווחה - קליטה'!$C$5:$C$204,"אמצע שנה"),""))</f>
        <v/>
      </c>
      <c r="G9" s="36">
        <f>IF($A9="","",IFERROR(INDEX('רווחה - קליטה'!$AT$5:$AT$204,MATCH($A9&amp;"|אמצע שנה",'רווחה - קליטה'!$AF$5:$AF$204,0)),""))</f>
        <v/>
      </c>
      <c r="H9" s="45">
        <f>IF($A9="","",IFERROR(AVERAGEIFS('רווחה - קליטה'!$AR$5:$AR$204,'רווחה - קליטה'!$A$5:$A$204,$A9,'רווחה - קליטה'!$C$5:$C$204,"סוף שנה"),""))</f>
        <v/>
      </c>
      <c r="I9" s="37">
        <f>IF($A9="","",IFERROR(AVERAGEIFS('רווחה - קליטה'!$AL$5:$AL$204,'רווחה - קליטה'!$A$5:$A$204,$A9,'רווחה - קליטה'!$C$5:$C$204,"סוף שנה"),""))</f>
        <v/>
      </c>
      <c r="J9" s="36">
        <f>IF($A9="","",IFERROR(INDEX('רווחה - קליטה'!$AT$5:$AT$204,MATCH($A9&amp;"|סוף שנה",'רווחה - קליטה'!$AF$5:$AF$204,0)),""))</f>
        <v/>
      </c>
      <c r="K9" s="46">
        <f>IF(AND(ISNUMBER(B9),ISNUMBER(H9)),H9-B9,"")</f>
        <v/>
      </c>
      <c r="L9" s="36">
        <f>IF(K9="","",IF(K9&gt;=0.5,"עלייה",IF(K9&lt;=-0.5,"ירידה","יציב")))</f>
        <v/>
      </c>
    </row>
    <row r="10">
      <c r="A10" s="38" t="n"/>
      <c r="B10" s="45">
        <f>IF($A10="","",IFERROR(AVERAGEIFS('רווחה - קליטה'!$AR$5:$AR$204,'רווחה - קליטה'!$A$5:$A$204,$A10,'רווחה - קליטה'!$C$5:$C$204,"תחילת שנה"),""))</f>
        <v/>
      </c>
      <c r="C10" s="37">
        <f>IF($A10="","",IFERROR(AVERAGEIFS('רווחה - קליטה'!$AL$5:$AL$204,'רווחה - קליטה'!$A$5:$A$204,$A10,'רווחה - קליטה'!$C$5:$C$204,"תחילת שנה"),""))</f>
        <v/>
      </c>
      <c r="D10" s="36">
        <f>IF($A10="","",IFERROR(INDEX('רווחה - קליטה'!$AT$5:$AT$204,MATCH($A10&amp;"|תחילת שנה",'רווחה - קליטה'!$AF$5:$AF$204,0)),""))</f>
        <v/>
      </c>
      <c r="E10" s="45">
        <f>IF($A10="","",IFERROR(AVERAGEIFS('רווחה - קליטה'!$AR$5:$AR$204,'רווחה - קליטה'!$A$5:$A$204,$A10,'רווחה - קליטה'!$C$5:$C$204,"אמצע שנה"),""))</f>
        <v/>
      </c>
      <c r="F10" s="37">
        <f>IF($A10="","",IFERROR(AVERAGEIFS('רווחה - קליטה'!$AL$5:$AL$204,'רווחה - קליטה'!$A$5:$A$204,$A10,'רווחה - קליטה'!$C$5:$C$204,"אמצע שנה"),""))</f>
        <v/>
      </c>
      <c r="G10" s="36">
        <f>IF($A10="","",IFERROR(INDEX('רווחה - קליטה'!$AT$5:$AT$204,MATCH($A10&amp;"|אמצע שנה",'רווחה - קליטה'!$AF$5:$AF$204,0)),""))</f>
        <v/>
      </c>
      <c r="H10" s="45">
        <f>IF($A10="","",IFERROR(AVERAGEIFS('רווחה - קליטה'!$AR$5:$AR$204,'רווחה - קליטה'!$A$5:$A$204,$A10,'רווחה - קליטה'!$C$5:$C$204,"סוף שנה"),""))</f>
        <v/>
      </c>
      <c r="I10" s="37">
        <f>IF($A10="","",IFERROR(AVERAGEIFS('רווחה - קליטה'!$AL$5:$AL$204,'רווחה - קליטה'!$A$5:$A$204,$A10,'רווחה - קליטה'!$C$5:$C$204,"סוף שנה"),""))</f>
        <v/>
      </c>
      <c r="J10" s="36">
        <f>IF($A10="","",IFERROR(INDEX('רווחה - קליטה'!$AT$5:$AT$204,MATCH($A10&amp;"|סוף שנה",'רווחה - קליטה'!$AF$5:$AF$204,0)),""))</f>
        <v/>
      </c>
      <c r="K10" s="46">
        <f>IF(AND(ISNUMBER(B10),ISNUMBER(H10)),H10-B10,"")</f>
        <v/>
      </c>
      <c r="L10" s="36">
        <f>IF(K10="","",IF(K10&gt;=0.5,"עלייה",IF(K10&lt;=-0.5,"ירידה","יציב")))</f>
        <v/>
      </c>
    </row>
    <row r="11">
      <c r="A11" s="38" t="n"/>
      <c r="B11" s="45">
        <f>IF($A11="","",IFERROR(AVERAGEIFS('רווחה - קליטה'!$AR$5:$AR$204,'רווחה - קליטה'!$A$5:$A$204,$A11,'רווחה - קליטה'!$C$5:$C$204,"תחילת שנה"),""))</f>
        <v/>
      </c>
      <c r="C11" s="37">
        <f>IF($A11="","",IFERROR(AVERAGEIFS('רווחה - קליטה'!$AL$5:$AL$204,'רווחה - קליטה'!$A$5:$A$204,$A11,'רווחה - קליטה'!$C$5:$C$204,"תחילת שנה"),""))</f>
        <v/>
      </c>
      <c r="D11" s="36">
        <f>IF($A11="","",IFERROR(INDEX('רווחה - קליטה'!$AT$5:$AT$204,MATCH($A11&amp;"|תחילת שנה",'רווחה - קליטה'!$AF$5:$AF$204,0)),""))</f>
        <v/>
      </c>
      <c r="E11" s="45">
        <f>IF($A11="","",IFERROR(AVERAGEIFS('רווחה - קליטה'!$AR$5:$AR$204,'רווחה - קליטה'!$A$5:$A$204,$A11,'רווחה - קליטה'!$C$5:$C$204,"אמצע שנה"),""))</f>
        <v/>
      </c>
      <c r="F11" s="37">
        <f>IF($A11="","",IFERROR(AVERAGEIFS('רווחה - קליטה'!$AL$5:$AL$204,'רווחה - קליטה'!$A$5:$A$204,$A11,'רווחה - קליטה'!$C$5:$C$204,"אמצע שנה"),""))</f>
        <v/>
      </c>
      <c r="G11" s="36">
        <f>IF($A11="","",IFERROR(INDEX('רווחה - קליטה'!$AT$5:$AT$204,MATCH($A11&amp;"|אמצע שנה",'רווחה - קליטה'!$AF$5:$AF$204,0)),""))</f>
        <v/>
      </c>
      <c r="H11" s="45">
        <f>IF($A11="","",IFERROR(AVERAGEIFS('רווחה - קליטה'!$AR$5:$AR$204,'רווחה - קליטה'!$A$5:$A$204,$A11,'רווחה - קליטה'!$C$5:$C$204,"סוף שנה"),""))</f>
        <v/>
      </c>
      <c r="I11" s="37">
        <f>IF($A11="","",IFERROR(AVERAGEIFS('רווחה - קליטה'!$AL$5:$AL$204,'רווחה - קליטה'!$A$5:$A$204,$A11,'רווחה - קליטה'!$C$5:$C$204,"סוף שנה"),""))</f>
        <v/>
      </c>
      <c r="J11" s="36">
        <f>IF($A11="","",IFERROR(INDEX('רווחה - קליטה'!$AT$5:$AT$204,MATCH($A11&amp;"|סוף שנה",'רווחה - קליטה'!$AF$5:$AF$204,0)),""))</f>
        <v/>
      </c>
      <c r="K11" s="46">
        <f>IF(AND(ISNUMBER(B11),ISNUMBER(H11)),H11-B11,"")</f>
        <v/>
      </c>
      <c r="L11" s="36">
        <f>IF(K11="","",IF(K11&gt;=0.5,"עלייה",IF(K11&lt;=-0.5,"ירידה","יציב")))</f>
        <v/>
      </c>
    </row>
    <row r="12">
      <c r="A12" s="38" t="n"/>
      <c r="B12" s="45">
        <f>IF($A12="","",IFERROR(AVERAGEIFS('רווחה - קליטה'!$AR$5:$AR$204,'רווחה - קליטה'!$A$5:$A$204,$A12,'רווחה - קליטה'!$C$5:$C$204,"תחילת שנה"),""))</f>
        <v/>
      </c>
      <c r="C12" s="37">
        <f>IF($A12="","",IFERROR(AVERAGEIFS('רווחה - קליטה'!$AL$5:$AL$204,'רווחה - קליטה'!$A$5:$A$204,$A12,'רווחה - קליטה'!$C$5:$C$204,"תחילת שנה"),""))</f>
        <v/>
      </c>
      <c r="D12" s="36">
        <f>IF($A12="","",IFERROR(INDEX('רווחה - קליטה'!$AT$5:$AT$204,MATCH($A12&amp;"|תחילת שנה",'רווחה - קליטה'!$AF$5:$AF$204,0)),""))</f>
        <v/>
      </c>
      <c r="E12" s="45">
        <f>IF($A12="","",IFERROR(AVERAGEIFS('רווחה - קליטה'!$AR$5:$AR$204,'רווחה - קליטה'!$A$5:$A$204,$A12,'רווחה - קליטה'!$C$5:$C$204,"אמצע שנה"),""))</f>
        <v/>
      </c>
      <c r="F12" s="37">
        <f>IF($A12="","",IFERROR(AVERAGEIFS('רווחה - קליטה'!$AL$5:$AL$204,'רווחה - קליטה'!$A$5:$A$204,$A12,'רווחה - קליטה'!$C$5:$C$204,"אמצע שנה"),""))</f>
        <v/>
      </c>
      <c r="G12" s="36">
        <f>IF($A12="","",IFERROR(INDEX('רווחה - קליטה'!$AT$5:$AT$204,MATCH($A12&amp;"|אמצע שנה",'רווחה - קליטה'!$AF$5:$AF$204,0)),""))</f>
        <v/>
      </c>
      <c r="H12" s="45">
        <f>IF($A12="","",IFERROR(AVERAGEIFS('רווחה - קליטה'!$AR$5:$AR$204,'רווחה - קליטה'!$A$5:$A$204,$A12,'רווחה - קליטה'!$C$5:$C$204,"סוף שנה"),""))</f>
        <v/>
      </c>
      <c r="I12" s="37">
        <f>IF($A12="","",IFERROR(AVERAGEIFS('רווחה - קליטה'!$AL$5:$AL$204,'רווחה - קליטה'!$A$5:$A$204,$A12,'רווחה - קליטה'!$C$5:$C$204,"סוף שנה"),""))</f>
        <v/>
      </c>
      <c r="J12" s="36">
        <f>IF($A12="","",IFERROR(INDEX('רווחה - קליטה'!$AT$5:$AT$204,MATCH($A12&amp;"|סוף שנה",'רווחה - קליטה'!$AF$5:$AF$204,0)),""))</f>
        <v/>
      </c>
      <c r="K12" s="46">
        <f>IF(AND(ISNUMBER(B12),ISNUMBER(H12)),H12-B12,"")</f>
        <v/>
      </c>
      <c r="L12" s="36">
        <f>IF(K12="","",IF(K12&gt;=0.5,"עלייה",IF(K12&lt;=-0.5,"ירידה","יציב")))</f>
        <v/>
      </c>
    </row>
    <row r="13">
      <c r="A13" s="38" t="n"/>
      <c r="B13" s="45">
        <f>IF($A13="","",IFERROR(AVERAGEIFS('רווחה - קליטה'!$AR$5:$AR$204,'רווחה - קליטה'!$A$5:$A$204,$A13,'רווחה - קליטה'!$C$5:$C$204,"תחילת שנה"),""))</f>
        <v/>
      </c>
      <c r="C13" s="37">
        <f>IF($A13="","",IFERROR(AVERAGEIFS('רווחה - קליטה'!$AL$5:$AL$204,'רווחה - קליטה'!$A$5:$A$204,$A13,'רווחה - קליטה'!$C$5:$C$204,"תחילת שנה"),""))</f>
        <v/>
      </c>
      <c r="D13" s="36">
        <f>IF($A13="","",IFERROR(INDEX('רווחה - קליטה'!$AT$5:$AT$204,MATCH($A13&amp;"|תחילת שנה",'רווחה - קליטה'!$AF$5:$AF$204,0)),""))</f>
        <v/>
      </c>
      <c r="E13" s="45">
        <f>IF($A13="","",IFERROR(AVERAGEIFS('רווחה - קליטה'!$AR$5:$AR$204,'רווחה - קליטה'!$A$5:$A$204,$A13,'רווחה - קליטה'!$C$5:$C$204,"אמצע שנה"),""))</f>
        <v/>
      </c>
      <c r="F13" s="37">
        <f>IF($A13="","",IFERROR(AVERAGEIFS('רווחה - קליטה'!$AL$5:$AL$204,'רווחה - קליטה'!$A$5:$A$204,$A13,'רווחה - קליטה'!$C$5:$C$204,"אמצע שנה"),""))</f>
        <v/>
      </c>
      <c r="G13" s="36">
        <f>IF($A13="","",IFERROR(INDEX('רווחה - קליטה'!$AT$5:$AT$204,MATCH($A13&amp;"|אמצע שנה",'רווחה - קליטה'!$AF$5:$AF$204,0)),""))</f>
        <v/>
      </c>
      <c r="H13" s="45">
        <f>IF($A13="","",IFERROR(AVERAGEIFS('רווחה - קליטה'!$AR$5:$AR$204,'רווחה - קליטה'!$A$5:$A$204,$A13,'רווחה - קליטה'!$C$5:$C$204,"סוף שנה"),""))</f>
        <v/>
      </c>
      <c r="I13" s="37">
        <f>IF($A13="","",IFERROR(AVERAGEIFS('רווחה - קליטה'!$AL$5:$AL$204,'רווחה - קליטה'!$A$5:$A$204,$A13,'רווחה - קליטה'!$C$5:$C$204,"סוף שנה"),""))</f>
        <v/>
      </c>
      <c r="J13" s="36">
        <f>IF($A13="","",IFERROR(INDEX('רווחה - קליטה'!$AT$5:$AT$204,MATCH($A13&amp;"|סוף שנה",'רווחה - קליטה'!$AF$5:$AF$204,0)),""))</f>
        <v/>
      </c>
      <c r="K13" s="46">
        <f>IF(AND(ISNUMBER(B13),ISNUMBER(H13)),H13-B13,"")</f>
        <v/>
      </c>
      <c r="L13" s="36">
        <f>IF(K13="","",IF(K13&gt;=0.5,"עלייה",IF(K13&lt;=-0.5,"ירידה","יציב")))</f>
        <v/>
      </c>
    </row>
    <row r="14">
      <c r="A14" s="38" t="n"/>
      <c r="B14" s="45">
        <f>IF($A14="","",IFERROR(AVERAGEIFS('רווחה - קליטה'!$AR$5:$AR$204,'רווחה - קליטה'!$A$5:$A$204,$A14,'רווחה - קליטה'!$C$5:$C$204,"תחילת שנה"),""))</f>
        <v/>
      </c>
      <c r="C14" s="37">
        <f>IF($A14="","",IFERROR(AVERAGEIFS('רווחה - קליטה'!$AL$5:$AL$204,'רווחה - קליטה'!$A$5:$A$204,$A14,'רווחה - קליטה'!$C$5:$C$204,"תחילת שנה"),""))</f>
        <v/>
      </c>
      <c r="D14" s="36">
        <f>IF($A14="","",IFERROR(INDEX('רווחה - קליטה'!$AT$5:$AT$204,MATCH($A14&amp;"|תחילת שנה",'רווחה - קליטה'!$AF$5:$AF$204,0)),""))</f>
        <v/>
      </c>
      <c r="E14" s="45">
        <f>IF($A14="","",IFERROR(AVERAGEIFS('רווחה - קליטה'!$AR$5:$AR$204,'רווחה - קליטה'!$A$5:$A$204,$A14,'רווחה - קליטה'!$C$5:$C$204,"אמצע שנה"),""))</f>
        <v/>
      </c>
      <c r="F14" s="37">
        <f>IF($A14="","",IFERROR(AVERAGEIFS('רווחה - קליטה'!$AL$5:$AL$204,'רווחה - קליטה'!$A$5:$A$204,$A14,'רווחה - קליטה'!$C$5:$C$204,"אמצע שנה"),""))</f>
        <v/>
      </c>
      <c r="G14" s="36">
        <f>IF($A14="","",IFERROR(INDEX('רווחה - קליטה'!$AT$5:$AT$204,MATCH($A14&amp;"|אמצע שנה",'רווחה - קליטה'!$AF$5:$AF$204,0)),""))</f>
        <v/>
      </c>
      <c r="H14" s="45">
        <f>IF($A14="","",IFERROR(AVERAGEIFS('רווחה - קליטה'!$AR$5:$AR$204,'רווחה - קליטה'!$A$5:$A$204,$A14,'רווחה - קליטה'!$C$5:$C$204,"סוף שנה"),""))</f>
        <v/>
      </c>
      <c r="I14" s="37">
        <f>IF($A14="","",IFERROR(AVERAGEIFS('רווחה - קליטה'!$AL$5:$AL$204,'רווחה - קליטה'!$A$5:$A$204,$A14,'רווחה - קליטה'!$C$5:$C$204,"סוף שנה"),""))</f>
        <v/>
      </c>
      <c r="J14" s="36">
        <f>IF($A14="","",IFERROR(INDEX('רווחה - קליטה'!$AT$5:$AT$204,MATCH($A14&amp;"|סוף שנה",'רווחה - קליטה'!$AF$5:$AF$204,0)),""))</f>
        <v/>
      </c>
      <c r="K14" s="46">
        <f>IF(AND(ISNUMBER(B14),ISNUMBER(H14)),H14-B14,"")</f>
        <v/>
      </c>
      <c r="L14" s="36">
        <f>IF(K14="","",IF(K14&gt;=0.5,"עלייה",IF(K14&lt;=-0.5,"ירידה","יציב")))</f>
        <v/>
      </c>
    </row>
    <row r="15">
      <c r="A15" s="38" t="n"/>
      <c r="B15" s="45">
        <f>IF($A15="","",IFERROR(AVERAGEIFS('רווחה - קליטה'!$AR$5:$AR$204,'רווחה - קליטה'!$A$5:$A$204,$A15,'רווחה - קליטה'!$C$5:$C$204,"תחילת שנה"),""))</f>
        <v/>
      </c>
      <c r="C15" s="37">
        <f>IF($A15="","",IFERROR(AVERAGEIFS('רווחה - קליטה'!$AL$5:$AL$204,'רווחה - קליטה'!$A$5:$A$204,$A15,'רווחה - קליטה'!$C$5:$C$204,"תחילת שנה"),""))</f>
        <v/>
      </c>
      <c r="D15" s="36">
        <f>IF($A15="","",IFERROR(INDEX('רווחה - קליטה'!$AT$5:$AT$204,MATCH($A15&amp;"|תחילת שנה",'רווחה - קליטה'!$AF$5:$AF$204,0)),""))</f>
        <v/>
      </c>
      <c r="E15" s="45">
        <f>IF($A15="","",IFERROR(AVERAGEIFS('רווחה - קליטה'!$AR$5:$AR$204,'רווחה - קליטה'!$A$5:$A$204,$A15,'רווחה - קליטה'!$C$5:$C$204,"אמצע שנה"),""))</f>
        <v/>
      </c>
      <c r="F15" s="37">
        <f>IF($A15="","",IFERROR(AVERAGEIFS('רווחה - קליטה'!$AL$5:$AL$204,'רווחה - קליטה'!$A$5:$A$204,$A15,'רווחה - קליטה'!$C$5:$C$204,"אמצע שנה"),""))</f>
        <v/>
      </c>
      <c r="G15" s="36">
        <f>IF($A15="","",IFERROR(INDEX('רווחה - קליטה'!$AT$5:$AT$204,MATCH($A15&amp;"|אמצע שנה",'רווחה - קליטה'!$AF$5:$AF$204,0)),""))</f>
        <v/>
      </c>
      <c r="H15" s="45">
        <f>IF($A15="","",IFERROR(AVERAGEIFS('רווחה - קליטה'!$AR$5:$AR$204,'רווחה - קליטה'!$A$5:$A$204,$A15,'רווחה - קליטה'!$C$5:$C$204,"סוף שנה"),""))</f>
        <v/>
      </c>
      <c r="I15" s="37">
        <f>IF($A15="","",IFERROR(AVERAGEIFS('רווחה - קליטה'!$AL$5:$AL$204,'רווחה - קליטה'!$A$5:$A$204,$A15,'רווחה - קליטה'!$C$5:$C$204,"סוף שנה"),""))</f>
        <v/>
      </c>
      <c r="J15" s="36">
        <f>IF($A15="","",IFERROR(INDEX('רווחה - קליטה'!$AT$5:$AT$204,MATCH($A15&amp;"|סוף שנה",'רווחה - קליטה'!$AF$5:$AF$204,0)),""))</f>
        <v/>
      </c>
      <c r="K15" s="46">
        <f>IF(AND(ISNUMBER(B15),ISNUMBER(H15)),H15-B15,"")</f>
        <v/>
      </c>
      <c r="L15" s="36">
        <f>IF(K15="","",IF(K15&gt;=0.5,"עלייה",IF(K15&lt;=-0.5,"ירידה","יציב")))</f>
        <v/>
      </c>
    </row>
    <row r="16">
      <c r="A16" s="38" t="n"/>
      <c r="B16" s="45">
        <f>IF($A16="","",IFERROR(AVERAGEIFS('רווחה - קליטה'!$AR$5:$AR$204,'רווחה - קליטה'!$A$5:$A$204,$A16,'רווחה - קליטה'!$C$5:$C$204,"תחילת שנה"),""))</f>
        <v/>
      </c>
      <c r="C16" s="37">
        <f>IF($A16="","",IFERROR(AVERAGEIFS('רווחה - קליטה'!$AL$5:$AL$204,'רווחה - קליטה'!$A$5:$A$204,$A16,'רווחה - קליטה'!$C$5:$C$204,"תחילת שנה"),""))</f>
        <v/>
      </c>
      <c r="D16" s="36">
        <f>IF($A16="","",IFERROR(INDEX('רווחה - קליטה'!$AT$5:$AT$204,MATCH($A16&amp;"|תחילת שנה",'רווחה - קליטה'!$AF$5:$AF$204,0)),""))</f>
        <v/>
      </c>
      <c r="E16" s="45">
        <f>IF($A16="","",IFERROR(AVERAGEIFS('רווחה - קליטה'!$AR$5:$AR$204,'רווחה - קליטה'!$A$5:$A$204,$A16,'רווחה - קליטה'!$C$5:$C$204,"אמצע שנה"),""))</f>
        <v/>
      </c>
      <c r="F16" s="37">
        <f>IF($A16="","",IFERROR(AVERAGEIFS('רווחה - קליטה'!$AL$5:$AL$204,'רווחה - קליטה'!$A$5:$A$204,$A16,'רווחה - קליטה'!$C$5:$C$204,"אמצע שנה"),""))</f>
        <v/>
      </c>
      <c r="G16" s="36">
        <f>IF($A16="","",IFERROR(INDEX('רווחה - קליטה'!$AT$5:$AT$204,MATCH($A16&amp;"|אמצע שנה",'רווחה - קליטה'!$AF$5:$AF$204,0)),""))</f>
        <v/>
      </c>
      <c r="H16" s="45">
        <f>IF($A16="","",IFERROR(AVERAGEIFS('רווחה - קליטה'!$AR$5:$AR$204,'רווחה - קליטה'!$A$5:$A$204,$A16,'רווחה - קליטה'!$C$5:$C$204,"סוף שנה"),""))</f>
        <v/>
      </c>
      <c r="I16" s="37">
        <f>IF($A16="","",IFERROR(AVERAGEIFS('רווחה - קליטה'!$AL$5:$AL$204,'רווחה - קליטה'!$A$5:$A$204,$A16,'רווחה - קליטה'!$C$5:$C$204,"סוף שנה"),""))</f>
        <v/>
      </c>
      <c r="J16" s="36">
        <f>IF($A16="","",IFERROR(INDEX('רווחה - קליטה'!$AT$5:$AT$204,MATCH($A16&amp;"|סוף שנה",'רווחה - קליטה'!$AF$5:$AF$204,0)),""))</f>
        <v/>
      </c>
      <c r="K16" s="46">
        <f>IF(AND(ISNUMBER(B16),ISNUMBER(H16)),H16-B16,"")</f>
        <v/>
      </c>
      <c r="L16" s="36">
        <f>IF(K16="","",IF(K16&gt;=0.5,"עלייה",IF(K16&lt;=-0.5,"ירידה","יציב")))</f>
        <v/>
      </c>
    </row>
    <row r="17">
      <c r="A17" s="38" t="n"/>
      <c r="B17" s="45">
        <f>IF($A17="","",IFERROR(AVERAGEIFS('רווחה - קליטה'!$AR$5:$AR$204,'רווחה - קליטה'!$A$5:$A$204,$A17,'רווחה - קליטה'!$C$5:$C$204,"תחילת שנה"),""))</f>
        <v/>
      </c>
      <c r="C17" s="37">
        <f>IF($A17="","",IFERROR(AVERAGEIFS('רווחה - קליטה'!$AL$5:$AL$204,'רווחה - קליטה'!$A$5:$A$204,$A17,'רווחה - קליטה'!$C$5:$C$204,"תחילת שנה"),""))</f>
        <v/>
      </c>
      <c r="D17" s="36">
        <f>IF($A17="","",IFERROR(INDEX('רווחה - קליטה'!$AT$5:$AT$204,MATCH($A17&amp;"|תחילת שנה",'רווחה - קליטה'!$AF$5:$AF$204,0)),""))</f>
        <v/>
      </c>
      <c r="E17" s="45">
        <f>IF($A17="","",IFERROR(AVERAGEIFS('רווחה - קליטה'!$AR$5:$AR$204,'רווחה - קליטה'!$A$5:$A$204,$A17,'רווחה - קליטה'!$C$5:$C$204,"אמצע שנה"),""))</f>
        <v/>
      </c>
      <c r="F17" s="37">
        <f>IF($A17="","",IFERROR(AVERAGEIFS('רווחה - קליטה'!$AL$5:$AL$204,'רווחה - קליטה'!$A$5:$A$204,$A17,'רווחה - קליטה'!$C$5:$C$204,"אמצע שנה"),""))</f>
        <v/>
      </c>
      <c r="G17" s="36">
        <f>IF($A17="","",IFERROR(INDEX('רווחה - קליטה'!$AT$5:$AT$204,MATCH($A17&amp;"|אמצע שנה",'רווחה - קליטה'!$AF$5:$AF$204,0)),""))</f>
        <v/>
      </c>
      <c r="H17" s="45">
        <f>IF($A17="","",IFERROR(AVERAGEIFS('רווחה - קליטה'!$AR$5:$AR$204,'רווחה - קליטה'!$A$5:$A$204,$A17,'רווחה - קליטה'!$C$5:$C$204,"סוף שנה"),""))</f>
        <v/>
      </c>
      <c r="I17" s="37">
        <f>IF($A17="","",IFERROR(AVERAGEIFS('רווחה - קליטה'!$AL$5:$AL$204,'רווחה - קליטה'!$A$5:$A$204,$A17,'רווחה - קליטה'!$C$5:$C$204,"סוף שנה"),""))</f>
        <v/>
      </c>
      <c r="J17" s="36">
        <f>IF($A17="","",IFERROR(INDEX('רווחה - קליטה'!$AT$5:$AT$204,MATCH($A17&amp;"|סוף שנה",'רווחה - קליטה'!$AF$5:$AF$204,0)),""))</f>
        <v/>
      </c>
      <c r="K17" s="46">
        <f>IF(AND(ISNUMBER(B17),ISNUMBER(H17)),H17-B17,"")</f>
        <v/>
      </c>
      <c r="L17" s="36">
        <f>IF(K17="","",IF(K17&gt;=0.5,"עלייה",IF(K17&lt;=-0.5,"ירידה","יציב")))</f>
        <v/>
      </c>
    </row>
    <row r="18">
      <c r="A18" s="38" t="n"/>
      <c r="B18" s="45">
        <f>IF($A18="","",IFERROR(AVERAGEIFS('רווחה - קליטה'!$AR$5:$AR$204,'רווחה - קליטה'!$A$5:$A$204,$A18,'רווחה - קליטה'!$C$5:$C$204,"תחילת שנה"),""))</f>
        <v/>
      </c>
      <c r="C18" s="37">
        <f>IF($A18="","",IFERROR(AVERAGEIFS('רווחה - קליטה'!$AL$5:$AL$204,'רווחה - קליטה'!$A$5:$A$204,$A18,'רווחה - קליטה'!$C$5:$C$204,"תחילת שנה"),""))</f>
        <v/>
      </c>
      <c r="D18" s="36">
        <f>IF($A18="","",IFERROR(INDEX('רווחה - קליטה'!$AT$5:$AT$204,MATCH($A18&amp;"|תחילת שנה",'רווחה - קליטה'!$AF$5:$AF$204,0)),""))</f>
        <v/>
      </c>
      <c r="E18" s="45">
        <f>IF($A18="","",IFERROR(AVERAGEIFS('רווחה - קליטה'!$AR$5:$AR$204,'רווחה - קליטה'!$A$5:$A$204,$A18,'רווחה - קליטה'!$C$5:$C$204,"אמצע שנה"),""))</f>
        <v/>
      </c>
      <c r="F18" s="37">
        <f>IF($A18="","",IFERROR(AVERAGEIFS('רווחה - קליטה'!$AL$5:$AL$204,'רווחה - קליטה'!$A$5:$A$204,$A18,'רווחה - קליטה'!$C$5:$C$204,"אמצע שנה"),""))</f>
        <v/>
      </c>
      <c r="G18" s="36">
        <f>IF($A18="","",IFERROR(INDEX('רווחה - קליטה'!$AT$5:$AT$204,MATCH($A18&amp;"|אמצע שנה",'רווחה - קליטה'!$AF$5:$AF$204,0)),""))</f>
        <v/>
      </c>
      <c r="H18" s="45">
        <f>IF($A18="","",IFERROR(AVERAGEIFS('רווחה - קליטה'!$AR$5:$AR$204,'רווחה - קליטה'!$A$5:$A$204,$A18,'רווחה - קליטה'!$C$5:$C$204,"סוף שנה"),""))</f>
        <v/>
      </c>
      <c r="I18" s="37">
        <f>IF($A18="","",IFERROR(AVERAGEIFS('רווחה - קליטה'!$AL$5:$AL$204,'רווחה - קליטה'!$A$5:$A$204,$A18,'רווחה - קליטה'!$C$5:$C$204,"סוף שנה"),""))</f>
        <v/>
      </c>
      <c r="J18" s="36">
        <f>IF($A18="","",IFERROR(INDEX('רווחה - קליטה'!$AT$5:$AT$204,MATCH($A18&amp;"|סוף שנה",'רווחה - קליטה'!$AF$5:$AF$204,0)),""))</f>
        <v/>
      </c>
      <c r="K18" s="46">
        <f>IF(AND(ISNUMBER(B18),ISNUMBER(H18)),H18-B18,"")</f>
        <v/>
      </c>
      <c r="L18" s="36">
        <f>IF(K18="","",IF(K18&gt;=0.5,"עלייה",IF(K18&lt;=-0.5,"ירידה","יציב")))</f>
        <v/>
      </c>
    </row>
    <row r="19">
      <c r="A19" s="38" t="n"/>
      <c r="B19" s="45">
        <f>IF($A19="","",IFERROR(AVERAGEIFS('רווחה - קליטה'!$AR$5:$AR$204,'רווחה - קליטה'!$A$5:$A$204,$A19,'רווחה - קליטה'!$C$5:$C$204,"תחילת שנה"),""))</f>
        <v/>
      </c>
      <c r="C19" s="37">
        <f>IF($A19="","",IFERROR(AVERAGEIFS('רווחה - קליטה'!$AL$5:$AL$204,'רווחה - קליטה'!$A$5:$A$204,$A19,'רווחה - קליטה'!$C$5:$C$204,"תחילת שנה"),""))</f>
        <v/>
      </c>
      <c r="D19" s="36">
        <f>IF($A19="","",IFERROR(INDEX('רווחה - קליטה'!$AT$5:$AT$204,MATCH($A19&amp;"|תחילת שנה",'רווחה - קליטה'!$AF$5:$AF$204,0)),""))</f>
        <v/>
      </c>
      <c r="E19" s="45">
        <f>IF($A19="","",IFERROR(AVERAGEIFS('רווחה - קליטה'!$AR$5:$AR$204,'רווחה - קליטה'!$A$5:$A$204,$A19,'רווחה - קליטה'!$C$5:$C$204,"אמצע שנה"),""))</f>
        <v/>
      </c>
      <c r="F19" s="37">
        <f>IF($A19="","",IFERROR(AVERAGEIFS('רווחה - קליטה'!$AL$5:$AL$204,'רווחה - קליטה'!$A$5:$A$204,$A19,'רווחה - קליטה'!$C$5:$C$204,"אמצע שנה"),""))</f>
        <v/>
      </c>
      <c r="G19" s="36">
        <f>IF($A19="","",IFERROR(INDEX('רווחה - קליטה'!$AT$5:$AT$204,MATCH($A19&amp;"|אמצע שנה",'רווחה - קליטה'!$AF$5:$AF$204,0)),""))</f>
        <v/>
      </c>
      <c r="H19" s="45">
        <f>IF($A19="","",IFERROR(AVERAGEIFS('רווחה - קליטה'!$AR$5:$AR$204,'רווחה - קליטה'!$A$5:$A$204,$A19,'רווחה - קליטה'!$C$5:$C$204,"סוף שנה"),""))</f>
        <v/>
      </c>
      <c r="I19" s="37">
        <f>IF($A19="","",IFERROR(AVERAGEIFS('רווחה - קליטה'!$AL$5:$AL$204,'רווחה - קליטה'!$A$5:$A$204,$A19,'רווחה - קליטה'!$C$5:$C$204,"סוף שנה"),""))</f>
        <v/>
      </c>
      <c r="J19" s="36">
        <f>IF($A19="","",IFERROR(INDEX('רווחה - קליטה'!$AT$5:$AT$204,MATCH($A19&amp;"|סוף שנה",'רווחה - קליטה'!$AF$5:$AF$204,0)),""))</f>
        <v/>
      </c>
      <c r="K19" s="46">
        <f>IF(AND(ISNUMBER(B19),ISNUMBER(H19)),H19-B19,"")</f>
        <v/>
      </c>
      <c r="L19" s="36">
        <f>IF(K19="","",IF(K19&gt;=0.5,"עלייה",IF(K19&lt;=-0.5,"ירידה","יציב")))</f>
        <v/>
      </c>
    </row>
    <row r="20">
      <c r="A20" s="38" t="n"/>
      <c r="B20" s="45">
        <f>IF($A20="","",IFERROR(AVERAGEIFS('רווחה - קליטה'!$AR$5:$AR$204,'רווחה - קליטה'!$A$5:$A$204,$A20,'רווחה - קליטה'!$C$5:$C$204,"תחילת שנה"),""))</f>
        <v/>
      </c>
      <c r="C20" s="37">
        <f>IF($A20="","",IFERROR(AVERAGEIFS('רווחה - קליטה'!$AL$5:$AL$204,'רווחה - קליטה'!$A$5:$A$204,$A20,'רווחה - קליטה'!$C$5:$C$204,"תחילת שנה"),""))</f>
        <v/>
      </c>
      <c r="D20" s="36">
        <f>IF($A20="","",IFERROR(INDEX('רווחה - קליטה'!$AT$5:$AT$204,MATCH($A20&amp;"|תחילת שנה",'רווחה - קליטה'!$AF$5:$AF$204,0)),""))</f>
        <v/>
      </c>
      <c r="E20" s="45">
        <f>IF($A20="","",IFERROR(AVERAGEIFS('רווחה - קליטה'!$AR$5:$AR$204,'רווחה - קליטה'!$A$5:$A$204,$A20,'רווחה - קליטה'!$C$5:$C$204,"אמצע שנה"),""))</f>
        <v/>
      </c>
      <c r="F20" s="37">
        <f>IF($A20="","",IFERROR(AVERAGEIFS('רווחה - קליטה'!$AL$5:$AL$204,'רווחה - קליטה'!$A$5:$A$204,$A20,'רווחה - קליטה'!$C$5:$C$204,"אמצע שנה"),""))</f>
        <v/>
      </c>
      <c r="G20" s="36">
        <f>IF($A20="","",IFERROR(INDEX('רווחה - קליטה'!$AT$5:$AT$204,MATCH($A20&amp;"|אמצע שנה",'רווחה - קליטה'!$AF$5:$AF$204,0)),""))</f>
        <v/>
      </c>
      <c r="H20" s="45">
        <f>IF($A20="","",IFERROR(AVERAGEIFS('רווחה - קליטה'!$AR$5:$AR$204,'רווחה - קליטה'!$A$5:$A$204,$A20,'רווחה - קליטה'!$C$5:$C$204,"סוף שנה"),""))</f>
        <v/>
      </c>
      <c r="I20" s="37">
        <f>IF($A20="","",IFERROR(AVERAGEIFS('רווחה - קליטה'!$AL$5:$AL$204,'רווחה - קליטה'!$A$5:$A$204,$A20,'רווחה - קליטה'!$C$5:$C$204,"סוף שנה"),""))</f>
        <v/>
      </c>
      <c r="J20" s="36">
        <f>IF($A20="","",IFERROR(INDEX('רווחה - קליטה'!$AT$5:$AT$204,MATCH($A20&amp;"|סוף שנה",'רווחה - קליטה'!$AF$5:$AF$204,0)),""))</f>
        <v/>
      </c>
      <c r="K20" s="46">
        <f>IF(AND(ISNUMBER(B20),ISNUMBER(H20)),H20-B20,"")</f>
        <v/>
      </c>
      <c r="L20" s="36">
        <f>IF(K20="","",IF(K20&gt;=0.5,"עלייה",IF(K20&lt;=-0.5,"ירידה","יציב")))</f>
        <v/>
      </c>
    </row>
    <row r="21">
      <c r="A21" s="38" t="n"/>
      <c r="B21" s="45">
        <f>IF($A21="","",IFERROR(AVERAGEIFS('רווחה - קליטה'!$AR$5:$AR$204,'רווחה - קליטה'!$A$5:$A$204,$A21,'רווחה - קליטה'!$C$5:$C$204,"תחילת שנה"),""))</f>
        <v/>
      </c>
      <c r="C21" s="37">
        <f>IF($A21="","",IFERROR(AVERAGEIFS('רווחה - קליטה'!$AL$5:$AL$204,'רווחה - קליטה'!$A$5:$A$204,$A21,'רווחה - קליטה'!$C$5:$C$204,"תחילת שנה"),""))</f>
        <v/>
      </c>
      <c r="D21" s="36">
        <f>IF($A21="","",IFERROR(INDEX('רווחה - קליטה'!$AT$5:$AT$204,MATCH($A21&amp;"|תחילת שנה",'רווחה - קליטה'!$AF$5:$AF$204,0)),""))</f>
        <v/>
      </c>
      <c r="E21" s="45">
        <f>IF($A21="","",IFERROR(AVERAGEIFS('רווחה - קליטה'!$AR$5:$AR$204,'רווחה - קליטה'!$A$5:$A$204,$A21,'רווחה - קליטה'!$C$5:$C$204,"אמצע שנה"),""))</f>
        <v/>
      </c>
      <c r="F21" s="37">
        <f>IF($A21="","",IFERROR(AVERAGEIFS('רווחה - קליטה'!$AL$5:$AL$204,'רווחה - קליטה'!$A$5:$A$204,$A21,'רווחה - קליטה'!$C$5:$C$204,"אמצע שנה"),""))</f>
        <v/>
      </c>
      <c r="G21" s="36">
        <f>IF($A21="","",IFERROR(INDEX('רווחה - קליטה'!$AT$5:$AT$204,MATCH($A21&amp;"|אמצע שנה",'רווחה - קליטה'!$AF$5:$AF$204,0)),""))</f>
        <v/>
      </c>
      <c r="H21" s="45">
        <f>IF($A21="","",IFERROR(AVERAGEIFS('רווחה - קליטה'!$AR$5:$AR$204,'רווחה - קליטה'!$A$5:$A$204,$A21,'רווחה - קליטה'!$C$5:$C$204,"סוף שנה"),""))</f>
        <v/>
      </c>
      <c r="I21" s="37">
        <f>IF($A21="","",IFERROR(AVERAGEIFS('רווחה - קליטה'!$AL$5:$AL$204,'רווחה - קליטה'!$A$5:$A$204,$A21,'רווחה - קליטה'!$C$5:$C$204,"סוף שנה"),""))</f>
        <v/>
      </c>
      <c r="J21" s="36">
        <f>IF($A21="","",IFERROR(INDEX('רווחה - קליטה'!$AT$5:$AT$204,MATCH($A21&amp;"|סוף שנה",'רווחה - קליטה'!$AF$5:$AF$204,0)),""))</f>
        <v/>
      </c>
      <c r="K21" s="46">
        <f>IF(AND(ISNUMBER(B21),ISNUMBER(H21)),H21-B21,"")</f>
        <v/>
      </c>
      <c r="L21" s="36">
        <f>IF(K21="","",IF(K21&gt;=0.5,"עלייה",IF(K21&lt;=-0.5,"ירידה","יציב")))</f>
        <v/>
      </c>
    </row>
    <row r="22">
      <c r="A22" s="38" t="n"/>
      <c r="B22" s="45">
        <f>IF($A22="","",IFERROR(AVERAGEIFS('רווחה - קליטה'!$AR$5:$AR$204,'רווחה - קליטה'!$A$5:$A$204,$A22,'רווחה - קליטה'!$C$5:$C$204,"תחילת שנה"),""))</f>
        <v/>
      </c>
      <c r="C22" s="37">
        <f>IF($A22="","",IFERROR(AVERAGEIFS('רווחה - קליטה'!$AL$5:$AL$204,'רווחה - קליטה'!$A$5:$A$204,$A22,'רווחה - קליטה'!$C$5:$C$204,"תחילת שנה"),""))</f>
        <v/>
      </c>
      <c r="D22" s="36">
        <f>IF($A22="","",IFERROR(INDEX('רווחה - קליטה'!$AT$5:$AT$204,MATCH($A22&amp;"|תחילת שנה",'רווחה - קליטה'!$AF$5:$AF$204,0)),""))</f>
        <v/>
      </c>
      <c r="E22" s="45">
        <f>IF($A22="","",IFERROR(AVERAGEIFS('רווחה - קליטה'!$AR$5:$AR$204,'רווחה - קליטה'!$A$5:$A$204,$A22,'רווחה - קליטה'!$C$5:$C$204,"אמצע שנה"),""))</f>
        <v/>
      </c>
      <c r="F22" s="37">
        <f>IF($A22="","",IFERROR(AVERAGEIFS('רווחה - קליטה'!$AL$5:$AL$204,'רווחה - קליטה'!$A$5:$A$204,$A22,'רווחה - קליטה'!$C$5:$C$204,"אמצע שנה"),""))</f>
        <v/>
      </c>
      <c r="G22" s="36">
        <f>IF($A22="","",IFERROR(INDEX('רווחה - קליטה'!$AT$5:$AT$204,MATCH($A22&amp;"|אמצע שנה",'רווחה - קליטה'!$AF$5:$AF$204,0)),""))</f>
        <v/>
      </c>
      <c r="H22" s="45">
        <f>IF($A22="","",IFERROR(AVERAGEIFS('רווחה - קליטה'!$AR$5:$AR$204,'רווחה - קליטה'!$A$5:$A$204,$A22,'רווחה - קליטה'!$C$5:$C$204,"סוף שנה"),""))</f>
        <v/>
      </c>
      <c r="I22" s="37">
        <f>IF($A22="","",IFERROR(AVERAGEIFS('רווחה - קליטה'!$AL$5:$AL$204,'רווחה - קליטה'!$A$5:$A$204,$A22,'רווחה - קליטה'!$C$5:$C$204,"סוף שנה"),""))</f>
        <v/>
      </c>
      <c r="J22" s="36">
        <f>IF($A22="","",IFERROR(INDEX('רווחה - קליטה'!$AT$5:$AT$204,MATCH($A22&amp;"|סוף שנה",'רווחה - קליטה'!$AF$5:$AF$204,0)),""))</f>
        <v/>
      </c>
      <c r="K22" s="46">
        <f>IF(AND(ISNUMBER(B22),ISNUMBER(H22)),H22-B22,"")</f>
        <v/>
      </c>
      <c r="L22" s="36">
        <f>IF(K22="","",IF(K22&gt;=0.5,"עלייה",IF(K22&lt;=-0.5,"ירידה","יציב")))</f>
        <v/>
      </c>
    </row>
    <row r="23">
      <c r="A23" s="38" t="n"/>
      <c r="B23" s="45">
        <f>IF($A23="","",IFERROR(AVERAGEIFS('רווחה - קליטה'!$AR$5:$AR$204,'רווחה - קליטה'!$A$5:$A$204,$A23,'רווחה - קליטה'!$C$5:$C$204,"תחילת שנה"),""))</f>
        <v/>
      </c>
      <c r="C23" s="37">
        <f>IF($A23="","",IFERROR(AVERAGEIFS('רווחה - קליטה'!$AL$5:$AL$204,'רווחה - קליטה'!$A$5:$A$204,$A23,'רווחה - קליטה'!$C$5:$C$204,"תחילת שנה"),""))</f>
        <v/>
      </c>
      <c r="D23" s="36">
        <f>IF($A23="","",IFERROR(INDEX('רווחה - קליטה'!$AT$5:$AT$204,MATCH($A23&amp;"|תחילת שנה",'רווחה - קליטה'!$AF$5:$AF$204,0)),""))</f>
        <v/>
      </c>
      <c r="E23" s="45">
        <f>IF($A23="","",IFERROR(AVERAGEIFS('רווחה - קליטה'!$AR$5:$AR$204,'רווחה - קליטה'!$A$5:$A$204,$A23,'רווחה - קליטה'!$C$5:$C$204,"אמצע שנה"),""))</f>
        <v/>
      </c>
      <c r="F23" s="37">
        <f>IF($A23="","",IFERROR(AVERAGEIFS('רווחה - קליטה'!$AL$5:$AL$204,'רווחה - קליטה'!$A$5:$A$204,$A23,'רווחה - קליטה'!$C$5:$C$204,"אמצע שנה"),""))</f>
        <v/>
      </c>
      <c r="G23" s="36">
        <f>IF($A23="","",IFERROR(INDEX('רווחה - קליטה'!$AT$5:$AT$204,MATCH($A23&amp;"|אמצע שנה",'רווחה - קליטה'!$AF$5:$AF$204,0)),""))</f>
        <v/>
      </c>
      <c r="H23" s="45">
        <f>IF($A23="","",IFERROR(AVERAGEIFS('רווחה - קליטה'!$AR$5:$AR$204,'רווחה - קליטה'!$A$5:$A$204,$A23,'רווחה - קליטה'!$C$5:$C$204,"סוף שנה"),""))</f>
        <v/>
      </c>
      <c r="I23" s="37">
        <f>IF($A23="","",IFERROR(AVERAGEIFS('רווחה - קליטה'!$AL$5:$AL$204,'רווחה - קליטה'!$A$5:$A$204,$A23,'רווחה - קליטה'!$C$5:$C$204,"סוף שנה"),""))</f>
        <v/>
      </c>
      <c r="J23" s="36">
        <f>IF($A23="","",IFERROR(INDEX('רווחה - קליטה'!$AT$5:$AT$204,MATCH($A23&amp;"|סוף שנה",'רווחה - קליטה'!$AF$5:$AF$204,0)),""))</f>
        <v/>
      </c>
      <c r="K23" s="46">
        <f>IF(AND(ISNUMBER(B23),ISNUMBER(H23)),H23-B23,"")</f>
        <v/>
      </c>
      <c r="L23" s="36">
        <f>IF(K23="","",IF(K23&gt;=0.5,"עלייה",IF(K23&lt;=-0.5,"ירידה","יציב")))</f>
        <v/>
      </c>
    </row>
    <row r="24">
      <c r="A24" s="38" t="n"/>
      <c r="B24" s="45">
        <f>IF($A24="","",IFERROR(AVERAGEIFS('רווחה - קליטה'!$AR$5:$AR$204,'רווחה - קליטה'!$A$5:$A$204,$A24,'רווחה - קליטה'!$C$5:$C$204,"תחילת שנה"),""))</f>
        <v/>
      </c>
      <c r="C24" s="37">
        <f>IF($A24="","",IFERROR(AVERAGEIFS('רווחה - קליטה'!$AL$5:$AL$204,'רווחה - קליטה'!$A$5:$A$204,$A24,'רווחה - קליטה'!$C$5:$C$204,"תחילת שנה"),""))</f>
        <v/>
      </c>
      <c r="D24" s="36">
        <f>IF($A24="","",IFERROR(INDEX('רווחה - קליטה'!$AT$5:$AT$204,MATCH($A24&amp;"|תחילת שנה",'רווחה - קליטה'!$AF$5:$AF$204,0)),""))</f>
        <v/>
      </c>
      <c r="E24" s="45">
        <f>IF($A24="","",IFERROR(AVERAGEIFS('רווחה - קליטה'!$AR$5:$AR$204,'רווחה - קליטה'!$A$5:$A$204,$A24,'רווחה - קליטה'!$C$5:$C$204,"אמצע שנה"),""))</f>
        <v/>
      </c>
      <c r="F24" s="37">
        <f>IF($A24="","",IFERROR(AVERAGEIFS('רווחה - קליטה'!$AL$5:$AL$204,'רווחה - קליטה'!$A$5:$A$204,$A24,'רווחה - קליטה'!$C$5:$C$204,"אמצע שנה"),""))</f>
        <v/>
      </c>
      <c r="G24" s="36">
        <f>IF($A24="","",IFERROR(INDEX('רווחה - קליטה'!$AT$5:$AT$204,MATCH($A24&amp;"|אמצע שנה",'רווחה - קליטה'!$AF$5:$AF$204,0)),""))</f>
        <v/>
      </c>
      <c r="H24" s="45">
        <f>IF($A24="","",IFERROR(AVERAGEIFS('רווחה - קליטה'!$AR$5:$AR$204,'רווחה - קליטה'!$A$5:$A$204,$A24,'רווחה - קליטה'!$C$5:$C$204,"סוף שנה"),""))</f>
        <v/>
      </c>
      <c r="I24" s="37">
        <f>IF($A24="","",IFERROR(AVERAGEIFS('רווחה - קליטה'!$AL$5:$AL$204,'רווחה - קליטה'!$A$5:$A$204,$A24,'רווחה - קליטה'!$C$5:$C$204,"סוף שנה"),""))</f>
        <v/>
      </c>
      <c r="J24" s="36">
        <f>IF($A24="","",IFERROR(INDEX('רווחה - קליטה'!$AT$5:$AT$204,MATCH($A24&amp;"|סוף שנה",'רווחה - קליטה'!$AF$5:$AF$204,0)),""))</f>
        <v/>
      </c>
      <c r="K24" s="46">
        <f>IF(AND(ISNUMBER(B24),ISNUMBER(H24)),H24-B24,"")</f>
        <v/>
      </c>
      <c r="L24" s="36">
        <f>IF(K24="","",IF(K24&gt;=0.5,"עלייה",IF(K24&lt;=-0.5,"ירידה","יציב")))</f>
        <v/>
      </c>
    </row>
    <row r="25">
      <c r="A25" s="38" t="n"/>
      <c r="B25" s="45">
        <f>IF($A25="","",IFERROR(AVERAGEIFS('רווחה - קליטה'!$AR$5:$AR$204,'רווחה - קליטה'!$A$5:$A$204,$A25,'רווחה - קליטה'!$C$5:$C$204,"תחילת שנה"),""))</f>
        <v/>
      </c>
      <c r="C25" s="37">
        <f>IF($A25="","",IFERROR(AVERAGEIFS('רווחה - קליטה'!$AL$5:$AL$204,'רווחה - קליטה'!$A$5:$A$204,$A25,'רווחה - קליטה'!$C$5:$C$204,"תחילת שנה"),""))</f>
        <v/>
      </c>
      <c r="D25" s="36">
        <f>IF($A25="","",IFERROR(INDEX('רווחה - קליטה'!$AT$5:$AT$204,MATCH($A25&amp;"|תחילת שנה",'רווחה - קליטה'!$AF$5:$AF$204,0)),""))</f>
        <v/>
      </c>
      <c r="E25" s="45">
        <f>IF($A25="","",IFERROR(AVERAGEIFS('רווחה - קליטה'!$AR$5:$AR$204,'רווחה - קליטה'!$A$5:$A$204,$A25,'רווחה - קליטה'!$C$5:$C$204,"אמצע שנה"),""))</f>
        <v/>
      </c>
      <c r="F25" s="37">
        <f>IF($A25="","",IFERROR(AVERAGEIFS('רווחה - קליטה'!$AL$5:$AL$204,'רווחה - קליטה'!$A$5:$A$204,$A25,'רווחה - קליטה'!$C$5:$C$204,"אמצע שנה"),""))</f>
        <v/>
      </c>
      <c r="G25" s="36">
        <f>IF($A25="","",IFERROR(INDEX('רווחה - קליטה'!$AT$5:$AT$204,MATCH($A25&amp;"|אמצע שנה",'רווחה - קליטה'!$AF$5:$AF$204,0)),""))</f>
        <v/>
      </c>
      <c r="H25" s="45">
        <f>IF($A25="","",IFERROR(AVERAGEIFS('רווחה - קליטה'!$AR$5:$AR$204,'רווחה - קליטה'!$A$5:$A$204,$A25,'רווחה - קליטה'!$C$5:$C$204,"סוף שנה"),""))</f>
        <v/>
      </c>
      <c r="I25" s="37">
        <f>IF($A25="","",IFERROR(AVERAGEIFS('רווחה - קליטה'!$AL$5:$AL$204,'רווחה - קליטה'!$A$5:$A$204,$A25,'רווחה - קליטה'!$C$5:$C$204,"סוף שנה"),""))</f>
        <v/>
      </c>
      <c r="J25" s="36">
        <f>IF($A25="","",IFERROR(INDEX('רווחה - קליטה'!$AT$5:$AT$204,MATCH($A25&amp;"|סוף שנה",'רווחה - קליטה'!$AF$5:$AF$204,0)),""))</f>
        <v/>
      </c>
      <c r="K25" s="46">
        <f>IF(AND(ISNUMBER(B25),ISNUMBER(H25)),H25-B25,"")</f>
        <v/>
      </c>
      <c r="L25" s="36">
        <f>IF(K25="","",IF(K25&gt;=0.5,"עלייה",IF(K25&lt;=-0.5,"ירידה","יציב")))</f>
        <v/>
      </c>
    </row>
    <row r="26">
      <c r="A26" s="38" t="n"/>
      <c r="B26" s="45">
        <f>IF($A26="","",IFERROR(AVERAGEIFS('רווחה - קליטה'!$AR$5:$AR$204,'רווחה - קליטה'!$A$5:$A$204,$A26,'רווחה - קליטה'!$C$5:$C$204,"תחילת שנה"),""))</f>
        <v/>
      </c>
      <c r="C26" s="37">
        <f>IF($A26="","",IFERROR(AVERAGEIFS('רווחה - קליטה'!$AL$5:$AL$204,'רווחה - קליטה'!$A$5:$A$204,$A26,'רווחה - קליטה'!$C$5:$C$204,"תחילת שנה"),""))</f>
        <v/>
      </c>
      <c r="D26" s="36">
        <f>IF($A26="","",IFERROR(INDEX('רווחה - קליטה'!$AT$5:$AT$204,MATCH($A26&amp;"|תחילת שנה",'רווחה - קליטה'!$AF$5:$AF$204,0)),""))</f>
        <v/>
      </c>
      <c r="E26" s="45">
        <f>IF($A26="","",IFERROR(AVERAGEIFS('רווחה - קליטה'!$AR$5:$AR$204,'רווחה - קליטה'!$A$5:$A$204,$A26,'רווחה - קליטה'!$C$5:$C$204,"אמצע שנה"),""))</f>
        <v/>
      </c>
      <c r="F26" s="37">
        <f>IF($A26="","",IFERROR(AVERAGEIFS('רווחה - קליטה'!$AL$5:$AL$204,'רווחה - קליטה'!$A$5:$A$204,$A26,'רווחה - קליטה'!$C$5:$C$204,"אמצע שנה"),""))</f>
        <v/>
      </c>
      <c r="G26" s="36">
        <f>IF($A26="","",IFERROR(INDEX('רווחה - קליטה'!$AT$5:$AT$204,MATCH($A26&amp;"|אמצע שנה",'רווחה - קליטה'!$AF$5:$AF$204,0)),""))</f>
        <v/>
      </c>
      <c r="H26" s="45">
        <f>IF($A26="","",IFERROR(AVERAGEIFS('רווחה - קליטה'!$AR$5:$AR$204,'רווחה - קליטה'!$A$5:$A$204,$A26,'רווחה - קליטה'!$C$5:$C$204,"סוף שנה"),""))</f>
        <v/>
      </c>
      <c r="I26" s="37">
        <f>IF($A26="","",IFERROR(AVERAGEIFS('רווחה - קליטה'!$AL$5:$AL$204,'רווחה - קליטה'!$A$5:$A$204,$A26,'רווחה - קליטה'!$C$5:$C$204,"סוף שנה"),""))</f>
        <v/>
      </c>
      <c r="J26" s="36">
        <f>IF($A26="","",IFERROR(INDEX('רווחה - קליטה'!$AT$5:$AT$204,MATCH($A26&amp;"|סוף שנה",'רווחה - קליטה'!$AF$5:$AF$204,0)),""))</f>
        <v/>
      </c>
      <c r="K26" s="46">
        <f>IF(AND(ISNUMBER(B26),ISNUMBER(H26)),H26-B26,"")</f>
        <v/>
      </c>
      <c r="L26" s="36">
        <f>IF(K26="","",IF(K26&gt;=0.5,"עלייה",IF(K26&lt;=-0.5,"ירידה","יציב")))</f>
        <v/>
      </c>
    </row>
    <row r="27">
      <c r="A27" s="38" t="n"/>
      <c r="B27" s="45">
        <f>IF($A27="","",IFERROR(AVERAGEIFS('רווחה - קליטה'!$AR$5:$AR$204,'רווחה - קליטה'!$A$5:$A$204,$A27,'רווחה - קליטה'!$C$5:$C$204,"תחילת שנה"),""))</f>
        <v/>
      </c>
      <c r="C27" s="37">
        <f>IF($A27="","",IFERROR(AVERAGEIFS('רווחה - קליטה'!$AL$5:$AL$204,'רווחה - קליטה'!$A$5:$A$204,$A27,'רווחה - קליטה'!$C$5:$C$204,"תחילת שנה"),""))</f>
        <v/>
      </c>
      <c r="D27" s="36">
        <f>IF($A27="","",IFERROR(INDEX('רווחה - קליטה'!$AT$5:$AT$204,MATCH($A27&amp;"|תחילת שנה",'רווחה - קליטה'!$AF$5:$AF$204,0)),""))</f>
        <v/>
      </c>
      <c r="E27" s="45">
        <f>IF($A27="","",IFERROR(AVERAGEIFS('רווחה - קליטה'!$AR$5:$AR$204,'רווחה - קליטה'!$A$5:$A$204,$A27,'רווחה - קליטה'!$C$5:$C$204,"אמצע שנה"),""))</f>
        <v/>
      </c>
      <c r="F27" s="37">
        <f>IF($A27="","",IFERROR(AVERAGEIFS('רווחה - קליטה'!$AL$5:$AL$204,'רווחה - קליטה'!$A$5:$A$204,$A27,'רווחה - קליטה'!$C$5:$C$204,"אמצע שנה"),""))</f>
        <v/>
      </c>
      <c r="G27" s="36">
        <f>IF($A27="","",IFERROR(INDEX('רווחה - קליטה'!$AT$5:$AT$204,MATCH($A27&amp;"|אמצע שנה",'רווחה - קליטה'!$AF$5:$AF$204,0)),""))</f>
        <v/>
      </c>
      <c r="H27" s="45">
        <f>IF($A27="","",IFERROR(AVERAGEIFS('רווחה - קליטה'!$AR$5:$AR$204,'רווחה - קליטה'!$A$5:$A$204,$A27,'רווחה - קליטה'!$C$5:$C$204,"סוף שנה"),""))</f>
        <v/>
      </c>
      <c r="I27" s="37">
        <f>IF($A27="","",IFERROR(AVERAGEIFS('רווחה - קליטה'!$AL$5:$AL$204,'רווחה - קליטה'!$A$5:$A$204,$A27,'רווחה - קליטה'!$C$5:$C$204,"סוף שנה"),""))</f>
        <v/>
      </c>
      <c r="J27" s="36">
        <f>IF($A27="","",IFERROR(INDEX('רווחה - קליטה'!$AT$5:$AT$204,MATCH($A27&amp;"|סוף שנה",'רווחה - קליטה'!$AF$5:$AF$204,0)),""))</f>
        <v/>
      </c>
      <c r="K27" s="46">
        <f>IF(AND(ISNUMBER(B27),ISNUMBER(H27)),H27-B27,"")</f>
        <v/>
      </c>
      <c r="L27" s="36">
        <f>IF(K27="","",IF(K27&gt;=0.5,"עלייה",IF(K27&lt;=-0.5,"ירידה","יציב")))</f>
        <v/>
      </c>
    </row>
    <row r="28">
      <c r="A28" s="38" t="n"/>
      <c r="B28" s="45">
        <f>IF($A28="","",IFERROR(AVERAGEIFS('רווחה - קליטה'!$AR$5:$AR$204,'רווחה - קליטה'!$A$5:$A$204,$A28,'רווחה - קליטה'!$C$5:$C$204,"תחילת שנה"),""))</f>
        <v/>
      </c>
      <c r="C28" s="37">
        <f>IF($A28="","",IFERROR(AVERAGEIFS('רווחה - קליטה'!$AL$5:$AL$204,'רווחה - קליטה'!$A$5:$A$204,$A28,'רווחה - קליטה'!$C$5:$C$204,"תחילת שנה"),""))</f>
        <v/>
      </c>
      <c r="D28" s="36">
        <f>IF($A28="","",IFERROR(INDEX('רווחה - קליטה'!$AT$5:$AT$204,MATCH($A28&amp;"|תחילת שנה",'רווחה - קליטה'!$AF$5:$AF$204,0)),""))</f>
        <v/>
      </c>
      <c r="E28" s="45">
        <f>IF($A28="","",IFERROR(AVERAGEIFS('רווחה - קליטה'!$AR$5:$AR$204,'רווחה - קליטה'!$A$5:$A$204,$A28,'רווחה - קליטה'!$C$5:$C$204,"אמצע שנה"),""))</f>
        <v/>
      </c>
      <c r="F28" s="37">
        <f>IF($A28="","",IFERROR(AVERAGEIFS('רווחה - קליטה'!$AL$5:$AL$204,'רווחה - קליטה'!$A$5:$A$204,$A28,'רווחה - קליטה'!$C$5:$C$204,"אמצע שנה"),""))</f>
        <v/>
      </c>
      <c r="G28" s="36">
        <f>IF($A28="","",IFERROR(INDEX('רווחה - קליטה'!$AT$5:$AT$204,MATCH($A28&amp;"|אמצע שנה",'רווחה - קליטה'!$AF$5:$AF$204,0)),""))</f>
        <v/>
      </c>
      <c r="H28" s="45">
        <f>IF($A28="","",IFERROR(AVERAGEIFS('רווחה - קליטה'!$AR$5:$AR$204,'רווחה - קליטה'!$A$5:$A$204,$A28,'רווחה - קליטה'!$C$5:$C$204,"סוף שנה"),""))</f>
        <v/>
      </c>
      <c r="I28" s="37">
        <f>IF($A28="","",IFERROR(AVERAGEIFS('רווחה - קליטה'!$AL$5:$AL$204,'רווחה - קליטה'!$A$5:$A$204,$A28,'רווחה - קליטה'!$C$5:$C$204,"סוף שנה"),""))</f>
        <v/>
      </c>
      <c r="J28" s="36">
        <f>IF($A28="","",IFERROR(INDEX('רווחה - קליטה'!$AT$5:$AT$204,MATCH($A28&amp;"|סוף שנה",'רווחה - קליטה'!$AF$5:$AF$204,0)),""))</f>
        <v/>
      </c>
      <c r="K28" s="46">
        <f>IF(AND(ISNUMBER(B28),ISNUMBER(H28)),H28-B28,"")</f>
        <v/>
      </c>
      <c r="L28" s="36">
        <f>IF(K28="","",IF(K28&gt;=0.5,"עלייה",IF(K28&lt;=-0.5,"ירידה","יציב")))</f>
        <v/>
      </c>
    </row>
    <row r="29">
      <c r="A29" s="38" t="n"/>
      <c r="B29" s="45">
        <f>IF($A29="","",IFERROR(AVERAGEIFS('רווחה - קליטה'!$AR$5:$AR$204,'רווחה - קליטה'!$A$5:$A$204,$A29,'רווחה - קליטה'!$C$5:$C$204,"תחילת שנה"),""))</f>
        <v/>
      </c>
      <c r="C29" s="37">
        <f>IF($A29="","",IFERROR(AVERAGEIFS('רווחה - קליטה'!$AL$5:$AL$204,'רווחה - קליטה'!$A$5:$A$204,$A29,'רווחה - קליטה'!$C$5:$C$204,"תחילת שנה"),""))</f>
        <v/>
      </c>
      <c r="D29" s="36">
        <f>IF($A29="","",IFERROR(INDEX('רווחה - קליטה'!$AT$5:$AT$204,MATCH($A29&amp;"|תחילת שנה",'רווחה - קליטה'!$AF$5:$AF$204,0)),""))</f>
        <v/>
      </c>
      <c r="E29" s="45">
        <f>IF($A29="","",IFERROR(AVERAGEIFS('רווחה - קליטה'!$AR$5:$AR$204,'רווחה - קליטה'!$A$5:$A$204,$A29,'רווחה - קליטה'!$C$5:$C$204,"אמצע שנה"),""))</f>
        <v/>
      </c>
      <c r="F29" s="37">
        <f>IF($A29="","",IFERROR(AVERAGEIFS('רווחה - קליטה'!$AL$5:$AL$204,'רווחה - קליטה'!$A$5:$A$204,$A29,'רווחה - קליטה'!$C$5:$C$204,"אמצע שנה"),""))</f>
        <v/>
      </c>
      <c r="G29" s="36">
        <f>IF($A29="","",IFERROR(INDEX('רווחה - קליטה'!$AT$5:$AT$204,MATCH($A29&amp;"|אמצע שנה",'רווחה - קליטה'!$AF$5:$AF$204,0)),""))</f>
        <v/>
      </c>
      <c r="H29" s="45">
        <f>IF($A29="","",IFERROR(AVERAGEIFS('רווחה - קליטה'!$AR$5:$AR$204,'רווחה - קליטה'!$A$5:$A$204,$A29,'רווחה - קליטה'!$C$5:$C$204,"סוף שנה"),""))</f>
        <v/>
      </c>
      <c r="I29" s="37">
        <f>IF($A29="","",IFERROR(AVERAGEIFS('רווחה - קליטה'!$AL$5:$AL$204,'רווחה - קליטה'!$A$5:$A$204,$A29,'רווחה - קליטה'!$C$5:$C$204,"סוף שנה"),""))</f>
        <v/>
      </c>
      <c r="J29" s="36">
        <f>IF($A29="","",IFERROR(INDEX('רווחה - קליטה'!$AT$5:$AT$204,MATCH($A29&amp;"|סוף שנה",'רווחה - קליטה'!$AF$5:$AF$204,0)),""))</f>
        <v/>
      </c>
      <c r="K29" s="46">
        <f>IF(AND(ISNUMBER(B29),ISNUMBER(H29)),H29-B29,"")</f>
        <v/>
      </c>
      <c r="L29" s="36">
        <f>IF(K29="","",IF(K29&gt;=0.5,"עלייה",IF(K29&lt;=-0.5,"ירידה","יציב")))</f>
        <v/>
      </c>
    </row>
    <row r="30">
      <c r="A30" s="38" t="n"/>
      <c r="B30" s="45">
        <f>IF($A30="","",IFERROR(AVERAGEIFS('רווחה - קליטה'!$AR$5:$AR$204,'רווחה - קליטה'!$A$5:$A$204,$A30,'רווחה - קליטה'!$C$5:$C$204,"תחילת שנה"),""))</f>
        <v/>
      </c>
      <c r="C30" s="37">
        <f>IF($A30="","",IFERROR(AVERAGEIFS('רווחה - קליטה'!$AL$5:$AL$204,'רווחה - קליטה'!$A$5:$A$204,$A30,'רווחה - קליטה'!$C$5:$C$204,"תחילת שנה"),""))</f>
        <v/>
      </c>
      <c r="D30" s="36">
        <f>IF($A30="","",IFERROR(INDEX('רווחה - קליטה'!$AT$5:$AT$204,MATCH($A30&amp;"|תחילת שנה",'רווחה - קליטה'!$AF$5:$AF$204,0)),""))</f>
        <v/>
      </c>
      <c r="E30" s="45">
        <f>IF($A30="","",IFERROR(AVERAGEIFS('רווחה - קליטה'!$AR$5:$AR$204,'רווחה - קליטה'!$A$5:$A$204,$A30,'רווחה - קליטה'!$C$5:$C$204,"אמצע שנה"),""))</f>
        <v/>
      </c>
      <c r="F30" s="37">
        <f>IF($A30="","",IFERROR(AVERAGEIFS('רווחה - קליטה'!$AL$5:$AL$204,'רווחה - קליטה'!$A$5:$A$204,$A30,'רווחה - קליטה'!$C$5:$C$204,"אמצע שנה"),""))</f>
        <v/>
      </c>
      <c r="G30" s="36">
        <f>IF($A30="","",IFERROR(INDEX('רווחה - קליטה'!$AT$5:$AT$204,MATCH($A30&amp;"|אמצע שנה",'רווחה - קליטה'!$AF$5:$AF$204,0)),""))</f>
        <v/>
      </c>
      <c r="H30" s="45">
        <f>IF($A30="","",IFERROR(AVERAGEIFS('רווחה - קליטה'!$AR$5:$AR$204,'רווחה - קליטה'!$A$5:$A$204,$A30,'רווחה - קליטה'!$C$5:$C$204,"סוף שנה"),""))</f>
        <v/>
      </c>
      <c r="I30" s="37">
        <f>IF($A30="","",IFERROR(AVERAGEIFS('רווחה - קליטה'!$AL$5:$AL$204,'רווחה - קליטה'!$A$5:$A$204,$A30,'רווחה - קליטה'!$C$5:$C$204,"סוף שנה"),""))</f>
        <v/>
      </c>
      <c r="J30" s="36">
        <f>IF($A30="","",IFERROR(INDEX('רווחה - קליטה'!$AT$5:$AT$204,MATCH($A30&amp;"|סוף שנה",'רווחה - קליטה'!$AF$5:$AF$204,0)),""))</f>
        <v/>
      </c>
      <c r="K30" s="46">
        <f>IF(AND(ISNUMBER(B30),ISNUMBER(H30)),H30-B30,"")</f>
        <v/>
      </c>
      <c r="L30" s="36">
        <f>IF(K30="","",IF(K30&gt;=0.5,"עלייה",IF(K30&lt;=-0.5,"ירידה","יציב")))</f>
        <v/>
      </c>
    </row>
    <row r="31">
      <c r="A31" s="38" t="n"/>
      <c r="B31" s="45">
        <f>IF($A31="","",IFERROR(AVERAGEIFS('רווחה - קליטה'!$AR$5:$AR$204,'רווחה - קליטה'!$A$5:$A$204,$A31,'רווחה - קליטה'!$C$5:$C$204,"תחילת שנה"),""))</f>
        <v/>
      </c>
      <c r="C31" s="37">
        <f>IF($A31="","",IFERROR(AVERAGEIFS('רווחה - קליטה'!$AL$5:$AL$204,'רווחה - קליטה'!$A$5:$A$204,$A31,'רווחה - קליטה'!$C$5:$C$204,"תחילת שנה"),""))</f>
        <v/>
      </c>
      <c r="D31" s="36">
        <f>IF($A31="","",IFERROR(INDEX('רווחה - קליטה'!$AT$5:$AT$204,MATCH($A31&amp;"|תחילת שנה",'רווחה - קליטה'!$AF$5:$AF$204,0)),""))</f>
        <v/>
      </c>
      <c r="E31" s="45">
        <f>IF($A31="","",IFERROR(AVERAGEIFS('רווחה - קליטה'!$AR$5:$AR$204,'רווחה - קליטה'!$A$5:$A$204,$A31,'רווחה - קליטה'!$C$5:$C$204,"אמצע שנה"),""))</f>
        <v/>
      </c>
      <c r="F31" s="37">
        <f>IF($A31="","",IFERROR(AVERAGEIFS('רווחה - קליטה'!$AL$5:$AL$204,'רווחה - קליטה'!$A$5:$A$204,$A31,'רווחה - קליטה'!$C$5:$C$204,"אמצע שנה"),""))</f>
        <v/>
      </c>
      <c r="G31" s="36">
        <f>IF($A31="","",IFERROR(INDEX('רווחה - קליטה'!$AT$5:$AT$204,MATCH($A31&amp;"|אמצע שנה",'רווחה - קליטה'!$AF$5:$AF$204,0)),""))</f>
        <v/>
      </c>
      <c r="H31" s="45">
        <f>IF($A31="","",IFERROR(AVERAGEIFS('רווחה - קליטה'!$AR$5:$AR$204,'רווחה - קליטה'!$A$5:$A$204,$A31,'רווחה - קליטה'!$C$5:$C$204,"סוף שנה"),""))</f>
        <v/>
      </c>
      <c r="I31" s="37">
        <f>IF($A31="","",IFERROR(AVERAGEIFS('רווחה - קליטה'!$AL$5:$AL$204,'רווחה - קליטה'!$A$5:$A$204,$A31,'רווחה - קליטה'!$C$5:$C$204,"סוף שנה"),""))</f>
        <v/>
      </c>
      <c r="J31" s="36">
        <f>IF($A31="","",IFERROR(INDEX('רווחה - קליטה'!$AT$5:$AT$204,MATCH($A31&amp;"|סוף שנה",'רווחה - קליטה'!$AF$5:$AF$204,0)),""))</f>
        <v/>
      </c>
      <c r="K31" s="46">
        <f>IF(AND(ISNUMBER(B31),ISNUMBER(H31)),H31-B31,"")</f>
        <v/>
      </c>
      <c r="L31" s="36">
        <f>IF(K31="","",IF(K31&gt;=0.5,"עלייה",IF(K31&lt;=-0.5,"ירידה","יציב")))</f>
        <v/>
      </c>
    </row>
    <row r="32">
      <c r="A32" s="38" t="n"/>
      <c r="B32" s="45">
        <f>IF($A32="","",IFERROR(AVERAGEIFS('רווחה - קליטה'!$AR$5:$AR$204,'רווחה - קליטה'!$A$5:$A$204,$A32,'רווחה - קליטה'!$C$5:$C$204,"תחילת שנה"),""))</f>
        <v/>
      </c>
      <c r="C32" s="37">
        <f>IF($A32="","",IFERROR(AVERAGEIFS('רווחה - קליטה'!$AL$5:$AL$204,'רווחה - קליטה'!$A$5:$A$204,$A32,'רווחה - קליטה'!$C$5:$C$204,"תחילת שנה"),""))</f>
        <v/>
      </c>
      <c r="D32" s="36">
        <f>IF($A32="","",IFERROR(INDEX('רווחה - קליטה'!$AT$5:$AT$204,MATCH($A32&amp;"|תחילת שנה",'רווחה - קליטה'!$AF$5:$AF$204,0)),""))</f>
        <v/>
      </c>
      <c r="E32" s="45">
        <f>IF($A32="","",IFERROR(AVERAGEIFS('רווחה - קליטה'!$AR$5:$AR$204,'רווחה - קליטה'!$A$5:$A$204,$A32,'רווחה - קליטה'!$C$5:$C$204,"אמצע שנה"),""))</f>
        <v/>
      </c>
      <c r="F32" s="37">
        <f>IF($A32="","",IFERROR(AVERAGEIFS('רווחה - קליטה'!$AL$5:$AL$204,'רווחה - קליטה'!$A$5:$A$204,$A32,'רווחה - קליטה'!$C$5:$C$204,"אמצע שנה"),""))</f>
        <v/>
      </c>
      <c r="G32" s="36">
        <f>IF($A32="","",IFERROR(INDEX('רווחה - קליטה'!$AT$5:$AT$204,MATCH($A32&amp;"|אמצע שנה",'רווחה - קליטה'!$AF$5:$AF$204,0)),""))</f>
        <v/>
      </c>
      <c r="H32" s="45">
        <f>IF($A32="","",IFERROR(AVERAGEIFS('רווחה - קליטה'!$AR$5:$AR$204,'רווחה - קליטה'!$A$5:$A$204,$A32,'רווחה - קליטה'!$C$5:$C$204,"סוף שנה"),""))</f>
        <v/>
      </c>
      <c r="I32" s="37">
        <f>IF($A32="","",IFERROR(AVERAGEIFS('רווחה - קליטה'!$AL$5:$AL$204,'רווחה - קליטה'!$A$5:$A$204,$A32,'רווחה - קליטה'!$C$5:$C$204,"סוף שנה"),""))</f>
        <v/>
      </c>
      <c r="J32" s="36">
        <f>IF($A32="","",IFERROR(INDEX('רווחה - קליטה'!$AT$5:$AT$204,MATCH($A32&amp;"|סוף שנה",'רווחה - קליטה'!$AF$5:$AF$204,0)),""))</f>
        <v/>
      </c>
      <c r="K32" s="46">
        <f>IF(AND(ISNUMBER(B32),ISNUMBER(H32)),H32-B32,"")</f>
        <v/>
      </c>
      <c r="L32" s="36">
        <f>IF(K32="","",IF(K32&gt;=0.5,"עלייה",IF(K32&lt;=-0.5,"ירידה","יציב")))</f>
        <v/>
      </c>
    </row>
    <row r="33">
      <c r="A33" s="38" t="n"/>
      <c r="B33" s="45">
        <f>IF($A33="","",IFERROR(AVERAGEIFS('רווחה - קליטה'!$AR$5:$AR$204,'רווחה - קליטה'!$A$5:$A$204,$A33,'רווחה - קליטה'!$C$5:$C$204,"תחילת שנה"),""))</f>
        <v/>
      </c>
      <c r="C33" s="37">
        <f>IF($A33="","",IFERROR(AVERAGEIFS('רווחה - קליטה'!$AL$5:$AL$204,'רווחה - קליטה'!$A$5:$A$204,$A33,'רווחה - קליטה'!$C$5:$C$204,"תחילת שנה"),""))</f>
        <v/>
      </c>
      <c r="D33" s="36">
        <f>IF($A33="","",IFERROR(INDEX('רווחה - קליטה'!$AT$5:$AT$204,MATCH($A33&amp;"|תחילת שנה",'רווחה - קליטה'!$AF$5:$AF$204,0)),""))</f>
        <v/>
      </c>
      <c r="E33" s="45">
        <f>IF($A33="","",IFERROR(AVERAGEIFS('רווחה - קליטה'!$AR$5:$AR$204,'רווחה - קליטה'!$A$5:$A$204,$A33,'רווחה - קליטה'!$C$5:$C$204,"אמצע שנה"),""))</f>
        <v/>
      </c>
      <c r="F33" s="37">
        <f>IF($A33="","",IFERROR(AVERAGEIFS('רווחה - קליטה'!$AL$5:$AL$204,'רווחה - קליטה'!$A$5:$A$204,$A33,'רווחה - קליטה'!$C$5:$C$204,"אמצע שנה"),""))</f>
        <v/>
      </c>
      <c r="G33" s="36">
        <f>IF($A33="","",IFERROR(INDEX('רווחה - קליטה'!$AT$5:$AT$204,MATCH($A33&amp;"|אמצע שנה",'רווחה - קליטה'!$AF$5:$AF$204,0)),""))</f>
        <v/>
      </c>
      <c r="H33" s="45">
        <f>IF($A33="","",IFERROR(AVERAGEIFS('רווחה - קליטה'!$AR$5:$AR$204,'רווחה - קליטה'!$A$5:$A$204,$A33,'רווחה - קליטה'!$C$5:$C$204,"סוף שנה"),""))</f>
        <v/>
      </c>
      <c r="I33" s="37">
        <f>IF($A33="","",IFERROR(AVERAGEIFS('רווחה - קליטה'!$AL$5:$AL$204,'רווחה - קליטה'!$A$5:$A$204,$A33,'רווחה - קליטה'!$C$5:$C$204,"סוף שנה"),""))</f>
        <v/>
      </c>
      <c r="J33" s="36">
        <f>IF($A33="","",IFERROR(INDEX('רווחה - קליטה'!$AT$5:$AT$204,MATCH($A33&amp;"|סוף שנה",'רווחה - קליטה'!$AF$5:$AF$204,0)),""))</f>
        <v/>
      </c>
      <c r="K33" s="46">
        <f>IF(AND(ISNUMBER(B33),ISNUMBER(H33)),H33-B33,"")</f>
        <v/>
      </c>
      <c r="L33" s="36">
        <f>IF(K33="","",IF(K33&gt;=0.5,"עלייה",IF(K33&lt;=-0.5,"ירידה","יציב")))</f>
        <v/>
      </c>
    </row>
    <row r="34">
      <c r="A34" s="38" t="n"/>
      <c r="B34" s="45">
        <f>IF($A34="","",IFERROR(AVERAGEIFS('רווחה - קליטה'!$AR$5:$AR$204,'רווחה - קליטה'!$A$5:$A$204,$A34,'רווחה - קליטה'!$C$5:$C$204,"תחילת שנה"),""))</f>
        <v/>
      </c>
      <c r="C34" s="37">
        <f>IF($A34="","",IFERROR(AVERAGEIFS('רווחה - קליטה'!$AL$5:$AL$204,'רווחה - קליטה'!$A$5:$A$204,$A34,'רווחה - קליטה'!$C$5:$C$204,"תחילת שנה"),""))</f>
        <v/>
      </c>
      <c r="D34" s="36">
        <f>IF($A34="","",IFERROR(INDEX('רווחה - קליטה'!$AT$5:$AT$204,MATCH($A34&amp;"|תחילת שנה",'רווחה - קליטה'!$AF$5:$AF$204,0)),""))</f>
        <v/>
      </c>
      <c r="E34" s="45">
        <f>IF($A34="","",IFERROR(AVERAGEIFS('רווחה - קליטה'!$AR$5:$AR$204,'רווחה - קליטה'!$A$5:$A$204,$A34,'רווחה - קליטה'!$C$5:$C$204,"אמצע שנה"),""))</f>
        <v/>
      </c>
      <c r="F34" s="37">
        <f>IF($A34="","",IFERROR(AVERAGEIFS('רווחה - קליטה'!$AL$5:$AL$204,'רווחה - קליטה'!$A$5:$A$204,$A34,'רווחה - קליטה'!$C$5:$C$204,"אמצע שנה"),""))</f>
        <v/>
      </c>
      <c r="G34" s="36">
        <f>IF($A34="","",IFERROR(INDEX('רווחה - קליטה'!$AT$5:$AT$204,MATCH($A34&amp;"|אמצע שנה",'רווחה - קליטה'!$AF$5:$AF$204,0)),""))</f>
        <v/>
      </c>
      <c r="H34" s="45">
        <f>IF($A34="","",IFERROR(AVERAGEIFS('רווחה - קליטה'!$AR$5:$AR$204,'רווחה - קליטה'!$A$5:$A$204,$A34,'רווחה - קליטה'!$C$5:$C$204,"סוף שנה"),""))</f>
        <v/>
      </c>
      <c r="I34" s="37">
        <f>IF($A34="","",IFERROR(AVERAGEIFS('רווחה - קליטה'!$AL$5:$AL$204,'רווחה - קליטה'!$A$5:$A$204,$A34,'רווחה - קליטה'!$C$5:$C$204,"סוף שנה"),""))</f>
        <v/>
      </c>
      <c r="J34" s="36">
        <f>IF($A34="","",IFERROR(INDEX('רווחה - קליטה'!$AT$5:$AT$204,MATCH($A34&amp;"|סוף שנה",'רווחה - קליטה'!$AF$5:$AF$204,0)),""))</f>
        <v/>
      </c>
      <c r="K34" s="46">
        <f>IF(AND(ISNUMBER(B34),ISNUMBER(H34)),H34-B34,"")</f>
        <v/>
      </c>
      <c r="L34" s="36">
        <f>IF(K34="","",IF(K34&gt;=0.5,"עלייה",IF(K34&lt;=-0.5,"ירידה","יציב")))</f>
        <v/>
      </c>
    </row>
    <row r="35">
      <c r="A35" s="38" t="n"/>
      <c r="B35" s="45">
        <f>IF($A35="","",IFERROR(AVERAGEIFS('רווחה - קליטה'!$AR$5:$AR$204,'רווחה - קליטה'!$A$5:$A$204,$A35,'רווחה - קליטה'!$C$5:$C$204,"תחילת שנה"),""))</f>
        <v/>
      </c>
      <c r="C35" s="37">
        <f>IF($A35="","",IFERROR(AVERAGEIFS('רווחה - קליטה'!$AL$5:$AL$204,'רווחה - קליטה'!$A$5:$A$204,$A35,'רווחה - קליטה'!$C$5:$C$204,"תחילת שנה"),""))</f>
        <v/>
      </c>
      <c r="D35" s="36">
        <f>IF($A35="","",IFERROR(INDEX('רווחה - קליטה'!$AT$5:$AT$204,MATCH($A35&amp;"|תחילת שנה",'רווחה - קליטה'!$AF$5:$AF$204,0)),""))</f>
        <v/>
      </c>
      <c r="E35" s="45">
        <f>IF($A35="","",IFERROR(AVERAGEIFS('רווחה - קליטה'!$AR$5:$AR$204,'רווחה - קליטה'!$A$5:$A$204,$A35,'רווחה - קליטה'!$C$5:$C$204,"אמצע שנה"),""))</f>
        <v/>
      </c>
      <c r="F35" s="37">
        <f>IF($A35="","",IFERROR(AVERAGEIFS('רווחה - קליטה'!$AL$5:$AL$204,'רווחה - קליטה'!$A$5:$A$204,$A35,'רווחה - קליטה'!$C$5:$C$204,"אמצע שנה"),""))</f>
        <v/>
      </c>
      <c r="G35" s="36">
        <f>IF($A35="","",IFERROR(INDEX('רווחה - קליטה'!$AT$5:$AT$204,MATCH($A35&amp;"|אמצע שנה",'רווחה - קליטה'!$AF$5:$AF$204,0)),""))</f>
        <v/>
      </c>
      <c r="H35" s="45">
        <f>IF($A35="","",IFERROR(AVERAGEIFS('רווחה - קליטה'!$AR$5:$AR$204,'רווחה - קליטה'!$A$5:$A$204,$A35,'רווחה - קליטה'!$C$5:$C$204,"סוף שנה"),""))</f>
        <v/>
      </c>
      <c r="I35" s="37">
        <f>IF($A35="","",IFERROR(AVERAGEIFS('רווחה - קליטה'!$AL$5:$AL$204,'רווחה - קליטה'!$A$5:$A$204,$A35,'רווחה - קליטה'!$C$5:$C$204,"סוף שנה"),""))</f>
        <v/>
      </c>
      <c r="J35" s="36">
        <f>IF($A35="","",IFERROR(INDEX('רווחה - קליטה'!$AT$5:$AT$204,MATCH($A35&amp;"|סוף שנה",'רווחה - קליטה'!$AF$5:$AF$204,0)),""))</f>
        <v/>
      </c>
      <c r="K35" s="46">
        <f>IF(AND(ISNUMBER(B35),ISNUMBER(H35)),H35-B35,"")</f>
        <v/>
      </c>
      <c r="L35" s="36">
        <f>IF(K35="","",IF(K35&gt;=0.5,"עלייה",IF(K35&lt;=-0.5,"ירידה","יציב")))</f>
        <v/>
      </c>
    </row>
    <row r="36">
      <c r="A36" s="38" t="n"/>
      <c r="B36" s="45">
        <f>IF($A36="","",IFERROR(AVERAGEIFS('רווחה - קליטה'!$AR$5:$AR$204,'רווחה - קליטה'!$A$5:$A$204,$A36,'רווחה - קליטה'!$C$5:$C$204,"תחילת שנה"),""))</f>
        <v/>
      </c>
      <c r="C36" s="37">
        <f>IF($A36="","",IFERROR(AVERAGEIFS('רווחה - קליטה'!$AL$5:$AL$204,'רווחה - קליטה'!$A$5:$A$204,$A36,'רווחה - קליטה'!$C$5:$C$204,"תחילת שנה"),""))</f>
        <v/>
      </c>
      <c r="D36" s="36">
        <f>IF($A36="","",IFERROR(INDEX('רווחה - קליטה'!$AT$5:$AT$204,MATCH($A36&amp;"|תחילת שנה",'רווחה - קליטה'!$AF$5:$AF$204,0)),""))</f>
        <v/>
      </c>
      <c r="E36" s="45">
        <f>IF($A36="","",IFERROR(AVERAGEIFS('רווחה - קליטה'!$AR$5:$AR$204,'רווחה - קליטה'!$A$5:$A$204,$A36,'רווחה - קליטה'!$C$5:$C$204,"אמצע שנה"),""))</f>
        <v/>
      </c>
      <c r="F36" s="37">
        <f>IF($A36="","",IFERROR(AVERAGEIFS('רווחה - קליטה'!$AL$5:$AL$204,'רווחה - קליטה'!$A$5:$A$204,$A36,'רווחה - קליטה'!$C$5:$C$204,"אמצע שנה"),""))</f>
        <v/>
      </c>
      <c r="G36" s="36">
        <f>IF($A36="","",IFERROR(INDEX('רווחה - קליטה'!$AT$5:$AT$204,MATCH($A36&amp;"|אמצע שנה",'רווחה - קליטה'!$AF$5:$AF$204,0)),""))</f>
        <v/>
      </c>
      <c r="H36" s="45">
        <f>IF($A36="","",IFERROR(AVERAGEIFS('רווחה - קליטה'!$AR$5:$AR$204,'רווחה - קליטה'!$A$5:$A$204,$A36,'רווחה - קליטה'!$C$5:$C$204,"סוף שנה"),""))</f>
        <v/>
      </c>
      <c r="I36" s="37">
        <f>IF($A36="","",IFERROR(AVERAGEIFS('רווחה - קליטה'!$AL$5:$AL$204,'רווחה - קליטה'!$A$5:$A$204,$A36,'רווחה - קליטה'!$C$5:$C$204,"סוף שנה"),""))</f>
        <v/>
      </c>
      <c r="J36" s="36">
        <f>IF($A36="","",IFERROR(INDEX('רווחה - קליטה'!$AT$5:$AT$204,MATCH($A36&amp;"|סוף שנה",'רווחה - קליטה'!$AF$5:$AF$204,0)),""))</f>
        <v/>
      </c>
      <c r="K36" s="46">
        <f>IF(AND(ISNUMBER(B36),ISNUMBER(H36)),H36-B36,"")</f>
        <v/>
      </c>
      <c r="L36" s="36">
        <f>IF(K36="","",IF(K36&gt;=0.5,"עלייה",IF(K36&lt;=-0.5,"ירידה","יציב")))</f>
        <v/>
      </c>
    </row>
    <row r="37">
      <c r="A37" s="38" t="n"/>
      <c r="B37" s="45">
        <f>IF($A37="","",IFERROR(AVERAGEIFS('רווחה - קליטה'!$AR$5:$AR$204,'רווחה - קליטה'!$A$5:$A$204,$A37,'רווחה - קליטה'!$C$5:$C$204,"תחילת שנה"),""))</f>
        <v/>
      </c>
      <c r="C37" s="37">
        <f>IF($A37="","",IFERROR(AVERAGEIFS('רווחה - קליטה'!$AL$5:$AL$204,'רווחה - קליטה'!$A$5:$A$204,$A37,'רווחה - קליטה'!$C$5:$C$204,"תחילת שנה"),""))</f>
        <v/>
      </c>
      <c r="D37" s="36">
        <f>IF($A37="","",IFERROR(INDEX('רווחה - קליטה'!$AT$5:$AT$204,MATCH($A37&amp;"|תחילת שנה",'רווחה - קליטה'!$AF$5:$AF$204,0)),""))</f>
        <v/>
      </c>
      <c r="E37" s="45">
        <f>IF($A37="","",IFERROR(AVERAGEIFS('רווחה - קליטה'!$AR$5:$AR$204,'רווחה - קליטה'!$A$5:$A$204,$A37,'רווחה - קליטה'!$C$5:$C$204,"אמצע שנה"),""))</f>
        <v/>
      </c>
      <c r="F37" s="37">
        <f>IF($A37="","",IFERROR(AVERAGEIFS('רווחה - קליטה'!$AL$5:$AL$204,'רווחה - קליטה'!$A$5:$A$204,$A37,'רווחה - קליטה'!$C$5:$C$204,"אמצע שנה"),""))</f>
        <v/>
      </c>
      <c r="G37" s="36">
        <f>IF($A37="","",IFERROR(INDEX('רווחה - קליטה'!$AT$5:$AT$204,MATCH($A37&amp;"|אמצע שנה",'רווחה - קליטה'!$AF$5:$AF$204,0)),""))</f>
        <v/>
      </c>
      <c r="H37" s="45">
        <f>IF($A37="","",IFERROR(AVERAGEIFS('רווחה - קליטה'!$AR$5:$AR$204,'רווחה - קליטה'!$A$5:$A$204,$A37,'רווחה - קליטה'!$C$5:$C$204,"סוף שנה"),""))</f>
        <v/>
      </c>
      <c r="I37" s="37">
        <f>IF($A37="","",IFERROR(AVERAGEIFS('רווחה - קליטה'!$AL$5:$AL$204,'רווחה - קליטה'!$A$5:$A$204,$A37,'רווחה - קליטה'!$C$5:$C$204,"סוף שנה"),""))</f>
        <v/>
      </c>
      <c r="J37" s="36">
        <f>IF($A37="","",IFERROR(INDEX('רווחה - קליטה'!$AT$5:$AT$204,MATCH($A37&amp;"|סוף שנה",'רווחה - קליטה'!$AF$5:$AF$204,0)),""))</f>
        <v/>
      </c>
      <c r="K37" s="46">
        <f>IF(AND(ISNUMBER(B37),ISNUMBER(H37)),H37-B37,"")</f>
        <v/>
      </c>
      <c r="L37" s="36">
        <f>IF(K37="","",IF(K37&gt;=0.5,"עלייה",IF(K37&lt;=-0.5,"ירידה","יציב")))</f>
        <v/>
      </c>
    </row>
    <row r="38">
      <c r="A38" s="38" t="n"/>
      <c r="B38" s="45">
        <f>IF($A38="","",IFERROR(AVERAGEIFS('רווחה - קליטה'!$AR$5:$AR$204,'רווחה - קליטה'!$A$5:$A$204,$A38,'רווחה - קליטה'!$C$5:$C$204,"תחילת שנה"),""))</f>
        <v/>
      </c>
      <c r="C38" s="37">
        <f>IF($A38="","",IFERROR(AVERAGEIFS('רווחה - קליטה'!$AL$5:$AL$204,'רווחה - קליטה'!$A$5:$A$204,$A38,'רווחה - קליטה'!$C$5:$C$204,"תחילת שנה"),""))</f>
        <v/>
      </c>
      <c r="D38" s="36">
        <f>IF($A38="","",IFERROR(INDEX('רווחה - קליטה'!$AT$5:$AT$204,MATCH($A38&amp;"|תחילת שנה",'רווחה - קליטה'!$AF$5:$AF$204,0)),""))</f>
        <v/>
      </c>
      <c r="E38" s="45">
        <f>IF($A38="","",IFERROR(AVERAGEIFS('רווחה - קליטה'!$AR$5:$AR$204,'רווחה - קליטה'!$A$5:$A$204,$A38,'רווחה - קליטה'!$C$5:$C$204,"אמצע שנה"),""))</f>
        <v/>
      </c>
      <c r="F38" s="37">
        <f>IF($A38="","",IFERROR(AVERAGEIFS('רווחה - קליטה'!$AL$5:$AL$204,'רווחה - קליטה'!$A$5:$A$204,$A38,'רווחה - קליטה'!$C$5:$C$204,"אמצע שנה"),""))</f>
        <v/>
      </c>
      <c r="G38" s="36">
        <f>IF($A38="","",IFERROR(INDEX('רווחה - קליטה'!$AT$5:$AT$204,MATCH($A38&amp;"|אמצע שנה",'רווחה - קליטה'!$AF$5:$AF$204,0)),""))</f>
        <v/>
      </c>
      <c r="H38" s="45">
        <f>IF($A38="","",IFERROR(AVERAGEIFS('רווחה - קליטה'!$AR$5:$AR$204,'רווחה - קליטה'!$A$5:$A$204,$A38,'רווחה - קליטה'!$C$5:$C$204,"סוף שנה"),""))</f>
        <v/>
      </c>
      <c r="I38" s="37">
        <f>IF($A38="","",IFERROR(AVERAGEIFS('רווחה - קליטה'!$AL$5:$AL$204,'רווחה - קליטה'!$A$5:$A$204,$A38,'רווחה - קליטה'!$C$5:$C$204,"סוף שנה"),""))</f>
        <v/>
      </c>
      <c r="J38" s="36">
        <f>IF($A38="","",IFERROR(INDEX('רווחה - קליטה'!$AT$5:$AT$204,MATCH($A38&amp;"|סוף שנה",'רווחה - קליטה'!$AF$5:$AF$204,0)),""))</f>
        <v/>
      </c>
      <c r="K38" s="46">
        <f>IF(AND(ISNUMBER(B38),ISNUMBER(H38)),H38-B38,"")</f>
        <v/>
      </c>
      <c r="L38" s="36">
        <f>IF(K38="","",IF(K38&gt;=0.5,"עלייה",IF(K38&lt;=-0.5,"ירידה","יציב")))</f>
        <v/>
      </c>
    </row>
    <row r="39">
      <c r="A39" s="38" t="n"/>
      <c r="B39" s="45">
        <f>IF($A39="","",IFERROR(AVERAGEIFS('רווחה - קליטה'!$AR$5:$AR$204,'רווחה - קליטה'!$A$5:$A$204,$A39,'רווחה - קליטה'!$C$5:$C$204,"תחילת שנה"),""))</f>
        <v/>
      </c>
      <c r="C39" s="37">
        <f>IF($A39="","",IFERROR(AVERAGEIFS('רווחה - קליטה'!$AL$5:$AL$204,'רווחה - קליטה'!$A$5:$A$204,$A39,'רווחה - קליטה'!$C$5:$C$204,"תחילת שנה"),""))</f>
        <v/>
      </c>
      <c r="D39" s="36">
        <f>IF($A39="","",IFERROR(INDEX('רווחה - קליטה'!$AT$5:$AT$204,MATCH($A39&amp;"|תחילת שנה",'רווחה - קליטה'!$AF$5:$AF$204,0)),""))</f>
        <v/>
      </c>
      <c r="E39" s="45">
        <f>IF($A39="","",IFERROR(AVERAGEIFS('רווחה - קליטה'!$AR$5:$AR$204,'רווחה - קליטה'!$A$5:$A$204,$A39,'רווחה - קליטה'!$C$5:$C$204,"אמצע שנה"),""))</f>
        <v/>
      </c>
      <c r="F39" s="37">
        <f>IF($A39="","",IFERROR(AVERAGEIFS('רווחה - קליטה'!$AL$5:$AL$204,'רווחה - קליטה'!$A$5:$A$204,$A39,'רווחה - קליטה'!$C$5:$C$204,"אמצע שנה"),""))</f>
        <v/>
      </c>
      <c r="G39" s="36">
        <f>IF($A39="","",IFERROR(INDEX('רווחה - קליטה'!$AT$5:$AT$204,MATCH($A39&amp;"|אמצע שנה",'רווחה - קליטה'!$AF$5:$AF$204,0)),""))</f>
        <v/>
      </c>
      <c r="H39" s="45">
        <f>IF($A39="","",IFERROR(AVERAGEIFS('רווחה - קליטה'!$AR$5:$AR$204,'רווחה - קליטה'!$A$5:$A$204,$A39,'רווחה - קליטה'!$C$5:$C$204,"סוף שנה"),""))</f>
        <v/>
      </c>
      <c r="I39" s="37">
        <f>IF($A39="","",IFERROR(AVERAGEIFS('רווחה - קליטה'!$AL$5:$AL$204,'רווחה - קליטה'!$A$5:$A$204,$A39,'רווחה - קליטה'!$C$5:$C$204,"סוף שנה"),""))</f>
        <v/>
      </c>
      <c r="J39" s="36">
        <f>IF($A39="","",IFERROR(INDEX('רווחה - קליטה'!$AT$5:$AT$204,MATCH($A39&amp;"|סוף שנה",'רווחה - קליטה'!$AF$5:$AF$204,0)),""))</f>
        <v/>
      </c>
      <c r="K39" s="46">
        <f>IF(AND(ISNUMBER(B39),ISNUMBER(H39)),H39-B39,"")</f>
        <v/>
      </c>
      <c r="L39" s="36">
        <f>IF(K39="","",IF(K39&gt;=0.5,"עלייה",IF(K39&lt;=-0.5,"ירידה","יציב")))</f>
        <v/>
      </c>
    </row>
    <row r="40">
      <c r="A40" s="38" t="n"/>
      <c r="B40" s="45">
        <f>IF($A40="","",IFERROR(AVERAGEIFS('רווחה - קליטה'!$AR$5:$AR$204,'רווחה - קליטה'!$A$5:$A$204,$A40,'רווחה - קליטה'!$C$5:$C$204,"תחילת שנה"),""))</f>
        <v/>
      </c>
      <c r="C40" s="37">
        <f>IF($A40="","",IFERROR(AVERAGEIFS('רווחה - קליטה'!$AL$5:$AL$204,'רווחה - קליטה'!$A$5:$A$204,$A40,'רווחה - קליטה'!$C$5:$C$204,"תחילת שנה"),""))</f>
        <v/>
      </c>
      <c r="D40" s="36">
        <f>IF($A40="","",IFERROR(INDEX('רווחה - קליטה'!$AT$5:$AT$204,MATCH($A40&amp;"|תחילת שנה",'רווחה - קליטה'!$AF$5:$AF$204,0)),""))</f>
        <v/>
      </c>
      <c r="E40" s="45">
        <f>IF($A40="","",IFERROR(AVERAGEIFS('רווחה - קליטה'!$AR$5:$AR$204,'רווחה - קליטה'!$A$5:$A$204,$A40,'רווחה - קליטה'!$C$5:$C$204,"אמצע שנה"),""))</f>
        <v/>
      </c>
      <c r="F40" s="37">
        <f>IF($A40="","",IFERROR(AVERAGEIFS('רווחה - קליטה'!$AL$5:$AL$204,'רווחה - קליטה'!$A$5:$A$204,$A40,'רווחה - קליטה'!$C$5:$C$204,"אמצע שנה"),""))</f>
        <v/>
      </c>
      <c r="G40" s="36">
        <f>IF($A40="","",IFERROR(INDEX('רווחה - קליטה'!$AT$5:$AT$204,MATCH($A40&amp;"|אמצע שנה",'רווחה - קליטה'!$AF$5:$AF$204,0)),""))</f>
        <v/>
      </c>
      <c r="H40" s="45">
        <f>IF($A40="","",IFERROR(AVERAGEIFS('רווחה - קליטה'!$AR$5:$AR$204,'רווחה - קליטה'!$A$5:$A$204,$A40,'רווחה - קליטה'!$C$5:$C$204,"סוף שנה"),""))</f>
        <v/>
      </c>
      <c r="I40" s="37">
        <f>IF($A40="","",IFERROR(AVERAGEIFS('רווחה - קליטה'!$AL$5:$AL$204,'רווחה - קליטה'!$A$5:$A$204,$A40,'רווחה - קליטה'!$C$5:$C$204,"סוף שנה"),""))</f>
        <v/>
      </c>
      <c r="J40" s="36">
        <f>IF($A40="","",IFERROR(INDEX('רווחה - קליטה'!$AT$5:$AT$204,MATCH($A40&amp;"|סוף שנה",'רווחה - קליטה'!$AF$5:$AF$204,0)),""))</f>
        <v/>
      </c>
      <c r="K40" s="46">
        <f>IF(AND(ISNUMBER(B40),ISNUMBER(H40)),H40-B40,"")</f>
        <v/>
      </c>
      <c r="L40" s="36">
        <f>IF(K40="","",IF(K40&gt;=0.5,"עלייה",IF(K40&lt;=-0.5,"ירידה","יציב")))</f>
        <v/>
      </c>
    </row>
    <row r="41">
      <c r="A41" s="38" t="n"/>
      <c r="B41" s="45">
        <f>IF($A41="","",IFERROR(AVERAGEIFS('רווחה - קליטה'!$AR$5:$AR$204,'רווחה - קליטה'!$A$5:$A$204,$A41,'רווחה - קליטה'!$C$5:$C$204,"תחילת שנה"),""))</f>
        <v/>
      </c>
      <c r="C41" s="37">
        <f>IF($A41="","",IFERROR(AVERAGEIFS('רווחה - קליטה'!$AL$5:$AL$204,'רווחה - קליטה'!$A$5:$A$204,$A41,'רווחה - קליטה'!$C$5:$C$204,"תחילת שנה"),""))</f>
        <v/>
      </c>
      <c r="D41" s="36">
        <f>IF($A41="","",IFERROR(INDEX('רווחה - קליטה'!$AT$5:$AT$204,MATCH($A41&amp;"|תחילת שנה",'רווחה - קליטה'!$AF$5:$AF$204,0)),""))</f>
        <v/>
      </c>
      <c r="E41" s="45">
        <f>IF($A41="","",IFERROR(AVERAGEIFS('רווחה - קליטה'!$AR$5:$AR$204,'רווחה - קליטה'!$A$5:$A$204,$A41,'רווחה - קליטה'!$C$5:$C$204,"אמצע שנה"),""))</f>
        <v/>
      </c>
      <c r="F41" s="37">
        <f>IF($A41="","",IFERROR(AVERAGEIFS('רווחה - קליטה'!$AL$5:$AL$204,'רווחה - קליטה'!$A$5:$A$204,$A41,'רווחה - קליטה'!$C$5:$C$204,"אמצע שנה"),""))</f>
        <v/>
      </c>
      <c r="G41" s="36">
        <f>IF($A41="","",IFERROR(INDEX('רווחה - קליטה'!$AT$5:$AT$204,MATCH($A41&amp;"|אמצע שנה",'רווחה - קליטה'!$AF$5:$AF$204,0)),""))</f>
        <v/>
      </c>
      <c r="H41" s="45">
        <f>IF($A41="","",IFERROR(AVERAGEIFS('רווחה - קליטה'!$AR$5:$AR$204,'רווחה - קליטה'!$A$5:$A$204,$A41,'רווחה - קליטה'!$C$5:$C$204,"סוף שנה"),""))</f>
        <v/>
      </c>
      <c r="I41" s="37">
        <f>IF($A41="","",IFERROR(AVERAGEIFS('רווחה - קליטה'!$AL$5:$AL$204,'רווחה - קליטה'!$A$5:$A$204,$A41,'רווחה - קליטה'!$C$5:$C$204,"סוף שנה"),""))</f>
        <v/>
      </c>
      <c r="J41" s="36">
        <f>IF($A41="","",IFERROR(INDEX('רווחה - קליטה'!$AT$5:$AT$204,MATCH($A41&amp;"|סוף שנה",'רווחה - קליטה'!$AF$5:$AF$204,0)),""))</f>
        <v/>
      </c>
      <c r="K41" s="46">
        <f>IF(AND(ISNUMBER(B41),ISNUMBER(H41)),H41-B41,"")</f>
        <v/>
      </c>
      <c r="L41" s="36">
        <f>IF(K41="","",IF(K41&gt;=0.5,"עלייה",IF(K41&lt;=-0.5,"ירידה","יציב")))</f>
        <v/>
      </c>
    </row>
    <row r="42">
      <c r="A42" s="38" t="n"/>
      <c r="B42" s="45">
        <f>IF($A42="","",IFERROR(AVERAGEIFS('רווחה - קליטה'!$AR$5:$AR$204,'רווחה - קליטה'!$A$5:$A$204,$A42,'רווחה - קליטה'!$C$5:$C$204,"תחילת שנה"),""))</f>
        <v/>
      </c>
      <c r="C42" s="37">
        <f>IF($A42="","",IFERROR(AVERAGEIFS('רווחה - קליטה'!$AL$5:$AL$204,'רווחה - קליטה'!$A$5:$A$204,$A42,'רווחה - קליטה'!$C$5:$C$204,"תחילת שנה"),""))</f>
        <v/>
      </c>
      <c r="D42" s="36">
        <f>IF($A42="","",IFERROR(INDEX('רווחה - קליטה'!$AT$5:$AT$204,MATCH($A42&amp;"|תחילת שנה",'רווחה - קליטה'!$AF$5:$AF$204,0)),""))</f>
        <v/>
      </c>
      <c r="E42" s="45">
        <f>IF($A42="","",IFERROR(AVERAGEIFS('רווחה - קליטה'!$AR$5:$AR$204,'רווחה - קליטה'!$A$5:$A$204,$A42,'רווחה - קליטה'!$C$5:$C$204,"אמצע שנה"),""))</f>
        <v/>
      </c>
      <c r="F42" s="37">
        <f>IF($A42="","",IFERROR(AVERAGEIFS('רווחה - קליטה'!$AL$5:$AL$204,'רווחה - קליטה'!$A$5:$A$204,$A42,'רווחה - קליטה'!$C$5:$C$204,"אמצע שנה"),""))</f>
        <v/>
      </c>
      <c r="G42" s="36">
        <f>IF($A42="","",IFERROR(INDEX('רווחה - קליטה'!$AT$5:$AT$204,MATCH($A42&amp;"|אמצע שנה",'רווחה - קליטה'!$AF$5:$AF$204,0)),""))</f>
        <v/>
      </c>
      <c r="H42" s="45">
        <f>IF($A42="","",IFERROR(AVERAGEIFS('רווחה - קליטה'!$AR$5:$AR$204,'רווחה - קליטה'!$A$5:$A$204,$A42,'רווחה - קליטה'!$C$5:$C$204,"סוף שנה"),""))</f>
        <v/>
      </c>
      <c r="I42" s="37">
        <f>IF($A42="","",IFERROR(AVERAGEIFS('רווחה - קליטה'!$AL$5:$AL$204,'רווחה - קליטה'!$A$5:$A$204,$A42,'רווחה - קליטה'!$C$5:$C$204,"סוף שנה"),""))</f>
        <v/>
      </c>
      <c r="J42" s="36">
        <f>IF($A42="","",IFERROR(INDEX('רווחה - קליטה'!$AT$5:$AT$204,MATCH($A42&amp;"|סוף שנה",'רווחה - קליטה'!$AF$5:$AF$204,0)),""))</f>
        <v/>
      </c>
      <c r="K42" s="46">
        <f>IF(AND(ISNUMBER(B42),ISNUMBER(H42)),H42-B42,"")</f>
        <v/>
      </c>
      <c r="L42" s="36">
        <f>IF(K42="","",IF(K42&gt;=0.5,"עלייה",IF(K42&lt;=-0.5,"ירידה","יציב")))</f>
        <v/>
      </c>
    </row>
    <row r="43">
      <c r="A43" s="38" t="n"/>
      <c r="B43" s="45">
        <f>IF($A43="","",IFERROR(AVERAGEIFS('רווחה - קליטה'!$AR$5:$AR$204,'רווחה - קליטה'!$A$5:$A$204,$A43,'רווחה - קליטה'!$C$5:$C$204,"תחילת שנה"),""))</f>
        <v/>
      </c>
      <c r="C43" s="37">
        <f>IF($A43="","",IFERROR(AVERAGEIFS('רווחה - קליטה'!$AL$5:$AL$204,'רווחה - קליטה'!$A$5:$A$204,$A43,'רווחה - קליטה'!$C$5:$C$204,"תחילת שנה"),""))</f>
        <v/>
      </c>
      <c r="D43" s="36">
        <f>IF($A43="","",IFERROR(INDEX('רווחה - קליטה'!$AT$5:$AT$204,MATCH($A43&amp;"|תחילת שנה",'רווחה - קליטה'!$AF$5:$AF$204,0)),""))</f>
        <v/>
      </c>
      <c r="E43" s="45">
        <f>IF($A43="","",IFERROR(AVERAGEIFS('רווחה - קליטה'!$AR$5:$AR$204,'רווחה - קליטה'!$A$5:$A$204,$A43,'רווחה - קליטה'!$C$5:$C$204,"אמצע שנה"),""))</f>
        <v/>
      </c>
      <c r="F43" s="37">
        <f>IF($A43="","",IFERROR(AVERAGEIFS('רווחה - קליטה'!$AL$5:$AL$204,'רווחה - קליטה'!$A$5:$A$204,$A43,'רווחה - קליטה'!$C$5:$C$204,"אמצע שנה"),""))</f>
        <v/>
      </c>
      <c r="G43" s="36">
        <f>IF($A43="","",IFERROR(INDEX('רווחה - קליטה'!$AT$5:$AT$204,MATCH($A43&amp;"|אמצע שנה",'רווחה - קליטה'!$AF$5:$AF$204,0)),""))</f>
        <v/>
      </c>
      <c r="H43" s="45">
        <f>IF($A43="","",IFERROR(AVERAGEIFS('רווחה - קליטה'!$AR$5:$AR$204,'רווחה - קליטה'!$A$5:$A$204,$A43,'רווחה - קליטה'!$C$5:$C$204,"סוף שנה"),""))</f>
        <v/>
      </c>
      <c r="I43" s="37">
        <f>IF($A43="","",IFERROR(AVERAGEIFS('רווחה - קליטה'!$AL$5:$AL$204,'רווחה - קליטה'!$A$5:$A$204,$A43,'רווחה - קליטה'!$C$5:$C$204,"סוף שנה"),""))</f>
        <v/>
      </c>
      <c r="J43" s="36">
        <f>IF($A43="","",IFERROR(INDEX('רווחה - קליטה'!$AT$5:$AT$204,MATCH($A43&amp;"|סוף שנה",'רווחה - קליטה'!$AF$5:$AF$204,0)),""))</f>
        <v/>
      </c>
      <c r="K43" s="46">
        <f>IF(AND(ISNUMBER(B43),ISNUMBER(H43)),H43-B43,"")</f>
        <v/>
      </c>
      <c r="L43" s="36">
        <f>IF(K43="","",IF(K43&gt;=0.5,"עלייה",IF(K43&lt;=-0.5,"ירידה","יציב")))</f>
        <v/>
      </c>
    </row>
    <row r="44">
      <c r="A44" s="38" t="n"/>
      <c r="B44" s="45">
        <f>IF($A44="","",IFERROR(AVERAGEIFS('רווחה - קליטה'!$AR$5:$AR$204,'רווחה - קליטה'!$A$5:$A$204,$A44,'רווחה - קליטה'!$C$5:$C$204,"תחילת שנה"),""))</f>
        <v/>
      </c>
      <c r="C44" s="37">
        <f>IF($A44="","",IFERROR(AVERAGEIFS('רווחה - קליטה'!$AL$5:$AL$204,'רווחה - קליטה'!$A$5:$A$204,$A44,'רווחה - קליטה'!$C$5:$C$204,"תחילת שנה"),""))</f>
        <v/>
      </c>
      <c r="D44" s="36">
        <f>IF($A44="","",IFERROR(INDEX('רווחה - קליטה'!$AT$5:$AT$204,MATCH($A44&amp;"|תחילת שנה",'רווחה - קליטה'!$AF$5:$AF$204,0)),""))</f>
        <v/>
      </c>
      <c r="E44" s="45">
        <f>IF($A44="","",IFERROR(AVERAGEIFS('רווחה - קליטה'!$AR$5:$AR$204,'רווחה - קליטה'!$A$5:$A$204,$A44,'רווחה - קליטה'!$C$5:$C$204,"אמצע שנה"),""))</f>
        <v/>
      </c>
      <c r="F44" s="37">
        <f>IF($A44="","",IFERROR(AVERAGEIFS('רווחה - קליטה'!$AL$5:$AL$204,'רווחה - קליטה'!$A$5:$A$204,$A44,'רווחה - קליטה'!$C$5:$C$204,"אמצע שנה"),""))</f>
        <v/>
      </c>
      <c r="G44" s="36">
        <f>IF($A44="","",IFERROR(INDEX('רווחה - קליטה'!$AT$5:$AT$204,MATCH($A44&amp;"|אמצע שנה",'רווחה - קליטה'!$AF$5:$AF$204,0)),""))</f>
        <v/>
      </c>
      <c r="H44" s="45">
        <f>IF($A44="","",IFERROR(AVERAGEIFS('רווחה - קליטה'!$AR$5:$AR$204,'רווחה - קליטה'!$A$5:$A$204,$A44,'רווחה - קליטה'!$C$5:$C$204,"סוף שנה"),""))</f>
        <v/>
      </c>
      <c r="I44" s="37">
        <f>IF($A44="","",IFERROR(AVERAGEIFS('רווחה - קליטה'!$AL$5:$AL$204,'רווחה - קליטה'!$A$5:$A$204,$A44,'רווחה - קליטה'!$C$5:$C$204,"סוף שנה"),""))</f>
        <v/>
      </c>
      <c r="J44" s="36">
        <f>IF($A44="","",IFERROR(INDEX('רווחה - קליטה'!$AT$5:$AT$204,MATCH($A44&amp;"|סוף שנה",'רווחה - קליטה'!$AF$5:$AF$204,0)),""))</f>
        <v/>
      </c>
      <c r="K44" s="46">
        <f>IF(AND(ISNUMBER(B44),ISNUMBER(H44)),H44-B44,"")</f>
        <v/>
      </c>
      <c r="L44" s="36">
        <f>IF(K44="","",IF(K44&gt;=0.5,"עלייה",IF(K44&lt;=-0.5,"ירידה","יציב")))</f>
        <v/>
      </c>
    </row>
    <row r="45">
      <c r="A45" s="38" t="n"/>
      <c r="B45" s="45">
        <f>IF($A45="","",IFERROR(AVERAGEIFS('רווחה - קליטה'!$AR$5:$AR$204,'רווחה - קליטה'!$A$5:$A$204,$A45,'רווחה - קליטה'!$C$5:$C$204,"תחילת שנה"),""))</f>
        <v/>
      </c>
      <c r="C45" s="37">
        <f>IF($A45="","",IFERROR(AVERAGEIFS('רווחה - קליטה'!$AL$5:$AL$204,'רווחה - קליטה'!$A$5:$A$204,$A45,'רווחה - קליטה'!$C$5:$C$204,"תחילת שנה"),""))</f>
        <v/>
      </c>
      <c r="D45" s="36">
        <f>IF($A45="","",IFERROR(INDEX('רווחה - קליטה'!$AT$5:$AT$204,MATCH($A45&amp;"|תחילת שנה",'רווחה - קליטה'!$AF$5:$AF$204,0)),""))</f>
        <v/>
      </c>
      <c r="E45" s="45">
        <f>IF($A45="","",IFERROR(AVERAGEIFS('רווחה - קליטה'!$AR$5:$AR$204,'רווחה - קליטה'!$A$5:$A$204,$A45,'רווחה - קליטה'!$C$5:$C$204,"אמצע שנה"),""))</f>
        <v/>
      </c>
      <c r="F45" s="37">
        <f>IF($A45="","",IFERROR(AVERAGEIFS('רווחה - קליטה'!$AL$5:$AL$204,'רווחה - קליטה'!$A$5:$A$204,$A45,'רווחה - קליטה'!$C$5:$C$204,"אמצע שנה"),""))</f>
        <v/>
      </c>
      <c r="G45" s="36">
        <f>IF($A45="","",IFERROR(INDEX('רווחה - קליטה'!$AT$5:$AT$204,MATCH($A45&amp;"|אמצע שנה",'רווחה - קליטה'!$AF$5:$AF$204,0)),""))</f>
        <v/>
      </c>
      <c r="H45" s="45">
        <f>IF($A45="","",IFERROR(AVERAGEIFS('רווחה - קליטה'!$AR$5:$AR$204,'רווחה - קליטה'!$A$5:$A$204,$A45,'רווחה - קליטה'!$C$5:$C$204,"סוף שנה"),""))</f>
        <v/>
      </c>
      <c r="I45" s="37">
        <f>IF($A45="","",IFERROR(AVERAGEIFS('רווחה - קליטה'!$AL$5:$AL$204,'רווחה - קליטה'!$A$5:$A$204,$A45,'רווחה - קליטה'!$C$5:$C$204,"סוף שנה"),""))</f>
        <v/>
      </c>
      <c r="J45" s="36">
        <f>IF($A45="","",IFERROR(INDEX('רווחה - קליטה'!$AT$5:$AT$204,MATCH($A45&amp;"|סוף שנה",'רווחה - קליטה'!$AF$5:$AF$204,0)),""))</f>
        <v/>
      </c>
      <c r="K45" s="46">
        <f>IF(AND(ISNUMBER(B45),ISNUMBER(H45)),H45-B45,"")</f>
        <v/>
      </c>
      <c r="L45" s="36">
        <f>IF(K45="","",IF(K45&gt;=0.5,"עלייה",IF(K45&lt;=-0.5,"ירידה","יציב")))</f>
        <v/>
      </c>
    </row>
    <row r="46">
      <c r="A46" s="38" t="n"/>
      <c r="B46" s="45">
        <f>IF($A46="","",IFERROR(AVERAGEIFS('רווחה - קליטה'!$AR$5:$AR$204,'רווחה - קליטה'!$A$5:$A$204,$A46,'רווחה - קליטה'!$C$5:$C$204,"תחילת שנה"),""))</f>
        <v/>
      </c>
      <c r="C46" s="37">
        <f>IF($A46="","",IFERROR(AVERAGEIFS('רווחה - קליטה'!$AL$5:$AL$204,'רווחה - קליטה'!$A$5:$A$204,$A46,'רווחה - קליטה'!$C$5:$C$204,"תחילת שנה"),""))</f>
        <v/>
      </c>
      <c r="D46" s="36">
        <f>IF($A46="","",IFERROR(INDEX('רווחה - קליטה'!$AT$5:$AT$204,MATCH($A46&amp;"|תחילת שנה",'רווחה - קליטה'!$AF$5:$AF$204,0)),""))</f>
        <v/>
      </c>
      <c r="E46" s="45">
        <f>IF($A46="","",IFERROR(AVERAGEIFS('רווחה - קליטה'!$AR$5:$AR$204,'רווחה - קליטה'!$A$5:$A$204,$A46,'רווחה - קליטה'!$C$5:$C$204,"אמצע שנה"),""))</f>
        <v/>
      </c>
      <c r="F46" s="37">
        <f>IF($A46="","",IFERROR(AVERAGEIFS('רווחה - קליטה'!$AL$5:$AL$204,'רווחה - קליטה'!$A$5:$A$204,$A46,'רווחה - קליטה'!$C$5:$C$204,"אמצע שנה"),""))</f>
        <v/>
      </c>
      <c r="G46" s="36">
        <f>IF($A46="","",IFERROR(INDEX('רווחה - קליטה'!$AT$5:$AT$204,MATCH($A46&amp;"|אמצע שנה",'רווחה - קליטה'!$AF$5:$AF$204,0)),""))</f>
        <v/>
      </c>
      <c r="H46" s="45">
        <f>IF($A46="","",IFERROR(AVERAGEIFS('רווחה - קליטה'!$AR$5:$AR$204,'רווחה - קליטה'!$A$5:$A$204,$A46,'רווחה - קליטה'!$C$5:$C$204,"סוף שנה"),""))</f>
        <v/>
      </c>
      <c r="I46" s="37">
        <f>IF($A46="","",IFERROR(AVERAGEIFS('רווחה - קליטה'!$AL$5:$AL$204,'רווחה - קליטה'!$A$5:$A$204,$A46,'רווחה - קליטה'!$C$5:$C$204,"סוף שנה"),""))</f>
        <v/>
      </c>
      <c r="J46" s="36">
        <f>IF($A46="","",IFERROR(INDEX('רווחה - קליטה'!$AT$5:$AT$204,MATCH($A46&amp;"|סוף שנה",'רווחה - קליטה'!$AF$5:$AF$204,0)),""))</f>
        <v/>
      </c>
      <c r="K46" s="46">
        <f>IF(AND(ISNUMBER(B46),ISNUMBER(H46)),H46-B46,"")</f>
        <v/>
      </c>
      <c r="L46" s="36">
        <f>IF(K46="","",IF(K46&gt;=0.5,"עלייה",IF(K46&lt;=-0.5,"ירידה","יציב")))</f>
        <v/>
      </c>
    </row>
    <row r="47">
      <c r="A47" s="38" t="n"/>
      <c r="B47" s="45">
        <f>IF($A47="","",IFERROR(AVERAGEIFS('רווחה - קליטה'!$AR$5:$AR$204,'רווחה - קליטה'!$A$5:$A$204,$A47,'רווחה - קליטה'!$C$5:$C$204,"תחילת שנה"),""))</f>
        <v/>
      </c>
      <c r="C47" s="37">
        <f>IF($A47="","",IFERROR(AVERAGEIFS('רווחה - קליטה'!$AL$5:$AL$204,'רווחה - קליטה'!$A$5:$A$204,$A47,'רווחה - קליטה'!$C$5:$C$204,"תחילת שנה"),""))</f>
        <v/>
      </c>
      <c r="D47" s="36">
        <f>IF($A47="","",IFERROR(INDEX('רווחה - קליטה'!$AT$5:$AT$204,MATCH($A47&amp;"|תחילת שנה",'רווחה - קליטה'!$AF$5:$AF$204,0)),""))</f>
        <v/>
      </c>
      <c r="E47" s="45">
        <f>IF($A47="","",IFERROR(AVERAGEIFS('רווחה - קליטה'!$AR$5:$AR$204,'רווחה - קליטה'!$A$5:$A$204,$A47,'רווחה - קליטה'!$C$5:$C$204,"אמצע שנה"),""))</f>
        <v/>
      </c>
      <c r="F47" s="37">
        <f>IF($A47="","",IFERROR(AVERAGEIFS('רווחה - קליטה'!$AL$5:$AL$204,'רווחה - קליטה'!$A$5:$A$204,$A47,'רווחה - קליטה'!$C$5:$C$204,"אמצע שנה"),""))</f>
        <v/>
      </c>
      <c r="G47" s="36">
        <f>IF($A47="","",IFERROR(INDEX('רווחה - קליטה'!$AT$5:$AT$204,MATCH($A47&amp;"|אמצע שנה",'רווחה - קליטה'!$AF$5:$AF$204,0)),""))</f>
        <v/>
      </c>
      <c r="H47" s="45">
        <f>IF($A47="","",IFERROR(AVERAGEIFS('רווחה - קליטה'!$AR$5:$AR$204,'רווחה - קליטה'!$A$5:$A$204,$A47,'רווחה - קליטה'!$C$5:$C$204,"סוף שנה"),""))</f>
        <v/>
      </c>
      <c r="I47" s="37">
        <f>IF($A47="","",IFERROR(AVERAGEIFS('רווחה - קליטה'!$AL$5:$AL$204,'רווחה - קליטה'!$A$5:$A$204,$A47,'רווחה - קליטה'!$C$5:$C$204,"סוף שנה"),""))</f>
        <v/>
      </c>
      <c r="J47" s="36">
        <f>IF($A47="","",IFERROR(INDEX('רווחה - קליטה'!$AT$5:$AT$204,MATCH($A47&amp;"|סוף שנה",'רווחה - קליטה'!$AF$5:$AF$204,0)),""))</f>
        <v/>
      </c>
      <c r="K47" s="46">
        <f>IF(AND(ISNUMBER(B47),ISNUMBER(H47)),H47-B47,"")</f>
        <v/>
      </c>
      <c r="L47" s="36">
        <f>IF(K47="","",IF(K47&gt;=0.5,"עלייה",IF(K47&lt;=-0.5,"ירידה","יציב")))</f>
        <v/>
      </c>
    </row>
    <row r="48">
      <c r="A48" s="38" t="n"/>
      <c r="B48" s="45">
        <f>IF($A48="","",IFERROR(AVERAGEIFS('רווחה - קליטה'!$AR$5:$AR$204,'רווחה - קליטה'!$A$5:$A$204,$A48,'רווחה - קליטה'!$C$5:$C$204,"תחילת שנה"),""))</f>
        <v/>
      </c>
      <c r="C48" s="37">
        <f>IF($A48="","",IFERROR(AVERAGEIFS('רווחה - קליטה'!$AL$5:$AL$204,'רווחה - קליטה'!$A$5:$A$204,$A48,'רווחה - קליטה'!$C$5:$C$204,"תחילת שנה"),""))</f>
        <v/>
      </c>
      <c r="D48" s="36">
        <f>IF($A48="","",IFERROR(INDEX('רווחה - קליטה'!$AT$5:$AT$204,MATCH($A48&amp;"|תחילת שנה",'רווחה - קליטה'!$AF$5:$AF$204,0)),""))</f>
        <v/>
      </c>
      <c r="E48" s="45">
        <f>IF($A48="","",IFERROR(AVERAGEIFS('רווחה - קליטה'!$AR$5:$AR$204,'רווחה - קליטה'!$A$5:$A$204,$A48,'רווחה - קליטה'!$C$5:$C$204,"אמצע שנה"),""))</f>
        <v/>
      </c>
      <c r="F48" s="37">
        <f>IF($A48="","",IFERROR(AVERAGEIFS('רווחה - קליטה'!$AL$5:$AL$204,'רווחה - קליטה'!$A$5:$A$204,$A48,'רווחה - קליטה'!$C$5:$C$204,"אמצע שנה"),""))</f>
        <v/>
      </c>
      <c r="G48" s="36">
        <f>IF($A48="","",IFERROR(INDEX('רווחה - קליטה'!$AT$5:$AT$204,MATCH($A48&amp;"|אמצע שנה",'רווחה - קליטה'!$AF$5:$AF$204,0)),""))</f>
        <v/>
      </c>
      <c r="H48" s="45">
        <f>IF($A48="","",IFERROR(AVERAGEIFS('רווחה - קליטה'!$AR$5:$AR$204,'רווחה - קליטה'!$A$5:$A$204,$A48,'רווחה - קליטה'!$C$5:$C$204,"סוף שנה"),""))</f>
        <v/>
      </c>
      <c r="I48" s="37">
        <f>IF($A48="","",IFERROR(AVERAGEIFS('רווחה - קליטה'!$AL$5:$AL$204,'רווחה - קליטה'!$A$5:$A$204,$A48,'רווחה - קליטה'!$C$5:$C$204,"סוף שנה"),""))</f>
        <v/>
      </c>
      <c r="J48" s="36">
        <f>IF($A48="","",IFERROR(INDEX('רווחה - קליטה'!$AT$5:$AT$204,MATCH($A48&amp;"|סוף שנה",'רווחה - קליטה'!$AF$5:$AF$204,0)),""))</f>
        <v/>
      </c>
      <c r="K48" s="46">
        <f>IF(AND(ISNUMBER(B48),ISNUMBER(H48)),H48-B48,"")</f>
        <v/>
      </c>
      <c r="L48" s="36">
        <f>IF(K48="","",IF(K48&gt;=0.5,"עלייה",IF(K48&lt;=-0.5,"ירידה","יציב")))</f>
        <v/>
      </c>
    </row>
    <row r="49">
      <c r="A49" s="38" t="n"/>
      <c r="B49" s="45">
        <f>IF($A49="","",IFERROR(AVERAGEIFS('רווחה - קליטה'!$AR$5:$AR$204,'רווחה - קליטה'!$A$5:$A$204,$A49,'רווחה - קליטה'!$C$5:$C$204,"תחילת שנה"),""))</f>
        <v/>
      </c>
      <c r="C49" s="37">
        <f>IF($A49="","",IFERROR(AVERAGEIFS('רווחה - קליטה'!$AL$5:$AL$204,'רווחה - קליטה'!$A$5:$A$204,$A49,'רווחה - קליטה'!$C$5:$C$204,"תחילת שנה"),""))</f>
        <v/>
      </c>
      <c r="D49" s="36">
        <f>IF($A49="","",IFERROR(INDEX('רווחה - קליטה'!$AT$5:$AT$204,MATCH($A49&amp;"|תחילת שנה",'רווחה - קליטה'!$AF$5:$AF$204,0)),""))</f>
        <v/>
      </c>
      <c r="E49" s="45">
        <f>IF($A49="","",IFERROR(AVERAGEIFS('רווחה - קליטה'!$AR$5:$AR$204,'רווחה - קליטה'!$A$5:$A$204,$A49,'רווחה - קליטה'!$C$5:$C$204,"אמצע שנה"),""))</f>
        <v/>
      </c>
      <c r="F49" s="37">
        <f>IF($A49="","",IFERROR(AVERAGEIFS('רווחה - קליטה'!$AL$5:$AL$204,'רווחה - קליטה'!$A$5:$A$204,$A49,'רווחה - קליטה'!$C$5:$C$204,"אמצע שנה"),""))</f>
        <v/>
      </c>
      <c r="G49" s="36">
        <f>IF($A49="","",IFERROR(INDEX('רווחה - קליטה'!$AT$5:$AT$204,MATCH($A49&amp;"|אמצע שנה",'רווחה - קליטה'!$AF$5:$AF$204,0)),""))</f>
        <v/>
      </c>
      <c r="H49" s="45">
        <f>IF($A49="","",IFERROR(AVERAGEIFS('רווחה - קליטה'!$AR$5:$AR$204,'רווחה - קליטה'!$A$5:$A$204,$A49,'רווחה - קליטה'!$C$5:$C$204,"סוף שנה"),""))</f>
        <v/>
      </c>
      <c r="I49" s="37">
        <f>IF($A49="","",IFERROR(AVERAGEIFS('רווחה - קליטה'!$AL$5:$AL$204,'רווחה - קליטה'!$A$5:$A$204,$A49,'רווחה - קליטה'!$C$5:$C$204,"סוף שנה"),""))</f>
        <v/>
      </c>
      <c r="J49" s="36">
        <f>IF($A49="","",IFERROR(INDEX('רווחה - קליטה'!$AT$5:$AT$204,MATCH($A49&amp;"|סוף שנה",'רווחה - קליטה'!$AF$5:$AF$204,0)),""))</f>
        <v/>
      </c>
      <c r="K49" s="46">
        <f>IF(AND(ISNUMBER(B49),ISNUMBER(H49)),H49-B49,"")</f>
        <v/>
      </c>
      <c r="L49" s="36">
        <f>IF(K49="","",IF(K49&gt;=0.5,"עלייה",IF(K49&lt;=-0.5,"ירידה","יציב")))</f>
        <v/>
      </c>
    </row>
    <row r="50">
      <c r="A50" s="38" t="n"/>
      <c r="B50" s="45">
        <f>IF($A50="","",IFERROR(AVERAGEIFS('רווחה - קליטה'!$AR$5:$AR$204,'רווחה - קליטה'!$A$5:$A$204,$A50,'רווחה - קליטה'!$C$5:$C$204,"תחילת שנה"),""))</f>
        <v/>
      </c>
      <c r="C50" s="37">
        <f>IF($A50="","",IFERROR(AVERAGEIFS('רווחה - קליטה'!$AL$5:$AL$204,'רווחה - קליטה'!$A$5:$A$204,$A50,'רווחה - קליטה'!$C$5:$C$204,"תחילת שנה"),""))</f>
        <v/>
      </c>
      <c r="D50" s="36">
        <f>IF($A50="","",IFERROR(INDEX('רווחה - קליטה'!$AT$5:$AT$204,MATCH($A50&amp;"|תחילת שנה",'רווחה - קליטה'!$AF$5:$AF$204,0)),""))</f>
        <v/>
      </c>
      <c r="E50" s="45">
        <f>IF($A50="","",IFERROR(AVERAGEIFS('רווחה - קליטה'!$AR$5:$AR$204,'רווחה - קליטה'!$A$5:$A$204,$A50,'רווחה - קליטה'!$C$5:$C$204,"אמצע שנה"),""))</f>
        <v/>
      </c>
      <c r="F50" s="37">
        <f>IF($A50="","",IFERROR(AVERAGEIFS('רווחה - קליטה'!$AL$5:$AL$204,'רווחה - קליטה'!$A$5:$A$204,$A50,'רווחה - קליטה'!$C$5:$C$204,"אמצע שנה"),""))</f>
        <v/>
      </c>
      <c r="G50" s="36">
        <f>IF($A50="","",IFERROR(INDEX('רווחה - קליטה'!$AT$5:$AT$204,MATCH($A50&amp;"|אמצע שנה",'רווחה - קליטה'!$AF$5:$AF$204,0)),""))</f>
        <v/>
      </c>
      <c r="H50" s="45">
        <f>IF($A50="","",IFERROR(AVERAGEIFS('רווחה - קליטה'!$AR$5:$AR$204,'רווחה - קליטה'!$A$5:$A$204,$A50,'רווחה - קליטה'!$C$5:$C$204,"סוף שנה"),""))</f>
        <v/>
      </c>
      <c r="I50" s="37">
        <f>IF($A50="","",IFERROR(AVERAGEIFS('רווחה - קליטה'!$AL$5:$AL$204,'רווחה - קליטה'!$A$5:$A$204,$A50,'רווחה - קליטה'!$C$5:$C$204,"סוף שנה"),""))</f>
        <v/>
      </c>
      <c r="J50" s="36">
        <f>IF($A50="","",IFERROR(INDEX('רווחה - קליטה'!$AT$5:$AT$204,MATCH($A50&amp;"|סוף שנה",'רווחה - קליטה'!$AF$5:$AF$204,0)),""))</f>
        <v/>
      </c>
      <c r="K50" s="46">
        <f>IF(AND(ISNUMBER(B50),ISNUMBER(H50)),H50-B50,"")</f>
        <v/>
      </c>
      <c r="L50" s="36">
        <f>IF(K50="","",IF(K50&gt;=0.5,"עלייה",IF(K50&lt;=-0.5,"ירידה","יציב")))</f>
        <v/>
      </c>
    </row>
    <row r="51">
      <c r="A51" s="38" t="n"/>
      <c r="B51" s="45">
        <f>IF($A51="","",IFERROR(AVERAGEIFS('רווחה - קליטה'!$AR$5:$AR$204,'רווחה - קליטה'!$A$5:$A$204,$A51,'רווחה - קליטה'!$C$5:$C$204,"תחילת שנה"),""))</f>
        <v/>
      </c>
      <c r="C51" s="37">
        <f>IF($A51="","",IFERROR(AVERAGEIFS('רווחה - קליטה'!$AL$5:$AL$204,'רווחה - קליטה'!$A$5:$A$204,$A51,'רווחה - קליטה'!$C$5:$C$204,"תחילת שנה"),""))</f>
        <v/>
      </c>
      <c r="D51" s="36">
        <f>IF($A51="","",IFERROR(INDEX('רווחה - קליטה'!$AT$5:$AT$204,MATCH($A51&amp;"|תחילת שנה",'רווחה - קליטה'!$AF$5:$AF$204,0)),""))</f>
        <v/>
      </c>
      <c r="E51" s="45">
        <f>IF($A51="","",IFERROR(AVERAGEIFS('רווחה - קליטה'!$AR$5:$AR$204,'רווחה - קליטה'!$A$5:$A$204,$A51,'רווחה - קליטה'!$C$5:$C$204,"אמצע שנה"),""))</f>
        <v/>
      </c>
      <c r="F51" s="37">
        <f>IF($A51="","",IFERROR(AVERAGEIFS('רווחה - קליטה'!$AL$5:$AL$204,'רווחה - קליטה'!$A$5:$A$204,$A51,'רווחה - קליטה'!$C$5:$C$204,"אמצע שנה"),""))</f>
        <v/>
      </c>
      <c r="G51" s="36">
        <f>IF($A51="","",IFERROR(INDEX('רווחה - קליטה'!$AT$5:$AT$204,MATCH($A51&amp;"|אמצע שנה",'רווחה - קליטה'!$AF$5:$AF$204,0)),""))</f>
        <v/>
      </c>
      <c r="H51" s="45">
        <f>IF($A51="","",IFERROR(AVERAGEIFS('רווחה - קליטה'!$AR$5:$AR$204,'רווחה - קליטה'!$A$5:$A$204,$A51,'רווחה - קליטה'!$C$5:$C$204,"סוף שנה"),""))</f>
        <v/>
      </c>
      <c r="I51" s="37">
        <f>IF($A51="","",IFERROR(AVERAGEIFS('רווחה - קליטה'!$AL$5:$AL$204,'רווחה - קליטה'!$A$5:$A$204,$A51,'רווחה - קליטה'!$C$5:$C$204,"סוף שנה"),""))</f>
        <v/>
      </c>
      <c r="J51" s="36">
        <f>IF($A51="","",IFERROR(INDEX('רווחה - קליטה'!$AT$5:$AT$204,MATCH($A51&amp;"|סוף שנה",'רווחה - קליטה'!$AF$5:$AF$204,0)),""))</f>
        <v/>
      </c>
      <c r="K51" s="46">
        <f>IF(AND(ISNUMBER(B51),ISNUMBER(H51)),H51-B51,"")</f>
        <v/>
      </c>
      <c r="L51" s="36">
        <f>IF(K51="","",IF(K51&gt;=0.5,"עלייה",IF(K51&lt;=-0.5,"ירידה","יציב")))</f>
        <v/>
      </c>
    </row>
    <row r="52">
      <c r="A52" s="38" t="n"/>
      <c r="B52" s="45">
        <f>IF($A52="","",IFERROR(AVERAGEIFS('רווחה - קליטה'!$AR$5:$AR$204,'רווחה - קליטה'!$A$5:$A$204,$A52,'רווחה - קליטה'!$C$5:$C$204,"תחילת שנה"),""))</f>
        <v/>
      </c>
      <c r="C52" s="37">
        <f>IF($A52="","",IFERROR(AVERAGEIFS('רווחה - קליטה'!$AL$5:$AL$204,'רווחה - קליטה'!$A$5:$A$204,$A52,'רווחה - קליטה'!$C$5:$C$204,"תחילת שנה"),""))</f>
        <v/>
      </c>
      <c r="D52" s="36">
        <f>IF($A52="","",IFERROR(INDEX('רווחה - קליטה'!$AT$5:$AT$204,MATCH($A52&amp;"|תחילת שנה",'רווחה - קליטה'!$AF$5:$AF$204,0)),""))</f>
        <v/>
      </c>
      <c r="E52" s="45">
        <f>IF($A52="","",IFERROR(AVERAGEIFS('רווחה - קליטה'!$AR$5:$AR$204,'רווחה - קליטה'!$A$5:$A$204,$A52,'רווחה - קליטה'!$C$5:$C$204,"אמצע שנה"),""))</f>
        <v/>
      </c>
      <c r="F52" s="37">
        <f>IF($A52="","",IFERROR(AVERAGEIFS('רווחה - קליטה'!$AL$5:$AL$204,'רווחה - קליטה'!$A$5:$A$204,$A52,'רווחה - קליטה'!$C$5:$C$204,"אמצע שנה"),""))</f>
        <v/>
      </c>
      <c r="G52" s="36">
        <f>IF($A52="","",IFERROR(INDEX('רווחה - קליטה'!$AT$5:$AT$204,MATCH($A52&amp;"|אמצע שנה",'רווחה - קליטה'!$AF$5:$AF$204,0)),""))</f>
        <v/>
      </c>
      <c r="H52" s="45">
        <f>IF($A52="","",IFERROR(AVERAGEIFS('רווחה - קליטה'!$AR$5:$AR$204,'רווחה - קליטה'!$A$5:$A$204,$A52,'רווחה - קליטה'!$C$5:$C$204,"סוף שנה"),""))</f>
        <v/>
      </c>
      <c r="I52" s="37">
        <f>IF($A52="","",IFERROR(AVERAGEIFS('רווחה - קליטה'!$AL$5:$AL$204,'רווחה - קליטה'!$A$5:$A$204,$A52,'רווחה - קליטה'!$C$5:$C$204,"סוף שנה"),""))</f>
        <v/>
      </c>
      <c r="J52" s="36">
        <f>IF($A52="","",IFERROR(INDEX('רווחה - קליטה'!$AT$5:$AT$204,MATCH($A52&amp;"|סוף שנה",'רווחה - קליטה'!$AF$5:$AF$204,0)),""))</f>
        <v/>
      </c>
      <c r="K52" s="46">
        <f>IF(AND(ISNUMBER(B52),ISNUMBER(H52)),H52-B52,"")</f>
        <v/>
      </c>
      <c r="L52" s="36">
        <f>IF(K52="","",IF(K52&gt;=0.5,"עלייה",IF(K52&lt;=-0.5,"ירידה","יציב")))</f>
        <v/>
      </c>
    </row>
    <row r="53">
      <c r="A53" s="38" t="n"/>
      <c r="B53" s="45">
        <f>IF($A53="","",IFERROR(AVERAGEIFS('רווחה - קליטה'!$AR$5:$AR$204,'רווחה - קליטה'!$A$5:$A$204,$A53,'רווחה - קליטה'!$C$5:$C$204,"תחילת שנה"),""))</f>
        <v/>
      </c>
      <c r="C53" s="37">
        <f>IF($A53="","",IFERROR(AVERAGEIFS('רווחה - קליטה'!$AL$5:$AL$204,'רווחה - קליטה'!$A$5:$A$204,$A53,'רווחה - קליטה'!$C$5:$C$204,"תחילת שנה"),""))</f>
        <v/>
      </c>
      <c r="D53" s="36">
        <f>IF($A53="","",IFERROR(INDEX('רווחה - קליטה'!$AT$5:$AT$204,MATCH($A53&amp;"|תחילת שנה",'רווחה - קליטה'!$AF$5:$AF$204,0)),""))</f>
        <v/>
      </c>
      <c r="E53" s="45">
        <f>IF($A53="","",IFERROR(AVERAGEIFS('רווחה - קליטה'!$AR$5:$AR$204,'רווחה - קליטה'!$A$5:$A$204,$A53,'רווחה - קליטה'!$C$5:$C$204,"אמצע שנה"),""))</f>
        <v/>
      </c>
      <c r="F53" s="37">
        <f>IF($A53="","",IFERROR(AVERAGEIFS('רווחה - קליטה'!$AL$5:$AL$204,'רווחה - קליטה'!$A$5:$A$204,$A53,'רווחה - קליטה'!$C$5:$C$204,"אמצע שנה"),""))</f>
        <v/>
      </c>
      <c r="G53" s="36">
        <f>IF($A53="","",IFERROR(INDEX('רווחה - קליטה'!$AT$5:$AT$204,MATCH($A53&amp;"|אמצע שנה",'רווחה - קליטה'!$AF$5:$AF$204,0)),""))</f>
        <v/>
      </c>
      <c r="H53" s="45">
        <f>IF($A53="","",IFERROR(AVERAGEIFS('רווחה - קליטה'!$AR$5:$AR$204,'רווחה - קליטה'!$A$5:$A$204,$A53,'רווחה - קליטה'!$C$5:$C$204,"סוף שנה"),""))</f>
        <v/>
      </c>
      <c r="I53" s="37">
        <f>IF($A53="","",IFERROR(AVERAGEIFS('רווחה - קליטה'!$AL$5:$AL$204,'רווחה - קליטה'!$A$5:$A$204,$A53,'רווחה - קליטה'!$C$5:$C$204,"סוף שנה"),""))</f>
        <v/>
      </c>
      <c r="J53" s="36">
        <f>IF($A53="","",IFERROR(INDEX('רווחה - קליטה'!$AT$5:$AT$204,MATCH($A53&amp;"|סוף שנה",'רווחה - קליטה'!$AF$5:$AF$204,0)),""))</f>
        <v/>
      </c>
      <c r="K53" s="46">
        <f>IF(AND(ISNUMBER(B53),ISNUMBER(H53)),H53-B53,"")</f>
        <v/>
      </c>
      <c r="L53" s="36">
        <f>IF(K53="","",IF(K53&gt;=0.5,"עלייה",IF(K53&lt;=-0.5,"ירידה","יציב")))</f>
        <v/>
      </c>
    </row>
    <row r="54">
      <c r="A54" s="38" t="n"/>
      <c r="B54" s="45">
        <f>IF($A54="","",IFERROR(AVERAGEIFS('רווחה - קליטה'!$AR$5:$AR$204,'רווחה - קליטה'!$A$5:$A$204,$A54,'רווחה - קליטה'!$C$5:$C$204,"תחילת שנה"),""))</f>
        <v/>
      </c>
      <c r="C54" s="37">
        <f>IF($A54="","",IFERROR(AVERAGEIFS('רווחה - קליטה'!$AL$5:$AL$204,'רווחה - קליטה'!$A$5:$A$204,$A54,'רווחה - קליטה'!$C$5:$C$204,"תחילת שנה"),""))</f>
        <v/>
      </c>
      <c r="D54" s="36">
        <f>IF($A54="","",IFERROR(INDEX('רווחה - קליטה'!$AT$5:$AT$204,MATCH($A54&amp;"|תחילת שנה",'רווחה - קליטה'!$AF$5:$AF$204,0)),""))</f>
        <v/>
      </c>
      <c r="E54" s="45">
        <f>IF($A54="","",IFERROR(AVERAGEIFS('רווחה - קליטה'!$AR$5:$AR$204,'רווחה - קליטה'!$A$5:$A$204,$A54,'רווחה - קליטה'!$C$5:$C$204,"אמצע שנה"),""))</f>
        <v/>
      </c>
      <c r="F54" s="37">
        <f>IF($A54="","",IFERROR(AVERAGEIFS('רווחה - קליטה'!$AL$5:$AL$204,'רווחה - קליטה'!$A$5:$A$204,$A54,'רווחה - קליטה'!$C$5:$C$204,"אמצע שנה"),""))</f>
        <v/>
      </c>
      <c r="G54" s="36">
        <f>IF($A54="","",IFERROR(INDEX('רווחה - קליטה'!$AT$5:$AT$204,MATCH($A54&amp;"|אמצע שנה",'רווחה - קליטה'!$AF$5:$AF$204,0)),""))</f>
        <v/>
      </c>
      <c r="H54" s="45">
        <f>IF($A54="","",IFERROR(AVERAGEIFS('רווחה - קליטה'!$AR$5:$AR$204,'רווחה - קליטה'!$A$5:$A$204,$A54,'רווחה - קליטה'!$C$5:$C$204,"סוף שנה"),""))</f>
        <v/>
      </c>
      <c r="I54" s="37">
        <f>IF($A54="","",IFERROR(AVERAGEIFS('רווחה - קליטה'!$AL$5:$AL$204,'רווחה - קליטה'!$A$5:$A$204,$A54,'רווחה - קליטה'!$C$5:$C$204,"סוף שנה"),""))</f>
        <v/>
      </c>
      <c r="J54" s="36">
        <f>IF($A54="","",IFERROR(INDEX('רווחה - קליטה'!$AT$5:$AT$204,MATCH($A54&amp;"|סוף שנה",'רווחה - קליטה'!$AF$5:$AF$204,0)),""))</f>
        <v/>
      </c>
      <c r="K54" s="46">
        <f>IF(AND(ISNUMBER(B54),ISNUMBER(H54)),H54-B54,"")</f>
        <v/>
      </c>
      <c r="L54" s="36">
        <f>IF(K54="","",IF(K54&gt;=0.5,"עלייה",IF(K54&lt;=-0.5,"ירידה","יציב")))</f>
        <v/>
      </c>
    </row>
    <row r="55">
      <c r="A55" s="38" t="n"/>
      <c r="B55" s="45">
        <f>IF($A55="","",IFERROR(AVERAGEIFS('רווחה - קליטה'!$AR$5:$AR$204,'רווחה - קליטה'!$A$5:$A$204,$A55,'רווחה - קליטה'!$C$5:$C$204,"תחילת שנה"),""))</f>
        <v/>
      </c>
      <c r="C55" s="37">
        <f>IF($A55="","",IFERROR(AVERAGEIFS('רווחה - קליטה'!$AL$5:$AL$204,'רווחה - קליטה'!$A$5:$A$204,$A55,'רווחה - קליטה'!$C$5:$C$204,"תחילת שנה"),""))</f>
        <v/>
      </c>
      <c r="D55" s="36">
        <f>IF($A55="","",IFERROR(INDEX('רווחה - קליטה'!$AT$5:$AT$204,MATCH($A55&amp;"|תחילת שנה",'רווחה - קליטה'!$AF$5:$AF$204,0)),""))</f>
        <v/>
      </c>
      <c r="E55" s="45">
        <f>IF($A55="","",IFERROR(AVERAGEIFS('רווחה - קליטה'!$AR$5:$AR$204,'רווחה - קליטה'!$A$5:$A$204,$A55,'רווחה - קליטה'!$C$5:$C$204,"אמצע שנה"),""))</f>
        <v/>
      </c>
      <c r="F55" s="37">
        <f>IF($A55="","",IFERROR(AVERAGEIFS('רווחה - קליטה'!$AL$5:$AL$204,'רווחה - קליטה'!$A$5:$A$204,$A55,'רווחה - קליטה'!$C$5:$C$204,"אמצע שנה"),""))</f>
        <v/>
      </c>
      <c r="G55" s="36">
        <f>IF($A55="","",IFERROR(INDEX('רווחה - קליטה'!$AT$5:$AT$204,MATCH($A55&amp;"|אמצע שנה",'רווחה - קליטה'!$AF$5:$AF$204,0)),""))</f>
        <v/>
      </c>
      <c r="H55" s="45">
        <f>IF($A55="","",IFERROR(AVERAGEIFS('רווחה - קליטה'!$AR$5:$AR$204,'רווחה - קליטה'!$A$5:$A$204,$A55,'רווחה - קליטה'!$C$5:$C$204,"סוף שנה"),""))</f>
        <v/>
      </c>
      <c r="I55" s="37">
        <f>IF($A55="","",IFERROR(AVERAGEIFS('רווחה - קליטה'!$AL$5:$AL$204,'רווחה - קליטה'!$A$5:$A$204,$A55,'רווחה - קליטה'!$C$5:$C$204,"סוף שנה"),""))</f>
        <v/>
      </c>
      <c r="J55" s="36">
        <f>IF($A55="","",IFERROR(INDEX('רווחה - קליטה'!$AT$5:$AT$204,MATCH($A55&amp;"|סוף שנה",'רווחה - קליטה'!$AF$5:$AF$204,0)),""))</f>
        <v/>
      </c>
      <c r="K55" s="46">
        <f>IF(AND(ISNUMBER(B55),ISNUMBER(H55)),H55-B55,"")</f>
        <v/>
      </c>
      <c r="L55" s="36">
        <f>IF(K55="","",IF(K55&gt;=0.5,"עלייה",IF(K55&lt;=-0.5,"ירידה","יציב")))</f>
        <v/>
      </c>
    </row>
    <row r="56">
      <c r="A56" s="38" t="n"/>
      <c r="B56" s="45">
        <f>IF($A56="","",IFERROR(AVERAGEIFS('רווחה - קליטה'!$AR$5:$AR$204,'רווחה - קליטה'!$A$5:$A$204,$A56,'רווחה - קליטה'!$C$5:$C$204,"תחילת שנה"),""))</f>
        <v/>
      </c>
      <c r="C56" s="37">
        <f>IF($A56="","",IFERROR(AVERAGEIFS('רווחה - קליטה'!$AL$5:$AL$204,'רווחה - קליטה'!$A$5:$A$204,$A56,'רווחה - קליטה'!$C$5:$C$204,"תחילת שנה"),""))</f>
        <v/>
      </c>
      <c r="D56" s="36">
        <f>IF($A56="","",IFERROR(INDEX('רווחה - קליטה'!$AT$5:$AT$204,MATCH($A56&amp;"|תחילת שנה",'רווחה - קליטה'!$AF$5:$AF$204,0)),""))</f>
        <v/>
      </c>
      <c r="E56" s="45">
        <f>IF($A56="","",IFERROR(AVERAGEIFS('רווחה - קליטה'!$AR$5:$AR$204,'רווחה - קליטה'!$A$5:$A$204,$A56,'רווחה - קליטה'!$C$5:$C$204,"אמצע שנה"),""))</f>
        <v/>
      </c>
      <c r="F56" s="37">
        <f>IF($A56="","",IFERROR(AVERAGEIFS('רווחה - קליטה'!$AL$5:$AL$204,'רווחה - קליטה'!$A$5:$A$204,$A56,'רווחה - קליטה'!$C$5:$C$204,"אמצע שנה"),""))</f>
        <v/>
      </c>
      <c r="G56" s="36">
        <f>IF($A56="","",IFERROR(INDEX('רווחה - קליטה'!$AT$5:$AT$204,MATCH($A56&amp;"|אמצע שנה",'רווחה - קליטה'!$AF$5:$AF$204,0)),""))</f>
        <v/>
      </c>
      <c r="H56" s="45">
        <f>IF($A56="","",IFERROR(AVERAGEIFS('רווחה - קליטה'!$AR$5:$AR$204,'רווחה - קליטה'!$A$5:$A$204,$A56,'רווחה - קליטה'!$C$5:$C$204,"סוף שנה"),""))</f>
        <v/>
      </c>
      <c r="I56" s="37">
        <f>IF($A56="","",IFERROR(AVERAGEIFS('רווחה - קליטה'!$AL$5:$AL$204,'רווחה - קליטה'!$A$5:$A$204,$A56,'רווחה - קליטה'!$C$5:$C$204,"סוף שנה"),""))</f>
        <v/>
      </c>
      <c r="J56" s="36">
        <f>IF($A56="","",IFERROR(INDEX('רווחה - קליטה'!$AT$5:$AT$204,MATCH($A56&amp;"|סוף שנה",'רווחה - קליטה'!$AF$5:$AF$204,0)),""))</f>
        <v/>
      </c>
      <c r="K56" s="46">
        <f>IF(AND(ISNUMBER(B56),ISNUMBER(H56)),H56-B56,"")</f>
        <v/>
      </c>
      <c r="L56" s="36">
        <f>IF(K56="","",IF(K56&gt;=0.5,"עלייה",IF(K56&lt;=-0.5,"ירידה","יציב")))</f>
        <v/>
      </c>
    </row>
    <row r="57">
      <c r="A57" s="38" t="n"/>
      <c r="B57" s="45">
        <f>IF($A57="","",IFERROR(AVERAGEIFS('רווחה - קליטה'!$AR$5:$AR$204,'רווחה - קליטה'!$A$5:$A$204,$A57,'רווחה - קליטה'!$C$5:$C$204,"תחילת שנה"),""))</f>
        <v/>
      </c>
      <c r="C57" s="37">
        <f>IF($A57="","",IFERROR(AVERAGEIFS('רווחה - קליטה'!$AL$5:$AL$204,'רווחה - קליטה'!$A$5:$A$204,$A57,'רווחה - קליטה'!$C$5:$C$204,"תחילת שנה"),""))</f>
        <v/>
      </c>
      <c r="D57" s="36">
        <f>IF($A57="","",IFERROR(INDEX('רווחה - קליטה'!$AT$5:$AT$204,MATCH($A57&amp;"|תחילת שנה",'רווחה - קליטה'!$AF$5:$AF$204,0)),""))</f>
        <v/>
      </c>
      <c r="E57" s="45">
        <f>IF($A57="","",IFERROR(AVERAGEIFS('רווחה - קליטה'!$AR$5:$AR$204,'רווחה - קליטה'!$A$5:$A$204,$A57,'רווחה - קליטה'!$C$5:$C$204,"אמצע שנה"),""))</f>
        <v/>
      </c>
      <c r="F57" s="37">
        <f>IF($A57="","",IFERROR(AVERAGEIFS('רווחה - קליטה'!$AL$5:$AL$204,'רווחה - קליטה'!$A$5:$A$204,$A57,'רווחה - קליטה'!$C$5:$C$204,"אמצע שנה"),""))</f>
        <v/>
      </c>
      <c r="G57" s="36">
        <f>IF($A57="","",IFERROR(INDEX('רווחה - קליטה'!$AT$5:$AT$204,MATCH($A57&amp;"|אמצע שנה",'רווחה - קליטה'!$AF$5:$AF$204,0)),""))</f>
        <v/>
      </c>
      <c r="H57" s="45">
        <f>IF($A57="","",IFERROR(AVERAGEIFS('רווחה - קליטה'!$AR$5:$AR$204,'רווחה - קליטה'!$A$5:$A$204,$A57,'רווחה - קליטה'!$C$5:$C$204,"סוף שנה"),""))</f>
        <v/>
      </c>
      <c r="I57" s="37">
        <f>IF($A57="","",IFERROR(AVERAGEIFS('רווחה - קליטה'!$AL$5:$AL$204,'רווחה - קליטה'!$A$5:$A$204,$A57,'רווחה - קליטה'!$C$5:$C$204,"סוף שנה"),""))</f>
        <v/>
      </c>
      <c r="J57" s="36">
        <f>IF($A57="","",IFERROR(INDEX('רווחה - קליטה'!$AT$5:$AT$204,MATCH($A57&amp;"|סוף שנה",'רווחה - קליטה'!$AF$5:$AF$204,0)),""))</f>
        <v/>
      </c>
      <c r="K57" s="46">
        <f>IF(AND(ISNUMBER(B57),ISNUMBER(H57)),H57-B57,"")</f>
        <v/>
      </c>
      <c r="L57" s="36">
        <f>IF(K57="","",IF(K57&gt;=0.5,"עלייה",IF(K57&lt;=-0.5,"ירידה","יציב")))</f>
        <v/>
      </c>
    </row>
    <row r="58">
      <c r="A58" s="38" t="n"/>
      <c r="B58" s="45">
        <f>IF($A58="","",IFERROR(AVERAGEIFS('רווחה - קליטה'!$AR$5:$AR$204,'רווחה - קליטה'!$A$5:$A$204,$A58,'רווחה - קליטה'!$C$5:$C$204,"תחילת שנה"),""))</f>
        <v/>
      </c>
      <c r="C58" s="37">
        <f>IF($A58="","",IFERROR(AVERAGEIFS('רווחה - קליטה'!$AL$5:$AL$204,'רווחה - קליטה'!$A$5:$A$204,$A58,'רווחה - קליטה'!$C$5:$C$204,"תחילת שנה"),""))</f>
        <v/>
      </c>
      <c r="D58" s="36">
        <f>IF($A58="","",IFERROR(INDEX('רווחה - קליטה'!$AT$5:$AT$204,MATCH($A58&amp;"|תחילת שנה",'רווחה - קליטה'!$AF$5:$AF$204,0)),""))</f>
        <v/>
      </c>
      <c r="E58" s="45">
        <f>IF($A58="","",IFERROR(AVERAGEIFS('רווחה - קליטה'!$AR$5:$AR$204,'רווחה - קליטה'!$A$5:$A$204,$A58,'רווחה - קליטה'!$C$5:$C$204,"אמצע שנה"),""))</f>
        <v/>
      </c>
      <c r="F58" s="37">
        <f>IF($A58="","",IFERROR(AVERAGEIFS('רווחה - קליטה'!$AL$5:$AL$204,'רווחה - קליטה'!$A$5:$A$204,$A58,'רווחה - קליטה'!$C$5:$C$204,"אמצע שנה"),""))</f>
        <v/>
      </c>
      <c r="G58" s="36">
        <f>IF($A58="","",IFERROR(INDEX('רווחה - קליטה'!$AT$5:$AT$204,MATCH($A58&amp;"|אמצע שנה",'רווחה - קליטה'!$AF$5:$AF$204,0)),""))</f>
        <v/>
      </c>
      <c r="H58" s="45">
        <f>IF($A58="","",IFERROR(AVERAGEIFS('רווחה - קליטה'!$AR$5:$AR$204,'רווחה - קליטה'!$A$5:$A$204,$A58,'רווחה - קליטה'!$C$5:$C$204,"סוף שנה"),""))</f>
        <v/>
      </c>
      <c r="I58" s="37">
        <f>IF($A58="","",IFERROR(AVERAGEIFS('רווחה - קליטה'!$AL$5:$AL$204,'רווחה - קליטה'!$A$5:$A$204,$A58,'רווחה - קליטה'!$C$5:$C$204,"סוף שנה"),""))</f>
        <v/>
      </c>
      <c r="J58" s="36">
        <f>IF($A58="","",IFERROR(INDEX('רווחה - קליטה'!$AT$5:$AT$204,MATCH($A58&amp;"|סוף שנה",'רווחה - קליטה'!$AF$5:$AF$204,0)),""))</f>
        <v/>
      </c>
      <c r="K58" s="46">
        <f>IF(AND(ISNUMBER(B58),ISNUMBER(H58)),H58-B58,"")</f>
        <v/>
      </c>
      <c r="L58" s="36">
        <f>IF(K58="","",IF(K58&gt;=0.5,"עלייה",IF(K58&lt;=-0.5,"ירידה","יציב")))</f>
        <v/>
      </c>
    </row>
    <row r="59">
      <c r="A59" s="38" t="n"/>
      <c r="B59" s="45">
        <f>IF($A59="","",IFERROR(AVERAGEIFS('רווחה - קליטה'!$AR$5:$AR$204,'רווחה - קליטה'!$A$5:$A$204,$A59,'רווחה - קליטה'!$C$5:$C$204,"תחילת שנה"),""))</f>
        <v/>
      </c>
      <c r="C59" s="37">
        <f>IF($A59="","",IFERROR(AVERAGEIFS('רווחה - קליטה'!$AL$5:$AL$204,'רווחה - קליטה'!$A$5:$A$204,$A59,'רווחה - קליטה'!$C$5:$C$204,"תחילת שנה"),""))</f>
        <v/>
      </c>
      <c r="D59" s="36">
        <f>IF($A59="","",IFERROR(INDEX('רווחה - קליטה'!$AT$5:$AT$204,MATCH($A59&amp;"|תחילת שנה",'רווחה - קליטה'!$AF$5:$AF$204,0)),""))</f>
        <v/>
      </c>
      <c r="E59" s="45">
        <f>IF($A59="","",IFERROR(AVERAGEIFS('רווחה - קליטה'!$AR$5:$AR$204,'רווחה - קליטה'!$A$5:$A$204,$A59,'רווחה - קליטה'!$C$5:$C$204,"אמצע שנה"),""))</f>
        <v/>
      </c>
      <c r="F59" s="37">
        <f>IF($A59="","",IFERROR(AVERAGEIFS('רווחה - קליטה'!$AL$5:$AL$204,'רווחה - קליטה'!$A$5:$A$204,$A59,'רווחה - קליטה'!$C$5:$C$204,"אמצע שנה"),""))</f>
        <v/>
      </c>
      <c r="G59" s="36">
        <f>IF($A59="","",IFERROR(INDEX('רווחה - קליטה'!$AT$5:$AT$204,MATCH($A59&amp;"|אמצע שנה",'רווחה - קליטה'!$AF$5:$AF$204,0)),""))</f>
        <v/>
      </c>
      <c r="H59" s="45">
        <f>IF($A59="","",IFERROR(AVERAGEIFS('רווחה - קליטה'!$AR$5:$AR$204,'רווחה - קליטה'!$A$5:$A$204,$A59,'רווחה - קליטה'!$C$5:$C$204,"סוף שנה"),""))</f>
        <v/>
      </c>
      <c r="I59" s="37">
        <f>IF($A59="","",IFERROR(AVERAGEIFS('רווחה - קליטה'!$AL$5:$AL$204,'רווחה - קליטה'!$A$5:$A$204,$A59,'רווחה - קליטה'!$C$5:$C$204,"סוף שנה"),""))</f>
        <v/>
      </c>
      <c r="J59" s="36">
        <f>IF($A59="","",IFERROR(INDEX('רווחה - קליטה'!$AT$5:$AT$204,MATCH($A59&amp;"|סוף שנה",'רווחה - קליטה'!$AF$5:$AF$204,0)),""))</f>
        <v/>
      </c>
      <c r="K59" s="46">
        <f>IF(AND(ISNUMBER(B59),ISNUMBER(H59)),H59-B59,"")</f>
        <v/>
      </c>
      <c r="L59" s="36">
        <f>IF(K59="","",IF(K59&gt;=0.5,"עלייה",IF(K59&lt;=-0.5,"ירידה","יציב")))</f>
        <v/>
      </c>
    </row>
    <row r="60">
      <c r="A60" s="38" t="n"/>
      <c r="B60" s="45">
        <f>IF($A60="","",IFERROR(AVERAGEIFS('רווחה - קליטה'!$AR$5:$AR$204,'רווחה - קליטה'!$A$5:$A$204,$A60,'רווחה - קליטה'!$C$5:$C$204,"תחילת שנה"),""))</f>
        <v/>
      </c>
      <c r="C60" s="37">
        <f>IF($A60="","",IFERROR(AVERAGEIFS('רווחה - קליטה'!$AL$5:$AL$204,'רווחה - קליטה'!$A$5:$A$204,$A60,'רווחה - קליטה'!$C$5:$C$204,"תחילת שנה"),""))</f>
        <v/>
      </c>
      <c r="D60" s="36">
        <f>IF($A60="","",IFERROR(INDEX('רווחה - קליטה'!$AT$5:$AT$204,MATCH($A60&amp;"|תחילת שנה",'רווחה - קליטה'!$AF$5:$AF$204,0)),""))</f>
        <v/>
      </c>
      <c r="E60" s="45">
        <f>IF($A60="","",IFERROR(AVERAGEIFS('רווחה - קליטה'!$AR$5:$AR$204,'רווחה - קליטה'!$A$5:$A$204,$A60,'רווחה - קליטה'!$C$5:$C$204,"אמצע שנה"),""))</f>
        <v/>
      </c>
      <c r="F60" s="37">
        <f>IF($A60="","",IFERROR(AVERAGEIFS('רווחה - קליטה'!$AL$5:$AL$204,'רווחה - קליטה'!$A$5:$A$204,$A60,'רווחה - קליטה'!$C$5:$C$204,"אמצע שנה"),""))</f>
        <v/>
      </c>
      <c r="G60" s="36">
        <f>IF($A60="","",IFERROR(INDEX('רווחה - קליטה'!$AT$5:$AT$204,MATCH($A60&amp;"|אמצע שנה",'רווחה - קליטה'!$AF$5:$AF$204,0)),""))</f>
        <v/>
      </c>
      <c r="H60" s="45">
        <f>IF($A60="","",IFERROR(AVERAGEIFS('רווחה - קליטה'!$AR$5:$AR$204,'רווחה - קליטה'!$A$5:$A$204,$A60,'רווחה - קליטה'!$C$5:$C$204,"סוף שנה"),""))</f>
        <v/>
      </c>
      <c r="I60" s="37">
        <f>IF($A60="","",IFERROR(AVERAGEIFS('רווחה - קליטה'!$AL$5:$AL$204,'רווחה - קליטה'!$A$5:$A$204,$A60,'רווחה - קליטה'!$C$5:$C$204,"סוף שנה"),""))</f>
        <v/>
      </c>
      <c r="J60" s="36">
        <f>IF($A60="","",IFERROR(INDEX('רווחה - קליטה'!$AT$5:$AT$204,MATCH($A60&amp;"|סוף שנה",'רווחה - קליטה'!$AF$5:$AF$204,0)),""))</f>
        <v/>
      </c>
      <c r="K60" s="46">
        <f>IF(AND(ISNUMBER(B60),ISNUMBER(H60)),H60-B60,"")</f>
        <v/>
      </c>
      <c r="L60" s="36">
        <f>IF(K60="","",IF(K60&gt;=0.5,"עלייה",IF(K60&lt;=-0.5,"ירידה","יציב")))</f>
        <v/>
      </c>
    </row>
    <row r="61">
      <c r="A61" s="38" t="n"/>
      <c r="B61" s="45">
        <f>IF($A61="","",IFERROR(AVERAGEIFS('רווחה - קליטה'!$AR$5:$AR$204,'רווחה - קליטה'!$A$5:$A$204,$A61,'רווחה - קליטה'!$C$5:$C$204,"תחילת שנה"),""))</f>
        <v/>
      </c>
      <c r="C61" s="37">
        <f>IF($A61="","",IFERROR(AVERAGEIFS('רווחה - קליטה'!$AL$5:$AL$204,'רווחה - קליטה'!$A$5:$A$204,$A61,'רווחה - קליטה'!$C$5:$C$204,"תחילת שנה"),""))</f>
        <v/>
      </c>
      <c r="D61" s="36">
        <f>IF($A61="","",IFERROR(INDEX('רווחה - קליטה'!$AT$5:$AT$204,MATCH($A61&amp;"|תחילת שנה",'רווחה - קליטה'!$AF$5:$AF$204,0)),""))</f>
        <v/>
      </c>
      <c r="E61" s="45">
        <f>IF($A61="","",IFERROR(AVERAGEIFS('רווחה - קליטה'!$AR$5:$AR$204,'רווחה - קליטה'!$A$5:$A$204,$A61,'רווחה - קליטה'!$C$5:$C$204,"אמצע שנה"),""))</f>
        <v/>
      </c>
      <c r="F61" s="37">
        <f>IF($A61="","",IFERROR(AVERAGEIFS('רווחה - קליטה'!$AL$5:$AL$204,'רווחה - קליטה'!$A$5:$A$204,$A61,'רווחה - קליטה'!$C$5:$C$204,"אמצע שנה"),""))</f>
        <v/>
      </c>
      <c r="G61" s="36">
        <f>IF($A61="","",IFERROR(INDEX('רווחה - קליטה'!$AT$5:$AT$204,MATCH($A61&amp;"|אמצע שנה",'רווחה - קליטה'!$AF$5:$AF$204,0)),""))</f>
        <v/>
      </c>
      <c r="H61" s="45">
        <f>IF($A61="","",IFERROR(AVERAGEIFS('רווחה - קליטה'!$AR$5:$AR$204,'רווחה - קליטה'!$A$5:$A$204,$A61,'רווחה - קליטה'!$C$5:$C$204,"סוף שנה"),""))</f>
        <v/>
      </c>
      <c r="I61" s="37">
        <f>IF($A61="","",IFERROR(AVERAGEIFS('רווחה - קליטה'!$AL$5:$AL$204,'רווחה - קליטה'!$A$5:$A$204,$A61,'רווחה - קליטה'!$C$5:$C$204,"סוף שנה"),""))</f>
        <v/>
      </c>
      <c r="J61" s="36">
        <f>IF($A61="","",IFERROR(INDEX('רווחה - קליטה'!$AT$5:$AT$204,MATCH($A61&amp;"|סוף שנה",'רווחה - קליטה'!$AF$5:$AF$204,0)),""))</f>
        <v/>
      </c>
      <c r="K61" s="46">
        <f>IF(AND(ISNUMBER(B61),ISNUMBER(H61)),H61-B61,"")</f>
        <v/>
      </c>
      <c r="L61" s="36">
        <f>IF(K61="","",IF(K61&gt;=0.5,"עלייה",IF(K61&lt;=-0.5,"ירידה","יציב")))</f>
        <v/>
      </c>
    </row>
    <row r="62">
      <c r="A62" s="38" t="n"/>
      <c r="B62" s="45">
        <f>IF($A62="","",IFERROR(AVERAGEIFS('רווחה - קליטה'!$AR$5:$AR$204,'רווחה - קליטה'!$A$5:$A$204,$A62,'רווחה - קליטה'!$C$5:$C$204,"תחילת שנה"),""))</f>
        <v/>
      </c>
      <c r="C62" s="37">
        <f>IF($A62="","",IFERROR(AVERAGEIFS('רווחה - קליטה'!$AL$5:$AL$204,'רווחה - קליטה'!$A$5:$A$204,$A62,'רווחה - קליטה'!$C$5:$C$204,"תחילת שנה"),""))</f>
        <v/>
      </c>
      <c r="D62" s="36">
        <f>IF($A62="","",IFERROR(INDEX('רווחה - קליטה'!$AT$5:$AT$204,MATCH($A62&amp;"|תחילת שנה",'רווחה - קליטה'!$AF$5:$AF$204,0)),""))</f>
        <v/>
      </c>
      <c r="E62" s="45">
        <f>IF($A62="","",IFERROR(AVERAGEIFS('רווחה - קליטה'!$AR$5:$AR$204,'רווחה - קליטה'!$A$5:$A$204,$A62,'רווחה - קליטה'!$C$5:$C$204,"אמצע שנה"),""))</f>
        <v/>
      </c>
      <c r="F62" s="37">
        <f>IF($A62="","",IFERROR(AVERAGEIFS('רווחה - קליטה'!$AL$5:$AL$204,'רווחה - קליטה'!$A$5:$A$204,$A62,'רווחה - קליטה'!$C$5:$C$204,"אמצע שנה"),""))</f>
        <v/>
      </c>
      <c r="G62" s="36">
        <f>IF($A62="","",IFERROR(INDEX('רווחה - קליטה'!$AT$5:$AT$204,MATCH($A62&amp;"|אמצע שנה",'רווחה - קליטה'!$AF$5:$AF$204,0)),""))</f>
        <v/>
      </c>
      <c r="H62" s="45">
        <f>IF($A62="","",IFERROR(AVERAGEIFS('רווחה - קליטה'!$AR$5:$AR$204,'רווחה - קליטה'!$A$5:$A$204,$A62,'רווחה - קליטה'!$C$5:$C$204,"סוף שנה"),""))</f>
        <v/>
      </c>
      <c r="I62" s="37">
        <f>IF($A62="","",IFERROR(AVERAGEIFS('רווחה - קליטה'!$AL$5:$AL$204,'רווחה - קליטה'!$A$5:$A$204,$A62,'רווחה - קליטה'!$C$5:$C$204,"סוף שנה"),""))</f>
        <v/>
      </c>
      <c r="J62" s="36">
        <f>IF($A62="","",IFERROR(INDEX('רווחה - קליטה'!$AT$5:$AT$204,MATCH($A62&amp;"|סוף שנה",'רווחה - קליטה'!$AF$5:$AF$204,0)),""))</f>
        <v/>
      </c>
      <c r="K62" s="46">
        <f>IF(AND(ISNUMBER(B62),ISNUMBER(H62)),H62-B62,"")</f>
        <v/>
      </c>
      <c r="L62" s="36">
        <f>IF(K62="","",IF(K62&gt;=0.5,"עלייה",IF(K62&lt;=-0.5,"ירידה","יציב")))</f>
        <v/>
      </c>
    </row>
    <row r="63">
      <c r="A63" s="38" t="n"/>
      <c r="B63" s="45">
        <f>IF($A63="","",IFERROR(AVERAGEIFS('רווחה - קליטה'!$AR$5:$AR$204,'רווחה - קליטה'!$A$5:$A$204,$A63,'רווחה - קליטה'!$C$5:$C$204,"תחילת שנה"),""))</f>
        <v/>
      </c>
      <c r="C63" s="37">
        <f>IF($A63="","",IFERROR(AVERAGEIFS('רווחה - קליטה'!$AL$5:$AL$204,'רווחה - קליטה'!$A$5:$A$204,$A63,'רווחה - קליטה'!$C$5:$C$204,"תחילת שנה"),""))</f>
        <v/>
      </c>
      <c r="D63" s="36">
        <f>IF($A63="","",IFERROR(INDEX('רווחה - קליטה'!$AT$5:$AT$204,MATCH($A63&amp;"|תחילת שנה",'רווחה - קליטה'!$AF$5:$AF$204,0)),""))</f>
        <v/>
      </c>
      <c r="E63" s="45">
        <f>IF($A63="","",IFERROR(AVERAGEIFS('רווחה - קליטה'!$AR$5:$AR$204,'רווחה - קליטה'!$A$5:$A$204,$A63,'רווחה - קליטה'!$C$5:$C$204,"אמצע שנה"),""))</f>
        <v/>
      </c>
      <c r="F63" s="37">
        <f>IF($A63="","",IFERROR(AVERAGEIFS('רווחה - קליטה'!$AL$5:$AL$204,'רווחה - קליטה'!$A$5:$A$204,$A63,'רווחה - קליטה'!$C$5:$C$204,"אמצע שנה"),""))</f>
        <v/>
      </c>
      <c r="G63" s="36">
        <f>IF($A63="","",IFERROR(INDEX('רווחה - קליטה'!$AT$5:$AT$204,MATCH($A63&amp;"|אמצע שנה",'רווחה - קליטה'!$AF$5:$AF$204,0)),""))</f>
        <v/>
      </c>
      <c r="H63" s="45">
        <f>IF($A63="","",IFERROR(AVERAGEIFS('רווחה - קליטה'!$AR$5:$AR$204,'רווחה - קליטה'!$A$5:$A$204,$A63,'רווחה - קליטה'!$C$5:$C$204,"סוף שנה"),""))</f>
        <v/>
      </c>
      <c r="I63" s="37">
        <f>IF($A63="","",IFERROR(AVERAGEIFS('רווחה - קליטה'!$AL$5:$AL$204,'רווחה - קליטה'!$A$5:$A$204,$A63,'רווחה - קליטה'!$C$5:$C$204,"סוף שנה"),""))</f>
        <v/>
      </c>
      <c r="J63" s="36">
        <f>IF($A63="","",IFERROR(INDEX('רווחה - קליטה'!$AT$5:$AT$204,MATCH($A63&amp;"|סוף שנה",'רווחה - קליטה'!$AF$5:$AF$204,0)),""))</f>
        <v/>
      </c>
      <c r="K63" s="46">
        <f>IF(AND(ISNUMBER(B63),ISNUMBER(H63)),H63-B63,"")</f>
        <v/>
      </c>
      <c r="L63" s="36">
        <f>IF(K63="","",IF(K63&gt;=0.5,"עלייה",IF(K63&lt;=-0.5,"ירידה","יציב")))</f>
        <v/>
      </c>
    </row>
    <row r="64">
      <c r="A64" s="38" t="n"/>
      <c r="B64" s="45">
        <f>IF($A64="","",IFERROR(AVERAGEIFS('רווחה - קליטה'!$AR$5:$AR$204,'רווחה - קליטה'!$A$5:$A$204,$A64,'רווחה - קליטה'!$C$5:$C$204,"תחילת שנה"),""))</f>
        <v/>
      </c>
      <c r="C64" s="37">
        <f>IF($A64="","",IFERROR(AVERAGEIFS('רווחה - קליטה'!$AL$5:$AL$204,'רווחה - קליטה'!$A$5:$A$204,$A64,'רווחה - קליטה'!$C$5:$C$204,"תחילת שנה"),""))</f>
        <v/>
      </c>
      <c r="D64" s="36">
        <f>IF($A64="","",IFERROR(INDEX('רווחה - קליטה'!$AT$5:$AT$204,MATCH($A64&amp;"|תחילת שנה",'רווחה - קליטה'!$AF$5:$AF$204,0)),""))</f>
        <v/>
      </c>
      <c r="E64" s="45">
        <f>IF($A64="","",IFERROR(AVERAGEIFS('רווחה - קליטה'!$AR$5:$AR$204,'רווחה - קליטה'!$A$5:$A$204,$A64,'רווחה - קליטה'!$C$5:$C$204,"אמצע שנה"),""))</f>
        <v/>
      </c>
      <c r="F64" s="37">
        <f>IF($A64="","",IFERROR(AVERAGEIFS('רווחה - קליטה'!$AL$5:$AL$204,'רווחה - קליטה'!$A$5:$A$204,$A64,'רווחה - קליטה'!$C$5:$C$204,"אמצע שנה"),""))</f>
        <v/>
      </c>
      <c r="G64" s="36">
        <f>IF($A64="","",IFERROR(INDEX('רווחה - קליטה'!$AT$5:$AT$204,MATCH($A64&amp;"|אמצע שנה",'רווחה - קליטה'!$AF$5:$AF$204,0)),""))</f>
        <v/>
      </c>
      <c r="H64" s="45">
        <f>IF($A64="","",IFERROR(AVERAGEIFS('רווחה - קליטה'!$AR$5:$AR$204,'רווחה - קליטה'!$A$5:$A$204,$A64,'רווחה - קליטה'!$C$5:$C$204,"סוף שנה"),""))</f>
        <v/>
      </c>
      <c r="I64" s="37">
        <f>IF($A64="","",IFERROR(AVERAGEIFS('רווחה - קליטה'!$AL$5:$AL$204,'רווחה - קליטה'!$A$5:$A$204,$A64,'רווחה - קליטה'!$C$5:$C$204,"סוף שנה"),""))</f>
        <v/>
      </c>
      <c r="J64" s="36">
        <f>IF($A64="","",IFERROR(INDEX('רווחה - קליטה'!$AT$5:$AT$204,MATCH($A64&amp;"|סוף שנה",'רווחה - קליטה'!$AF$5:$AF$204,0)),""))</f>
        <v/>
      </c>
      <c r="K64" s="46">
        <f>IF(AND(ISNUMBER(B64),ISNUMBER(H64)),H64-B64,"")</f>
        <v/>
      </c>
      <c r="L64" s="36">
        <f>IF(K64="","",IF(K64&gt;=0.5,"עלייה",IF(K64&lt;=-0.5,"ירידה","יציב")))</f>
        <v/>
      </c>
    </row>
    <row r="65">
      <c r="A65" s="38" t="n"/>
      <c r="B65" s="45">
        <f>IF($A65="","",IFERROR(AVERAGEIFS('רווחה - קליטה'!$AR$5:$AR$204,'רווחה - קליטה'!$A$5:$A$204,$A65,'רווחה - קליטה'!$C$5:$C$204,"תחילת שנה"),""))</f>
        <v/>
      </c>
      <c r="C65" s="37">
        <f>IF($A65="","",IFERROR(AVERAGEIFS('רווחה - קליטה'!$AL$5:$AL$204,'רווחה - קליטה'!$A$5:$A$204,$A65,'רווחה - קליטה'!$C$5:$C$204,"תחילת שנה"),""))</f>
        <v/>
      </c>
      <c r="D65" s="36">
        <f>IF($A65="","",IFERROR(INDEX('רווחה - קליטה'!$AT$5:$AT$204,MATCH($A65&amp;"|תחילת שנה",'רווחה - קליטה'!$AF$5:$AF$204,0)),""))</f>
        <v/>
      </c>
      <c r="E65" s="45">
        <f>IF($A65="","",IFERROR(AVERAGEIFS('רווחה - קליטה'!$AR$5:$AR$204,'רווחה - קליטה'!$A$5:$A$204,$A65,'רווחה - קליטה'!$C$5:$C$204,"אמצע שנה"),""))</f>
        <v/>
      </c>
      <c r="F65" s="37">
        <f>IF($A65="","",IFERROR(AVERAGEIFS('רווחה - קליטה'!$AL$5:$AL$204,'רווחה - קליטה'!$A$5:$A$204,$A65,'רווחה - קליטה'!$C$5:$C$204,"אמצע שנה"),""))</f>
        <v/>
      </c>
      <c r="G65" s="36">
        <f>IF($A65="","",IFERROR(INDEX('רווחה - קליטה'!$AT$5:$AT$204,MATCH($A65&amp;"|אמצע שנה",'רווחה - קליטה'!$AF$5:$AF$204,0)),""))</f>
        <v/>
      </c>
      <c r="H65" s="45">
        <f>IF($A65="","",IFERROR(AVERAGEIFS('רווחה - קליטה'!$AR$5:$AR$204,'רווחה - קליטה'!$A$5:$A$204,$A65,'רווחה - קליטה'!$C$5:$C$204,"סוף שנה"),""))</f>
        <v/>
      </c>
      <c r="I65" s="37">
        <f>IF($A65="","",IFERROR(AVERAGEIFS('רווחה - קליטה'!$AL$5:$AL$204,'רווחה - קליטה'!$A$5:$A$204,$A65,'רווחה - קליטה'!$C$5:$C$204,"סוף שנה"),""))</f>
        <v/>
      </c>
      <c r="J65" s="36">
        <f>IF($A65="","",IFERROR(INDEX('רווחה - קליטה'!$AT$5:$AT$204,MATCH($A65&amp;"|סוף שנה",'רווחה - קליטה'!$AF$5:$AF$204,0)),""))</f>
        <v/>
      </c>
      <c r="K65" s="46">
        <f>IF(AND(ISNUMBER(B65),ISNUMBER(H65)),H65-B65,"")</f>
        <v/>
      </c>
      <c r="L65" s="36">
        <f>IF(K65="","",IF(K65&gt;=0.5,"עלייה",IF(K65&lt;=-0.5,"ירידה","יציב")))</f>
        <v/>
      </c>
    </row>
    <row r="66">
      <c r="A66" s="38" t="n"/>
      <c r="B66" s="45">
        <f>IF($A66="","",IFERROR(AVERAGEIFS('רווחה - קליטה'!$AR$5:$AR$204,'רווחה - קליטה'!$A$5:$A$204,$A66,'רווחה - קליטה'!$C$5:$C$204,"תחילת שנה"),""))</f>
        <v/>
      </c>
      <c r="C66" s="37">
        <f>IF($A66="","",IFERROR(AVERAGEIFS('רווחה - קליטה'!$AL$5:$AL$204,'רווחה - קליטה'!$A$5:$A$204,$A66,'רווחה - קליטה'!$C$5:$C$204,"תחילת שנה"),""))</f>
        <v/>
      </c>
      <c r="D66" s="36">
        <f>IF($A66="","",IFERROR(INDEX('רווחה - קליטה'!$AT$5:$AT$204,MATCH($A66&amp;"|תחילת שנה",'רווחה - קליטה'!$AF$5:$AF$204,0)),""))</f>
        <v/>
      </c>
      <c r="E66" s="45">
        <f>IF($A66="","",IFERROR(AVERAGEIFS('רווחה - קליטה'!$AR$5:$AR$204,'רווחה - קליטה'!$A$5:$A$204,$A66,'רווחה - קליטה'!$C$5:$C$204,"אמצע שנה"),""))</f>
        <v/>
      </c>
      <c r="F66" s="37">
        <f>IF($A66="","",IFERROR(AVERAGEIFS('רווחה - קליטה'!$AL$5:$AL$204,'רווחה - קליטה'!$A$5:$A$204,$A66,'רווחה - קליטה'!$C$5:$C$204,"אמצע שנה"),""))</f>
        <v/>
      </c>
      <c r="G66" s="36">
        <f>IF($A66="","",IFERROR(INDEX('רווחה - קליטה'!$AT$5:$AT$204,MATCH($A66&amp;"|אמצע שנה",'רווחה - קליטה'!$AF$5:$AF$204,0)),""))</f>
        <v/>
      </c>
      <c r="H66" s="45">
        <f>IF($A66="","",IFERROR(AVERAGEIFS('רווחה - קליטה'!$AR$5:$AR$204,'רווחה - קליטה'!$A$5:$A$204,$A66,'רווחה - קליטה'!$C$5:$C$204,"סוף שנה"),""))</f>
        <v/>
      </c>
      <c r="I66" s="37">
        <f>IF($A66="","",IFERROR(AVERAGEIFS('רווחה - קליטה'!$AL$5:$AL$204,'רווחה - קליטה'!$A$5:$A$204,$A66,'רווחה - קליטה'!$C$5:$C$204,"סוף שנה"),""))</f>
        <v/>
      </c>
      <c r="J66" s="36">
        <f>IF($A66="","",IFERROR(INDEX('רווחה - קליטה'!$AT$5:$AT$204,MATCH($A66&amp;"|סוף שנה",'רווחה - קליטה'!$AF$5:$AF$204,0)),""))</f>
        <v/>
      </c>
      <c r="K66" s="46">
        <f>IF(AND(ISNUMBER(B66),ISNUMBER(H66)),H66-B66,"")</f>
        <v/>
      </c>
      <c r="L66" s="36">
        <f>IF(K66="","",IF(K66&gt;=0.5,"עלייה",IF(K66&lt;=-0.5,"ירידה","יציב")))</f>
        <v/>
      </c>
    </row>
    <row r="67">
      <c r="A67" s="38" t="n"/>
      <c r="B67" s="45">
        <f>IF($A67="","",IFERROR(AVERAGEIFS('רווחה - קליטה'!$AR$5:$AR$204,'רווחה - קליטה'!$A$5:$A$204,$A67,'רווחה - קליטה'!$C$5:$C$204,"תחילת שנה"),""))</f>
        <v/>
      </c>
      <c r="C67" s="37">
        <f>IF($A67="","",IFERROR(AVERAGEIFS('רווחה - קליטה'!$AL$5:$AL$204,'רווחה - קליטה'!$A$5:$A$204,$A67,'רווחה - קליטה'!$C$5:$C$204,"תחילת שנה"),""))</f>
        <v/>
      </c>
      <c r="D67" s="36">
        <f>IF($A67="","",IFERROR(INDEX('רווחה - קליטה'!$AT$5:$AT$204,MATCH($A67&amp;"|תחילת שנה",'רווחה - קליטה'!$AF$5:$AF$204,0)),""))</f>
        <v/>
      </c>
      <c r="E67" s="45">
        <f>IF($A67="","",IFERROR(AVERAGEIFS('רווחה - קליטה'!$AR$5:$AR$204,'רווחה - קליטה'!$A$5:$A$204,$A67,'רווחה - קליטה'!$C$5:$C$204,"אמצע שנה"),""))</f>
        <v/>
      </c>
      <c r="F67" s="37">
        <f>IF($A67="","",IFERROR(AVERAGEIFS('רווחה - קליטה'!$AL$5:$AL$204,'רווחה - קליטה'!$A$5:$A$204,$A67,'רווחה - קליטה'!$C$5:$C$204,"אמצע שנה"),""))</f>
        <v/>
      </c>
      <c r="G67" s="36">
        <f>IF($A67="","",IFERROR(INDEX('רווחה - קליטה'!$AT$5:$AT$204,MATCH($A67&amp;"|אמצע שנה",'רווחה - קליטה'!$AF$5:$AF$204,0)),""))</f>
        <v/>
      </c>
      <c r="H67" s="45">
        <f>IF($A67="","",IFERROR(AVERAGEIFS('רווחה - קליטה'!$AR$5:$AR$204,'רווחה - קליטה'!$A$5:$A$204,$A67,'רווחה - קליטה'!$C$5:$C$204,"סוף שנה"),""))</f>
        <v/>
      </c>
      <c r="I67" s="37">
        <f>IF($A67="","",IFERROR(AVERAGEIFS('רווחה - קליטה'!$AL$5:$AL$204,'רווחה - קליטה'!$A$5:$A$204,$A67,'רווחה - קליטה'!$C$5:$C$204,"סוף שנה"),""))</f>
        <v/>
      </c>
      <c r="J67" s="36">
        <f>IF($A67="","",IFERROR(INDEX('רווחה - קליטה'!$AT$5:$AT$204,MATCH($A67&amp;"|סוף שנה",'רווחה - קליטה'!$AF$5:$AF$204,0)),""))</f>
        <v/>
      </c>
      <c r="K67" s="46">
        <f>IF(AND(ISNUMBER(B67),ISNUMBER(H67)),H67-B67,"")</f>
        <v/>
      </c>
      <c r="L67" s="36">
        <f>IF(K67="","",IF(K67&gt;=0.5,"עלייה",IF(K67&lt;=-0.5,"ירידה","יציב")))</f>
        <v/>
      </c>
    </row>
    <row r="68">
      <c r="A68" s="38" t="n"/>
      <c r="B68" s="45">
        <f>IF($A68="","",IFERROR(AVERAGEIFS('רווחה - קליטה'!$AR$5:$AR$204,'רווחה - קליטה'!$A$5:$A$204,$A68,'רווחה - קליטה'!$C$5:$C$204,"תחילת שנה"),""))</f>
        <v/>
      </c>
      <c r="C68" s="37">
        <f>IF($A68="","",IFERROR(AVERAGEIFS('רווחה - קליטה'!$AL$5:$AL$204,'רווחה - קליטה'!$A$5:$A$204,$A68,'רווחה - קליטה'!$C$5:$C$204,"תחילת שנה"),""))</f>
        <v/>
      </c>
      <c r="D68" s="36">
        <f>IF($A68="","",IFERROR(INDEX('רווחה - קליטה'!$AT$5:$AT$204,MATCH($A68&amp;"|תחילת שנה",'רווחה - קליטה'!$AF$5:$AF$204,0)),""))</f>
        <v/>
      </c>
      <c r="E68" s="45">
        <f>IF($A68="","",IFERROR(AVERAGEIFS('רווחה - קליטה'!$AR$5:$AR$204,'רווחה - קליטה'!$A$5:$A$204,$A68,'רווחה - קליטה'!$C$5:$C$204,"אמצע שנה"),""))</f>
        <v/>
      </c>
      <c r="F68" s="37">
        <f>IF($A68="","",IFERROR(AVERAGEIFS('רווחה - קליטה'!$AL$5:$AL$204,'רווחה - קליטה'!$A$5:$A$204,$A68,'רווחה - קליטה'!$C$5:$C$204,"אמצע שנה"),""))</f>
        <v/>
      </c>
      <c r="G68" s="36">
        <f>IF($A68="","",IFERROR(INDEX('רווחה - קליטה'!$AT$5:$AT$204,MATCH($A68&amp;"|אמצע שנה",'רווחה - קליטה'!$AF$5:$AF$204,0)),""))</f>
        <v/>
      </c>
      <c r="H68" s="45">
        <f>IF($A68="","",IFERROR(AVERAGEIFS('רווחה - קליטה'!$AR$5:$AR$204,'רווחה - קליטה'!$A$5:$A$204,$A68,'רווחה - קליטה'!$C$5:$C$204,"סוף שנה"),""))</f>
        <v/>
      </c>
      <c r="I68" s="37">
        <f>IF($A68="","",IFERROR(AVERAGEIFS('רווחה - קליטה'!$AL$5:$AL$204,'רווחה - קליטה'!$A$5:$A$204,$A68,'רווחה - קליטה'!$C$5:$C$204,"סוף שנה"),""))</f>
        <v/>
      </c>
      <c r="J68" s="36">
        <f>IF($A68="","",IFERROR(INDEX('רווחה - קליטה'!$AT$5:$AT$204,MATCH($A68&amp;"|סוף שנה",'רווחה - קליטה'!$AF$5:$AF$204,0)),""))</f>
        <v/>
      </c>
      <c r="K68" s="46">
        <f>IF(AND(ISNUMBER(B68),ISNUMBER(H68)),H68-B68,"")</f>
        <v/>
      </c>
      <c r="L68" s="36">
        <f>IF(K68="","",IF(K68&gt;=0.5,"עלייה",IF(K68&lt;=-0.5,"ירידה","יציב")))</f>
        <v/>
      </c>
    </row>
    <row r="69">
      <c r="A69" s="38" t="n"/>
      <c r="B69" s="45">
        <f>IF($A69="","",IFERROR(AVERAGEIFS('רווחה - קליטה'!$AR$5:$AR$204,'רווחה - קליטה'!$A$5:$A$204,$A69,'רווחה - קליטה'!$C$5:$C$204,"תחילת שנה"),""))</f>
        <v/>
      </c>
      <c r="C69" s="37">
        <f>IF($A69="","",IFERROR(AVERAGEIFS('רווחה - קליטה'!$AL$5:$AL$204,'רווחה - קליטה'!$A$5:$A$204,$A69,'רווחה - קליטה'!$C$5:$C$204,"תחילת שנה"),""))</f>
        <v/>
      </c>
      <c r="D69" s="36">
        <f>IF($A69="","",IFERROR(INDEX('רווחה - קליטה'!$AT$5:$AT$204,MATCH($A69&amp;"|תחילת שנה",'רווחה - קליטה'!$AF$5:$AF$204,0)),""))</f>
        <v/>
      </c>
      <c r="E69" s="45">
        <f>IF($A69="","",IFERROR(AVERAGEIFS('רווחה - קליטה'!$AR$5:$AR$204,'רווחה - קליטה'!$A$5:$A$204,$A69,'רווחה - קליטה'!$C$5:$C$204,"אמצע שנה"),""))</f>
        <v/>
      </c>
      <c r="F69" s="37">
        <f>IF($A69="","",IFERROR(AVERAGEIFS('רווחה - קליטה'!$AL$5:$AL$204,'רווחה - קליטה'!$A$5:$A$204,$A69,'רווחה - קליטה'!$C$5:$C$204,"אמצע שנה"),""))</f>
        <v/>
      </c>
      <c r="G69" s="36">
        <f>IF($A69="","",IFERROR(INDEX('רווחה - קליטה'!$AT$5:$AT$204,MATCH($A69&amp;"|אמצע שנה",'רווחה - קליטה'!$AF$5:$AF$204,0)),""))</f>
        <v/>
      </c>
      <c r="H69" s="45">
        <f>IF($A69="","",IFERROR(AVERAGEIFS('רווחה - קליטה'!$AR$5:$AR$204,'רווחה - קליטה'!$A$5:$A$204,$A69,'רווחה - קליטה'!$C$5:$C$204,"סוף שנה"),""))</f>
        <v/>
      </c>
      <c r="I69" s="37">
        <f>IF($A69="","",IFERROR(AVERAGEIFS('רווחה - קליטה'!$AL$5:$AL$204,'רווחה - קליטה'!$A$5:$A$204,$A69,'רווחה - קליטה'!$C$5:$C$204,"סוף שנה"),""))</f>
        <v/>
      </c>
      <c r="J69" s="36">
        <f>IF($A69="","",IFERROR(INDEX('רווחה - קליטה'!$AT$5:$AT$204,MATCH($A69&amp;"|סוף שנה",'רווחה - קליטה'!$AF$5:$AF$204,0)),""))</f>
        <v/>
      </c>
      <c r="K69" s="46">
        <f>IF(AND(ISNUMBER(B69),ISNUMBER(H69)),H69-B69,"")</f>
        <v/>
      </c>
      <c r="L69" s="36">
        <f>IF(K69="","",IF(K69&gt;=0.5,"עלייה",IF(K69&lt;=-0.5,"ירידה","יציב")))</f>
        <v/>
      </c>
    </row>
    <row r="70">
      <c r="A70" s="38" t="n"/>
      <c r="B70" s="45">
        <f>IF($A70="","",IFERROR(AVERAGEIFS('רווחה - קליטה'!$AR$5:$AR$204,'רווחה - קליטה'!$A$5:$A$204,$A70,'רווחה - קליטה'!$C$5:$C$204,"תחילת שנה"),""))</f>
        <v/>
      </c>
      <c r="C70" s="37">
        <f>IF($A70="","",IFERROR(AVERAGEIFS('רווחה - קליטה'!$AL$5:$AL$204,'רווחה - קליטה'!$A$5:$A$204,$A70,'רווחה - קליטה'!$C$5:$C$204,"תחילת שנה"),""))</f>
        <v/>
      </c>
      <c r="D70" s="36">
        <f>IF($A70="","",IFERROR(INDEX('רווחה - קליטה'!$AT$5:$AT$204,MATCH($A70&amp;"|תחילת שנה",'רווחה - קליטה'!$AF$5:$AF$204,0)),""))</f>
        <v/>
      </c>
      <c r="E70" s="45">
        <f>IF($A70="","",IFERROR(AVERAGEIFS('רווחה - קליטה'!$AR$5:$AR$204,'רווחה - קליטה'!$A$5:$A$204,$A70,'רווחה - קליטה'!$C$5:$C$204,"אמצע שנה"),""))</f>
        <v/>
      </c>
      <c r="F70" s="37">
        <f>IF($A70="","",IFERROR(AVERAGEIFS('רווחה - קליטה'!$AL$5:$AL$204,'רווחה - קליטה'!$A$5:$A$204,$A70,'רווחה - קליטה'!$C$5:$C$204,"אמצע שנה"),""))</f>
        <v/>
      </c>
      <c r="G70" s="36">
        <f>IF($A70="","",IFERROR(INDEX('רווחה - קליטה'!$AT$5:$AT$204,MATCH($A70&amp;"|אמצע שנה",'רווחה - קליטה'!$AF$5:$AF$204,0)),""))</f>
        <v/>
      </c>
      <c r="H70" s="45">
        <f>IF($A70="","",IFERROR(AVERAGEIFS('רווחה - קליטה'!$AR$5:$AR$204,'רווחה - קליטה'!$A$5:$A$204,$A70,'רווחה - קליטה'!$C$5:$C$204,"סוף שנה"),""))</f>
        <v/>
      </c>
      <c r="I70" s="37">
        <f>IF($A70="","",IFERROR(AVERAGEIFS('רווחה - קליטה'!$AL$5:$AL$204,'רווחה - קליטה'!$A$5:$A$204,$A70,'רווחה - קליטה'!$C$5:$C$204,"סוף שנה"),""))</f>
        <v/>
      </c>
      <c r="J70" s="36">
        <f>IF($A70="","",IFERROR(INDEX('רווחה - קליטה'!$AT$5:$AT$204,MATCH($A70&amp;"|סוף שנה",'רווחה - קליטה'!$AF$5:$AF$204,0)),""))</f>
        <v/>
      </c>
      <c r="K70" s="46">
        <f>IF(AND(ISNUMBER(B70),ISNUMBER(H70)),H70-B70,"")</f>
        <v/>
      </c>
      <c r="L70" s="36">
        <f>IF(K70="","",IF(K70&gt;=0.5,"עלייה",IF(K70&lt;=-0.5,"ירידה","יציב")))</f>
        <v/>
      </c>
    </row>
    <row r="71">
      <c r="A71" s="38" t="n"/>
      <c r="B71" s="45">
        <f>IF($A71="","",IFERROR(AVERAGEIFS('רווחה - קליטה'!$AR$5:$AR$204,'רווחה - קליטה'!$A$5:$A$204,$A71,'רווחה - קליטה'!$C$5:$C$204,"תחילת שנה"),""))</f>
        <v/>
      </c>
      <c r="C71" s="37">
        <f>IF($A71="","",IFERROR(AVERAGEIFS('רווחה - קליטה'!$AL$5:$AL$204,'רווחה - קליטה'!$A$5:$A$204,$A71,'רווחה - קליטה'!$C$5:$C$204,"תחילת שנה"),""))</f>
        <v/>
      </c>
      <c r="D71" s="36">
        <f>IF($A71="","",IFERROR(INDEX('רווחה - קליטה'!$AT$5:$AT$204,MATCH($A71&amp;"|תחילת שנה",'רווחה - קליטה'!$AF$5:$AF$204,0)),""))</f>
        <v/>
      </c>
      <c r="E71" s="45">
        <f>IF($A71="","",IFERROR(AVERAGEIFS('רווחה - קליטה'!$AR$5:$AR$204,'רווחה - קליטה'!$A$5:$A$204,$A71,'רווחה - קליטה'!$C$5:$C$204,"אמצע שנה"),""))</f>
        <v/>
      </c>
      <c r="F71" s="37">
        <f>IF($A71="","",IFERROR(AVERAGEIFS('רווחה - קליטה'!$AL$5:$AL$204,'רווחה - קליטה'!$A$5:$A$204,$A71,'רווחה - קליטה'!$C$5:$C$204,"אמצע שנה"),""))</f>
        <v/>
      </c>
      <c r="G71" s="36">
        <f>IF($A71="","",IFERROR(INDEX('רווחה - קליטה'!$AT$5:$AT$204,MATCH($A71&amp;"|אמצע שנה",'רווחה - קליטה'!$AF$5:$AF$204,0)),""))</f>
        <v/>
      </c>
      <c r="H71" s="45">
        <f>IF($A71="","",IFERROR(AVERAGEIFS('רווחה - קליטה'!$AR$5:$AR$204,'רווחה - קליטה'!$A$5:$A$204,$A71,'רווחה - קליטה'!$C$5:$C$204,"סוף שנה"),""))</f>
        <v/>
      </c>
      <c r="I71" s="37">
        <f>IF($A71="","",IFERROR(AVERAGEIFS('רווחה - קליטה'!$AL$5:$AL$204,'רווחה - קליטה'!$A$5:$A$204,$A71,'רווחה - קליטה'!$C$5:$C$204,"סוף שנה"),""))</f>
        <v/>
      </c>
      <c r="J71" s="36">
        <f>IF($A71="","",IFERROR(INDEX('רווחה - קליטה'!$AT$5:$AT$204,MATCH($A71&amp;"|סוף שנה",'רווחה - קליטה'!$AF$5:$AF$204,0)),""))</f>
        <v/>
      </c>
      <c r="K71" s="46">
        <f>IF(AND(ISNUMBER(B71),ISNUMBER(H71)),H71-B71,"")</f>
        <v/>
      </c>
      <c r="L71" s="36">
        <f>IF(K71="","",IF(K71&gt;=0.5,"עלייה",IF(K71&lt;=-0.5,"ירידה","יציב")))</f>
        <v/>
      </c>
    </row>
    <row r="72">
      <c r="A72" s="38" t="n"/>
      <c r="B72" s="45">
        <f>IF($A72="","",IFERROR(AVERAGEIFS('רווחה - קליטה'!$AR$5:$AR$204,'רווחה - קליטה'!$A$5:$A$204,$A72,'רווחה - קליטה'!$C$5:$C$204,"תחילת שנה"),""))</f>
        <v/>
      </c>
      <c r="C72" s="37">
        <f>IF($A72="","",IFERROR(AVERAGEIFS('רווחה - קליטה'!$AL$5:$AL$204,'רווחה - קליטה'!$A$5:$A$204,$A72,'רווחה - קליטה'!$C$5:$C$204,"תחילת שנה"),""))</f>
        <v/>
      </c>
      <c r="D72" s="36">
        <f>IF($A72="","",IFERROR(INDEX('רווחה - קליטה'!$AT$5:$AT$204,MATCH($A72&amp;"|תחילת שנה",'רווחה - קליטה'!$AF$5:$AF$204,0)),""))</f>
        <v/>
      </c>
      <c r="E72" s="45">
        <f>IF($A72="","",IFERROR(AVERAGEIFS('רווחה - קליטה'!$AR$5:$AR$204,'רווחה - קליטה'!$A$5:$A$204,$A72,'רווחה - קליטה'!$C$5:$C$204,"אמצע שנה"),""))</f>
        <v/>
      </c>
      <c r="F72" s="37">
        <f>IF($A72="","",IFERROR(AVERAGEIFS('רווחה - קליטה'!$AL$5:$AL$204,'רווחה - קליטה'!$A$5:$A$204,$A72,'רווחה - קליטה'!$C$5:$C$204,"אמצע שנה"),""))</f>
        <v/>
      </c>
      <c r="G72" s="36">
        <f>IF($A72="","",IFERROR(INDEX('רווחה - קליטה'!$AT$5:$AT$204,MATCH($A72&amp;"|אמצע שנה",'רווחה - קליטה'!$AF$5:$AF$204,0)),""))</f>
        <v/>
      </c>
      <c r="H72" s="45">
        <f>IF($A72="","",IFERROR(AVERAGEIFS('רווחה - קליטה'!$AR$5:$AR$204,'רווחה - קליטה'!$A$5:$A$204,$A72,'רווחה - קליטה'!$C$5:$C$204,"סוף שנה"),""))</f>
        <v/>
      </c>
      <c r="I72" s="37">
        <f>IF($A72="","",IFERROR(AVERAGEIFS('רווחה - קליטה'!$AL$5:$AL$204,'רווחה - קליטה'!$A$5:$A$204,$A72,'רווחה - קליטה'!$C$5:$C$204,"סוף שנה"),""))</f>
        <v/>
      </c>
      <c r="J72" s="36">
        <f>IF($A72="","",IFERROR(INDEX('רווחה - קליטה'!$AT$5:$AT$204,MATCH($A72&amp;"|סוף שנה",'רווחה - קליטה'!$AF$5:$AF$204,0)),""))</f>
        <v/>
      </c>
      <c r="K72" s="46">
        <f>IF(AND(ISNUMBER(B72),ISNUMBER(H72)),H72-B72,"")</f>
        <v/>
      </c>
      <c r="L72" s="36">
        <f>IF(K72="","",IF(K72&gt;=0.5,"עלייה",IF(K72&lt;=-0.5,"ירידה","יציב")))</f>
        <v/>
      </c>
    </row>
    <row r="73">
      <c r="A73" s="38" t="n"/>
      <c r="B73" s="45">
        <f>IF($A73="","",IFERROR(AVERAGEIFS('רווחה - קליטה'!$AR$5:$AR$204,'רווחה - קליטה'!$A$5:$A$204,$A73,'רווחה - קליטה'!$C$5:$C$204,"תחילת שנה"),""))</f>
        <v/>
      </c>
      <c r="C73" s="37">
        <f>IF($A73="","",IFERROR(AVERAGEIFS('רווחה - קליטה'!$AL$5:$AL$204,'רווחה - קליטה'!$A$5:$A$204,$A73,'רווחה - קליטה'!$C$5:$C$204,"תחילת שנה"),""))</f>
        <v/>
      </c>
      <c r="D73" s="36">
        <f>IF($A73="","",IFERROR(INDEX('רווחה - קליטה'!$AT$5:$AT$204,MATCH($A73&amp;"|תחילת שנה",'רווחה - קליטה'!$AF$5:$AF$204,0)),""))</f>
        <v/>
      </c>
      <c r="E73" s="45">
        <f>IF($A73="","",IFERROR(AVERAGEIFS('רווחה - קליטה'!$AR$5:$AR$204,'רווחה - קליטה'!$A$5:$A$204,$A73,'רווחה - קליטה'!$C$5:$C$204,"אמצע שנה"),""))</f>
        <v/>
      </c>
      <c r="F73" s="37">
        <f>IF($A73="","",IFERROR(AVERAGEIFS('רווחה - קליטה'!$AL$5:$AL$204,'רווחה - קליטה'!$A$5:$A$204,$A73,'רווחה - קליטה'!$C$5:$C$204,"אמצע שנה"),""))</f>
        <v/>
      </c>
      <c r="G73" s="36">
        <f>IF($A73="","",IFERROR(INDEX('רווחה - קליטה'!$AT$5:$AT$204,MATCH($A73&amp;"|אמצע שנה",'רווחה - קליטה'!$AF$5:$AF$204,0)),""))</f>
        <v/>
      </c>
      <c r="H73" s="45">
        <f>IF($A73="","",IFERROR(AVERAGEIFS('רווחה - קליטה'!$AR$5:$AR$204,'רווחה - קליטה'!$A$5:$A$204,$A73,'רווחה - קליטה'!$C$5:$C$204,"סוף שנה"),""))</f>
        <v/>
      </c>
      <c r="I73" s="37">
        <f>IF($A73="","",IFERROR(AVERAGEIFS('רווחה - קליטה'!$AL$5:$AL$204,'רווחה - קליטה'!$A$5:$A$204,$A73,'רווחה - קליטה'!$C$5:$C$204,"סוף שנה"),""))</f>
        <v/>
      </c>
      <c r="J73" s="36">
        <f>IF($A73="","",IFERROR(INDEX('רווחה - קליטה'!$AT$5:$AT$204,MATCH($A73&amp;"|סוף שנה",'רווחה - קליטה'!$AF$5:$AF$204,0)),""))</f>
        <v/>
      </c>
      <c r="K73" s="46">
        <f>IF(AND(ISNUMBER(B73),ISNUMBER(H73)),H73-B73,"")</f>
        <v/>
      </c>
      <c r="L73" s="36">
        <f>IF(K73="","",IF(K73&gt;=0.5,"עלייה",IF(K73&lt;=-0.5,"ירידה","יציב")))</f>
        <v/>
      </c>
    </row>
    <row r="74">
      <c r="A74" s="38" t="n"/>
      <c r="B74" s="45">
        <f>IF($A74="","",IFERROR(AVERAGEIFS('רווחה - קליטה'!$AR$5:$AR$204,'רווחה - קליטה'!$A$5:$A$204,$A74,'רווחה - קליטה'!$C$5:$C$204,"תחילת שנה"),""))</f>
        <v/>
      </c>
      <c r="C74" s="37">
        <f>IF($A74="","",IFERROR(AVERAGEIFS('רווחה - קליטה'!$AL$5:$AL$204,'רווחה - קליטה'!$A$5:$A$204,$A74,'רווחה - קליטה'!$C$5:$C$204,"תחילת שנה"),""))</f>
        <v/>
      </c>
      <c r="D74" s="36">
        <f>IF($A74="","",IFERROR(INDEX('רווחה - קליטה'!$AT$5:$AT$204,MATCH($A74&amp;"|תחילת שנה",'רווחה - קליטה'!$AF$5:$AF$204,0)),""))</f>
        <v/>
      </c>
      <c r="E74" s="45">
        <f>IF($A74="","",IFERROR(AVERAGEIFS('רווחה - קליטה'!$AR$5:$AR$204,'רווחה - קליטה'!$A$5:$A$204,$A74,'רווחה - קליטה'!$C$5:$C$204,"אמצע שנה"),""))</f>
        <v/>
      </c>
      <c r="F74" s="37">
        <f>IF($A74="","",IFERROR(AVERAGEIFS('רווחה - קליטה'!$AL$5:$AL$204,'רווחה - קליטה'!$A$5:$A$204,$A74,'רווחה - קליטה'!$C$5:$C$204,"אמצע שנה"),""))</f>
        <v/>
      </c>
      <c r="G74" s="36">
        <f>IF($A74="","",IFERROR(INDEX('רווחה - קליטה'!$AT$5:$AT$204,MATCH($A74&amp;"|אמצע שנה",'רווחה - קליטה'!$AF$5:$AF$204,0)),""))</f>
        <v/>
      </c>
      <c r="H74" s="45">
        <f>IF($A74="","",IFERROR(AVERAGEIFS('רווחה - קליטה'!$AR$5:$AR$204,'רווחה - קליטה'!$A$5:$A$204,$A74,'רווחה - קליטה'!$C$5:$C$204,"סוף שנה"),""))</f>
        <v/>
      </c>
      <c r="I74" s="37">
        <f>IF($A74="","",IFERROR(AVERAGEIFS('רווחה - קליטה'!$AL$5:$AL$204,'רווחה - קליטה'!$A$5:$A$204,$A74,'רווחה - קליטה'!$C$5:$C$204,"סוף שנה"),""))</f>
        <v/>
      </c>
      <c r="J74" s="36">
        <f>IF($A74="","",IFERROR(INDEX('רווחה - קליטה'!$AT$5:$AT$204,MATCH($A74&amp;"|סוף שנה",'רווחה - קליטה'!$AF$5:$AF$204,0)),""))</f>
        <v/>
      </c>
      <c r="K74" s="46">
        <f>IF(AND(ISNUMBER(B74),ISNUMBER(H74)),H74-B74,"")</f>
        <v/>
      </c>
      <c r="L74" s="36">
        <f>IF(K74="","",IF(K74&gt;=0.5,"עלייה",IF(K74&lt;=-0.5,"ירידה","יציב")))</f>
        <v/>
      </c>
    </row>
    <row r="75">
      <c r="A75" s="38" t="n"/>
      <c r="B75" s="45">
        <f>IF($A75="","",IFERROR(AVERAGEIFS('רווחה - קליטה'!$AR$5:$AR$204,'רווחה - קליטה'!$A$5:$A$204,$A75,'רווחה - קליטה'!$C$5:$C$204,"תחילת שנה"),""))</f>
        <v/>
      </c>
      <c r="C75" s="37">
        <f>IF($A75="","",IFERROR(AVERAGEIFS('רווחה - קליטה'!$AL$5:$AL$204,'רווחה - קליטה'!$A$5:$A$204,$A75,'רווחה - קליטה'!$C$5:$C$204,"תחילת שנה"),""))</f>
        <v/>
      </c>
      <c r="D75" s="36">
        <f>IF($A75="","",IFERROR(INDEX('רווחה - קליטה'!$AT$5:$AT$204,MATCH($A75&amp;"|תחילת שנה",'רווחה - קליטה'!$AF$5:$AF$204,0)),""))</f>
        <v/>
      </c>
      <c r="E75" s="45">
        <f>IF($A75="","",IFERROR(AVERAGEIFS('רווחה - קליטה'!$AR$5:$AR$204,'רווחה - קליטה'!$A$5:$A$204,$A75,'רווחה - קליטה'!$C$5:$C$204,"אמצע שנה"),""))</f>
        <v/>
      </c>
      <c r="F75" s="37">
        <f>IF($A75="","",IFERROR(AVERAGEIFS('רווחה - קליטה'!$AL$5:$AL$204,'רווחה - קליטה'!$A$5:$A$204,$A75,'רווחה - קליטה'!$C$5:$C$204,"אמצע שנה"),""))</f>
        <v/>
      </c>
      <c r="G75" s="36">
        <f>IF($A75="","",IFERROR(INDEX('רווחה - קליטה'!$AT$5:$AT$204,MATCH($A75&amp;"|אמצע שנה",'רווחה - קליטה'!$AF$5:$AF$204,0)),""))</f>
        <v/>
      </c>
      <c r="H75" s="45">
        <f>IF($A75="","",IFERROR(AVERAGEIFS('רווחה - קליטה'!$AR$5:$AR$204,'רווחה - קליטה'!$A$5:$A$204,$A75,'רווחה - קליטה'!$C$5:$C$204,"סוף שנה"),""))</f>
        <v/>
      </c>
      <c r="I75" s="37">
        <f>IF($A75="","",IFERROR(AVERAGEIFS('רווחה - קליטה'!$AL$5:$AL$204,'רווחה - קליטה'!$A$5:$A$204,$A75,'רווחה - קליטה'!$C$5:$C$204,"סוף שנה"),""))</f>
        <v/>
      </c>
      <c r="J75" s="36">
        <f>IF($A75="","",IFERROR(INDEX('רווחה - קליטה'!$AT$5:$AT$204,MATCH($A75&amp;"|סוף שנה",'רווחה - קליטה'!$AF$5:$AF$204,0)),""))</f>
        <v/>
      </c>
      <c r="K75" s="46">
        <f>IF(AND(ISNUMBER(B75),ISNUMBER(H75)),H75-B75,"")</f>
        <v/>
      </c>
      <c r="L75" s="36">
        <f>IF(K75="","",IF(K75&gt;=0.5,"עלייה",IF(K75&lt;=-0.5,"ירידה","יציב")))</f>
        <v/>
      </c>
    </row>
    <row r="76">
      <c r="A76" s="38" t="n"/>
      <c r="B76" s="45">
        <f>IF($A76="","",IFERROR(AVERAGEIFS('רווחה - קליטה'!$AR$5:$AR$204,'רווחה - קליטה'!$A$5:$A$204,$A76,'רווחה - קליטה'!$C$5:$C$204,"תחילת שנה"),""))</f>
        <v/>
      </c>
      <c r="C76" s="37">
        <f>IF($A76="","",IFERROR(AVERAGEIFS('רווחה - קליטה'!$AL$5:$AL$204,'רווחה - קליטה'!$A$5:$A$204,$A76,'רווחה - קליטה'!$C$5:$C$204,"תחילת שנה"),""))</f>
        <v/>
      </c>
      <c r="D76" s="36">
        <f>IF($A76="","",IFERROR(INDEX('רווחה - קליטה'!$AT$5:$AT$204,MATCH($A76&amp;"|תחילת שנה",'רווחה - קליטה'!$AF$5:$AF$204,0)),""))</f>
        <v/>
      </c>
      <c r="E76" s="45">
        <f>IF($A76="","",IFERROR(AVERAGEIFS('רווחה - קליטה'!$AR$5:$AR$204,'רווחה - קליטה'!$A$5:$A$204,$A76,'רווחה - קליטה'!$C$5:$C$204,"אמצע שנה"),""))</f>
        <v/>
      </c>
      <c r="F76" s="37">
        <f>IF($A76="","",IFERROR(AVERAGEIFS('רווחה - קליטה'!$AL$5:$AL$204,'רווחה - קליטה'!$A$5:$A$204,$A76,'רווחה - קליטה'!$C$5:$C$204,"אמצע שנה"),""))</f>
        <v/>
      </c>
      <c r="G76" s="36">
        <f>IF($A76="","",IFERROR(INDEX('רווחה - קליטה'!$AT$5:$AT$204,MATCH($A76&amp;"|אמצע שנה",'רווחה - קליטה'!$AF$5:$AF$204,0)),""))</f>
        <v/>
      </c>
      <c r="H76" s="45">
        <f>IF($A76="","",IFERROR(AVERAGEIFS('רווחה - קליטה'!$AR$5:$AR$204,'רווחה - קליטה'!$A$5:$A$204,$A76,'רווחה - קליטה'!$C$5:$C$204,"סוף שנה"),""))</f>
        <v/>
      </c>
      <c r="I76" s="37">
        <f>IF($A76="","",IFERROR(AVERAGEIFS('רווחה - קליטה'!$AL$5:$AL$204,'רווחה - קליטה'!$A$5:$A$204,$A76,'רווחה - קליטה'!$C$5:$C$204,"סוף שנה"),""))</f>
        <v/>
      </c>
      <c r="J76" s="36">
        <f>IF($A76="","",IFERROR(INDEX('רווחה - קליטה'!$AT$5:$AT$204,MATCH($A76&amp;"|סוף שנה",'רווחה - קליטה'!$AF$5:$AF$204,0)),""))</f>
        <v/>
      </c>
      <c r="K76" s="46">
        <f>IF(AND(ISNUMBER(B76),ISNUMBER(H76)),H76-B76,"")</f>
        <v/>
      </c>
      <c r="L76" s="36">
        <f>IF(K76="","",IF(K76&gt;=0.5,"עלייה",IF(K76&lt;=-0.5,"ירידה","יציב")))</f>
        <v/>
      </c>
    </row>
    <row r="77">
      <c r="A77" s="38" t="n"/>
      <c r="B77" s="45">
        <f>IF($A77="","",IFERROR(AVERAGEIFS('רווחה - קליטה'!$AR$5:$AR$204,'רווחה - קליטה'!$A$5:$A$204,$A77,'רווחה - קליטה'!$C$5:$C$204,"תחילת שנה"),""))</f>
        <v/>
      </c>
      <c r="C77" s="37">
        <f>IF($A77="","",IFERROR(AVERAGEIFS('רווחה - קליטה'!$AL$5:$AL$204,'רווחה - קליטה'!$A$5:$A$204,$A77,'רווחה - קליטה'!$C$5:$C$204,"תחילת שנה"),""))</f>
        <v/>
      </c>
      <c r="D77" s="36">
        <f>IF($A77="","",IFERROR(INDEX('רווחה - קליטה'!$AT$5:$AT$204,MATCH($A77&amp;"|תחילת שנה",'רווחה - קליטה'!$AF$5:$AF$204,0)),""))</f>
        <v/>
      </c>
      <c r="E77" s="45">
        <f>IF($A77="","",IFERROR(AVERAGEIFS('רווחה - קליטה'!$AR$5:$AR$204,'רווחה - קליטה'!$A$5:$A$204,$A77,'רווחה - קליטה'!$C$5:$C$204,"אמצע שנה"),""))</f>
        <v/>
      </c>
      <c r="F77" s="37">
        <f>IF($A77="","",IFERROR(AVERAGEIFS('רווחה - קליטה'!$AL$5:$AL$204,'רווחה - קליטה'!$A$5:$A$204,$A77,'רווחה - קליטה'!$C$5:$C$204,"אמצע שנה"),""))</f>
        <v/>
      </c>
      <c r="G77" s="36">
        <f>IF($A77="","",IFERROR(INDEX('רווחה - קליטה'!$AT$5:$AT$204,MATCH($A77&amp;"|אמצע שנה",'רווחה - קליטה'!$AF$5:$AF$204,0)),""))</f>
        <v/>
      </c>
      <c r="H77" s="45">
        <f>IF($A77="","",IFERROR(AVERAGEIFS('רווחה - קליטה'!$AR$5:$AR$204,'רווחה - קליטה'!$A$5:$A$204,$A77,'רווחה - קליטה'!$C$5:$C$204,"סוף שנה"),""))</f>
        <v/>
      </c>
      <c r="I77" s="37">
        <f>IF($A77="","",IFERROR(AVERAGEIFS('רווחה - קליטה'!$AL$5:$AL$204,'רווחה - קליטה'!$A$5:$A$204,$A77,'רווחה - קליטה'!$C$5:$C$204,"סוף שנה"),""))</f>
        <v/>
      </c>
      <c r="J77" s="36">
        <f>IF($A77="","",IFERROR(INDEX('רווחה - קליטה'!$AT$5:$AT$204,MATCH($A77&amp;"|סוף שנה",'רווחה - קליטה'!$AF$5:$AF$204,0)),""))</f>
        <v/>
      </c>
      <c r="K77" s="46">
        <f>IF(AND(ISNUMBER(B77),ISNUMBER(H77)),H77-B77,"")</f>
        <v/>
      </c>
      <c r="L77" s="36">
        <f>IF(K77="","",IF(K77&gt;=0.5,"עלייה",IF(K77&lt;=-0.5,"ירידה","יציב")))</f>
        <v/>
      </c>
    </row>
    <row r="78">
      <c r="A78" s="38" t="n"/>
      <c r="B78" s="45">
        <f>IF($A78="","",IFERROR(AVERAGEIFS('רווחה - קליטה'!$AR$5:$AR$204,'רווחה - קליטה'!$A$5:$A$204,$A78,'רווחה - קליטה'!$C$5:$C$204,"תחילת שנה"),""))</f>
        <v/>
      </c>
      <c r="C78" s="37">
        <f>IF($A78="","",IFERROR(AVERAGEIFS('רווחה - קליטה'!$AL$5:$AL$204,'רווחה - קליטה'!$A$5:$A$204,$A78,'רווחה - קליטה'!$C$5:$C$204,"תחילת שנה"),""))</f>
        <v/>
      </c>
      <c r="D78" s="36">
        <f>IF($A78="","",IFERROR(INDEX('רווחה - קליטה'!$AT$5:$AT$204,MATCH($A78&amp;"|תחילת שנה",'רווחה - קליטה'!$AF$5:$AF$204,0)),""))</f>
        <v/>
      </c>
      <c r="E78" s="45">
        <f>IF($A78="","",IFERROR(AVERAGEIFS('רווחה - קליטה'!$AR$5:$AR$204,'רווחה - קליטה'!$A$5:$A$204,$A78,'רווחה - קליטה'!$C$5:$C$204,"אמצע שנה"),""))</f>
        <v/>
      </c>
      <c r="F78" s="37">
        <f>IF($A78="","",IFERROR(AVERAGEIFS('רווחה - קליטה'!$AL$5:$AL$204,'רווחה - קליטה'!$A$5:$A$204,$A78,'רווחה - קליטה'!$C$5:$C$204,"אמצע שנה"),""))</f>
        <v/>
      </c>
      <c r="G78" s="36">
        <f>IF($A78="","",IFERROR(INDEX('רווחה - קליטה'!$AT$5:$AT$204,MATCH($A78&amp;"|אמצע שנה",'רווחה - קליטה'!$AF$5:$AF$204,0)),""))</f>
        <v/>
      </c>
      <c r="H78" s="45">
        <f>IF($A78="","",IFERROR(AVERAGEIFS('רווחה - קליטה'!$AR$5:$AR$204,'רווחה - קליטה'!$A$5:$A$204,$A78,'רווחה - קליטה'!$C$5:$C$204,"סוף שנה"),""))</f>
        <v/>
      </c>
      <c r="I78" s="37">
        <f>IF($A78="","",IFERROR(AVERAGEIFS('רווחה - קליטה'!$AL$5:$AL$204,'רווחה - קליטה'!$A$5:$A$204,$A78,'רווחה - קליטה'!$C$5:$C$204,"סוף שנה"),""))</f>
        <v/>
      </c>
      <c r="J78" s="36">
        <f>IF($A78="","",IFERROR(INDEX('רווחה - קליטה'!$AT$5:$AT$204,MATCH($A78&amp;"|סוף שנה",'רווחה - קליטה'!$AF$5:$AF$204,0)),""))</f>
        <v/>
      </c>
      <c r="K78" s="46">
        <f>IF(AND(ISNUMBER(B78),ISNUMBER(H78)),H78-B78,"")</f>
        <v/>
      </c>
      <c r="L78" s="36">
        <f>IF(K78="","",IF(K78&gt;=0.5,"עלייה",IF(K78&lt;=-0.5,"ירידה","יציב")))</f>
        <v/>
      </c>
    </row>
    <row r="79">
      <c r="A79" s="38" t="n"/>
      <c r="B79" s="45">
        <f>IF($A79="","",IFERROR(AVERAGEIFS('רווחה - קליטה'!$AR$5:$AR$204,'רווחה - קליטה'!$A$5:$A$204,$A79,'רווחה - קליטה'!$C$5:$C$204,"תחילת שנה"),""))</f>
        <v/>
      </c>
      <c r="C79" s="37">
        <f>IF($A79="","",IFERROR(AVERAGEIFS('רווחה - קליטה'!$AL$5:$AL$204,'רווחה - קליטה'!$A$5:$A$204,$A79,'רווחה - קליטה'!$C$5:$C$204,"תחילת שנה"),""))</f>
        <v/>
      </c>
      <c r="D79" s="36">
        <f>IF($A79="","",IFERROR(INDEX('רווחה - קליטה'!$AT$5:$AT$204,MATCH($A79&amp;"|תחילת שנה",'רווחה - קליטה'!$AF$5:$AF$204,0)),""))</f>
        <v/>
      </c>
      <c r="E79" s="45">
        <f>IF($A79="","",IFERROR(AVERAGEIFS('רווחה - קליטה'!$AR$5:$AR$204,'רווחה - קליטה'!$A$5:$A$204,$A79,'רווחה - קליטה'!$C$5:$C$204,"אמצע שנה"),""))</f>
        <v/>
      </c>
      <c r="F79" s="37">
        <f>IF($A79="","",IFERROR(AVERAGEIFS('רווחה - קליטה'!$AL$5:$AL$204,'רווחה - קליטה'!$A$5:$A$204,$A79,'רווחה - קליטה'!$C$5:$C$204,"אמצע שנה"),""))</f>
        <v/>
      </c>
      <c r="G79" s="36">
        <f>IF($A79="","",IFERROR(INDEX('רווחה - קליטה'!$AT$5:$AT$204,MATCH($A79&amp;"|אמצע שנה",'רווחה - קליטה'!$AF$5:$AF$204,0)),""))</f>
        <v/>
      </c>
      <c r="H79" s="45">
        <f>IF($A79="","",IFERROR(AVERAGEIFS('רווחה - קליטה'!$AR$5:$AR$204,'רווחה - קליטה'!$A$5:$A$204,$A79,'רווחה - קליטה'!$C$5:$C$204,"סוף שנה"),""))</f>
        <v/>
      </c>
      <c r="I79" s="37">
        <f>IF($A79="","",IFERROR(AVERAGEIFS('רווחה - קליטה'!$AL$5:$AL$204,'רווחה - קליטה'!$A$5:$A$204,$A79,'רווחה - קליטה'!$C$5:$C$204,"סוף שנה"),""))</f>
        <v/>
      </c>
      <c r="J79" s="36">
        <f>IF($A79="","",IFERROR(INDEX('רווחה - קליטה'!$AT$5:$AT$204,MATCH($A79&amp;"|סוף שנה",'רווחה - קליטה'!$AF$5:$AF$204,0)),""))</f>
        <v/>
      </c>
      <c r="K79" s="46">
        <f>IF(AND(ISNUMBER(B79),ISNUMBER(H79)),H79-B79,"")</f>
        <v/>
      </c>
      <c r="L79" s="36">
        <f>IF(K79="","",IF(K79&gt;=0.5,"עלייה",IF(K79&lt;=-0.5,"ירידה","יציב")))</f>
        <v/>
      </c>
    </row>
    <row r="80">
      <c r="A80" s="38" t="n"/>
      <c r="B80" s="45">
        <f>IF($A80="","",IFERROR(AVERAGEIFS('רווחה - קליטה'!$AR$5:$AR$204,'רווחה - קליטה'!$A$5:$A$204,$A80,'רווחה - קליטה'!$C$5:$C$204,"תחילת שנה"),""))</f>
        <v/>
      </c>
      <c r="C80" s="37">
        <f>IF($A80="","",IFERROR(AVERAGEIFS('רווחה - קליטה'!$AL$5:$AL$204,'רווחה - קליטה'!$A$5:$A$204,$A80,'רווחה - קליטה'!$C$5:$C$204,"תחילת שנה"),""))</f>
        <v/>
      </c>
      <c r="D80" s="36">
        <f>IF($A80="","",IFERROR(INDEX('רווחה - קליטה'!$AT$5:$AT$204,MATCH($A80&amp;"|תחילת שנה",'רווחה - קליטה'!$AF$5:$AF$204,0)),""))</f>
        <v/>
      </c>
      <c r="E80" s="45">
        <f>IF($A80="","",IFERROR(AVERAGEIFS('רווחה - קליטה'!$AR$5:$AR$204,'רווחה - קליטה'!$A$5:$A$204,$A80,'רווחה - קליטה'!$C$5:$C$204,"אמצע שנה"),""))</f>
        <v/>
      </c>
      <c r="F80" s="37">
        <f>IF($A80="","",IFERROR(AVERAGEIFS('רווחה - קליטה'!$AL$5:$AL$204,'רווחה - קליטה'!$A$5:$A$204,$A80,'רווחה - קליטה'!$C$5:$C$204,"אמצע שנה"),""))</f>
        <v/>
      </c>
      <c r="G80" s="36">
        <f>IF($A80="","",IFERROR(INDEX('רווחה - קליטה'!$AT$5:$AT$204,MATCH($A80&amp;"|אמצע שנה",'רווחה - קליטה'!$AF$5:$AF$204,0)),""))</f>
        <v/>
      </c>
      <c r="H80" s="45">
        <f>IF($A80="","",IFERROR(AVERAGEIFS('רווחה - קליטה'!$AR$5:$AR$204,'רווחה - קליטה'!$A$5:$A$204,$A80,'רווחה - קליטה'!$C$5:$C$204,"סוף שנה"),""))</f>
        <v/>
      </c>
      <c r="I80" s="37">
        <f>IF($A80="","",IFERROR(AVERAGEIFS('רווחה - קליטה'!$AL$5:$AL$204,'רווחה - קליטה'!$A$5:$A$204,$A80,'רווחה - קליטה'!$C$5:$C$204,"סוף שנה"),""))</f>
        <v/>
      </c>
      <c r="J80" s="36">
        <f>IF($A80="","",IFERROR(INDEX('רווחה - קליטה'!$AT$5:$AT$204,MATCH($A80&amp;"|סוף שנה",'רווחה - קליטה'!$AF$5:$AF$204,0)),""))</f>
        <v/>
      </c>
      <c r="K80" s="46">
        <f>IF(AND(ISNUMBER(B80),ISNUMBER(H80)),H80-B80,"")</f>
        <v/>
      </c>
      <c r="L80" s="36">
        <f>IF(K80="","",IF(K80&gt;=0.5,"עלייה",IF(K80&lt;=-0.5,"ירידה","יציב")))</f>
        <v/>
      </c>
    </row>
    <row r="81">
      <c r="A81" s="38" t="n"/>
      <c r="B81" s="45">
        <f>IF($A81="","",IFERROR(AVERAGEIFS('רווחה - קליטה'!$AR$5:$AR$204,'רווחה - קליטה'!$A$5:$A$204,$A81,'רווחה - קליטה'!$C$5:$C$204,"תחילת שנה"),""))</f>
        <v/>
      </c>
      <c r="C81" s="37">
        <f>IF($A81="","",IFERROR(AVERAGEIFS('רווחה - קליטה'!$AL$5:$AL$204,'רווחה - קליטה'!$A$5:$A$204,$A81,'רווחה - קליטה'!$C$5:$C$204,"תחילת שנה"),""))</f>
        <v/>
      </c>
      <c r="D81" s="36">
        <f>IF($A81="","",IFERROR(INDEX('רווחה - קליטה'!$AT$5:$AT$204,MATCH($A81&amp;"|תחילת שנה",'רווחה - קליטה'!$AF$5:$AF$204,0)),""))</f>
        <v/>
      </c>
      <c r="E81" s="45">
        <f>IF($A81="","",IFERROR(AVERAGEIFS('רווחה - קליטה'!$AR$5:$AR$204,'רווחה - קליטה'!$A$5:$A$204,$A81,'רווחה - קליטה'!$C$5:$C$204,"אמצע שנה"),""))</f>
        <v/>
      </c>
      <c r="F81" s="37">
        <f>IF($A81="","",IFERROR(AVERAGEIFS('רווחה - קליטה'!$AL$5:$AL$204,'רווחה - קליטה'!$A$5:$A$204,$A81,'רווחה - קליטה'!$C$5:$C$204,"אמצע שנה"),""))</f>
        <v/>
      </c>
      <c r="G81" s="36">
        <f>IF($A81="","",IFERROR(INDEX('רווחה - קליטה'!$AT$5:$AT$204,MATCH($A81&amp;"|אמצע שנה",'רווחה - קליטה'!$AF$5:$AF$204,0)),""))</f>
        <v/>
      </c>
      <c r="H81" s="45">
        <f>IF($A81="","",IFERROR(AVERAGEIFS('רווחה - קליטה'!$AR$5:$AR$204,'רווחה - קליטה'!$A$5:$A$204,$A81,'רווחה - קליטה'!$C$5:$C$204,"סוף שנה"),""))</f>
        <v/>
      </c>
      <c r="I81" s="37">
        <f>IF($A81="","",IFERROR(AVERAGEIFS('רווחה - קליטה'!$AL$5:$AL$204,'רווחה - קליטה'!$A$5:$A$204,$A81,'רווחה - קליטה'!$C$5:$C$204,"סוף שנה"),""))</f>
        <v/>
      </c>
      <c r="J81" s="36">
        <f>IF($A81="","",IFERROR(INDEX('רווחה - קליטה'!$AT$5:$AT$204,MATCH($A81&amp;"|סוף שנה",'רווחה - קליטה'!$AF$5:$AF$204,0)),""))</f>
        <v/>
      </c>
      <c r="K81" s="46">
        <f>IF(AND(ISNUMBER(B81),ISNUMBER(H81)),H81-B81,"")</f>
        <v/>
      </c>
      <c r="L81" s="36">
        <f>IF(K81="","",IF(K81&gt;=0.5,"עלייה",IF(K81&lt;=-0.5,"ירידה","יציב")))</f>
        <v/>
      </c>
    </row>
    <row r="82">
      <c r="A82" s="38" t="n"/>
      <c r="B82" s="45">
        <f>IF($A82="","",IFERROR(AVERAGEIFS('רווחה - קליטה'!$AR$5:$AR$204,'רווחה - קליטה'!$A$5:$A$204,$A82,'רווחה - קליטה'!$C$5:$C$204,"תחילת שנה"),""))</f>
        <v/>
      </c>
      <c r="C82" s="37">
        <f>IF($A82="","",IFERROR(AVERAGEIFS('רווחה - קליטה'!$AL$5:$AL$204,'רווחה - קליטה'!$A$5:$A$204,$A82,'רווחה - קליטה'!$C$5:$C$204,"תחילת שנה"),""))</f>
        <v/>
      </c>
      <c r="D82" s="36">
        <f>IF($A82="","",IFERROR(INDEX('רווחה - קליטה'!$AT$5:$AT$204,MATCH($A82&amp;"|תחילת שנה",'רווחה - קליטה'!$AF$5:$AF$204,0)),""))</f>
        <v/>
      </c>
      <c r="E82" s="45">
        <f>IF($A82="","",IFERROR(AVERAGEIFS('רווחה - קליטה'!$AR$5:$AR$204,'רווחה - קליטה'!$A$5:$A$204,$A82,'רווחה - קליטה'!$C$5:$C$204,"אמצע שנה"),""))</f>
        <v/>
      </c>
      <c r="F82" s="37">
        <f>IF($A82="","",IFERROR(AVERAGEIFS('רווחה - קליטה'!$AL$5:$AL$204,'רווחה - קליטה'!$A$5:$A$204,$A82,'רווחה - קליטה'!$C$5:$C$204,"אמצע שנה"),""))</f>
        <v/>
      </c>
      <c r="G82" s="36">
        <f>IF($A82="","",IFERROR(INDEX('רווחה - קליטה'!$AT$5:$AT$204,MATCH($A82&amp;"|אמצע שנה",'רווחה - קליטה'!$AF$5:$AF$204,0)),""))</f>
        <v/>
      </c>
      <c r="H82" s="45">
        <f>IF($A82="","",IFERROR(AVERAGEIFS('רווחה - קליטה'!$AR$5:$AR$204,'רווחה - קליטה'!$A$5:$A$204,$A82,'רווחה - קליטה'!$C$5:$C$204,"סוף שנה"),""))</f>
        <v/>
      </c>
      <c r="I82" s="37">
        <f>IF($A82="","",IFERROR(AVERAGEIFS('רווחה - קליטה'!$AL$5:$AL$204,'רווחה - קליטה'!$A$5:$A$204,$A82,'רווחה - קליטה'!$C$5:$C$204,"סוף שנה"),""))</f>
        <v/>
      </c>
      <c r="J82" s="36">
        <f>IF($A82="","",IFERROR(INDEX('רווחה - קליטה'!$AT$5:$AT$204,MATCH($A82&amp;"|סוף שנה",'רווחה - קליטה'!$AF$5:$AF$204,0)),""))</f>
        <v/>
      </c>
      <c r="K82" s="46">
        <f>IF(AND(ISNUMBER(B82),ISNUMBER(H82)),H82-B82,"")</f>
        <v/>
      </c>
      <c r="L82" s="36">
        <f>IF(K82="","",IF(K82&gt;=0.5,"עלייה",IF(K82&lt;=-0.5,"ירידה","יציב")))</f>
        <v/>
      </c>
    </row>
    <row r="83">
      <c r="A83" s="38" t="n"/>
      <c r="B83" s="45">
        <f>IF($A83="","",IFERROR(AVERAGEIFS('רווחה - קליטה'!$AR$5:$AR$204,'רווחה - קליטה'!$A$5:$A$204,$A83,'רווחה - קליטה'!$C$5:$C$204,"תחילת שנה"),""))</f>
        <v/>
      </c>
      <c r="C83" s="37">
        <f>IF($A83="","",IFERROR(AVERAGEIFS('רווחה - קליטה'!$AL$5:$AL$204,'רווחה - קליטה'!$A$5:$A$204,$A83,'רווחה - קליטה'!$C$5:$C$204,"תחילת שנה"),""))</f>
        <v/>
      </c>
      <c r="D83" s="36">
        <f>IF($A83="","",IFERROR(INDEX('רווחה - קליטה'!$AT$5:$AT$204,MATCH($A83&amp;"|תחילת שנה",'רווחה - קליטה'!$AF$5:$AF$204,0)),""))</f>
        <v/>
      </c>
      <c r="E83" s="45">
        <f>IF($A83="","",IFERROR(AVERAGEIFS('רווחה - קליטה'!$AR$5:$AR$204,'רווחה - קליטה'!$A$5:$A$204,$A83,'רווחה - קליטה'!$C$5:$C$204,"אמצע שנה"),""))</f>
        <v/>
      </c>
      <c r="F83" s="37">
        <f>IF($A83="","",IFERROR(AVERAGEIFS('רווחה - קליטה'!$AL$5:$AL$204,'רווחה - קליטה'!$A$5:$A$204,$A83,'רווחה - קליטה'!$C$5:$C$204,"אמצע שנה"),""))</f>
        <v/>
      </c>
      <c r="G83" s="36">
        <f>IF($A83="","",IFERROR(INDEX('רווחה - קליטה'!$AT$5:$AT$204,MATCH($A83&amp;"|אמצע שנה",'רווחה - קליטה'!$AF$5:$AF$204,0)),""))</f>
        <v/>
      </c>
      <c r="H83" s="45">
        <f>IF($A83="","",IFERROR(AVERAGEIFS('רווחה - קליטה'!$AR$5:$AR$204,'רווחה - קליטה'!$A$5:$A$204,$A83,'רווחה - קליטה'!$C$5:$C$204,"סוף שנה"),""))</f>
        <v/>
      </c>
      <c r="I83" s="37">
        <f>IF($A83="","",IFERROR(AVERAGEIFS('רווחה - קליטה'!$AL$5:$AL$204,'רווחה - קליטה'!$A$5:$A$204,$A83,'רווחה - קליטה'!$C$5:$C$204,"סוף שנה"),""))</f>
        <v/>
      </c>
      <c r="J83" s="36">
        <f>IF($A83="","",IFERROR(INDEX('רווחה - קליטה'!$AT$5:$AT$204,MATCH($A83&amp;"|סוף שנה",'רווחה - קליטה'!$AF$5:$AF$204,0)),""))</f>
        <v/>
      </c>
      <c r="K83" s="46">
        <f>IF(AND(ISNUMBER(B83),ISNUMBER(H83)),H83-B83,"")</f>
        <v/>
      </c>
      <c r="L83" s="36">
        <f>IF(K83="","",IF(K83&gt;=0.5,"עלייה",IF(K83&lt;=-0.5,"ירידה","יציב")))</f>
        <v/>
      </c>
    </row>
    <row r="84">
      <c r="A84" s="38" t="n"/>
      <c r="B84" s="45">
        <f>IF($A84="","",IFERROR(AVERAGEIFS('רווחה - קליטה'!$AR$5:$AR$204,'רווחה - קליטה'!$A$5:$A$204,$A84,'רווחה - קליטה'!$C$5:$C$204,"תחילת שנה"),""))</f>
        <v/>
      </c>
      <c r="C84" s="37">
        <f>IF($A84="","",IFERROR(AVERAGEIFS('רווחה - קליטה'!$AL$5:$AL$204,'רווחה - קליטה'!$A$5:$A$204,$A84,'רווחה - קליטה'!$C$5:$C$204,"תחילת שנה"),""))</f>
        <v/>
      </c>
      <c r="D84" s="36">
        <f>IF($A84="","",IFERROR(INDEX('רווחה - קליטה'!$AT$5:$AT$204,MATCH($A84&amp;"|תחילת שנה",'רווחה - קליטה'!$AF$5:$AF$204,0)),""))</f>
        <v/>
      </c>
      <c r="E84" s="45">
        <f>IF($A84="","",IFERROR(AVERAGEIFS('רווחה - קליטה'!$AR$5:$AR$204,'רווחה - קליטה'!$A$5:$A$204,$A84,'רווחה - קליטה'!$C$5:$C$204,"אמצע שנה"),""))</f>
        <v/>
      </c>
      <c r="F84" s="37">
        <f>IF($A84="","",IFERROR(AVERAGEIFS('רווחה - קליטה'!$AL$5:$AL$204,'רווחה - קליטה'!$A$5:$A$204,$A84,'רווחה - קליטה'!$C$5:$C$204,"אמצע שנה"),""))</f>
        <v/>
      </c>
      <c r="G84" s="36">
        <f>IF($A84="","",IFERROR(INDEX('רווחה - קליטה'!$AT$5:$AT$204,MATCH($A84&amp;"|אמצע שנה",'רווחה - קליטה'!$AF$5:$AF$204,0)),""))</f>
        <v/>
      </c>
      <c r="H84" s="45">
        <f>IF($A84="","",IFERROR(AVERAGEIFS('רווחה - קליטה'!$AR$5:$AR$204,'רווחה - קליטה'!$A$5:$A$204,$A84,'רווחה - קליטה'!$C$5:$C$204,"סוף שנה"),""))</f>
        <v/>
      </c>
      <c r="I84" s="37">
        <f>IF($A84="","",IFERROR(AVERAGEIFS('רווחה - קליטה'!$AL$5:$AL$204,'רווחה - קליטה'!$A$5:$A$204,$A84,'רווחה - קליטה'!$C$5:$C$204,"סוף שנה"),""))</f>
        <v/>
      </c>
      <c r="J84" s="36">
        <f>IF($A84="","",IFERROR(INDEX('רווחה - קליטה'!$AT$5:$AT$204,MATCH($A84&amp;"|סוף שנה",'רווחה - קליטה'!$AF$5:$AF$204,0)),""))</f>
        <v/>
      </c>
      <c r="K84" s="46">
        <f>IF(AND(ISNUMBER(B84),ISNUMBER(H84)),H84-B84,"")</f>
        <v/>
      </c>
      <c r="L84" s="36">
        <f>IF(K84="","",IF(K84&gt;=0.5,"עלייה",IF(K84&lt;=-0.5,"ירידה","יציב")))</f>
        <v/>
      </c>
    </row>
    <row r="85">
      <c r="A85" s="38" t="n"/>
      <c r="B85" s="45">
        <f>IF($A85="","",IFERROR(AVERAGEIFS('רווחה - קליטה'!$AR$5:$AR$204,'רווחה - קליטה'!$A$5:$A$204,$A85,'רווחה - קליטה'!$C$5:$C$204,"תחילת שנה"),""))</f>
        <v/>
      </c>
      <c r="C85" s="37">
        <f>IF($A85="","",IFERROR(AVERAGEIFS('רווחה - קליטה'!$AL$5:$AL$204,'רווחה - קליטה'!$A$5:$A$204,$A85,'רווחה - קליטה'!$C$5:$C$204,"תחילת שנה"),""))</f>
        <v/>
      </c>
      <c r="D85" s="36">
        <f>IF($A85="","",IFERROR(INDEX('רווחה - קליטה'!$AT$5:$AT$204,MATCH($A85&amp;"|תחילת שנה",'רווחה - קליטה'!$AF$5:$AF$204,0)),""))</f>
        <v/>
      </c>
      <c r="E85" s="45">
        <f>IF($A85="","",IFERROR(AVERAGEIFS('רווחה - קליטה'!$AR$5:$AR$204,'רווחה - קליטה'!$A$5:$A$204,$A85,'רווחה - קליטה'!$C$5:$C$204,"אמצע שנה"),""))</f>
        <v/>
      </c>
      <c r="F85" s="37">
        <f>IF($A85="","",IFERROR(AVERAGEIFS('רווחה - קליטה'!$AL$5:$AL$204,'רווחה - קליטה'!$A$5:$A$204,$A85,'רווחה - קליטה'!$C$5:$C$204,"אמצע שנה"),""))</f>
        <v/>
      </c>
      <c r="G85" s="36">
        <f>IF($A85="","",IFERROR(INDEX('רווחה - קליטה'!$AT$5:$AT$204,MATCH($A85&amp;"|אמצע שנה",'רווחה - קליטה'!$AF$5:$AF$204,0)),""))</f>
        <v/>
      </c>
      <c r="H85" s="45">
        <f>IF($A85="","",IFERROR(AVERAGEIFS('רווחה - קליטה'!$AR$5:$AR$204,'רווחה - קליטה'!$A$5:$A$204,$A85,'רווחה - קליטה'!$C$5:$C$204,"סוף שנה"),""))</f>
        <v/>
      </c>
      <c r="I85" s="37">
        <f>IF($A85="","",IFERROR(AVERAGEIFS('רווחה - קליטה'!$AL$5:$AL$204,'רווחה - קליטה'!$A$5:$A$204,$A85,'רווחה - קליטה'!$C$5:$C$204,"סוף שנה"),""))</f>
        <v/>
      </c>
      <c r="J85" s="36">
        <f>IF($A85="","",IFERROR(INDEX('רווחה - קליטה'!$AT$5:$AT$204,MATCH($A85&amp;"|סוף שנה",'רווחה - קליטה'!$AF$5:$AF$204,0)),""))</f>
        <v/>
      </c>
      <c r="K85" s="46">
        <f>IF(AND(ISNUMBER(B85),ISNUMBER(H85)),H85-B85,"")</f>
        <v/>
      </c>
      <c r="L85" s="36">
        <f>IF(K85="","",IF(K85&gt;=0.5,"עלייה",IF(K85&lt;=-0.5,"ירידה","יציב")))</f>
        <v/>
      </c>
    </row>
    <row r="86">
      <c r="A86" s="38" t="n"/>
      <c r="B86" s="45">
        <f>IF($A86="","",IFERROR(AVERAGEIFS('רווחה - קליטה'!$AR$5:$AR$204,'רווחה - קליטה'!$A$5:$A$204,$A86,'רווחה - קליטה'!$C$5:$C$204,"תחילת שנה"),""))</f>
        <v/>
      </c>
      <c r="C86" s="37">
        <f>IF($A86="","",IFERROR(AVERAGEIFS('רווחה - קליטה'!$AL$5:$AL$204,'רווחה - קליטה'!$A$5:$A$204,$A86,'רווחה - קליטה'!$C$5:$C$204,"תחילת שנה"),""))</f>
        <v/>
      </c>
      <c r="D86" s="36">
        <f>IF($A86="","",IFERROR(INDEX('רווחה - קליטה'!$AT$5:$AT$204,MATCH($A86&amp;"|תחילת שנה",'רווחה - קליטה'!$AF$5:$AF$204,0)),""))</f>
        <v/>
      </c>
      <c r="E86" s="45">
        <f>IF($A86="","",IFERROR(AVERAGEIFS('רווחה - קליטה'!$AR$5:$AR$204,'רווחה - קליטה'!$A$5:$A$204,$A86,'רווחה - קליטה'!$C$5:$C$204,"אמצע שנה"),""))</f>
        <v/>
      </c>
      <c r="F86" s="37">
        <f>IF($A86="","",IFERROR(AVERAGEIFS('רווחה - קליטה'!$AL$5:$AL$204,'רווחה - קליטה'!$A$5:$A$204,$A86,'רווחה - קליטה'!$C$5:$C$204,"אמצע שנה"),""))</f>
        <v/>
      </c>
      <c r="G86" s="36">
        <f>IF($A86="","",IFERROR(INDEX('רווחה - קליטה'!$AT$5:$AT$204,MATCH($A86&amp;"|אמצע שנה",'רווחה - קליטה'!$AF$5:$AF$204,0)),""))</f>
        <v/>
      </c>
      <c r="H86" s="45">
        <f>IF($A86="","",IFERROR(AVERAGEIFS('רווחה - קליטה'!$AR$5:$AR$204,'רווחה - קליטה'!$A$5:$A$204,$A86,'רווחה - קליטה'!$C$5:$C$204,"סוף שנה"),""))</f>
        <v/>
      </c>
      <c r="I86" s="37">
        <f>IF($A86="","",IFERROR(AVERAGEIFS('רווחה - קליטה'!$AL$5:$AL$204,'רווחה - קליטה'!$A$5:$A$204,$A86,'רווחה - קליטה'!$C$5:$C$204,"סוף שנה"),""))</f>
        <v/>
      </c>
      <c r="J86" s="36">
        <f>IF($A86="","",IFERROR(INDEX('רווחה - קליטה'!$AT$5:$AT$204,MATCH($A86&amp;"|סוף שנה",'רווחה - קליטה'!$AF$5:$AF$204,0)),""))</f>
        <v/>
      </c>
      <c r="K86" s="46">
        <f>IF(AND(ISNUMBER(B86),ISNUMBER(H86)),H86-B86,"")</f>
        <v/>
      </c>
      <c r="L86" s="36">
        <f>IF(K86="","",IF(K86&gt;=0.5,"עלייה",IF(K86&lt;=-0.5,"ירידה","יציב")))</f>
        <v/>
      </c>
    </row>
    <row r="87">
      <c r="A87" s="38" t="n"/>
      <c r="B87" s="45">
        <f>IF($A87="","",IFERROR(AVERAGEIFS('רווחה - קליטה'!$AR$5:$AR$204,'רווחה - קליטה'!$A$5:$A$204,$A87,'רווחה - קליטה'!$C$5:$C$204,"תחילת שנה"),""))</f>
        <v/>
      </c>
      <c r="C87" s="37">
        <f>IF($A87="","",IFERROR(AVERAGEIFS('רווחה - קליטה'!$AL$5:$AL$204,'רווחה - קליטה'!$A$5:$A$204,$A87,'רווחה - קליטה'!$C$5:$C$204,"תחילת שנה"),""))</f>
        <v/>
      </c>
      <c r="D87" s="36">
        <f>IF($A87="","",IFERROR(INDEX('רווחה - קליטה'!$AT$5:$AT$204,MATCH($A87&amp;"|תחילת שנה",'רווחה - קליטה'!$AF$5:$AF$204,0)),""))</f>
        <v/>
      </c>
      <c r="E87" s="45">
        <f>IF($A87="","",IFERROR(AVERAGEIFS('רווחה - קליטה'!$AR$5:$AR$204,'רווחה - קליטה'!$A$5:$A$204,$A87,'רווחה - קליטה'!$C$5:$C$204,"אמצע שנה"),""))</f>
        <v/>
      </c>
      <c r="F87" s="37">
        <f>IF($A87="","",IFERROR(AVERAGEIFS('רווחה - קליטה'!$AL$5:$AL$204,'רווחה - קליטה'!$A$5:$A$204,$A87,'רווחה - קליטה'!$C$5:$C$204,"אמצע שנה"),""))</f>
        <v/>
      </c>
      <c r="G87" s="36">
        <f>IF($A87="","",IFERROR(INDEX('רווחה - קליטה'!$AT$5:$AT$204,MATCH($A87&amp;"|אמצע שנה",'רווחה - קליטה'!$AF$5:$AF$204,0)),""))</f>
        <v/>
      </c>
      <c r="H87" s="45">
        <f>IF($A87="","",IFERROR(AVERAGEIFS('רווחה - קליטה'!$AR$5:$AR$204,'רווחה - קליטה'!$A$5:$A$204,$A87,'רווחה - קליטה'!$C$5:$C$204,"סוף שנה"),""))</f>
        <v/>
      </c>
      <c r="I87" s="37">
        <f>IF($A87="","",IFERROR(AVERAGEIFS('רווחה - קליטה'!$AL$5:$AL$204,'רווחה - קליטה'!$A$5:$A$204,$A87,'רווחה - קליטה'!$C$5:$C$204,"סוף שנה"),""))</f>
        <v/>
      </c>
      <c r="J87" s="36">
        <f>IF($A87="","",IFERROR(INDEX('רווחה - קליטה'!$AT$5:$AT$204,MATCH($A87&amp;"|סוף שנה",'רווחה - קליטה'!$AF$5:$AF$204,0)),""))</f>
        <v/>
      </c>
      <c r="K87" s="46">
        <f>IF(AND(ISNUMBER(B87),ISNUMBER(H87)),H87-B87,"")</f>
        <v/>
      </c>
      <c r="L87" s="36">
        <f>IF(K87="","",IF(K87&gt;=0.5,"עלייה",IF(K87&lt;=-0.5,"ירידה","יציב")))</f>
        <v/>
      </c>
    </row>
    <row r="88">
      <c r="A88" s="38" t="n"/>
      <c r="B88" s="45">
        <f>IF($A88="","",IFERROR(AVERAGEIFS('רווחה - קליטה'!$AR$5:$AR$204,'רווחה - קליטה'!$A$5:$A$204,$A88,'רווחה - קליטה'!$C$5:$C$204,"תחילת שנה"),""))</f>
        <v/>
      </c>
      <c r="C88" s="37">
        <f>IF($A88="","",IFERROR(AVERAGEIFS('רווחה - קליטה'!$AL$5:$AL$204,'רווחה - קליטה'!$A$5:$A$204,$A88,'רווחה - קליטה'!$C$5:$C$204,"תחילת שנה"),""))</f>
        <v/>
      </c>
      <c r="D88" s="36">
        <f>IF($A88="","",IFERROR(INDEX('רווחה - קליטה'!$AT$5:$AT$204,MATCH($A88&amp;"|תחילת שנה",'רווחה - קליטה'!$AF$5:$AF$204,0)),""))</f>
        <v/>
      </c>
      <c r="E88" s="45">
        <f>IF($A88="","",IFERROR(AVERAGEIFS('רווחה - קליטה'!$AR$5:$AR$204,'רווחה - קליטה'!$A$5:$A$204,$A88,'רווחה - קליטה'!$C$5:$C$204,"אמצע שנה"),""))</f>
        <v/>
      </c>
      <c r="F88" s="37">
        <f>IF($A88="","",IFERROR(AVERAGEIFS('רווחה - קליטה'!$AL$5:$AL$204,'רווחה - קליטה'!$A$5:$A$204,$A88,'רווחה - קליטה'!$C$5:$C$204,"אמצע שנה"),""))</f>
        <v/>
      </c>
      <c r="G88" s="36">
        <f>IF($A88="","",IFERROR(INDEX('רווחה - קליטה'!$AT$5:$AT$204,MATCH($A88&amp;"|אמצע שנה",'רווחה - קליטה'!$AF$5:$AF$204,0)),""))</f>
        <v/>
      </c>
      <c r="H88" s="45">
        <f>IF($A88="","",IFERROR(AVERAGEIFS('רווחה - קליטה'!$AR$5:$AR$204,'רווחה - קליטה'!$A$5:$A$204,$A88,'רווחה - קליטה'!$C$5:$C$204,"סוף שנה"),""))</f>
        <v/>
      </c>
      <c r="I88" s="37">
        <f>IF($A88="","",IFERROR(AVERAGEIFS('רווחה - קליטה'!$AL$5:$AL$204,'רווחה - קליטה'!$A$5:$A$204,$A88,'רווחה - קליטה'!$C$5:$C$204,"סוף שנה"),""))</f>
        <v/>
      </c>
      <c r="J88" s="36">
        <f>IF($A88="","",IFERROR(INDEX('רווחה - קליטה'!$AT$5:$AT$204,MATCH($A88&amp;"|סוף שנה",'רווחה - קליטה'!$AF$5:$AF$204,0)),""))</f>
        <v/>
      </c>
      <c r="K88" s="46">
        <f>IF(AND(ISNUMBER(B88),ISNUMBER(H88)),H88-B88,"")</f>
        <v/>
      </c>
      <c r="L88" s="36">
        <f>IF(K88="","",IF(K88&gt;=0.5,"עלייה",IF(K88&lt;=-0.5,"ירידה","יציב")))</f>
        <v/>
      </c>
    </row>
    <row r="89">
      <c r="A89" s="38" t="n"/>
      <c r="B89" s="45">
        <f>IF($A89="","",IFERROR(AVERAGEIFS('רווחה - קליטה'!$AR$5:$AR$204,'רווחה - קליטה'!$A$5:$A$204,$A89,'רווחה - קליטה'!$C$5:$C$204,"תחילת שנה"),""))</f>
        <v/>
      </c>
      <c r="C89" s="37">
        <f>IF($A89="","",IFERROR(AVERAGEIFS('רווחה - קליטה'!$AL$5:$AL$204,'רווחה - קליטה'!$A$5:$A$204,$A89,'רווחה - קליטה'!$C$5:$C$204,"תחילת שנה"),""))</f>
        <v/>
      </c>
      <c r="D89" s="36">
        <f>IF($A89="","",IFERROR(INDEX('רווחה - קליטה'!$AT$5:$AT$204,MATCH($A89&amp;"|תחילת שנה",'רווחה - קליטה'!$AF$5:$AF$204,0)),""))</f>
        <v/>
      </c>
      <c r="E89" s="45">
        <f>IF($A89="","",IFERROR(AVERAGEIFS('רווחה - קליטה'!$AR$5:$AR$204,'רווחה - קליטה'!$A$5:$A$204,$A89,'רווחה - קליטה'!$C$5:$C$204,"אמצע שנה"),""))</f>
        <v/>
      </c>
      <c r="F89" s="37">
        <f>IF($A89="","",IFERROR(AVERAGEIFS('רווחה - קליטה'!$AL$5:$AL$204,'רווחה - קליטה'!$A$5:$A$204,$A89,'רווחה - קליטה'!$C$5:$C$204,"אמצע שנה"),""))</f>
        <v/>
      </c>
      <c r="G89" s="36">
        <f>IF($A89="","",IFERROR(INDEX('רווחה - קליטה'!$AT$5:$AT$204,MATCH($A89&amp;"|אמצע שנה",'רווחה - קליטה'!$AF$5:$AF$204,0)),""))</f>
        <v/>
      </c>
      <c r="H89" s="45">
        <f>IF($A89="","",IFERROR(AVERAGEIFS('רווחה - קליטה'!$AR$5:$AR$204,'רווחה - קליטה'!$A$5:$A$204,$A89,'רווחה - קליטה'!$C$5:$C$204,"סוף שנה"),""))</f>
        <v/>
      </c>
      <c r="I89" s="37">
        <f>IF($A89="","",IFERROR(AVERAGEIFS('רווחה - קליטה'!$AL$5:$AL$204,'רווחה - קליטה'!$A$5:$A$204,$A89,'רווחה - קליטה'!$C$5:$C$204,"סוף שנה"),""))</f>
        <v/>
      </c>
      <c r="J89" s="36">
        <f>IF($A89="","",IFERROR(INDEX('רווחה - קליטה'!$AT$5:$AT$204,MATCH($A89&amp;"|סוף שנה",'רווחה - קליטה'!$AF$5:$AF$204,0)),""))</f>
        <v/>
      </c>
      <c r="K89" s="46">
        <f>IF(AND(ISNUMBER(B89),ISNUMBER(H89)),H89-B89,"")</f>
        <v/>
      </c>
      <c r="L89" s="36">
        <f>IF(K89="","",IF(K89&gt;=0.5,"עלייה",IF(K89&lt;=-0.5,"ירידה","יציב")))</f>
        <v/>
      </c>
    </row>
    <row r="90">
      <c r="A90" s="38" t="n"/>
      <c r="B90" s="45">
        <f>IF($A90="","",IFERROR(AVERAGEIFS('רווחה - קליטה'!$AR$5:$AR$204,'רווחה - קליטה'!$A$5:$A$204,$A90,'רווחה - קליטה'!$C$5:$C$204,"תחילת שנה"),""))</f>
        <v/>
      </c>
      <c r="C90" s="37">
        <f>IF($A90="","",IFERROR(AVERAGEIFS('רווחה - קליטה'!$AL$5:$AL$204,'רווחה - קליטה'!$A$5:$A$204,$A90,'רווחה - קליטה'!$C$5:$C$204,"תחילת שנה"),""))</f>
        <v/>
      </c>
      <c r="D90" s="36">
        <f>IF($A90="","",IFERROR(INDEX('רווחה - קליטה'!$AT$5:$AT$204,MATCH($A90&amp;"|תחילת שנה",'רווחה - קליטה'!$AF$5:$AF$204,0)),""))</f>
        <v/>
      </c>
      <c r="E90" s="45">
        <f>IF($A90="","",IFERROR(AVERAGEIFS('רווחה - קליטה'!$AR$5:$AR$204,'רווחה - קליטה'!$A$5:$A$204,$A90,'רווחה - קליטה'!$C$5:$C$204,"אמצע שנה"),""))</f>
        <v/>
      </c>
      <c r="F90" s="37">
        <f>IF($A90="","",IFERROR(AVERAGEIFS('רווחה - קליטה'!$AL$5:$AL$204,'רווחה - קליטה'!$A$5:$A$204,$A90,'רווחה - קליטה'!$C$5:$C$204,"אמצע שנה"),""))</f>
        <v/>
      </c>
      <c r="G90" s="36">
        <f>IF($A90="","",IFERROR(INDEX('רווחה - קליטה'!$AT$5:$AT$204,MATCH($A90&amp;"|אמצע שנה",'רווחה - קליטה'!$AF$5:$AF$204,0)),""))</f>
        <v/>
      </c>
      <c r="H90" s="45">
        <f>IF($A90="","",IFERROR(AVERAGEIFS('רווחה - קליטה'!$AR$5:$AR$204,'רווחה - קליטה'!$A$5:$A$204,$A90,'רווחה - קליטה'!$C$5:$C$204,"סוף שנה"),""))</f>
        <v/>
      </c>
      <c r="I90" s="37">
        <f>IF($A90="","",IFERROR(AVERAGEIFS('רווחה - קליטה'!$AL$5:$AL$204,'רווחה - קליטה'!$A$5:$A$204,$A90,'רווחה - קליטה'!$C$5:$C$204,"סוף שנה"),""))</f>
        <v/>
      </c>
      <c r="J90" s="36">
        <f>IF($A90="","",IFERROR(INDEX('רווחה - קליטה'!$AT$5:$AT$204,MATCH($A90&amp;"|סוף שנה",'רווחה - קליטה'!$AF$5:$AF$204,0)),""))</f>
        <v/>
      </c>
      <c r="K90" s="46">
        <f>IF(AND(ISNUMBER(B90),ISNUMBER(H90)),H90-B90,"")</f>
        <v/>
      </c>
      <c r="L90" s="36">
        <f>IF(K90="","",IF(K90&gt;=0.5,"עלייה",IF(K90&lt;=-0.5,"ירידה","יציב")))</f>
        <v/>
      </c>
    </row>
    <row r="91">
      <c r="A91" s="38" t="n"/>
      <c r="B91" s="45">
        <f>IF($A91="","",IFERROR(AVERAGEIFS('רווחה - קליטה'!$AR$5:$AR$204,'רווחה - קליטה'!$A$5:$A$204,$A91,'רווחה - קליטה'!$C$5:$C$204,"תחילת שנה"),""))</f>
        <v/>
      </c>
      <c r="C91" s="37">
        <f>IF($A91="","",IFERROR(AVERAGEIFS('רווחה - קליטה'!$AL$5:$AL$204,'רווחה - קליטה'!$A$5:$A$204,$A91,'רווחה - קליטה'!$C$5:$C$204,"תחילת שנה"),""))</f>
        <v/>
      </c>
      <c r="D91" s="36">
        <f>IF($A91="","",IFERROR(INDEX('רווחה - קליטה'!$AT$5:$AT$204,MATCH($A91&amp;"|תחילת שנה",'רווחה - קליטה'!$AF$5:$AF$204,0)),""))</f>
        <v/>
      </c>
      <c r="E91" s="45">
        <f>IF($A91="","",IFERROR(AVERAGEIFS('רווחה - קליטה'!$AR$5:$AR$204,'רווחה - קליטה'!$A$5:$A$204,$A91,'רווחה - קליטה'!$C$5:$C$204,"אמצע שנה"),""))</f>
        <v/>
      </c>
      <c r="F91" s="37">
        <f>IF($A91="","",IFERROR(AVERAGEIFS('רווחה - קליטה'!$AL$5:$AL$204,'רווחה - קליטה'!$A$5:$A$204,$A91,'רווחה - קליטה'!$C$5:$C$204,"אמצע שנה"),""))</f>
        <v/>
      </c>
      <c r="G91" s="36">
        <f>IF($A91="","",IFERROR(INDEX('רווחה - קליטה'!$AT$5:$AT$204,MATCH($A91&amp;"|אמצע שנה",'רווחה - קליטה'!$AF$5:$AF$204,0)),""))</f>
        <v/>
      </c>
      <c r="H91" s="45">
        <f>IF($A91="","",IFERROR(AVERAGEIFS('רווחה - קליטה'!$AR$5:$AR$204,'רווחה - קליטה'!$A$5:$A$204,$A91,'רווחה - קליטה'!$C$5:$C$204,"סוף שנה"),""))</f>
        <v/>
      </c>
      <c r="I91" s="37">
        <f>IF($A91="","",IFERROR(AVERAGEIFS('רווחה - קליטה'!$AL$5:$AL$204,'רווחה - קליטה'!$A$5:$A$204,$A91,'רווחה - קליטה'!$C$5:$C$204,"סוף שנה"),""))</f>
        <v/>
      </c>
      <c r="J91" s="36">
        <f>IF($A91="","",IFERROR(INDEX('רווחה - קליטה'!$AT$5:$AT$204,MATCH($A91&amp;"|סוף שנה",'רווחה - קליטה'!$AF$5:$AF$204,0)),""))</f>
        <v/>
      </c>
      <c r="K91" s="46">
        <f>IF(AND(ISNUMBER(B91),ISNUMBER(H91)),H91-B91,"")</f>
        <v/>
      </c>
      <c r="L91" s="36">
        <f>IF(K91="","",IF(K91&gt;=0.5,"עלייה",IF(K91&lt;=-0.5,"ירידה","יציב")))</f>
        <v/>
      </c>
    </row>
    <row r="92">
      <c r="A92" s="38" t="n"/>
      <c r="B92" s="45">
        <f>IF($A92="","",IFERROR(AVERAGEIFS('רווחה - קליטה'!$AR$5:$AR$204,'רווחה - קליטה'!$A$5:$A$204,$A92,'רווחה - קליטה'!$C$5:$C$204,"תחילת שנה"),""))</f>
        <v/>
      </c>
      <c r="C92" s="37">
        <f>IF($A92="","",IFERROR(AVERAGEIFS('רווחה - קליטה'!$AL$5:$AL$204,'רווחה - קליטה'!$A$5:$A$204,$A92,'רווחה - קליטה'!$C$5:$C$204,"תחילת שנה"),""))</f>
        <v/>
      </c>
      <c r="D92" s="36">
        <f>IF($A92="","",IFERROR(INDEX('רווחה - קליטה'!$AT$5:$AT$204,MATCH($A92&amp;"|תחילת שנה",'רווחה - קליטה'!$AF$5:$AF$204,0)),""))</f>
        <v/>
      </c>
      <c r="E92" s="45">
        <f>IF($A92="","",IFERROR(AVERAGEIFS('רווחה - קליטה'!$AR$5:$AR$204,'רווחה - קליטה'!$A$5:$A$204,$A92,'רווחה - קליטה'!$C$5:$C$204,"אמצע שנה"),""))</f>
        <v/>
      </c>
      <c r="F92" s="37">
        <f>IF($A92="","",IFERROR(AVERAGEIFS('רווחה - קליטה'!$AL$5:$AL$204,'רווחה - קליטה'!$A$5:$A$204,$A92,'רווחה - קליטה'!$C$5:$C$204,"אמצע שנה"),""))</f>
        <v/>
      </c>
      <c r="G92" s="36">
        <f>IF($A92="","",IFERROR(INDEX('רווחה - קליטה'!$AT$5:$AT$204,MATCH($A92&amp;"|אמצע שנה",'רווחה - קליטה'!$AF$5:$AF$204,0)),""))</f>
        <v/>
      </c>
      <c r="H92" s="45">
        <f>IF($A92="","",IFERROR(AVERAGEIFS('רווחה - קליטה'!$AR$5:$AR$204,'רווחה - קליטה'!$A$5:$A$204,$A92,'רווחה - קליטה'!$C$5:$C$204,"סוף שנה"),""))</f>
        <v/>
      </c>
      <c r="I92" s="37">
        <f>IF($A92="","",IFERROR(AVERAGEIFS('רווחה - קליטה'!$AL$5:$AL$204,'רווחה - קליטה'!$A$5:$A$204,$A92,'רווחה - קליטה'!$C$5:$C$204,"סוף שנה"),""))</f>
        <v/>
      </c>
      <c r="J92" s="36">
        <f>IF($A92="","",IFERROR(INDEX('רווחה - קליטה'!$AT$5:$AT$204,MATCH($A92&amp;"|סוף שנה",'רווחה - קליטה'!$AF$5:$AF$204,0)),""))</f>
        <v/>
      </c>
      <c r="K92" s="46">
        <f>IF(AND(ISNUMBER(B92),ISNUMBER(H92)),H92-B92,"")</f>
        <v/>
      </c>
      <c r="L92" s="36">
        <f>IF(K92="","",IF(K92&gt;=0.5,"עלייה",IF(K92&lt;=-0.5,"ירידה","יציב")))</f>
        <v/>
      </c>
    </row>
    <row r="93">
      <c r="A93" s="38" t="n"/>
      <c r="B93" s="45">
        <f>IF($A93="","",IFERROR(AVERAGEIFS('רווחה - קליטה'!$AR$5:$AR$204,'רווחה - קליטה'!$A$5:$A$204,$A93,'רווחה - קליטה'!$C$5:$C$204,"תחילת שנה"),""))</f>
        <v/>
      </c>
      <c r="C93" s="37">
        <f>IF($A93="","",IFERROR(AVERAGEIFS('רווחה - קליטה'!$AL$5:$AL$204,'רווחה - קליטה'!$A$5:$A$204,$A93,'רווחה - קליטה'!$C$5:$C$204,"תחילת שנה"),""))</f>
        <v/>
      </c>
      <c r="D93" s="36">
        <f>IF($A93="","",IFERROR(INDEX('רווחה - קליטה'!$AT$5:$AT$204,MATCH($A93&amp;"|תחילת שנה",'רווחה - קליטה'!$AF$5:$AF$204,0)),""))</f>
        <v/>
      </c>
      <c r="E93" s="45">
        <f>IF($A93="","",IFERROR(AVERAGEIFS('רווחה - קליטה'!$AR$5:$AR$204,'רווחה - קליטה'!$A$5:$A$204,$A93,'רווחה - קליטה'!$C$5:$C$204,"אמצע שנה"),""))</f>
        <v/>
      </c>
      <c r="F93" s="37">
        <f>IF($A93="","",IFERROR(AVERAGEIFS('רווחה - קליטה'!$AL$5:$AL$204,'רווחה - קליטה'!$A$5:$A$204,$A93,'רווחה - קליטה'!$C$5:$C$204,"אמצע שנה"),""))</f>
        <v/>
      </c>
      <c r="G93" s="36">
        <f>IF($A93="","",IFERROR(INDEX('רווחה - קליטה'!$AT$5:$AT$204,MATCH($A93&amp;"|אמצע שנה",'רווחה - קליטה'!$AF$5:$AF$204,0)),""))</f>
        <v/>
      </c>
      <c r="H93" s="45">
        <f>IF($A93="","",IFERROR(AVERAGEIFS('רווחה - קליטה'!$AR$5:$AR$204,'רווחה - קליטה'!$A$5:$A$204,$A93,'רווחה - קליטה'!$C$5:$C$204,"סוף שנה"),""))</f>
        <v/>
      </c>
      <c r="I93" s="37">
        <f>IF($A93="","",IFERROR(AVERAGEIFS('רווחה - קליטה'!$AL$5:$AL$204,'רווחה - קליטה'!$A$5:$A$204,$A93,'רווחה - קליטה'!$C$5:$C$204,"סוף שנה"),""))</f>
        <v/>
      </c>
      <c r="J93" s="36">
        <f>IF($A93="","",IFERROR(INDEX('רווחה - קליטה'!$AT$5:$AT$204,MATCH($A93&amp;"|סוף שנה",'רווחה - קליטה'!$AF$5:$AF$204,0)),""))</f>
        <v/>
      </c>
      <c r="K93" s="46">
        <f>IF(AND(ISNUMBER(B93),ISNUMBER(H93)),H93-B93,"")</f>
        <v/>
      </c>
      <c r="L93" s="36">
        <f>IF(K93="","",IF(K93&gt;=0.5,"עלייה",IF(K93&lt;=-0.5,"ירידה","יציב")))</f>
        <v/>
      </c>
    </row>
    <row r="94">
      <c r="A94" s="38" t="n"/>
      <c r="B94" s="45">
        <f>IF($A94="","",IFERROR(AVERAGEIFS('רווחה - קליטה'!$AR$5:$AR$204,'רווחה - קליטה'!$A$5:$A$204,$A94,'רווחה - קליטה'!$C$5:$C$204,"תחילת שנה"),""))</f>
        <v/>
      </c>
      <c r="C94" s="37">
        <f>IF($A94="","",IFERROR(AVERAGEIFS('רווחה - קליטה'!$AL$5:$AL$204,'רווחה - קליטה'!$A$5:$A$204,$A94,'רווחה - קליטה'!$C$5:$C$204,"תחילת שנה"),""))</f>
        <v/>
      </c>
      <c r="D94" s="36">
        <f>IF($A94="","",IFERROR(INDEX('רווחה - קליטה'!$AT$5:$AT$204,MATCH($A94&amp;"|תחילת שנה",'רווחה - קליטה'!$AF$5:$AF$204,0)),""))</f>
        <v/>
      </c>
      <c r="E94" s="45">
        <f>IF($A94="","",IFERROR(AVERAGEIFS('רווחה - קליטה'!$AR$5:$AR$204,'רווחה - קליטה'!$A$5:$A$204,$A94,'רווחה - קליטה'!$C$5:$C$204,"אמצע שנה"),""))</f>
        <v/>
      </c>
      <c r="F94" s="37">
        <f>IF($A94="","",IFERROR(AVERAGEIFS('רווחה - קליטה'!$AL$5:$AL$204,'רווחה - קליטה'!$A$5:$A$204,$A94,'רווחה - קליטה'!$C$5:$C$204,"אמצע שנה"),""))</f>
        <v/>
      </c>
      <c r="G94" s="36">
        <f>IF($A94="","",IFERROR(INDEX('רווחה - קליטה'!$AT$5:$AT$204,MATCH($A94&amp;"|אמצע שנה",'רווחה - קליטה'!$AF$5:$AF$204,0)),""))</f>
        <v/>
      </c>
      <c r="H94" s="45">
        <f>IF($A94="","",IFERROR(AVERAGEIFS('רווחה - קליטה'!$AR$5:$AR$204,'רווחה - קליטה'!$A$5:$A$204,$A94,'רווחה - קליטה'!$C$5:$C$204,"סוף שנה"),""))</f>
        <v/>
      </c>
      <c r="I94" s="37">
        <f>IF($A94="","",IFERROR(AVERAGEIFS('רווחה - קליטה'!$AL$5:$AL$204,'רווחה - קליטה'!$A$5:$A$204,$A94,'רווחה - קליטה'!$C$5:$C$204,"סוף שנה"),""))</f>
        <v/>
      </c>
      <c r="J94" s="36">
        <f>IF($A94="","",IFERROR(INDEX('רווחה - קליטה'!$AT$5:$AT$204,MATCH($A94&amp;"|סוף שנה",'רווחה - קליטה'!$AF$5:$AF$204,0)),""))</f>
        <v/>
      </c>
      <c r="K94" s="46">
        <f>IF(AND(ISNUMBER(B94),ISNUMBER(H94)),H94-B94,"")</f>
        <v/>
      </c>
      <c r="L94" s="36">
        <f>IF(K94="","",IF(K94&gt;=0.5,"עלייה",IF(K94&lt;=-0.5,"ירידה","יציב")))</f>
        <v/>
      </c>
    </row>
    <row r="95">
      <c r="A95" s="38" t="n"/>
      <c r="B95" s="45">
        <f>IF($A95="","",IFERROR(AVERAGEIFS('רווחה - קליטה'!$AR$5:$AR$204,'רווחה - קליטה'!$A$5:$A$204,$A95,'רווחה - קליטה'!$C$5:$C$204,"תחילת שנה"),""))</f>
        <v/>
      </c>
      <c r="C95" s="37">
        <f>IF($A95="","",IFERROR(AVERAGEIFS('רווחה - קליטה'!$AL$5:$AL$204,'רווחה - קליטה'!$A$5:$A$204,$A95,'רווחה - קליטה'!$C$5:$C$204,"תחילת שנה"),""))</f>
        <v/>
      </c>
      <c r="D95" s="36">
        <f>IF($A95="","",IFERROR(INDEX('רווחה - קליטה'!$AT$5:$AT$204,MATCH($A95&amp;"|תחילת שנה",'רווחה - קליטה'!$AF$5:$AF$204,0)),""))</f>
        <v/>
      </c>
      <c r="E95" s="45">
        <f>IF($A95="","",IFERROR(AVERAGEIFS('רווחה - קליטה'!$AR$5:$AR$204,'רווחה - קליטה'!$A$5:$A$204,$A95,'רווחה - קליטה'!$C$5:$C$204,"אמצע שנה"),""))</f>
        <v/>
      </c>
      <c r="F95" s="37">
        <f>IF($A95="","",IFERROR(AVERAGEIFS('רווחה - קליטה'!$AL$5:$AL$204,'רווחה - קליטה'!$A$5:$A$204,$A95,'רווחה - קליטה'!$C$5:$C$204,"אמצע שנה"),""))</f>
        <v/>
      </c>
      <c r="G95" s="36">
        <f>IF($A95="","",IFERROR(INDEX('רווחה - קליטה'!$AT$5:$AT$204,MATCH($A95&amp;"|אמצע שנה",'רווחה - קליטה'!$AF$5:$AF$204,0)),""))</f>
        <v/>
      </c>
      <c r="H95" s="45">
        <f>IF($A95="","",IFERROR(AVERAGEIFS('רווחה - קליטה'!$AR$5:$AR$204,'רווחה - קליטה'!$A$5:$A$204,$A95,'רווחה - קליטה'!$C$5:$C$204,"סוף שנה"),""))</f>
        <v/>
      </c>
      <c r="I95" s="37">
        <f>IF($A95="","",IFERROR(AVERAGEIFS('רווחה - קליטה'!$AL$5:$AL$204,'רווחה - קליטה'!$A$5:$A$204,$A95,'רווחה - קליטה'!$C$5:$C$204,"סוף שנה"),""))</f>
        <v/>
      </c>
      <c r="J95" s="36">
        <f>IF($A95="","",IFERROR(INDEX('רווחה - קליטה'!$AT$5:$AT$204,MATCH($A95&amp;"|סוף שנה",'רווחה - קליטה'!$AF$5:$AF$204,0)),""))</f>
        <v/>
      </c>
      <c r="K95" s="46">
        <f>IF(AND(ISNUMBER(B95),ISNUMBER(H95)),H95-B95,"")</f>
        <v/>
      </c>
      <c r="L95" s="36">
        <f>IF(K95="","",IF(K95&gt;=0.5,"עלייה",IF(K95&lt;=-0.5,"ירידה","יציב")))</f>
        <v/>
      </c>
    </row>
    <row r="96">
      <c r="A96" s="38" t="n"/>
      <c r="B96" s="45">
        <f>IF($A96="","",IFERROR(AVERAGEIFS('רווחה - קליטה'!$AR$5:$AR$204,'רווחה - קליטה'!$A$5:$A$204,$A96,'רווחה - קליטה'!$C$5:$C$204,"תחילת שנה"),""))</f>
        <v/>
      </c>
      <c r="C96" s="37">
        <f>IF($A96="","",IFERROR(AVERAGEIFS('רווחה - קליטה'!$AL$5:$AL$204,'רווחה - קליטה'!$A$5:$A$204,$A96,'רווחה - קליטה'!$C$5:$C$204,"תחילת שנה"),""))</f>
        <v/>
      </c>
      <c r="D96" s="36">
        <f>IF($A96="","",IFERROR(INDEX('רווחה - קליטה'!$AT$5:$AT$204,MATCH($A96&amp;"|תחילת שנה",'רווחה - קליטה'!$AF$5:$AF$204,0)),""))</f>
        <v/>
      </c>
      <c r="E96" s="45">
        <f>IF($A96="","",IFERROR(AVERAGEIFS('רווחה - קליטה'!$AR$5:$AR$204,'רווחה - קליטה'!$A$5:$A$204,$A96,'רווחה - קליטה'!$C$5:$C$204,"אמצע שנה"),""))</f>
        <v/>
      </c>
      <c r="F96" s="37">
        <f>IF($A96="","",IFERROR(AVERAGEIFS('רווחה - קליטה'!$AL$5:$AL$204,'רווחה - קליטה'!$A$5:$A$204,$A96,'רווחה - קליטה'!$C$5:$C$204,"אמצע שנה"),""))</f>
        <v/>
      </c>
      <c r="G96" s="36">
        <f>IF($A96="","",IFERROR(INDEX('רווחה - קליטה'!$AT$5:$AT$204,MATCH($A96&amp;"|אמצע שנה",'רווחה - קליטה'!$AF$5:$AF$204,0)),""))</f>
        <v/>
      </c>
      <c r="H96" s="45">
        <f>IF($A96="","",IFERROR(AVERAGEIFS('רווחה - קליטה'!$AR$5:$AR$204,'רווחה - קליטה'!$A$5:$A$204,$A96,'רווחה - קליטה'!$C$5:$C$204,"סוף שנה"),""))</f>
        <v/>
      </c>
      <c r="I96" s="37">
        <f>IF($A96="","",IFERROR(AVERAGEIFS('רווחה - קליטה'!$AL$5:$AL$204,'רווחה - קליטה'!$A$5:$A$204,$A96,'רווחה - קליטה'!$C$5:$C$204,"סוף שנה"),""))</f>
        <v/>
      </c>
      <c r="J96" s="36">
        <f>IF($A96="","",IFERROR(INDEX('רווחה - קליטה'!$AT$5:$AT$204,MATCH($A96&amp;"|סוף שנה",'רווחה - קליטה'!$AF$5:$AF$204,0)),""))</f>
        <v/>
      </c>
      <c r="K96" s="46">
        <f>IF(AND(ISNUMBER(B96),ISNUMBER(H96)),H96-B96,"")</f>
        <v/>
      </c>
      <c r="L96" s="36">
        <f>IF(K96="","",IF(K96&gt;=0.5,"עלייה",IF(K96&lt;=-0.5,"ירידה","יציב")))</f>
        <v/>
      </c>
    </row>
    <row r="97">
      <c r="A97" s="38" t="n"/>
      <c r="B97" s="45">
        <f>IF($A97="","",IFERROR(AVERAGEIFS('רווחה - קליטה'!$AR$5:$AR$204,'רווחה - קליטה'!$A$5:$A$204,$A97,'רווחה - קליטה'!$C$5:$C$204,"תחילת שנה"),""))</f>
        <v/>
      </c>
      <c r="C97" s="37">
        <f>IF($A97="","",IFERROR(AVERAGEIFS('רווחה - קליטה'!$AL$5:$AL$204,'רווחה - קליטה'!$A$5:$A$204,$A97,'רווחה - קליטה'!$C$5:$C$204,"תחילת שנה"),""))</f>
        <v/>
      </c>
      <c r="D97" s="36">
        <f>IF($A97="","",IFERROR(INDEX('רווחה - קליטה'!$AT$5:$AT$204,MATCH($A97&amp;"|תחילת שנה",'רווחה - קליטה'!$AF$5:$AF$204,0)),""))</f>
        <v/>
      </c>
      <c r="E97" s="45">
        <f>IF($A97="","",IFERROR(AVERAGEIFS('רווחה - קליטה'!$AR$5:$AR$204,'רווחה - קליטה'!$A$5:$A$204,$A97,'רווחה - קליטה'!$C$5:$C$204,"אמצע שנה"),""))</f>
        <v/>
      </c>
      <c r="F97" s="37">
        <f>IF($A97="","",IFERROR(AVERAGEIFS('רווחה - קליטה'!$AL$5:$AL$204,'רווחה - קליטה'!$A$5:$A$204,$A97,'רווחה - קליטה'!$C$5:$C$204,"אמצע שנה"),""))</f>
        <v/>
      </c>
      <c r="G97" s="36">
        <f>IF($A97="","",IFERROR(INDEX('רווחה - קליטה'!$AT$5:$AT$204,MATCH($A97&amp;"|אמצע שנה",'רווחה - קליטה'!$AF$5:$AF$204,0)),""))</f>
        <v/>
      </c>
      <c r="H97" s="45">
        <f>IF($A97="","",IFERROR(AVERAGEIFS('רווחה - קליטה'!$AR$5:$AR$204,'רווחה - קליטה'!$A$5:$A$204,$A97,'רווחה - קליטה'!$C$5:$C$204,"סוף שנה"),""))</f>
        <v/>
      </c>
      <c r="I97" s="37">
        <f>IF($A97="","",IFERROR(AVERAGEIFS('רווחה - קליטה'!$AL$5:$AL$204,'רווחה - קליטה'!$A$5:$A$204,$A97,'רווחה - קליטה'!$C$5:$C$204,"סוף שנה"),""))</f>
        <v/>
      </c>
      <c r="J97" s="36">
        <f>IF($A97="","",IFERROR(INDEX('רווחה - קליטה'!$AT$5:$AT$204,MATCH($A97&amp;"|סוף שנה",'רווחה - קליטה'!$AF$5:$AF$204,0)),""))</f>
        <v/>
      </c>
      <c r="K97" s="46">
        <f>IF(AND(ISNUMBER(B97),ISNUMBER(H97)),H97-B97,"")</f>
        <v/>
      </c>
      <c r="L97" s="36">
        <f>IF(K97="","",IF(K97&gt;=0.5,"עלייה",IF(K97&lt;=-0.5,"ירידה","יציב")))</f>
        <v/>
      </c>
    </row>
    <row r="98">
      <c r="A98" s="38" t="n"/>
      <c r="B98" s="45">
        <f>IF($A98="","",IFERROR(AVERAGEIFS('רווחה - קליטה'!$AR$5:$AR$204,'רווחה - קליטה'!$A$5:$A$204,$A98,'רווחה - קליטה'!$C$5:$C$204,"תחילת שנה"),""))</f>
        <v/>
      </c>
      <c r="C98" s="37">
        <f>IF($A98="","",IFERROR(AVERAGEIFS('רווחה - קליטה'!$AL$5:$AL$204,'רווחה - קליטה'!$A$5:$A$204,$A98,'רווחה - קליטה'!$C$5:$C$204,"תחילת שנה"),""))</f>
        <v/>
      </c>
      <c r="D98" s="36">
        <f>IF($A98="","",IFERROR(INDEX('רווחה - קליטה'!$AT$5:$AT$204,MATCH($A98&amp;"|תחילת שנה",'רווחה - קליטה'!$AF$5:$AF$204,0)),""))</f>
        <v/>
      </c>
      <c r="E98" s="45">
        <f>IF($A98="","",IFERROR(AVERAGEIFS('רווחה - קליטה'!$AR$5:$AR$204,'רווחה - קליטה'!$A$5:$A$204,$A98,'רווחה - קליטה'!$C$5:$C$204,"אמצע שנה"),""))</f>
        <v/>
      </c>
      <c r="F98" s="37">
        <f>IF($A98="","",IFERROR(AVERAGEIFS('רווחה - קליטה'!$AL$5:$AL$204,'רווחה - קליטה'!$A$5:$A$204,$A98,'רווחה - קליטה'!$C$5:$C$204,"אמצע שנה"),""))</f>
        <v/>
      </c>
      <c r="G98" s="36">
        <f>IF($A98="","",IFERROR(INDEX('רווחה - קליטה'!$AT$5:$AT$204,MATCH($A98&amp;"|אמצע שנה",'רווחה - קליטה'!$AF$5:$AF$204,0)),""))</f>
        <v/>
      </c>
      <c r="H98" s="45">
        <f>IF($A98="","",IFERROR(AVERAGEIFS('רווחה - קליטה'!$AR$5:$AR$204,'רווחה - קליטה'!$A$5:$A$204,$A98,'רווחה - קליטה'!$C$5:$C$204,"סוף שנה"),""))</f>
        <v/>
      </c>
      <c r="I98" s="37">
        <f>IF($A98="","",IFERROR(AVERAGEIFS('רווחה - קליטה'!$AL$5:$AL$204,'רווחה - קליטה'!$A$5:$A$204,$A98,'רווחה - קליטה'!$C$5:$C$204,"סוף שנה"),""))</f>
        <v/>
      </c>
      <c r="J98" s="36">
        <f>IF($A98="","",IFERROR(INDEX('רווחה - קליטה'!$AT$5:$AT$204,MATCH($A98&amp;"|סוף שנה",'רווחה - קליטה'!$AF$5:$AF$204,0)),""))</f>
        <v/>
      </c>
      <c r="K98" s="46">
        <f>IF(AND(ISNUMBER(B98),ISNUMBER(H98)),H98-B98,"")</f>
        <v/>
      </c>
      <c r="L98" s="36">
        <f>IF(K98="","",IF(K98&gt;=0.5,"עלייה",IF(K98&lt;=-0.5,"ירידה","יציב")))</f>
        <v/>
      </c>
    </row>
    <row r="99">
      <c r="A99" s="38" t="n"/>
      <c r="B99" s="45">
        <f>IF($A99="","",IFERROR(AVERAGEIFS('רווחה - קליטה'!$AR$5:$AR$204,'רווחה - קליטה'!$A$5:$A$204,$A99,'רווחה - קליטה'!$C$5:$C$204,"תחילת שנה"),""))</f>
        <v/>
      </c>
      <c r="C99" s="37">
        <f>IF($A99="","",IFERROR(AVERAGEIFS('רווחה - קליטה'!$AL$5:$AL$204,'רווחה - קליטה'!$A$5:$A$204,$A99,'רווחה - קליטה'!$C$5:$C$204,"תחילת שנה"),""))</f>
        <v/>
      </c>
      <c r="D99" s="36">
        <f>IF($A99="","",IFERROR(INDEX('רווחה - קליטה'!$AT$5:$AT$204,MATCH($A99&amp;"|תחילת שנה",'רווחה - קליטה'!$AF$5:$AF$204,0)),""))</f>
        <v/>
      </c>
      <c r="E99" s="45">
        <f>IF($A99="","",IFERROR(AVERAGEIFS('רווחה - קליטה'!$AR$5:$AR$204,'רווחה - קליטה'!$A$5:$A$204,$A99,'רווחה - קליטה'!$C$5:$C$204,"אמצע שנה"),""))</f>
        <v/>
      </c>
      <c r="F99" s="37">
        <f>IF($A99="","",IFERROR(AVERAGEIFS('רווחה - קליטה'!$AL$5:$AL$204,'רווחה - קליטה'!$A$5:$A$204,$A99,'רווחה - קליטה'!$C$5:$C$204,"אמצע שנה"),""))</f>
        <v/>
      </c>
      <c r="G99" s="36">
        <f>IF($A99="","",IFERROR(INDEX('רווחה - קליטה'!$AT$5:$AT$204,MATCH($A99&amp;"|אמצע שנה",'רווחה - קליטה'!$AF$5:$AF$204,0)),""))</f>
        <v/>
      </c>
      <c r="H99" s="45">
        <f>IF($A99="","",IFERROR(AVERAGEIFS('רווחה - קליטה'!$AR$5:$AR$204,'רווחה - קליטה'!$A$5:$A$204,$A99,'רווחה - קליטה'!$C$5:$C$204,"סוף שנה"),""))</f>
        <v/>
      </c>
      <c r="I99" s="37">
        <f>IF($A99="","",IFERROR(AVERAGEIFS('רווחה - קליטה'!$AL$5:$AL$204,'רווחה - קליטה'!$A$5:$A$204,$A99,'רווחה - קליטה'!$C$5:$C$204,"סוף שנה"),""))</f>
        <v/>
      </c>
      <c r="J99" s="36">
        <f>IF($A99="","",IFERROR(INDEX('רווחה - קליטה'!$AT$5:$AT$204,MATCH($A99&amp;"|סוף שנה",'רווחה - קליטה'!$AF$5:$AF$204,0)),""))</f>
        <v/>
      </c>
      <c r="K99" s="46">
        <f>IF(AND(ISNUMBER(B99),ISNUMBER(H99)),H99-B99,"")</f>
        <v/>
      </c>
      <c r="L99" s="36">
        <f>IF(K99="","",IF(K99&gt;=0.5,"עלייה",IF(K99&lt;=-0.5,"ירידה","יציב")))</f>
        <v/>
      </c>
    </row>
    <row r="100">
      <c r="A100" s="38" t="n"/>
      <c r="B100" s="45">
        <f>IF($A100="","",IFERROR(AVERAGEIFS('רווחה - קליטה'!$AR$5:$AR$204,'רווחה - קליטה'!$A$5:$A$204,$A100,'רווחה - קליטה'!$C$5:$C$204,"תחילת שנה"),""))</f>
        <v/>
      </c>
      <c r="C100" s="37">
        <f>IF($A100="","",IFERROR(AVERAGEIFS('רווחה - קליטה'!$AL$5:$AL$204,'רווחה - קליטה'!$A$5:$A$204,$A100,'רווחה - קליטה'!$C$5:$C$204,"תחילת שנה"),""))</f>
        <v/>
      </c>
      <c r="D100" s="36">
        <f>IF($A100="","",IFERROR(INDEX('רווחה - קליטה'!$AT$5:$AT$204,MATCH($A100&amp;"|תחילת שנה",'רווחה - קליטה'!$AF$5:$AF$204,0)),""))</f>
        <v/>
      </c>
      <c r="E100" s="45">
        <f>IF($A100="","",IFERROR(AVERAGEIFS('רווחה - קליטה'!$AR$5:$AR$204,'רווחה - קליטה'!$A$5:$A$204,$A100,'רווחה - קליטה'!$C$5:$C$204,"אמצע שנה"),""))</f>
        <v/>
      </c>
      <c r="F100" s="37">
        <f>IF($A100="","",IFERROR(AVERAGEIFS('רווחה - קליטה'!$AL$5:$AL$204,'רווחה - קליטה'!$A$5:$A$204,$A100,'רווחה - קליטה'!$C$5:$C$204,"אמצע שנה"),""))</f>
        <v/>
      </c>
      <c r="G100" s="36">
        <f>IF($A100="","",IFERROR(INDEX('רווחה - קליטה'!$AT$5:$AT$204,MATCH($A100&amp;"|אמצע שנה",'רווחה - קליטה'!$AF$5:$AF$204,0)),""))</f>
        <v/>
      </c>
      <c r="H100" s="45">
        <f>IF($A100="","",IFERROR(AVERAGEIFS('רווחה - קליטה'!$AR$5:$AR$204,'רווחה - קליטה'!$A$5:$A$204,$A100,'רווחה - קליטה'!$C$5:$C$204,"סוף שנה"),""))</f>
        <v/>
      </c>
      <c r="I100" s="37">
        <f>IF($A100="","",IFERROR(AVERAGEIFS('רווחה - קליטה'!$AL$5:$AL$204,'רווחה - קליטה'!$A$5:$A$204,$A100,'רווחה - קליטה'!$C$5:$C$204,"סוף שנה"),""))</f>
        <v/>
      </c>
      <c r="J100" s="36">
        <f>IF($A100="","",IFERROR(INDEX('רווחה - קליטה'!$AT$5:$AT$204,MATCH($A100&amp;"|סוף שנה",'רווחה - קליטה'!$AF$5:$AF$204,0)),""))</f>
        <v/>
      </c>
      <c r="K100" s="46">
        <f>IF(AND(ISNUMBER(B100),ISNUMBER(H100)),H100-B100,"")</f>
        <v/>
      </c>
      <c r="L100" s="36">
        <f>IF(K100="","",IF(K100&gt;=0.5,"עלייה",IF(K100&lt;=-0.5,"ירידה","יציב")))</f>
        <v/>
      </c>
    </row>
    <row r="101">
      <c r="A101" s="38" t="n"/>
      <c r="B101" s="45">
        <f>IF($A101="","",IFERROR(AVERAGEIFS('רווחה - קליטה'!$AR$5:$AR$204,'רווחה - קליטה'!$A$5:$A$204,$A101,'רווחה - קליטה'!$C$5:$C$204,"תחילת שנה"),""))</f>
        <v/>
      </c>
      <c r="C101" s="37">
        <f>IF($A101="","",IFERROR(AVERAGEIFS('רווחה - קליטה'!$AL$5:$AL$204,'רווחה - קליטה'!$A$5:$A$204,$A101,'רווחה - קליטה'!$C$5:$C$204,"תחילת שנה"),""))</f>
        <v/>
      </c>
      <c r="D101" s="36">
        <f>IF($A101="","",IFERROR(INDEX('רווחה - קליטה'!$AT$5:$AT$204,MATCH($A101&amp;"|תחילת שנה",'רווחה - קליטה'!$AF$5:$AF$204,0)),""))</f>
        <v/>
      </c>
      <c r="E101" s="45">
        <f>IF($A101="","",IFERROR(AVERAGEIFS('רווחה - קליטה'!$AR$5:$AR$204,'רווחה - קליטה'!$A$5:$A$204,$A101,'רווחה - קליטה'!$C$5:$C$204,"אמצע שנה"),""))</f>
        <v/>
      </c>
      <c r="F101" s="37">
        <f>IF($A101="","",IFERROR(AVERAGEIFS('רווחה - קליטה'!$AL$5:$AL$204,'רווחה - קליטה'!$A$5:$A$204,$A101,'רווחה - קליטה'!$C$5:$C$204,"אמצע שנה"),""))</f>
        <v/>
      </c>
      <c r="G101" s="36">
        <f>IF($A101="","",IFERROR(INDEX('רווחה - קליטה'!$AT$5:$AT$204,MATCH($A101&amp;"|אמצע שנה",'רווחה - קליטה'!$AF$5:$AF$204,0)),""))</f>
        <v/>
      </c>
      <c r="H101" s="45">
        <f>IF($A101="","",IFERROR(AVERAGEIFS('רווחה - קליטה'!$AR$5:$AR$204,'רווחה - קליטה'!$A$5:$A$204,$A101,'רווחה - קליטה'!$C$5:$C$204,"סוף שנה"),""))</f>
        <v/>
      </c>
      <c r="I101" s="37">
        <f>IF($A101="","",IFERROR(AVERAGEIFS('רווחה - קליטה'!$AL$5:$AL$204,'רווחה - קליטה'!$A$5:$A$204,$A101,'רווחה - קליטה'!$C$5:$C$204,"סוף שנה"),""))</f>
        <v/>
      </c>
      <c r="J101" s="36">
        <f>IF($A101="","",IFERROR(INDEX('רווחה - קליטה'!$AT$5:$AT$204,MATCH($A101&amp;"|סוף שנה",'רווחה - קליטה'!$AF$5:$AF$204,0)),""))</f>
        <v/>
      </c>
      <c r="K101" s="46">
        <f>IF(AND(ISNUMBER(B101),ISNUMBER(H101)),H101-B101,"")</f>
        <v/>
      </c>
      <c r="L101" s="36">
        <f>IF(K101="","",IF(K101&gt;=0.5,"עלייה",IF(K101&lt;=-0.5,"ירידה","יציב")))</f>
        <v/>
      </c>
    </row>
    <row r="102">
      <c r="A102" s="38" t="n"/>
      <c r="B102" s="45">
        <f>IF($A102="","",IFERROR(AVERAGEIFS('רווחה - קליטה'!$AR$5:$AR$204,'רווחה - קליטה'!$A$5:$A$204,$A102,'רווחה - קליטה'!$C$5:$C$204,"תחילת שנה"),""))</f>
        <v/>
      </c>
      <c r="C102" s="37">
        <f>IF($A102="","",IFERROR(AVERAGEIFS('רווחה - קליטה'!$AL$5:$AL$204,'רווחה - קליטה'!$A$5:$A$204,$A102,'רווחה - קליטה'!$C$5:$C$204,"תחילת שנה"),""))</f>
        <v/>
      </c>
      <c r="D102" s="36">
        <f>IF($A102="","",IFERROR(INDEX('רווחה - קליטה'!$AT$5:$AT$204,MATCH($A102&amp;"|תחילת שנה",'רווחה - קליטה'!$AF$5:$AF$204,0)),""))</f>
        <v/>
      </c>
      <c r="E102" s="45">
        <f>IF($A102="","",IFERROR(AVERAGEIFS('רווחה - קליטה'!$AR$5:$AR$204,'רווחה - קליטה'!$A$5:$A$204,$A102,'רווחה - קליטה'!$C$5:$C$204,"אמצע שנה"),""))</f>
        <v/>
      </c>
      <c r="F102" s="37">
        <f>IF($A102="","",IFERROR(AVERAGEIFS('רווחה - קליטה'!$AL$5:$AL$204,'רווחה - קליטה'!$A$5:$A$204,$A102,'רווחה - קליטה'!$C$5:$C$204,"אמצע שנה"),""))</f>
        <v/>
      </c>
      <c r="G102" s="36">
        <f>IF($A102="","",IFERROR(INDEX('רווחה - קליטה'!$AT$5:$AT$204,MATCH($A102&amp;"|אמצע שנה",'רווחה - קליטה'!$AF$5:$AF$204,0)),""))</f>
        <v/>
      </c>
      <c r="H102" s="45">
        <f>IF($A102="","",IFERROR(AVERAGEIFS('רווחה - קליטה'!$AR$5:$AR$204,'רווחה - קליטה'!$A$5:$A$204,$A102,'רווחה - קליטה'!$C$5:$C$204,"סוף שנה"),""))</f>
        <v/>
      </c>
      <c r="I102" s="37">
        <f>IF($A102="","",IFERROR(AVERAGEIFS('רווחה - קליטה'!$AL$5:$AL$204,'רווחה - קליטה'!$A$5:$A$204,$A102,'רווחה - קליטה'!$C$5:$C$204,"סוף שנה"),""))</f>
        <v/>
      </c>
      <c r="J102" s="36">
        <f>IF($A102="","",IFERROR(INDEX('רווחה - קליטה'!$AT$5:$AT$204,MATCH($A102&amp;"|סוף שנה",'רווחה - קליטה'!$AF$5:$AF$204,0)),""))</f>
        <v/>
      </c>
      <c r="K102" s="46">
        <f>IF(AND(ISNUMBER(B102),ISNUMBER(H102)),H102-B102,"")</f>
        <v/>
      </c>
      <c r="L102" s="36">
        <f>IF(K102="","",IF(K102&gt;=0.5,"עלייה",IF(K102&lt;=-0.5,"ירידה","יציב")))</f>
        <v/>
      </c>
    </row>
    <row r="103">
      <c r="A103" s="38" t="n"/>
      <c r="B103" s="45">
        <f>IF($A103="","",IFERROR(AVERAGEIFS('רווחה - קליטה'!$AR$5:$AR$204,'רווחה - קליטה'!$A$5:$A$204,$A103,'רווחה - קליטה'!$C$5:$C$204,"תחילת שנה"),""))</f>
        <v/>
      </c>
      <c r="C103" s="37">
        <f>IF($A103="","",IFERROR(AVERAGEIFS('רווחה - קליטה'!$AL$5:$AL$204,'רווחה - קליטה'!$A$5:$A$204,$A103,'רווחה - קליטה'!$C$5:$C$204,"תחילת שנה"),""))</f>
        <v/>
      </c>
      <c r="D103" s="36">
        <f>IF($A103="","",IFERROR(INDEX('רווחה - קליטה'!$AT$5:$AT$204,MATCH($A103&amp;"|תחילת שנה",'רווחה - קליטה'!$AF$5:$AF$204,0)),""))</f>
        <v/>
      </c>
      <c r="E103" s="45">
        <f>IF($A103="","",IFERROR(AVERAGEIFS('רווחה - קליטה'!$AR$5:$AR$204,'רווחה - קליטה'!$A$5:$A$204,$A103,'רווחה - קליטה'!$C$5:$C$204,"אמצע שנה"),""))</f>
        <v/>
      </c>
      <c r="F103" s="37">
        <f>IF($A103="","",IFERROR(AVERAGEIFS('רווחה - קליטה'!$AL$5:$AL$204,'רווחה - קליטה'!$A$5:$A$204,$A103,'רווחה - קליטה'!$C$5:$C$204,"אמצע שנה"),""))</f>
        <v/>
      </c>
      <c r="G103" s="36">
        <f>IF($A103="","",IFERROR(INDEX('רווחה - קליטה'!$AT$5:$AT$204,MATCH($A103&amp;"|אמצע שנה",'רווחה - קליטה'!$AF$5:$AF$204,0)),""))</f>
        <v/>
      </c>
      <c r="H103" s="45">
        <f>IF($A103="","",IFERROR(AVERAGEIFS('רווחה - קליטה'!$AR$5:$AR$204,'רווחה - קליטה'!$A$5:$A$204,$A103,'רווחה - קליטה'!$C$5:$C$204,"סוף שנה"),""))</f>
        <v/>
      </c>
      <c r="I103" s="37">
        <f>IF($A103="","",IFERROR(AVERAGEIFS('רווחה - קליטה'!$AL$5:$AL$204,'רווחה - קליטה'!$A$5:$A$204,$A103,'רווחה - קליטה'!$C$5:$C$204,"סוף שנה"),""))</f>
        <v/>
      </c>
      <c r="J103" s="36">
        <f>IF($A103="","",IFERROR(INDEX('רווחה - קליטה'!$AT$5:$AT$204,MATCH($A103&amp;"|סוף שנה",'רווחה - קליטה'!$AF$5:$AF$204,0)),""))</f>
        <v/>
      </c>
      <c r="K103" s="46">
        <f>IF(AND(ISNUMBER(B103),ISNUMBER(H103)),H103-B103,"")</f>
        <v/>
      </c>
      <c r="L103" s="36">
        <f>IF(K103="","",IF(K103&gt;=0.5,"עלייה",IF(K103&lt;=-0.5,"ירידה","יציב")))</f>
        <v/>
      </c>
    </row>
    <row r="104">
      <c r="A104" s="38" t="n"/>
      <c r="B104" s="45">
        <f>IF($A104="","",IFERROR(AVERAGEIFS('רווחה - קליטה'!$AR$5:$AR$204,'רווחה - קליטה'!$A$5:$A$204,$A104,'רווחה - קליטה'!$C$5:$C$204,"תחילת שנה"),""))</f>
        <v/>
      </c>
      <c r="C104" s="37">
        <f>IF($A104="","",IFERROR(AVERAGEIFS('רווחה - קליטה'!$AL$5:$AL$204,'רווחה - קליטה'!$A$5:$A$204,$A104,'רווחה - קליטה'!$C$5:$C$204,"תחילת שנה"),""))</f>
        <v/>
      </c>
      <c r="D104" s="36">
        <f>IF($A104="","",IFERROR(INDEX('רווחה - קליטה'!$AT$5:$AT$204,MATCH($A104&amp;"|תחילת שנה",'רווחה - קליטה'!$AF$5:$AF$204,0)),""))</f>
        <v/>
      </c>
      <c r="E104" s="45">
        <f>IF($A104="","",IFERROR(AVERAGEIFS('רווחה - קליטה'!$AR$5:$AR$204,'רווחה - קליטה'!$A$5:$A$204,$A104,'רווחה - קליטה'!$C$5:$C$204,"אמצע שנה"),""))</f>
        <v/>
      </c>
      <c r="F104" s="37">
        <f>IF($A104="","",IFERROR(AVERAGEIFS('רווחה - קליטה'!$AL$5:$AL$204,'רווחה - קליטה'!$A$5:$A$204,$A104,'רווחה - קליטה'!$C$5:$C$204,"אמצע שנה"),""))</f>
        <v/>
      </c>
      <c r="G104" s="36">
        <f>IF($A104="","",IFERROR(INDEX('רווחה - קליטה'!$AT$5:$AT$204,MATCH($A104&amp;"|אמצע שנה",'רווחה - קליטה'!$AF$5:$AF$204,0)),""))</f>
        <v/>
      </c>
      <c r="H104" s="45">
        <f>IF($A104="","",IFERROR(AVERAGEIFS('רווחה - קליטה'!$AR$5:$AR$204,'רווחה - קליטה'!$A$5:$A$204,$A104,'רווחה - קליטה'!$C$5:$C$204,"סוף שנה"),""))</f>
        <v/>
      </c>
      <c r="I104" s="37">
        <f>IF($A104="","",IFERROR(AVERAGEIFS('רווחה - קליטה'!$AL$5:$AL$204,'רווחה - קליטה'!$A$5:$A$204,$A104,'רווחה - קליטה'!$C$5:$C$204,"סוף שנה"),""))</f>
        <v/>
      </c>
      <c r="J104" s="36">
        <f>IF($A104="","",IFERROR(INDEX('רווחה - קליטה'!$AT$5:$AT$204,MATCH($A104&amp;"|סוף שנה",'רווחה - קליטה'!$AF$5:$AF$204,0)),""))</f>
        <v/>
      </c>
      <c r="K104" s="46">
        <f>IF(AND(ISNUMBER(B104),ISNUMBER(H104)),H104-B104,"")</f>
        <v/>
      </c>
      <c r="L104" s="36">
        <f>IF(K104="","",IF(K104&gt;=0.5,"עלייה",IF(K104&lt;=-0.5,"ירידה","יציב")))</f>
        <v/>
      </c>
    </row>
    <row r="105">
      <c r="A105" s="38" t="n"/>
      <c r="B105" s="45">
        <f>IF($A105="","",IFERROR(AVERAGEIFS('רווחה - קליטה'!$AR$5:$AR$204,'רווחה - קליטה'!$A$5:$A$204,$A105,'רווחה - קליטה'!$C$5:$C$204,"תחילת שנה"),""))</f>
        <v/>
      </c>
      <c r="C105" s="37">
        <f>IF($A105="","",IFERROR(AVERAGEIFS('רווחה - קליטה'!$AL$5:$AL$204,'רווחה - קליטה'!$A$5:$A$204,$A105,'רווחה - קליטה'!$C$5:$C$204,"תחילת שנה"),""))</f>
        <v/>
      </c>
      <c r="D105" s="36">
        <f>IF($A105="","",IFERROR(INDEX('רווחה - קליטה'!$AT$5:$AT$204,MATCH($A105&amp;"|תחילת שנה",'רווחה - קליטה'!$AF$5:$AF$204,0)),""))</f>
        <v/>
      </c>
      <c r="E105" s="45">
        <f>IF($A105="","",IFERROR(AVERAGEIFS('רווחה - קליטה'!$AR$5:$AR$204,'רווחה - קליטה'!$A$5:$A$204,$A105,'רווחה - קליטה'!$C$5:$C$204,"אמצע שנה"),""))</f>
        <v/>
      </c>
      <c r="F105" s="37">
        <f>IF($A105="","",IFERROR(AVERAGEIFS('רווחה - קליטה'!$AL$5:$AL$204,'רווחה - קליטה'!$A$5:$A$204,$A105,'רווחה - קליטה'!$C$5:$C$204,"אמצע שנה"),""))</f>
        <v/>
      </c>
      <c r="G105" s="36">
        <f>IF($A105="","",IFERROR(INDEX('רווחה - קליטה'!$AT$5:$AT$204,MATCH($A105&amp;"|אמצע שנה",'רווחה - קליטה'!$AF$5:$AF$204,0)),""))</f>
        <v/>
      </c>
      <c r="H105" s="45">
        <f>IF($A105="","",IFERROR(AVERAGEIFS('רווחה - קליטה'!$AR$5:$AR$204,'רווחה - קליטה'!$A$5:$A$204,$A105,'רווחה - קליטה'!$C$5:$C$204,"סוף שנה"),""))</f>
        <v/>
      </c>
      <c r="I105" s="37">
        <f>IF($A105="","",IFERROR(AVERAGEIFS('רווחה - קליטה'!$AL$5:$AL$204,'רווחה - קליטה'!$A$5:$A$204,$A105,'רווחה - קליטה'!$C$5:$C$204,"סוף שנה"),""))</f>
        <v/>
      </c>
      <c r="J105" s="36">
        <f>IF($A105="","",IFERROR(INDEX('רווחה - קליטה'!$AT$5:$AT$204,MATCH($A105&amp;"|סוף שנה",'רווחה - קליטה'!$AF$5:$AF$204,0)),""))</f>
        <v/>
      </c>
      <c r="K105" s="46">
        <f>IF(AND(ISNUMBER(B105),ISNUMBER(H105)),H105-B105,"")</f>
        <v/>
      </c>
      <c r="L105" s="36">
        <f>IF(K105="","",IF(K105&gt;=0.5,"עלייה",IF(K105&lt;=-0.5,"ירידה","יציב")))</f>
        <v/>
      </c>
    </row>
    <row r="106">
      <c r="A106" s="38" t="n"/>
      <c r="B106" s="45">
        <f>IF($A106="","",IFERROR(AVERAGEIFS('רווחה - קליטה'!$AR$5:$AR$204,'רווחה - קליטה'!$A$5:$A$204,$A106,'רווחה - קליטה'!$C$5:$C$204,"תחילת שנה"),""))</f>
        <v/>
      </c>
      <c r="C106" s="37">
        <f>IF($A106="","",IFERROR(AVERAGEIFS('רווחה - קליטה'!$AL$5:$AL$204,'רווחה - קליטה'!$A$5:$A$204,$A106,'רווחה - קליטה'!$C$5:$C$204,"תחילת שנה"),""))</f>
        <v/>
      </c>
      <c r="D106" s="36">
        <f>IF($A106="","",IFERROR(INDEX('רווחה - קליטה'!$AT$5:$AT$204,MATCH($A106&amp;"|תחילת שנה",'רווחה - קליטה'!$AF$5:$AF$204,0)),""))</f>
        <v/>
      </c>
      <c r="E106" s="45">
        <f>IF($A106="","",IFERROR(AVERAGEIFS('רווחה - קליטה'!$AR$5:$AR$204,'רווחה - קליטה'!$A$5:$A$204,$A106,'רווחה - קליטה'!$C$5:$C$204,"אמצע שנה"),""))</f>
        <v/>
      </c>
      <c r="F106" s="37">
        <f>IF($A106="","",IFERROR(AVERAGEIFS('רווחה - קליטה'!$AL$5:$AL$204,'רווחה - קליטה'!$A$5:$A$204,$A106,'רווחה - קליטה'!$C$5:$C$204,"אמצע שנה"),""))</f>
        <v/>
      </c>
      <c r="G106" s="36">
        <f>IF($A106="","",IFERROR(INDEX('רווחה - קליטה'!$AT$5:$AT$204,MATCH($A106&amp;"|אמצע שנה",'רווחה - קליטה'!$AF$5:$AF$204,0)),""))</f>
        <v/>
      </c>
      <c r="H106" s="45">
        <f>IF($A106="","",IFERROR(AVERAGEIFS('רווחה - קליטה'!$AR$5:$AR$204,'רווחה - קליטה'!$A$5:$A$204,$A106,'רווחה - קליטה'!$C$5:$C$204,"סוף שנה"),""))</f>
        <v/>
      </c>
      <c r="I106" s="37">
        <f>IF($A106="","",IFERROR(AVERAGEIFS('רווחה - קליטה'!$AL$5:$AL$204,'רווחה - קליטה'!$A$5:$A$204,$A106,'רווחה - קליטה'!$C$5:$C$204,"סוף שנה"),""))</f>
        <v/>
      </c>
      <c r="J106" s="36">
        <f>IF($A106="","",IFERROR(INDEX('רווחה - קליטה'!$AT$5:$AT$204,MATCH($A106&amp;"|סוף שנה",'רווחה - קליטה'!$AF$5:$AF$204,0)),""))</f>
        <v/>
      </c>
      <c r="K106" s="46">
        <f>IF(AND(ISNUMBER(B106),ISNUMBER(H106)),H106-B106,"")</f>
        <v/>
      </c>
      <c r="L106" s="36">
        <f>IF(K106="","",IF(K106&gt;=0.5,"עלייה",IF(K106&lt;=-0.5,"ירידה","יציב")))</f>
        <v/>
      </c>
    </row>
    <row r="107">
      <c r="A107" s="38" t="n"/>
      <c r="B107" s="45">
        <f>IF($A107="","",IFERROR(AVERAGEIFS('רווחה - קליטה'!$AR$5:$AR$204,'רווחה - קליטה'!$A$5:$A$204,$A107,'רווחה - קליטה'!$C$5:$C$204,"תחילת שנה"),""))</f>
        <v/>
      </c>
      <c r="C107" s="37">
        <f>IF($A107="","",IFERROR(AVERAGEIFS('רווחה - קליטה'!$AL$5:$AL$204,'רווחה - קליטה'!$A$5:$A$204,$A107,'רווחה - קליטה'!$C$5:$C$204,"תחילת שנה"),""))</f>
        <v/>
      </c>
      <c r="D107" s="36">
        <f>IF($A107="","",IFERROR(INDEX('רווחה - קליטה'!$AT$5:$AT$204,MATCH($A107&amp;"|תחילת שנה",'רווחה - קליטה'!$AF$5:$AF$204,0)),""))</f>
        <v/>
      </c>
      <c r="E107" s="45">
        <f>IF($A107="","",IFERROR(AVERAGEIFS('רווחה - קליטה'!$AR$5:$AR$204,'רווחה - קליטה'!$A$5:$A$204,$A107,'רווחה - קליטה'!$C$5:$C$204,"אמצע שנה"),""))</f>
        <v/>
      </c>
      <c r="F107" s="37">
        <f>IF($A107="","",IFERROR(AVERAGEIFS('רווחה - קליטה'!$AL$5:$AL$204,'רווחה - קליטה'!$A$5:$A$204,$A107,'רווחה - קליטה'!$C$5:$C$204,"אמצע שנה"),""))</f>
        <v/>
      </c>
      <c r="G107" s="36">
        <f>IF($A107="","",IFERROR(INDEX('רווחה - קליטה'!$AT$5:$AT$204,MATCH($A107&amp;"|אמצע שנה",'רווחה - קליטה'!$AF$5:$AF$204,0)),""))</f>
        <v/>
      </c>
      <c r="H107" s="45">
        <f>IF($A107="","",IFERROR(AVERAGEIFS('רווחה - קליטה'!$AR$5:$AR$204,'רווחה - קליטה'!$A$5:$A$204,$A107,'רווחה - קליטה'!$C$5:$C$204,"סוף שנה"),""))</f>
        <v/>
      </c>
      <c r="I107" s="37">
        <f>IF($A107="","",IFERROR(AVERAGEIFS('רווחה - קליטה'!$AL$5:$AL$204,'רווחה - קליטה'!$A$5:$A$204,$A107,'רווחה - קליטה'!$C$5:$C$204,"סוף שנה"),""))</f>
        <v/>
      </c>
      <c r="J107" s="36">
        <f>IF($A107="","",IFERROR(INDEX('רווחה - קליטה'!$AT$5:$AT$204,MATCH($A107&amp;"|סוף שנה",'רווחה - קליטה'!$AF$5:$AF$204,0)),""))</f>
        <v/>
      </c>
      <c r="K107" s="46">
        <f>IF(AND(ISNUMBER(B107),ISNUMBER(H107)),H107-B107,"")</f>
        <v/>
      </c>
      <c r="L107" s="36">
        <f>IF(K107="","",IF(K107&gt;=0.5,"עלייה",IF(K107&lt;=-0.5,"ירידה","יציב")))</f>
        <v/>
      </c>
    </row>
    <row r="108">
      <c r="A108" s="38" t="n"/>
      <c r="B108" s="45">
        <f>IF($A108="","",IFERROR(AVERAGEIFS('רווחה - קליטה'!$AR$5:$AR$204,'רווחה - קליטה'!$A$5:$A$204,$A108,'רווחה - קליטה'!$C$5:$C$204,"תחילת שנה"),""))</f>
        <v/>
      </c>
      <c r="C108" s="37">
        <f>IF($A108="","",IFERROR(AVERAGEIFS('רווחה - קליטה'!$AL$5:$AL$204,'רווחה - קליטה'!$A$5:$A$204,$A108,'רווחה - קליטה'!$C$5:$C$204,"תחילת שנה"),""))</f>
        <v/>
      </c>
      <c r="D108" s="36">
        <f>IF($A108="","",IFERROR(INDEX('רווחה - קליטה'!$AT$5:$AT$204,MATCH($A108&amp;"|תחילת שנה",'רווחה - קליטה'!$AF$5:$AF$204,0)),""))</f>
        <v/>
      </c>
      <c r="E108" s="45">
        <f>IF($A108="","",IFERROR(AVERAGEIFS('רווחה - קליטה'!$AR$5:$AR$204,'רווחה - קליטה'!$A$5:$A$204,$A108,'רווחה - קליטה'!$C$5:$C$204,"אמצע שנה"),""))</f>
        <v/>
      </c>
      <c r="F108" s="37">
        <f>IF($A108="","",IFERROR(AVERAGEIFS('רווחה - קליטה'!$AL$5:$AL$204,'רווחה - קליטה'!$A$5:$A$204,$A108,'רווחה - קליטה'!$C$5:$C$204,"אמצע שנה"),""))</f>
        <v/>
      </c>
      <c r="G108" s="36">
        <f>IF($A108="","",IFERROR(INDEX('רווחה - קליטה'!$AT$5:$AT$204,MATCH($A108&amp;"|אמצע שנה",'רווחה - קליטה'!$AF$5:$AF$204,0)),""))</f>
        <v/>
      </c>
      <c r="H108" s="45">
        <f>IF($A108="","",IFERROR(AVERAGEIFS('רווחה - קליטה'!$AR$5:$AR$204,'רווחה - קליטה'!$A$5:$A$204,$A108,'רווחה - קליטה'!$C$5:$C$204,"סוף שנה"),""))</f>
        <v/>
      </c>
      <c r="I108" s="37">
        <f>IF($A108="","",IFERROR(AVERAGEIFS('רווחה - קליטה'!$AL$5:$AL$204,'רווחה - קליטה'!$A$5:$A$204,$A108,'רווחה - קליטה'!$C$5:$C$204,"סוף שנה"),""))</f>
        <v/>
      </c>
      <c r="J108" s="36">
        <f>IF($A108="","",IFERROR(INDEX('רווחה - קליטה'!$AT$5:$AT$204,MATCH($A108&amp;"|סוף שנה",'רווחה - קליטה'!$AF$5:$AF$204,0)),""))</f>
        <v/>
      </c>
      <c r="K108" s="46">
        <f>IF(AND(ISNUMBER(B108),ISNUMBER(H108)),H108-B108,"")</f>
        <v/>
      </c>
      <c r="L108" s="36">
        <f>IF(K108="","",IF(K108&gt;=0.5,"עלייה",IF(K108&lt;=-0.5,"ירידה","יציב")))</f>
        <v/>
      </c>
    </row>
    <row r="109">
      <c r="A109" s="38" t="n"/>
      <c r="B109" s="45">
        <f>IF($A109="","",IFERROR(AVERAGEIFS('רווחה - קליטה'!$AR$5:$AR$204,'רווחה - קליטה'!$A$5:$A$204,$A109,'רווחה - קליטה'!$C$5:$C$204,"תחילת שנה"),""))</f>
        <v/>
      </c>
      <c r="C109" s="37">
        <f>IF($A109="","",IFERROR(AVERAGEIFS('רווחה - קליטה'!$AL$5:$AL$204,'רווחה - קליטה'!$A$5:$A$204,$A109,'רווחה - קליטה'!$C$5:$C$204,"תחילת שנה"),""))</f>
        <v/>
      </c>
      <c r="D109" s="36">
        <f>IF($A109="","",IFERROR(INDEX('רווחה - קליטה'!$AT$5:$AT$204,MATCH($A109&amp;"|תחילת שנה",'רווחה - קליטה'!$AF$5:$AF$204,0)),""))</f>
        <v/>
      </c>
      <c r="E109" s="45">
        <f>IF($A109="","",IFERROR(AVERAGEIFS('רווחה - קליטה'!$AR$5:$AR$204,'רווחה - קליטה'!$A$5:$A$204,$A109,'רווחה - קליטה'!$C$5:$C$204,"אמצע שנה"),""))</f>
        <v/>
      </c>
      <c r="F109" s="37">
        <f>IF($A109="","",IFERROR(AVERAGEIFS('רווחה - קליטה'!$AL$5:$AL$204,'רווחה - קליטה'!$A$5:$A$204,$A109,'רווחה - קליטה'!$C$5:$C$204,"אמצע שנה"),""))</f>
        <v/>
      </c>
      <c r="G109" s="36">
        <f>IF($A109="","",IFERROR(INDEX('רווחה - קליטה'!$AT$5:$AT$204,MATCH($A109&amp;"|אמצע שנה",'רווחה - קליטה'!$AF$5:$AF$204,0)),""))</f>
        <v/>
      </c>
      <c r="H109" s="45">
        <f>IF($A109="","",IFERROR(AVERAGEIFS('רווחה - קליטה'!$AR$5:$AR$204,'רווחה - קליטה'!$A$5:$A$204,$A109,'רווחה - קליטה'!$C$5:$C$204,"סוף שנה"),""))</f>
        <v/>
      </c>
      <c r="I109" s="37">
        <f>IF($A109="","",IFERROR(AVERAGEIFS('רווחה - קליטה'!$AL$5:$AL$204,'רווחה - קליטה'!$A$5:$A$204,$A109,'רווחה - קליטה'!$C$5:$C$204,"סוף שנה"),""))</f>
        <v/>
      </c>
      <c r="J109" s="36">
        <f>IF($A109="","",IFERROR(INDEX('רווחה - קליטה'!$AT$5:$AT$204,MATCH($A109&amp;"|סוף שנה",'רווחה - קליטה'!$AF$5:$AF$204,0)),""))</f>
        <v/>
      </c>
      <c r="K109" s="46">
        <f>IF(AND(ISNUMBER(B109),ISNUMBER(H109)),H109-B109,"")</f>
        <v/>
      </c>
      <c r="L109" s="36">
        <f>IF(K109="","",IF(K109&gt;=0.5,"עלייה",IF(K109&lt;=-0.5,"ירידה","יציב")))</f>
        <v/>
      </c>
    </row>
    <row r="110">
      <c r="A110" s="38" t="n"/>
      <c r="B110" s="45">
        <f>IF($A110="","",IFERROR(AVERAGEIFS('רווחה - קליטה'!$AR$5:$AR$204,'רווחה - קליטה'!$A$5:$A$204,$A110,'רווחה - קליטה'!$C$5:$C$204,"תחילת שנה"),""))</f>
        <v/>
      </c>
      <c r="C110" s="37">
        <f>IF($A110="","",IFERROR(AVERAGEIFS('רווחה - קליטה'!$AL$5:$AL$204,'רווחה - קליטה'!$A$5:$A$204,$A110,'רווחה - קליטה'!$C$5:$C$204,"תחילת שנה"),""))</f>
        <v/>
      </c>
      <c r="D110" s="36">
        <f>IF($A110="","",IFERROR(INDEX('רווחה - קליטה'!$AT$5:$AT$204,MATCH($A110&amp;"|תחילת שנה",'רווחה - קליטה'!$AF$5:$AF$204,0)),""))</f>
        <v/>
      </c>
      <c r="E110" s="45">
        <f>IF($A110="","",IFERROR(AVERAGEIFS('רווחה - קליטה'!$AR$5:$AR$204,'רווחה - קליטה'!$A$5:$A$204,$A110,'רווחה - קליטה'!$C$5:$C$204,"אמצע שנה"),""))</f>
        <v/>
      </c>
      <c r="F110" s="37">
        <f>IF($A110="","",IFERROR(AVERAGEIFS('רווחה - קליטה'!$AL$5:$AL$204,'רווחה - קליטה'!$A$5:$A$204,$A110,'רווחה - קליטה'!$C$5:$C$204,"אמצע שנה"),""))</f>
        <v/>
      </c>
      <c r="G110" s="36">
        <f>IF($A110="","",IFERROR(INDEX('רווחה - קליטה'!$AT$5:$AT$204,MATCH($A110&amp;"|אמצע שנה",'רווחה - קליטה'!$AF$5:$AF$204,0)),""))</f>
        <v/>
      </c>
      <c r="H110" s="45">
        <f>IF($A110="","",IFERROR(AVERAGEIFS('רווחה - קליטה'!$AR$5:$AR$204,'רווחה - קליטה'!$A$5:$A$204,$A110,'רווחה - קליטה'!$C$5:$C$204,"סוף שנה"),""))</f>
        <v/>
      </c>
      <c r="I110" s="37">
        <f>IF($A110="","",IFERROR(AVERAGEIFS('רווחה - קליטה'!$AL$5:$AL$204,'רווחה - קליטה'!$A$5:$A$204,$A110,'רווחה - קליטה'!$C$5:$C$204,"סוף שנה"),""))</f>
        <v/>
      </c>
      <c r="J110" s="36">
        <f>IF($A110="","",IFERROR(INDEX('רווחה - קליטה'!$AT$5:$AT$204,MATCH($A110&amp;"|סוף שנה",'רווחה - קליטה'!$AF$5:$AF$204,0)),""))</f>
        <v/>
      </c>
      <c r="K110" s="46">
        <f>IF(AND(ISNUMBER(B110),ISNUMBER(H110)),H110-B110,"")</f>
        <v/>
      </c>
      <c r="L110" s="36">
        <f>IF(K110="","",IF(K110&gt;=0.5,"עלייה",IF(K110&lt;=-0.5,"ירידה","יציב")))</f>
        <v/>
      </c>
    </row>
    <row r="111">
      <c r="A111" s="38" t="n"/>
      <c r="B111" s="45">
        <f>IF($A111="","",IFERROR(AVERAGEIFS('רווחה - קליטה'!$AR$5:$AR$204,'רווחה - קליטה'!$A$5:$A$204,$A111,'רווחה - קליטה'!$C$5:$C$204,"תחילת שנה"),""))</f>
        <v/>
      </c>
      <c r="C111" s="37">
        <f>IF($A111="","",IFERROR(AVERAGEIFS('רווחה - קליטה'!$AL$5:$AL$204,'רווחה - קליטה'!$A$5:$A$204,$A111,'רווחה - קליטה'!$C$5:$C$204,"תחילת שנה"),""))</f>
        <v/>
      </c>
      <c r="D111" s="36">
        <f>IF($A111="","",IFERROR(INDEX('רווחה - קליטה'!$AT$5:$AT$204,MATCH($A111&amp;"|תחילת שנה",'רווחה - קליטה'!$AF$5:$AF$204,0)),""))</f>
        <v/>
      </c>
      <c r="E111" s="45">
        <f>IF($A111="","",IFERROR(AVERAGEIFS('רווחה - קליטה'!$AR$5:$AR$204,'רווחה - קליטה'!$A$5:$A$204,$A111,'רווחה - קליטה'!$C$5:$C$204,"אמצע שנה"),""))</f>
        <v/>
      </c>
      <c r="F111" s="37">
        <f>IF($A111="","",IFERROR(AVERAGEIFS('רווחה - קליטה'!$AL$5:$AL$204,'רווחה - קליטה'!$A$5:$A$204,$A111,'רווחה - קליטה'!$C$5:$C$204,"אמצע שנה"),""))</f>
        <v/>
      </c>
      <c r="G111" s="36">
        <f>IF($A111="","",IFERROR(INDEX('רווחה - קליטה'!$AT$5:$AT$204,MATCH($A111&amp;"|אמצע שנה",'רווחה - קליטה'!$AF$5:$AF$204,0)),""))</f>
        <v/>
      </c>
      <c r="H111" s="45">
        <f>IF($A111="","",IFERROR(AVERAGEIFS('רווחה - קליטה'!$AR$5:$AR$204,'רווחה - קליטה'!$A$5:$A$204,$A111,'רווחה - קליטה'!$C$5:$C$204,"סוף שנה"),""))</f>
        <v/>
      </c>
      <c r="I111" s="37">
        <f>IF($A111="","",IFERROR(AVERAGEIFS('רווחה - קליטה'!$AL$5:$AL$204,'רווחה - קליטה'!$A$5:$A$204,$A111,'רווחה - קליטה'!$C$5:$C$204,"סוף שנה"),""))</f>
        <v/>
      </c>
      <c r="J111" s="36">
        <f>IF($A111="","",IFERROR(INDEX('רווחה - קליטה'!$AT$5:$AT$204,MATCH($A111&amp;"|סוף שנה",'רווחה - קליטה'!$AF$5:$AF$204,0)),""))</f>
        <v/>
      </c>
      <c r="K111" s="46">
        <f>IF(AND(ISNUMBER(B111),ISNUMBER(H111)),H111-B111,"")</f>
        <v/>
      </c>
      <c r="L111" s="36">
        <f>IF(K111="","",IF(K111&gt;=0.5,"עלייה",IF(K111&lt;=-0.5,"ירידה","יציב")))</f>
        <v/>
      </c>
    </row>
    <row r="112">
      <c r="A112" s="38" t="n"/>
      <c r="B112" s="45">
        <f>IF($A112="","",IFERROR(AVERAGEIFS('רווחה - קליטה'!$AR$5:$AR$204,'רווחה - קליטה'!$A$5:$A$204,$A112,'רווחה - קליטה'!$C$5:$C$204,"תחילת שנה"),""))</f>
        <v/>
      </c>
      <c r="C112" s="37">
        <f>IF($A112="","",IFERROR(AVERAGEIFS('רווחה - קליטה'!$AL$5:$AL$204,'רווחה - קליטה'!$A$5:$A$204,$A112,'רווחה - קליטה'!$C$5:$C$204,"תחילת שנה"),""))</f>
        <v/>
      </c>
      <c r="D112" s="36">
        <f>IF($A112="","",IFERROR(INDEX('רווחה - קליטה'!$AT$5:$AT$204,MATCH($A112&amp;"|תחילת שנה",'רווחה - קליטה'!$AF$5:$AF$204,0)),""))</f>
        <v/>
      </c>
      <c r="E112" s="45">
        <f>IF($A112="","",IFERROR(AVERAGEIFS('רווחה - קליטה'!$AR$5:$AR$204,'רווחה - קליטה'!$A$5:$A$204,$A112,'רווחה - קליטה'!$C$5:$C$204,"אמצע שנה"),""))</f>
        <v/>
      </c>
      <c r="F112" s="37">
        <f>IF($A112="","",IFERROR(AVERAGEIFS('רווחה - קליטה'!$AL$5:$AL$204,'רווחה - קליטה'!$A$5:$A$204,$A112,'רווחה - קליטה'!$C$5:$C$204,"אמצע שנה"),""))</f>
        <v/>
      </c>
      <c r="G112" s="36">
        <f>IF($A112="","",IFERROR(INDEX('רווחה - קליטה'!$AT$5:$AT$204,MATCH($A112&amp;"|אמצע שנה",'רווחה - קליטה'!$AF$5:$AF$204,0)),""))</f>
        <v/>
      </c>
      <c r="H112" s="45">
        <f>IF($A112="","",IFERROR(AVERAGEIFS('רווחה - קליטה'!$AR$5:$AR$204,'רווחה - קליטה'!$A$5:$A$204,$A112,'רווחה - קליטה'!$C$5:$C$204,"סוף שנה"),""))</f>
        <v/>
      </c>
      <c r="I112" s="37">
        <f>IF($A112="","",IFERROR(AVERAGEIFS('רווחה - קליטה'!$AL$5:$AL$204,'רווחה - קליטה'!$A$5:$A$204,$A112,'רווחה - קליטה'!$C$5:$C$204,"סוף שנה"),""))</f>
        <v/>
      </c>
      <c r="J112" s="36">
        <f>IF($A112="","",IFERROR(INDEX('רווחה - קליטה'!$AT$5:$AT$204,MATCH($A112&amp;"|סוף שנה",'רווחה - קליטה'!$AF$5:$AF$204,0)),""))</f>
        <v/>
      </c>
      <c r="K112" s="46">
        <f>IF(AND(ISNUMBER(B112),ISNUMBER(H112)),H112-B112,"")</f>
        <v/>
      </c>
      <c r="L112" s="36">
        <f>IF(K112="","",IF(K112&gt;=0.5,"עלייה",IF(K112&lt;=-0.5,"ירידה","יציב")))</f>
        <v/>
      </c>
    </row>
    <row r="113">
      <c r="A113" s="38" t="n"/>
      <c r="B113" s="45">
        <f>IF($A113="","",IFERROR(AVERAGEIFS('רווחה - קליטה'!$AR$5:$AR$204,'רווחה - קליטה'!$A$5:$A$204,$A113,'רווחה - קליטה'!$C$5:$C$204,"תחילת שנה"),""))</f>
        <v/>
      </c>
      <c r="C113" s="37">
        <f>IF($A113="","",IFERROR(AVERAGEIFS('רווחה - קליטה'!$AL$5:$AL$204,'רווחה - קליטה'!$A$5:$A$204,$A113,'רווחה - קליטה'!$C$5:$C$204,"תחילת שנה"),""))</f>
        <v/>
      </c>
      <c r="D113" s="36">
        <f>IF($A113="","",IFERROR(INDEX('רווחה - קליטה'!$AT$5:$AT$204,MATCH($A113&amp;"|תחילת שנה",'רווחה - קליטה'!$AF$5:$AF$204,0)),""))</f>
        <v/>
      </c>
      <c r="E113" s="45">
        <f>IF($A113="","",IFERROR(AVERAGEIFS('רווחה - קליטה'!$AR$5:$AR$204,'רווחה - קליטה'!$A$5:$A$204,$A113,'רווחה - קליטה'!$C$5:$C$204,"אמצע שנה"),""))</f>
        <v/>
      </c>
      <c r="F113" s="37">
        <f>IF($A113="","",IFERROR(AVERAGEIFS('רווחה - קליטה'!$AL$5:$AL$204,'רווחה - קליטה'!$A$5:$A$204,$A113,'רווחה - קליטה'!$C$5:$C$204,"אמצע שנה"),""))</f>
        <v/>
      </c>
      <c r="G113" s="36">
        <f>IF($A113="","",IFERROR(INDEX('רווחה - קליטה'!$AT$5:$AT$204,MATCH($A113&amp;"|אמצע שנה",'רווחה - קליטה'!$AF$5:$AF$204,0)),""))</f>
        <v/>
      </c>
      <c r="H113" s="45">
        <f>IF($A113="","",IFERROR(AVERAGEIFS('רווחה - קליטה'!$AR$5:$AR$204,'רווחה - קליטה'!$A$5:$A$204,$A113,'רווחה - קליטה'!$C$5:$C$204,"סוף שנה"),""))</f>
        <v/>
      </c>
      <c r="I113" s="37">
        <f>IF($A113="","",IFERROR(AVERAGEIFS('רווחה - קליטה'!$AL$5:$AL$204,'רווחה - קליטה'!$A$5:$A$204,$A113,'רווחה - קליטה'!$C$5:$C$204,"סוף שנה"),""))</f>
        <v/>
      </c>
      <c r="J113" s="36">
        <f>IF($A113="","",IFERROR(INDEX('רווחה - קליטה'!$AT$5:$AT$204,MATCH($A113&amp;"|סוף שנה",'רווחה - קליטה'!$AF$5:$AF$204,0)),""))</f>
        <v/>
      </c>
      <c r="K113" s="46">
        <f>IF(AND(ISNUMBER(B113),ISNUMBER(H113)),H113-B113,"")</f>
        <v/>
      </c>
      <c r="L113" s="36">
        <f>IF(K113="","",IF(K113&gt;=0.5,"עלייה",IF(K113&lt;=-0.5,"ירידה","יציב")))</f>
        <v/>
      </c>
    </row>
    <row r="114">
      <c r="A114" s="38" t="n"/>
      <c r="B114" s="45">
        <f>IF($A114="","",IFERROR(AVERAGEIFS('רווחה - קליטה'!$AR$5:$AR$204,'רווחה - קליטה'!$A$5:$A$204,$A114,'רווחה - קליטה'!$C$5:$C$204,"תחילת שנה"),""))</f>
        <v/>
      </c>
      <c r="C114" s="37">
        <f>IF($A114="","",IFERROR(AVERAGEIFS('רווחה - קליטה'!$AL$5:$AL$204,'רווחה - קליטה'!$A$5:$A$204,$A114,'רווחה - קליטה'!$C$5:$C$204,"תחילת שנה"),""))</f>
        <v/>
      </c>
      <c r="D114" s="36">
        <f>IF($A114="","",IFERROR(INDEX('רווחה - קליטה'!$AT$5:$AT$204,MATCH($A114&amp;"|תחילת שנה",'רווחה - קליטה'!$AF$5:$AF$204,0)),""))</f>
        <v/>
      </c>
      <c r="E114" s="45">
        <f>IF($A114="","",IFERROR(AVERAGEIFS('רווחה - קליטה'!$AR$5:$AR$204,'רווחה - קליטה'!$A$5:$A$204,$A114,'רווחה - קליטה'!$C$5:$C$204,"אמצע שנה"),""))</f>
        <v/>
      </c>
      <c r="F114" s="37">
        <f>IF($A114="","",IFERROR(AVERAGEIFS('רווחה - קליטה'!$AL$5:$AL$204,'רווחה - קליטה'!$A$5:$A$204,$A114,'רווחה - קליטה'!$C$5:$C$204,"אמצע שנה"),""))</f>
        <v/>
      </c>
      <c r="G114" s="36">
        <f>IF($A114="","",IFERROR(INDEX('רווחה - קליטה'!$AT$5:$AT$204,MATCH($A114&amp;"|אמצע שנה",'רווחה - קליטה'!$AF$5:$AF$204,0)),""))</f>
        <v/>
      </c>
      <c r="H114" s="45">
        <f>IF($A114="","",IFERROR(AVERAGEIFS('רווחה - קליטה'!$AR$5:$AR$204,'רווחה - קליטה'!$A$5:$A$204,$A114,'רווחה - קליטה'!$C$5:$C$204,"סוף שנה"),""))</f>
        <v/>
      </c>
      <c r="I114" s="37">
        <f>IF($A114="","",IFERROR(AVERAGEIFS('רווחה - קליטה'!$AL$5:$AL$204,'רווחה - קליטה'!$A$5:$A$204,$A114,'רווחה - קליטה'!$C$5:$C$204,"סוף שנה"),""))</f>
        <v/>
      </c>
      <c r="J114" s="36">
        <f>IF($A114="","",IFERROR(INDEX('רווחה - קליטה'!$AT$5:$AT$204,MATCH($A114&amp;"|סוף שנה",'רווחה - קליטה'!$AF$5:$AF$204,0)),""))</f>
        <v/>
      </c>
      <c r="K114" s="46">
        <f>IF(AND(ISNUMBER(B114),ISNUMBER(H114)),H114-B114,"")</f>
        <v/>
      </c>
      <c r="L114" s="36">
        <f>IF(K114="","",IF(K114&gt;=0.5,"עלייה",IF(K114&lt;=-0.5,"ירידה","יציב")))</f>
        <v/>
      </c>
    </row>
    <row r="115">
      <c r="A115" s="38" t="n"/>
      <c r="B115" s="45">
        <f>IF($A115="","",IFERROR(AVERAGEIFS('רווחה - קליטה'!$AR$5:$AR$204,'רווחה - קליטה'!$A$5:$A$204,$A115,'רווחה - קליטה'!$C$5:$C$204,"תחילת שנה"),""))</f>
        <v/>
      </c>
      <c r="C115" s="37">
        <f>IF($A115="","",IFERROR(AVERAGEIFS('רווחה - קליטה'!$AL$5:$AL$204,'רווחה - קליטה'!$A$5:$A$204,$A115,'רווחה - קליטה'!$C$5:$C$204,"תחילת שנה"),""))</f>
        <v/>
      </c>
      <c r="D115" s="36">
        <f>IF($A115="","",IFERROR(INDEX('רווחה - קליטה'!$AT$5:$AT$204,MATCH($A115&amp;"|תחילת שנה",'רווחה - קליטה'!$AF$5:$AF$204,0)),""))</f>
        <v/>
      </c>
      <c r="E115" s="45">
        <f>IF($A115="","",IFERROR(AVERAGEIFS('רווחה - קליטה'!$AR$5:$AR$204,'רווחה - קליטה'!$A$5:$A$204,$A115,'רווחה - קליטה'!$C$5:$C$204,"אמצע שנה"),""))</f>
        <v/>
      </c>
      <c r="F115" s="37">
        <f>IF($A115="","",IFERROR(AVERAGEIFS('רווחה - קליטה'!$AL$5:$AL$204,'רווחה - קליטה'!$A$5:$A$204,$A115,'רווחה - קליטה'!$C$5:$C$204,"אמצע שנה"),""))</f>
        <v/>
      </c>
      <c r="G115" s="36">
        <f>IF($A115="","",IFERROR(INDEX('רווחה - קליטה'!$AT$5:$AT$204,MATCH($A115&amp;"|אמצע שנה",'רווחה - קליטה'!$AF$5:$AF$204,0)),""))</f>
        <v/>
      </c>
      <c r="H115" s="45">
        <f>IF($A115="","",IFERROR(AVERAGEIFS('רווחה - קליטה'!$AR$5:$AR$204,'רווחה - קליטה'!$A$5:$A$204,$A115,'רווחה - קליטה'!$C$5:$C$204,"סוף שנה"),""))</f>
        <v/>
      </c>
      <c r="I115" s="37">
        <f>IF($A115="","",IFERROR(AVERAGEIFS('רווחה - קליטה'!$AL$5:$AL$204,'רווחה - קליטה'!$A$5:$A$204,$A115,'רווחה - קליטה'!$C$5:$C$204,"סוף שנה"),""))</f>
        <v/>
      </c>
      <c r="J115" s="36">
        <f>IF($A115="","",IFERROR(INDEX('רווחה - קליטה'!$AT$5:$AT$204,MATCH($A115&amp;"|סוף שנה",'רווחה - קליטה'!$AF$5:$AF$204,0)),""))</f>
        <v/>
      </c>
      <c r="K115" s="46">
        <f>IF(AND(ISNUMBER(B115),ISNUMBER(H115)),H115-B115,"")</f>
        <v/>
      </c>
      <c r="L115" s="36">
        <f>IF(K115="","",IF(K115&gt;=0.5,"עלייה",IF(K115&lt;=-0.5,"ירידה","יציב")))</f>
        <v/>
      </c>
    </row>
    <row r="116">
      <c r="A116" s="38" t="n"/>
      <c r="B116" s="45">
        <f>IF($A116="","",IFERROR(AVERAGEIFS('רווחה - קליטה'!$AR$5:$AR$204,'רווחה - קליטה'!$A$5:$A$204,$A116,'רווחה - קליטה'!$C$5:$C$204,"תחילת שנה"),""))</f>
        <v/>
      </c>
      <c r="C116" s="37">
        <f>IF($A116="","",IFERROR(AVERAGEIFS('רווחה - קליטה'!$AL$5:$AL$204,'רווחה - קליטה'!$A$5:$A$204,$A116,'רווחה - קליטה'!$C$5:$C$204,"תחילת שנה"),""))</f>
        <v/>
      </c>
      <c r="D116" s="36">
        <f>IF($A116="","",IFERROR(INDEX('רווחה - קליטה'!$AT$5:$AT$204,MATCH($A116&amp;"|תחילת שנה",'רווחה - קליטה'!$AF$5:$AF$204,0)),""))</f>
        <v/>
      </c>
      <c r="E116" s="45">
        <f>IF($A116="","",IFERROR(AVERAGEIFS('רווחה - קליטה'!$AR$5:$AR$204,'רווחה - קליטה'!$A$5:$A$204,$A116,'רווחה - קליטה'!$C$5:$C$204,"אמצע שנה"),""))</f>
        <v/>
      </c>
      <c r="F116" s="37">
        <f>IF($A116="","",IFERROR(AVERAGEIFS('רווחה - קליטה'!$AL$5:$AL$204,'רווחה - קליטה'!$A$5:$A$204,$A116,'רווחה - קליטה'!$C$5:$C$204,"אמצע שנה"),""))</f>
        <v/>
      </c>
      <c r="G116" s="36">
        <f>IF($A116="","",IFERROR(INDEX('רווחה - קליטה'!$AT$5:$AT$204,MATCH($A116&amp;"|אמצע שנה",'רווחה - קליטה'!$AF$5:$AF$204,0)),""))</f>
        <v/>
      </c>
      <c r="H116" s="45">
        <f>IF($A116="","",IFERROR(AVERAGEIFS('רווחה - קליטה'!$AR$5:$AR$204,'רווחה - קליטה'!$A$5:$A$204,$A116,'רווחה - קליטה'!$C$5:$C$204,"סוף שנה"),""))</f>
        <v/>
      </c>
      <c r="I116" s="37">
        <f>IF($A116="","",IFERROR(AVERAGEIFS('רווחה - קליטה'!$AL$5:$AL$204,'רווחה - קליטה'!$A$5:$A$204,$A116,'רווחה - קליטה'!$C$5:$C$204,"סוף שנה"),""))</f>
        <v/>
      </c>
      <c r="J116" s="36">
        <f>IF($A116="","",IFERROR(INDEX('רווחה - קליטה'!$AT$5:$AT$204,MATCH($A116&amp;"|סוף שנה",'רווחה - קליטה'!$AF$5:$AF$204,0)),""))</f>
        <v/>
      </c>
      <c r="K116" s="46">
        <f>IF(AND(ISNUMBER(B116),ISNUMBER(H116)),H116-B116,"")</f>
        <v/>
      </c>
      <c r="L116" s="36">
        <f>IF(K116="","",IF(K116&gt;=0.5,"עלייה",IF(K116&lt;=-0.5,"ירידה","יציב")))</f>
        <v/>
      </c>
    </row>
    <row r="117">
      <c r="A117" s="38" t="n"/>
      <c r="B117" s="45">
        <f>IF($A117="","",IFERROR(AVERAGEIFS('רווחה - קליטה'!$AR$5:$AR$204,'רווחה - קליטה'!$A$5:$A$204,$A117,'רווחה - קליטה'!$C$5:$C$204,"תחילת שנה"),""))</f>
        <v/>
      </c>
      <c r="C117" s="37">
        <f>IF($A117="","",IFERROR(AVERAGEIFS('רווחה - קליטה'!$AL$5:$AL$204,'רווחה - קליטה'!$A$5:$A$204,$A117,'רווחה - קליטה'!$C$5:$C$204,"תחילת שנה"),""))</f>
        <v/>
      </c>
      <c r="D117" s="36">
        <f>IF($A117="","",IFERROR(INDEX('רווחה - קליטה'!$AT$5:$AT$204,MATCH($A117&amp;"|תחילת שנה",'רווחה - קליטה'!$AF$5:$AF$204,0)),""))</f>
        <v/>
      </c>
      <c r="E117" s="45">
        <f>IF($A117="","",IFERROR(AVERAGEIFS('רווחה - קליטה'!$AR$5:$AR$204,'רווחה - קליטה'!$A$5:$A$204,$A117,'רווחה - קליטה'!$C$5:$C$204,"אמצע שנה"),""))</f>
        <v/>
      </c>
      <c r="F117" s="37">
        <f>IF($A117="","",IFERROR(AVERAGEIFS('רווחה - קליטה'!$AL$5:$AL$204,'רווחה - קליטה'!$A$5:$A$204,$A117,'רווחה - קליטה'!$C$5:$C$204,"אמצע שנה"),""))</f>
        <v/>
      </c>
      <c r="G117" s="36">
        <f>IF($A117="","",IFERROR(INDEX('רווחה - קליטה'!$AT$5:$AT$204,MATCH($A117&amp;"|אמצע שנה",'רווחה - קליטה'!$AF$5:$AF$204,0)),""))</f>
        <v/>
      </c>
      <c r="H117" s="45">
        <f>IF($A117="","",IFERROR(AVERAGEIFS('רווחה - קליטה'!$AR$5:$AR$204,'רווחה - קליטה'!$A$5:$A$204,$A117,'רווחה - קליטה'!$C$5:$C$204,"סוף שנה"),""))</f>
        <v/>
      </c>
      <c r="I117" s="37">
        <f>IF($A117="","",IFERROR(AVERAGEIFS('רווחה - קליטה'!$AL$5:$AL$204,'רווחה - קליטה'!$A$5:$A$204,$A117,'רווחה - קליטה'!$C$5:$C$204,"סוף שנה"),""))</f>
        <v/>
      </c>
      <c r="J117" s="36">
        <f>IF($A117="","",IFERROR(INDEX('רווחה - קליטה'!$AT$5:$AT$204,MATCH($A117&amp;"|סוף שנה",'רווחה - קליטה'!$AF$5:$AF$204,0)),""))</f>
        <v/>
      </c>
      <c r="K117" s="46">
        <f>IF(AND(ISNUMBER(B117),ISNUMBER(H117)),H117-B117,"")</f>
        <v/>
      </c>
      <c r="L117" s="36">
        <f>IF(K117="","",IF(K117&gt;=0.5,"עלייה",IF(K117&lt;=-0.5,"ירידה","יציב")))</f>
        <v/>
      </c>
    </row>
    <row r="118">
      <c r="A118" s="38" t="n"/>
      <c r="B118" s="45">
        <f>IF($A118="","",IFERROR(AVERAGEIFS('רווחה - קליטה'!$AR$5:$AR$204,'רווחה - קליטה'!$A$5:$A$204,$A118,'רווחה - קליטה'!$C$5:$C$204,"תחילת שנה"),""))</f>
        <v/>
      </c>
      <c r="C118" s="37">
        <f>IF($A118="","",IFERROR(AVERAGEIFS('רווחה - קליטה'!$AL$5:$AL$204,'רווחה - קליטה'!$A$5:$A$204,$A118,'רווחה - קליטה'!$C$5:$C$204,"תחילת שנה"),""))</f>
        <v/>
      </c>
      <c r="D118" s="36">
        <f>IF($A118="","",IFERROR(INDEX('רווחה - קליטה'!$AT$5:$AT$204,MATCH($A118&amp;"|תחילת שנה",'רווחה - קליטה'!$AF$5:$AF$204,0)),""))</f>
        <v/>
      </c>
      <c r="E118" s="45">
        <f>IF($A118="","",IFERROR(AVERAGEIFS('רווחה - קליטה'!$AR$5:$AR$204,'רווחה - קליטה'!$A$5:$A$204,$A118,'רווחה - קליטה'!$C$5:$C$204,"אמצע שנה"),""))</f>
        <v/>
      </c>
      <c r="F118" s="37">
        <f>IF($A118="","",IFERROR(AVERAGEIFS('רווחה - קליטה'!$AL$5:$AL$204,'רווחה - קליטה'!$A$5:$A$204,$A118,'רווחה - קליטה'!$C$5:$C$204,"אמצע שנה"),""))</f>
        <v/>
      </c>
      <c r="G118" s="36">
        <f>IF($A118="","",IFERROR(INDEX('רווחה - קליטה'!$AT$5:$AT$204,MATCH($A118&amp;"|אמצע שנה",'רווחה - קליטה'!$AF$5:$AF$204,0)),""))</f>
        <v/>
      </c>
      <c r="H118" s="45">
        <f>IF($A118="","",IFERROR(AVERAGEIFS('רווחה - קליטה'!$AR$5:$AR$204,'רווחה - קליטה'!$A$5:$A$204,$A118,'רווחה - קליטה'!$C$5:$C$204,"סוף שנה"),""))</f>
        <v/>
      </c>
      <c r="I118" s="37">
        <f>IF($A118="","",IFERROR(AVERAGEIFS('רווחה - קליטה'!$AL$5:$AL$204,'רווחה - קליטה'!$A$5:$A$204,$A118,'רווחה - קליטה'!$C$5:$C$204,"סוף שנה"),""))</f>
        <v/>
      </c>
      <c r="J118" s="36">
        <f>IF($A118="","",IFERROR(INDEX('רווחה - קליטה'!$AT$5:$AT$204,MATCH($A118&amp;"|סוף שנה",'רווחה - קליטה'!$AF$5:$AF$204,0)),""))</f>
        <v/>
      </c>
      <c r="K118" s="46">
        <f>IF(AND(ISNUMBER(B118),ISNUMBER(H118)),H118-B118,"")</f>
        <v/>
      </c>
      <c r="L118" s="36">
        <f>IF(K118="","",IF(K118&gt;=0.5,"עלייה",IF(K118&lt;=-0.5,"ירידה","יציב")))</f>
        <v/>
      </c>
    </row>
    <row r="119">
      <c r="A119" s="38" t="n"/>
      <c r="B119" s="45">
        <f>IF($A119="","",IFERROR(AVERAGEIFS('רווחה - קליטה'!$AR$5:$AR$204,'רווחה - קליטה'!$A$5:$A$204,$A119,'רווחה - קליטה'!$C$5:$C$204,"תחילת שנה"),""))</f>
        <v/>
      </c>
      <c r="C119" s="37">
        <f>IF($A119="","",IFERROR(AVERAGEIFS('רווחה - קליטה'!$AL$5:$AL$204,'רווחה - קליטה'!$A$5:$A$204,$A119,'רווחה - קליטה'!$C$5:$C$204,"תחילת שנה"),""))</f>
        <v/>
      </c>
      <c r="D119" s="36">
        <f>IF($A119="","",IFERROR(INDEX('רווחה - קליטה'!$AT$5:$AT$204,MATCH($A119&amp;"|תחילת שנה",'רווחה - קליטה'!$AF$5:$AF$204,0)),""))</f>
        <v/>
      </c>
      <c r="E119" s="45">
        <f>IF($A119="","",IFERROR(AVERAGEIFS('רווחה - קליטה'!$AR$5:$AR$204,'רווחה - קליטה'!$A$5:$A$204,$A119,'רווחה - קליטה'!$C$5:$C$204,"אמצע שנה"),""))</f>
        <v/>
      </c>
      <c r="F119" s="37">
        <f>IF($A119="","",IFERROR(AVERAGEIFS('רווחה - קליטה'!$AL$5:$AL$204,'רווחה - קליטה'!$A$5:$A$204,$A119,'רווחה - קליטה'!$C$5:$C$204,"אמצע שנה"),""))</f>
        <v/>
      </c>
      <c r="G119" s="36">
        <f>IF($A119="","",IFERROR(INDEX('רווחה - קליטה'!$AT$5:$AT$204,MATCH($A119&amp;"|אמצע שנה",'רווחה - קליטה'!$AF$5:$AF$204,0)),""))</f>
        <v/>
      </c>
      <c r="H119" s="45">
        <f>IF($A119="","",IFERROR(AVERAGEIFS('רווחה - קליטה'!$AR$5:$AR$204,'רווחה - קליטה'!$A$5:$A$204,$A119,'רווחה - קליטה'!$C$5:$C$204,"סוף שנה"),""))</f>
        <v/>
      </c>
      <c r="I119" s="37">
        <f>IF($A119="","",IFERROR(AVERAGEIFS('רווחה - קליטה'!$AL$5:$AL$204,'רווחה - קליטה'!$A$5:$A$204,$A119,'רווחה - קליטה'!$C$5:$C$204,"סוף שנה"),""))</f>
        <v/>
      </c>
      <c r="J119" s="36">
        <f>IF($A119="","",IFERROR(INDEX('רווחה - קליטה'!$AT$5:$AT$204,MATCH($A119&amp;"|סוף שנה",'רווחה - קליטה'!$AF$5:$AF$204,0)),""))</f>
        <v/>
      </c>
      <c r="K119" s="46">
        <f>IF(AND(ISNUMBER(B119),ISNUMBER(H119)),H119-B119,"")</f>
        <v/>
      </c>
      <c r="L119" s="36">
        <f>IF(K119="","",IF(K119&gt;=0.5,"עלייה",IF(K119&lt;=-0.5,"ירידה","יציב")))</f>
        <v/>
      </c>
    </row>
    <row r="120">
      <c r="A120" s="38" t="n"/>
      <c r="B120" s="45">
        <f>IF($A120="","",IFERROR(AVERAGEIFS('רווחה - קליטה'!$AR$5:$AR$204,'רווחה - קליטה'!$A$5:$A$204,$A120,'רווחה - קליטה'!$C$5:$C$204,"תחילת שנה"),""))</f>
        <v/>
      </c>
      <c r="C120" s="37">
        <f>IF($A120="","",IFERROR(AVERAGEIFS('רווחה - קליטה'!$AL$5:$AL$204,'רווחה - קליטה'!$A$5:$A$204,$A120,'רווחה - קליטה'!$C$5:$C$204,"תחילת שנה"),""))</f>
        <v/>
      </c>
      <c r="D120" s="36">
        <f>IF($A120="","",IFERROR(INDEX('רווחה - קליטה'!$AT$5:$AT$204,MATCH($A120&amp;"|תחילת שנה",'רווחה - קליטה'!$AF$5:$AF$204,0)),""))</f>
        <v/>
      </c>
      <c r="E120" s="45">
        <f>IF($A120="","",IFERROR(AVERAGEIFS('רווחה - קליטה'!$AR$5:$AR$204,'רווחה - קליטה'!$A$5:$A$204,$A120,'רווחה - קליטה'!$C$5:$C$204,"אמצע שנה"),""))</f>
        <v/>
      </c>
      <c r="F120" s="37">
        <f>IF($A120="","",IFERROR(AVERAGEIFS('רווחה - קליטה'!$AL$5:$AL$204,'רווחה - קליטה'!$A$5:$A$204,$A120,'רווחה - קליטה'!$C$5:$C$204,"אמצע שנה"),""))</f>
        <v/>
      </c>
      <c r="G120" s="36">
        <f>IF($A120="","",IFERROR(INDEX('רווחה - קליטה'!$AT$5:$AT$204,MATCH($A120&amp;"|אמצע שנה",'רווחה - קליטה'!$AF$5:$AF$204,0)),""))</f>
        <v/>
      </c>
      <c r="H120" s="45">
        <f>IF($A120="","",IFERROR(AVERAGEIFS('רווחה - קליטה'!$AR$5:$AR$204,'רווחה - קליטה'!$A$5:$A$204,$A120,'רווחה - קליטה'!$C$5:$C$204,"סוף שנה"),""))</f>
        <v/>
      </c>
      <c r="I120" s="37">
        <f>IF($A120="","",IFERROR(AVERAGEIFS('רווחה - קליטה'!$AL$5:$AL$204,'רווחה - קליטה'!$A$5:$A$204,$A120,'רווחה - קליטה'!$C$5:$C$204,"סוף שנה"),""))</f>
        <v/>
      </c>
      <c r="J120" s="36">
        <f>IF($A120="","",IFERROR(INDEX('רווחה - קליטה'!$AT$5:$AT$204,MATCH($A120&amp;"|סוף שנה",'רווחה - קליטה'!$AF$5:$AF$204,0)),""))</f>
        <v/>
      </c>
      <c r="K120" s="46">
        <f>IF(AND(ISNUMBER(B120),ISNUMBER(H120)),H120-B120,"")</f>
        <v/>
      </c>
      <c r="L120" s="36">
        <f>IF(K120="","",IF(K120&gt;=0.5,"עלייה",IF(K120&lt;=-0.5,"ירידה","יציב")))</f>
        <v/>
      </c>
    </row>
    <row r="121">
      <c r="A121" s="38" t="n"/>
      <c r="B121" s="45">
        <f>IF($A121="","",IFERROR(AVERAGEIFS('רווחה - קליטה'!$AR$5:$AR$204,'רווחה - קליטה'!$A$5:$A$204,$A121,'רווחה - קליטה'!$C$5:$C$204,"תחילת שנה"),""))</f>
        <v/>
      </c>
      <c r="C121" s="37">
        <f>IF($A121="","",IFERROR(AVERAGEIFS('רווחה - קליטה'!$AL$5:$AL$204,'רווחה - קליטה'!$A$5:$A$204,$A121,'רווחה - קליטה'!$C$5:$C$204,"תחילת שנה"),""))</f>
        <v/>
      </c>
      <c r="D121" s="36">
        <f>IF($A121="","",IFERROR(INDEX('רווחה - קליטה'!$AT$5:$AT$204,MATCH($A121&amp;"|תחילת שנה",'רווחה - קליטה'!$AF$5:$AF$204,0)),""))</f>
        <v/>
      </c>
      <c r="E121" s="45">
        <f>IF($A121="","",IFERROR(AVERAGEIFS('רווחה - קליטה'!$AR$5:$AR$204,'רווחה - קליטה'!$A$5:$A$204,$A121,'רווחה - קליטה'!$C$5:$C$204,"אמצע שנה"),""))</f>
        <v/>
      </c>
      <c r="F121" s="37">
        <f>IF($A121="","",IFERROR(AVERAGEIFS('רווחה - קליטה'!$AL$5:$AL$204,'רווחה - קליטה'!$A$5:$A$204,$A121,'רווחה - קליטה'!$C$5:$C$204,"אמצע שנה"),""))</f>
        <v/>
      </c>
      <c r="G121" s="36">
        <f>IF($A121="","",IFERROR(INDEX('רווחה - קליטה'!$AT$5:$AT$204,MATCH($A121&amp;"|אמצע שנה",'רווחה - קליטה'!$AF$5:$AF$204,0)),""))</f>
        <v/>
      </c>
      <c r="H121" s="45">
        <f>IF($A121="","",IFERROR(AVERAGEIFS('רווחה - קליטה'!$AR$5:$AR$204,'רווחה - קליטה'!$A$5:$A$204,$A121,'רווחה - קליטה'!$C$5:$C$204,"סוף שנה"),""))</f>
        <v/>
      </c>
      <c r="I121" s="37">
        <f>IF($A121="","",IFERROR(AVERAGEIFS('רווחה - קליטה'!$AL$5:$AL$204,'רווחה - קליטה'!$A$5:$A$204,$A121,'רווחה - קליטה'!$C$5:$C$204,"סוף שנה"),""))</f>
        <v/>
      </c>
      <c r="J121" s="36">
        <f>IF($A121="","",IFERROR(INDEX('רווחה - קליטה'!$AT$5:$AT$204,MATCH($A121&amp;"|סוף שנה",'רווחה - קליטה'!$AF$5:$AF$204,0)),""))</f>
        <v/>
      </c>
      <c r="K121" s="46">
        <f>IF(AND(ISNUMBER(B121),ISNUMBER(H121)),H121-B121,"")</f>
        <v/>
      </c>
      <c r="L121" s="36">
        <f>IF(K121="","",IF(K121&gt;=0.5,"עלייה",IF(K121&lt;=-0.5,"ירידה","יציב")))</f>
        <v/>
      </c>
    </row>
    <row r="122">
      <c r="A122" s="38" t="n"/>
      <c r="B122" s="45">
        <f>IF($A122="","",IFERROR(AVERAGEIFS('רווחה - קליטה'!$AR$5:$AR$204,'רווחה - קליטה'!$A$5:$A$204,$A122,'רווחה - קליטה'!$C$5:$C$204,"תחילת שנה"),""))</f>
        <v/>
      </c>
      <c r="C122" s="37">
        <f>IF($A122="","",IFERROR(AVERAGEIFS('רווחה - קליטה'!$AL$5:$AL$204,'רווחה - קליטה'!$A$5:$A$204,$A122,'רווחה - קליטה'!$C$5:$C$204,"תחילת שנה"),""))</f>
        <v/>
      </c>
      <c r="D122" s="36">
        <f>IF($A122="","",IFERROR(INDEX('רווחה - קליטה'!$AT$5:$AT$204,MATCH($A122&amp;"|תחילת שנה",'רווחה - קליטה'!$AF$5:$AF$204,0)),""))</f>
        <v/>
      </c>
      <c r="E122" s="45">
        <f>IF($A122="","",IFERROR(AVERAGEIFS('רווחה - קליטה'!$AR$5:$AR$204,'רווחה - קליטה'!$A$5:$A$204,$A122,'רווחה - קליטה'!$C$5:$C$204,"אמצע שנה"),""))</f>
        <v/>
      </c>
      <c r="F122" s="37">
        <f>IF($A122="","",IFERROR(AVERAGEIFS('רווחה - קליטה'!$AL$5:$AL$204,'רווחה - קליטה'!$A$5:$A$204,$A122,'רווחה - קליטה'!$C$5:$C$204,"אמצע שנה"),""))</f>
        <v/>
      </c>
      <c r="G122" s="36">
        <f>IF($A122="","",IFERROR(INDEX('רווחה - קליטה'!$AT$5:$AT$204,MATCH($A122&amp;"|אמצע שנה",'רווחה - קליטה'!$AF$5:$AF$204,0)),""))</f>
        <v/>
      </c>
      <c r="H122" s="45">
        <f>IF($A122="","",IFERROR(AVERAGEIFS('רווחה - קליטה'!$AR$5:$AR$204,'רווחה - קליטה'!$A$5:$A$204,$A122,'רווחה - קליטה'!$C$5:$C$204,"סוף שנה"),""))</f>
        <v/>
      </c>
      <c r="I122" s="37">
        <f>IF($A122="","",IFERROR(AVERAGEIFS('רווחה - קליטה'!$AL$5:$AL$204,'רווחה - קליטה'!$A$5:$A$204,$A122,'רווחה - קליטה'!$C$5:$C$204,"סוף שנה"),""))</f>
        <v/>
      </c>
      <c r="J122" s="36">
        <f>IF($A122="","",IFERROR(INDEX('רווחה - קליטה'!$AT$5:$AT$204,MATCH($A122&amp;"|סוף שנה",'רווחה - קליטה'!$AF$5:$AF$204,0)),""))</f>
        <v/>
      </c>
      <c r="K122" s="46">
        <f>IF(AND(ISNUMBER(B122),ISNUMBER(H122)),H122-B122,"")</f>
        <v/>
      </c>
      <c r="L122" s="36">
        <f>IF(K122="","",IF(K122&gt;=0.5,"עלייה",IF(K122&lt;=-0.5,"ירידה","יציב")))</f>
        <v/>
      </c>
    </row>
    <row r="123">
      <c r="A123" s="38" t="n"/>
      <c r="B123" s="45">
        <f>IF($A123="","",IFERROR(AVERAGEIFS('רווחה - קליטה'!$AR$5:$AR$204,'רווחה - קליטה'!$A$5:$A$204,$A123,'רווחה - קליטה'!$C$5:$C$204,"תחילת שנה"),""))</f>
        <v/>
      </c>
      <c r="C123" s="37">
        <f>IF($A123="","",IFERROR(AVERAGEIFS('רווחה - קליטה'!$AL$5:$AL$204,'רווחה - קליטה'!$A$5:$A$204,$A123,'רווחה - קליטה'!$C$5:$C$204,"תחילת שנה"),""))</f>
        <v/>
      </c>
      <c r="D123" s="36">
        <f>IF($A123="","",IFERROR(INDEX('רווחה - קליטה'!$AT$5:$AT$204,MATCH($A123&amp;"|תחילת שנה",'רווחה - קליטה'!$AF$5:$AF$204,0)),""))</f>
        <v/>
      </c>
      <c r="E123" s="45">
        <f>IF($A123="","",IFERROR(AVERAGEIFS('רווחה - קליטה'!$AR$5:$AR$204,'רווחה - קליטה'!$A$5:$A$204,$A123,'רווחה - קליטה'!$C$5:$C$204,"אמצע שנה"),""))</f>
        <v/>
      </c>
      <c r="F123" s="37">
        <f>IF($A123="","",IFERROR(AVERAGEIFS('רווחה - קליטה'!$AL$5:$AL$204,'רווחה - קליטה'!$A$5:$A$204,$A123,'רווחה - קליטה'!$C$5:$C$204,"אמצע שנה"),""))</f>
        <v/>
      </c>
      <c r="G123" s="36">
        <f>IF($A123="","",IFERROR(INDEX('רווחה - קליטה'!$AT$5:$AT$204,MATCH($A123&amp;"|אמצע שנה",'רווחה - קליטה'!$AF$5:$AF$204,0)),""))</f>
        <v/>
      </c>
      <c r="H123" s="45">
        <f>IF($A123="","",IFERROR(AVERAGEIFS('רווחה - קליטה'!$AR$5:$AR$204,'רווחה - קליטה'!$A$5:$A$204,$A123,'רווחה - קליטה'!$C$5:$C$204,"סוף שנה"),""))</f>
        <v/>
      </c>
      <c r="I123" s="37">
        <f>IF($A123="","",IFERROR(AVERAGEIFS('רווחה - קליטה'!$AL$5:$AL$204,'רווחה - קליטה'!$A$5:$A$204,$A123,'רווחה - קליטה'!$C$5:$C$204,"סוף שנה"),""))</f>
        <v/>
      </c>
      <c r="J123" s="36">
        <f>IF($A123="","",IFERROR(INDEX('רווחה - קליטה'!$AT$5:$AT$204,MATCH($A123&amp;"|סוף שנה",'רווחה - קליטה'!$AF$5:$AF$204,0)),""))</f>
        <v/>
      </c>
      <c r="K123" s="46">
        <f>IF(AND(ISNUMBER(B123),ISNUMBER(H123)),H123-B123,"")</f>
        <v/>
      </c>
      <c r="L123" s="36">
        <f>IF(K123="","",IF(K123&gt;=0.5,"עלייה",IF(K123&lt;=-0.5,"ירידה","יציב")))</f>
        <v/>
      </c>
    </row>
    <row r="124">
      <c r="A124" s="38" t="n"/>
      <c r="B124" s="45">
        <f>IF($A124="","",IFERROR(AVERAGEIFS('רווחה - קליטה'!$AR$5:$AR$204,'רווחה - קליטה'!$A$5:$A$204,$A124,'רווחה - קליטה'!$C$5:$C$204,"תחילת שנה"),""))</f>
        <v/>
      </c>
      <c r="C124" s="37">
        <f>IF($A124="","",IFERROR(AVERAGEIFS('רווחה - קליטה'!$AL$5:$AL$204,'רווחה - קליטה'!$A$5:$A$204,$A124,'רווחה - קליטה'!$C$5:$C$204,"תחילת שנה"),""))</f>
        <v/>
      </c>
      <c r="D124" s="36">
        <f>IF($A124="","",IFERROR(INDEX('רווחה - קליטה'!$AT$5:$AT$204,MATCH($A124&amp;"|תחילת שנה",'רווחה - קליטה'!$AF$5:$AF$204,0)),""))</f>
        <v/>
      </c>
      <c r="E124" s="45">
        <f>IF($A124="","",IFERROR(AVERAGEIFS('רווחה - קליטה'!$AR$5:$AR$204,'רווחה - קליטה'!$A$5:$A$204,$A124,'רווחה - קליטה'!$C$5:$C$204,"אמצע שנה"),""))</f>
        <v/>
      </c>
      <c r="F124" s="37">
        <f>IF($A124="","",IFERROR(AVERAGEIFS('רווחה - קליטה'!$AL$5:$AL$204,'רווחה - קליטה'!$A$5:$A$204,$A124,'רווחה - קליטה'!$C$5:$C$204,"אמצע שנה"),""))</f>
        <v/>
      </c>
      <c r="G124" s="36">
        <f>IF($A124="","",IFERROR(INDEX('רווחה - קליטה'!$AT$5:$AT$204,MATCH($A124&amp;"|אמצע שנה",'רווחה - קליטה'!$AF$5:$AF$204,0)),""))</f>
        <v/>
      </c>
      <c r="H124" s="45">
        <f>IF($A124="","",IFERROR(AVERAGEIFS('רווחה - קליטה'!$AR$5:$AR$204,'רווחה - קליטה'!$A$5:$A$204,$A124,'רווחה - קליטה'!$C$5:$C$204,"סוף שנה"),""))</f>
        <v/>
      </c>
      <c r="I124" s="37">
        <f>IF($A124="","",IFERROR(AVERAGEIFS('רווחה - קליטה'!$AL$5:$AL$204,'רווחה - קליטה'!$A$5:$A$204,$A124,'רווחה - קליטה'!$C$5:$C$204,"סוף שנה"),""))</f>
        <v/>
      </c>
      <c r="J124" s="36">
        <f>IF($A124="","",IFERROR(INDEX('רווחה - קליטה'!$AT$5:$AT$204,MATCH($A124&amp;"|סוף שנה",'רווחה - קליטה'!$AF$5:$AF$204,0)),""))</f>
        <v/>
      </c>
      <c r="K124" s="46">
        <f>IF(AND(ISNUMBER(B124),ISNUMBER(H124)),H124-B124,"")</f>
        <v/>
      </c>
      <c r="L124" s="36">
        <f>IF(K124="","",IF(K124&gt;=0.5,"עלייה",IF(K124&lt;=-0.5,"ירידה","יציב")))</f>
        <v/>
      </c>
    </row>
    <row r="125">
      <c r="A125" s="38" t="n"/>
      <c r="B125" s="45">
        <f>IF($A125="","",IFERROR(AVERAGEIFS('רווחה - קליטה'!$AR$5:$AR$204,'רווחה - קליטה'!$A$5:$A$204,$A125,'רווחה - קליטה'!$C$5:$C$204,"תחילת שנה"),""))</f>
        <v/>
      </c>
      <c r="C125" s="37">
        <f>IF($A125="","",IFERROR(AVERAGEIFS('רווחה - קליטה'!$AL$5:$AL$204,'רווחה - קליטה'!$A$5:$A$204,$A125,'רווחה - קליטה'!$C$5:$C$204,"תחילת שנה"),""))</f>
        <v/>
      </c>
      <c r="D125" s="36">
        <f>IF($A125="","",IFERROR(INDEX('רווחה - קליטה'!$AT$5:$AT$204,MATCH($A125&amp;"|תחילת שנה",'רווחה - קליטה'!$AF$5:$AF$204,0)),""))</f>
        <v/>
      </c>
      <c r="E125" s="45">
        <f>IF($A125="","",IFERROR(AVERAGEIFS('רווחה - קליטה'!$AR$5:$AR$204,'רווחה - קליטה'!$A$5:$A$204,$A125,'רווחה - קליטה'!$C$5:$C$204,"אמצע שנה"),""))</f>
        <v/>
      </c>
      <c r="F125" s="37">
        <f>IF($A125="","",IFERROR(AVERAGEIFS('רווחה - קליטה'!$AL$5:$AL$204,'רווחה - קליטה'!$A$5:$A$204,$A125,'רווחה - קליטה'!$C$5:$C$204,"אמצע שנה"),""))</f>
        <v/>
      </c>
      <c r="G125" s="36">
        <f>IF($A125="","",IFERROR(INDEX('רווחה - קליטה'!$AT$5:$AT$204,MATCH($A125&amp;"|אמצע שנה",'רווחה - קליטה'!$AF$5:$AF$204,0)),""))</f>
        <v/>
      </c>
      <c r="H125" s="45">
        <f>IF($A125="","",IFERROR(AVERAGEIFS('רווחה - קליטה'!$AR$5:$AR$204,'רווחה - קליטה'!$A$5:$A$204,$A125,'רווחה - קליטה'!$C$5:$C$204,"סוף שנה"),""))</f>
        <v/>
      </c>
      <c r="I125" s="37">
        <f>IF($A125="","",IFERROR(AVERAGEIFS('רווחה - קליטה'!$AL$5:$AL$204,'רווחה - קליטה'!$A$5:$A$204,$A125,'רווחה - קליטה'!$C$5:$C$204,"סוף שנה"),""))</f>
        <v/>
      </c>
      <c r="J125" s="36">
        <f>IF($A125="","",IFERROR(INDEX('רווחה - קליטה'!$AT$5:$AT$204,MATCH($A125&amp;"|סוף שנה",'רווחה - קליטה'!$AF$5:$AF$204,0)),""))</f>
        <v/>
      </c>
      <c r="K125" s="46">
        <f>IF(AND(ISNUMBER(B125),ISNUMBER(H125)),H125-B125,"")</f>
        <v/>
      </c>
      <c r="L125" s="36">
        <f>IF(K125="","",IF(K125&gt;=0.5,"עלייה",IF(K125&lt;=-0.5,"ירידה","יציב")))</f>
        <v/>
      </c>
    </row>
    <row r="126">
      <c r="A126" s="38" t="n"/>
      <c r="B126" s="45">
        <f>IF($A126="","",IFERROR(AVERAGEIFS('רווחה - קליטה'!$AR$5:$AR$204,'רווחה - קליטה'!$A$5:$A$204,$A126,'רווחה - קליטה'!$C$5:$C$204,"תחילת שנה"),""))</f>
        <v/>
      </c>
      <c r="C126" s="37">
        <f>IF($A126="","",IFERROR(AVERAGEIFS('רווחה - קליטה'!$AL$5:$AL$204,'רווחה - קליטה'!$A$5:$A$204,$A126,'רווחה - קליטה'!$C$5:$C$204,"תחילת שנה"),""))</f>
        <v/>
      </c>
      <c r="D126" s="36">
        <f>IF($A126="","",IFERROR(INDEX('רווחה - קליטה'!$AT$5:$AT$204,MATCH($A126&amp;"|תחילת שנה",'רווחה - קליטה'!$AF$5:$AF$204,0)),""))</f>
        <v/>
      </c>
      <c r="E126" s="45">
        <f>IF($A126="","",IFERROR(AVERAGEIFS('רווחה - קליטה'!$AR$5:$AR$204,'רווחה - קליטה'!$A$5:$A$204,$A126,'רווחה - קליטה'!$C$5:$C$204,"אמצע שנה"),""))</f>
        <v/>
      </c>
      <c r="F126" s="37">
        <f>IF($A126="","",IFERROR(AVERAGEIFS('רווחה - קליטה'!$AL$5:$AL$204,'רווחה - קליטה'!$A$5:$A$204,$A126,'רווחה - קליטה'!$C$5:$C$204,"אמצע שנה"),""))</f>
        <v/>
      </c>
      <c r="G126" s="36">
        <f>IF($A126="","",IFERROR(INDEX('רווחה - קליטה'!$AT$5:$AT$204,MATCH($A126&amp;"|אמצע שנה",'רווחה - קליטה'!$AF$5:$AF$204,0)),""))</f>
        <v/>
      </c>
      <c r="H126" s="45">
        <f>IF($A126="","",IFERROR(AVERAGEIFS('רווחה - קליטה'!$AR$5:$AR$204,'רווחה - קליטה'!$A$5:$A$204,$A126,'רווחה - קליטה'!$C$5:$C$204,"סוף שנה"),""))</f>
        <v/>
      </c>
      <c r="I126" s="37">
        <f>IF($A126="","",IFERROR(AVERAGEIFS('רווחה - קליטה'!$AL$5:$AL$204,'רווחה - קליטה'!$A$5:$A$204,$A126,'רווחה - קליטה'!$C$5:$C$204,"סוף שנה"),""))</f>
        <v/>
      </c>
      <c r="J126" s="36">
        <f>IF($A126="","",IFERROR(INDEX('רווחה - קליטה'!$AT$5:$AT$204,MATCH($A126&amp;"|סוף שנה",'רווחה - קליטה'!$AF$5:$AF$204,0)),""))</f>
        <v/>
      </c>
      <c r="K126" s="46">
        <f>IF(AND(ISNUMBER(B126),ISNUMBER(H126)),H126-B126,"")</f>
        <v/>
      </c>
      <c r="L126" s="36">
        <f>IF(K126="","",IF(K126&gt;=0.5,"עלייה",IF(K126&lt;=-0.5,"ירידה","יציב")))</f>
        <v/>
      </c>
    </row>
    <row r="127">
      <c r="A127" s="38" t="n"/>
      <c r="B127" s="45">
        <f>IF($A127="","",IFERROR(AVERAGEIFS('רווחה - קליטה'!$AR$5:$AR$204,'רווחה - קליטה'!$A$5:$A$204,$A127,'רווחה - קליטה'!$C$5:$C$204,"תחילת שנה"),""))</f>
        <v/>
      </c>
      <c r="C127" s="37">
        <f>IF($A127="","",IFERROR(AVERAGEIFS('רווחה - קליטה'!$AL$5:$AL$204,'רווחה - קליטה'!$A$5:$A$204,$A127,'רווחה - קליטה'!$C$5:$C$204,"תחילת שנה"),""))</f>
        <v/>
      </c>
      <c r="D127" s="36">
        <f>IF($A127="","",IFERROR(INDEX('רווחה - קליטה'!$AT$5:$AT$204,MATCH($A127&amp;"|תחילת שנה",'רווחה - קליטה'!$AF$5:$AF$204,0)),""))</f>
        <v/>
      </c>
      <c r="E127" s="45">
        <f>IF($A127="","",IFERROR(AVERAGEIFS('רווחה - קליטה'!$AR$5:$AR$204,'רווחה - קליטה'!$A$5:$A$204,$A127,'רווחה - קליטה'!$C$5:$C$204,"אמצע שנה"),""))</f>
        <v/>
      </c>
      <c r="F127" s="37">
        <f>IF($A127="","",IFERROR(AVERAGEIFS('רווחה - קליטה'!$AL$5:$AL$204,'רווחה - קליטה'!$A$5:$A$204,$A127,'רווחה - קליטה'!$C$5:$C$204,"אמצע שנה"),""))</f>
        <v/>
      </c>
      <c r="G127" s="36">
        <f>IF($A127="","",IFERROR(INDEX('רווחה - קליטה'!$AT$5:$AT$204,MATCH($A127&amp;"|אמצע שנה",'רווחה - קליטה'!$AF$5:$AF$204,0)),""))</f>
        <v/>
      </c>
      <c r="H127" s="45">
        <f>IF($A127="","",IFERROR(AVERAGEIFS('רווחה - קליטה'!$AR$5:$AR$204,'רווחה - קליטה'!$A$5:$A$204,$A127,'רווחה - קליטה'!$C$5:$C$204,"סוף שנה"),""))</f>
        <v/>
      </c>
      <c r="I127" s="37">
        <f>IF($A127="","",IFERROR(AVERAGEIFS('רווחה - קליטה'!$AL$5:$AL$204,'רווחה - קליטה'!$A$5:$A$204,$A127,'רווחה - קליטה'!$C$5:$C$204,"סוף שנה"),""))</f>
        <v/>
      </c>
      <c r="J127" s="36">
        <f>IF($A127="","",IFERROR(INDEX('רווחה - קליטה'!$AT$5:$AT$204,MATCH($A127&amp;"|סוף שנה",'רווחה - קליטה'!$AF$5:$AF$204,0)),""))</f>
        <v/>
      </c>
      <c r="K127" s="46">
        <f>IF(AND(ISNUMBER(B127),ISNUMBER(H127)),H127-B127,"")</f>
        <v/>
      </c>
      <c r="L127" s="36">
        <f>IF(K127="","",IF(K127&gt;=0.5,"עלייה",IF(K127&lt;=-0.5,"ירידה","יציב")))</f>
        <v/>
      </c>
    </row>
    <row r="128">
      <c r="A128" s="38" t="n"/>
      <c r="B128" s="45">
        <f>IF($A128="","",IFERROR(AVERAGEIFS('רווחה - קליטה'!$AR$5:$AR$204,'רווחה - קליטה'!$A$5:$A$204,$A128,'רווחה - קליטה'!$C$5:$C$204,"תחילת שנה"),""))</f>
        <v/>
      </c>
      <c r="C128" s="37">
        <f>IF($A128="","",IFERROR(AVERAGEIFS('רווחה - קליטה'!$AL$5:$AL$204,'רווחה - קליטה'!$A$5:$A$204,$A128,'רווחה - קליטה'!$C$5:$C$204,"תחילת שנה"),""))</f>
        <v/>
      </c>
      <c r="D128" s="36">
        <f>IF($A128="","",IFERROR(INDEX('רווחה - קליטה'!$AT$5:$AT$204,MATCH($A128&amp;"|תחילת שנה",'רווחה - קליטה'!$AF$5:$AF$204,0)),""))</f>
        <v/>
      </c>
      <c r="E128" s="45">
        <f>IF($A128="","",IFERROR(AVERAGEIFS('רווחה - קליטה'!$AR$5:$AR$204,'רווחה - קליטה'!$A$5:$A$204,$A128,'רווחה - קליטה'!$C$5:$C$204,"אמצע שנה"),""))</f>
        <v/>
      </c>
      <c r="F128" s="37">
        <f>IF($A128="","",IFERROR(AVERAGEIFS('רווחה - קליטה'!$AL$5:$AL$204,'רווחה - קליטה'!$A$5:$A$204,$A128,'רווחה - קליטה'!$C$5:$C$204,"אמצע שנה"),""))</f>
        <v/>
      </c>
      <c r="G128" s="36">
        <f>IF($A128="","",IFERROR(INDEX('רווחה - קליטה'!$AT$5:$AT$204,MATCH($A128&amp;"|אמצע שנה",'רווחה - קליטה'!$AF$5:$AF$204,0)),""))</f>
        <v/>
      </c>
      <c r="H128" s="45">
        <f>IF($A128="","",IFERROR(AVERAGEIFS('רווחה - קליטה'!$AR$5:$AR$204,'רווחה - קליטה'!$A$5:$A$204,$A128,'רווחה - קליטה'!$C$5:$C$204,"סוף שנה"),""))</f>
        <v/>
      </c>
      <c r="I128" s="37">
        <f>IF($A128="","",IFERROR(AVERAGEIFS('רווחה - קליטה'!$AL$5:$AL$204,'רווחה - קליטה'!$A$5:$A$204,$A128,'רווחה - קליטה'!$C$5:$C$204,"סוף שנה"),""))</f>
        <v/>
      </c>
      <c r="J128" s="36">
        <f>IF($A128="","",IFERROR(INDEX('רווחה - קליטה'!$AT$5:$AT$204,MATCH($A128&amp;"|סוף שנה",'רווחה - קליטה'!$AF$5:$AF$204,0)),""))</f>
        <v/>
      </c>
      <c r="K128" s="46">
        <f>IF(AND(ISNUMBER(B128),ISNUMBER(H128)),H128-B128,"")</f>
        <v/>
      </c>
      <c r="L128" s="36">
        <f>IF(K128="","",IF(K128&gt;=0.5,"עלייה",IF(K128&lt;=-0.5,"ירידה","יציב")))</f>
        <v/>
      </c>
    </row>
    <row r="129">
      <c r="A129" s="38" t="n"/>
      <c r="B129" s="45">
        <f>IF($A129="","",IFERROR(AVERAGEIFS('רווחה - קליטה'!$AR$5:$AR$204,'רווחה - קליטה'!$A$5:$A$204,$A129,'רווחה - קליטה'!$C$5:$C$204,"תחילת שנה"),""))</f>
        <v/>
      </c>
      <c r="C129" s="37">
        <f>IF($A129="","",IFERROR(AVERAGEIFS('רווחה - קליטה'!$AL$5:$AL$204,'רווחה - קליטה'!$A$5:$A$204,$A129,'רווחה - קליטה'!$C$5:$C$204,"תחילת שנה"),""))</f>
        <v/>
      </c>
      <c r="D129" s="36">
        <f>IF($A129="","",IFERROR(INDEX('רווחה - קליטה'!$AT$5:$AT$204,MATCH($A129&amp;"|תחילת שנה",'רווחה - קליטה'!$AF$5:$AF$204,0)),""))</f>
        <v/>
      </c>
      <c r="E129" s="45">
        <f>IF($A129="","",IFERROR(AVERAGEIFS('רווחה - קליטה'!$AR$5:$AR$204,'רווחה - קליטה'!$A$5:$A$204,$A129,'רווחה - קליטה'!$C$5:$C$204,"אמצע שנה"),""))</f>
        <v/>
      </c>
      <c r="F129" s="37">
        <f>IF($A129="","",IFERROR(AVERAGEIFS('רווחה - קליטה'!$AL$5:$AL$204,'רווחה - קליטה'!$A$5:$A$204,$A129,'רווחה - קליטה'!$C$5:$C$204,"אמצע שנה"),""))</f>
        <v/>
      </c>
      <c r="G129" s="36">
        <f>IF($A129="","",IFERROR(INDEX('רווחה - קליטה'!$AT$5:$AT$204,MATCH($A129&amp;"|אמצע שנה",'רווחה - קליטה'!$AF$5:$AF$204,0)),""))</f>
        <v/>
      </c>
      <c r="H129" s="45">
        <f>IF($A129="","",IFERROR(AVERAGEIFS('רווחה - קליטה'!$AR$5:$AR$204,'רווחה - קליטה'!$A$5:$A$204,$A129,'רווחה - קליטה'!$C$5:$C$204,"סוף שנה"),""))</f>
        <v/>
      </c>
      <c r="I129" s="37">
        <f>IF($A129="","",IFERROR(AVERAGEIFS('רווחה - קליטה'!$AL$5:$AL$204,'רווחה - קליטה'!$A$5:$A$204,$A129,'רווחה - קליטה'!$C$5:$C$204,"סוף שנה"),""))</f>
        <v/>
      </c>
      <c r="J129" s="36">
        <f>IF($A129="","",IFERROR(INDEX('רווחה - קליטה'!$AT$5:$AT$204,MATCH($A129&amp;"|סוף שנה",'רווחה - קליטה'!$AF$5:$AF$204,0)),""))</f>
        <v/>
      </c>
      <c r="K129" s="46">
        <f>IF(AND(ISNUMBER(B129),ISNUMBER(H129)),H129-B129,"")</f>
        <v/>
      </c>
      <c r="L129" s="36">
        <f>IF(K129="","",IF(K129&gt;=0.5,"עלייה",IF(K129&lt;=-0.5,"ירידה","יציב")))</f>
        <v/>
      </c>
    </row>
    <row r="130">
      <c r="A130" s="38" t="n"/>
      <c r="B130" s="45">
        <f>IF($A130="","",IFERROR(AVERAGEIFS('רווחה - קליטה'!$AR$5:$AR$204,'רווחה - קליטה'!$A$5:$A$204,$A130,'רווחה - קליטה'!$C$5:$C$204,"תחילת שנה"),""))</f>
        <v/>
      </c>
      <c r="C130" s="37">
        <f>IF($A130="","",IFERROR(AVERAGEIFS('רווחה - קליטה'!$AL$5:$AL$204,'רווחה - קליטה'!$A$5:$A$204,$A130,'רווחה - קליטה'!$C$5:$C$204,"תחילת שנה"),""))</f>
        <v/>
      </c>
      <c r="D130" s="36">
        <f>IF($A130="","",IFERROR(INDEX('רווחה - קליטה'!$AT$5:$AT$204,MATCH($A130&amp;"|תחילת שנה",'רווחה - קליטה'!$AF$5:$AF$204,0)),""))</f>
        <v/>
      </c>
      <c r="E130" s="45">
        <f>IF($A130="","",IFERROR(AVERAGEIFS('רווחה - קליטה'!$AR$5:$AR$204,'רווחה - קליטה'!$A$5:$A$204,$A130,'רווחה - קליטה'!$C$5:$C$204,"אמצע שנה"),""))</f>
        <v/>
      </c>
      <c r="F130" s="37">
        <f>IF($A130="","",IFERROR(AVERAGEIFS('רווחה - קליטה'!$AL$5:$AL$204,'רווחה - קליטה'!$A$5:$A$204,$A130,'רווחה - קליטה'!$C$5:$C$204,"אמצע שנה"),""))</f>
        <v/>
      </c>
      <c r="G130" s="36">
        <f>IF($A130="","",IFERROR(INDEX('רווחה - קליטה'!$AT$5:$AT$204,MATCH($A130&amp;"|אמצע שנה",'רווחה - קליטה'!$AF$5:$AF$204,0)),""))</f>
        <v/>
      </c>
      <c r="H130" s="45">
        <f>IF($A130="","",IFERROR(AVERAGEIFS('רווחה - קליטה'!$AR$5:$AR$204,'רווחה - קליטה'!$A$5:$A$204,$A130,'רווחה - קליטה'!$C$5:$C$204,"סוף שנה"),""))</f>
        <v/>
      </c>
      <c r="I130" s="37">
        <f>IF($A130="","",IFERROR(AVERAGEIFS('רווחה - קליטה'!$AL$5:$AL$204,'רווחה - קליטה'!$A$5:$A$204,$A130,'רווחה - קליטה'!$C$5:$C$204,"סוף שנה"),""))</f>
        <v/>
      </c>
      <c r="J130" s="36">
        <f>IF($A130="","",IFERROR(INDEX('רווחה - קליטה'!$AT$5:$AT$204,MATCH($A130&amp;"|סוף שנה",'רווחה - קליטה'!$AF$5:$AF$204,0)),""))</f>
        <v/>
      </c>
      <c r="K130" s="46">
        <f>IF(AND(ISNUMBER(B130),ISNUMBER(H130)),H130-B130,"")</f>
        <v/>
      </c>
      <c r="L130" s="36">
        <f>IF(K130="","",IF(K130&gt;=0.5,"עלייה",IF(K130&lt;=-0.5,"ירידה","יציב")))</f>
        <v/>
      </c>
    </row>
    <row r="131">
      <c r="A131" s="38" t="n"/>
      <c r="B131" s="45">
        <f>IF($A131="","",IFERROR(AVERAGEIFS('רווחה - קליטה'!$AR$5:$AR$204,'רווחה - קליטה'!$A$5:$A$204,$A131,'רווחה - קליטה'!$C$5:$C$204,"תחילת שנה"),""))</f>
        <v/>
      </c>
      <c r="C131" s="37">
        <f>IF($A131="","",IFERROR(AVERAGEIFS('רווחה - קליטה'!$AL$5:$AL$204,'רווחה - קליטה'!$A$5:$A$204,$A131,'רווחה - קליטה'!$C$5:$C$204,"תחילת שנה"),""))</f>
        <v/>
      </c>
      <c r="D131" s="36">
        <f>IF($A131="","",IFERROR(INDEX('רווחה - קליטה'!$AT$5:$AT$204,MATCH($A131&amp;"|תחילת שנה",'רווחה - קליטה'!$AF$5:$AF$204,0)),""))</f>
        <v/>
      </c>
      <c r="E131" s="45">
        <f>IF($A131="","",IFERROR(AVERAGEIFS('רווחה - קליטה'!$AR$5:$AR$204,'רווחה - קליטה'!$A$5:$A$204,$A131,'רווחה - קליטה'!$C$5:$C$204,"אמצע שנה"),""))</f>
        <v/>
      </c>
      <c r="F131" s="37">
        <f>IF($A131="","",IFERROR(AVERAGEIFS('רווחה - קליטה'!$AL$5:$AL$204,'רווחה - קליטה'!$A$5:$A$204,$A131,'רווחה - קליטה'!$C$5:$C$204,"אמצע שנה"),""))</f>
        <v/>
      </c>
      <c r="G131" s="36">
        <f>IF($A131="","",IFERROR(INDEX('רווחה - קליטה'!$AT$5:$AT$204,MATCH($A131&amp;"|אמצע שנה",'רווחה - קליטה'!$AF$5:$AF$204,0)),""))</f>
        <v/>
      </c>
      <c r="H131" s="45">
        <f>IF($A131="","",IFERROR(AVERAGEIFS('רווחה - קליטה'!$AR$5:$AR$204,'רווחה - קליטה'!$A$5:$A$204,$A131,'רווחה - קליטה'!$C$5:$C$204,"סוף שנה"),""))</f>
        <v/>
      </c>
      <c r="I131" s="37">
        <f>IF($A131="","",IFERROR(AVERAGEIFS('רווחה - קליטה'!$AL$5:$AL$204,'רווחה - קליטה'!$A$5:$A$204,$A131,'רווחה - קליטה'!$C$5:$C$204,"סוף שנה"),""))</f>
        <v/>
      </c>
      <c r="J131" s="36">
        <f>IF($A131="","",IFERROR(INDEX('רווחה - קליטה'!$AT$5:$AT$204,MATCH($A131&amp;"|סוף שנה",'רווחה - קליטה'!$AF$5:$AF$204,0)),""))</f>
        <v/>
      </c>
      <c r="K131" s="46">
        <f>IF(AND(ISNUMBER(B131),ISNUMBER(H131)),H131-B131,"")</f>
        <v/>
      </c>
      <c r="L131" s="36">
        <f>IF(K131="","",IF(K131&gt;=0.5,"עלייה",IF(K131&lt;=-0.5,"ירידה","יציב")))</f>
        <v/>
      </c>
    </row>
    <row r="132">
      <c r="A132" s="38" t="n"/>
      <c r="B132" s="45">
        <f>IF($A132="","",IFERROR(AVERAGEIFS('רווחה - קליטה'!$AR$5:$AR$204,'רווחה - קליטה'!$A$5:$A$204,$A132,'רווחה - קליטה'!$C$5:$C$204,"תחילת שנה"),""))</f>
        <v/>
      </c>
      <c r="C132" s="37">
        <f>IF($A132="","",IFERROR(AVERAGEIFS('רווחה - קליטה'!$AL$5:$AL$204,'רווחה - קליטה'!$A$5:$A$204,$A132,'רווחה - קליטה'!$C$5:$C$204,"תחילת שנה"),""))</f>
        <v/>
      </c>
      <c r="D132" s="36">
        <f>IF($A132="","",IFERROR(INDEX('רווחה - קליטה'!$AT$5:$AT$204,MATCH($A132&amp;"|תחילת שנה",'רווחה - קליטה'!$AF$5:$AF$204,0)),""))</f>
        <v/>
      </c>
      <c r="E132" s="45">
        <f>IF($A132="","",IFERROR(AVERAGEIFS('רווחה - קליטה'!$AR$5:$AR$204,'רווחה - קליטה'!$A$5:$A$204,$A132,'רווחה - קליטה'!$C$5:$C$204,"אמצע שנה"),""))</f>
        <v/>
      </c>
      <c r="F132" s="37">
        <f>IF($A132="","",IFERROR(AVERAGEIFS('רווחה - קליטה'!$AL$5:$AL$204,'רווחה - קליטה'!$A$5:$A$204,$A132,'רווחה - קליטה'!$C$5:$C$204,"אמצע שנה"),""))</f>
        <v/>
      </c>
      <c r="G132" s="36">
        <f>IF($A132="","",IFERROR(INDEX('רווחה - קליטה'!$AT$5:$AT$204,MATCH($A132&amp;"|אמצע שנה",'רווחה - קליטה'!$AF$5:$AF$204,0)),""))</f>
        <v/>
      </c>
      <c r="H132" s="45">
        <f>IF($A132="","",IFERROR(AVERAGEIFS('רווחה - קליטה'!$AR$5:$AR$204,'רווחה - קליטה'!$A$5:$A$204,$A132,'רווחה - קליטה'!$C$5:$C$204,"סוף שנה"),""))</f>
        <v/>
      </c>
      <c r="I132" s="37">
        <f>IF($A132="","",IFERROR(AVERAGEIFS('רווחה - קליטה'!$AL$5:$AL$204,'רווחה - קליטה'!$A$5:$A$204,$A132,'רווחה - קליטה'!$C$5:$C$204,"סוף שנה"),""))</f>
        <v/>
      </c>
      <c r="J132" s="36">
        <f>IF($A132="","",IFERROR(INDEX('רווחה - קליטה'!$AT$5:$AT$204,MATCH($A132&amp;"|סוף שנה",'רווחה - קליטה'!$AF$5:$AF$204,0)),""))</f>
        <v/>
      </c>
      <c r="K132" s="46">
        <f>IF(AND(ISNUMBER(B132),ISNUMBER(H132)),H132-B132,"")</f>
        <v/>
      </c>
      <c r="L132" s="36">
        <f>IF(K132="","",IF(K132&gt;=0.5,"עלייה",IF(K132&lt;=-0.5,"ירידה","יציב")))</f>
        <v/>
      </c>
    </row>
    <row r="133">
      <c r="A133" s="38" t="n"/>
      <c r="B133" s="45">
        <f>IF($A133="","",IFERROR(AVERAGEIFS('רווחה - קליטה'!$AR$5:$AR$204,'רווחה - קליטה'!$A$5:$A$204,$A133,'רווחה - קליטה'!$C$5:$C$204,"תחילת שנה"),""))</f>
        <v/>
      </c>
      <c r="C133" s="37">
        <f>IF($A133="","",IFERROR(AVERAGEIFS('רווחה - קליטה'!$AL$5:$AL$204,'רווחה - קליטה'!$A$5:$A$204,$A133,'רווחה - קליטה'!$C$5:$C$204,"תחילת שנה"),""))</f>
        <v/>
      </c>
      <c r="D133" s="36">
        <f>IF($A133="","",IFERROR(INDEX('רווחה - קליטה'!$AT$5:$AT$204,MATCH($A133&amp;"|תחילת שנה",'רווחה - קליטה'!$AF$5:$AF$204,0)),""))</f>
        <v/>
      </c>
      <c r="E133" s="45">
        <f>IF($A133="","",IFERROR(AVERAGEIFS('רווחה - קליטה'!$AR$5:$AR$204,'רווחה - קליטה'!$A$5:$A$204,$A133,'רווחה - קליטה'!$C$5:$C$204,"אמצע שנה"),""))</f>
        <v/>
      </c>
      <c r="F133" s="37">
        <f>IF($A133="","",IFERROR(AVERAGEIFS('רווחה - קליטה'!$AL$5:$AL$204,'רווחה - קליטה'!$A$5:$A$204,$A133,'רווחה - קליטה'!$C$5:$C$204,"אמצע שנה"),""))</f>
        <v/>
      </c>
      <c r="G133" s="36">
        <f>IF($A133="","",IFERROR(INDEX('רווחה - קליטה'!$AT$5:$AT$204,MATCH($A133&amp;"|אמצע שנה",'רווחה - קליטה'!$AF$5:$AF$204,0)),""))</f>
        <v/>
      </c>
      <c r="H133" s="45">
        <f>IF($A133="","",IFERROR(AVERAGEIFS('רווחה - קליטה'!$AR$5:$AR$204,'רווחה - קליטה'!$A$5:$A$204,$A133,'רווחה - קליטה'!$C$5:$C$204,"סוף שנה"),""))</f>
        <v/>
      </c>
      <c r="I133" s="37">
        <f>IF($A133="","",IFERROR(AVERAGEIFS('רווחה - קליטה'!$AL$5:$AL$204,'רווחה - קליטה'!$A$5:$A$204,$A133,'רווחה - קליטה'!$C$5:$C$204,"סוף שנה"),""))</f>
        <v/>
      </c>
      <c r="J133" s="36">
        <f>IF($A133="","",IFERROR(INDEX('רווחה - קליטה'!$AT$5:$AT$204,MATCH($A133&amp;"|סוף שנה",'רווחה - קליטה'!$AF$5:$AF$204,0)),""))</f>
        <v/>
      </c>
      <c r="K133" s="46">
        <f>IF(AND(ISNUMBER(B133),ISNUMBER(H133)),H133-B133,"")</f>
        <v/>
      </c>
      <c r="L133" s="36">
        <f>IF(K133="","",IF(K133&gt;=0.5,"עלייה",IF(K133&lt;=-0.5,"ירידה","יציב")))</f>
        <v/>
      </c>
    </row>
    <row r="134">
      <c r="A134" s="38" t="n"/>
      <c r="B134" s="45">
        <f>IF($A134="","",IFERROR(AVERAGEIFS('רווחה - קליטה'!$AR$5:$AR$204,'רווחה - קליטה'!$A$5:$A$204,$A134,'רווחה - קליטה'!$C$5:$C$204,"תחילת שנה"),""))</f>
        <v/>
      </c>
      <c r="C134" s="37">
        <f>IF($A134="","",IFERROR(AVERAGEIFS('רווחה - קליטה'!$AL$5:$AL$204,'רווחה - קליטה'!$A$5:$A$204,$A134,'רווחה - קליטה'!$C$5:$C$204,"תחילת שנה"),""))</f>
        <v/>
      </c>
      <c r="D134" s="36">
        <f>IF($A134="","",IFERROR(INDEX('רווחה - קליטה'!$AT$5:$AT$204,MATCH($A134&amp;"|תחילת שנה",'רווחה - קליטה'!$AF$5:$AF$204,0)),""))</f>
        <v/>
      </c>
      <c r="E134" s="45">
        <f>IF($A134="","",IFERROR(AVERAGEIFS('רווחה - קליטה'!$AR$5:$AR$204,'רווחה - קליטה'!$A$5:$A$204,$A134,'רווחה - קליטה'!$C$5:$C$204,"אמצע שנה"),""))</f>
        <v/>
      </c>
      <c r="F134" s="37">
        <f>IF($A134="","",IFERROR(AVERAGEIFS('רווחה - קליטה'!$AL$5:$AL$204,'רווחה - קליטה'!$A$5:$A$204,$A134,'רווחה - קליטה'!$C$5:$C$204,"אמצע שנה"),""))</f>
        <v/>
      </c>
      <c r="G134" s="36">
        <f>IF($A134="","",IFERROR(INDEX('רווחה - קליטה'!$AT$5:$AT$204,MATCH($A134&amp;"|אמצע שנה",'רווחה - קליטה'!$AF$5:$AF$204,0)),""))</f>
        <v/>
      </c>
      <c r="H134" s="45">
        <f>IF($A134="","",IFERROR(AVERAGEIFS('רווחה - קליטה'!$AR$5:$AR$204,'רווחה - קליטה'!$A$5:$A$204,$A134,'רווחה - קליטה'!$C$5:$C$204,"סוף שנה"),""))</f>
        <v/>
      </c>
      <c r="I134" s="37">
        <f>IF($A134="","",IFERROR(AVERAGEIFS('רווחה - קליטה'!$AL$5:$AL$204,'רווחה - קליטה'!$A$5:$A$204,$A134,'רווחה - קליטה'!$C$5:$C$204,"סוף שנה"),""))</f>
        <v/>
      </c>
      <c r="J134" s="36">
        <f>IF($A134="","",IFERROR(INDEX('רווחה - קליטה'!$AT$5:$AT$204,MATCH($A134&amp;"|סוף שנה",'רווחה - קליטה'!$AF$5:$AF$204,0)),""))</f>
        <v/>
      </c>
      <c r="K134" s="46">
        <f>IF(AND(ISNUMBER(B134),ISNUMBER(H134)),H134-B134,"")</f>
        <v/>
      </c>
      <c r="L134" s="36">
        <f>IF(K134="","",IF(K134&gt;=0.5,"עלייה",IF(K134&lt;=-0.5,"ירידה","יציב")))</f>
        <v/>
      </c>
    </row>
    <row r="135">
      <c r="A135" s="38" t="n"/>
      <c r="B135" s="45">
        <f>IF($A135="","",IFERROR(AVERAGEIFS('רווחה - קליטה'!$AR$5:$AR$204,'רווחה - קליטה'!$A$5:$A$204,$A135,'רווחה - קליטה'!$C$5:$C$204,"תחילת שנה"),""))</f>
        <v/>
      </c>
      <c r="C135" s="37">
        <f>IF($A135="","",IFERROR(AVERAGEIFS('רווחה - קליטה'!$AL$5:$AL$204,'רווחה - קליטה'!$A$5:$A$204,$A135,'רווחה - קליטה'!$C$5:$C$204,"תחילת שנה"),""))</f>
        <v/>
      </c>
      <c r="D135" s="36">
        <f>IF($A135="","",IFERROR(INDEX('רווחה - קליטה'!$AT$5:$AT$204,MATCH($A135&amp;"|תחילת שנה",'רווחה - קליטה'!$AF$5:$AF$204,0)),""))</f>
        <v/>
      </c>
      <c r="E135" s="45">
        <f>IF($A135="","",IFERROR(AVERAGEIFS('רווחה - קליטה'!$AR$5:$AR$204,'רווחה - קליטה'!$A$5:$A$204,$A135,'רווחה - קליטה'!$C$5:$C$204,"אמצע שנה"),""))</f>
        <v/>
      </c>
      <c r="F135" s="37">
        <f>IF($A135="","",IFERROR(AVERAGEIFS('רווחה - קליטה'!$AL$5:$AL$204,'רווחה - קליטה'!$A$5:$A$204,$A135,'רווחה - קליטה'!$C$5:$C$204,"אמצע שנה"),""))</f>
        <v/>
      </c>
      <c r="G135" s="36">
        <f>IF($A135="","",IFERROR(INDEX('רווחה - קליטה'!$AT$5:$AT$204,MATCH($A135&amp;"|אמצע שנה",'רווחה - קליטה'!$AF$5:$AF$204,0)),""))</f>
        <v/>
      </c>
      <c r="H135" s="45">
        <f>IF($A135="","",IFERROR(AVERAGEIFS('רווחה - קליטה'!$AR$5:$AR$204,'רווחה - קליטה'!$A$5:$A$204,$A135,'רווחה - קליטה'!$C$5:$C$204,"סוף שנה"),""))</f>
        <v/>
      </c>
      <c r="I135" s="37">
        <f>IF($A135="","",IFERROR(AVERAGEIFS('רווחה - קליטה'!$AL$5:$AL$204,'רווחה - קליטה'!$A$5:$A$204,$A135,'רווחה - קליטה'!$C$5:$C$204,"סוף שנה"),""))</f>
        <v/>
      </c>
      <c r="J135" s="36">
        <f>IF($A135="","",IFERROR(INDEX('רווחה - קליטה'!$AT$5:$AT$204,MATCH($A135&amp;"|סוף שנה",'רווחה - קליטה'!$AF$5:$AF$204,0)),""))</f>
        <v/>
      </c>
      <c r="K135" s="46">
        <f>IF(AND(ISNUMBER(B135),ISNUMBER(H135)),H135-B135,"")</f>
        <v/>
      </c>
      <c r="L135" s="36">
        <f>IF(K135="","",IF(K135&gt;=0.5,"עלייה",IF(K135&lt;=-0.5,"ירידה","יציב")))</f>
        <v/>
      </c>
    </row>
    <row r="136">
      <c r="A136" s="38" t="n"/>
      <c r="B136" s="45">
        <f>IF($A136="","",IFERROR(AVERAGEIFS('רווחה - קליטה'!$AR$5:$AR$204,'רווחה - קליטה'!$A$5:$A$204,$A136,'רווחה - קליטה'!$C$5:$C$204,"תחילת שנה"),""))</f>
        <v/>
      </c>
      <c r="C136" s="37">
        <f>IF($A136="","",IFERROR(AVERAGEIFS('רווחה - קליטה'!$AL$5:$AL$204,'רווחה - קליטה'!$A$5:$A$204,$A136,'רווחה - קליטה'!$C$5:$C$204,"תחילת שנה"),""))</f>
        <v/>
      </c>
      <c r="D136" s="36">
        <f>IF($A136="","",IFERROR(INDEX('רווחה - קליטה'!$AT$5:$AT$204,MATCH($A136&amp;"|תחילת שנה",'רווחה - קליטה'!$AF$5:$AF$204,0)),""))</f>
        <v/>
      </c>
      <c r="E136" s="45">
        <f>IF($A136="","",IFERROR(AVERAGEIFS('רווחה - קליטה'!$AR$5:$AR$204,'רווחה - קליטה'!$A$5:$A$204,$A136,'רווחה - קליטה'!$C$5:$C$204,"אמצע שנה"),""))</f>
        <v/>
      </c>
      <c r="F136" s="37">
        <f>IF($A136="","",IFERROR(AVERAGEIFS('רווחה - קליטה'!$AL$5:$AL$204,'רווחה - קליטה'!$A$5:$A$204,$A136,'רווחה - קליטה'!$C$5:$C$204,"אמצע שנה"),""))</f>
        <v/>
      </c>
      <c r="G136" s="36">
        <f>IF($A136="","",IFERROR(INDEX('רווחה - קליטה'!$AT$5:$AT$204,MATCH($A136&amp;"|אמצע שנה",'רווחה - קליטה'!$AF$5:$AF$204,0)),""))</f>
        <v/>
      </c>
      <c r="H136" s="45">
        <f>IF($A136="","",IFERROR(AVERAGEIFS('רווחה - קליטה'!$AR$5:$AR$204,'רווחה - קליטה'!$A$5:$A$204,$A136,'רווחה - קליטה'!$C$5:$C$204,"סוף שנה"),""))</f>
        <v/>
      </c>
      <c r="I136" s="37">
        <f>IF($A136="","",IFERROR(AVERAGEIFS('רווחה - קליטה'!$AL$5:$AL$204,'רווחה - קליטה'!$A$5:$A$204,$A136,'רווחה - קליטה'!$C$5:$C$204,"סוף שנה"),""))</f>
        <v/>
      </c>
      <c r="J136" s="36">
        <f>IF($A136="","",IFERROR(INDEX('רווחה - קליטה'!$AT$5:$AT$204,MATCH($A136&amp;"|סוף שנה",'רווחה - קליטה'!$AF$5:$AF$204,0)),""))</f>
        <v/>
      </c>
      <c r="K136" s="46">
        <f>IF(AND(ISNUMBER(B136),ISNUMBER(H136)),H136-B136,"")</f>
        <v/>
      </c>
      <c r="L136" s="36">
        <f>IF(K136="","",IF(K136&gt;=0.5,"עלייה",IF(K136&lt;=-0.5,"ירידה","יציב")))</f>
        <v/>
      </c>
    </row>
    <row r="137">
      <c r="A137" s="38" t="n"/>
      <c r="B137" s="45">
        <f>IF($A137="","",IFERROR(AVERAGEIFS('רווחה - קליטה'!$AR$5:$AR$204,'רווחה - קליטה'!$A$5:$A$204,$A137,'רווחה - קליטה'!$C$5:$C$204,"תחילת שנה"),""))</f>
        <v/>
      </c>
      <c r="C137" s="37">
        <f>IF($A137="","",IFERROR(AVERAGEIFS('רווחה - קליטה'!$AL$5:$AL$204,'רווחה - קליטה'!$A$5:$A$204,$A137,'רווחה - קליטה'!$C$5:$C$204,"תחילת שנה"),""))</f>
        <v/>
      </c>
      <c r="D137" s="36">
        <f>IF($A137="","",IFERROR(INDEX('רווחה - קליטה'!$AT$5:$AT$204,MATCH($A137&amp;"|תחילת שנה",'רווחה - קליטה'!$AF$5:$AF$204,0)),""))</f>
        <v/>
      </c>
      <c r="E137" s="45">
        <f>IF($A137="","",IFERROR(AVERAGEIFS('רווחה - קליטה'!$AR$5:$AR$204,'רווחה - קליטה'!$A$5:$A$204,$A137,'רווחה - קליטה'!$C$5:$C$204,"אמצע שנה"),""))</f>
        <v/>
      </c>
      <c r="F137" s="37">
        <f>IF($A137="","",IFERROR(AVERAGEIFS('רווחה - קליטה'!$AL$5:$AL$204,'רווחה - קליטה'!$A$5:$A$204,$A137,'רווחה - קליטה'!$C$5:$C$204,"אמצע שנה"),""))</f>
        <v/>
      </c>
      <c r="G137" s="36">
        <f>IF($A137="","",IFERROR(INDEX('רווחה - קליטה'!$AT$5:$AT$204,MATCH($A137&amp;"|אמצע שנה",'רווחה - קליטה'!$AF$5:$AF$204,0)),""))</f>
        <v/>
      </c>
      <c r="H137" s="45">
        <f>IF($A137="","",IFERROR(AVERAGEIFS('רווחה - קליטה'!$AR$5:$AR$204,'רווחה - קליטה'!$A$5:$A$204,$A137,'רווחה - קליטה'!$C$5:$C$204,"סוף שנה"),""))</f>
        <v/>
      </c>
      <c r="I137" s="37">
        <f>IF($A137="","",IFERROR(AVERAGEIFS('רווחה - קליטה'!$AL$5:$AL$204,'רווחה - קליטה'!$A$5:$A$204,$A137,'רווחה - קליטה'!$C$5:$C$204,"סוף שנה"),""))</f>
        <v/>
      </c>
      <c r="J137" s="36">
        <f>IF($A137="","",IFERROR(INDEX('רווחה - קליטה'!$AT$5:$AT$204,MATCH($A137&amp;"|סוף שנה",'רווחה - קליטה'!$AF$5:$AF$204,0)),""))</f>
        <v/>
      </c>
      <c r="K137" s="46">
        <f>IF(AND(ISNUMBER(B137),ISNUMBER(H137)),H137-B137,"")</f>
        <v/>
      </c>
      <c r="L137" s="36">
        <f>IF(K137="","",IF(K137&gt;=0.5,"עלייה",IF(K137&lt;=-0.5,"ירידה","יציב")))</f>
        <v/>
      </c>
    </row>
    <row r="138">
      <c r="A138" s="38" t="n"/>
      <c r="B138" s="45">
        <f>IF($A138="","",IFERROR(AVERAGEIFS('רווחה - קליטה'!$AR$5:$AR$204,'רווחה - קליטה'!$A$5:$A$204,$A138,'רווחה - קליטה'!$C$5:$C$204,"תחילת שנה"),""))</f>
        <v/>
      </c>
      <c r="C138" s="37">
        <f>IF($A138="","",IFERROR(AVERAGEIFS('רווחה - קליטה'!$AL$5:$AL$204,'רווחה - קליטה'!$A$5:$A$204,$A138,'רווחה - קליטה'!$C$5:$C$204,"תחילת שנה"),""))</f>
        <v/>
      </c>
      <c r="D138" s="36">
        <f>IF($A138="","",IFERROR(INDEX('רווחה - קליטה'!$AT$5:$AT$204,MATCH($A138&amp;"|תחילת שנה",'רווחה - קליטה'!$AF$5:$AF$204,0)),""))</f>
        <v/>
      </c>
      <c r="E138" s="45">
        <f>IF($A138="","",IFERROR(AVERAGEIFS('רווחה - קליטה'!$AR$5:$AR$204,'רווחה - קליטה'!$A$5:$A$204,$A138,'רווחה - קליטה'!$C$5:$C$204,"אמצע שנה"),""))</f>
        <v/>
      </c>
      <c r="F138" s="37">
        <f>IF($A138="","",IFERROR(AVERAGEIFS('רווחה - קליטה'!$AL$5:$AL$204,'רווחה - קליטה'!$A$5:$A$204,$A138,'רווחה - קליטה'!$C$5:$C$204,"אמצע שנה"),""))</f>
        <v/>
      </c>
      <c r="G138" s="36">
        <f>IF($A138="","",IFERROR(INDEX('רווחה - קליטה'!$AT$5:$AT$204,MATCH($A138&amp;"|אמצע שנה",'רווחה - קליטה'!$AF$5:$AF$204,0)),""))</f>
        <v/>
      </c>
      <c r="H138" s="45">
        <f>IF($A138="","",IFERROR(AVERAGEIFS('רווחה - קליטה'!$AR$5:$AR$204,'רווחה - קליטה'!$A$5:$A$204,$A138,'רווחה - קליטה'!$C$5:$C$204,"סוף שנה"),""))</f>
        <v/>
      </c>
      <c r="I138" s="37">
        <f>IF($A138="","",IFERROR(AVERAGEIFS('רווחה - קליטה'!$AL$5:$AL$204,'רווחה - קליטה'!$A$5:$A$204,$A138,'רווחה - קליטה'!$C$5:$C$204,"סוף שנה"),""))</f>
        <v/>
      </c>
      <c r="J138" s="36">
        <f>IF($A138="","",IFERROR(INDEX('רווחה - קליטה'!$AT$5:$AT$204,MATCH($A138&amp;"|סוף שנה",'רווחה - קליטה'!$AF$5:$AF$204,0)),""))</f>
        <v/>
      </c>
      <c r="K138" s="46">
        <f>IF(AND(ISNUMBER(B138),ISNUMBER(H138)),H138-B138,"")</f>
        <v/>
      </c>
      <c r="L138" s="36">
        <f>IF(K138="","",IF(K138&gt;=0.5,"עלייה",IF(K138&lt;=-0.5,"ירידה","יציב")))</f>
        <v/>
      </c>
    </row>
    <row r="139">
      <c r="A139" s="38" t="n"/>
      <c r="B139" s="45">
        <f>IF($A139="","",IFERROR(AVERAGEIFS('רווחה - קליטה'!$AR$5:$AR$204,'רווחה - קליטה'!$A$5:$A$204,$A139,'רווחה - קליטה'!$C$5:$C$204,"תחילת שנה"),""))</f>
        <v/>
      </c>
      <c r="C139" s="37">
        <f>IF($A139="","",IFERROR(AVERAGEIFS('רווחה - קליטה'!$AL$5:$AL$204,'רווחה - קליטה'!$A$5:$A$204,$A139,'רווחה - קליטה'!$C$5:$C$204,"תחילת שנה"),""))</f>
        <v/>
      </c>
      <c r="D139" s="36">
        <f>IF($A139="","",IFERROR(INDEX('רווחה - קליטה'!$AT$5:$AT$204,MATCH($A139&amp;"|תחילת שנה",'רווחה - קליטה'!$AF$5:$AF$204,0)),""))</f>
        <v/>
      </c>
      <c r="E139" s="45">
        <f>IF($A139="","",IFERROR(AVERAGEIFS('רווחה - קליטה'!$AR$5:$AR$204,'רווחה - קליטה'!$A$5:$A$204,$A139,'רווחה - קליטה'!$C$5:$C$204,"אמצע שנה"),""))</f>
        <v/>
      </c>
      <c r="F139" s="37">
        <f>IF($A139="","",IFERROR(AVERAGEIFS('רווחה - קליטה'!$AL$5:$AL$204,'רווחה - קליטה'!$A$5:$A$204,$A139,'רווחה - קליטה'!$C$5:$C$204,"אמצע שנה"),""))</f>
        <v/>
      </c>
      <c r="G139" s="36">
        <f>IF($A139="","",IFERROR(INDEX('רווחה - קליטה'!$AT$5:$AT$204,MATCH($A139&amp;"|אמצע שנה",'רווחה - קליטה'!$AF$5:$AF$204,0)),""))</f>
        <v/>
      </c>
      <c r="H139" s="45">
        <f>IF($A139="","",IFERROR(AVERAGEIFS('רווחה - קליטה'!$AR$5:$AR$204,'רווחה - קליטה'!$A$5:$A$204,$A139,'רווחה - קליטה'!$C$5:$C$204,"סוף שנה"),""))</f>
        <v/>
      </c>
      <c r="I139" s="37">
        <f>IF($A139="","",IFERROR(AVERAGEIFS('רווחה - קליטה'!$AL$5:$AL$204,'רווחה - קליטה'!$A$5:$A$204,$A139,'רווחה - קליטה'!$C$5:$C$204,"סוף שנה"),""))</f>
        <v/>
      </c>
      <c r="J139" s="36">
        <f>IF($A139="","",IFERROR(INDEX('רווחה - קליטה'!$AT$5:$AT$204,MATCH($A139&amp;"|סוף שנה",'רווחה - קליטה'!$AF$5:$AF$204,0)),""))</f>
        <v/>
      </c>
      <c r="K139" s="46">
        <f>IF(AND(ISNUMBER(B139),ISNUMBER(H139)),H139-B139,"")</f>
        <v/>
      </c>
      <c r="L139" s="36">
        <f>IF(K139="","",IF(K139&gt;=0.5,"עלייה",IF(K139&lt;=-0.5,"ירידה","יציב")))</f>
        <v/>
      </c>
    </row>
    <row r="140">
      <c r="A140" s="38" t="n"/>
      <c r="B140" s="45">
        <f>IF($A140="","",IFERROR(AVERAGEIFS('רווחה - קליטה'!$AR$5:$AR$204,'רווחה - קליטה'!$A$5:$A$204,$A140,'רווחה - קליטה'!$C$5:$C$204,"תחילת שנה"),""))</f>
        <v/>
      </c>
      <c r="C140" s="37">
        <f>IF($A140="","",IFERROR(AVERAGEIFS('רווחה - קליטה'!$AL$5:$AL$204,'רווחה - קליטה'!$A$5:$A$204,$A140,'רווחה - קליטה'!$C$5:$C$204,"תחילת שנה"),""))</f>
        <v/>
      </c>
      <c r="D140" s="36">
        <f>IF($A140="","",IFERROR(INDEX('רווחה - קליטה'!$AT$5:$AT$204,MATCH($A140&amp;"|תחילת שנה",'רווחה - קליטה'!$AF$5:$AF$204,0)),""))</f>
        <v/>
      </c>
      <c r="E140" s="45">
        <f>IF($A140="","",IFERROR(AVERAGEIFS('רווחה - קליטה'!$AR$5:$AR$204,'רווחה - קליטה'!$A$5:$A$204,$A140,'רווחה - קליטה'!$C$5:$C$204,"אמצע שנה"),""))</f>
        <v/>
      </c>
      <c r="F140" s="37">
        <f>IF($A140="","",IFERROR(AVERAGEIFS('רווחה - קליטה'!$AL$5:$AL$204,'רווחה - קליטה'!$A$5:$A$204,$A140,'רווחה - קליטה'!$C$5:$C$204,"אמצע שנה"),""))</f>
        <v/>
      </c>
      <c r="G140" s="36">
        <f>IF($A140="","",IFERROR(INDEX('רווחה - קליטה'!$AT$5:$AT$204,MATCH($A140&amp;"|אמצע שנה",'רווחה - קליטה'!$AF$5:$AF$204,0)),""))</f>
        <v/>
      </c>
      <c r="H140" s="45">
        <f>IF($A140="","",IFERROR(AVERAGEIFS('רווחה - קליטה'!$AR$5:$AR$204,'רווחה - קליטה'!$A$5:$A$204,$A140,'רווחה - קליטה'!$C$5:$C$204,"סוף שנה"),""))</f>
        <v/>
      </c>
      <c r="I140" s="37">
        <f>IF($A140="","",IFERROR(AVERAGEIFS('רווחה - קליטה'!$AL$5:$AL$204,'רווחה - קליטה'!$A$5:$A$204,$A140,'רווחה - קליטה'!$C$5:$C$204,"סוף שנה"),""))</f>
        <v/>
      </c>
      <c r="J140" s="36">
        <f>IF($A140="","",IFERROR(INDEX('רווחה - קליטה'!$AT$5:$AT$204,MATCH($A140&amp;"|סוף שנה",'רווחה - קליטה'!$AF$5:$AF$204,0)),""))</f>
        <v/>
      </c>
      <c r="K140" s="46">
        <f>IF(AND(ISNUMBER(B140),ISNUMBER(H140)),H140-B140,"")</f>
        <v/>
      </c>
      <c r="L140" s="36">
        <f>IF(K140="","",IF(K140&gt;=0.5,"עלייה",IF(K140&lt;=-0.5,"ירידה","יציב")))</f>
        <v/>
      </c>
    </row>
    <row r="141">
      <c r="A141" s="38" t="n"/>
      <c r="B141" s="45">
        <f>IF($A141="","",IFERROR(AVERAGEIFS('רווחה - קליטה'!$AR$5:$AR$204,'רווחה - קליטה'!$A$5:$A$204,$A141,'רווחה - קליטה'!$C$5:$C$204,"תחילת שנה"),""))</f>
        <v/>
      </c>
      <c r="C141" s="37">
        <f>IF($A141="","",IFERROR(AVERAGEIFS('רווחה - קליטה'!$AL$5:$AL$204,'רווחה - קליטה'!$A$5:$A$204,$A141,'רווחה - קליטה'!$C$5:$C$204,"תחילת שנה"),""))</f>
        <v/>
      </c>
      <c r="D141" s="36">
        <f>IF($A141="","",IFERROR(INDEX('רווחה - קליטה'!$AT$5:$AT$204,MATCH($A141&amp;"|תחילת שנה",'רווחה - קליטה'!$AF$5:$AF$204,0)),""))</f>
        <v/>
      </c>
      <c r="E141" s="45">
        <f>IF($A141="","",IFERROR(AVERAGEIFS('רווחה - קליטה'!$AR$5:$AR$204,'רווחה - קליטה'!$A$5:$A$204,$A141,'רווחה - קליטה'!$C$5:$C$204,"אמצע שנה"),""))</f>
        <v/>
      </c>
      <c r="F141" s="37">
        <f>IF($A141="","",IFERROR(AVERAGEIFS('רווחה - קליטה'!$AL$5:$AL$204,'רווחה - קליטה'!$A$5:$A$204,$A141,'רווחה - קליטה'!$C$5:$C$204,"אמצע שנה"),""))</f>
        <v/>
      </c>
      <c r="G141" s="36">
        <f>IF($A141="","",IFERROR(INDEX('רווחה - קליטה'!$AT$5:$AT$204,MATCH($A141&amp;"|אמצע שנה",'רווחה - קליטה'!$AF$5:$AF$204,0)),""))</f>
        <v/>
      </c>
      <c r="H141" s="45">
        <f>IF($A141="","",IFERROR(AVERAGEIFS('רווחה - קליטה'!$AR$5:$AR$204,'רווחה - קליטה'!$A$5:$A$204,$A141,'רווחה - קליטה'!$C$5:$C$204,"סוף שנה"),""))</f>
        <v/>
      </c>
      <c r="I141" s="37">
        <f>IF($A141="","",IFERROR(AVERAGEIFS('רווחה - קליטה'!$AL$5:$AL$204,'רווחה - קליטה'!$A$5:$A$204,$A141,'רווחה - קליטה'!$C$5:$C$204,"סוף שנה"),""))</f>
        <v/>
      </c>
      <c r="J141" s="36">
        <f>IF($A141="","",IFERROR(INDEX('רווחה - קליטה'!$AT$5:$AT$204,MATCH($A141&amp;"|סוף שנה",'רווחה - קליטה'!$AF$5:$AF$204,0)),""))</f>
        <v/>
      </c>
      <c r="K141" s="46">
        <f>IF(AND(ISNUMBER(B141),ISNUMBER(H141)),H141-B141,"")</f>
        <v/>
      </c>
      <c r="L141" s="36">
        <f>IF(K141="","",IF(K141&gt;=0.5,"עלייה",IF(K141&lt;=-0.5,"ירידה","יציב")))</f>
        <v/>
      </c>
    </row>
    <row r="142">
      <c r="A142" s="38" t="n"/>
      <c r="B142" s="45">
        <f>IF($A142="","",IFERROR(AVERAGEIFS('רווחה - קליטה'!$AR$5:$AR$204,'רווחה - קליטה'!$A$5:$A$204,$A142,'רווחה - קליטה'!$C$5:$C$204,"תחילת שנה"),""))</f>
        <v/>
      </c>
      <c r="C142" s="37">
        <f>IF($A142="","",IFERROR(AVERAGEIFS('רווחה - קליטה'!$AL$5:$AL$204,'רווחה - קליטה'!$A$5:$A$204,$A142,'רווחה - קליטה'!$C$5:$C$204,"תחילת שנה"),""))</f>
        <v/>
      </c>
      <c r="D142" s="36">
        <f>IF($A142="","",IFERROR(INDEX('רווחה - קליטה'!$AT$5:$AT$204,MATCH($A142&amp;"|תחילת שנה",'רווחה - קליטה'!$AF$5:$AF$204,0)),""))</f>
        <v/>
      </c>
      <c r="E142" s="45">
        <f>IF($A142="","",IFERROR(AVERAGEIFS('רווחה - קליטה'!$AR$5:$AR$204,'רווחה - קליטה'!$A$5:$A$204,$A142,'רווחה - קליטה'!$C$5:$C$204,"אמצע שנה"),""))</f>
        <v/>
      </c>
      <c r="F142" s="37">
        <f>IF($A142="","",IFERROR(AVERAGEIFS('רווחה - קליטה'!$AL$5:$AL$204,'רווחה - קליטה'!$A$5:$A$204,$A142,'רווחה - קליטה'!$C$5:$C$204,"אמצע שנה"),""))</f>
        <v/>
      </c>
      <c r="G142" s="36">
        <f>IF($A142="","",IFERROR(INDEX('רווחה - קליטה'!$AT$5:$AT$204,MATCH($A142&amp;"|אמצע שנה",'רווחה - קליטה'!$AF$5:$AF$204,0)),""))</f>
        <v/>
      </c>
      <c r="H142" s="45">
        <f>IF($A142="","",IFERROR(AVERAGEIFS('רווחה - קליטה'!$AR$5:$AR$204,'רווחה - קליטה'!$A$5:$A$204,$A142,'רווחה - קליטה'!$C$5:$C$204,"סוף שנה"),""))</f>
        <v/>
      </c>
      <c r="I142" s="37">
        <f>IF($A142="","",IFERROR(AVERAGEIFS('רווחה - קליטה'!$AL$5:$AL$204,'רווחה - קליטה'!$A$5:$A$204,$A142,'רווחה - קליטה'!$C$5:$C$204,"סוף שנה"),""))</f>
        <v/>
      </c>
      <c r="J142" s="36">
        <f>IF($A142="","",IFERROR(INDEX('רווחה - קליטה'!$AT$5:$AT$204,MATCH($A142&amp;"|סוף שנה",'רווחה - קליטה'!$AF$5:$AF$204,0)),""))</f>
        <v/>
      </c>
      <c r="K142" s="46">
        <f>IF(AND(ISNUMBER(B142),ISNUMBER(H142)),H142-B142,"")</f>
        <v/>
      </c>
      <c r="L142" s="36">
        <f>IF(K142="","",IF(K142&gt;=0.5,"עלייה",IF(K142&lt;=-0.5,"ירידה","יציב")))</f>
        <v/>
      </c>
    </row>
    <row r="143">
      <c r="A143" s="38" t="n"/>
      <c r="B143" s="45">
        <f>IF($A143="","",IFERROR(AVERAGEIFS('רווחה - קליטה'!$AR$5:$AR$204,'רווחה - קליטה'!$A$5:$A$204,$A143,'רווחה - קליטה'!$C$5:$C$204,"תחילת שנה"),""))</f>
        <v/>
      </c>
      <c r="C143" s="37">
        <f>IF($A143="","",IFERROR(AVERAGEIFS('רווחה - קליטה'!$AL$5:$AL$204,'רווחה - קליטה'!$A$5:$A$204,$A143,'רווחה - קליטה'!$C$5:$C$204,"תחילת שנה"),""))</f>
        <v/>
      </c>
      <c r="D143" s="36">
        <f>IF($A143="","",IFERROR(INDEX('רווחה - קליטה'!$AT$5:$AT$204,MATCH($A143&amp;"|תחילת שנה",'רווחה - קליטה'!$AF$5:$AF$204,0)),""))</f>
        <v/>
      </c>
      <c r="E143" s="45">
        <f>IF($A143="","",IFERROR(AVERAGEIFS('רווחה - קליטה'!$AR$5:$AR$204,'רווחה - קליטה'!$A$5:$A$204,$A143,'רווחה - קליטה'!$C$5:$C$204,"אמצע שנה"),""))</f>
        <v/>
      </c>
      <c r="F143" s="37">
        <f>IF($A143="","",IFERROR(AVERAGEIFS('רווחה - קליטה'!$AL$5:$AL$204,'רווחה - קליטה'!$A$5:$A$204,$A143,'רווחה - קליטה'!$C$5:$C$204,"אמצע שנה"),""))</f>
        <v/>
      </c>
      <c r="G143" s="36">
        <f>IF($A143="","",IFERROR(INDEX('רווחה - קליטה'!$AT$5:$AT$204,MATCH($A143&amp;"|אמצע שנה",'רווחה - קליטה'!$AF$5:$AF$204,0)),""))</f>
        <v/>
      </c>
      <c r="H143" s="45">
        <f>IF($A143="","",IFERROR(AVERAGEIFS('רווחה - קליטה'!$AR$5:$AR$204,'רווחה - קליטה'!$A$5:$A$204,$A143,'רווחה - קליטה'!$C$5:$C$204,"סוף שנה"),""))</f>
        <v/>
      </c>
      <c r="I143" s="37">
        <f>IF($A143="","",IFERROR(AVERAGEIFS('רווחה - קליטה'!$AL$5:$AL$204,'רווחה - קליטה'!$A$5:$A$204,$A143,'רווחה - קליטה'!$C$5:$C$204,"סוף שנה"),""))</f>
        <v/>
      </c>
      <c r="J143" s="36">
        <f>IF($A143="","",IFERROR(INDEX('רווחה - קליטה'!$AT$5:$AT$204,MATCH($A143&amp;"|סוף שנה",'רווחה - קליטה'!$AF$5:$AF$204,0)),""))</f>
        <v/>
      </c>
      <c r="K143" s="46">
        <f>IF(AND(ISNUMBER(B143),ISNUMBER(H143)),H143-B143,"")</f>
        <v/>
      </c>
      <c r="L143" s="36">
        <f>IF(K143="","",IF(K143&gt;=0.5,"עלייה",IF(K143&lt;=-0.5,"ירידה","יציב")))</f>
        <v/>
      </c>
    </row>
    <row r="144">
      <c r="A144" s="38" t="n"/>
      <c r="B144" s="45">
        <f>IF($A144="","",IFERROR(AVERAGEIFS('רווחה - קליטה'!$AR$5:$AR$204,'רווחה - קליטה'!$A$5:$A$204,$A144,'רווחה - קליטה'!$C$5:$C$204,"תחילת שנה"),""))</f>
        <v/>
      </c>
      <c r="C144" s="37">
        <f>IF($A144="","",IFERROR(AVERAGEIFS('רווחה - קליטה'!$AL$5:$AL$204,'רווחה - קליטה'!$A$5:$A$204,$A144,'רווחה - קליטה'!$C$5:$C$204,"תחילת שנה"),""))</f>
        <v/>
      </c>
      <c r="D144" s="36">
        <f>IF($A144="","",IFERROR(INDEX('רווחה - קליטה'!$AT$5:$AT$204,MATCH($A144&amp;"|תחילת שנה",'רווחה - קליטה'!$AF$5:$AF$204,0)),""))</f>
        <v/>
      </c>
      <c r="E144" s="45">
        <f>IF($A144="","",IFERROR(AVERAGEIFS('רווחה - קליטה'!$AR$5:$AR$204,'רווחה - קליטה'!$A$5:$A$204,$A144,'רווחה - קליטה'!$C$5:$C$204,"אמצע שנה"),""))</f>
        <v/>
      </c>
      <c r="F144" s="37">
        <f>IF($A144="","",IFERROR(AVERAGEIFS('רווחה - קליטה'!$AL$5:$AL$204,'רווחה - קליטה'!$A$5:$A$204,$A144,'רווחה - קליטה'!$C$5:$C$204,"אמצע שנה"),""))</f>
        <v/>
      </c>
      <c r="G144" s="36">
        <f>IF($A144="","",IFERROR(INDEX('רווחה - קליטה'!$AT$5:$AT$204,MATCH($A144&amp;"|אמצע שנה",'רווחה - קליטה'!$AF$5:$AF$204,0)),""))</f>
        <v/>
      </c>
      <c r="H144" s="45">
        <f>IF($A144="","",IFERROR(AVERAGEIFS('רווחה - קליטה'!$AR$5:$AR$204,'רווחה - קליטה'!$A$5:$A$204,$A144,'רווחה - קליטה'!$C$5:$C$204,"סוף שנה"),""))</f>
        <v/>
      </c>
      <c r="I144" s="37">
        <f>IF($A144="","",IFERROR(AVERAGEIFS('רווחה - קליטה'!$AL$5:$AL$204,'רווחה - קליטה'!$A$5:$A$204,$A144,'רווחה - קליטה'!$C$5:$C$204,"סוף שנה"),""))</f>
        <v/>
      </c>
      <c r="J144" s="36">
        <f>IF($A144="","",IFERROR(INDEX('רווחה - קליטה'!$AT$5:$AT$204,MATCH($A144&amp;"|סוף שנה",'רווחה - קליטה'!$AF$5:$AF$204,0)),""))</f>
        <v/>
      </c>
      <c r="K144" s="46">
        <f>IF(AND(ISNUMBER(B144),ISNUMBER(H144)),H144-B144,"")</f>
        <v/>
      </c>
      <c r="L144" s="36">
        <f>IF(K144="","",IF(K144&gt;=0.5,"עלייה",IF(K144&lt;=-0.5,"ירידה","יציב")))</f>
        <v/>
      </c>
    </row>
    <row r="145">
      <c r="A145" s="38" t="n"/>
      <c r="B145" s="45">
        <f>IF($A145="","",IFERROR(AVERAGEIFS('רווחה - קליטה'!$AR$5:$AR$204,'רווחה - קליטה'!$A$5:$A$204,$A145,'רווחה - קליטה'!$C$5:$C$204,"תחילת שנה"),""))</f>
        <v/>
      </c>
      <c r="C145" s="37">
        <f>IF($A145="","",IFERROR(AVERAGEIFS('רווחה - קליטה'!$AL$5:$AL$204,'רווחה - קליטה'!$A$5:$A$204,$A145,'רווחה - קליטה'!$C$5:$C$204,"תחילת שנה"),""))</f>
        <v/>
      </c>
      <c r="D145" s="36">
        <f>IF($A145="","",IFERROR(INDEX('רווחה - קליטה'!$AT$5:$AT$204,MATCH($A145&amp;"|תחילת שנה",'רווחה - קליטה'!$AF$5:$AF$204,0)),""))</f>
        <v/>
      </c>
      <c r="E145" s="45">
        <f>IF($A145="","",IFERROR(AVERAGEIFS('רווחה - קליטה'!$AR$5:$AR$204,'רווחה - קליטה'!$A$5:$A$204,$A145,'רווחה - קליטה'!$C$5:$C$204,"אמצע שנה"),""))</f>
        <v/>
      </c>
      <c r="F145" s="37">
        <f>IF($A145="","",IFERROR(AVERAGEIFS('רווחה - קליטה'!$AL$5:$AL$204,'רווחה - קליטה'!$A$5:$A$204,$A145,'רווחה - קליטה'!$C$5:$C$204,"אמצע שנה"),""))</f>
        <v/>
      </c>
      <c r="G145" s="36">
        <f>IF($A145="","",IFERROR(INDEX('רווחה - קליטה'!$AT$5:$AT$204,MATCH($A145&amp;"|אמצע שנה",'רווחה - קליטה'!$AF$5:$AF$204,0)),""))</f>
        <v/>
      </c>
      <c r="H145" s="45">
        <f>IF($A145="","",IFERROR(AVERAGEIFS('רווחה - קליטה'!$AR$5:$AR$204,'רווחה - קליטה'!$A$5:$A$204,$A145,'רווחה - קליטה'!$C$5:$C$204,"סוף שנה"),""))</f>
        <v/>
      </c>
      <c r="I145" s="37">
        <f>IF($A145="","",IFERROR(AVERAGEIFS('רווחה - קליטה'!$AL$5:$AL$204,'רווחה - קליטה'!$A$5:$A$204,$A145,'רווחה - קליטה'!$C$5:$C$204,"סוף שנה"),""))</f>
        <v/>
      </c>
      <c r="J145" s="36">
        <f>IF($A145="","",IFERROR(INDEX('רווחה - קליטה'!$AT$5:$AT$204,MATCH($A145&amp;"|סוף שנה",'רווחה - קליטה'!$AF$5:$AF$204,0)),""))</f>
        <v/>
      </c>
      <c r="K145" s="46">
        <f>IF(AND(ISNUMBER(B145),ISNUMBER(H145)),H145-B145,"")</f>
        <v/>
      </c>
      <c r="L145" s="36">
        <f>IF(K145="","",IF(K145&gt;=0.5,"עלייה",IF(K145&lt;=-0.5,"ירידה","יציב")))</f>
        <v/>
      </c>
    </row>
    <row r="146">
      <c r="A146" s="38" t="n"/>
      <c r="B146" s="45">
        <f>IF($A146="","",IFERROR(AVERAGEIFS('רווחה - קליטה'!$AR$5:$AR$204,'רווחה - קליטה'!$A$5:$A$204,$A146,'רווחה - קליטה'!$C$5:$C$204,"תחילת שנה"),""))</f>
        <v/>
      </c>
      <c r="C146" s="37">
        <f>IF($A146="","",IFERROR(AVERAGEIFS('רווחה - קליטה'!$AL$5:$AL$204,'רווחה - קליטה'!$A$5:$A$204,$A146,'רווחה - קליטה'!$C$5:$C$204,"תחילת שנה"),""))</f>
        <v/>
      </c>
      <c r="D146" s="36">
        <f>IF($A146="","",IFERROR(INDEX('רווחה - קליטה'!$AT$5:$AT$204,MATCH($A146&amp;"|תחילת שנה",'רווחה - קליטה'!$AF$5:$AF$204,0)),""))</f>
        <v/>
      </c>
      <c r="E146" s="45">
        <f>IF($A146="","",IFERROR(AVERAGEIFS('רווחה - קליטה'!$AR$5:$AR$204,'רווחה - קליטה'!$A$5:$A$204,$A146,'רווחה - קליטה'!$C$5:$C$204,"אמצע שנה"),""))</f>
        <v/>
      </c>
      <c r="F146" s="37">
        <f>IF($A146="","",IFERROR(AVERAGEIFS('רווחה - קליטה'!$AL$5:$AL$204,'רווחה - קליטה'!$A$5:$A$204,$A146,'רווחה - קליטה'!$C$5:$C$204,"אמצע שנה"),""))</f>
        <v/>
      </c>
      <c r="G146" s="36">
        <f>IF($A146="","",IFERROR(INDEX('רווחה - קליטה'!$AT$5:$AT$204,MATCH($A146&amp;"|אמצע שנה",'רווחה - קליטה'!$AF$5:$AF$204,0)),""))</f>
        <v/>
      </c>
      <c r="H146" s="45">
        <f>IF($A146="","",IFERROR(AVERAGEIFS('רווחה - קליטה'!$AR$5:$AR$204,'רווחה - קליטה'!$A$5:$A$204,$A146,'רווחה - קליטה'!$C$5:$C$204,"סוף שנה"),""))</f>
        <v/>
      </c>
      <c r="I146" s="37">
        <f>IF($A146="","",IFERROR(AVERAGEIFS('רווחה - קליטה'!$AL$5:$AL$204,'רווחה - קליטה'!$A$5:$A$204,$A146,'רווחה - קליטה'!$C$5:$C$204,"סוף שנה"),""))</f>
        <v/>
      </c>
      <c r="J146" s="36">
        <f>IF($A146="","",IFERROR(INDEX('רווחה - קליטה'!$AT$5:$AT$204,MATCH($A146&amp;"|סוף שנה",'רווחה - קליטה'!$AF$5:$AF$204,0)),""))</f>
        <v/>
      </c>
      <c r="K146" s="46">
        <f>IF(AND(ISNUMBER(B146),ISNUMBER(H146)),H146-B146,"")</f>
        <v/>
      </c>
      <c r="L146" s="36">
        <f>IF(K146="","",IF(K146&gt;=0.5,"עלייה",IF(K146&lt;=-0.5,"ירידה","יציב")))</f>
        <v/>
      </c>
    </row>
    <row r="147">
      <c r="A147" s="38" t="n"/>
      <c r="B147" s="45">
        <f>IF($A147="","",IFERROR(AVERAGEIFS('רווחה - קליטה'!$AR$5:$AR$204,'רווחה - קליטה'!$A$5:$A$204,$A147,'רווחה - קליטה'!$C$5:$C$204,"תחילת שנה"),""))</f>
        <v/>
      </c>
      <c r="C147" s="37">
        <f>IF($A147="","",IFERROR(AVERAGEIFS('רווחה - קליטה'!$AL$5:$AL$204,'רווחה - קליטה'!$A$5:$A$204,$A147,'רווחה - קליטה'!$C$5:$C$204,"תחילת שנה"),""))</f>
        <v/>
      </c>
      <c r="D147" s="36">
        <f>IF($A147="","",IFERROR(INDEX('רווחה - קליטה'!$AT$5:$AT$204,MATCH($A147&amp;"|תחילת שנה",'רווחה - קליטה'!$AF$5:$AF$204,0)),""))</f>
        <v/>
      </c>
      <c r="E147" s="45">
        <f>IF($A147="","",IFERROR(AVERAGEIFS('רווחה - קליטה'!$AR$5:$AR$204,'רווחה - קליטה'!$A$5:$A$204,$A147,'רווחה - קליטה'!$C$5:$C$204,"אמצע שנה"),""))</f>
        <v/>
      </c>
      <c r="F147" s="37">
        <f>IF($A147="","",IFERROR(AVERAGEIFS('רווחה - קליטה'!$AL$5:$AL$204,'רווחה - קליטה'!$A$5:$A$204,$A147,'רווחה - קליטה'!$C$5:$C$204,"אמצע שנה"),""))</f>
        <v/>
      </c>
      <c r="G147" s="36">
        <f>IF($A147="","",IFERROR(INDEX('רווחה - קליטה'!$AT$5:$AT$204,MATCH($A147&amp;"|אמצע שנה",'רווחה - קליטה'!$AF$5:$AF$204,0)),""))</f>
        <v/>
      </c>
      <c r="H147" s="45">
        <f>IF($A147="","",IFERROR(AVERAGEIFS('רווחה - קליטה'!$AR$5:$AR$204,'רווחה - קליטה'!$A$5:$A$204,$A147,'רווחה - קליטה'!$C$5:$C$204,"סוף שנה"),""))</f>
        <v/>
      </c>
      <c r="I147" s="37">
        <f>IF($A147="","",IFERROR(AVERAGEIFS('רווחה - קליטה'!$AL$5:$AL$204,'רווחה - קליטה'!$A$5:$A$204,$A147,'רווחה - קליטה'!$C$5:$C$204,"סוף שנה"),""))</f>
        <v/>
      </c>
      <c r="J147" s="36">
        <f>IF($A147="","",IFERROR(INDEX('רווחה - קליטה'!$AT$5:$AT$204,MATCH($A147&amp;"|סוף שנה",'רווחה - קליטה'!$AF$5:$AF$204,0)),""))</f>
        <v/>
      </c>
      <c r="K147" s="46">
        <f>IF(AND(ISNUMBER(B147),ISNUMBER(H147)),H147-B147,"")</f>
        <v/>
      </c>
      <c r="L147" s="36">
        <f>IF(K147="","",IF(K147&gt;=0.5,"עלייה",IF(K147&lt;=-0.5,"ירידה","יציב")))</f>
        <v/>
      </c>
    </row>
    <row r="148">
      <c r="A148" s="38" t="n"/>
      <c r="B148" s="45">
        <f>IF($A148="","",IFERROR(AVERAGEIFS('רווחה - קליטה'!$AR$5:$AR$204,'רווחה - קליטה'!$A$5:$A$204,$A148,'רווחה - קליטה'!$C$5:$C$204,"תחילת שנה"),""))</f>
        <v/>
      </c>
      <c r="C148" s="37">
        <f>IF($A148="","",IFERROR(AVERAGEIFS('רווחה - קליטה'!$AL$5:$AL$204,'רווחה - קליטה'!$A$5:$A$204,$A148,'רווחה - קליטה'!$C$5:$C$204,"תחילת שנה"),""))</f>
        <v/>
      </c>
      <c r="D148" s="36">
        <f>IF($A148="","",IFERROR(INDEX('רווחה - קליטה'!$AT$5:$AT$204,MATCH($A148&amp;"|תחילת שנה",'רווחה - קליטה'!$AF$5:$AF$204,0)),""))</f>
        <v/>
      </c>
      <c r="E148" s="45">
        <f>IF($A148="","",IFERROR(AVERAGEIFS('רווחה - קליטה'!$AR$5:$AR$204,'רווחה - קליטה'!$A$5:$A$204,$A148,'רווחה - קליטה'!$C$5:$C$204,"אמצע שנה"),""))</f>
        <v/>
      </c>
      <c r="F148" s="37">
        <f>IF($A148="","",IFERROR(AVERAGEIFS('רווחה - קליטה'!$AL$5:$AL$204,'רווחה - קליטה'!$A$5:$A$204,$A148,'רווחה - קליטה'!$C$5:$C$204,"אמצע שנה"),""))</f>
        <v/>
      </c>
      <c r="G148" s="36">
        <f>IF($A148="","",IFERROR(INDEX('רווחה - קליטה'!$AT$5:$AT$204,MATCH($A148&amp;"|אמצע שנה",'רווחה - קליטה'!$AF$5:$AF$204,0)),""))</f>
        <v/>
      </c>
      <c r="H148" s="45">
        <f>IF($A148="","",IFERROR(AVERAGEIFS('רווחה - קליטה'!$AR$5:$AR$204,'רווחה - קליטה'!$A$5:$A$204,$A148,'רווחה - קליטה'!$C$5:$C$204,"סוף שנה"),""))</f>
        <v/>
      </c>
      <c r="I148" s="37">
        <f>IF($A148="","",IFERROR(AVERAGEIFS('רווחה - קליטה'!$AL$5:$AL$204,'רווחה - קליטה'!$A$5:$A$204,$A148,'רווחה - קליטה'!$C$5:$C$204,"סוף שנה"),""))</f>
        <v/>
      </c>
      <c r="J148" s="36">
        <f>IF($A148="","",IFERROR(INDEX('רווחה - קליטה'!$AT$5:$AT$204,MATCH($A148&amp;"|סוף שנה",'רווחה - קליטה'!$AF$5:$AF$204,0)),""))</f>
        <v/>
      </c>
      <c r="K148" s="46">
        <f>IF(AND(ISNUMBER(B148),ISNUMBER(H148)),H148-B148,"")</f>
        <v/>
      </c>
      <c r="L148" s="36">
        <f>IF(K148="","",IF(K148&gt;=0.5,"עלייה",IF(K148&lt;=-0.5,"ירידה","יציב")))</f>
        <v/>
      </c>
    </row>
    <row r="149">
      <c r="A149" s="38" t="n"/>
      <c r="B149" s="45">
        <f>IF($A149="","",IFERROR(AVERAGEIFS('רווחה - קליטה'!$AR$5:$AR$204,'רווחה - קליטה'!$A$5:$A$204,$A149,'רווחה - קליטה'!$C$5:$C$204,"תחילת שנה"),""))</f>
        <v/>
      </c>
      <c r="C149" s="37">
        <f>IF($A149="","",IFERROR(AVERAGEIFS('רווחה - קליטה'!$AL$5:$AL$204,'רווחה - קליטה'!$A$5:$A$204,$A149,'רווחה - קליטה'!$C$5:$C$204,"תחילת שנה"),""))</f>
        <v/>
      </c>
      <c r="D149" s="36">
        <f>IF($A149="","",IFERROR(INDEX('רווחה - קליטה'!$AT$5:$AT$204,MATCH($A149&amp;"|תחילת שנה",'רווחה - קליטה'!$AF$5:$AF$204,0)),""))</f>
        <v/>
      </c>
      <c r="E149" s="45">
        <f>IF($A149="","",IFERROR(AVERAGEIFS('רווחה - קליטה'!$AR$5:$AR$204,'רווחה - קליטה'!$A$5:$A$204,$A149,'רווחה - קליטה'!$C$5:$C$204,"אמצע שנה"),""))</f>
        <v/>
      </c>
      <c r="F149" s="37">
        <f>IF($A149="","",IFERROR(AVERAGEIFS('רווחה - קליטה'!$AL$5:$AL$204,'רווחה - קליטה'!$A$5:$A$204,$A149,'רווחה - קליטה'!$C$5:$C$204,"אמצע שנה"),""))</f>
        <v/>
      </c>
      <c r="G149" s="36">
        <f>IF($A149="","",IFERROR(INDEX('רווחה - קליטה'!$AT$5:$AT$204,MATCH($A149&amp;"|אמצע שנה",'רווחה - קליטה'!$AF$5:$AF$204,0)),""))</f>
        <v/>
      </c>
      <c r="H149" s="45">
        <f>IF($A149="","",IFERROR(AVERAGEIFS('רווחה - קליטה'!$AR$5:$AR$204,'רווחה - קליטה'!$A$5:$A$204,$A149,'רווחה - קליטה'!$C$5:$C$204,"סוף שנה"),""))</f>
        <v/>
      </c>
      <c r="I149" s="37">
        <f>IF($A149="","",IFERROR(AVERAGEIFS('רווחה - קליטה'!$AL$5:$AL$204,'רווחה - קליטה'!$A$5:$A$204,$A149,'רווחה - קליטה'!$C$5:$C$204,"סוף שנה"),""))</f>
        <v/>
      </c>
      <c r="J149" s="36">
        <f>IF($A149="","",IFERROR(INDEX('רווחה - קליטה'!$AT$5:$AT$204,MATCH($A149&amp;"|סוף שנה",'רווחה - קליטה'!$AF$5:$AF$204,0)),""))</f>
        <v/>
      </c>
      <c r="K149" s="46">
        <f>IF(AND(ISNUMBER(B149),ISNUMBER(H149)),H149-B149,"")</f>
        <v/>
      </c>
      <c r="L149" s="36">
        <f>IF(K149="","",IF(K149&gt;=0.5,"עלייה",IF(K149&lt;=-0.5,"ירידה","יציב")))</f>
        <v/>
      </c>
    </row>
    <row r="150">
      <c r="A150" s="38" t="n"/>
      <c r="B150" s="45">
        <f>IF($A150="","",IFERROR(AVERAGEIFS('רווחה - קליטה'!$AR$5:$AR$204,'רווחה - קליטה'!$A$5:$A$204,$A150,'רווחה - קליטה'!$C$5:$C$204,"תחילת שנה"),""))</f>
        <v/>
      </c>
      <c r="C150" s="37">
        <f>IF($A150="","",IFERROR(AVERAGEIFS('רווחה - קליטה'!$AL$5:$AL$204,'רווחה - קליטה'!$A$5:$A$204,$A150,'רווחה - קליטה'!$C$5:$C$204,"תחילת שנה"),""))</f>
        <v/>
      </c>
      <c r="D150" s="36">
        <f>IF($A150="","",IFERROR(INDEX('רווחה - קליטה'!$AT$5:$AT$204,MATCH($A150&amp;"|תחילת שנה",'רווחה - קליטה'!$AF$5:$AF$204,0)),""))</f>
        <v/>
      </c>
      <c r="E150" s="45">
        <f>IF($A150="","",IFERROR(AVERAGEIFS('רווחה - קליטה'!$AR$5:$AR$204,'רווחה - קליטה'!$A$5:$A$204,$A150,'רווחה - קליטה'!$C$5:$C$204,"אמצע שנה"),""))</f>
        <v/>
      </c>
      <c r="F150" s="37">
        <f>IF($A150="","",IFERROR(AVERAGEIFS('רווחה - קליטה'!$AL$5:$AL$204,'רווחה - קליטה'!$A$5:$A$204,$A150,'רווחה - קליטה'!$C$5:$C$204,"אמצע שנה"),""))</f>
        <v/>
      </c>
      <c r="G150" s="36">
        <f>IF($A150="","",IFERROR(INDEX('רווחה - קליטה'!$AT$5:$AT$204,MATCH($A150&amp;"|אמצע שנה",'רווחה - קליטה'!$AF$5:$AF$204,0)),""))</f>
        <v/>
      </c>
      <c r="H150" s="45">
        <f>IF($A150="","",IFERROR(AVERAGEIFS('רווחה - קליטה'!$AR$5:$AR$204,'רווחה - קליטה'!$A$5:$A$204,$A150,'רווחה - קליטה'!$C$5:$C$204,"סוף שנה"),""))</f>
        <v/>
      </c>
      <c r="I150" s="37">
        <f>IF($A150="","",IFERROR(AVERAGEIFS('רווחה - קליטה'!$AL$5:$AL$204,'רווחה - קליטה'!$A$5:$A$204,$A150,'רווחה - קליטה'!$C$5:$C$204,"סוף שנה"),""))</f>
        <v/>
      </c>
      <c r="J150" s="36">
        <f>IF($A150="","",IFERROR(INDEX('רווחה - קליטה'!$AT$5:$AT$204,MATCH($A150&amp;"|סוף שנה",'רווחה - קליטה'!$AF$5:$AF$204,0)),""))</f>
        <v/>
      </c>
      <c r="K150" s="46">
        <f>IF(AND(ISNUMBER(B150),ISNUMBER(H150)),H150-B150,"")</f>
        <v/>
      </c>
      <c r="L150" s="36">
        <f>IF(K150="","",IF(K150&gt;=0.5,"עלייה",IF(K150&lt;=-0.5,"ירידה","יציב")))</f>
        <v/>
      </c>
    </row>
    <row r="151">
      <c r="A151" s="38" t="n"/>
      <c r="B151" s="45">
        <f>IF($A151="","",IFERROR(AVERAGEIFS('רווחה - קליטה'!$AR$5:$AR$204,'רווחה - קליטה'!$A$5:$A$204,$A151,'רווחה - קליטה'!$C$5:$C$204,"תחילת שנה"),""))</f>
        <v/>
      </c>
      <c r="C151" s="37">
        <f>IF($A151="","",IFERROR(AVERAGEIFS('רווחה - קליטה'!$AL$5:$AL$204,'רווחה - קליטה'!$A$5:$A$204,$A151,'רווחה - קליטה'!$C$5:$C$204,"תחילת שנה"),""))</f>
        <v/>
      </c>
      <c r="D151" s="36">
        <f>IF($A151="","",IFERROR(INDEX('רווחה - קליטה'!$AT$5:$AT$204,MATCH($A151&amp;"|תחילת שנה",'רווחה - קליטה'!$AF$5:$AF$204,0)),""))</f>
        <v/>
      </c>
      <c r="E151" s="45">
        <f>IF($A151="","",IFERROR(AVERAGEIFS('רווחה - קליטה'!$AR$5:$AR$204,'רווחה - קליטה'!$A$5:$A$204,$A151,'רווחה - קליטה'!$C$5:$C$204,"אמצע שנה"),""))</f>
        <v/>
      </c>
      <c r="F151" s="37">
        <f>IF($A151="","",IFERROR(AVERAGEIFS('רווחה - קליטה'!$AL$5:$AL$204,'רווחה - קליטה'!$A$5:$A$204,$A151,'רווחה - קליטה'!$C$5:$C$204,"אמצע שנה"),""))</f>
        <v/>
      </c>
      <c r="G151" s="36">
        <f>IF($A151="","",IFERROR(INDEX('רווחה - קליטה'!$AT$5:$AT$204,MATCH($A151&amp;"|אמצע שנה",'רווחה - קליטה'!$AF$5:$AF$204,0)),""))</f>
        <v/>
      </c>
      <c r="H151" s="45">
        <f>IF($A151="","",IFERROR(AVERAGEIFS('רווחה - קליטה'!$AR$5:$AR$204,'רווחה - קליטה'!$A$5:$A$204,$A151,'רווחה - קליטה'!$C$5:$C$204,"סוף שנה"),""))</f>
        <v/>
      </c>
      <c r="I151" s="37">
        <f>IF($A151="","",IFERROR(AVERAGEIFS('רווחה - קליטה'!$AL$5:$AL$204,'רווחה - קליטה'!$A$5:$A$204,$A151,'רווחה - קליטה'!$C$5:$C$204,"סוף שנה"),""))</f>
        <v/>
      </c>
      <c r="J151" s="36">
        <f>IF($A151="","",IFERROR(INDEX('רווחה - קליטה'!$AT$5:$AT$204,MATCH($A151&amp;"|סוף שנה",'רווחה - קליטה'!$AF$5:$AF$204,0)),""))</f>
        <v/>
      </c>
      <c r="K151" s="46">
        <f>IF(AND(ISNUMBER(B151),ISNUMBER(H151)),H151-B151,"")</f>
        <v/>
      </c>
      <c r="L151" s="36">
        <f>IF(K151="","",IF(K151&gt;=0.5,"עלייה",IF(K151&lt;=-0.5,"ירידה","יציב")))</f>
        <v/>
      </c>
    </row>
    <row r="152">
      <c r="A152" s="38" t="n"/>
      <c r="B152" s="45">
        <f>IF($A152="","",IFERROR(AVERAGEIFS('רווחה - קליטה'!$AR$5:$AR$204,'רווחה - קליטה'!$A$5:$A$204,$A152,'רווחה - קליטה'!$C$5:$C$204,"תחילת שנה"),""))</f>
        <v/>
      </c>
      <c r="C152" s="37">
        <f>IF($A152="","",IFERROR(AVERAGEIFS('רווחה - קליטה'!$AL$5:$AL$204,'רווחה - קליטה'!$A$5:$A$204,$A152,'רווחה - קליטה'!$C$5:$C$204,"תחילת שנה"),""))</f>
        <v/>
      </c>
      <c r="D152" s="36">
        <f>IF($A152="","",IFERROR(INDEX('רווחה - קליטה'!$AT$5:$AT$204,MATCH($A152&amp;"|תחילת שנה",'רווחה - קליטה'!$AF$5:$AF$204,0)),""))</f>
        <v/>
      </c>
      <c r="E152" s="45">
        <f>IF($A152="","",IFERROR(AVERAGEIFS('רווחה - קליטה'!$AR$5:$AR$204,'רווחה - קליטה'!$A$5:$A$204,$A152,'רווחה - קליטה'!$C$5:$C$204,"אמצע שנה"),""))</f>
        <v/>
      </c>
      <c r="F152" s="37">
        <f>IF($A152="","",IFERROR(AVERAGEIFS('רווחה - קליטה'!$AL$5:$AL$204,'רווחה - קליטה'!$A$5:$A$204,$A152,'רווחה - קליטה'!$C$5:$C$204,"אמצע שנה"),""))</f>
        <v/>
      </c>
      <c r="G152" s="36">
        <f>IF($A152="","",IFERROR(INDEX('רווחה - קליטה'!$AT$5:$AT$204,MATCH($A152&amp;"|אמצע שנה",'רווחה - קליטה'!$AF$5:$AF$204,0)),""))</f>
        <v/>
      </c>
      <c r="H152" s="45">
        <f>IF($A152="","",IFERROR(AVERAGEIFS('רווחה - קליטה'!$AR$5:$AR$204,'רווחה - קליטה'!$A$5:$A$204,$A152,'רווחה - קליטה'!$C$5:$C$204,"סוף שנה"),""))</f>
        <v/>
      </c>
      <c r="I152" s="37">
        <f>IF($A152="","",IFERROR(AVERAGEIFS('רווחה - קליטה'!$AL$5:$AL$204,'רווחה - קליטה'!$A$5:$A$204,$A152,'רווחה - קליטה'!$C$5:$C$204,"סוף שנה"),""))</f>
        <v/>
      </c>
      <c r="J152" s="36">
        <f>IF($A152="","",IFERROR(INDEX('רווחה - קליטה'!$AT$5:$AT$204,MATCH($A152&amp;"|סוף שנה",'רווחה - קליטה'!$AF$5:$AF$204,0)),""))</f>
        <v/>
      </c>
      <c r="K152" s="46">
        <f>IF(AND(ISNUMBER(B152),ISNUMBER(H152)),H152-B152,"")</f>
        <v/>
      </c>
      <c r="L152" s="36">
        <f>IF(K152="","",IF(K152&gt;=0.5,"עלייה",IF(K152&lt;=-0.5,"ירידה","יציב")))</f>
        <v/>
      </c>
    </row>
    <row r="153">
      <c r="A153" s="38" t="n"/>
      <c r="B153" s="45">
        <f>IF($A153="","",IFERROR(AVERAGEIFS('רווחה - קליטה'!$AR$5:$AR$204,'רווחה - קליטה'!$A$5:$A$204,$A153,'רווחה - קליטה'!$C$5:$C$204,"תחילת שנה"),""))</f>
        <v/>
      </c>
      <c r="C153" s="37">
        <f>IF($A153="","",IFERROR(AVERAGEIFS('רווחה - קליטה'!$AL$5:$AL$204,'רווחה - קליטה'!$A$5:$A$204,$A153,'רווחה - קליטה'!$C$5:$C$204,"תחילת שנה"),""))</f>
        <v/>
      </c>
      <c r="D153" s="36">
        <f>IF($A153="","",IFERROR(INDEX('רווחה - קליטה'!$AT$5:$AT$204,MATCH($A153&amp;"|תחילת שנה",'רווחה - קליטה'!$AF$5:$AF$204,0)),""))</f>
        <v/>
      </c>
      <c r="E153" s="45">
        <f>IF($A153="","",IFERROR(AVERAGEIFS('רווחה - קליטה'!$AR$5:$AR$204,'רווחה - קליטה'!$A$5:$A$204,$A153,'רווחה - קליטה'!$C$5:$C$204,"אמצע שנה"),""))</f>
        <v/>
      </c>
      <c r="F153" s="37">
        <f>IF($A153="","",IFERROR(AVERAGEIFS('רווחה - קליטה'!$AL$5:$AL$204,'רווחה - קליטה'!$A$5:$A$204,$A153,'רווחה - קליטה'!$C$5:$C$204,"אמצע שנה"),""))</f>
        <v/>
      </c>
      <c r="G153" s="36">
        <f>IF($A153="","",IFERROR(INDEX('רווחה - קליטה'!$AT$5:$AT$204,MATCH($A153&amp;"|אמצע שנה",'רווחה - קליטה'!$AF$5:$AF$204,0)),""))</f>
        <v/>
      </c>
      <c r="H153" s="45">
        <f>IF($A153="","",IFERROR(AVERAGEIFS('רווחה - קליטה'!$AR$5:$AR$204,'רווחה - קליטה'!$A$5:$A$204,$A153,'רווחה - קליטה'!$C$5:$C$204,"סוף שנה"),""))</f>
        <v/>
      </c>
      <c r="I153" s="37">
        <f>IF($A153="","",IFERROR(AVERAGEIFS('רווחה - קליטה'!$AL$5:$AL$204,'רווחה - קליטה'!$A$5:$A$204,$A153,'רווחה - קליטה'!$C$5:$C$204,"סוף שנה"),""))</f>
        <v/>
      </c>
      <c r="J153" s="36">
        <f>IF($A153="","",IFERROR(INDEX('רווחה - קליטה'!$AT$5:$AT$204,MATCH($A153&amp;"|סוף שנה",'רווחה - קליטה'!$AF$5:$AF$204,0)),""))</f>
        <v/>
      </c>
      <c r="K153" s="46">
        <f>IF(AND(ISNUMBER(B153),ISNUMBER(H153)),H153-B153,"")</f>
        <v/>
      </c>
      <c r="L153" s="36">
        <f>IF(K153="","",IF(K153&gt;=0.5,"עלייה",IF(K153&lt;=-0.5,"ירידה","יציב")))</f>
        <v/>
      </c>
    </row>
    <row r="154">
      <c r="A154" s="38" t="n"/>
      <c r="B154" s="45">
        <f>IF($A154="","",IFERROR(AVERAGEIFS('רווחה - קליטה'!$AR$5:$AR$204,'רווחה - קליטה'!$A$5:$A$204,$A154,'רווחה - קליטה'!$C$5:$C$204,"תחילת שנה"),""))</f>
        <v/>
      </c>
      <c r="C154" s="37">
        <f>IF($A154="","",IFERROR(AVERAGEIFS('רווחה - קליטה'!$AL$5:$AL$204,'רווחה - קליטה'!$A$5:$A$204,$A154,'רווחה - קליטה'!$C$5:$C$204,"תחילת שנה"),""))</f>
        <v/>
      </c>
      <c r="D154" s="36">
        <f>IF($A154="","",IFERROR(INDEX('רווחה - קליטה'!$AT$5:$AT$204,MATCH($A154&amp;"|תחילת שנה",'רווחה - קליטה'!$AF$5:$AF$204,0)),""))</f>
        <v/>
      </c>
      <c r="E154" s="45">
        <f>IF($A154="","",IFERROR(AVERAGEIFS('רווחה - קליטה'!$AR$5:$AR$204,'רווחה - קליטה'!$A$5:$A$204,$A154,'רווחה - קליטה'!$C$5:$C$204,"אמצע שנה"),""))</f>
        <v/>
      </c>
      <c r="F154" s="37">
        <f>IF($A154="","",IFERROR(AVERAGEIFS('רווחה - קליטה'!$AL$5:$AL$204,'רווחה - קליטה'!$A$5:$A$204,$A154,'רווחה - קליטה'!$C$5:$C$204,"אמצע שנה"),""))</f>
        <v/>
      </c>
      <c r="G154" s="36">
        <f>IF($A154="","",IFERROR(INDEX('רווחה - קליטה'!$AT$5:$AT$204,MATCH($A154&amp;"|אמצע שנה",'רווחה - קליטה'!$AF$5:$AF$204,0)),""))</f>
        <v/>
      </c>
      <c r="H154" s="45">
        <f>IF($A154="","",IFERROR(AVERAGEIFS('רווחה - קליטה'!$AR$5:$AR$204,'רווחה - קליטה'!$A$5:$A$204,$A154,'רווחה - קליטה'!$C$5:$C$204,"סוף שנה"),""))</f>
        <v/>
      </c>
      <c r="I154" s="37">
        <f>IF($A154="","",IFERROR(AVERAGEIFS('רווחה - קליטה'!$AL$5:$AL$204,'רווחה - קליטה'!$A$5:$A$204,$A154,'רווחה - קליטה'!$C$5:$C$204,"סוף שנה"),""))</f>
        <v/>
      </c>
      <c r="J154" s="36">
        <f>IF($A154="","",IFERROR(INDEX('רווחה - קליטה'!$AT$5:$AT$204,MATCH($A154&amp;"|סוף שנה",'רווחה - קליטה'!$AF$5:$AF$204,0)),""))</f>
        <v/>
      </c>
      <c r="K154" s="46">
        <f>IF(AND(ISNUMBER(B154),ISNUMBER(H154)),H154-B154,"")</f>
        <v/>
      </c>
      <c r="L154" s="36">
        <f>IF(K154="","",IF(K154&gt;=0.5,"עלייה",IF(K154&lt;=-0.5,"ירידה","יציב")))</f>
        <v/>
      </c>
    </row>
    <row r="155">
      <c r="A155" s="38" t="n"/>
      <c r="B155" s="45">
        <f>IF($A155="","",IFERROR(AVERAGEIFS('רווחה - קליטה'!$AR$5:$AR$204,'רווחה - קליטה'!$A$5:$A$204,$A155,'רווחה - קליטה'!$C$5:$C$204,"תחילת שנה"),""))</f>
        <v/>
      </c>
      <c r="C155" s="37">
        <f>IF($A155="","",IFERROR(AVERAGEIFS('רווחה - קליטה'!$AL$5:$AL$204,'רווחה - קליטה'!$A$5:$A$204,$A155,'רווחה - קליטה'!$C$5:$C$204,"תחילת שנה"),""))</f>
        <v/>
      </c>
      <c r="D155" s="36">
        <f>IF($A155="","",IFERROR(INDEX('רווחה - קליטה'!$AT$5:$AT$204,MATCH($A155&amp;"|תחילת שנה",'רווחה - קליטה'!$AF$5:$AF$204,0)),""))</f>
        <v/>
      </c>
      <c r="E155" s="45">
        <f>IF($A155="","",IFERROR(AVERAGEIFS('רווחה - קליטה'!$AR$5:$AR$204,'רווחה - קליטה'!$A$5:$A$204,$A155,'רווחה - קליטה'!$C$5:$C$204,"אמצע שנה"),""))</f>
        <v/>
      </c>
      <c r="F155" s="37">
        <f>IF($A155="","",IFERROR(AVERAGEIFS('רווחה - קליטה'!$AL$5:$AL$204,'רווחה - קליטה'!$A$5:$A$204,$A155,'רווחה - קליטה'!$C$5:$C$204,"אמצע שנה"),""))</f>
        <v/>
      </c>
      <c r="G155" s="36">
        <f>IF($A155="","",IFERROR(INDEX('רווחה - קליטה'!$AT$5:$AT$204,MATCH($A155&amp;"|אמצע שנה",'רווחה - קליטה'!$AF$5:$AF$204,0)),""))</f>
        <v/>
      </c>
      <c r="H155" s="45">
        <f>IF($A155="","",IFERROR(AVERAGEIFS('רווחה - קליטה'!$AR$5:$AR$204,'רווחה - קליטה'!$A$5:$A$204,$A155,'רווחה - קליטה'!$C$5:$C$204,"סוף שנה"),""))</f>
        <v/>
      </c>
      <c r="I155" s="37">
        <f>IF($A155="","",IFERROR(AVERAGEIFS('רווחה - קליטה'!$AL$5:$AL$204,'רווחה - קליטה'!$A$5:$A$204,$A155,'רווחה - קליטה'!$C$5:$C$204,"סוף שנה"),""))</f>
        <v/>
      </c>
      <c r="J155" s="36">
        <f>IF($A155="","",IFERROR(INDEX('רווחה - קליטה'!$AT$5:$AT$204,MATCH($A155&amp;"|סוף שנה",'רווחה - קליטה'!$AF$5:$AF$204,0)),""))</f>
        <v/>
      </c>
      <c r="K155" s="46">
        <f>IF(AND(ISNUMBER(B155),ISNUMBER(H155)),H155-B155,"")</f>
        <v/>
      </c>
      <c r="L155" s="36">
        <f>IF(K155="","",IF(K155&gt;=0.5,"עלייה",IF(K155&lt;=-0.5,"ירידה","יציב")))</f>
        <v/>
      </c>
    </row>
    <row r="156">
      <c r="A156" s="38" t="n"/>
      <c r="B156" s="45">
        <f>IF($A156="","",IFERROR(AVERAGEIFS('רווחה - קליטה'!$AR$5:$AR$204,'רווחה - קליטה'!$A$5:$A$204,$A156,'רווחה - קליטה'!$C$5:$C$204,"תחילת שנה"),""))</f>
        <v/>
      </c>
      <c r="C156" s="37">
        <f>IF($A156="","",IFERROR(AVERAGEIFS('רווחה - קליטה'!$AL$5:$AL$204,'רווחה - קליטה'!$A$5:$A$204,$A156,'רווחה - קליטה'!$C$5:$C$204,"תחילת שנה"),""))</f>
        <v/>
      </c>
      <c r="D156" s="36">
        <f>IF($A156="","",IFERROR(INDEX('רווחה - קליטה'!$AT$5:$AT$204,MATCH($A156&amp;"|תחילת שנה",'רווחה - קליטה'!$AF$5:$AF$204,0)),""))</f>
        <v/>
      </c>
      <c r="E156" s="45">
        <f>IF($A156="","",IFERROR(AVERAGEIFS('רווחה - קליטה'!$AR$5:$AR$204,'רווחה - קליטה'!$A$5:$A$204,$A156,'רווחה - קליטה'!$C$5:$C$204,"אמצע שנה"),""))</f>
        <v/>
      </c>
      <c r="F156" s="37">
        <f>IF($A156="","",IFERROR(AVERAGEIFS('רווחה - קליטה'!$AL$5:$AL$204,'רווחה - קליטה'!$A$5:$A$204,$A156,'רווחה - קליטה'!$C$5:$C$204,"אמצע שנה"),""))</f>
        <v/>
      </c>
      <c r="G156" s="36">
        <f>IF($A156="","",IFERROR(INDEX('רווחה - קליטה'!$AT$5:$AT$204,MATCH($A156&amp;"|אמצע שנה",'רווחה - קליטה'!$AF$5:$AF$204,0)),""))</f>
        <v/>
      </c>
      <c r="H156" s="45">
        <f>IF($A156="","",IFERROR(AVERAGEIFS('רווחה - קליטה'!$AR$5:$AR$204,'רווחה - קליטה'!$A$5:$A$204,$A156,'רווחה - קליטה'!$C$5:$C$204,"סוף שנה"),""))</f>
        <v/>
      </c>
      <c r="I156" s="37">
        <f>IF($A156="","",IFERROR(AVERAGEIFS('רווחה - קליטה'!$AL$5:$AL$204,'רווחה - קליטה'!$A$5:$A$204,$A156,'רווחה - קליטה'!$C$5:$C$204,"סוף שנה"),""))</f>
        <v/>
      </c>
      <c r="J156" s="36">
        <f>IF($A156="","",IFERROR(INDEX('רווחה - קליטה'!$AT$5:$AT$204,MATCH($A156&amp;"|סוף שנה",'רווחה - קליטה'!$AF$5:$AF$204,0)),""))</f>
        <v/>
      </c>
      <c r="K156" s="46">
        <f>IF(AND(ISNUMBER(B156),ISNUMBER(H156)),H156-B156,"")</f>
        <v/>
      </c>
      <c r="L156" s="36">
        <f>IF(K156="","",IF(K156&gt;=0.5,"עלייה",IF(K156&lt;=-0.5,"ירידה","יציב")))</f>
        <v/>
      </c>
    </row>
    <row r="157">
      <c r="A157" s="38" t="n"/>
      <c r="B157" s="45">
        <f>IF($A157="","",IFERROR(AVERAGEIFS('רווחה - קליטה'!$AR$5:$AR$204,'רווחה - קליטה'!$A$5:$A$204,$A157,'רווחה - קליטה'!$C$5:$C$204,"תחילת שנה"),""))</f>
        <v/>
      </c>
      <c r="C157" s="37">
        <f>IF($A157="","",IFERROR(AVERAGEIFS('רווחה - קליטה'!$AL$5:$AL$204,'רווחה - קליטה'!$A$5:$A$204,$A157,'רווחה - קליטה'!$C$5:$C$204,"תחילת שנה"),""))</f>
        <v/>
      </c>
      <c r="D157" s="36">
        <f>IF($A157="","",IFERROR(INDEX('רווחה - קליטה'!$AT$5:$AT$204,MATCH($A157&amp;"|תחילת שנה",'רווחה - קליטה'!$AF$5:$AF$204,0)),""))</f>
        <v/>
      </c>
      <c r="E157" s="45">
        <f>IF($A157="","",IFERROR(AVERAGEIFS('רווחה - קליטה'!$AR$5:$AR$204,'רווחה - קליטה'!$A$5:$A$204,$A157,'רווחה - קליטה'!$C$5:$C$204,"אמצע שנה"),""))</f>
        <v/>
      </c>
      <c r="F157" s="37">
        <f>IF($A157="","",IFERROR(AVERAGEIFS('רווחה - קליטה'!$AL$5:$AL$204,'רווחה - קליטה'!$A$5:$A$204,$A157,'רווחה - קליטה'!$C$5:$C$204,"אמצע שנה"),""))</f>
        <v/>
      </c>
      <c r="G157" s="36">
        <f>IF($A157="","",IFERROR(INDEX('רווחה - קליטה'!$AT$5:$AT$204,MATCH($A157&amp;"|אמצע שנה",'רווחה - קליטה'!$AF$5:$AF$204,0)),""))</f>
        <v/>
      </c>
      <c r="H157" s="45">
        <f>IF($A157="","",IFERROR(AVERAGEIFS('רווחה - קליטה'!$AR$5:$AR$204,'רווחה - קליטה'!$A$5:$A$204,$A157,'רווחה - קליטה'!$C$5:$C$204,"סוף שנה"),""))</f>
        <v/>
      </c>
      <c r="I157" s="37">
        <f>IF($A157="","",IFERROR(AVERAGEIFS('רווחה - קליטה'!$AL$5:$AL$204,'רווחה - קליטה'!$A$5:$A$204,$A157,'רווחה - קליטה'!$C$5:$C$204,"סוף שנה"),""))</f>
        <v/>
      </c>
      <c r="J157" s="36">
        <f>IF($A157="","",IFERROR(INDEX('רווחה - קליטה'!$AT$5:$AT$204,MATCH($A157&amp;"|סוף שנה",'רווחה - קליטה'!$AF$5:$AF$204,0)),""))</f>
        <v/>
      </c>
      <c r="K157" s="46">
        <f>IF(AND(ISNUMBER(B157),ISNUMBER(H157)),H157-B157,"")</f>
        <v/>
      </c>
      <c r="L157" s="36">
        <f>IF(K157="","",IF(K157&gt;=0.5,"עלייה",IF(K157&lt;=-0.5,"ירידה","יציב")))</f>
        <v/>
      </c>
    </row>
    <row r="158">
      <c r="A158" s="38" t="n"/>
      <c r="B158" s="45">
        <f>IF($A158="","",IFERROR(AVERAGEIFS('רווחה - קליטה'!$AR$5:$AR$204,'רווחה - קליטה'!$A$5:$A$204,$A158,'רווחה - קליטה'!$C$5:$C$204,"תחילת שנה"),""))</f>
        <v/>
      </c>
      <c r="C158" s="37">
        <f>IF($A158="","",IFERROR(AVERAGEIFS('רווחה - קליטה'!$AL$5:$AL$204,'רווחה - קליטה'!$A$5:$A$204,$A158,'רווחה - קליטה'!$C$5:$C$204,"תחילת שנה"),""))</f>
        <v/>
      </c>
      <c r="D158" s="36">
        <f>IF($A158="","",IFERROR(INDEX('רווחה - קליטה'!$AT$5:$AT$204,MATCH($A158&amp;"|תחילת שנה",'רווחה - קליטה'!$AF$5:$AF$204,0)),""))</f>
        <v/>
      </c>
      <c r="E158" s="45">
        <f>IF($A158="","",IFERROR(AVERAGEIFS('רווחה - קליטה'!$AR$5:$AR$204,'רווחה - קליטה'!$A$5:$A$204,$A158,'רווחה - קליטה'!$C$5:$C$204,"אמצע שנה"),""))</f>
        <v/>
      </c>
      <c r="F158" s="37">
        <f>IF($A158="","",IFERROR(AVERAGEIFS('רווחה - קליטה'!$AL$5:$AL$204,'רווחה - קליטה'!$A$5:$A$204,$A158,'רווחה - קליטה'!$C$5:$C$204,"אמצע שנה"),""))</f>
        <v/>
      </c>
      <c r="G158" s="36">
        <f>IF($A158="","",IFERROR(INDEX('רווחה - קליטה'!$AT$5:$AT$204,MATCH($A158&amp;"|אמצע שנה",'רווחה - קליטה'!$AF$5:$AF$204,0)),""))</f>
        <v/>
      </c>
      <c r="H158" s="45">
        <f>IF($A158="","",IFERROR(AVERAGEIFS('רווחה - קליטה'!$AR$5:$AR$204,'רווחה - קליטה'!$A$5:$A$204,$A158,'רווחה - קליטה'!$C$5:$C$204,"סוף שנה"),""))</f>
        <v/>
      </c>
      <c r="I158" s="37">
        <f>IF($A158="","",IFERROR(AVERAGEIFS('רווחה - קליטה'!$AL$5:$AL$204,'רווחה - קליטה'!$A$5:$A$204,$A158,'רווחה - קליטה'!$C$5:$C$204,"סוף שנה"),""))</f>
        <v/>
      </c>
      <c r="J158" s="36">
        <f>IF($A158="","",IFERROR(INDEX('רווחה - קליטה'!$AT$5:$AT$204,MATCH($A158&amp;"|סוף שנה",'רווחה - קליטה'!$AF$5:$AF$204,0)),""))</f>
        <v/>
      </c>
      <c r="K158" s="46">
        <f>IF(AND(ISNUMBER(B158),ISNUMBER(H158)),H158-B158,"")</f>
        <v/>
      </c>
      <c r="L158" s="36">
        <f>IF(K158="","",IF(K158&gt;=0.5,"עלייה",IF(K158&lt;=-0.5,"ירידה","יציב")))</f>
        <v/>
      </c>
    </row>
    <row r="159">
      <c r="A159" s="38" t="n"/>
      <c r="B159" s="45">
        <f>IF($A159="","",IFERROR(AVERAGEIFS('רווחה - קליטה'!$AR$5:$AR$204,'רווחה - קליטה'!$A$5:$A$204,$A159,'רווחה - קליטה'!$C$5:$C$204,"תחילת שנה"),""))</f>
        <v/>
      </c>
      <c r="C159" s="37">
        <f>IF($A159="","",IFERROR(AVERAGEIFS('רווחה - קליטה'!$AL$5:$AL$204,'רווחה - קליטה'!$A$5:$A$204,$A159,'רווחה - קליטה'!$C$5:$C$204,"תחילת שנה"),""))</f>
        <v/>
      </c>
      <c r="D159" s="36">
        <f>IF($A159="","",IFERROR(INDEX('רווחה - קליטה'!$AT$5:$AT$204,MATCH($A159&amp;"|תחילת שנה",'רווחה - קליטה'!$AF$5:$AF$204,0)),""))</f>
        <v/>
      </c>
      <c r="E159" s="45">
        <f>IF($A159="","",IFERROR(AVERAGEIFS('רווחה - קליטה'!$AR$5:$AR$204,'רווחה - קליטה'!$A$5:$A$204,$A159,'רווחה - קליטה'!$C$5:$C$204,"אמצע שנה"),""))</f>
        <v/>
      </c>
      <c r="F159" s="37">
        <f>IF($A159="","",IFERROR(AVERAGEIFS('רווחה - קליטה'!$AL$5:$AL$204,'רווחה - קליטה'!$A$5:$A$204,$A159,'רווחה - קליטה'!$C$5:$C$204,"אמצע שנה"),""))</f>
        <v/>
      </c>
      <c r="G159" s="36">
        <f>IF($A159="","",IFERROR(INDEX('רווחה - קליטה'!$AT$5:$AT$204,MATCH($A159&amp;"|אמצע שנה",'רווחה - קליטה'!$AF$5:$AF$204,0)),""))</f>
        <v/>
      </c>
      <c r="H159" s="45">
        <f>IF($A159="","",IFERROR(AVERAGEIFS('רווחה - קליטה'!$AR$5:$AR$204,'רווחה - קליטה'!$A$5:$A$204,$A159,'רווחה - קליטה'!$C$5:$C$204,"סוף שנה"),""))</f>
        <v/>
      </c>
      <c r="I159" s="37">
        <f>IF($A159="","",IFERROR(AVERAGEIFS('רווחה - קליטה'!$AL$5:$AL$204,'רווחה - קליטה'!$A$5:$A$204,$A159,'רווחה - קליטה'!$C$5:$C$204,"סוף שנה"),""))</f>
        <v/>
      </c>
      <c r="J159" s="36">
        <f>IF($A159="","",IFERROR(INDEX('רווחה - קליטה'!$AT$5:$AT$204,MATCH($A159&amp;"|סוף שנה",'רווחה - קליטה'!$AF$5:$AF$204,0)),""))</f>
        <v/>
      </c>
      <c r="K159" s="46">
        <f>IF(AND(ISNUMBER(B159),ISNUMBER(H159)),H159-B159,"")</f>
        <v/>
      </c>
      <c r="L159" s="36">
        <f>IF(K159="","",IF(K159&gt;=0.5,"עלייה",IF(K159&lt;=-0.5,"ירידה","יציב")))</f>
        <v/>
      </c>
    </row>
    <row r="160">
      <c r="A160" s="38" t="n"/>
      <c r="B160" s="45">
        <f>IF($A160="","",IFERROR(AVERAGEIFS('רווחה - קליטה'!$AR$5:$AR$204,'רווחה - קליטה'!$A$5:$A$204,$A160,'רווחה - קליטה'!$C$5:$C$204,"תחילת שנה"),""))</f>
        <v/>
      </c>
      <c r="C160" s="37">
        <f>IF($A160="","",IFERROR(AVERAGEIFS('רווחה - קליטה'!$AL$5:$AL$204,'רווחה - קליטה'!$A$5:$A$204,$A160,'רווחה - קליטה'!$C$5:$C$204,"תחילת שנה"),""))</f>
        <v/>
      </c>
      <c r="D160" s="36">
        <f>IF($A160="","",IFERROR(INDEX('רווחה - קליטה'!$AT$5:$AT$204,MATCH($A160&amp;"|תחילת שנה",'רווחה - קליטה'!$AF$5:$AF$204,0)),""))</f>
        <v/>
      </c>
      <c r="E160" s="45">
        <f>IF($A160="","",IFERROR(AVERAGEIFS('רווחה - קליטה'!$AR$5:$AR$204,'רווחה - קליטה'!$A$5:$A$204,$A160,'רווחה - קליטה'!$C$5:$C$204,"אמצע שנה"),""))</f>
        <v/>
      </c>
      <c r="F160" s="37">
        <f>IF($A160="","",IFERROR(AVERAGEIFS('רווחה - קליטה'!$AL$5:$AL$204,'רווחה - קליטה'!$A$5:$A$204,$A160,'רווחה - קליטה'!$C$5:$C$204,"אמצע שנה"),""))</f>
        <v/>
      </c>
      <c r="G160" s="36">
        <f>IF($A160="","",IFERROR(INDEX('רווחה - קליטה'!$AT$5:$AT$204,MATCH($A160&amp;"|אמצע שנה",'רווחה - קליטה'!$AF$5:$AF$204,0)),""))</f>
        <v/>
      </c>
      <c r="H160" s="45">
        <f>IF($A160="","",IFERROR(AVERAGEIFS('רווחה - קליטה'!$AR$5:$AR$204,'רווחה - קליטה'!$A$5:$A$204,$A160,'רווחה - קליטה'!$C$5:$C$204,"סוף שנה"),""))</f>
        <v/>
      </c>
      <c r="I160" s="37">
        <f>IF($A160="","",IFERROR(AVERAGEIFS('רווחה - קליטה'!$AL$5:$AL$204,'רווחה - קליטה'!$A$5:$A$204,$A160,'רווחה - קליטה'!$C$5:$C$204,"סוף שנה"),""))</f>
        <v/>
      </c>
      <c r="J160" s="36">
        <f>IF($A160="","",IFERROR(INDEX('רווחה - קליטה'!$AT$5:$AT$204,MATCH($A160&amp;"|סוף שנה",'רווחה - קליטה'!$AF$5:$AF$204,0)),""))</f>
        <v/>
      </c>
      <c r="K160" s="46">
        <f>IF(AND(ISNUMBER(B160),ISNUMBER(H160)),H160-B160,"")</f>
        <v/>
      </c>
      <c r="L160" s="36">
        <f>IF(K160="","",IF(K160&gt;=0.5,"עלייה",IF(K160&lt;=-0.5,"ירידה","יציב")))</f>
        <v/>
      </c>
    </row>
    <row r="161">
      <c r="A161" s="38" t="n"/>
      <c r="B161" s="45">
        <f>IF($A161="","",IFERROR(AVERAGEIFS('רווחה - קליטה'!$AR$5:$AR$204,'רווחה - קליטה'!$A$5:$A$204,$A161,'רווחה - קליטה'!$C$5:$C$204,"תחילת שנה"),""))</f>
        <v/>
      </c>
      <c r="C161" s="37">
        <f>IF($A161="","",IFERROR(AVERAGEIFS('רווחה - קליטה'!$AL$5:$AL$204,'רווחה - קליטה'!$A$5:$A$204,$A161,'רווחה - קליטה'!$C$5:$C$204,"תחילת שנה"),""))</f>
        <v/>
      </c>
      <c r="D161" s="36">
        <f>IF($A161="","",IFERROR(INDEX('רווחה - קליטה'!$AT$5:$AT$204,MATCH($A161&amp;"|תחילת שנה",'רווחה - קליטה'!$AF$5:$AF$204,0)),""))</f>
        <v/>
      </c>
      <c r="E161" s="45">
        <f>IF($A161="","",IFERROR(AVERAGEIFS('רווחה - קליטה'!$AR$5:$AR$204,'רווחה - קליטה'!$A$5:$A$204,$A161,'רווחה - קליטה'!$C$5:$C$204,"אמצע שנה"),""))</f>
        <v/>
      </c>
      <c r="F161" s="37">
        <f>IF($A161="","",IFERROR(AVERAGEIFS('רווחה - קליטה'!$AL$5:$AL$204,'רווחה - קליטה'!$A$5:$A$204,$A161,'רווחה - קליטה'!$C$5:$C$204,"אמצע שנה"),""))</f>
        <v/>
      </c>
      <c r="G161" s="36">
        <f>IF($A161="","",IFERROR(INDEX('רווחה - קליטה'!$AT$5:$AT$204,MATCH($A161&amp;"|אמצע שנה",'רווחה - קליטה'!$AF$5:$AF$204,0)),""))</f>
        <v/>
      </c>
      <c r="H161" s="45">
        <f>IF($A161="","",IFERROR(AVERAGEIFS('רווחה - קליטה'!$AR$5:$AR$204,'רווחה - קליטה'!$A$5:$A$204,$A161,'רווחה - קליטה'!$C$5:$C$204,"סוף שנה"),""))</f>
        <v/>
      </c>
      <c r="I161" s="37">
        <f>IF($A161="","",IFERROR(AVERAGEIFS('רווחה - קליטה'!$AL$5:$AL$204,'רווחה - קליטה'!$A$5:$A$204,$A161,'רווחה - קליטה'!$C$5:$C$204,"סוף שנה"),""))</f>
        <v/>
      </c>
      <c r="J161" s="36">
        <f>IF($A161="","",IFERROR(INDEX('רווחה - קליטה'!$AT$5:$AT$204,MATCH($A161&amp;"|סוף שנה",'רווחה - קליטה'!$AF$5:$AF$204,0)),""))</f>
        <v/>
      </c>
      <c r="K161" s="46">
        <f>IF(AND(ISNUMBER(B161),ISNUMBER(H161)),H161-B161,"")</f>
        <v/>
      </c>
      <c r="L161" s="36">
        <f>IF(K161="","",IF(K161&gt;=0.5,"עלייה",IF(K161&lt;=-0.5,"ירידה","יציב")))</f>
        <v/>
      </c>
    </row>
    <row r="162">
      <c r="A162" s="38" t="n"/>
      <c r="B162" s="45">
        <f>IF($A162="","",IFERROR(AVERAGEIFS('רווחה - קליטה'!$AR$5:$AR$204,'רווחה - קליטה'!$A$5:$A$204,$A162,'רווחה - קליטה'!$C$5:$C$204,"תחילת שנה"),""))</f>
        <v/>
      </c>
      <c r="C162" s="37">
        <f>IF($A162="","",IFERROR(AVERAGEIFS('רווחה - קליטה'!$AL$5:$AL$204,'רווחה - קליטה'!$A$5:$A$204,$A162,'רווחה - קליטה'!$C$5:$C$204,"תחילת שנה"),""))</f>
        <v/>
      </c>
      <c r="D162" s="36">
        <f>IF($A162="","",IFERROR(INDEX('רווחה - קליטה'!$AT$5:$AT$204,MATCH($A162&amp;"|תחילת שנה",'רווחה - קליטה'!$AF$5:$AF$204,0)),""))</f>
        <v/>
      </c>
      <c r="E162" s="45">
        <f>IF($A162="","",IFERROR(AVERAGEIFS('רווחה - קליטה'!$AR$5:$AR$204,'רווחה - קליטה'!$A$5:$A$204,$A162,'רווחה - קליטה'!$C$5:$C$204,"אמצע שנה"),""))</f>
        <v/>
      </c>
      <c r="F162" s="37">
        <f>IF($A162="","",IFERROR(AVERAGEIFS('רווחה - קליטה'!$AL$5:$AL$204,'רווחה - קליטה'!$A$5:$A$204,$A162,'רווחה - קליטה'!$C$5:$C$204,"אמצע שנה"),""))</f>
        <v/>
      </c>
      <c r="G162" s="36">
        <f>IF($A162="","",IFERROR(INDEX('רווחה - קליטה'!$AT$5:$AT$204,MATCH($A162&amp;"|אמצע שנה",'רווחה - קליטה'!$AF$5:$AF$204,0)),""))</f>
        <v/>
      </c>
      <c r="H162" s="45">
        <f>IF($A162="","",IFERROR(AVERAGEIFS('רווחה - קליטה'!$AR$5:$AR$204,'רווחה - קליטה'!$A$5:$A$204,$A162,'רווחה - קליטה'!$C$5:$C$204,"סוף שנה"),""))</f>
        <v/>
      </c>
      <c r="I162" s="37">
        <f>IF($A162="","",IFERROR(AVERAGEIFS('רווחה - קליטה'!$AL$5:$AL$204,'רווחה - קליטה'!$A$5:$A$204,$A162,'רווחה - קליטה'!$C$5:$C$204,"סוף שנה"),""))</f>
        <v/>
      </c>
      <c r="J162" s="36">
        <f>IF($A162="","",IFERROR(INDEX('רווחה - קליטה'!$AT$5:$AT$204,MATCH($A162&amp;"|סוף שנה",'רווחה - קליטה'!$AF$5:$AF$204,0)),""))</f>
        <v/>
      </c>
      <c r="K162" s="46">
        <f>IF(AND(ISNUMBER(B162),ISNUMBER(H162)),H162-B162,"")</f>
        <v/>
      </c>
      <c r="L162" s="36">
        <f>IF(K162="","",IF(K162&gt;=0.5,"עלייה",IF(K162&lt;=-0.5,"ירידה","יציב")))</f>
        <v/>
      </c>
    </row>
    <row r="163">
      <c r="A163" s="38" t="n"/>
      <c r="B163" s="45">
        <f>IF($A163="","",IFERROR(AVERAGEIFS('רווחה - קליטה'!$AR$5:$AR$204,'רווחה - קליטה'!$A$5:$A$204,$A163,'רווחה - קליטה'!$C$5:$C$204,"תחילת שנה"),""))</f>
        <v/>
      </c>
      <c r="C163" s="37">
        <f>IF($A163="","",IFERROR(AVERAGEIFS('רווחה - קליטה'!$AL$5:$AL$204,'רווחה - קליטה'!$A$5:$A$204,$A163,'רווחה - קליטה'!$C$5:$C$204,"תחילת שנה"),""))</f>
        <v/>
      </c>
      <c r="D163" s="36">
        <f>IF($A163="","",IFERROR(INDEX('רווחה - קליטה'!$AT$5:$AT$204,MATCH($A163&amp;"|תחילת שנה",'רווחה - קליטה'!$AF$5:$AF$204,0)),""))</f>
        <v/>
      </c>
      <c r="E163" s="45">
        <f>IF($A163="","",IFERROR(AVERAGEIFS('רווחה - קליטה'!$AR$5:$AR$204,'רווחה - קליטה'!$A$5:$A$204,$A163,'רווחה - קליטה'!$C$5:$C$204,"אמצע שנה"),""))</f>
        <v/>
      </c>
      <c r="F163" s="37">
        <f>IF($A163="","",IFERROR(AVERAGEIFS('רווחה - קליטה'!$AL$5:$AL$204,'רווחה - קליטה'!$A$5:$A$204,$A163,'רווחה - קליטה'!$C$5:$C$204,"אמצע שנה"),""))</f>
        <v/>
      </c>
      <c r="G163" s="36">
        <f>IF($A163="","",IFERROR(INDEX('רווחה - קליטה'!$AT$5:$AT$204,MATCH($A163&amp;"|אמצע שנה",'רווחה - קליטה'!$AF$5:$AF$204,0)),""))</f>
        <v/>
      </c>
      <c r="H163" s="45">
        <f>IF($A163="","",IFERROR(AVERAGEIFS('רווחה - קליטה'!$AR$5:$AR$204,'רווחה - קליטה'!$A$5:$A$204,$A163,'רווחה - קליטה'!$C$5:$C$204,"סוף שנה"),""))</f>
        <v/>
      </c>
      <c r="I163" s="37">
        <f>IF($A163="","",IFERROR(AVERAGEIFS('רווחה - קליטה'!$AL$5:$AL$204,'רווחה - קליטה'!$A$5:$A$204,$A163,'רווחה - קליטה'!$C$5:$C$204,"סוף שנה"),""))</f>
        <v/>
      </c>
      <c r="J163" s="36">
        <f>IF($A163="","",IFERROR(INDEX('רווחה - קליטה'!$AT$5:$AT$204,MATCH($A163&amp;"|סוף שנה",'רווחה - קליטה'!$AF$5:$AF$204,0)),""))</f>
        <v/>
      </c>
      <c r="K163" s="46">
        <f>IF(AND(ISNUMBER(B163),ISNUMBER(H163)),H163-B163,"")</f>
        <v/>
      </c>
      <c r="L163" s="36">
        <f>IF(K163="","",IF(K163&gt;=0.5,"עלייה",IF(K163&lt;=-0.5,"ירידה","יציב")))</f>
        <v/>
      </c>
    </row>
    <row r="164">
      <c r="A164" s="38" t="n"/>
      <c r="B164" s="45">
        <f>IF($A164="","",IFERROR(AVERAGEIFS('רווחה - קליטה'!$AR$5:$AR$204,'רווחה - קליטה'!$A$5:$A$204,$A164,'רווחה - קליטה'!$C$5:$C$204,"תחילת שנה"),""))</f>
        <v/>
      </c>
      <c r="C164" s="37">
        <f>IF($A164="","",IFERROR(AVERAGEIFS('רווחה - קליטה'!$AL$5:$AL$204,'רווחה - קליטה'!$A$5:$A$204,$A164,'רווחה - קליטה'!$C$5:$C$204,"תחילת שנה"),""))</f>
        <v/>
      </c>
      <c r="D164" s="36">
        <f>IF($A164="","",IFERROR(INDEX('רווחה - קליטה'!$AT$5:$AT$204,MATCH($A164&amp;"|תחילת שנה",'רווחה - קליטה'!$AF$5:$AF$204,0)),""))</f>
        <v/>
      </c>
      <c r="E164" s="45">
        <f>IF($A164="","",IFERROR(AVERAGEIFS('רווחה - קליטה'!$AR$5:$AR$204,'רווחה - קליטה'!$A$5:$A$204,$A164,'רווחה - קליטה'!$C$5:$C$204,"אמצע שנה"),""))</f>
        <v/>
      </c>
      <c r="F164" s="37">
        <f>IF($A164="","",IFERROR(AVERAGEIFS('רווחה - קליטה'!$AL$5:$AL$204,'רווחה - קליטה'!$A$5:$A$204,$A164,'רווחה - קליטה'!$C$5:$C$204,"אמצע שנה"),""))</f>
        <v/>
      </c>
      <c r="G164" s="36">
        <f>IF($A164="","",IFERROR(INDEX('רווחה - קליטה'!$AT$5:$AT$204,MATCH($A164&amp;"|אמצע שנה",'רווחה - קליטה'!$AF$5:$AF$204,0)),""))</f>
        <v/>
      </c>
      <c r="H164" s="45">
        <f>IF($A164="","",IFERROR(AVERAGEIFS('רווחה - קליטה'!$AR$5:$AR$204,'רווחה - קליטה'!$A$5:$A$204,$A164,'רווחה - קליטה'!$C$5:$C$204,"סוף שנה"),""))</f>
        <v/>
      </c>
      <c r="I164" s="37">
        <f>IF($A164="","",IFERROR(AVERAGEIFS('רווחה - קליטה'!$AL$5:$AL$204,'רווחה - קליטה'!$A$5:$A$204,$A164,'רווחה - קליטה'!$C$5:$C$204,"סוף שנה"),""))</f>
        <v/>
      </c>
      <c r="J164" s="36">
        <f>IF($A164="","",IFERROR(INDEX('רווחה - קליטה'!$AT$5:$AT$204,MATCH($A164&amp;"|סוף שנה",'רווחה - קליטה'!$AF$5:$AF$204,0)),""))</f>
        <v/>
      </c>
      <c r="K164" s="46">
        <f>IF(AND(ISNUMBER(B164),ISNUMBER(H164)),H164-B164,"")</f>
        <v/>
      </c>
      <c r="L164" s="36">
        <f>IF(K164="","",IF(K164&gt;=0.5,"עלייה",IF(K164&lt;=-0.5,"ירידה","יציב")))</f>
        <v/>
      </c>
    </row>
    <row r="165">
      <c r="A165" s="38" t="n"/>
      <c r="B165" s="45">
        <f>IF($A165="","",IFERROR(AVERAGEIFS('רווחה - קליטה'!$AR$5:$AR$204,'רווחה - קליטה'!$A$5:$A$204,$A165,'רווחה - קליטה'!$C$5:$C$204,"תחילת שנה"),""))</f>
        <v/>
      </c>
      <c r="C165" s="37">
        <f>IF($A165="","",IFERROR(AVERAGEIFS('רווחה - קליטה'!$AL$5:$AL$204,'רווחה - קליטה'!$A$5:$A$204,$A165,'רווחה - קליטה'!$C$5:$C$204,"תחילת שנה"),""))</f>
        <v/>
      </c>
      <c r="D165" s="36">
        <f>IF($A165="","",IFERROR(INDEX('רווחה - קליטה'!$AT$5:$AT$204,MATCH($A165&amp;"|תחילת שנה",'רווחה - קליטה'!$AF$5:$AF$204,0)),""))</f>
        <v/>
      </c>
      <c r="E165" s="45">
        <f>IF($A165="","",IFERROR(AVERAGEIFS('רווחה - קליטה'!$AR$5:$AR$204,'רווחה - קליטה'!$A$5:$A$204,$A165,'רווחה - קליטה'!$C$5:$C$204,"אמצע שנה"),""))</f>
        <v/>
      </c>
      <c r="F165" s="37">
        <f>IF($A165="","",IFERROR(AVERAGEIFS('רווחה - קליטה'!$AL$5:$AL$204,'רווחה - קליטה'!$A$5:$A$204,$A165,'רווחה - קליטה'!$C$5:$C$204,"אמצע שנה"),""))</f>
        <v/>
      </c>
      <c r="G165" s="36">
        <f>IF($A165="","",IFERROR(INDEX('רווחה - קליטה'!$AT$5:$AT$204,MATCH($A165&amp;"|אמצע שנה",'רווחה - קליטה'!$AF$5:$AF$204,0)),""))</f>
        <v/>
      </c>
      <c r="H165" s="45">
        <f>IF($A165="","",IFERROR(AVERAGEIFS('רווחה - קליטה'!$AR$5:$AR$204,'רווחה - קליטה'!$A$5:$A$204,$A165,'רווחה - קליטה'!$C$5:$C$204,"סוף שנה"),""))</f>
        <v/>
      </c>
      <c r="I165" s="37">
        <f>IF($A165="","",IFERROR(AVERAGEIFS('רווחה - קליטה'!$AL$5:$AL$204,'רווחה - קליטה'!$A$5:$A$204,$A165,'רווחה - קליטה'!$C$5:$C$204,"סוף שנה"),""))</f>
        <v/>
      </c>
      <c r="J165" s="36">
        <f>IF($A165="","",IFERROR(INDEX('רווחה - קליטה'!$AT$5:$AT$204,MATCH($A165&amp;"|סוף שנה",'רווחה - קליטה'!$AF$5:$AF$204,0)),""))</f>
        <v/>
      </c>
      <c r="K165" s="46">
        <f>IF(AND(ISNUMBER(B165),ISNUMBER(H165)),H165-B165,"")</f>
        <v/>
      </c>
      <c r="L165" s="36">
        <f>IF(K165="","",IF(K165&gt;=0.5,"עלייה",IF(K165&lt;=-0.5,"ירידה","יציב")))</f>
        <v/>
      </c>
    </row>
    <row r="166">
      <c r="A166" s="38" t="n"/>
      <c r="B166" s="45">
        <f>IF($A166="","",IFERROR(AVERAGEIFS('רווחה - קליטה'!$AR$5:$AR$204,'רווחה - קליטה'!$A$5:$A$204,$A166,'רווחה - קליטה'!$C$5:$C$204,"תחילת שנה"),""))</f>
        <v/>
      </c>
      <c r="C166" s="37">
        <f>IF($A166="","",IFERROR(AVERAGEIFS('רווחה - קליטה'!$AL$5:$AL$204,'רווחה - קליטה'!$A$5:$A$204,$A166,'רווחה - קליטה'!$C$5:$C$204,"תחילת שנה"),""))</f>
        <v/>
      </c>
      <c r="D166" s="36">
        <f>IF($A166="","",IFERROR(INDEX('רווחה - קליטה'!$AT$5:$AT$204,MATCH($A166&amp;"|תחילת שנה",'רווחה - קליטה'!$AF$5:$AF$204,0)),""))</f>
        <v/>
      </c>
      <c r="E166" s="45">
        <f>IF($A166="","",IFERROR(AVERAGEIFS('רווחה - קליטה'!$AR$5:$AR$204,'רווחה - קליטה'!$A$5:$A$204,$A166,'רווחה - קליטה'!$C$5:$C$204,"אמצע שנה"),""))</f>
        <v/>
      </c>
      <c r="F166" s="37">
        <f>IF($A166="","",IFERROR(AVERAGEIFS('רווחה - קליטה'!$AL$5:$AL$204,'רווחה - קליטה'!$A$5:$A$204,$A166,'רווחה - קליטה'!$C$5:$C$204,"אמצע שנה"),""))</f>
        <v/>
      </c>
      <c r="G166" s="36">
        <f>IF($A166="","",IFERROR(INDEX('רווחה - קליטה'!$AT$5:$AT$204,MATCH($A166&amp;"|אמצע שנה",'רווחה - קליטה'!$AF$5:$AF$204,0)),""))</f>
        <v/>
      </c>
      <c r="H166" s="45">
        <f>IF($A166="","",IFERROR(AVERAGEIFS('רווחה - קליטה'!$AR$5:$AR$204,'רווחה - קליטה'!$A$5:$A$204,$A166,'רווחה - קליטה'!$C$5:$C$204,"סוף שנה"),""))</f>
        <v/>
      </c>
      <c r="I166" s="37">
        <f>IF($A166="","",IFERROR(AVERAGEIFS('רווחה - קליטה'!$AL$5:$AL$204,'רווחה - קליטה'!$A$5:$A$204,$A166,'רווחה - קליטה'!$C$5:$C$204,"סוף שנה"),""))</f>
        <v/>
      </c>
      <c r="J166" s="36">
        <f>IF($A166="","",IFERROR(INDEX('רווחה - קליטה'!$AT$5:$AT$204,MATCH($A166&amp;"|סוף שנה",'רווחה - קליטה'!$AF$5:$AF$204,0)),""))</f>
        <v/>
      </c>
      <c r="K166" s="46">
        <f>IF(AND(ISNUMBER(B166),ISNUMBER(H166)),H166-B166,"")</f>
        <v/>
      </c>
      <c r="L166" s="36">
        <f>IF(K166="","",IF(K166&gt;=0.5,"עלייה",IF(K166&lt;=-0.5,"ירידה","יציב")))</f>
        <v/>
      </c>
    </row>
    <row r="167">
      <c r="A167" s="38" t="n"/>
      <c r="B167" s="45">
        <f>IF($A167="","",IFERROR(AVERAGEIFS('רווחה - קליטה'!$AR$5:$AR$204,'רווחה - קליטה'!$A$5:$A$204,$A167,'רווחה - קליטה'!$C$5:$C$204,"תחילת שנה"),""))</f>
        <v/>
      </c>
      <c r="C167" s="37">
        <f>IF($A167="","",IFERROR(AVERAGEIFS('רווחה - קליטה'!$AL$5:$AL$204,'רווחה - קליטה'!$A$5:$A$204,$A167,'רווחה - קליטה'!$C$5:$C$204,"תחילת שנה"),""))</f>
        <v/>
      </c>
      <c r="D167" s="36">
        <f>IF($A167="","",IFERROR(INDEX('רווחה - קליטה'!$AT$5:$AT$204,MATCH($A167&amp;"|תחילת שנה",'רווחה - קליטה'!$AF$5:$AF$204,0)),""))</f>
        <v/>
      </c>
      <c r="E167" s="45">
        <f>IF($A167="","",IFERROR(AVERAGEIFS('רווחה - קליטה'!$AR$5:$AR$204,'רווחה - קליטה'!$A$5:$A$204,$A167,'רווחה - קליטה'!$C$5:$C$204,"אמצע שנה"),""))</f>
        <v/>
      </c>
      <c r="F167" s="37">
        <f>IF($A167="","",IFERROR(AVERAGEIFS('רווחה - קליטה'!$AL$5:$AL$204,'רווחה - קליטה'!$A$5:$A$204,$A167,'רווחה - קליטה'!$C$5:$C$204,"אמצע שנה"),""))</f>
        <v/>
      </c>
      <c r="G167" s="36">
        <f>IF($A167="","",IFERROR(INDEX('רווחה - קליטה'!$AT$5:$AT$204,MATCH($A167&amp;"|אמצע שנה",'רווחה - קליטה'!$AF$5:$AF$204,0)),""))</f>
        <v/>
      </c>
      <c r="H167" s="45">
        <f>IF($A167="","",IFERROR(AVERAGEIFS('רווחה - קליטה'!$AR$5:$AR$204,'רווחה - קליטה'!$A$5:$A$204,$A167,'רווחה - קליטה'!$C$5:$C$204,"סוף שנה"),""))</f>
        <v/>
      </c>
      <c r="I167" s="37">
        <f>IF($A167="","",IFERROR(AVERAGEIFS('רווחה - קליטה'!$AL$5:$AL$204,'רווחה - קליטה'!$A$5:$A$204,$A167,'רווחה - קליטה'!$C$5:$C$204,"סוף שנה"),""))</f>
        <v/>
      </c>
      <c r="J167" s="36">
        <f>IF($A167="","",IFERROR(INDEX('רווחה - קליטה'!$AT$5:$AT$204,MATCH($A167&amp;"|סוף שנה",'רווחה - קליטה'!$AF$5:$AF$204,0)),""))</f>
        <v/>
      </c>
      <c r="K167" s="46">
        <f>IF(AND(ISNUMBER(B167),ISNUMBER(H167)),H167-B167,"")</f>
        <v/>
      </c>
      <c r="L167" s="36">
        <f>IF(K167="","",IF(K167&gt;=0.5,"עלייה",IF(K167&lt;=-0.5,"ירידה","יציב")))</f>
        <v/>
      </c>
    </row>
    <row r="168">
      <c r="A168" s="38" t="n"/>
      <c r="B168" s="45">
        <f>IF($A168="","",IFERROR(AVERAGEIFS('רווחה - קליטה'!$AR$5:$AR$204,'רווחה - קליטה'!$A$5:$A$204,$A168,'רווחה - קליטה'!$C$5:$C$204,"תחילת שנה"),""))</f>
        <v/>
      </c>
      <c r="C168" s="37">
        <f>IF($A168="","",IFERROR(AVERAGEIFS('רווחה - קליטה'!$AL$5:$AL$204,'רווחה - קליטה'!$A$5:$A$204,$A168,'רווחה - קליטה'!$C$5:$C$204,"תחילת שנה"),""))</f>
        <v/>
      </c>
      <c r="D168" s="36">
        <f>IF($A168="","",IFERROR(INDEX('רווחה - קליטה'!$AT$5:$AT$204,MATCH($A168&amp;"|תחילת שנה",'רווחה - קליטה'!$AF$5:$AF$204,0)),""))</f>
        <v/>
      </c>
      <c r="E168" s="45">
        <f>IF($A168="","",IFERROR(AVERAGEIFS('רווחה - קליטה'!$AR$5:$AR$204,'רווחה - קליטה'!$A$5:$A$204,$A168,'רווחה - קליטה'!$C$5:$C$204,"אמצע שנה"),""))</f>
        <v/>
      </c>
      <c r="F168" s="37">
        <f>IF($A168="","",IFERROR(AVERAGEIFS('רווחה - קליטה'!$AL$5:$AL$204,'רווחה - קליטה'!$A$5:$A$204,$A168,'רווחה - קליטה'!$C$5:$C$204,"אמצע שנה"),""))</f>
        <v/>
      </c>
      <c r="G168" s="36">
        <f>IF($A168="","",IFERROR(INDEX('רווחה - קליטה'!$AT$5:$AT$204,MATCH($A168&amp;"|אמצע שנה",'רווחה - קליטה'!$AF$5:$AF$204,0)),""))</f>
        <v/>
      </c>
      <c r="H168" s="45">
        <f>IF($A168="","",IFERROR(AVERAGEIFS('רווחה - קליטה'!$AR$5:$AR$204,'רווחה - קליטה'!$A$5:$A$204,$A168,'רווחה - קליטה'!$C$5:$C$204,"סוף שנה"),""))</f>
        <v/>
      </c>
      <c r="I168" s="37">
        <f>IF($A168="","",IFERROR(AVERAGEIFS('רווחה - קליטה'!$AL$5:$AL$204,'רווחה - קליטה'!$A$5:$A$204,$A168,'רווחה - קליטה'!$C$5:$C$204,"סוף שנה"),""))</f>
        <v/>
      </c>
      <c r="J168" s="36">
        <f>IF($A168="","",IFERROR(INDEX('רווחה - קליטה'!$AT$5:$AT$204,MATCH($A168&amp;"|סוף שנה",'רווחה - קליטה'!$AF$5:$AF$204,0)),""))</f>
        <v/>
      </c>
      <c r="K168" s="46">
        <f>IF(AND(ISNUMBER(B168),ISNUMBER(H168)),H168-B168,"")</f>
        <v/>
      </c>
      <c r="L168" s="36">
        <f>IF(K168="","",IF(K168&gt;=0.5,"עלייה",IF(K168&lt;=-0.5,"ירידה","יציב")))</f>
        <v/>
      </c>
    </row>
    <row r="169">
      <c r="A169" s="38" t="n"/>
      <c r="B169" s="45">
        <f>IF($A169="","",IFERROR(AVERAGEIFS('רווחה - קליטה'!$AR$5:$AR$204,'רווחה - קליטה'!$A$5:$A$204,$A169,'רווחה - קליטה'!$C$5:$C$204,"תחילת שנה"),""))</f>
        <v/>
      </c>
      <c r="C169" s="37">
        <f>IF($A169="","",IFERROR(AVERAGEIFS('רווחה - קליטה'!$AL$5:$AL$204,'רווחה - קליטה'!$A$5:$A$204,$A169,'רווחה - קליטה'!$C$5:$C$204,"תחילת שנה"),""))</f>
        <v/>
      </c>
      <c r="D169" s="36">
        <f>IF($A169="","",IFERROR(INDEX('רווחה - קליטה'!$AT$5:$AT$204,MATCH($A169&amp;"|תחילת שנה",'רווחה - קליטה'!$AF$5:$AF$204,0)),""))</f>
        <v/>
      </c>
      <c r="E169" s="45">
        <f>IF($A169="","",IFERROR(AVERAGEIFS('רווחה - קליטה'!$AR$5:$AR$204,'רווחה - קליטה'!$A$5:$A$204,$A169,'רווחה - קליטה'!$C$5:$C$204,"אמצע שנה"),""))</f>
        <v/>
      </c>
      <c r="F169" s="37">
        <f>IF($A169="","",IFERROR(AVERAGEIFS('רווחה - קליטה'!$AL$5:$AL$204,'רווחה - קליטה'!$A$5:$A$204,$A169,'רווחה - קליטה'!$C$5:$C$204,"אמצע שנה"),""))</f>
        <v/>
      </c>
      <c r="G169" s="36">
        <f>IF($A169="","",IFERROR(INDEX('רווחה - קליטה'!$AT$5:$AT$204,MATCH($A169&amp;"|אמצע שנה",'רווחה - קליטה'!$AF$5:$AF$204,0)),""))</f>
        <v/>
      </c>
      <c r="H169" s="45">
        <f>IF($A169="","",IFERROR(AVERAGEIFS('רווחה - קליטה'!$AR$5:$AR$204,'רווחה - קליטה'!$A$5:$A$204,$A169,'רווחה - קליטה'!$C$5:$C$204,"סוף שנה"),""))</f>
        <v/>
      </c>
      <c r="I169" s="37">
        <f>IF($A169="","",IFERROR(AVERAGEIFS('רווחה - קליטה'!$AL$5:$AL$204,'רווחה - קליטה'!$A$5:$A$204,$A169,'רווחה - קליטה'!$C$5:$C$204,"סוף שנה"),""))</f>
        <v/>
      </c>
      <c r="J169" s="36">
        <f>IF($A169="","",IFERROR(INDEX('רווחה - קליטה'!$AT$5:$AT$204,MATCH($A169&amp;"|סוף שנה",'רווחה - קליטה'!$AF$5:$AF$204,0)),""))</f>
        <v/>
      </c>
      <c r="K169" s="46">
        <f>IF(AND(ISNUMBER(B169),ISNUMBER(H169)),H169-B169,"")</f>
        <v/>
      </c>
      <c r="L169" s="36">
        <f>IF(K169="","",IF(K169&gt;=0.5,"עלייה",IF(K169&lt;=-0.5,"ירידה","יציב")))</f>
        <v/>
      </c>
    </row>
    <row r="170">
      <c r="A170" s="38" t="n"/>
      <c r="B170" s="45">
        <f>IF($A170="","",IFERROR(AVERAGEIFS('רווחה - קליטה'!$AR$5:$AR$204,'רווחה - קליטה'!$A$5:$A$204,$A170,'רווחה - קליטה'!$C$5:$C$204,"תחילת שנה"),""))</f>
        <v/>
      </c>
      <c r="C170" s="37">
        <f>IF($A170="","",IFERROR(AVERAGEIFS('רווחה - קליטה'!$AL$5:$AL$204,'רווחה - קליטה'!$A$5:$A$204,$A170,'רווחה - קליטה'!$C$5:$C$204,"תחילת שנה"),""))</f>
        <v/>
      </c>
      <c r="D170" s="36">
        <f>IF($A170="","",IFERROR(INDEX('רווחה - קליטה'!$AT$5:$AT$204,MATCH($A170&amp;"|תחילת שנה",'רווחה - קליטה'!$AF$5:$AF$204,0)),""))</f>
        <v/>
      </c>
      <c r="E170" s="45">
        <f>IF($A170="","",IFERROR(AVERAGEIFS('רווחה - קליטה'!$AR$5:$AR$204,'רווחה - קליטה'!$A$5:$A$204,$A170,'רווחה - קליטה'!$C$5:$C$204,"אמצע שנה"),""))</f>
        <v/>
      </c>
      <c r="F170" s="37">
        <f>IF($A170="","",IFERROR(AVERAGEIFS('רווחה - קליטה'!$AL$5:$AL$204,'רווחה - קליטה'!$A$5:$A$204,$A170,'רווחה - קליטה'!$C$5:$C$204,"אמצע שנה"),""))</f>
        <v/>
      </c>
      <c r="G170" s="36">
        <f>IF($A170="","",IFERROR(INDEX('רווחה - קליטה'!$AT$5:$AT$204,MATCH($A170&amp;"|אמצע שנה",'רווחה - קליטה'!$AF$5:$AF$204,0)),""))</f>
        <v/>
      </c>
      <c r="H170" s="45">
        <f>IF($A170="","",IFERROR(AVERAGEIFS('רווחה - קליטה'!$AR$5:$AR$204,'רווחה - קליטה'!$A$5:$A$204,$A170,'רווחה - קליטה'!$C$5:$C$204,"סוף שנה"),""))</f>
        <v/>
      </c>
      <c r="I170" s="37">
        <f>IF($A170="","",IFERROR(AVERAGEIFS('רווחה - קליטה'!$AL$5:$AL$204,'רווחה - קליטה'!$A$5:$A$204,$A170,'רווחה - קליטה'!$C$5:$C$204,"סוף שנה"),""))</f>
        <v/>
      </c>
      <c r="J170" s="36">
        <f>IF($A170="","",IFERROR(INDEX('רווחה - קליטה'!$AT$5:$AT$204,MATCH($A170&amp;"|סוף שנה",'רווחה - קליטה'!$AF$5:$AF$204,0)),""))</f>
        <v/>
      </c>
      <c r="K170" s="46">
        <f>IF(AND(ISNUMBER(B170),ISNUMBER(H170)),H170-B170,"")</f>
        <v/>
      </c>
      <c r="L170" s="36">
        <f>IF(K170="","",IF(K170&gt;=0.5,"עלייה",IF(K170&lt;=-0.5,"ירידה","יציב")))</f>
        <v/>
      </c>
    </row>
    <row r="171">
      <c r="A171" s="38" t="n"/>
      <c r="B171" s="45">
        <f>IF($A171="","",IFERROR(AVERAGEIFS('רווחה - קליטה'!$AR$5:$AR$204,'רווחה - קליטה'!$A$5:$A$204,$A171,'רווחה - קליטה'!$C$5:$C$204,"תחילת שנה"),""))</f>
        <v/>
      </c>
      <c r="C171" s="37">
        <f>IF($A171="","",IFERROR(AVERAGEIFS('רווחה - קליטה'!$AL$5:$AL$204,'רווחה - קליטה'!$A$5:$A$204,$A171,'רווחה - קליטה'!$C$5:$C$204,"תחילת שנה"),""))</f>
        <v/>
      </c>
      <c r="D171" s="36">
        <f>IF($A171="","",IFERROR(INDEX('רווחה - קליטה'!$AT$5:$AT$204,MATCH($A171&amp;"|תחילת שנה",'רווחה - קליטה'!$AF$5:$AF$204,0)),""))</f>
        <v/>
      </c>
      <c r="E171" s="45">
        <f>IF($A171="","",IFERROR(AVERAGEIFS('רווחה - קליטה'!$AR$5:$AR$204,'רווחה - קליטה'!$A$5:$A$204,$A171,'רווחה - קליטה'!$C$5:$C$204,"אמצע שנה"),""))</f>
        <v/>
      </c>
      <c r="F171" s="37">
        <f>IF($A171="","",IFERROR(AVERAGEIFS('רווחה - קליטה'!$AL$5:$AL$204,'רווחה - קליטה'!$A$5:$A$204,$A171,'רווחה - קליטה'!$C$5:$C$204,"אמצע שנה"),""))</f>
        <v/>
      </c>
      <c r="G171" s="36">
        <f>IF($A171="","",IFERROR(INDEX('רווחה - קליטה'!$AT$5:$AT$204,MATCH($A171&amp;"|אמצע שנה",'רווחה - קליטה'!$AF$5:$AF$204,0)),""))</f>
        <v/>
      </c>
      <c r="H171" s="45">
        <f>IF($A171="","",IFERROR(AVERAGEIFS('רווחה - קליטה'!$AR$5:$AR$204,'רווחה - קליטה'!$A$5:$A$204,$A171,'רווחה - קליטה'!$C$5:$C$204,"סוף שנה"),""))</f>
        <v/>
      </c>
      <c r="I171" s="37">
        <f>IF($A171="","",IFERROR(AVERAGEIFS('רווחה - קליטה'!$AL$5:$AL$204,'רווחה - קליטה'!$A$5:$A$204,$A171,'רווחה - קליטה'!$C$5:$C$204,"סוף שנה"),""))</f>
        <v/>
      </c>
      <c r="J171" s="36">
        <f>IF($A171="","",IFERROR(INDEX('רווחה - קליטה'!$AT$5:$AT$204,MATCH($A171&amp;"|סוף שנה",'רווחה - קליטה'!$AF$5:$AF$204,0)),""))</f>
        <v/>
      </c>
      <c r="K171" s="46">
        <f>IF(AND(ISNUMBER(B171),ISNUMBER(H171)),H171-B171,"")</f>
        <v/>
      </c>
      <c r="L171" s="36">
        <f>IF(K171="","",IF(K171&gt;=0.5,"עלייה",IF(K171&lt;=-0.5,"ירידה","יציב")))</f>
        <v/>
      </c>
    </row>
    <row r="172">
      <c r="A172" s="38" t="n"/>
      <c r="B172" s="45">
        <f>IF($A172="","",IFERROR(AVERAGEIFS('רווחה - קליטה'!$AR$5:$AR$204,'רווחה - קליטה'!$A$5:$A$204,$A172,'רווחה - קליטה'!$C$5:$C$204,"תחילת שנה"),""))</f>
        <v/>
      </c>
      <c r="C172" s="37">
        <f>IF($A172="","",IFERROR(AVERAGEIFS('רווחה - קליטה'!$AL$5:$AL$204,'רווחה - קליטה'!$A$5:$A$204,$A172,'רווחה - קליטה'!$C$5:$C$204,"תחילת שנה"),""))</f>
        <v/>
      </c>
      <c r="D172" s="36">
        <f>IF($A172="","",IFERROR(INDEX('רווחה - קליטה'!$AT$5:$AT$204,MATCH($A172&amp;"|תחילת שנה",'רווחה - קליטה'!$AF$5:$AF$204,0)),""))</f>
        <v/>
      </c>
      <c r="E172" s="45">
        <f>IF($A172="","",IFERROR(AVERAGEIFS('רווחה - קליטה'!$AR$5:$AR$204,'רווחה - קליטה'!$A$5:$A$204,$A172,'רווחה - קליטה'!$C$5:$C$204,"אמצע שנה"),""))</f>
        <v/>
      </c>
      <c r="F172" s="37">
        <f>IF($A172="","",IFERROR(AVERAGEIFS('רווחה - קליטה'!$AL$5:$AL$204,'רווחה - קליטה'!$A$5:$A$204,$A172,'רווחה - קליטה'!$C$5:$C$204,"אמצע שנה"),""))</f>
        <v/>
      </c>
      <c r="G172" s="36">
        <f>IF($A172="","",IFERROR(INDEX('רווחה - קליטה'!$AT$5:$AT$204,MATCH($A172&amp;"|אמצע שנה",'רווחה - קליטה'!$AF$5:$AF$204,0)),""))</f>
        <v/>
      </c>
      <c r="H172" s="45">
        <f>IF($A172="","",IFERROR(AVERAGEIFS('רווחה - קליטה'!$AR$5:$AR$204,'רווחה - קליטה'!$A$5:$A$204,$A172,'רווחה - קליטה'!$C$5:$C$204,"סוף שנה"),""))</f>
        <v/>
      </c>
      <c r="I172" s="37">
        <f>IF($A172="","",IFERROR(AVERAGEIFS('רווחה - קליטה'!$AL$5:$AL$204,'רווחה - קליטה'!$A$5:$A$204,$A172,'רווחה - קליטה'!$C$5:$C$204,"סוף שנה"),""))</f>
        <v/>
      </c>
      <c r="J172" s="36">
        <f>IF($A172="","",IFERROR(INDEX('רווחה - קליטה'!$AT$5:$AT$204,MATCH($A172&amp;"|סוף שנה",'רווחה - קליטה'!$AF$5:$AF$204,0)),""))</f>
        <v/>
      </c>
      <c r="K172" s="46">
        <f>IF(AND(ISNUMBER(B172),ISNUMBER(H172)),H172-B172,"")</f>
        <v/>
      </c>
      <c r="L172" s="36">
        <f>IF(K172="","",IF(K172&gt;=0.5,"עלייה",IF(K172&lt;=-0.5,"ירידה","יציב")))</f>
        <v/>
      </c>
    </row>
    <row r="173">
      <c r="A173" s="38" t="n"/>
      <c r="B173" s="45">
        <f>IF($A173="","",IFERROR(AVERAGEIFS('רווחה - קליטה'!$AR$5:$AR$204,'רווחה - קליטה'!$A$5:$A$204,$A173,'רווחה - קליטה'!$C$5:$C$204,"תחילת שנה"),""))</f>
        <v/>
      </c>
      <c r="C173" s="37">
        <f>IF($A173="","",IFERROR(AVERAGEIFS('רווחה - קליטה'!$AL$5:$AL$204,'רווחה - קליטה'!$A$5:$A$204,$A173,'רווחה - קליטה'!$C$5:$C$204,"תחילת שנה"),""))</f>
        <v/>
      </c>
      <c r="D173" s="36">
        <f>IF($A173="","",IFERROR(INDEX('רווחה - קליטה'!$AT$5:$AT$204,MATCH($A173&amp;"|תחילת שנה",'רווחה - קליטה'!$AF$5:$AF$204,0)),""))</f>
        <v/>
      </c>
      <c r="E173" s="45">
        <f>IF($A173="","",IFERROR(AVERAGEIFS('רווחה - קליטה'!$AR$5:$AR$204,'רווחה - קליטה'!$A$5:$A$204,$A173,'רווחה - קליטה'!$C$5:$C$204,"אמצע שנה"),""))</f>
        <v/>
      </c>
      <c r="F173" s="37">
        <f>IF($A173="","",IFERROR(AVERAGEIFS('רווחה - קליטה'!$AL$5:$AL$204,'רווחה - קליטה'!$A$5:$A$204,$A173,'רווחה - קליטה'!$C$5:$C$204,"אמצע שנה"),""))</f>
        <v/>
      </c>
      <c r="G173" s="36">
        <f>IF($A173="","",IFERROR(INDEX('רווחה - קליטה'!$AT$5:$AT$204,MATCH($A173&amp;"|אמצע שנה",'רווחה - קליטה'!$AF$5:$AF$204,0)),""))</f>
        <v/>
      </c>
      <c r="H173" s="45">
        <f>IF($A173="","",IFERROR(AVERAGEIFS('רווחה - קליטה'!$AR$5:$AR$204,'רווחה - קליטה'!$A$5:$A$204,$A173,'רווחה - קליטה'!$C$5:$C$204,"סוף שנה"),""))</f>
        <v/>
      </c>
      <c r="I173" s="37">
        <f>IF($A173="","",IFERROR(AVERAGEIFS('רווחה - קליטה'!$AL$5:$AL$204,'רווחה - קליטה'!$A$5:$A$204,$A173,'רווחה - קליטה'!$C$5:$C$204,"סוף שנה"),""))</f>
        <v/>
      </c>
      <c r="J173" s="36">
        <f>IF($A173="","",IFERROR(INDEX('רווחה - קליטה'!$AT$5:$AT$204,MATCH($A173&amp;"|סוף שנה",'רווחה - קליטה'!$AF$5:$AF$204,0)),""))</f>
        <v/>
      </c>
      <c r="K173" s="46">
        <f>IF(AND(ISNUMBER(B173),ISNUMBER(H173)),H173-B173,"")</f>
        <v/>
      </c>
      <c r="L173" s="36">
        <f>IF(K173="","",IF(K173&gt;=0.5,"עלייה",IF(K173&lt;=-0.5,"ירידה","יציב")))</f>
        <v/>
      </c>
    </row>
    <row r="174">
      <c r="A174" s="38" t="n"/>
      <c r="B174" s="45">
        <f>IF($A174="","",IFERROR(AVERAGEIFS('רווחה - קליטה'!$AR$5:$AR$204,'רווחה - קליטה'!$A$5:$A$204,$A174,'רווחה - קליטה'!$C$5:$C$204,"תחילת שנה"),""))</f>
        <v/>
      </c>
      <c r="C174" s="37">
        <f>IF($A174="","",IFERROR(AVERAGEIFS('רווחה - קליטה'!$AL$5:$AL$204,'רווחה - קליטה'!$A$5:$A$204,$A174,'רווחה - קליטה'!$C$5:$C$204,"תחילת שנה"),""))</f>
        <v/>
      </c>
      <c r="D174" s="36">
        <f>IF($A174="","",IFERROR(INDEX('רווחה - קליטה'!$AT$5:$AT$204,MATCH($A174&amp;"|תחילת שנה",'רווחה - קליטה'!$AF$5:$AF$204,0)),""))</f>
        <v/>
      </c>
      <c r="E174" s="45">
        <f>IF($A174="","",IFERROR(AVERAGEIFS('רווחה - קליטה'!$AR$5:$AR$204,'רווחה - קליטה'!$A$5:$A$204,$A174,'רווחה - קליטה'!$C$5:$C$204,"אמצע שנה"),""))</f>
        <v/>
      </c>
      <c r="F174" s="37">
        <f>IF($A174="","",IFERROR(AVERAGEIFS('רווחה - קליטה'!$AL$5:$AL$204,'רווחה - קליטה'!$A$5:$A$204,$A174,'רווחה - קליטה'!$C$5:$C$204,"אמצע שנה"),""))</f>
        <v/>
      </c>
      <c r="G174" s="36">
        <f>IF($A174="","",IFERROR(INDEX('רווחה - קליטה'!$AT$5:$AT$204,MATCH($A174&amp;"|אמצע שנה",'רווחה - קליטה'!$AF$5:$AF$204,0)),""))</f>
        <v/>
      </c>
      <c r="H174" s="45">
        <f>IF($A174="","",IFERROR(AVERAGEIFS('רווחה - קליטה'!$AR$5:$AR$204,'רווחה - קליטה'!$A$5:$A$204,$A174,'רווחה - קליטה'!$C$5:$C$204,"סוף שנה"),""))</f>
        <v/>
      </c>
      <c r="I174" s="37">
        <f>IF($A174="","",IFERROR(AVERAGEIFS('רווחה - קליטה'!$AL$5:$AL$204,'רווחה - קליטה'!$A$5:$A$204,$A174,'רווחה - קליטה'!$C$5:$C$204,"סוף שנה"),""))</f>
        <v/>
      </c>
      <c r="J174" s="36">
        <f>IF($A174="","",IFERROR(INDEX('רווחה - קליטה'!$AT$5:$AT$204,MATCH($A174&amp;"|סוף שנה",'רווחה - קליטה'!$AF$5:$AF$204,0)),""))</f>
        <v/>
      </c>
      <c r="K174" s="46">
        <f>IF(AND(ISNUMBER(B174),ISNUMBER(H174)),H174-B174,"")</f>
        <v/>
      </c>
      <c r="L174" s="36">
        <f>IF(K174="","",IF(K174&gt;=0.5,"עלייה",IF(K174&lt;=-0.5,"ירידה","יציב")))</f>
        <v/>
      </c>
    </row>
    <row r="175">
      <c r="A175" s="38" t="n"/>
      <c r="B175" s="45">
        <f>IF($A175="","",IFERROR(AVERAGEIFS('רווחה - קליטה'!$AR$5:$AR$204,'רווחה - קליטה'!$A$5:$A$204,$A175,'רווחה - קליטה'!$C$5:$C$204,"תחילת שנה"),""))</f>
        <v/>
      </c>
      <c r="C175" s="37">
        <f>IF($A175="","",IFERROR(AVERAGEIFS('רווחה - קליטה'!$AL$5:$AL$204,'רווחה - קליטה'!$A$5:$A$204,$A175,'רווחה - קליטה'!$C$5:$C$204,"תחילת שנה"),""))</f>
        <v/>
      </c>
      <c r="D175" s="36">
        <f>IF($A175="","",IFERROR(INDEX('רווחה - קליטה'!$AT$5:$AT$204,MATCH($A175&amp;"|תחילת שנה",'רווחה - קליטה'!$AF$5:$AF$204,0)),""))</f>
        <v/>
      </c>
      <c r="E175" s="45">
        <f>IF($A175="","",IFERROR(AVERAGEIFS('רווחה - קליטה'!$AR$5:$AR$204,'רווחה - קליטה'!$A$5:$A$204,$A175,'רווחה - קליטה'!$C$5:$C$204,"אמצע שנה"),""))</f>
        <v/>
      </c>
      <c r="F175" s="37">
        <f>IF($A175="","",IFERROR(AVERAGEIFS('רווחה - קליטה'!$AL$5:$AL$204,'רווחה - קליטה'!$A$5:$A$204,$A175,'רווחה - קליטה'!$C$5:$C$204,"אמצע שנה"),""))</f>
        <v/>
      </c>
      <c r="G175" s="36">
        <f>IF($A175="","",IFERROR(INDEX('רווחה - קליטה'!$AT$5:$AT$204,MATCH($A175&amp;"|אמצע שנה",'רווחה - קליטה'!$AF$5:$AF$204,0)),""))</f>
        <v/>
      </c>
      <c r="H175" s="45">
        <f>IF($A175="","",IFERROR(AVERAGEIFS('רווחה - קליטה'!$AR$5:$AR$204,'רווחה - קליטה'!$A$5:$A$204,$A175,'רווחה - קליטה'!$C$5:$C$204,"סוף שנה"),""))</f>
        <v/>
      </c>
      <c r="I175" s="37">
        <f>IF($A175="","",IFERROR(AVERAGEIFS('רווחה - קליטה'!$AL$5:$AL$204,'רווחה - קליטה'!$A$5:$A$204,$A175,'רווחה - קליטה'!$C$5:$C$204,"סוף שנה"),""))</f>
        <v/>
      </c>
      <c r="J175" s="36">
        <f>IF($A175="","",IFERROR(INDEX('רווחה - קליטה'!$AT$5:$AT$204,MATCH($A175&amp;"|סוף שנה",'רווחה - קליטה'!$AF$5:$AF$204,0)),""))</f>
        <v/>
      </c>
      <c r="K175" s="46">
        <f>IF(AND(ISNUMBER(B175),ISNUMBER(H175)),H175-B175,"")</f>
        <v/>
      </c>
      <c r="L175" s="36">
        <f>IF(K175="","",IF(K175&gt;=0.5,"עלייה",IF(K175&lt;=-0.5,"ירידה","יציב")))</f>
        <v/>
      </c>
    </row>
    <row r="176">
      <c r="A176" s="38" t="n"/>
      <c r="B176" s="45">
        <f>IF($A176="","",IFERROR(AVERAGEIFS('רווחה - קליטה'!$AR$5:$AR$204,'רווחה - קליטה'!$A$5:$A$204,$A176,'רווחה - קליטה'!$C$5:$C$204,"תחילת שנה"),""))</f>
        <v/>
      </c>
      <c r="C176" s="37">
        <f>IF($A176="","",IFERROR(AVERAGEIFS('רווחה - קליטה'!$AL$5:$AL$204,'רווחה - קליטה'!$A$5:$A$204,$A176,'רווחה - קליטה'!$C$5:$C$204,"תחילת שנה"),""))</f>
        <v/>
      </c>
      <c r="D176" s="36">
        <f>IF($A176="","",IFERROR(INDEX('רווחה - קליטה'!$AT$5:$AT$204,MATCH($A176&amp;"|תחילת שנה",'רווחה - קליטה'!$AF$5:$AF$204,0)),""))</f>
        <v/>
      </c>
      <c r="E176" s="45">
        <f>IF($A176="","",IFERROR(AVERAGEIFS('רווחה - קליטה'!$AR$5:$AR$204,'רווחה - קליטה'!$A$5:$A$204,$A176,'רווחה - קליטה'!$C$5:$C$204,"אמצע שנה"),""))</f>
        <v/>
      </c>
      <c r="F176" s="37">
        <f>IF($A176="","",IFERROR(AVERAGEIFS('רווחה - קליטה'!$AL$5:$AL$204,'רווחה - קליטה'!$A$5:$A$204,$A176,'רווחה - קליטה'!$C$5:$C$204,"אמצע שנה"),""))</f>
        <v/>
      </c>
      <c r="G176" s="36">
        <f>IF($A176="","",IFERROR(INDEX('רווחה - קליטה'!$AT$5:$AT$204,MATCH($A176&amp;"|אמצע שנה",'רווחה - קליטה'!$AF$5:$AF$204,0)),""))</f>
        <v/>
      </c>
      <c r="H176" s="45">
        <f>IF($A176="","",IFERROR(AVERAGEIFS('רווחה - קליטה'!$AR$5:$AR$204,'רווחה - קליטה'!$A$5:$A$204,$A176,'רווחה - קליטה'!$C$5:$C$204,"סוף שנה"),""))</f>
        <v/>
      </c>
      <c r="I176" s="37">
        <f>IF($A176="","",IFERROR(AVERAGEIFS('רווחה - קליטה'!$AL$5:$AL$204,'רווחה - קליטה'!$A$5:$A$204,$A176,'רווחה - קליטה'!$C$5:$C$204,"סוף שנה"),""))</f>
        <v/>
      </c>
      <c r="J176" s="36">
        <f>IF($A176="","",IFERROR(INDEX('רווחה - קליטה'!$AT$5:$AT$204,MATCH($A176&amp;"|סוף שנה",'רווחה - קליטה'!$AF$5:$AF$204,0)),""))</f>
        <v/>
      </c>
      <c r="K176" s="46">
        <f>IF(AND(ISNUMBER(B176),ISNUMBER(H176)),H176-B176,"")</f>
        <v/>
      </c>
      <c r="L176" s="36">
        <f>IF(K176="","",IF(K176&gt;=0.5,"עלייה",IF(K176&lt;=-0.5,"ירידה","יציב")))</f>
        <v/>
      </c>
    </row>
    <row r="177">
      <c r="A177" s="38" t="n"/>
      <c r="B177" s="45">
        <f>IF($A177="","",IFERROR(AVERAGEIFS('רווחה - קליטה'!$AR$5:$AR$204,'רווחה - קליטה'!$A$5:$A$204,$A177,'רווחה - קליטה'!$C$5:$C$204,"תחילת שנה"),""))</f>
        <v/>
      </c>
      <c r="C177" s="37">
        <f>IF($A177="","",IFERROR(AVERAGEIFS('רווחה - קליטה'!$AL$5:$AL$204,'רווחה - קליטה'!$A$5:$A$204,$A177,'רווחה - קליטה'!$C$5:$C$204,"תחילת שנה"),""))</f>
        <v/>
      </c>
      <c r="D177" s="36">
        <f>IF($A177="","",IFERROR(INDEX('רווחה - קליטה'!$AT$5:$AT$204,MATCH($A177&amp;"|תחילת שנה",'רווחה - קליטה'!$AF$5:$AF$204,0)),""))</f>
        <v/>
      </c>
      <c r="E177" s="45">
        <f>IF($A177="","",IFERROR(AVERAGEIFS('רווחה - קליטה'!$AR$5:$AR$204,'רווחה - קליטה'!$A$5:$A$204,$A177,'רווחה - קליטה'!$C$5:$C$204,"אמצע שנה"),""))</f>
        <v/>
      </c>
      <c r="F177" s="37">
        <f>IF($A177="","",IFERROR(AVERAGEIFS('רווחה - קליטה'!$AL$5:$AL$204,'רווחה - קליטה'!$A$5:$A$204,$A177,'רווחה - קליטה'!$C$5:$C$204,"אמצע שנה"),""))</f>
        <v/>
      </c>
      <c r="G177" s="36">
        <f>IF($A177="","",IFERROR(INDEX('רווחה - קליטה'!$AT$5:$AT$204,MATCH($A177&amp;"|אמצע שנה",'רווחה - קליטה'!$AF$5:$AF$204,0)),""))</f>
        <v/>
      </c>
      <c r="H177" s="45">
        <f>IF($A177="","",IFERROR(AVERAGEIFS('רווחה - קליטה'!$AR$5:$AR$204,'רווחה - קליטה'!$A$5:$A$204,$A177,'רווחה - קליטה'!$C$5:$C$204,"סוף שנה"),""))</f>
        <v/>
      </c>
      <c r="I177" s="37">
        <f>IF($A177="","",IFERROR(AVERAGEIFS('רווחה - קליטה'!$AL$5:$AL$204,'רווחה - קליטה'!$A$5:$A$204,$A177,'רווחה - קליטה'!$C$5:$C$204,"סוף שנה"),""))</f>
        <v/>
      </c>
      <c r="J177" s="36">
        <f>IF($A177="","",IFERROR(INDEX('רווחה - קליטה'!$AT$5:$AT$204,MATCH($A177&amp;"|סוף שנה",'רווחה - קליטה'!$AF$5:$AF$204,0)),""))</f>
        <v/>
      </c>
      <c r="K177" s="46">
        <f>IF(AND(ISNUMBER(B177),ISNUMBER(H177)),H177-B177,"")</f>
        <v/>
      </c>
      <c r="L177" s="36">
        <f>IF(K177="","",IF(K177&gt;=0.5,"עלייה",IF(K177&lt;=-0.5,"ירידה","יציב")))</f>
        <v/>
      </c>
    </row>
    <row r="178">
      <c r="A178" s="38" t="n"/>
      <c r="B178" s="45">
        <f>IF($A178="","",IFERROR(AVERAGEIFS('רווחה - קליטה'!$AR$5:$AR$204,'רווחה - קליטה'!$A$5:$A$204,$A178,'רווחה - קליטה'!$C$5:$C$204,"תחילת שנה"),""))</f>
        <v/>
      </c>
      <c r="C178" s="37">
        <f>IF($A178="","",IFERROR(AVERAGEIFS('רווחה - קליטה'!$AL$5:$AL$204,'רווחה - קליטה'!$A$5:$A$204,$A178,'רווחה - קליטה'!$C$5:$C$204,"תחילת שנה"),""))</f>
        <v/>
      </c>
      <c r="D178" s="36">
        <f>IF($A178="","",IFERROR(INDEX('רווחה - קליטה'!$AT$5:$AT$204,MATCH($A178&amp;"|תחילת שנה",'רווחה - קליטה'!$AF$5:$AF$204,0)),""))</f>
        <v/>
      </c>
      <c r="E178" s="45">
        <f>IF($A178="","",IFERROR(AVERAGEIFS('רווחה - קליטה'!$AR$5:$AR$204,'רווחה - קליטה'!$A$5:$A$204,$A178,'רווחה - קליטה'!$C$5:$C$204,"אמצע שנה"),""))</f>
        <v/>
      </c>
      <c r="F178" s="37">
        <f>IF($A178="","",IFERROR(AVERAGEIFS('רווחה - קליטה'!$AL$5:$AL$204,'רווחה - קליטה'!$A$5:$A$204,$A178,'רווחה - קליטה'!$C$5:$C$204,"אמצע שנה"),""))</f>
        <v/>
      </c>
      <c r="G178" s="36">
        <f>IF($A178="","",IFERROR(INDEX('רווחה - קליטה'!$AT$5:$AT$204,MATCH($A178&amp;"|אמצע שנה",'רווחה - קליטה'!$AF$5:$AF$204,0)),""))</f>
        <v/>
      </c>
      <c r="H178" s="45">
        <f>IF($A178="","",IFERROR(AVERAGEIFS('רווחה - קליטה'!$AR$5:$AR$204,'רווחה - קליטה'!$A$5:$A$204,$A178,'רווחה - קליטה'!$C$5:$C$204,"סוף שנה"),""))</f>
        <v/>
      </c>
      <c r="I178" s="37">
        <f>IF($A178="","",IFERROR(AVERAGEIFS('רווחה - קליטה'!$AL$5:$AL$204,'רווחה - קליטה'!$A$5:$A$204,$A178,'רווחה - קליטה'!$C$5:$C$204,"סוף שנה"),""))</f>
        <v/>
      </c>
      <c r="J178" s="36">
        <f>IF($A178="","",IFERROR(INDEX('רווחה - קליטה'!$AT$5:$AT$204,MATCH($A178&amp;"|סוף שנה",'רווחה - קליטה'!$AF$5:$AF$204,0)),""))</f>
        <v/>
      </c>
      <c r="K178" s="46">
        <f>IF(AND(ISNUMBER(B178),ISNUMBER(H178)),H178-B178,"")</f>
        <v/>
      </c>
      <c r="L178" s="36">
        <f>IF(K178="","",IF(K178&gt;=0.5,"עלייה",IF(K178&lt;=-0.5,"ירידה","יציב")))</f>
        <v/>
      </c>
    </row>
    <row r="179">
      <c r="A179" s="38" t="n"/>
      <c r="B179" s="45">
        <f>IF($A179="","",IFERROR(AVERAGEIFS('רווחה - קליטה'!$AR$5:$AR$204,'רווחה - קליטה'!$A$5:$A$204,$A179,'רווחה - קליטה'!$C$5:$C$204,"תחילת שנה"),""))</f>
        <v/>
      </c>
      <c r="C179" s="37">
        <f>IF($A179="","",IFERROR(AVERAGEIFS('רווחה - קליטה'!$AL$5:$AL$204,'רווחה - קליטה'!$A$5:$A$204,$A179,'רווחה - קליטה'!$C$5:$C$204,"תחילת שנה"),""))</f>
        <v/>
      </c>
      <c r="D179" s="36">
        <f>IF($A179="","",IFERROR(INDEX('רווחה - קליטה'!$AT$5:$AT$204,MATCH($A179&amp;"|תחילת שנה",'רווחה - קליטה'!$AF$5:$AF$204,0)),""))</f>
        <v/>
      </c>
      <c r="E179" s="45">
        <f>IF($A179="","",IFERROR(AVERAGEIFS('רווחה - קליטה'!$AR$5:$AR$204,'רווחה - קליטה'!$A$5:$A$204,$A179,'רווחה - קליטה'!$C$5:$C$204,"אמצע שנה"),""))</f>
        <v/>
      </c>
      <c r="F179" s="37">
        <f>IF($A179="","",IFERROR(AVERAGEIFS('רווחה - קליטה'!$AL$5:$AL$204,'רווחה - קליטה'!$A$5:$A$204,$A179,'רווחה - קליטה'!$C$5:$C$204,"אמצע שנה"),""))</f>
        <v/>
      </c>
      <c r="G179" s="36">
        <f>IF($A179="","",IFERROR(INDEX('רווחה - קליטה'!$AT$5:$AT$204,MATCH($A179&amp;"|אמצע שנה",'רווחה - קליטה'!$AF$5:$AF$204,0)),""))</f>
        <v/>
      </c>
      <c r="H179" s="45">
        <f>IF($A179="","",IFERROR(AVERAGEIFS('רווחה - קליטה'!$AR$5:$AR$204,'רווחה - קליטה'!$A$5:$A$204,$A179,'רווחה - קליטה'!$C$5:$C$204,"סוף שנה"),""))</f>
        <v/>
      </c>
      <c r="I179" s="37">
        <f>IF($A179="","",IFERROR(AVERAGEIFS('רווחה - קליטה'!$AL$5:$AL$204,'רווחה - קליטה'!$A$5:$A$204,$A179,'רווחה - קליטה'!$C$5:$C$204,"סוף שנה"),""))</f>
        <v/>
      </c>
      <c r="J179" s="36">
        <f>IF($A179="","",IFERROR(INDEX('רווחה - קליטה'!$AT$5:$AT$204,MATCH($A179&amp;"|סוף שנה",'רווחה - קליטה'!$AF$5:$AF$204,0)),""))</f>
        <v/>
      </c>
      <c r="K179" s="46">
        <f>IF(AND(ISNUMBER(B179),ISNUMBER(H179)),H179-B179,"")</f>
        <v/>
      </c>
      <c r="L179" s="36">
        <f>IF(K179="","",IF(K179&gt;=0.5,"עלייה",IF(K179&lt;=-0.5,"ירידה","יציב")))</f>
        <v/>
      </c>
    </row>
    <row r="180">
      <c r="A180" s="38" t="n"/>
      <c r="B180" s="45">
        <f>IF($A180="","",IFERROR(AVERAGEIFS('רווחה - קליטה'!$AR$5:$AR$204,'רווחה - קליטה'!$A$5:$A$204,$A180,'רווחה - קליטה'!$C$5:$C$204,"תחילת שנה"),""))</f>
        <v/>
      </c>
      <c r="C180" s="37">
        <f>IF($A180="","",IFERROR(AVERAGEIFS('רווחה - קליטה'!$AL$5:$AL$204,'רווחה - קליטה'!$A$5:$A$204,$A180,'רווחה - קליטה'!$C$5:$C$204,"תחילת שנה"),""))</f>
        <v/>
      </c>
      <c r="D180" s="36">
        <f>IF($A180="","",IFERROR(INDEX('רווחה - קליטה'!$AT$5:$AT$204,MATCH($A180&amp;"|תחילת שנה",'רווחה - קליטה'!$AF$5:$AF$204,0)),""))</f>
        <v/>
      </c>
      <c r="E180" s="45">
        <f>IF($A180="","",IFERROR(AVERAGEIFS('רווחה - קליטה'!$AR$5:$AR$204,'רווחה - קליטה'!$A$5:$A$204,$A180,'רווחה - קליטה'!$C$5:$C$204,"אמצע שנה"),""))</f>
        <v/>
      </c>
      <c r="F180" s="37">
        <f>IF($A180="","",IFERROR(AVERAGEIFS('רווחה - קליטה'!$AL$5:$AL$204,'רווחה - קליטה'!$A$5:$A$204,$A180,'רווחה - קליטה'!$C$5:$C$204,"אמצע שנה"),""))</f>
        <v/>
      </c>
      <c r="G180" s="36">
        <f>IF($A180="","",IFERROR(INDEX('רווחה - קליטה'!$AT$5:$AT$204,MATCH($A180&amp;"|אמצע שנה",'רווחה - קליטה'!$AF$5:$AF$204,0)),""))</f>
        <v/>
      </c>
      <c r="H180" s="45">
        <f>IF($A180="","",IFERROR(AVERAGEIFS('רווחה - קליטה'!$AR$5:$AR$204,'רווחה - קליטה'!$A$5:$A$204,$A180,'רווחה - קליטה'!$C$5:$C$204,"סוף שנה"),""))</f>
        <v/>
      </c>
      <c r="I180" s="37">
        <f>IF($A180="","",IFERROR(AVERAGEIFS('רווחה - קליטה'!$AL$5:$AL$204,'רווחה - קליטה'!$A$5:$A$204,$A180,'רווחה - קליטה'!$C$5:$C$204,"סוף שנה"),""))</f>
        <v/>
      </c>
      <c r="J180" s="36">
        <f>IF($A180="","",IFERROR(INDEX('רווחה - קליטה'!$AT$5:$AT$204,MATCH($A180&amp;"|סוף שנה",'רווחה - קליטה'!$AF$5:$AF$204,0)),""))</f>
        <v/>
      </c>
      <c r="K180" s="46">
        <f>IF(AND(ISNUMBER(B180),ISNUMBER(H180)),H180-B180,"")</f>
        <v/>
      </c>
      <c r="L180" s="36">
        <f>IF(K180="","",IF(K180&gt;=0.5,"עלייה",IF(K180&lt;=-0.5,"ירידה","יציב")))</f>
        <v/>
      </c>
    </row>
    <row r="181">
      <c r="A181" s="38" t="n"/>
      <c r="B181" s="45">
        <f>IF($A181="","",IFERROR(AVERAGEIFS('רווחה - קליטה'!$AR$5:$AR$204,'רווחה - קליטה'!$A$5:$A$204,$A181,'רווחה - קליטה'!$C$5:$C$204,"תחילת שנה"),""))</f>
        <v/>
      </c>
      <c r="C181" s="37">
        <f>IF($A181="","",IFERROR(AVERAGEIFS('רווחה - קליטה'!$AL$5:$AL$204,'רווחה - קליטה'!$A$5:$A$204,$A181,'רווחה - קליטה'!$C$5:$C$204,"תחילת שנה"),""))</f>
        <v/>
      </c>
      <c r="D181" s="36">
        <f>IF($A181="","",IFERROR(INDEX('רווחה - קליטה'!$AT$5:$AT$204,MATCH($A181&amp;"|תחילת שנה",'רווחה - קליטה'!$AF$5:$AF$204,0)),""))</f>
        <v/>
      </c>
      <c r="E181" s="45">
        <f>IF($A181="","",IFERROR(AVERAGEIFS('רווחה - קליטה'!$AR$5:$AR$204,'רווחה - קליטה'!$A$5:$A$204,$A181,'רווחה - קליטה'!$C$5:$C$204,"אמצע שנה"),""))</f>
        <v/>
      </c>
      <c r="F181" s="37">
        <f>IF($A181="","",IFERROR(AVERAGEIFS('רווחה - קליטה'!$AL$5:$AL$204,'רווחה - קליטה'!$A$5:$A$204,$A181,'רווחה - קליטה'!$C$5:$C$204,"אמצע שנה"),""))</f>
        <v/>
      </c>
      <c r="G181" s="36">
        <f>IF($A181="","",IFERROR(INDEX('רווחה - קליטה'!$AT$5:$AT$204,MATCH($A181&amp;"|אמצע שנה",'רווחה - קליטה'!$AF$5:$AF$204,0)),""))</f>
        <v/>
      </c>
      <c r="H181" s="45">
        <f>IF($A181="","",IFERROR(AVERAGEIFS('רווחה - קליטה'!$AR$5:$AR$204,'רווחה - קליטה'!$A$5:$A$204,$A181,'רווחה - קליטה'!$C$5:$C$204,"סוף שנה"),""))</f>
        <v/>
      </c>
      <c r="I181" s="37">
        <f>IF($A181="","",IFERROR(AVERAGEIFS('רווחה - קליטה'!$AL$5:$AL$204,'רווחה - קליטה'!$A$5:$A$204,$A181,'רווחה - קליטה'!$C$5:$C$204,"סוף שנה"),""))</f>
        <v/>
      </c>
      <c r="J181" s="36">
        <f>IF($A181="","",IFERROR(INDEX('רווחה - קליטה'!$AT$5:$AT$204,MATCH($A181&amp;"|סוף שנה",'רווחה - קליטה'!$AF$5:$AF$204,0)),""))</f>
        <v/>
      </c>
      <c r="K181" s="46">
        <f>IF(AND(ISNUMBER(B181),ISNUMBER(H181)),H181-B181,"")</f>
        <v/>
      </c>
      <c r="L181" s="36">
        <f>IF(K181="","",IF(K181&gt;=0.5,"עלייה",IF(K181&lt;=-0.5,"ירידה","יציב")))</f>
        <v/>
      </c>
    </row>
    <row r="182">
      <c r="A182" s="38" t="n"/>
      <c r="B182" s="45">
        <f>IF($A182="","",IFERROR(AVERAGEIFS('רווחה - קליטה'!$AR$5:$AR$204,'רווחה - קליטה'!$A$5:$A$204,$A182,'רווחה - קליטה'!$C$5:$C$204,"תחילת שנה"),""))</f>
        <v/>
      </c>
      <c r="C182" s="37">
        <f>IF($A182="","",IFERROR(AVERAGEIFS('רווחה - קליטה'!$AL$5:$AL$204,'רווחה - קליטה'!$A$5:$A$204,$A182,'רווחה - קליטה'!$C$5:$C$204,"תחילת שנה"),""))</f>
        <v/>
      </c>
      <c r="D182" s="36">
        <f>IF($A182="","",IFERROR(INDEX('רווחה - קליטה'!$AT$5:$AT$204,MATCH($A182&amp;"|תחילת שנה",'רווחה - קליטה'!$AF$5:$AF$204,0)),""))</f>
        <v/>
      </c>
      <c r="E182" s="45">
        <f>IF($A182="","",IFERROR(AVERAGEIFS('רווחה - קליטה'!$AR$5:$AR$204,'רווחה - קליטה'!$A$5:$A$204,$A182,'רווחה - קליטה'!$C$5:$C$204,"אמצע שנה"),""))</f>
        <v/>
      </c>
      <c r="F182" s="37">
        <f>IF($A182="","",IFERROR(AVERAGEIFS('רווחה - קליטה'!$AL$5:$AL$204,'רווחה - קליטה'!$A$5:$A$204,$A182,'רווחה - קליטה'!$C$5:$C$204,"אמצע שנה"),""))</f>
        <v/>
      </c>
      <c r="G182" s="36">
        <f>IF($A182="","",IFERROR(INDEX('רווחה - קליטה'!$AT$5:$AT$204,MATCH($A182&amp;"|אמצע שנה",'רווחה - קליטה'!$AF$5:$AF$204,0)),""))</f>
        <v/>
      </c>
      <c r="H182" s="45">
        <f>IF($A182="","",IFERROR(AVERAGEIFS('רווחה - קליטה'!$AR$5:$AR$204,'רווחה - קליטה'!$A$5:$A$204,$A182,'רווחה - קליטה'!$C$5:$C$204,"סוף שנה"),""))</f>
        <v/>
      </c>
      <c r="I182" s="37">
        <f>IF($A182="","",IFERROR(AVERAGEIFS('רווחה - קליטה'!$AL$5:$AL$204,'רווחה - קליטה'!$A$5:$A$204,$A182,'רווחה - קליטה'!$C$5:$C$204,"סוף שנה"),""))</f>
        <v/>
      </c>
      <c r="J182" s="36">
        <f>IF($A182="","",IFERROR(INDEX('רווחה - קליטה'!$AT$5:$AT$204,MATCH($A182&amp;"|סוף שנה",'רווחה - קליטה'!$AF$5:$AF$204,0)),""))</f>
        <v/>
      </c>
      <c r="K182" s="46">
        <f>IF(AND(ISNUMBER(B182),ISNUMBER(H182)),H182-B182,"")</f>
        <v/>
      </c>
      <c r="L182" s="36">
        <f>IF(K182="","",IF(K182&gt;=0.5,"עלייה",IF(K182&lt;=-0.5,"ירידה","יציב")))</f>
        <v/>
      </c>
    </row>
    <row r="183">
      <c r="A183" s="38" t="n"/>
      <c r="B183" s="45">
        <f>IF($A183="","",IFERROR(AVERAGEIFS('רווחה - קליטה'!$AR$5:$AR$204,'רווחה - קליטה'!$A$5:$A$204,$A183,'רווחה - קליטה'!$C$5:$C$204,"תחילת שנה"),""))</f>
        <v/>
      </c>
      <c r="C183" s="37">
        <f>IF($A183="","",IFERROR(AVERAGEIFS('רווחה - קליטה'!$AL$5:$AL$204,'רווחה - קליטה'!$A$5:$A$204,$A183,'רווחה - קליטה'!$C$5:$C$204,"תחילת שנה"),""))</f>
        <v/>
      </c>
      <c r="D183" s="36">
        <f>IF($A183="","",IFERROR(INDEX('רווחה - קליטה'!$AT$5:$AT$204,MATCH($A183&amp;"|תחילת שנה",'רווחה - קליטה'!$AF$5:$AF$204,0)),""))</f>
        <v/>
      </c>
      <c r="E183" s="45">
        <f>IF($A183="","",IFERROR(AVERAGEIFS('רווחה - קליטה'!$AR$5:$AR$204,'רווחה - קליטה'!$A$5:$A$204,$A183,'רווחה - קליטה'!$C$5:$C$204,"אמצע שנה"),""))</f>
        <v/>
      </c>
      <c r="F183" s="37">
        <f>IF($A183="","",IFERROR(AVERAGEIFS('רווחה - קליטה'!$AL$5:$AL$204,'רווחה - קליטה'!$A$5:$A$204,$A183,'רווחה - קליטה'!$C$5:$C$204,"אמצע שנה"),""))</f>
        <v/>
      </c>
      <c r="G183" s="36">
        <f>IF($A183="","",IFERROR(INDEX('רווחה - קליטה'!$AT$5:$AT$204,MATCH($A183&amp;"|אמצע שנה",'רווחה - קליטה'!$AF$5:$AF$204,0)),""))</f>
        <v/>
      </c>
      <c r="H183" s="45">
        <f>IF($A183="","",IFERROR(AVERAGEIFS('רווחה - קליטה'!$AR$5:$AR$204,'רווחה - קליטה'!$A$5:$A$204,$A183,'רווחה - קליטה'!$C$5:$C$204,"סוף שנה"),""))</f>
        <v/>
      </c>
      <c r="I183" s="37">
        <f>IF($A183="","",IFERROR(AVERAGEIFS('רווחה - קליטה'!$AL$5:$AL$204,'רווחה - קליטה'!$A$5:$A$204,$A183,'רווחה - קליטה'!$C$5:$C$204,"סוף שנה"),""))</f>
        <v/>
      </c>
      <c r="J183" s="36">
        <f>IF($A183="","",IFERROR(INDEX('רווחה - קליטה'!$AT$5:$AT$204,MATCH($A183&amp;"|סוף שנה",'רווחה - קליטה'!$AF$5:$AF$204,0)),""))</f>
        <v/>
      </c>
      <c r="K183" s="46">
        <f>IF(AND(ISNUMBER(B183),ISNUMBER(H183)),H183-B183,"")</f>
        <v/>
      </c>
      <c r="L183" s="36">
        <f>IF(K183="","",IF(K183&gt;=0.5,"עלייה",IF(K183&lt;=-0.5,"ירידה","יציב")))</f>
        <v/>
      </c>
    </row>
    <row r="184">
      <c r="A184" s="38" t="n"/>
      <c r="B184" s="45">
        <f>IF($A184="","",IFERROR(AVERAGEIFS('רווחה - קליטה'!$AR$5:$AR$204,'רווחה - קליטה'!$A$5:$A$204,$A184,'רווחה - קליטה'!$C$5:$C$204,"תחילת שנה"),""))</f>
        <v/>
      </c>
      <c r="C184" s="37">
        <f>IF($A184="","",IFERROR(AVERAGEIFS('רווחה - קליטה'!$AL$5:$AL$204,'רווחה - קליטה'!$A$5:$A$204,$A184,'רווחה - קליטה'!$C$5:$C$204,"תחילת שנה"),""))</f>
        <v/>
      </c>
      <c r="D184" s="36">
        <f>IF($A184="","",IFERROR(INDEX('רווחה - קליטה'!$AT$5:$AT$204,MATCH($A184&amp;"|תחילת שנה",'רווחה - קליטה'!$AF$5:$AF$204,0)),""))</f>
        <v/>
      </c>
      <c r="E184" s="45">
        <f>IF($A184="","",IFERROR(AVERAGEIFS('רווחה - קליטה'!$AR$5:$AR$204,'רווחה - קליטה'!$A$5:$A$204,$A184,'רווחה - קליטה'!$C$5:$C$204,"אמצע שנה"),""))</f>
        <v/>
      </c>
      <c r="F184" s="37">
        <f>IF($A184="","",IFERROR(AVERAGEIFS('רווחה - קליטה'!$AL$5:$AL$204,'רווחה - קליטה'!$A$5:$A$204,$A184,'רווחה - קליטה'!$C$5:$C$204,"אמצע שנה"),""))</f>
        <v/>
      </c>
      <c r="G184" s="36">
        <f>IF($A184="","",IFERROR(INDEX('רווחה - קליטה'!$AT$5:$AT$204,MATCH($A184&amp;"|אמצע שנה",'רווחה - קליטה'!$AF$5:$AF$204,0)),""))</f>
        <v/>
      </c>
      <c r="H184" s="45">
        <f>IF($A184="","",IFERROR(AVERAGEIFS('רווחה - קליטה'!$AR$5:$AR$204,'רווחה - קליטה'!$A$5:$A$204,$A184,'רווחה - קליטה'!$C$5:$C$204,"סוף שנה"),""))</f>
        <v/>
      </c>
      <c r="I184" s="37">
        <f>IF($A184="","",IFERROR(AVERAGEIFS('רווחה - קליטה'!$AL$5:$AL$204,'רווחה - קליטה'!$A$5:$A$204,$A184,'רווחה - קליטה'!$C$5:$C$204,"סוף שנה"),""))</f>
        <v/>
      </c>
      <c r="J184" s="36">
        <f>IF($A184="","",IFERROR(INDEX('רווחה - קליטה'!$AT$5:$AT$204,MATCH($A184&amp;"|סוף שנה",'רווחה - קליטה'!$AF$5:$AF$204,0)),""))</f>
        <v/>
      </c>
      <c r="K184" s="46">
        <f>IF(AND(ISNUMBER(B184),ISNUMBER(H184)),H184-B184,"")</f>
        <v/>
      </c>
      <c r="L184" s="36">
        <f>IF(K184="","",IF(K184&gt;=0.5,"עלייה",IF(K184&lt;=-0.5,"ירידה","יציב")))</f>
        <v/>
      </c>
    </row>
    <row r="185">
      <c r="A185" s="38" t="n"/>
      <c r="B185" s="45">
        <f>IF($A185="","",IFERROR(AVERAGEIFS('רווחה - קליטה'!$AR$5:$AR$204,'רווחה - קליטה'!$A$5:$A$204,$A185,'רווחה - קליטה'!$C$5:$C$204,"תחילת שנה"),""))</f>
        <v/>
      </c>
      <c r="C185" s="37">
        <f>IF($A185="","",IFERROR(AVERAGEIFS('רווחה - קליטה'!$AL$5:$AL$204,'רווחה - קליטה'!$A$5:$A$204,$A185,'רווחה - קליטה'!$C$5:$C$204,"תחילת שנה"),""))</f>
        <v/>
      </c>
      <c r="D185" s="36">
        <f>IF($A185="","",IFERROR(INDEX('רווחה - קליטה'!$AT$5:$AT$204,MATCH($A185&amp;"|תחילת שנה",'רווחה - קליטה'!$AF$5:$AF$204,0)),""))</f>
        <v/>
      </c>
      <c r="E185" s="45">
        <f>IF($A185="","",IFERROR(AVERAGEIFS('רווחה - קליטה'!$AR$5:$AR$204,'רווחה - קליטה'!$A$5:$A$204,$A185,'רווחה - קליטה'!$C$5:$C$204,"אמצע שנה"),""))</f>
        <v/>
      </c>
      <c r="F185" s="37">
        <f>IF($A185="","",IFERROR(AVERAGEIFS('רווחה - קליטה'!$AL$5:$AL$204,'רווחה - קליטה'!$A$5:$A$204,$A185,'רווחה - קליטה'!$C$5:$C$204,"אמצע שנה"),""))</f>
        <v/>
      </c>
      <c r="G185" s="36">
        <f>IF($A185="","",IFERROR(INDEX('רווחה - קליטה'!$AT$5:$AT$204,MATCH($A185&amp;"|אמצע שנה",'רווחה - קליטה'!$AF$5:$AF$204,0)),""))</f>
        <v/>
      </c>
      <c r="H185" s="45">
        <f>IF($A185="","",IFERROR(AVERAGEIFS('רווחה - קליטה'!$AR$5:$AR$204,'רווחה - קליטה'!$A$5:$A$204,$A185,'רווחה - קליטה'!$C$5:$C$204,"סוף שנה"),""))</f>
        <v/>
      </c>
      <c r="I185" s="37">
        <f>IF($A185="","",IFERROR(AVERAGEIFS('רווחה - קליטה'!$AL$5:$AL$204,'רווחה - קליטה'!$A$5:$A$204,$A185,'רווחה - קליטה'!$C$5:$C$204,"סוף שנה"),""))</f>
        <v/>
      </c>
      <c r="J185" s="36">
        <f>IF($A185="","",IFERROR(INDEX('רווחה - קליטה'!$AT$5:$AT$204,MATCH($A185&amp;"|סוף שנה",'רווחה - קליטה'!$AF$5:$AF$204,0)),""))</f>
        <v/>
      </c>
      <c r="K185" s="46">
        <f>IF(AND(ISNUMBER(B185),ISNUMBER(H185)),H185-B185,"")</f>
        <v/>
      </c>
      <c r="L185" s="36">
        <f>IF(K185="","",IF(K185&gt;=0.5,"עלייה",IF(K185&lt;=-0.5,"ירידה","יציב")))</f>
        <v/>
      </c>
    </row>
    <row r="186">
      <c r="A186" s="38" t="n"/>
      <c r="B186" s="45">
        <f>IF($A186="","",IFERROR(AVERAGEIFS('רווחה - קליטה'!$AR$5:$AR$204,'רווחה - קליטה'!$A$5:$A$204,$A186,'רווחה - קליטה'!$C$5:$C$204,"תחילת שנה"),""))</f>
        <v/>
      </c>
      <c r="C186" s="37">
        <f>IF($A186="","",IFERROR(AVERAGEIFS('רווחה - קליטה'!$AL$5:$AL$204,'רווחה - קליטה'!$A$5:$A$204,$A186,'רווחה - קליטה'!$C$5:$C$204,"תחילת שנה"),""))</f>
        <v/>
      </c>
      <c r="D186" s="36">
        <f>IF($A186="","",IFERROR(INDEX('רווחה - קליטה'!$AT$5:$AT$204,MATCH($A186&amp;"|תחילת שנה",'רווחה - קליטה'!$AF$5:$AF$204,0)),""))</f>
        <v/>
      </c>
      <c r="E186" s="45">
        <f>IF($A186="","",IFERROR(AVERAGEIFS('רווחה - קליטה'!$AR$5:$AR$204,'רווחה - קליטה'!$A$5:$A$204,$A186,'רווחה - קליטה'!$C$5:$C$204,"אמצע שנה"),""))</f>
        <v/>
      </c>
      <c r="F186" s="37">
        <f>IF($A186="","",IFERROR(AVERAGEIFS('רווחה - קליטה'!$AL$5:$AL$204,'רווחה - קליטה'!$A$5:$A$204,$A186,'רווחה - קליטה'!$C$5:$C$204,"אמצע שנה"),""))</f>
        <v/>
      </c>
      <c r="G186" s="36">
        <f>IF($A186="","",IFERROR(INDEX('רווחה - קליטה'!$AT$5:$AT$204,MATCH($A186&amp;"|אמצע שנה",'רווחה - קליטה'!$AF$5:$AF$204,0)),""))</f>
        <v/>
      </c>
      <c r="H186" s="45">
        <f>IF($A186="","",IFERROR(AVERAGEIFS('רווחה - קליטה'!$AR$5:$AR$204,'רווחה - קליטה'!$A$5:$A$204,$A186,'רווחה - קליטה'!$C$5:$C$204,"סוף שנה"),""))</f>
        <v/>
      </c>
      <c r="I186" s="37">
        <f>IF($A186="","",IFERROR(AVERAGEIFS('רווחה - קליטה'!$AL$5:$AL$204,'רווחה - קליטה'!$A$5:$A$204,$A186,'רווחה - קליטה'!$C$5:$C$204,"סוף שנה"),""))</f>
        <v/>
      </c>
      <c r="J186" s="36">
        <f>IF($A186="","",IFERROR(INDEX('רווחה - קליטה'!$AT$5:$AT$204,MATCH($A186&amp;"|סוף שנה",'רווחה - קליטה'!$AF$5:$AF$204,0)),""))</f>
        <v/>
      </c>
      <c r="K186" s="46">
        <f>IF(AND(ISNUMBER(B186),ISNUMBER(H186)),H186-B186,"")</f>
        <v/>
      </c>
      <c r="L186" s="36">
        <f>IF(K186="","",IF(K186&gt;=0.5,"עלייה",IF(K186&lt;=-0.5,"ירידה","יציב")))</f>
        <v/>
      </c>
    </row>
    <row r="187">
      <c r="A187" s="38" t="n"/>
      <c r="B187" s="45">
        <f>IF($A187="","",IFERROR(AVERAGEIFS('רווחה - קליטה'!$AR$5:$AR$204,'רווחה - קליטה'!$A$5:$A$204,$A187,'רווחה - קליטה'!$C$5:$C$204,"תחילת שנה"),""))</f>
        <v/>
      </c>
      <c r="C187" s="37">
        <f>IF($A187="","",IFERROR(AVERAGEIFS('רווחה - קליטה'!$AL$5:$AL$204,'רווחה - קליטה'!$A$5:$A$204,$A187,'רווחה - קליטה'!$C$5:$C$204,"תחילת שנה"),""))</f>
        <v/>
      </c>
      <c r="D187" s="36">
        <f>IF($A187="","",IFERROR(INDEX('רווחה - קליטה'!$AT$5:$AT$204,MATCH($A187&amp;"|תחילת שנה",'רווחה - קליטה'!$AF$5:$AF$204,0)),""))</f>
        <v/>
      </c>
      <c r="E187" s="45">
        <f>IF($A187="","",IFERROR(AVERAGEIFS('רווחה - קליטה'!$AR$5:$AR$204,'רווחה - קליטה'!$A$5:$A$204,$A187,'רווחה - קליטה'!$C$5:$C$204,"אמצע שנה"),""))</f>
        <v/>
      </c>
      <c r="F187" s="37">
        <f>IF($A187="","",IFERROR(AVERAGEIFS('רווחה - קליטה'!$AL$5:$AL$204,'רווחה - קליטה'!$A$5:$A$204,$A187,'רווחה - קליטה'!$C$5:$C$204,"אמצע שנה"),""))</f>
        <v/>
      </c>
      <c r="G187" s="36">
        <f>IF($A187="","",IFERROR(INDEX('רווחה - קליטה'!$AT$5:$AT$204,MATCH($A187&amp;"|אמצע שנה",'רווחה - קליטה'!$AF$5:$AF$204,0)),""))</f>
        <v/>
      </c>
      <c r="H187" s="45">
        <f>IF($A187="","",IFERROR(AVERAGEIFS('רווחה - קליטה'!$AR$5:$AR$204,'רווחה - קליטה'!$A$5:$A$204,$A187,'רווחה - קליטה'!$C$5:$C$204,"סוף שנה"),""))</f>
        <v/>
      </c>
      <c r="I187" s="37">
        <f>IF($A187="","",IFERROR(AVERAGEIFS('רווחה - קליטה'!$AL$5:$AL$204,'רווחה - קליטה'!$A$5:$A$204,$A187,'רווחה - קליטה'!$C$5:$C$204,"סוף שנה"),""))</f>
        <v/>
      </c>
      <c r="J187" s="36">
        <f>IF($A187="","",IFERROR(INDEX('רווחה - קליטה'!$AT$5:$AT$204,MATCH($A187&amp;"|סוף שנה",'רווחה - קליטה'!$AF$5:$AF$204,0)),""))</f>
        <v/>
      </c>
      <c r="K187" s="46">
        <f>IF(AND(ISNUMBER(B187),ISNUMBER(H187)),H187-B187,"")</f>
        <v/>
      </c>
      <c r="L187" s="36">
        <f>IF(K187="","",IF(K187&gt;=0.5,"עלייה",IF(K187&lt;=-0.5,"ירידה","יציב")))</f>
        <v/>
      </c>
    </row>
    <row r="188">
      <c r="A188" s="38" t="n"/>
      <c r="B188" s="45">
        <f>IF($A188="","",IFERROR(AVERAGEIFS('רווחה - קליטה'!$AR$5:$AR$204,'רווחה - קליטה'!$A$5:$A$204,$A188,'רווחה - קליטה'!$C$5:$C$204,"תחילת שנה"),""))</f>
        <v/>
      </c>
      <c r="C188" s="37">
        <f>IF($A188="","",IFERROR(AVERAGEIFS('רווחה - קליטה'!$AL$5:$AL$204,'רווחה - קליטה'!$A$5:$A$204,$A188,'רווחה - קליטה'!$C$5:$C$204,"תחילת שנה"),""))</f>
        <v/>
      </c>
      <c r="D188" s="36">
        <f>IF($A188="","",IFERROR(INDEX('רווחה - קליטה'!$AT$5:$AT$204,MATCH($A188&amp;"|תחילת שנה",'רווחה - קליטה'!$AF$5:$AF$204,0)),""))</f>
        <v/>
      </c>
      <c r="E188" s="45">
        <f>IF($A188="","",IFERROR(AVERAGEIFS('רווחה - קליטה'!$AR$5:$AR$204,'רווחה - קליטה'!$A$5:$A$204,$A188,'רווחה - קליטה'!$C$5:$C$204,"אמצע שנה"),""))</f>
        <v/>
      </c>
      <c r="F188" s="37">
        <f>IF($A188="","",IFERROR(AVERAGEIFS('רווחה - קליטה'!$AL$5:$AL$204,'רווחה - קליטה'!$A$5:$A$204,$A188,'רווחה - קליטה'!$C$5:$C$204,"אמצע שנה"),""))</f>
        <v/>
      </c>
      <c r="G188" s="36">
        <f>IF($A188="","",IFERROR(INDEX('רווחה - קליטה'!$AT$5:$AT$204,MATCH($A188&amp;"|אמצע שנה",'רווחה - קליטה'!$AF$5:$AF$204,0)),""))</f>
        <v/>
      </c>
      <c r="H188" s="45">
        <f>IF($A188="","",IFERROR(AVERAGEIFS('רווחה - קליטה'!$AR$5:$AR$204,'רווחה - קליטה'!$A$5:$A$204,$A188,'רווחה - קליטה'!$C$5:$C$204,"סוף שנה"),""))</f>
        <v/>
      </c>
      <c r="I188" s="37">
        <f>IF($A188="","",IFERROR(AVERAGEIFS('רווחה - קליטה'!$AL$5:$AL$204,'רווחה - קליטה'!$A$5:$A$204,$A188,'רווחה - קליטה'!$C$5:$C$204,"סוף שנה"),""))</f>
        <v/>
      </c>
      <c r="J188" s="36">
        <f>IF($A188="","",IFERROR(INDEX('רווחה - קליטה'!$AT$5:$AT$204,MATCH($A188&amp;"|סוף שנה",'רווחה - קליטה'!$AF$5:$AF$204,0)),""))</f>
        <v/>
      </c>
      <c r="K188" s="46">
        <f>IF(AND(ISNUMBER(B188),ISNUMBER(H188)),H188-B188,"")</f>
        <v/>
      </c>
      <c r="L188" s="36">
        <f>IF(K188="","",IF(K188&gt;=0.5,"עלייה",IF(K188&lt;=-0.5,"ירידה","יציב")))</f>
        <v/>
      </c>
    </row>
    <row r="189">
      <c r="A189" s="38" t="n"/>
      <c r="B189" s="45">
        <f>IF($A189="","",IFERROR(AVERAGEIFS('רווחה - קליטה'!$AR$5:$AR$204,'רווחה - קליטה'!$A$5:$A$204,$A189,'רווחה - קליטה'!$C$5:$C$204,"תחילת שנה"),""))</f>
        <v/>
      </c>
      <c r="C189" s="37">
        <f>IF($A189="","",IFERROR(AVERAGEIFS('רווחה - קליטה'!$AL$5:$AL$204,'רווחה - קליטה'!$A$5:$A$204,$A189,'רווחה - קליטה'!$C$5:$C$204,"תחילת שנה"),""))</f>
        <v/>
      </c>
      <c r="D189" s="36">
        <f>IF($A189="","",IFERROR(INDEX('רווחה - קליטה'!$AT$5:$AT$204,MATCH($A189&amp;"|תחילת שנה",'רווחה - קליטה'!$AF$5:$AF$204,0)),""))</f>
        <v/>
      </c>
      <c r="E189" s="45">
        <f>IF($A189="","",IFERROR(AVERAGEIFS('רווחה - קליטה'!$AR$5:$AR$204,'רווחה - קליטה'!$A$5:$A$204,$A189,'רווחה - קליטה'!$C$5:$C$204,"אמצע שנה"),""))</f>
        <v/>
      </c>
      <c r="F189" s="37">
        <f>IF($A189="","",IFERROR(AVERAGEIFS('רווחה - קליטה'!$AL$5:$AL$204,'רווחה - קליטה'!$A$5:$A$204,$A189,'רווחה - קליטה'!$C$5:$C$204,"אמצע שנה"),""))</f>
        <v/>
      </c>
      <c r="G189" s="36">
        <f>IF($A189="","",IFERROR(INDEX('רווחה - קליטה'!$AT$5:$AT$204,MATCH($A189&amp;"|אמצע שנה",'רווחה - קליטה'!$AF$5:$AF$204,0)),""))</f>
        <v/>
      </c>
      <c r="H189" s="45">
        <f>IF($A189="","",IFERROR(AVERAGEIFS('רווחה - קליטה'!$AR$5:$AR$204,'רווחה - קליטה'!$A$5:$A$204,$A189,'רווחה - קליטה'!$C$5:$C$204,"סוף שנה"),""))</f>
        <v/>
      </c>
      <c r="I189" s="37">
        <f>IF($A189="","",IFERROR(AVERAGEIFS('רווחה - קליטה'!$AL$5:$AL$204,'רווחה - קליטה'!$A$5:$A$204,$A189,'רווחה - קליטה'!$C$5:$C$204,"סוף שנה"),""))</f>
        <v/>
      </c>
      <c r="J189" s="36">
        <f>IF($A189="","",IFERROR(INDEX('רווחה - קליטה'!$AT$5:$AT$204,MATCH($A189&amp;"|סוף שנה",'רווחה - קליטה'!$AF$5:$AF$204,0)),""))</f>
        <v/>
      </c>
      <c r="K189" s="46">
        <f>IF(AND(ISNUMBER(B189),ISNUMBER(H189)),H189-B189,"")</f>
        <v/>
      </c>
      <c r="L189" s="36">
        <f>IF(K189="","",IF(K189&gt;=0.5,"עלייה",IF(K189&lt;=-0.5,"ירידה","יציב")))</f>
        <v/>
      </c>
    </row>
    <row r="190">
      <c r="A190" s="38" t="n"/>
      <c r="B190" s="45">
        <f>IF($A190="","",IFERROR(AVERAGEIFS('רווחה - קליטה'!$AR$5:$AR$204,'רווחה - קליטה'!$A$5:$A$204,$A190,'רווחה - קליטה'!$C$5:$C$204,"תחילת שנה"),""))</f>
        <v/>
      </c>
      <c r="C190" s="37">
        <f>IF($A190="","",IFERROR(AVERAGEIFS('רווחה - קליטה'!$AL$5:$AL$204,'רווחה - קליטה'!$A$5:$A$204,$A190,'רווחה - קליטה'!$C$5:$C$204,"תחילת שנה"),""))</f>
        <v/>
      </c>
      <c r="D190" s="36">
        <f>IF($A190="","",IFERROR(INDEX('רווחה - קליטה'!$AT$5:$AT$204,MATCH($A190&amp;"|תחילת שנה",'רווחה - קליטה'!$AF$5:$AF$204,0)),""))</f>
        <v/>
      </c>
      <c r="E190" s="45">
        <f>IF($A190="","",IFERROR(AVERAGEIFS('רווחה - קליטה'!$AR$5:$AR$204,'רווחה - קליטה'!$A$5:$A$204,$A190,'רווחה - קליטה'!$C$5:$C$204,"אמצע שנה"),""))</f>
        <v/>
      </c>
      <c r="F190" s="37">
        <f>IF($A190="","",IFERROR(AVERAGEIFS('רווחה - קליטה'!$AL$5:$AL$204,'רווחה - קליטה'!$A$5:$A$204,$A190,'רווחה - קליטה'!$C$5:$C$204,"אמצע שנה"),""))</f>
        <v/>
      </c>
      <c r="G190" s="36">
        <f>IF($A190="","",IFERROR(INDEX('רווחה - קליטה'!$AT$5:$AT$204,MATCH($A190&amp;"|אמצע שנה",'רווחה - קליטה'!$AF$5:$AF$204,0)),""))</f>
        <v/>
      </c>
      <c r="H190" s="45">
        <f>IF($A190="","",IFERROR(AVERAGEIFS('רווחה - קליטה'!$AR$5:$AR$204,'רווחה - קליטה'!$A$5:$A$204,$A190,'רווחה - קליטה'!$C$5:$C$204,"סוף שנה"),""))</f>
        <v/>
      </c>
      <c r="I190" s="37">
        <f>IF($A190="","",IFERROR(AVERAGEIFS('רווחה - קליטה'!$AL$5:$AL$204,'רווחה - קליטה'!$A$5:$A$204,$A190,'רווחה - קליטה'!$C$5:$C$204,"סוף שנה"),""))</f>
        <v/>
      </c>
      <c r="J190" s="36">
        <f>IF($A190="","",IFERROR(INDEX('רווחה - קליטה'!$AT$5:$AT$204,MATCH($A190&amp;"|סוף שנה",'רווחה - קליטה'!$AF$5:$AF$204,0)),""))</f>
        <v/>
      </c>
      <c r="K190" s="46">
        <f>IF(AND(ISNUMBER(B190),ISNUMBER(H190)),H190-B190,"")</f>
        <v/>
      </c>
      <c r="L190" s="36">
        <f>IF(K190="","",IF(K190&gt;=0.5,"עלייה",IF(K190&lt;=-0.5,"ירידה","יציב")))</f>
        <v/>
      </c>
    </row>
    <row r="191">
      <c r="A191" s="38" t="n"/>
      <c r="B191" s="45">
        <f>IF($A191="","",IFERROR(AVERAGEIFS('רווחה - קליטה'!$AR$5:$AR$204,'רווחה - קליטה'!$A$5:$A$204,$A191,'רווחה - קליטה'!$C$5:$C$204,"תחילת שנה"),""))</f>
        <v/>
      </c>
      <c r="C191" s="37">
        <f>IF($A191="","",IFERROR(AVERAGEIFS('רווחה - קליטה'!$AL$5:$AL$204,'רווחה - קליטה'!$A$5:$A$204,$A191,'רווחה - קליטה'!$C$5:$C$204,"תחילת שנה"),""))</f>
        <v/>
      </c>
      <c r="D191" s="36">
        <f>IF($A191="","",IFERROR(INDEX('רווחה - קליטה'!$AT$5:$AT$204,MATCH($A191&amp;"|תחילת שנה",'רווחה - קליטה'!$AF$5:$AF$204,0)),""))</f>
        <v/>
      </c>
      <c r="E191" s="45">
        <f>IF($A191="","",IFERROR(AVERAGEIFS('רווחה - קליטה'!$AR$5:$AR$204,'רווחה - קליטה'!$A$5:$A$204,$A191,'רווחה - קליטה'!$C$5:$C$204,"אמצע שנה"),""))</f>
        <v/>
      </c>
      <c r="F191" s="37">
        <f>IF($A191="","",IFERROR(AVERAGEIFS('רווחה - קליטה'!$AL$5:$AL$204,'רווחה - קליטה'!$A$5:$A$204,$A191,'רווחה - קליטה'!$C$5:$C$204,"אמצע שנה"),""))</f>
        <v/>
      </c>
      <c r="G191" s="36">
        <f>IF($A191="","",IFERROR(INDEX('רווחה - קליטה'!$AT$5:$AT$204,MATCH($A191&amp;"|אמצע שנה",'רווחה - קליטה'!$AF$5:$AF$204,0)),""))</f>
        <v/>
      </c>
      <c r="H191" s="45">
        <f>IF($A191="","",IFERROR(AVERAGEIFS('רווחה - קליטה'!$AR$5:$AR$204,'רווחה - קליטה'!$A$5:$A$204,$A191,'רווחה - קליטה'!$C$5:$C$204,"סוף שנה"),""))</f>
        <v/>
      </c>
      <c r="I191" s="37">
        <f>IF($A191="","",IFERROR(AVERAGEIFS('רווחה - קליטה'!$AL$5:$AL$204,'רווחה - קליטה'!$A$5:$A$204,$A191,'רווחה - קליטה'!$C$5:$C$204,"סוף שנה"),""))</f>
        <v/>
      </c>
      <c r="J191" s="36">
        <f>IF($A191="","",IFERROR(INDEX('רווחה - קליטה'!$AT$5:$AT$204,MATCH($A191&amp;"|סוף שנה",'רווחה - קליטה'!$AF$5:$AF$204,0)),""))</f>
        <v/>
      </c>
      <c r="K191" s="46">
        <f>IF(AND(ISNUMBER(B191),ISNUMBER(H191)),H191-B191,"")</f>
        <v/>
      </c>
      <c r="L191" s="36">
        <f>IF(K191="","",IF(K191&gt;=0.5,"עלייה",IF(K191&lt;=-0.5,"ירידה","יציב")))</f>
        <v/>
      </c>
    </row>
    <row r="192">
      <c r="A192" s="38" t="n"/>
      <c r="B192" s="45">
        <f>IF($A192="","",IFERROR(AVERAGEIFS('רווחה - קליטה'!$AR$5:$AR$204,'רווחה - קליטה'!$A$5:$A$204,$A192,'רווחה - קליטה'!$C$5:$C$204,"תחילת שנה"),""))</f>
        <v/>
      </c>
      <c r="C192" s="37">
        <f>IF($A192="","",IFERROR(AVERAGEIFS('רווחה - קליטה'!$AL$5:$AL$204,'רווחה - קליטה'!$A$5:$A$204,$A192,'רווחה - קליטה'!$C$5:$C$204,"תחילת שנה"),""))</f>
        <v/>
      </c>
      <c r="D192" s="36">
        <f>IF($A192="","",IFERROR(INDEX('רווחה - קליטה'!$AT$5:$AT$204,MATCH($A192&amp;"|תחילת שנה",'רווחה - קליטה'!$AF$5:$AF$204,0)),""))</f>
        <v/>
      </c>
      <c r="E192" s="45">
        <f>IF($A192="","",IFERROR(AVERAGEIFS('רווחה - קליטה'!$AR$5:$AR$204,'רווחה - קליטה'!$A$5:$A$204,$A192,'רווחה - קליטה'!$C$5:$C$204,"אמצע שנה"),""))</f>
        <v/>
      </c>
      <c r="F192" s="37">
        <f>IF($A192="","",IFERROR(AVERAGEIFS('רווחה - קליטה'!$AL$5:$AL$204,'רווחה - קליטה'!$A$5:$A$204,$A192,'רווחה - קליטה'!$C$5:$C$204,"אמצע שנה"),""))</f>
        <v/>
      </c>
      <c r="G192" s="36">
        <f>IF($A192="","",IFERROR(INDEX('רווחה - קליטה'!$AT$5:$AT$204,MATCH($A192&amp;"|אמצע שנה",'רווחה - קליטה'!$AF$5:$AF$204,0)),""))</f>
        <v/>
      </c>
      <c r="H192" s="45">
        <f>IF($A192="","",IFERROR(AVERAGEIFS('רווחה - קליטה'!$AR$5:$AR$204,'רווחה - קליטה'!$A$5:$A$204,$A192,'רווחה - קליטה'!$C$5:$C$204,"סוף שנה"),""))</f>
        <v/>
      </c>
      <c r="I192" s="37">
        <f>IF($A192="","",IFERROR(AVERAGEIFS('רווחה - קליטה'!$AL$5:$AL$204,'רווחה - קליטה'!$A$5:$A$204,$A192,'רווחה - קליטה'!$C$5:$C$204,"סוף שנה"),""))</f>
        <v/>
      </c>
      <c r="J192" s="36">
        <f>IF($A192="","",IFERROR(INDEX('רווחה - קליטה'!$AT$5:$AT$204,MATCH($A192&amp;"|סוף שנה",'רווחה - קליטה'!$AF$5:$AF$204,0)),""))</f>
        <v/>
      </c>
      <c r="K192" s="46">
        <f>IF(AND(ISNUMBER(B192),ISNUMBER(H192)),H192-B192,"")</f>
        <v/>
      </c>
      <c r="L192" s="36">
        <f>IF(K192="","",IF(K192&gt;=0.5,"עלייה",IF(K192&lt;=-0.5,"ירידה","יציב")))</f>
        <v/>
      </c>
    </row>
    <row r="193">
      <c r="A193" s="38" t="n"/>
      <c r="B193" s="45">
        <f>IF($A193="","",IFERROR(AVERAGEIFS('רווחה - קליטה'!$AR$5:$AR$204,'רווחה - קליטה'!$A$5:$A$204,$A193,'רווחה - קליטה'!$C$5:$C$204,"תחילת שנה"),""))</f>
        <v/>
      </c>
      <c r="C193" s="37">
        <f>IF($A193="","",IFERROR(AVERAGEIFS('רווחה - קליטה'!$AL$5:$AL$204,'רווחה - קליטה'!$A$5:$A$204,$A193,'רווחה - קליטה'!$C$5:$C$204,"תחילת שנה"),""))</f>
        <v/>
      </c>
      <c r="D193" s="36">
        <f>IF($A193="","",IFERROR(INDEX('רווחה - קליטה'!$AT$5:$AT$204,MATCH($A193&amp;"|תחילת שנה",'רווחה - קליטה'!$AF$5:$AF$204,0)),""))</f>
        <v/>
      </c>
      <c r="E193" s="45">
        <f>IF($A193="","",IFERROR(AVERAGEIFS('רווחה - קליטה'!$AR$5:$AR$204,'רווחה - קליטה'!$A$5:$A$204,$A193,'רווחה - קליטה'!$C$5:$C$204,"אמצע שנה"),""))</f>
        <v/>
      </c>
      <c r="F193" s="37">
        <f>IF($A193="","",IFERROR(AVERAGEIFS('רווחה - קליטה'!$AL$5:$AL$204,'רווחה - קליטה'!$A$5:$A$204,$A193,'רווחה - קליטה'!$C$5:$C$204,"אמצע שנה"),""))</f>
        <v/>
      </c>
      <c r="G193" s="36">
        <f>IF($A193="","",IFERROR(INDEX('רווחה - קליטה'!$AT$5:$AT$204,MATCH($A193&amp;"|אמצע שנה",'רווחה - קליטה'!$AF$5:$AF$204,0)),""))</f>
        <v/>
      </c>
      <c r="H193" s="45">
        <f>IF($A193="","",IFERROR(AVERAGEIFS('רווחה - קליטה'!$AR$5:$AR$204,'רווחה - קליטה'!$A$5:$A$204,$A193,'רווחה - קליטה'!$C$5:$C$204,"סוף שנה"),""))</f>
        <v/>
      </c>
      <c r="I193" s="37">
        <f>IF($A193="","",IFERROR(AVERAGEIFS('רווחה - קליטה'!$AL$5:$AL$204,'רווחה - קליטה'!$A$5:$A$204,$A193,'רווחה - קליטה'!$C$5:$C$204,"סוף שנה"),""))</f>
        <v/>
      </c>
      <c r="J193" s="36">
        <f>IF($A193="","",IFERROR(INDEX('רווחה - קליטה'!$AT$5:$AT$204,MATCH($A193&amp;"|סוף שנה",'רווחה - קליטה'!$AF$5:$AF$204,0)),""))</f>
        <v/>
      </c>
      <c r="K193" s="46">
        <f>IF(AND(ISNUMBER(B193),ISNUMBER(H193)),H193-B193,"")</f>
        <v/>
      </c>
      <c r="L193" s="36">
        <f>IF(K193="","",IF(K193&gt;=0.5,"עלייה",IF(K193&lt;=-0.5,"ירידה","יציב")))</f>
        <v/>
      </c>
    </row>
    <row r="194">
      <c r="A194" s="38" t="n"/>
      <c r="B194" s="45">
        <f>IF($A194="","",IFERROR(AVERAGEIFS('רווחה - קליטה'!$AR$5:$AR$204,'רווחה - קליטה'!$A$5:$A$204,$A194,'רווחה - קליטה'!$C$5:$C$204,"תחילת שנה"),""))</f>
        <v/>
      </c>
      <c r="C194" s="37">
        <f>IF($A194="","",IFERROR(AVERAGEIFS('רווחה - קליטה'!$AL$5:$AL$204,'רווחה - קליטה'!$A$5:$A$204,$A194,'רווחה - קליטה'!$C$5:$C$204,"תחילת שנה"),""))</f>
        <v/>
      </c>
      <c r="D194" s="36">
        <f>IF($A194="","",IFERROR(INDEX('רווחה - קליטה'!$AT$5:$AT$204,MATCH($A194&amp;"|תחילת שנה",'רווחה - קליטה'!$AF$5:$AF$204,0)),""))</f>
        <v/>
      </c>
      <c r="E194" s="45">
        <f>IF($A194="","",IFERROR(AVERAGEIFS('רווחה - קליטה'!$AR$5:$AR$204,'רווחה - קליטה'!$A$5:$A$204,$A194,'רווחה - קליטה'!$C$5:$C$204,"אמצע שנה"),""))</f>
        <v/>
      </c>
      <c r="F194" s="37">
        <f>IF($A194="","",IFERROR(AVERAGEIFS('רווחה - קליטה'!$AL$5:$AL$204,'רווחה - קליטה'!$A$5:$A$204,$A194,'רווחה - קליטה'!$C$5:$C$204,"אמצע שנה"),""))</f>
        <v/>
      </c>
      <c r="G194" s="36">
        <f>IF($A194="","",IFERROR(INDEX('רווחה - קליטה'!$AT$5:$AT$204,MATCH($A194&amp;"|אמצע שנה",'רווחה - קליטה'!$AF$5:$AF$204,0)),""))</f>
        <v/>
      </c>
      <c r="H194" s="45">
        <f>IF($A194="","",IFERROR(AVERAGEIFS('רווחה - קליטה'!$AR$5:$AR$204,'רווחה - קליטה'!$A$5:$A$204,$A194,'רווחה - קליטה'!$C$5:$C$204,"סוף שנה"),""))</f>
        <v/>
      </c>
      <c r="I194" s="37">
        <f>IF($A194="","",IFERROR(AVERAGEIFS('רווחה - קליטה'!$AL$5:$AL$204,'רווחה - קליטה'!$A$5:$A$204,$A194,'רווחה - קליטה'!$C$5:$C$204,"סוף שנה"),""))</f>
        <v/>
      </c>
      <c r="J194" s="36">
        <f>IF($A194="","",IFERROR(INDEX('רווחה - קליטה'!$AT$5:$AT$204,MATCH($A194&amp;"|סוף שנה",'רווחה - קליטה'!$AF$5:$AF$204,0)),""))</f>
        <v/>
      </c>
      <c r="K194" s="46">
        <f>IF(AND(ISNUMBER(B194),ISNUMBER(H194)),H194-B194,"")</f>
        <v/>
      </c>
      <c r="L194" s="36">
        <f>IF(K194="","",IF(K194&gt;=0.5,"עלייה",IF(K194&lt;=-0.5,"ירידה","יציב")))</f>
        <v/>
      </c>
    </row>
    <row r="195">
      <c r="A195" s="38" t="n"/>
      <c r="B195" s="45">
        <f>IF($A195="","",IFERROR(AVERAGEIFS('רווחה - קליטה'!$AR$5:$AR$204,'רווחה - קליטה'!$A$5:$A$204,$A195,'רווחה - קליטה'!$C$5:$C$204,"תחילת שנה"),""))</f>
        <v/>
      </c>
      <c r="C195" s="37">
        <f>IF($A195="","",IFERROR(AVERAGEIFS('רווחה - קליטה'!$AL$5:$AL$204,'רווחה - קליטה'!$A$5:$A$204,$A195,'רווחה - קליטה'!$C$5:$C$204,"תחילת שנה"),""))</f>
        <v/>
      </c>
      <c r="D195" s="36">
        <f>IF($A195="","",IFERROR(INDEX('רווחה - קליטה'!$AT$5:$AT$204,MATCH($A195&amp;"|תחילת שנה",'רווחה - קליטה'!$AF$5:$AF$204,0)),""))</f>
        <v/>
      </c>
      <c r="E195" s="45">
        <f>IF($A195="","",IFERROR(AVERAGEIFS('רווחה - קליטה'!$AR$5:$AR$204,'רווחה - קליטה'!$A$5:$A$204,$A195,'רווחה - קליטה'!$C$5:$C$204,"אמצע שנה"),""))</f>
        <v/>
      </c>
      <c r="F195" s="37">
        <f>IF($A195="","",IFERROR(AVERAGEIFS('רווחה - קליטה'!$AL$5:$AL$204,'רווחה - קליטה'!$A$5:$A$204,$A195,'רווחה - קליטה'!$C$5:$C$204,"אמצע שנה"),""))</f>
        <v/>
      </c>
      <c r="G195" s="36">
        <f>IF($A195="","",IFERROR(INDEX('רווחה - קליטה'!$AT$5:$AT$204,MATCH($A195&amp;"|אמצע שנה",'רווחה - קליטה'!$AF$5:$AF$204,0)),""))</f>
        <v/>
      </c>
      <c r="H195" s="45">
        <f>IF($A195="","",IFERROR(AVERAGEIFS('רווחה - קליטה'!$AR$5:$AR$204,'רווחה - קליטה'!$A$5:$A$204,$A195,'רווחה - קליטה'!$C$5:$C$204,"סוף שנה"),""))</f>
        <v/>
      </c>
      <c r="I195" s="37">
        <f>IF($A195="","",IFERROR(AVERAGEIFS('רווחה - קליטה'!$AL$5:$AL$204,'רווחה - קליטה'!$A$5:$A$204,$A195,'רווחה - קליטה'!$C$5:$C$204,"סוף שנה"),""))</f>
        <v/>
      </c>
      <c r="J195" s="36">
        <f>IF($A195="","",IFERROR(INDEX('רווחה - קליטה'!$AT$5:$AT$204,MATCH($A195&amp;"|סוף שנה",'רווחה - קליטה'!$AF$5:$AF$204,0)),""))</f>
        <v/>
      </c>
      <c r="K195" s="46">
        <f>IF(AND(ISNUMBER(B195),ISNUMBER(H195)),H195-B195,"")</f>
        <v/>
      </c>
      <c r="L195" s="36">
        <f>IF(K195="","",IF(K195&gt;=0.5,"עלייה",IF(K195&lt;=-0.5,"ירידה","יציב")))</f>
        <v/>
      </c>
    </row>
    <row r="196">
      <c r="A196" s="38" t="n"/>
      <c r="B196" s="45">
        <f>IF($A196="","",IFERROR(AVERAGEIFS('רווחה - קליטה'!$AR$5:$AR$204,'רווחה - קליטה'!$A$5:$A$204,$A196,'רווחה - קליטה'!$C$5:$C$204,"תחילת שנה"),""))</f>
        <v/>
      </c>
      <c r="C196" s="37">
        <f>IF($A196="","",IFERROR(AVERAGEIFS('רווחה - קליטה'!$AL$5:$AL$204,'רווחה - קליטה'!$A$5:$A$204,$A196,'רווחה - קליטה'!$C$5:$C$204,"תחילת שנה"),""))</f>
        <v/>
      </c>
      <c r="D196" s="36">
        <f>IF($A196="","",IFERROR(INDEX('רווחה - קליטה'!$AT$5:$AT$204,MATCH($A196&amp;"|תחילת שנה",'רווחה - קליטה'!$AF$5:$AF$204,0)),""))</f>
        <v/>
      </c>
      <c r="E196" s="45">
        <f>IF($A196="","",IFERROR(AVERAGEIFS('רווחה - קליטה'!$AR$5:$AR$204,'רווחה - קליטה'!$A$5:$A$204,$A196,'רווחה - קליטה'!$C$5:$C$204,"אמצע שנה"),""))</f>
        <v/>
      </c>
      <c r="F196" s="37">
        <f>IF($A196="","",IFERROR(AVERAGEIFS('רווחה - קליטה'!$AL$5:$AL$204,'רווחה - קליטה'!$A$5:$A$204,$A196,'רווחה - קליטה'!$C$5:$C$204,"אמצע שנה"),""))</f>
        <v/>
      </c>
      <c r="G196" s="36">
        <f>IF($A196="","",IFERROR(INDEX('רווחה - קליטה'!$AT$5:$AT$204,MATCH($A196&amp;"|אמצע שנה",'רווחה - קליטה'!$AF$5:$AF$204,0)),""))</f>
        <v/>
      </c>
      <c r="H196" s="45">
        <f>IF($A196="","",IFERROR(AVERAGEIFS('רווחה - קליטה'!$AR$5:$AR$204,'רווחה - קליטה'!$A$5:$A$204,$A196,'רווחה - קליטה'!$C$5:$C$204,"סוף שנה"),""))</f>
        <v/>
      </c>
      <c r="I196" s="37">
        <f>IF($A196="","",IFERROR(AVERAGEIFS('רווחה - קליטה'!$AL$5:$AL$204,'רווחה - קליטה'!$A$5:$A$204,$A196,'רווחה - קליטה'!$C$5:$C$204,"סוף שנה"),""))</f>
        <v/>
      </c>
      <c r="J196" s="36">
        <f>IF($A196="","",IFERROR(INDEX('רווחה - קליטה'!$AT$5:$AT$204,MATCH($A196&amp;"|סוף שנה",'רווחה - קליטה'!$AF$5:$AF$204,0)),""))</f>
        <v/>
      </c>
      <c r="K196" s="46">
        <f>IF(AND(ISNUMBER(B196),ISNUMBER(H196)),H196-B196,"")</f>
        <v/>
      </c>
      <c r="L196" s="36">
        <f>IF(K196="","",IF(K196&gt;=0.5,"עלייה",IF(K196&lt;=-0.5,"ירידה","יציב")))</f>
        <v/>
      </c>
    </row>
    <row r="197">
      <c r="A197" s="38" t="n"/>
      <c r="B197" s="45">
        <f>IF($A197="","",IFERROR(AVERAGEIFS('רווחה - קליטה'!$AR$5:$AR$204,'רווחה - קליטה'!$A$5:$A$204,$A197,'רווחה - קליטה'!$C$5:$C$204,"תחילת שנה"),""))</f>
        <v/>
      </c>
      <c r="C197" s="37">
        <f>IF($A197="","",IFERROR(AVERAGEIFS('רווחה - קליטה'!$AL$5:$AL$204,'רווחה - קליטה'!$A$5:$A$204,$A197,'רווחה - קליטה'!$C$5:$C$204,"תחילת שנה"),""))</f>
        <v/>
      </c>
      <c r="D197" s="36">
        <f>IF($A197="","",IFERROR(INDEX('רווחה - קליטה'!$AT$5:$AT$204,MATCH($A197&amp;"|תחילת שנה",'רווחה - קליטה'!$AF$5:$AF$204,0)),""))</f>
        <v/>
      </c>
      <c r="E197" s="45">
        <f>IF($A197="","",IFERROR(AVERAGEIFS('רווחה - קליטה'!$AR$5:$AR$204,'רווחה - קליטה'!$A$5:$A$204,$A197,'רווחה - קליטה'!$C$5:$C$204,"אמצע שנה"),""))</f>
        <v/>
      </c>
      <c r="F197" s="37">
        <f>IF($A197="","",IFERROR(AVERAGEIFS('רווחה - קליטה'!$AL$5:$AL$204,'רווחה - קליטה'!$A$5:$A$204,$A197,'רווחה - קליטה'!$C$5:$C$204,"אמצע שנה"),""))</f>
        <v/>
      </c>
      <c r="G197" s="36">
        <f>IF($A197="","",IFERROR(INDEX('רווחה - קליטה'!$AT$5:$AT$204,MATCH($A197&amp;"|אמצע שנה",'רווחה - קליטה'!$AF$5:$AF$204,0)),""))</f>
        <v/>
      </c>
      <c r="H197" s="45">
        <f>IF($A197="","",IFERROR(AVERAGEIFS('רווחה - קליטה'!$AR$5:$AR$204,'רווחה - קליטה'!$A$5:$A$204,$A197,'רווחה - קליטה'!$C$5:$C$204,"סוף שנה"),""))</f>
        <v/>
      </c>
      <c r="I197" s="37">
        <f>IF($A197="","",IFERROR(AVERAGEIFS('רווחה - קליטה'!$AL$5:$AL$204,'רווחה - קליטה'!$A$5:$A$204,$A197,'רווחה - קליטה'!$C$5:$C$204,"סוף שנה"),""))</f>
        <v/>
      </c>
      <c r="J197" s="36">
        <f>IF($A197="","",IFERROR(INDEX('רווחה - קליטה'!$AT$5:$AT$204,MATCH($A197&amp;"|סוף שנה",'רווחה - קליטה'!$AF$5:$AF$204,0)),""))</f>
        <v/>
      </c>
      <c r="K197" s="46">
        <f>IF(AND(ISNUMBER(B197),ISNUMBER(H197)),H197-B197,"")</f>
        <v/>
      </c>
      <c r="L197" s="36">
        <f>IF(K197="","",IF(K197&gt;=0.5,"עלייה",IF(K197&lt;=-0.5,"ירידה","יציב")))</f>
        <v/>
      </c>
    </row>
    <row r="198">
      <c r="A198" s="38" t="n"/>
      <c r="B198" s="45">
        <f>IF($A198="","",IFERROR(AVERAGEIFS('רווחה - קליטה'!$AR$5:$AR$204,'רווחה - קליטה'!$A$5:$A$204,$A198,'רווחה - קליטה'!$C$5:$C$204,"תחילת שנה"),""))</f>
        <v/>
      </c>
      <c r="C198" s="37">
        <f>IF($A198="","",IFERROR(AVERAGEIFS('רווחה - קליטה'!$AL$5:$AL$204,'רווחה - קליטה'!$A$5:$A$204,$A198,'רווחה - קליטה'!$C$5:$C$204,"תחילת שנה"),""))</f>
        <v/>
      </c>
      <c r="D198" s="36">
        <f>IF($A198="","",IFERROR(INDEX('רווחה - קליטה'!$AT$5:$AT$204,MATCH($A198&amp;"|תחילת שנה",'רווחה - קליטה'!$AF$5:$AF$204,0)),""))</f>
        <v/>
      </c>
      <c r="E198" s="45">
        <f>IF($A198="","",IFERROR(AVERAGEIFS('רווחה - קליטה'!$AR$5:$AR$204,'רווחה - קליטה'!$A$5:$A$204,$A198,'רווחה - קליטה'!$C$5:$C$204,"אמצע שנה"),""))</f>
        <v/>
      </c>
      <c r="F198" s="37">
        <f>IF($A198="","",IFERROR(AVERAGEIFS('רווחה - קליטה'!$AL$5:$AL$204,'רווחה - קליטה'!$A$5:$A$204,$A198,'רווחה - קליטה'!$C$5:$C$204,"אמצע שנה"),""))</f>
        <v/>
      </c>
      <c r="G198" s="36">
        <f>IF($A198="","",IFERROR(INDEX('רווחה - קליטה'!$AT$5:$AT$204,MATCH($A198&amp;"|אמצע שנה",'רווחה - קליטה'!$AF$5:$AF$204,0)),""))</f>
        <v/>
      </c>
      <c r="H198" s="45">
        <f>IF($A198="","",IFERROR(AVERAGEIFS('רווחה - קליטה'!$AR$5:$AR$204,'רווחה - קליטה'!$A$5:$A$204,$A198,'רווחה - קליטה'!$C$5:$C$204,"סוף שנה"),""))</f>
        <v/>
      </c>
      <c r="I198" s="37">
        <f>IF($A198="","",IFERROR(AVERAGEIFS('רווחה - קליטה'!$AL$5:$AL$204,'רווחה - קליטה'!$A$5:$A$204,$A198,'רווחה - קליטה'!$C$5:$C$204,"סוף שנה"),""))</f>
        <v/>
      </c>
      <c r="J198" s="36">
        <f>IF($A198="","",IFERROR(INDEX('רווחה - קליטה'!$AT$5:$AT$204,MATCH($A198&amp;"|סוף שנה",'רווחה - קליטה'!$AF$5:$AF$204,0)),""))</f>
        <v/>
      </c>
      <c r="K198" s="46">
        <f>IF(AND(ISNUMBER(B198),ISNUMBER(H198)),H198-B198,"")</f>
        <v/>
      </c>
      <c r="L198" s="36">
        <f>IF(K198="","",IF(K198&gt;=0.5,"עלייה",IF(K198&lt;=-0.5,"ירידה","יציב")))</f>
        <v/>
      </c>
    </row>
    <row r="199">
      <c r="A199" s="38" t="n"/>
      <c r="B199" s="45">
        <f>IF($A199="","",IFERROR(AVERAGEIFS('רווחה - קליטה'!$AR$5:$AR$204,'רווחה - קליטה'!$A$5:$A$204,$A199,'רווחה - קליטה'!$C$5:$C$204,"תחילת שנה"),""))</f>
        <v/>
      </c>
      <c r="C199" s="37">
        <f>IF($A199="","",IFERROR(AVERAGEIFS('רווחה - קליטה'!$AL$5:$AL$204,'רווחה - קליטה'!$A$5:$A$204,$A199,'רווחה - קליטה'!$C$5:$C$204,"תחילת שנה"),""))</f>
        <v/>
      </c>
      <c r="D199" s="36">
        <f>IF($A199="","",IFERROR(INDEX('רווחה - קליטה'!$AT$5:$AT$204,MATCH($A199&amp;"|תחילת שנה",'רווחה - קליטה'!$AF$5:$AF$204,0)),""))</f>
        <v/>
      </c>
      <c r="E199" s="45">
        <f>IF($A199="","",IFERROR(AVERAGEIFS('רווחה - קליטה'!$AR$5:$AR$204,'רווחה - קליטה'!$A$5:$A$204,$A199,'רווחה - קליטה'!$C$5:$C$204,"אמצע שנה"),""))</f>
        <v/>
      </c>
      <c r="F199" s="37">
        <f>IF($A199="","",IFERROR(AVERAGEIFS('רווחה - קליטה'!$AL$5:$AL$204,'רווחה - קליטה'!$A$5:$A$204,$A199,'רווחה - קליטה'!$C$5:$C$204,"אמצע שנה"),""))</f>
        <v/>
      </c>
      <c r="G199" s="36">
        <f>IF($A199="","",IFERROR(INDEX('רווחה - קליטה'!$AT$5:$AT$204,MATCH($A199&amp;"|אמצע שנה",'רווחה - קליטה'!$AF$5:$AF$204,0)),""))</f>
        <v/>
      </c>
      <c r="H199" s="45">
        <f>IF($A199="","",IFERROR(AVERAGEIFS('רווחה - קליטה'!$AR$5:$AR$204,'רווחה - קליטה'!$A$5:$A$204,$A199,'רווחה - קליטה'!$C$5:$C$204,"סוף שנה"),""))</f>
        <v/>
      </c>
      <c r="I199" s="37">
        <f>IF($A199="","",IFERROR(AVERAGEIFS('רווחה - קליטה'!$AL$5:$AL$204,'רווחה - קליטה'!$A$5:$A$204,$A199,'רווחה - קליטה'!$C$5:$C$204,"סוף שנה"),""))</f>
        <v/>
      </c>
      <c r="J199" s="36">
        <f>IF($A199="","",IFERROR(INDEX('רווחה - קליטה'!$AT$5:$AT$204,MATCH($A199&amp;"|סוף שנה",'רווחה - קליטה'!$AF$5:$AF$204,0)),""))</f>
        <v/>
      </c>
      <c r="K199" s="46">
        <f>IF(AND(ISNUMBER(B199),ISNUMBER(H199)),H199-B199,"")</f>
        <v/>
      </c>
      <c r="L199" s="36">
        <f>IF(K199="","",IF(K199&gt;=0.5,"עלייה",IF(K199&lt;=-0.5,"ירידה","יציב")))</f>
        <v/>
      </c>
    </row>
    <row r="200">
      <c r="A200" s="38" t="n"/>
      <c r="B200" s="45">
        <f>IF($A200="","",IFERROR(AVERAGEIFS('רווחה - קליטה'!$AR$5:$AR$204,'רווחה - קליטה'!$A$5:$A$204,$A200,'רווחה - קליטה'!$C$5:$C$204,"תחילת שנה"),""))</f>
        <v/>
      </c>
      <c r="C200" s="37">
        <f>IF($A200="","",IFERROR(AVERAGEIFS('רווחה - קליטה'!$AL$5:$AL$204,'רווחה - קליטה'!$A$5:$A$204,$A200,'רווחה - קליטה'!$C$5:$C$204,"תחילת שנה"),""))</f>
        <v/>
      </c>
      <c r="D200" s="36">
        <f>IF($A200="","",IFERROR(INDEX('רווחה - קליטה'!$AT$5:$AT$204,MATCH($A200&amp;"|תחילת שנה",'רווחה - קליטה'!$AF$5:$AF$204,0)),""))</f>
        <v/>
      </c>
      <c r="E200" s="45">
        <f>IF($A200="","",IFERROR(AVERAGEIFS('רווחה - קליטה'!$AR$5:$AR$204,'רווחה - קליטה'!$A$5:$A$204,$A200,'רווחה - קליטה'!$C$5:$C$204,"אמצע שנה"),""))</f>
        <v/>
      </c>
      <c r="F200" s="37">
        <f>IF($A200="","",IFERROR(AVERAGEIFS('רווחה - קליטה'!$AL$5:$AL$204,'רווחה - קליטה'!$A$5:$A$204,$A200,'רווחה - קליטה'!$C$5:$C$204,"אמצע שנה"),""))</f>
        <v/>
      </c>
      <c r="G200" s="36">
        <f>IF($A200="","",IFERROR(INDEX('רווחה - קליטה'!$AT$5:$AT$204,MATCH($A200&amp;"|אמצע שנה",'רווחה - קליטה'!$AF$5:$AF$204,0)),""))</f>
        <v/>
      </c>
      <c r="H200" s="45">
        <f>IF($A200="","",IFERROR(AVERAGEIFS('רווחה - קליטה'!$AR$5:$AR$204,'רווחה - קליטה'!$A$5:$A$204,$A200,'רווחה - קליטה'!$C$5:$C$204,"סוף שנה"),""))</f>
        <v/>
      </c>
      <c r="I200" s="37">
        <f>IF($A200="","",IFERROR(AVERAGEIFS('רווחה - קליטה'!$AL$5:$AL$204,'רווחה - קליטה'!$A$5:$A$204,$A200,'רווחה - קליטה'!$C$5:$C$204,"סוף שנה"),""))</f>
        <v/>
      </c>
      <c r="J200" s="36">
        <f>IF($A200="","",IFERROR(INDEX('רווחה - קליטה'!$AT$5:$AT$204,MATCH($A200&amp;"|סוף שנה",'רווחה - קליטה'!$AF$5:$AF$204,0)),""))</f>
        <v/>
      </c>
      <c r="K200" s="46">
        <f>IF(AND(ISNUMBER(B200),ISNUMBER(H200)),H200-B200,"")</f>
        <v/>
      </c>
      <c r="L200" s="36">
        <f>IF(K200="","",IF(K200&gt;=0.5,"עלייה",IF(K200&lt;=-0.5,"ירידה","יציב")))</f>
        <v/>
      </c>
    </row>
    <row r="201">
      <c r="A201" s="38" t="n"/>
      <c r="B201" s="45">
        <f>IF($A201="","",IFERROR(AVERAGEIFS('רווחה - קליטה'!$AR$5:$AR$204,'רווחה - קליטה'!$A$5:$A$204,$A201,'רווחה - קליטה'!$C$5:$C$204,"תחילת שנה"),""))</f>
        <v/>
      </c>
      <c r="C201" s="37">
        <f>IF($A201="","",IFERROR(AVERAGEIFS('רווחה - קליטה'!$AL$5:$AL$204,'רווחה - קליטה'!$A$5:$A$204,$A201,'רווחה - קליטה'!$C$5:$C$204,"תחילת שנה"),""))</f>
        <v/>
      </c>
      <c r="D201" s="36">
        <f>IF($A201="","",IFERROR(INDEX('רווחה - קליטה'!$AT$5:$AT$204,MATCH($A201&amp;"|תחילת שנה",'רווחה - קליטה'!$AF$5:$AF$204,0)),""))</f>
        <v/>
      </c>
      <c r="E201" s="45">
        <f>IF($A201="","",IFERROR(AVERAGEIFS('רווחה - קליטה'!$AR$5:$AR$204,'רווחה - קליטה'!$A$5:$A$204,$A201,'רווחה - קליטה'!$C$5:$C$204,"אמצע שנה"),""))</f>
        <v/>
      </c>
      <c r="F201" s="37">
        <f>IF($A201="","",IFERROR(AVERAGEIFS('רווחה - קליטה'!$AL$5:$AL$204,'רווחה - קליטה'!$A$5:$A$204,$A201,'רווחה - קליטה'!$C$5:$C$204,"אמצע שנה"),""))</f>
        <v/>
      </c>
      <c r="G201" s="36">
        <f>IF($A201="","",IFERROR(INDEX('רווחה - קליטה'!$AT$5:$AT$204,MATCH($A201&amp;"|אמצע שנה",'רווחה - קליטה'!$AF$5:$AF$204,0)),""))</f>
        <v/>
      </c>
      <c r="H201" s="45">
        <f>IF($A201="","",IFERROR(AVERAGEIFS('רווחה - קליטה'!$AR$5:$AR$204,'רווחה - קליטה'!$A$5:$A$204,$A201,'רווחה - קליטה'!$C$5:$C$204,"סוף שנה"),""))</f>
        <v/>
      </c>
      <c r="I201" s="37">
        <f>IF($A201="","",IFERROR(AVERAGEIFS('רווחה - קליטה'!$AL$5:$AL$204,'רווחה - קליטה'!$A$5:$A$204,$A201,'רווחה - קליטה'!$C$5:$C$204,"סוף שנה"),""))</f>
        <v/>
      </c>
      <c r="J201" s="36">
        <f>IF($A201="","",IFERROR(INDEX('רווחה - קליטה'!$AT$5:$AT$204,MATCH($A201&amp;"|סוף שנה",'רווחה - קליטה'!$AF$5:$AF$204,0)),""))</f>
        <v/>
      </c>
      <c r="K201" s="46">
        <f>IF(AND(ISNUMBER(B201),ISNUMBER(H201)),H201-B201,"")</f>
        <v/>
      </c>
      <c r="L201" s="36">
        <f>IF(K201="","",IF(K201&gt;=0.5,"עלייה",IF(K201&lt;=-0.5,"ירידה","יציב")))</f>
        <v/>
      </c>
    </row>
    <row r="202">
      <c r="A202" s="38" t="n"/>
      <c r="B202" s="45">
        <f>IF($A202="","",IFERROR(AVERAGEIFS('רווחה - קליטה'!$AR$5:$AR$204,'רווחה - קליטה'!$A$5:$A$204,$A202,'רווחה - קליטה'!$C$5:$C$204,"תחילת שנה"),""))</f>
        <v/>
      </c>
      <c r="C202" s="37">
        <f>IF($A202="","",IFERROR(AVERAGEIFS('רווחה - קליטה'!$AL$5:$AL$204,'רווחה - קליטה'!$A$5:$A$204,$A202,'רווחה - קליטה'!$C$5:$C$204,"תחילת שנה"),""))</f>
        <v/>
      </c>
      <c r="D202" s="36">
        <f>IF($A202="","",IFERROR(INDEX('רווחה - קליטה'!$AT$5:$AT$204,MATCH($A202&amp;"|תחילת שנה",'רווחה - קליטה'!$AF$5:$AF$204,0)),""))</f>
        <v/>
      </c>
      <c r="E202" s="45">
        <f>IF($A202="","",IFERROR(AVERAGEIFS('רווחה - קליטה'!$AR$5:$AR$204,'רווחה - קליטה'!$A$5:$A$204,$A202,'רווחה - קליטה'!$C$5:$C$204,"אמצע שנה"),""))</f>
        <v/>
      </c>
      <c r="F202" s="37">
        <f>IF($A202="","",IFERROR(AVERAGEIFS('רווחה - קליטה'!$AL$5:$AL$204,'רווחה - קליטה'!$A$5:$A$204,$A202,'רווחה - קליטה'!$C$5:$C$204,"אמצע שנה"),""))</f>
        <v/>
      </c>
      <c r="G202" s="36">
        <f>IF($A202="","",IFERROR(INDEX('רווחה - קליטה'!$AT$5:$AT$204,MATCH($A202&amp;"|אמצע שנה",'רווחה - קליטה'!$AF$5:$AF$204,0)),""))</f>
        <v/>
      </c>
      <c r="H202" s="45">
        <f>IF($A202="","",IFERROR(AVERAGEIFS('רווחה - קליטה'!$AR$5:$AR$204,'רווחה - קליטה'!$A$5:$A$204,$A202,'רווחה - קליטה'!$C$5:$C$204,"סוף שנה"),""))</f>
        <v/>
      </c>
      <c r="I202" s="37">
        <f>IF($A202="","",IFERROR(AVERAGEIFS('רווחה - קליטה'!$AL$5:$AL$204,'רווחה - קליטה'!$A$5:$A$204,$A202,'רווחה - קליטה'!$C$5:$C$204,"סוף שנה"),""))</f>
        <v/>
      </c>
      <c r="J202" s="36">
        <f>IF($A202="","",IFERROR(INDEX('רווחה - קליטה'!$AT$5:$AT$204,MATCH($A202&amp;"|סוף שנה",'רווחה - קליטה'!$AF$5:$AF$204,0)),""))</f>
        <v/>
      </c>
      <c r="K202" s="46">
        <f>IF(AND(ISNUMBER(B202),ISNUMBER(H202)),H202-B202,"")</f>
        <v/>
      </c>
      <c r="L202" s="36">
        <f>IF(K202="","",IF(K202&gt;=0.5,"עלייה",IF(K202&lt;=-0.5,"ירידה","יציב")))</f>
        <v/>
      </c>
    </row>
    <row r="203">
      <c r="A203" s="38" t="n"/>
      <c r="B203" s="45">
        <f>IF($A203="","",IFERROR(AVERAGEIFS('רווחה - קליטה'!$AR$5:$AR$204,'רווחה - קליטה'!$A$5:$A$204,$A203,'רווחה - קליטה'!$C$5:$C$204,"תחילת שנה"),""))</f>
        <v/>
      </c>
      <c r="C203" s="37">
        <f>IF($A203="","",IFERROR(AVERAGEIFS('רווחה - קליטה'!$AL$5:$AL$204,'רווחה - קליטה'!$A$5:$A$204,$A203,'רווחה - קליטה'!$C$5:$C$204,"תחילת שנה"),""))</f>
        <v/>
      </c>
      <c r="D203" s="36">
        <f>IF($A203="","",IFERROR(INDEX('רווחה - קליטה'!$AT$5:$AT$204,MATCH($A203&amp;"|תחילת שנה",'רווחה - קליטה'!$AF$5:$AF$204,0)),""))</f>
        <v/>
      </c>
      <c r="E203" s="45">
        <f>IF($A203="","",IFERROR(AVERAGEIFS('רווחה - קליטה'!$AR$5:$AR$204,'רווחה - קליטה'!$A$5:$A$204,$A203,'רווחה - קליטה'!$C$5:$C$204,"אמצע שנה"),""))</f>
        <v/>
      </c>
      <c r="F203" s="37">
        <f>IF($A203="","",IFERROR(AVERAGEIFS('רווחה - קליטה'!$AL$5:$AL$204,'רווחה - קליטה'!$A$5:$A$204,$A203,'רווחה - קליטה'!$C$5:$C$204,"אמצע שנה"),""))</f>
        <v/>
      </c>
      <c r="G203" s="36">
        <f>IF($A203="","",IFERROR(INDEX('רווחה - קליטה'!$AT$5:$AT$204,MATCH($A203&amp;"|אמצע שנה",'רווחה - קליטה'!$AF$5:$AF$204,0)),""))</f>
        <v/>
      </c>
      <c r="H203" s="45">
        <f>IF($A203="","",IFERROR(AVERAGEIFS('רווחה - קליטה'!$AR$5:$AR$204,'רווחה - קליטה'!$A$5:$A$204,$A203,'רווחה - קליטה'!$C$5:$C$204,"סוף שנה"),""))</f>
        <v/>
      </c>
      <c r="I203" s="37">
        <f>IF($A203="","",IFERROR(AVERAGEIFS('רווחה - קליטה'!$AL$5:$AL$204,'רווחה - קליטה'!$A$5:$A$204,$A203,'רווחה - קליטה'!$C$5:$C$204,"סוף שנה"),""))</f>
        <v/>
      </c>
      <c r="J203" s="36">
        <f>IF($A203="","",IFERROR(INDEX('רווחה - קליטה'!$AT$5:$AT$204,MATCH($A203&amp;"|סוף שנה",'רווחה - קליטה'!$AF$5:$AF$204,0)),""))</f>
        <v/>
      </c>
      <c r="K203" s="46">
        <f>IF(AND(ISNUMBER(B203),ISNUMBER(H203)),H203-B203,"")</f>
        <v/>
      </c>
      <c r="L203" s="36">
        <f>IF(K203="","",IF(K203&gt;=0.5,"עלייה",IF(K203&lt;=-0.5,"ירידה","יציב")))</f>
        <v/>
      </c>
    </row>
    <row r="204">
      <c r="A204" s="38" t="n"/>
      <c r="B204" s="45">
        <f>IF($A204="","",IFERROR(AVERAGEIFS('רווחה - קליטה'!$AR$5:$AR$204,'רווחה - קליטה'!$A$5:$A$204,$A204,'רווחה - קליטה'!$C$5:$C$204,"תחילת שנה"),""))</f>
        <v/>
      </c>
      <c r="C204" s="37">
        <f>IF($A204="","",IFERROR(AVERAGEIFS('רווחה - קליטה'!$AL$5:$AL$204,'רווחה - קליטה'!$A$5:$A$204,$A204,'רווחה - קליטה'!$C$5:$C$204,"תחילת שנה"),""))</f>
        <v/>
      </c>
      <c r="D204" s="36">
        <f>IF($A204="","",IFERROR(INDEX('רווחה - קליטה'!$AT$5:$AT$204,MATCH($A204&amp;"|תחילת שנה",'רווחה - קליטה'!$AF$5:$AF$204,0)),""))</f>
        <v/>
      </c>
      <c r="E204" s="45">
        <f>IF($A204="","",IFERROR(AVERAGEIFS('רווחה - קליטה'!$AR$5:$AR$204,'רווחה - קליטה'!$A$5:$A$204,$A204,'רווחה - קליטה'!$C$5:$C$204,"אמצע שנה"),""))</f>
        <v/>
      </c>
      <c r="F204" s="37">
        <f>IF($A204="","",IFERROR(AVERAGEIFS('רווחה - קליטה'!$AL$5:$AL$204,'רווחה - קליטה'!$A$5:$A$204,$A204,'רווחה - קליטה'!$C$5:$C$204,"אמצע שנה"),""))</f>
        <v/>
      </c>
      <c r="G204" s="36">
        <f>IF($A204="","",IFERROR(INDEX('רווחה - קליטה'!$AT$5:$AT$204,MATCH($A204&amp;"|אמצע שנה",'רווחה - קליטה'!$AF$5:$AF$204,0)),""))</f>
        <v/>
      </c>
      <c r="H204" s="45">
        <f>IF($A204="","",IFERROR(AVERAGEIFS('רווחה - קליטה'!$AR$5:$AR$204,'רווחה - קליטה'!$A$5:$A$204,$A204,'רווחה - קליטה'!$C$5:$C$204,"סוף שנה"),""))</f>
        <v/>
      </c>
      <c r="I204" s="37">
        <f>IF($A204="","",IFERROR(AVERAGEIFS('רווחה - קליטה'!$AL$5:$AL$204,'רווחה - קליטה'!$A$5:$A$204,$A204,'רווחה - קליטה'!$C$5:$C$204,"סוף שנה"),""))</f>
        <v/>
      </c>
      <c r="J204" s="36">
        <f>IF($A204="","",IFERROR(INDEX('רווחה - קליטה'!$AT$5:$AT$204,MATCH($A204&amp;"|סוף שנה",'רווחה - קליטה'!$AF$5:$AF$204,0)),""))</f>
        <v/>
      </c>
      <c r="K204" s="46">
        <f>IF(AND(ISNUMBER(B204),ISNUMBER(H204)),H204-B204,"")</f>
        <v/>
      </c>
      <c r="L204" s="36">
        <f>IF(K204="","",IF(K204&gt;=0.5,"עלייה",IF(K204&lt;=-0.5,"ירידה","יציב")))</f>
        <v/>
      </c>
    </row>
  </sheetData>
  <mergeCells count="4">
    <mergeCell ref="H3:J3"/>
    <mergeCell ref="B3:D3"/>
    <mergeCell ref="E3:G3"/>
    <mergeCell ref="K3:L3"/>
  </mergeCells>
  <conditionalFormatting sqref="L5:L204">
    <cfRule type="cellIs" priority="1" operator="equal" dxfId="2">
      <formula>"עלייה"</formula>
    </cfRule>
    <cfRule type="cellIs" priority="2" operator="equal" dxfId="0">
      <formula>"ירידה"</formula>
    </cfRule>
  </conditionalFormatting>
  <conditionalFormatting sqref="B5:B204">
    <cfRule type="colorScale" priority="3">
      <colorScale>
        <cfvo type="num" val="1"/>
        <cfvo type="num" val="2"/>
        <cfvo type="num" val="3"/>
        <color rgb="00F9B5B8"/>
        <color rgb="00FFE07A"/>
        <color rgb="008FD19E"/>
      </colorScale>
    </cfRule>
  </conditionalFormatting>
  <conditionalFormatting sqref="E5:E204">
    <cfRule type="colorScale" priority="4">
      <colorScale>
        <cfvo type="num" val="1"/>
        <cfvo type="num" val="2"/>
        <cfvo type="num" val="3"/>
        <color rgb="00F9B5B8"/>
        <color rgb="00FFE07A"/>
        <color rgb="008FD19E"/>
      </colorScale>
    </cfRule>
  </conditionalFormatting>
  <conditionalFormatting sqref="H5:H204">
    <cfRule type="colorScale" priority="5">
      <colorScale>
        <cfvo type="num" val="1"/>
        <cfvo type="num" val="2"/>
        <cfvo type="num" val="3"/>
        <color rgb="00F9B5B8"/>
        <color rgb="00FFE07A"/>
        <color rgb="008FD19E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5B3FB8"/>
    <outlinePr summaryBelow="1" summaryRight="1"/>
    <pageSetUpPr/>
  </sheetPr>
  <dimension ref="A1:V204"/>
  <sheetViews>
    <sheetView rightToLeft="1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10" t="inlineStr">
        <is>
          <t>סיכום כיתתי</t>
        </is>
      </c>
    </row>
    <row r="2">
      <c r="A2" s="11" t="inlineStr">
        <is>
          <t>כותבים שם כיתה בעמודה הצהובה, בדיוק כמו בגיליונות הקליטה. הממוצעים מתמלאים לבד.</t>
        </is>
      </c>
    </row>
    <row r="3">
      <c r="B3" s="39" t="inlineStr">
        <is>
          <t>תחילת שנה</t>
        </is>
      </c>
      <c r="C3" s="40" t="n"/>
      <c r="D3" s="40" t="n"/>
      <c r="E3" s="40" t="n"/>
      <c r="F3" s="40" t="n"/>
      <c r="G3" s="40" t="n"/>
      <c r="H3" s="40" t="n"/>
      <c r="I3" s="16" t="inlineStr">
        <is>
          <t>אמצע שנה</t>
        </is>
      </c>
      <c r="J3" s="17" t="n"/>
      <c r="K3" s="17" t="n"/>
      <c r="L3" s="17" t="n"/>
      <c r="M3" s="17" t="n"/>
      <c r="N3" s="17" t="n"/>
      <c r="O3" s="17" t="n"/>
      <c r="P3" s="41" t="inlineStr">
        <is>
          <t>סוף שנה</t>
        </is>
      </c>
      <c r="Q3" s="42" t="n"/>
      <c r="R3" s="42" t="n"/>
      <c r="S3" s="42" t="n"/>
      <c r="T3" s="42" t="n"/>
      <c r="U3" s="42" t="n"/>
      <c r="V3" s="42" t="n"/>
    </row>
    <row r="4" ht="58" customHeight="1">
      <c r="A4" s="26" t="inlineStr">
        <is>
          <t>כיתה</t>
        </is>
      </c>
      <c r="B4" s="28" t="inlineStr">
        <is>
          <t>מילויי ״זה אני״</t>
        </is>
      </c>
      <c r="C4" s="28" t="inlineStr">
        <is>
          <t>מסוגלות ממוצעת</t>
        </is>
      </c>
      <c r="D4" s="28" t="inlineStr">
        <is>
          <t>דיוק ממוצע</t>
        </is>
      </c>
      <c r="E4" s="28" t="inlineStr">
        <is>
          <t>״זה אני״: אמינים</t>
        </is>
      </c>
      <c r="F4" s="28" t="inlineStr">
        <is>
          <t>מילויי רווחה</t>
        </is>
      </c>
      <c r="G4" s="28" t="inlineStr">
        <is>
          <t>רווחה: תצפית (1–3)</t>
        </is>
      </c>
      <c r="H4" s="28" t="inlineStr">
        <is>
          <t>רווחה: אמינים</t>
        </is>
      </c>
      <c r="I4" s="29" t="inlineStr">
        <is>
          <t>מילויי ״זה אני״</t>
        </is>
      </c>
      <c r="J4" s="29" t="inlineStr">
        <is>
          <t>מסוגלות ממוצעת</t>
        </is>
      </c>
      <c r="K4" s="29" t="inlineStr">
        <is>
          <t>דיוק ממוצע</t>
        </is>
      </c>
      <c r="L4" s="29" t="inlineStr">
        <is>
          <t>״זה אני״: אמינים</t>
        </is>
      </c>
      <c r="M4" s="29" t="inlineStr">
        <is>
          <t>מילויי רווחה</t>
        </is>
      </c>
      <c r="N4" s="29" t="inlineStr">
        <is>
          <t>רווחה: תצפית (1–3)</t>
        </is>
      </c>
      <c r="O4" s="29" t="inlineStr">
        <is>
          <t>רווחה: אמינים</t>
        </is>
      </c>
      <c r="P4" s="31" t="inlineStr">
        <is>
          <t>מילויי ״זה אני״</t>
        </is>
      </c>
      <c r="Q4" s="31" t="inlineStr">
        <is>
          <t>מסוגלות ממוצעת</t>
        </is>
      </c>
      <c r="R4" s="31" t="inlineStr">
        <is>
          <t>דיוק ממוצע</t>
        </is>
      </c>
      <c r="S4" s="31" t="inlineStr">
        <is>
          <t>״זה אני״: אמינים</t>
        </is>
      </c>
      <c r="T4" s="31" t="inlineStr">
        <is>
          <t>מילויי רווחה</t>
        </is>
      </c>
      <c r="U4" s="31" t="inlineStr">
        <is>
          <t>רווחה: תצפית (1–3)</t>
        </is>
      </c>
      <c r="V4" s="31" t="inlineStr">
        <is>
          <t>רווחה: אמינים</t>
        </is>
      </c>
    </row>
    <row r="5">
      <c r="A5" s="35" t="inlineStr">
        <is>
          <t>כיתה לדוגמה</t>
        </is>
      </c>
      <c r="B5" s="47">
        <f>IF($A5="","",COUNTIFS('זה אני - קליטה'!$B$5:$B$204,$A5,'זה אני - קליטה'!$C$5:$C$204,"תחילת שנה"))</f>
        <v/>
      </c>
      <c r="C5" s="37">
        <f>IF($A5="","",IFERROR(AVERAGEIFS('זה אני - קליטה'!$AL$5:$AL$204,'זה אני - קליטה'!$B$5:$B$204,$A5,'זה אני - קליטה'!$C$5:$C$204,"תחילת שנה"),""))</f>
        <v/>
      </c>
      <c r="D5" s="37">
        <f>IF($A5="","",IFERROR(AVERAGEIFS('זה אני - קליטה'!$AN$5:$AN$204,'זה אני - קליטה'!$B$5:$B$204,$A5,'זה אני - קליטה'!$C$5:$C$204,"תחילת שנה"),""))</f>
        <v/>
      </c>
      <c r="E5" s="37">
        <f>IF($A5="","",IFERROR(COUNTIFS('זה אני - קליטה'!$B$5:$B$204,$A5,'זה אני - קליטה'!$C$5:$C$204,"תחילת שנה",'זה אני - קליטה'!$AW$5:$AW$204,"אמין")/COUNTIFS('זה אני - קליטה'!$B$5:$B$204,$A5,'זה אני - קליטה'!$C$5:$C$204,"תחילת שנה"),""))</f>
        <v/>
      </c>
      <c r="F5" s="47">
        <f>IF($A5="","",COUNTIFS('רווחה - קליטה'!$B$5:$B$204,$A5,'רווחה - קליטה'!$C$5:$C$204,"תחילת שנה"))</f>
        <v/>
      </c>
      <c r="G5" s="45">
        <f>IF($A5="","",IFERROR(AVERAGEIFS('רווחה - קליטה'!$AR$5:$AR$204,'רווחה - קליטה'!$B$5:$B$204,$A5,'רווחה - קליטה'!$C$5:$C$204,"תחילת שנה"),""))</f>
        <v/>
      </c>
      <c r="H5" s="37">
        <f>IF($A5="","",IFERROR(COUNTIFS('רווחה - קליטה'!$B$5:$B$204,$A5,'רווחה - קליטה'!$C$5:$C$204,"תחילת שנה",'רווחה - קליטה'!$AT$5:$AT$204,"אמין")/COUNTIFS('רווחה - קליטה'!$B$5:$B$204,$A5,'רווחה - קליטה'!$C$5:$C$204,"תחילת שנה"),""))</f>
        <v/>
      </c>
      <c r="I5" s="47">
        <f>IF($A5="","",COUNTIFS('זה אני - קליטה'!$B$5:$B$204,$A5,'זה אני - קליטה'!$C$5:$C$204,"אמצע שנה"))</f>
        <v/>
      </c>
      <c r="J5" s="37">
        <f>IF($A5="","",IFERROR(AVERAGEIFS('זה אני - קליטה'!$AL$5:$AL$204,'זה אני - קליטה'!$B$5:$B$204,$A5,'זה אני - קליטה'!$C$5:$C$204,"אמצע שנה"),""))</f>
        <v/>
      </c>
      <c r="K5" s="37">
        <f>IF($A5="","",IFERROR(AVERAGEIFS('זה אני - קליטה'!$AN$5:$AN$204,'זה אני - קליטה'!$B$5:$B$204,$A5,'זה אני - קליטה'!$C$5:$C$204,"אמצע שנה"),""))</f>
        <v/>
      </c>
      <c r="L5" s="37">
        <f>IF($A5="","",IFERROR(COUNTIFS('זה אני - קליטה'!$B$5:$B$204,$A5,'זה אני - קליטה'!$C$5:$C$204,"אמצע שנה",'זה אני - קליטה'!$AW$5:$AW$204,"אמין")/COUNTIFS('זה אני - קליטה'!$B$5:$B$204,$A5,'זה אני - קליטה'!$C$5:$C$204,"אמצע שנה"),""))</f>
        <v/>
      </c>
      <c r="M5" s="47">
        <f>IF($A5="","",COUNTIFS('רווחה - קליטה'!$B$5:$B$204,$A5,'רווחה - קליטה'!$C$5:$C$204,"אמצע שנה"))</f>
        <v/>
      </c>
      <c r="N5" s="45">
        <f>IF($A5="","",IFERROR(AVERAGEIFS('רווחה - קליטה'!$AR$5:$AR$204,'רווחה - קליטה'!$B$5:$B$204,$A5,'רווחה - קליטה'!$C$5:$C$204,"אמצע שנה"),""))</f>
        <v/>
      </c>
      <c r="O5" s="37">
        <f>IF($A5="","",IFERROR(COUNTIFS('רווחה - קליטה'!$B$5:$B$204,$A5,'רווחה - קליטה'!$C$5:$C$204,"אמצע שנה",'רווחה - קליטה'!$AT$5:$AT$204,"אמין")/COUNTIFS('רווחה - קליטה'!$B$5:$B$204,$A5,'רווחה - קליטה'!$C$5:$C$204,"אמצע שנה"),""))</f>
        <v/>
      </c>
      <c r="P5" s="47">
        <f>IF($A5="","",COUNTIFS('זה אני - קליטה'!$B$5:$B$204,$A5,'זה אני - קליטה'!$C$5:$C$204,"סוף שנה"))</f>
        <v/>
      </c>
      <c r="Q5" s="37">
        <f>IF($A5="","",IFERROR(AVERAGEIFS('זה אני - קליטה'!$AL$5:$AL$204,'זה אני - קליטה'!$B$5:$B$204,$A5,'זה אני - קליטה'!$C$5:$C$204,"סוף שנה"),""))</f>
        <v/>
      </c>
      <c r="R5" s="37">
        <f>IF($A5="","",IFERROR(AVERAGEIFS('זה אני - קליטה'!$AN$5:$AN$204,'זה אני - קליטה'!$B$5:$B$204,$A5,'זה אני - קליטה'!$C$5:$C$204,"סוף שנה"),""))</f>
        <v/>
      </c>
      <c r="S5" s="37">
        <f>IF($A5="","",IFERROR(COUNTIFS('זה אני - קליטה'!$B$5:$B$204,$A5,'זה אני - קליטה'!$C$5:$C$204,"סוף שנה",'זה אני - קליטה'!$AW$5:$AW$204,"אמין")/COUNTIFS('זה אני - קליטה'!$B$5:$B$204,$A5,'זה אני - קליטה'!$C$5:$C$204,"סוף שנה"),""))</f>
        <v/>
      </c>
      <c r="T5" s="47">
        <f>IF($A5="","",COUNTIFS('רווחה - קליטה'!$B$5:$B$204,$A5,'רווחה - קליטה'!$C$5:$C$204,"סוף שנה"))</f>
        <v/>
      </c>
      <c r="U5" s="45">
        <f>IF($A5="","",IFERROR(AVERAGEIFS('רווחה - קליטה'!$AR$5:$AR$204,'רווחה - קליטה'!$B$5:$B$204,$A5,'רווחה - קליטה'!$C$5:$C$204,"סוף שנה"),""))</f>
        <v/>
      </c>
      <c r="V5" s="37">
        <f>IF($A5="","",IFERROR(COUNTIFS('רווחה - קליטה'!$B$5:$B$204,$A5,'רווחה - קליטה'!$C$5:$C$204,"סוף שנה",'רווחה - קליטה'!$AT$5:$AT$204,"אמין")/COUNTIFS('רווחה - קליטה'!$B$5:$B$204,$A5,'רווחה - קליטה'!$C$5:$C$204,"סוף שנה"),""))</f>
        <v/>
      </c>
    </row>
    <row r="6">
      <c r="A6" s="38" t="n"/>
      <c r="B6" s="47">
        <f>IF($A6="","",COUNTIFS('זה אני - קליטה'!$B$5:$B$204,$A6,'זה אני - קליטה'!$C$5:$C$204,"תחילת שנה"))</f>
        <v/>
      </c>
      <c r="C6" s="37">
        <f>IF($A6="","",IFERROR(AVERAGEIFS('זה אני - קליטה'!$AL$5:$AL$204,'זה אני - קליטה'!$B$5:$B$204,$A6,'זה אני - קליטה'!$C$5:$C$204,"תחילת שנה"),""))</f>
        <v/>
      </c>
      <c r="D6" s="37">
        <f>IF($A6="","",IFERROR(AVERAGEIFS('זה אני - קליטה'!$AN$5:$AN$204,'זה אני - קליטה'!$B$5:$B$204,$A6,'זה אני - קליטה'!$C$5:$C$204,"תחילת שנה"),""))</f>
        <v/>
      </c>
      <c r="E6" s="37">
        <f>IF($A6="","",IFERROR(COUNTIFS('זה אני - קליטה'!$B$5:$B$204,$A6,'זה אני - קליטה'!$C$5:$C$204,"תחילת שנה",'זה אני - קליטה'!$AW$5:$AW$204,"אמין")/COUNTIFS('זה אני - קליטה'!$B$5:$B$204,$A6,'זה אני - קליטה'!$C$5:$C$204,"תחילת שנה"),""))</f>
        <v/>
      </c>
      <c r="F6" s="47">
        <f>IF($A6="","",COUNTIFS('רווחה - קליטה'!$B$5:$B$204,$A6,'רווחה - קליטה'!$C$5:$C$204,"תחילת שנה"))</f>
        <v/>
      </c>
      <c r="G6" s="45">
        <f>IF($A6="","",IFERROR(AVERAGEIFS('רווחה - קליטה'!$AR$5:$AR$204,'רווחה - קליטה'!$B$5:$B$204,$A6,'רווחה - קליטה'!$C$5:$C$204,"תחילת שנה"),""))</f>
        <v/>
      </c>
      <c r="H6" s="37">
        <f>IF($A6="","",IFERROR(COUNTIFS('רווחה - קליטה'!$B$5:$B$204,$A6,'רווחה - קליטה'!$C$5:$C$204,"תחילת שנה",'רווחה - קליטה'!$AT$5:$AT$204,"אמין")/COUNTIFS('רווחה - קליטה'!$B$5:$B$204,$A6,'רווחה - קליטה'!$C$5:$C$204,"תחילת שנה"),""))</f>
        <v/>
      </c>
      <c r="I6" s="47">
        <f>IF($A6="","",COUNTIFS('זה אני - קליטה'!$B$5:$B$204,$A6,'זה אני - קליטה'!$C$5:$C$204,"אמצע שנה"))</f>
        <v/>
      </c>
      <c r="J6" s="37">
        <f>IF($A6="","",IFERROR(AVERAGEIFS('זה אני - קליטה'!$AL$5:$AL$204,'זה אני - קליטה'!$B$5:$B$204,$A6,'זה אני - קליטה'!$C$5:$C$204,"אמצע שנה"),""))</f>
        <v/>
      </c>
      <c r="K6" s="37">
        <f>IF($A6="","",IFERROR(AVERAGEIFS('זה אני - קליטה'!$AN$5:$AN$204,'זה אני - קליטה'!$B$5:$B$204,$A6,'זה אני - קליטה'!$C$5:$C$204,"אמצע שנה"),""))</f>
        <v/>
      </c>
      <c r="L6" s="37">
        <f>IF($A6="","",IFERROR(COUNTIFS('זה אני - קליטה'!$B$5:$B$204,$A6,'זה אני - קליטה'!$C$5:$C$204,"אמצע שנה",'זה אני - קליטה'!$AW$5:$AW$204,"אמין")/COUNTIFS('זה אני - קליטה'!$B$5:$B$204,$A6,'זה אני - קליטה'!$C$5:$C$204,"אמצע שנה"),""))</f>
        <v/>
      </c>
      <c r="M6" s="47">
        <f>IF($A6="","",COUNTIFS('רווחה - קליטה'!$B$5:$B$204,$A6,'רווחה - קליטה'!$C$5:$C$204,"אמצע שנה"))</f>
        <v/>
      </c>
      <c r="N6" s="45">
        <f>IF($A6="","",IFERROR(AVERAGEIFS('רווחה - קליטה'!$AR$5:$AR$204,'רווחה - קליטה'!$B$5:$B$204,$A6,'רווחה - קליטה'!$C$5:$C$204,"אמצע שנה"),""))</f>
        <v/>
      </c>
      <c r="O6" s="37">
        <f>IF($A6="","",IFERROR(COUNTIFS('רווחה - קליטה'!$B$5:$B$204,$A6,'רווחה - קליטה'!$C$5:$C$204,"אמצע שנה",'רווחה - קליטה'!$AT$5:$AT$204,"אמין")/COUNTIFS('רווחה - קליטה'!$B$5:$B$204,$A6,'רווחה - קליטה'!$C$5:$C$204,"אמצע שנה"),""))</f>
        <v/>
      </c>
      <c r="P6" s="47">
        <f>IF($A6="","",COUNTIFS('זה אני - קליטה'!$B$5:$B$204,$A6,'זה אני - קליטה'!$C$5:$C$204,"סוף שנה"))</f>
        <v/>
      </c>
      <c r="Q6" s="37">
        <f>IF($A6="","",IFERROR(AVERAGEIFS('זה אני - קליטה'!$AL$5:$AL$204,'זה אני - קליטה'!$B$5:$B$204,$A6,'זה אני - קליטה'!$C$5:$C$204,"סוף שנה"),""))</f>
        <v/>
      </c>
      <c r="R6" s="37">
        <f>IF($A6="","",IFERROR(AVERAGEIFS('זה אני - קליטה'!$AN$5:$AN$204,'זה אני - קליטה'!$B$5:$B$204,$A6,'זה אני - קליטה'!$C$5:$C$204,"סוף שנה"),""))</f>
        <v/>
      </c>
      <c r="S6" s="37">
        <f>IF($A6="","",IFERROR(COUNTIFS('זה אני - קליטה'!$B$5:$B$204,$A6,'זה אני - קליטה'!$C$5:$C$204,"סוף שנה",'זה אני - קליטה'!$AW$5:$AW$204,"אמין")/COUNTIFS('זה אני - קליטה'!$B$5:$B$204,$A6,'זה אני - קליטה'!$C$5:$C$204,"סוף שנה"),""))</f>
        <v/>
      </c>
      <c r="T6" s="47">
        <f>IF($A6="","",COUNTIFS('רווחה - קליטה'!$B$5:$B$204,$A6,'רווחה - קליטה'!$C$5:$C$204,"סוף שנה"))</f>
        <v/>
      </c>
      <c r="U6" s="45">
        <f>IF($A6="","",IFERROR(AVERAGEIFS('רווחה - קליטה'!$AR$5:$AR$204,'רווחה - קליטה'!$B$5:$B$204,$A6,'רווחה - קליטה'!$C$5:$C$204,"סוף שנה"),""))</f>
        <v/>
      </c>
      <c r="V6" s="37">
        <f>IF($A6="","",IFERROR(COUNTIFS('רווחה - קליטה'!$B$5:$B$204,$A6,'רווחה - קליטה'!$C$5:$C$204,"סוף שנה",'רווחה - קליטה'!$AT$5:$AT$204,"אמין")/COUNTIFS('רווחה - קליטה'!$B$5:$B$204,$A6,'רווחה - קליטה'!$C$5:$C$204,"סוף שנה"),""))</f>
        <v/>
      </c>
    </row>
    <row r="7">
      <c r="A7" s="38" t="n"/>
      <c r="B7" s="47">
        <f>IF($A7="","",COUNTIFS('זה אני - קליטה'!$B$5:$B$204,$A7,'זה אני - קליטה'!$C$5:$C$204,"תחילת שנה"))</f>
        <v/>
      </c>
      <c r="C7" s="37">
        <f>IF($A7="","",IFERROR(AVERAGEIFS('זה אני - קליטה'!$AL$5:$AL$204,'זה אני - קליטה'!$B$5:$B$204,$A7,'זה אני - קליטה'!$C$5:$C$204,"תחילת שנה"),""))</f>
        <v/>
      </c>
      <c r="D7" s="37">
        <f>IF($A7="","",IFERROR(AVERAGEIFS('זה אני - קליטה'!$AN$5:$AN$204,'זה אני - קליטה'!$B$5:$B$204,$A7,'זה אני - קליטה'!$C$5:$C$204,"תחילת שנה"),""))</f>
        <v/>
      </c>
      <c r="E7" s="37">
        <f>IF($A7="","",IFERROR(COUNTIFS('זה אני - קליטה'!$B$5:$B$204,$A7,'זה אני - קליטה'!$C$5:$C$204,"תחילת שנה",'זה אני - קליטה'!$AW$5:$AW$204,"אמין")/COUNTIFS('זה אני - קליטה'!$B$5:$B$204,$A7,'זה אני - קליטה'!$C$5:$C$204,"תחילת שנה"),""))</f>
        <v/>
      </c>
      <c r="F7" s="47">
        <f>IF($A7="","",COUNTIFS('רווחה - קליטה'!$B$5:$B$204,$A7,'רווחה - קליטה'!$C$5:$C$204,"תחילת שנה"))</f>
        <v/>
      </c>
      <c r="G7" s="45">
        <f>IF($A7="","",IFERROR(AVERAGEIFS('רווחה - קליטה'!$AR$5:$AR$204,'רווחה - קליטה'!$B$5:$B$204,$A7,'רווחה - קליטה'!$C$5:$C$204,"תחילת שנה"),""))</f>
        <v/>
      </c>
      <c r="H7" s="37">
        <f>IF($A7="","",IFERROR(COUNTIFS('רווחה - קליטה'!$B$5:$B$204,$A7,'רווחה - קליטה'!$C$5:$C$204,"תחילת שנה",'רווחה - קליטה'!$AT$5:$AT$204,"אמין")/COUNTIFS('רווחה - קליטה'!$B$5:$B$204,$A7,'רווחה - קליטה'!$C$5:$C$204,"תחילת שנה"),""))</f>
        <v/>
      </c>
      <c r="I7" s="47">
        <f>IF($A7="","",COUNTIFS('זה אני - קליטה'!$B$5:$B$204,$A7,'זה אני - קליטה'!$C$5:$C$204,"אמצע שנה"))</f>
        <v/>
      </c>
      <c r="J7" s="37">
        <f>IF($A7="","",IFERROR(AVERAGEIFS('זה אני - קליטה'!$AL$5:$AL$204,'זה אני - קליטה'!$B$5:$B$204,$A7,'זה אני - קליטה'!$C$5:$C$204,"אמצע שנה"),""))</f>
        <v/>
      </c>
      <c r="K7" s="37">
        <f>IF($A7="","",IFERROR(AVERAGEIFS('זה אני - קליטה'!$AN$5:$AN$204,'זה אני - קליטה'!$B$5:$B$204,$A7,'זה אני - קליטה'!$C$5:$C$204,"אמצע שנה"),""))</f>
        <v/>
      </c>
      <c r="L7" s="37">
        <f>IF($A7="","",IFERROR(COUNTIFS('זה אני - קליטה'!$B$5:$B$204,$A7,'זה אני - קליטה'!$C$5:$C$204,"אמצע שנה",'זה אני - קליטה'!$AW$5:$AW$204,"אמין")/COUNTIFS('זה אני - קליטה'!$B$5:$B$204,$A7,'זה אני - קליטה'!$C$5:$C$204,"אמצע שנה"),""))</f>
        <v/>
      </c>
      <c r="M7" s="47">
        <f>IF($A7="","",COUNTIFS('רווחה - קליטה'!$B$5:$B$204,$A7,'רווחה - קליטה'!$C$5:$C$204,"אמצע שנה"))</f>
        <v/>
      </c>
      <c r="N7" s="45">
        <f>IF($A7="","",IFERROR(AVERAGEIFS('רווחה - קליטה'!$AR$5:$AR$204,'רווחה - קליטה'!$B$5:$B$204,$A7,'רווחה - קליטה'!$C$5:$C$204,"אמצע שנה"),""))</f>
        <v/>
      </c>
      <c r="O7" s="37">
        <f>IF($A7="","",IFERROR(COUNTIFS('רווחה - קליטה'!$B$5:$B$204,$A7,'רווחה - קליטה'!$C$5:$C$204,"אמצע שנה",'רווחה - קליטה'!$AT$5:$AT$204,"אמין")/COUNTIFS('רווחה - קליטה'!$B$5:$B$204,$A7,'רווחה - קליטה'!$C$5:$C$204,"אמצע שנה"),""))</f>
        <v/>
      </c>
      <c r="P7" s="47">
        <f>IF($A7="","",COUNTIFS('זה אני - קליטה'!$B$5:$B$204,$A7,'זה אני - קליטה'!$C$5:$C$204,"סוף שנה"))</f>
        <v/>
      </c>
      <c r="Q7" s="37">
        <f>IF($A7="","",IFERROR(AVERAGEIFS('זה אני - קליטה'!$AL$5:$AL$204,'זה אני - קליטה'!$B$5:$B$204,$A7,'זה אני - קליטה'!$C$5:$C$204,"סוף שנה"),""))</f>
        <v/>
      </c>
      <c r="R7" s="37">
        <f>IF($A7="","",IFERROR(AVERAGEIFS('זה אני - קליטה'!$AN$5:$AN$204,'זה אני - קליטה'!$B$5:$B$204,$A7,'זה אני - קליטה'!$C$5:$C$204,"סוף שנה"),""))</f>
        <v/>
      </c>
      <c r="S7" s="37">
        <f>IF($A7="","",IFERROR(COUNTIFS('זה אני - קליטה'!$B$5:$B$204,$A7,'זה אני - קליטה'!$C$5:$C$204,"סוף שנה",'זה אני - קליטה'!$AW$5:$AW$204,"אמין")/COUNTIFS('זה אני - קליטה'!$B$5:$B$204,$A7,'זה אני - קליטה'!$C$5:$C$204,"סוף שנה"),""))</f>
        <v/>
      </c>
      <c r="T7" s="47">
        <f>IF($A7="","",COUNTIFS('רווחה - קליטה'!$B$5:$B$204,$A7,'רווחה - קליטה'!$C$5:$C$204,"סוף שנה"))</f>
        <v/>
      </c>
      <c r="U7" s="45">
        <f>IF($A7="","",IFERROR(AVERAGEIFS('רווחה - קליטה'!$AR$5:$AR$204,'רווחה - קליטה'!$B$5:$B$204,$A7,'רווחה - קליטה'!$C$5:$C$204,"סוף שנה"),""))</f>
        <v/>
      </c>
      <c r="V7" s="37">
        <f>IF($A7="","",IFERROR(COUNTIFS('רווחה - קליטה'!$B$5:$B$204,$A7,'רווחה - קליטה'!$C$5:$C$204,"סוף שנה",'רווחה - קליטה'!$AT$5:$AT$204,"אמין")/COUNTIFS('רווחה - קליטה'!$B$5:$B$204,$A7,'רווחה - קליטה'!$C$5:$C$204,"סוף שנה"),""))</f>
        <v/>
      </c>
    </row>
    <row r="8">
      <c r="A8" s="38" t="n"/>
      <c r="B8" s="47">
        <f>IF($A8="","",COUNTIFS('זה אני - קליטה'!$B$5:$B$204,$A8,'זה אני - קליטה'!$C$5:$C$204,"תחילת שנה"))</f>
        <v/>
      </c>
      <c r="C8" s="37">
        <f>IF($A8="","",IFERROR(AVERAGEIFS('זה אני - קליטה'!$AL$5:$AL$204,'זה אני - קליטה'!$B$5:$B$204,$A8,'זה אני - קליטה'!$C$5:$C$204,"תחילת שנה"),""))</f>
        <v/>
      </c>
      <c r="D8" s="37">
        <f>IF($A8="","",IFERROR(AVERAGEIFS('זה אני - קליטה'!$AN$5:$AN$204,'זה אני - קליטה'!$B$5:$B$204,$A8,'זה אני - קליטה'!$C$5:$C$204,"תחילת שנה"),""))</f>
        <v/>
      </c>
      <c r="E8" s="37">
        <f>IF($A8="","",IFERROR(COUNTIFS('זה אני - קליטה'!$B$5:$B$204,$A8,'זה אני - קליטה'!$C$5:$C$204,"תחילת שנה",'זה אני - קליטה'!$AW$5:$AW$204,"אמין")/COUNTIFS('זה אני - קליטה'!$B$5:$B$204,$A8,'זה אני - קליטה'!$C$5:$C$204,"תחילת שנה"),""))</f>
        <v/>
      </c>
      <c r="F8" s="47">
        <f>IF($A8="","",COUNTIFS('רווחה - קליטה'!$B$5:$B$204,$A8,'רווחה - קליטה'!$C$5:$C$204,"תחילת שנה"))</f>
        <v/>
      </c>
      <c r="G8" s="45">
        <f>IF($A8="","",IFERROR(AVERAGEIFS('רווחה - קליטה'!$AR$5:$AR$204,'רווחה - קליטה'!$B$5:$B$204,$A8,'רווחה - קליטה'!$C$5:$C$204,"תחילת שנה"),""))</f>
        <v/>
      </c>
      <c r="H8" s="37">
        <f>IF($A8="","",IFERROR(COUNTIFS('רווחה - קליטה'!$B$5:$B$204,$A8,'רווחה - קליטה'!$C$5:$C$204,"תחילת שנה",'רווחה - קליטה'!$AT$5:$AT$204,"אמין")/COUNTIFS('רווחה - קליטה'!$B$5:$B$204,$A8,'רווחה - קליטה'!$C$5:$C$204,"תחילת שנה"),""))</f>
        <v/>
      </c>
      <c r="I8" s="47">
        <f>IF($A8="","",COUNTIFS('זה אני - קליטה'!$B$5:$B$204,$A8,'זה אני - קליטה'!$C$5:$C$204,"אמצע שנה"))</f>
        <v/>
      </c>
      <c r="J8" s="37">
        <f>IF($A8="","",IFERROR(AVERAGEIFS('זה אני - קליטה'!$AL$5:$AL$204,'זה אני - קליטה'!$B$5:$B$204,$A8,'זה אני - קליטה'!$C$5:$C$204,"אמצע שנה"),""))</f>
        <v/>
      </c>
      <c r="K8" s="37">
        <f>IF($A8="","",IFERROR(AVERAGEIFS('זה אני - קליטה'!$AN$5:$AN$204,'זה אני - קליטה'!$B$5:$B$204,$A8,'זה אני - קליטה'!$C$5:$C$204,"אמצע שנה"),""))</f>
        <v/>
      </c>
      <c r="L8" s="37">
        <f>IF($A8="","",IFERROR(COUNTIFS('זה אני - קליטה'!$B$5:$B$204,$A8,'זה אני - קליטה'!$C$5:$C$204,"אמצע שנה",'זה אני - קליטה'!$AW$5:$AW$204,"אמין")/COUNTIFS('זה אני - קליטה'!$B$5:$B$204,$A8,'זה אני - קליטה'!$C$5:$C$204,"אמצע שנה"),""))</f>
        <v/>
      </c>
      <c r="M8" s="47">
        <f>IF($A8="","",COUNTIFS('רווחה - קליטה'!$B$5:$B$204,$A8,'רווחה - קליטה'!$C$5:$C$204,"אמצע שנה"))</f>
        <v/>
      </c>
      <c r="N8" s="45">
        <f>IF($A8="","",IFERROR(AVERAGEIFS('רווחה - קליטה'!$AR$5:$AR$204,'רווחה - קליטה'!$B$5:$B$204,$A8,'רווחה - קליטה'!$C$5:$C$204,"אמצע שנה"),""))</f>
        <v/>
      </c>
      <c r="O8" s="37">
        <f>IF($A8="","",IFERROR(COUNTIFS('רווחה - קליטה'!$B$5:$B$204,$A8,'רווחה - קליטה'!$C$5:$C$204,"אמצע שנה",'רווחה - קליטה'!$AT$5:$AT$204,"אמין")/COUNTIFS('רווחה - קליטה'!$B$5:$B$204,$A8,'רווחה - קליטה'!$C$5:$C$204,"אמצע שנה"),""))</f>
        <v/>
      </c>
      <c r="P8" s="47">
        <f>IF($A8="","",COUNTIFS('זה אני - קליטה'!$B$5:$B$204,$A8,'זה אני - קליטה'!$C$5:$C$204,"סוף שנה"))</f>
        <v/>
      </c>
      <c r="Q8" s="37">
        <f>IF($A8="","",IFERROR(AVERAGEIFS('זה אני - קליטה'!$AL$5:$AL$204,'זה אני - קליטה'!$B$5:$B$204,$A8,'זה אני - קליטה'!$C$5:$C$204,"סוף שנה"),""))</f>
        <v/>
      </c>
      <c r="R8" s="37">
        <f>IF($A8="","",IFERROR(AVERAGEIFS('זה אני - קליטה'!$AN$5:$AN$204,'זה אני - קליטה'!$B$5:$B$204,$A8,'זה אני - קליטה'!$C$5:$C$204,"סוף שנה"),""))</f>
        <v/>
      </c>
      <c r="S8" s="37">
        <f>IF($A8="","",IFERROR(COUNTIFS('זה אני - קליטה'!$B$5:$B$204,$A8,'זה אני - קליטה'!$C$5:$C$204,"סוף שנה",'זה אני - קליטה'!$AW$5:$AW$204,"אמין")/COUNTIFS('זה אני - קליטה'!$B$5:$B$204,$A8,'זה אני - קליטה'!$C$5:$C$204,"סוף שנה"),""))</f>
        <v/>
      </c>
      <c r="T8" s="47">
        <f>IF($A8="","",COUNTIFS('רווחה - קליטה'!$B$5:$B$204,$A8,'רווחה - קליטה'!$C$5:$C$204,"סוף שנה"))</f>
        <v/>
      </c>
      <c r="U8" s="45">
        <f>IF($A8="","",IFERROR(AVERAGEIFS('רווחה - קליטה'!$AR$5:$AR$204,'רווחה - קליטה'!$B$5:$B$204,$A8,'רווחה - קליטה'!$C$5:$C$204,"סוף שנה"),""))</f>
        <v/>
      </c>
      <c r="V8" s="37">
        <f>IF($A8="","",IFERROR(COUNTIFS('רווחה - קליטה'!$B$5:$B$204,$A8,'רווחה - קליטה'!$C$5:$C$204,"סוף שנה",'רווחה - קליטה'!$AT$5:$AT$204,"אמין")/COUNTIFS('רווחה - קליטה'!$B$5:$B$204,$A8,'רווחה - קליטה'!$C$5:$C$204,"סוף שנה"),""))</f>
        <v/>
      </c>
    </row>
    <row r="9">
      <c r="A9" s="38" t="n"/>
      <c r="B9" s="47">
        <f>IF($A9="","",COUNTIFS('זה אני - קליטה'!$B$5:$B$204,$A9,'זה אני - קליטה'!$C$5:$C$204,"תחילת שנה"))</f>
        <v/>
      </c>
      <c r="C9" s="37">
        <f>IF($A9="","",IFERROR(AVERAGEIFS('זה אני - קליטה'!$AL$5:$AL$204,'זה אני - קליטה'!$B$5:$B$204,$A9,'זה אני - קליטה'!$C$5:$C$204,"תחילת שנה"),""))</f>
        <v/>
      </c>
      <c r="D9" s="37">
        <f>IF($A9="","",IFERROR(AVERAGEIFS('זה אני - קליטה'!$AN$5:$AN$204,'זה אני - קליטה'!$B$5:$B$204,$A9,'זה אני - קליטה'!$C$5:$C$204,"תחילת שנה"),""))</f>
        <v/>
      </c>
      <c r="E9" s="37">
        <f>IF($A9="","",IFERROR(COUNTIFS('זה אני - קליטה'!$B$5:$B$204,$A9,'זה אני - קליטה'!$C$5:$C$204,"תחילת שנה",'זה אני - קליטה'!$AW$5:$AW$204,"אמין")/COUNTIFS('זה אני - קליטה'!$B$5:$B$204,$A9,'זה אני - קליטה'!$C$5:$C$204,"תחילת שנה"),""))</f>
        <v/>
      </c>
      <c r="F9" s="47">
        <f>IF($A9="","",COUNTIFS('רווחה - קליטה'!$B$5:$B$204,$A9,'רווחה - קליטה'!$C$5:$C$204,"תחילת שנה"))</f>
        <v/>
      </c>
      <c r="G9" s="45">
        <f>IF($A9="","",IFERROR(AVERAGEIFS('רווחה - קליטה'!$AR$5:$AR$204,'רווחה - קליטה'!$B$5:$B$204,$A9,'רווחה - קליטה'!$C$5:$C$204,"תחילת שנה"),""))</f>
        <v/>
      </c>
      <c r="H9" s="37">
        <f>IF($A9="","",IFERROR(COUNTIFS('רווחה - קליטה'!$B$5:$B$204,$A9,'רווחה - קליטה'!$C$5:$C$204,"תחילת שנה",'רווחה - קליטה'!$AT$5:$AT$204,"אמין")/COUNTIFS('רווחה - קליטה'!$B$5:$B$204,$A9,'רווחה - קליטה'!$C$5:$C$204,"תחילת שנה"),""))</f>
        <v/>
      </c>
      <c r="I9" s="47">
        <f>IF($A9="","",COUNTIFS('זה אני - קליטה'!$B$5:$B$204,$A9,'זה אני - קליטה'!$C$5:$C$204,"אמצע שנה"))</f>
        <v/>
      </c>
      <c r="J9" s="37">
        <f>IF($A9="","",IFERROR(AVERAGEIFS('זה אני - קליטה'!$AL$5:$AL$204,'זה אני - קליטה'!$B$5:$B$204,$A9,'זה אני - קליטה'!$C$5:$C$204,"אמצע שנה"),""))</f>
        <v/>
      </c>
      <c r="K9" s="37">
        <f>IF($A9="","",IFERROR(AVERAGEIFS('זה אני - קליטה'!$AN$5:$AN$204,'זה אני - קליטה'!$B$5:$B$204,$A9,'זה אני - קליטה'!$C$5:$C$204,"אמצע שנה"),""))</f>
        <v/>
      </c>
      <c r="L9" s="37">
        <f>IF($A9="","",IFERROR(COUNTIFS('זה אני - קליטה'!$B$5:$B$204,$A9,'זה אני - קליטה'!$C$5:$C$204,"אמצע שנה",'זה אני - קליטה'!$AW$5:$AW$204,"אמין")/COUNTIFS('זה אני - קליטה'!$B$5:$B$204,$A9,'זה אני - קליטה'!$C$5:$C$204,"אמצע שנה"),""))</f>
        <v/>
      </c>
      <c r="M9" s="47">
        <f>IF($A9="","",COUNTIFS('רווחה - קליטה'!$B$5:$B$204,$A9,'רווחה - קליטה'!$C$5:$C$204,"אמצע שנה"))</f>
        <v/>
      </c>
      <c r="N9" s="45">
        <f>IF($A9="","",IFERROR(AVERAGEIFS('רווחה - קליטה'!$AR$5:$AR$204,'רווחה - קליטה'!$B$5:$B$204,$A9,'רווחה - קליטה'!$C$5:$C$204,"אמצע שנה"),""))</f>
        <v/>
      </c>
      <c r="O9" s="37">
        <f>IF($A9="","",IFERROR(COUNTIFS('רווחה - קליטה'!$B$5:$B$204,$A9,'רווחה - קליטה'!$C$5:$C$204,"אמצע שנה",'רווחה - קליטה'!$AT$5:$AT$204,"אמין")/COUNTIFS('רווחה - קליטה'!$B$5:$B$204,$A9,'רווחה - קליטה'!$C$5:$C$204,"אמצע שנה"),""))</f>
        <v/>
      </c>
      <c r="P9" s="47">
        <f>IF($A9="","",COUNTIFS('זה אני - קליטה'!$B$5:$B$204,$A9,'זה אני - קליטה'!$C$5:$C$204,"סוף שנה"))</f>
        <v/>
      </c>
      <c r="Q9" s="37">
        <f>IF($A9="","",IFERROR(AVERAGEIFS('זה אני - קליטה'!$AL$5:$AL$204,'זה אני - קליטה'!$B$5:$B$204,$A9,'זה אני - קליטה'!$C$5:$C$204,"סוף שנה"),""))</f>
        <v/>
      </c>
      <c r="R9" s="37">
        <f>IF($A9="","",IFERROR(AVERAGEIFS('זה אני - קליטה'!$AN$5:$AN$204,'זה אני - קליטה'!$B$5:$B$204,$A9,'זה אני - קליטה'!$C$5:$C$204,"סוף שנה"),""))</f>
        <v/>
      </c>
      <c r="S9" s="37">
        <f>IF($A9="","",IFERROR(COUNTIFS('זה אני - קליטה'!$B$5:$B$204,$A9,'זה אני - קליטה'!$C$5:$C$204,"סוף שנה",'זה אני - קליטה'!$AW$5:$AW$204,"אמין")/COUNTIFS('זה אני - קליטה'!$B$5:$B$204,$A9,'זה אני - קליטה'!$C$5:$C$204,"סוף שנה"),""))</f>
        <v/>
      </c>
      <c r="T9" s="47">
        <f>IF($A9="","",COUNTIFS('רווחה - קליטה'!$B$5:$B$204,$A9,'רווחה - קליטה'!$C$5:$C$204,"סוף שנה"))</f>
        <v/>
      </c>
      <c r="U9" s="45">
        <f>IF($A9="","",IFERROR(AVERAGEIFS('רווחה - קליטה'!$AR$5:$AR$204,'רווחה - קליטה'!$B$5:$B$204,$A9,'רווחה - קליטה'!$C$5:$C$204,"סוף שנה"),""))</f>
        <v/>
      </c>
      <c r="V9" s="37">
        <f>IF($A9="","",IFERROR(COUNTIFS('רווחה - קליטה'!$B$5:$B$204,$A9,'רווחה - קליטה'!$C$5:$C$204,"סוף שנה",'רווחה - קליטה'!$AT$5:$AT$204,"אמין")/COUNTIFS('רווחה - קליטה'!$B$5:$B$204,$A9,'רווחה - קליטה'!$C$5:$C$204,"סוף שנה"),""))</f>
        <v/>
      </c>
    </row>
    <row r="10">
      <c r="A10" s="38" t="n"/>
      <c r="B10" s="47">
        <f>IF($A10="","",COUNTIFS('זה אני - קליטה'!$B$5:$B$204,$A10,'זה אני - קליטה'!$C$5:$C$204,"תחילת שנה"))</f>
        <v/>
      </c>
      <c r="C10" s="37">
        <f>IF($A10="","",IFERROR(AVERAGEIFS('זה אני - קליטה'!$AL$5:$AL$204,'זה אני - קליטה'!$B$5:$B$204,$A10,'זה אני - קליטה'!$C$5:$C$204,"תחילת שנה"),""))</f>
        <v/>
      </c>
      <c r="D10" s="37">
        <f>IF($A10="","",IFERROR(AVERAGEIFS('זה אני - קליטה'!$AN$5:$AN$204,'זה אני - קליטה'!$B$5:$B$204,$A10,'זה אני - קליטה'!$C$5:$C$204,"תחילת שנה"),""))</f>
        <v/>
      </c>
      <c r="E10" s="37">
        <f>IF($A10="","",IFERROR(COUNTIFS('זה אני - קליטה'!$B$5:$B$204,$A10,'זה אני - קליטה'!$C$5:$C$204,"תחילת שנה",'זה אני - קליטה'!$AW$5:$AW$204,"אמין")/COUNTIFS('זה אני - קליטה'!$B$5:$B$204,$A10,'זה אני - קליטה'!$C$5:$C$204,"תחילת שנה"),""))</f>
        <v/>
      </c>
      <c r="F10" s="47">
        <f>IF($A10="","",COUNTIFS('רווחה - קליטה'!$B$5:$B$204,$A10,'רווחה - קליטה'!$C$5:$C$204,"תחילת שנה"))</f>
        <v/>
      </c>
      <c r="G10" s="45">
        <f>IF($A10="","",IFERROR(AVERAGEIFS('רווחה - קליטה'!$AR$5:$AR$204,'רווחה - קליטה'!$B$5:$B$204,$A10,'רווחה - קליטה'!$C$5:$C$204,"תחילת שנה"),""))</f>
        <v/>
      </c>
      <c r="H10" s="37">
        <f>IF($A10="","",IFERROR(COUNTIFS('רווחה - קליטה'!$B$5:$B$204,$A10,'רווחה - קליטה'!$C$5:$C$204,"תחילת שנה",'רווחה - קליטה'!$AT$5:$AT$204,"אמין")/COUNTIFS('רווחה - קליטה'!$B$5:$B$204,$A10,'רווחה - קליטה'!$C$5:$C$204,"תחילת שנה"),""))</f>
        <v/>
      </c>
      <c r="I10" s="47">
        <f>IF($A10="","",COUNTIFS('זה אני - קליטה'!$B$5:$B$204,$A10,'זה אני - קליטה'!$C$5:$C$204,"אמצע שנה"))</f>
        <v/>
      </c>
      <c r="J10" s="37">
        <f>IF($A10="","",IFERROR(AVERAGEIFS('זה אני - קליטה'!$AL$5:$AL$204,'זה אני - קליטה'!$B$5:$B$204,$A10,'זה אני - קליטה'!$C$5:$C$204,"אמצע שנה"),""))</f>
        <v/>
      </c>
      <c r="K10" s="37">
        <f>IF($A10="","",IFERROR(AVERAGEIFS('זה אני - קליטה'!$AN$5:$AN$204,'זה אני - קליטה'!$B$5:$B$204,$A10,'זה אני - קליטה'!$C$5:$C$204,"אמצע שנה"),""))</f>
        <v/>
      </c>
      <c r="L10" s="37">
        <f>IF($A10="","",IFERROR(COUNTIFS('זה אני - קליטה'!$B$5:$B$204,$A10,'זה אני - קליטה'!$C$5:$C$204,"אמצע שנה",'זה אני - קליטה'!$AW$5:$AW$204,"אמין")/COUNTIFS('זה אני - קליטה'!$B$5:$B$204,$A10,'זה אני - קליטה'!$C$5:$C$204,"אמצע שנה"),""))</f>
        <v/>
      </c>
      <c r="M10" s="47">
        <f>IF($A10="","",COUNTIFS('רווחה - קליטה'!$B$5:$B$204,$A10,'רווחה - קליטה'!$C$5:$C$204,"אמצע שנה"))</f>
        <v/>
      </c>
      <c r="N10" s="45">
        <f>IF($A10="","",IFERROR(AVERAGEIFS('רווחה - קליטה'!$AR$5:$AR$204,'רווחה - קליטה'!$B$5:$B$204,$A10,'רווחה - קליטה'!$C$5:$C$204,"אמצע שנה"),""))</f>
        <v/>
      </c>
      <c r="O10" s="37">
        <f>IF($A10="","",IFERROR(COUNTIFS('רווחה - קליטה'!$B$5:$B$204,$A10,'רווחה - קליטה'!$C$5:$C$204,"אמצע שנה",'רווחה - קליטה'!$AT$5:$AT$204,"אמין")/COUNTIFS('רווחה - קליטה'!$B$5:$B$204,$A10,'רווחה - קליטה'!$C$5:$C$204,"אמצע שנה"),""))</f>
        <v/>
      </c>
      <c r="P10" s="47">
        <f>IF($A10="","",COUNTIFS('זה אני - קליטה'!$B$5:$B$204,$A10,'זה אני - קליטה'!$C$5:$C$204,"סוף שנה"))</f>
        <v/>
      </c>
      <c r="Q10" s="37">
        <f>IF($A10="","",IFERROR(AVERAGEIFS('זה אני - קליטה'!$AL$5:$AL$204,'זה אני - קליטה'!$B$5:$B$204,$A10,'זה אני - קליטה'!$C$5:$C$204,"סוף שנה"),""))</f>
        <v/>
      </c>
      <c r="R10" s="37">
        <f>IF($A10="","",IFERROR(AVERAGEIFS('זה אני - קליטה'!$AN$5:$AN$204,'זה אני - קליטה'!$B$5:$B$204,$A10,'זה אני - קליטה'!$C$5:$C$204,"סוף שנה"),""))</f>
        <v/>
      </c>
      <c r="S10" s="37">
        <f>IF($A10="","",IFERROR(COUNTIFS('זה אני - קליטה'!$B$5:$B$204,$A10,'זה אני - קליטה'!$C$5:$C$204,"סוף שנה",'זה אני - קליטה'!$AW$5:$AW$204,"אמין")/COUNTIFS('זה אני - קליטה'!$B$5:$B$204,$A10,'זה אני - קליטה'!$C$5:$C$204,"סוף שנה"),""))</f>
        <v/>
      </c>
      <c r="T10" s="47">
        <f>IF($A10="","",COUNTIFS('רווחה - קליטה'!$B$5:$B$204,$A10,'רווחה - קליטה'!$C$5:$C$204,"סוף שנה"))</f>
        <v/>
      </c>
      <c r="U10" s="45">
        <f>IF($A10="","",IFERROR(AVERAGEIFS('רווחה - קליטה'!$AR$5:$AR$204,'רווחה - קליטה'!$B$5:$B$204,$A10,'רווחה - קליטה'!$C$5:$C$204,"סוף שנה"),""))</f>
        <v/>
      </c>
      <c r="V10" s="37">
        <f>IF($A10="","",IFERROR(COUNTIFS('רווחה - קליטה'!$B$5:$B$204,$A10,'רווחה - קליטה'!$C$5:$C$204,"סוף שנה",'רווחה - קליטה'!$AT$5:$AT$204,"אמין")/COUNTIFS('רווחה - קליטה'!$B$5:$B$204,$A10,'רווחה - קליטה'!$C$5:$C$204,"סוף שנה"),""))</f>
        <v/>
      </c>
    </row>
    <row r="11">
      <c r="A11" s="38" t="n"/>
      <c r="B11" s="47">
        <f>IF($A11="","",COUNTIFS('זה אני - קליטה'!$B$5:$B$204,$A11,'זה אני - קליטה'!$C$5:$C$204,"תחילת שנה"))</f>
        <v/>
      </c>
      <c r="C11" s="37">
        <f>IF($A11="","",IFERROR(AVERAGEIFS('זה אני - קליטה'!$AL$5:$AL$204,'זה אני - קליטה'!$B$5:$B$204,$A11,'זה אני - קליטה'!$C$5:$C$204,"תחילת שנה"),""))</f>
        <v/>
      </c>
      <c r="D11" s="37">
        <f>IF($A11="","",IFERROR(AVERAGEIFS('זה אני - קליטה'!$AN$5:$AN$204,'זה אני - קליטה'!$B$5:$B$204,$A11,'זה אני - קליטה'!$C$5:$C$204,"תחילת שנה"),""))</f>
        <v/>
      </c>
      <c r="E11" s="37">
        <f>IF($A11="","",IFERROR(COUNTIFS('זה אני - קליטה'!$B$5:$B$204,$A11,'זה אני - קליטה'!$C$5:$C$204,"תחילת שנה",'זה אני - קליטה'!$AW$5:$AW$204,"אמין")/COUNTIFS('זה אני - קליטה'!$B$5:$B$204,$A11,'זה אני - קליטה'!$C$5:$C$204,"תחילת שנה"),""))</f>
        <v/>
      </c>
      <c r="F11" s="47">
        <f>IF($A11="","",COUNTIFS('רווחה - קליטה'!$B$5:$B$204,$A11,'רווחה - קליטה'!$C$5:$C$204,"תחילת שנה"))</f>
        <v/>
      </c>
      <c r="G11" s="45">
        <f>IF($A11="","",IFERROR(AVERAGEIFS('רווחה - קליטה'!$AR$5:$AR$204,'רווחה - קליטה'!$B$5:$B$204,$A11,'רווחה - קליטה'!$C$5:$C$204,"תחילת שנה"),""))</f>
        <v/>
      </c>
      <c r="H11" s="37">
        <f>IF($A11="","",IFERROR(COUNTIFS('רווחה - קליטה'!$B$5:$B$204,$A11,'רווחה - קליטה'!$C$5:$C$204,"תחילת שנה",'רווחה - קליטה'!$AT$5:$AT$204,"אמין")/COUNTIFS('רווחה - קליטה'!$B$5:$B$204,$A11,'רווחה - קליטה'!$C$5:$C$204,"תחילת שנה"),""))</f>
        <v/>
      </c>
      <c r="I11" s="47">
        <f>IF($A11="","",COUNTIFS('זה אני - קליטה'!$B$5:$B$204,$A11,'זה אני - קליטה'!$C$5:$C$204,"אמצע שנה"))</f>
        <v/>
      </c>
      <c r="J11" s="37">
        <f>IF($A11="","",IFERROR(AVERAGEIFS('זה אני - קליטה'!$AL$5:$AL$204,'זה אני - קליטה'!$B$5:$B$204,$A11,'זה אני - קליטה'!$C$5:$C$204,"אמצע שנה"),""))</f>
        <v/>
      </c>
      <c r="K11" s="37">
        <f>IF($A11="","",IFERROR(AVERAGEIFS('זה אני - קליטה'!$AN$5:$AN$204,'זה אני - קליטה'!$B$5:$B$204,$A11,'זה אני - קליטה'!$C$5:$C$204,"אמצע שנה"),""))</f>
        <v/>
      </c>
      <c r="L11" s="37">
        <f>IF($A11="","",IFERROR(COUNTIFS('זה אני - קליטה'!$B$5:$B$204,$A11,'זה אני - קליטה'!$C$5:$C$204,"אמצע שנה",'זה אני - קליטה'!$AW$5:$AW$204,"אמין")/COUNTIFS('זה אני - קליטה'!$B$5:$B$204,$A11,'זה אני - קליטה'!$C$5:$C$204,"אמצע שנה"),""))</f>
        <v/>
      </c>
      <c r="M11" s="47">
        <f>IF($A11="","",COUNTIFS('רווחה - קליטה'!$B$5:$B$204,$A11,'רווחה - קליטה'!$C$5:$C$204,"אמצע שנה"))</f>
        <v/>
      </c>
      <c r="N11" s="45">
        <f>IF($A11="","",IFERROR(AVERAGEIFS('רווחה - קליטה'!$AR$5:$AR$204,'רווחה - קליטה'!$B$5:$B$204,$A11,'רווחה - קליטה'!$C$5:$C$204,"אמצע שנה"),""))</f>
        <v/>
      </c>
      <c r="O11" s="37">
        <f>IF($A11="","",IFERROR(COUNTIFS('רווחה - קליטה'!$B$5:$B$204,$A11,'רווחה - קליטה'!$C$5:$C$204,"אמצע שנה",'רווחה - קליטה'!$AT$5:$AT$204,"אמין")/COUNTIFS('רווחה - קליטה'!$B$5:$B$204,$A11,'רווחה - קליטה'!$C$5:$C$204,"אמצע שנה"),""))</f>
        <v/>
      </c>
      <c r="P11" s="47">
        <f>IF($A11="","",COUNTIFS('זה אני - קליטה'!$B$5:$B$204,$A11,'זה אני - קליטה'!$C$5:$C$204,"סוף שנה"))</f>
        <v/>
      </c>
      <c r="Q11" s="37">
        <f>IF($A11="","",IFERROR(AVERAGEIFS('זה אני - קליטה'!$AL$5:$AL$204,'זה אני - קליטה'!$B$5:$B$204,$A11,'זה אני - קליטה'!$C$5:$C$204,"סוף שנה"),""))</f>
        <v/>
      </c>
      <c r="R11" s="37">
        <f>IF($A11="","",IFERROR(AVERAGEIFS('זה אני - קליטה'!$AN$5:$AN$204,'זה אני - קליטה'!$B$5:$B$204,$A11,'זה אני - קליטה'!$C$5:$C$204,"סוף שנה"),""))</f>
        <v/>
      </c>
      <c r="S11" s="37">
        <f>IF($A11="","",IFERROR(COUNTIFS('זה אני - קליטה'!$B$5:$B$204,$A11,'זה אני - קליטה'!$C$5:$C$204,"סוף שנה",'זה אני - קליטה'!$AW$5:$AW$204,"אמין")/COUNTIFS('זה אני - קליטה'!$B$5:$B$204,$A11,'זה אני - קליטה'!$C$5:$C$204,"סוף שנה"),""))</f>
        <v/>
      </c>
      <c r="T11" s="47">
        <f>IF($A11="","",COUNTIFS('רווחה - קליטה'!$B$5:$B$204,$A11,'רווחה - קליטה'!$C$5:$C$204,"סוף שנה"))</f>
        <v/>
      </c>
      <c r="U11" s="45">
        <f>IF($A11="","",IFERROR(AVERAGEIFS('רווחה - קליטה'!$AR$5:$AR$204,'רווחה - קליטה'!$B$5:$B$204,$A11,'רווחה - קליטה'!$C$5:$C$204,"סוף שנה"),""))</f>
        <v/>
      </c>
      <c r="V11" s="37">
        <f>IF($A11="","",IFERROR(COUNTIFS('רווחה - קליטה'!$B$5:$B$204,$A11,'רווחה - קליטה'!$C$5:$C$204,"סוף שנה",'רווחה - קליטה'!$AT$5:$AT$204,"אמין")/COUNTIFS('רווחה - קליטה'!$B$5:$B$204,$A11,'רווחה - קליטה'!$C$5:$C$204,"סוף שנה"),""))</f>
        <v/>
      </c>
    </row>
    <row r="12">
      <c r="A12" s="38" t="n"/>
      <c r="B12" s="47">
        <f>IF($A12="","",COUNTIFS('זה אני - קליטה'!$B$5:$B$204,$A12,'זה אני - קליטה'!$C$5:$C$204,"תחילת שנה"))</f>
        <v/>
      </c>
      <c r="C12" s="37">
        <f>IF($A12="","",IFERROR(AVERAGEIFS('זה אני - קליטה'!$AL$5:$AL$204,'זה אני - קליטה'!$B$5:$B$204,$A12,'זה אני - קליטה'!$C$5:$C$204,"תחילת שנה"),""))</f>
        <v/>
      </c>
      <c r="D12" s="37">
        <f>IF($A12="","",IFERROR(AVERAGEIFS('זה אני - קליטה'!$AN$5:$AN$204,'זה אני - קליטה'!$B$5:$B$204,$A12,'זה אני - קליטה'!$C$5:$C$204,"תחילת שנה"),""))</f>
        <v/>
      </c>
      <c r="E12" s="37">
        <f>IF($A12="","",IFERROR(COUNTIFS('זה אני - קליטה'!$B$5:$B$204,$A12,'זה אני - קליטה'!$C$5:$C$204,"תחילת שנה",'זה אני - קליטה'!$AW$5:$AW$204,"אמין")/COUNTIFS('זה אני - קליטה'!$B$5:$B$204,$A12,'זה אני - קליטה'!$C$5:$C$204,"תחילת שנה"),""))</f>
        <v/>
      </c>
      <c r="F12" s="47">
        <f>IF($A12="","",COUNTIFS('רווחה - קליטה'!$B$5:$B$204,$A12,'רווחה - קליטה'!$C$5:$C$204,"תחילת שנה"))</f>
        <v/>
      </c>
      <c r="G12" s="45">
        <f>IF($A12="","",IFERROR(AVERAGEIFS('רווחה - קליטה'!$AR$5:$AR$204,'רווחה - קליטה'!$B$5:$B$204,$A12,'רווחה - קליטה'!$C$5:$C$204,"תחילת שנה"),""))</f>
        <v/>
      </c>
      <c r="H12" s="37">
        <f>IF($A12="","",IFERROR(COUNTIFS('רווחה - קליטה'!$B$5:$B$204,$A12,'רווחה - קליטה'!$C$5:$C$204,"תחילת שנה",'רווחה - קליטה'!$AT$5:$AT$204,"אמין")/COUNTIFS('רווחה - קליטה'!$B$5:$B$204,$A12,'רווחה - קליטה'!$C$5:$C$204,"תחילת שנה"),""))</f>
        <v/>
      </c>
      <c r="I12" s="47">
        <f>IF($A12="","",COUNTIFS('זה אני - קליטה'!$B$5:$B$204,$A12,'זה אני - קליטה'!$C$5:$C$204,"אמצע שנה"))</f>
        <v/>
      </c>
      <c r="J12" s="37">
        <f>IF($A12="","",IFERROR(AVERAGEIFS('זה אני - קליטה'!$AL$5:$AL$204,'זה אני - קליטה'!$B$5:$B$204,$A12,'זה אני - קליטה'!$C$5:$C$204,"אמצע שנה"),""))</f>
        <v/>
      </c>
      <c r="K12" s="37">
        <f>IF($A12="","",IFERROR(AVERAGEIFS('זה אני - קליטה'!$AN$5:$AN$204,'זה אני - קליטה'!$B$5:$B$204,$A12,'זה אני - קליטה'!$C$5:$C$204,"אמצע שנה"),""))</f>
        <v/>
      </c>
      <c r="L12" s="37">
        <f>IF($A12="","",IFERROR(COUNTIFS('זה אני - קליטה'!$B$5:$B$204,$A12,'זה אני - קליטה'!$C$5:$C$204,"אמצע שנה",'זה אני - קליטה'!$AW$5:$AW$204,"אמין")/COUNTIFS('זה אני - קליטה'!$B$5:$B$204,$A12,'זה אני - קליטה'!$C$5:$C$204,"אמצע שנה"),""))</f>
        <v/>
      </c>
      <c r="M12" s="47">
        <f>IF($A12="","",COUNTIFS('רווחה - קליטה'!$B$5:$B$204,$A12,'רווחה - קליטה'!$C$5:$C$204,"אמצע שנה"))</f>
        <v/>
      </c>
      <c r="N12" s="45">
        <f>IF($A12="","",IFERROR(AVERAGEIFS('רווחה - קליטה'!$AR$5:$AR$204,'רווחה - קליטה'!$B$5:$B$204,$A12,'רווחה - קליטה'!$C$5:$C$204,"אמצע שנה"),""))</f>
        <v/>
      </c>
      <c r="O12" s="37">
        <f>IF($A12="","",IFERROR(COUNTIFS('רווחה - קליטה'!$B$5:$B$204,$A12,'רווחה - קליטה'!$C$5:$C$204,"אמצע שנה",'רווחה - קליטה'!$AT$5:$AT$204,"אמין")/COUNTIFS('רווחה - קליטה'!$B$5:$B$204,$A12,'רווחה - קליטה'!$C$5:$C$204,"אמצע שנה"),""))</f>
        <v/>
      </c>
      <c r="P12" s="47">
        <f>IF($A12="","",COUNTIFS('זה אני - קליטה'!$B$5:$B$204,$A12,'זה אני - קליטה'!$C$5:$C$204,"סוף שנה"))</f>
        <v/>
      </c>
      <c r="Q12" s="37">
        <f>IF($A12="","",IFERROR(AVERAGEIFS('זה אני - קליטה'!$AL$5:$AL$204,'זה אני - קליטה'!$B$5:$B$204,$A12,'זה אני - קליטה'!$C$5:$C$204,"סוף שנה"),""))</f>
        <v/>
      </c>
      <c r="R12" s="37">
        <f>IF($A12="","",IFERROR(AVERAGEIFS('זה אני - קליטה'!$AN$5:$AN$204,'זה אני - קליטה'!$B$5:$B$204,$A12,'זה אני - קליטה'!$C$5:$C$204,"סוף שנה"),""))</f>
        <v/>
      </c>
      <c r="S12" s="37">
        <f>IF($A12="","",IFERROR(COUNTIFS('זה אני - קליטה'!$B$5:$B$204,$A12,'זה אני - קליטה'!$C$5:$C$204,"סוף שנה",'זה אני - קליטה'!$AW$5:$AW$204,"אמין")/COUNTIFS('זה אני - קליטה'!$B$5:$B$204,$A12,'זה אני - קליטה'!$C$5:$C$204,"סוף שנה"),""))</f>
        <v/>
      </c>
      <c r="T12" s="47">
        <f>IF($A12="","",COUNTIFS('רווחה - קליטה'!$B$5:$B$204,$A12,'רווחה - קליטה'!$C$5:$C$204,"סוף שנה"))</f>
        <v/>
      </c>
      <c r="U12" s="45">
        <f>IF($A12="","",IFERROR(AVERAGEIFS('רווחה - קליטה'!$AR$5:$AR$204,'רווחה - קליטה'!$B$5:$B$204,$A12,'רווחה - קליטה'!$C$5:$C$204,"סוף שנה"),""))</f>
        <v/>
      </c>
      <c r="V12" s="37">
        <f>IF($A12="","",IFERROR(COUNTIFS('רווחה - קליטה'!$B$5:$B$204,$A12,'רווחה - קליטה'!$C$5:$C$204,"סוף שנה",'רווחה - קליטה'!$AT$5:$AT$204,"אמין")/COUNTIFS('רווחה - קליטה'!$B$5:$B$204,$A12,'רווחה - קליטה'!$C$5:$C$204,"סוף שנה"),""))</f>
        <v/>
      </c>
    </row>
    <row r="13">
      <c r="A13" s="38" t="n"/>
      <c r="B13" s="47">
        <f>IF($A13="","",COUNTIFS('זה אני - קליטה'!$B$5:$B$204,$A13,'זה אני - קליטה'!$C$5:$C$204,"תחילת שנה"))</f>
        <v/>
      </c>
      <c r="C13" s="37">
        <f>IF($A13="","",IFERROR(AVERAGEIFS('זה אני - קליטה'!$AL$5:$AL$204,'זה אני - קליטה'!$B$5:$B$204,$A13,'זה אני - קליטה'!$C$5:$C$204,"תחילת שנה"),""))</f>
        <v/>
      </c>
      <c r="D13" s="37">
        <f>IF($A13="","",IFERROR(AVERAGEIFS('זה אני - קליטה'!$AN$5:$AN$204,'זה אני - קליטה'!$B$5:$B$204,$A13,'זה אני - קליטה'!$C$5:$C$204,"תחילת שנה"),""))</f>
        <v/>
      </c>
      <c r="E13" s="37">
        <f>IF($A13="","",IFERROR(COUNTIFS('זה אני - קליטה'!$B$5:$B$204,$A13,'זה אני - קליטה'!$C$5:$C$204,"תחילת שנה",'זה אני - קליטה'!$AW$5:$AW$204,"אמין")/COUNTIFS('זה אני - קליטה'!$B$5:$B$204,$A13,'זה אני - קליטה'!$C$5:$C$204,"תחילת שנה"),""))</f>
        <v/>
      </c>
      <c r="F13" s="47">
        <f>IF($A13="","",COUNTIFS('רווחה - קליטה'!$B$5:$B$204,$A13,'רווחה - קליטה'!$C$5:$C$204,"תחילת שנה"))</f>
        <v/>
      </c>
      <c r="G13" s="45">
        <f>IF($A13="","",IFERROR(AVERAGEIFS('רווחה - קליטה'!$AR$5:$AR$204,'רווחה - קליטה'!$B$5:$B$204,$A13,'רווחה - קליטה'!$C$5:$C$204,"תחילת שנה"),""))</f>
        <v/>
      </c>
      <c r="H13" s="37">
        <f>IF($A13="","",IFERROR(COUNTIFS('רווחה - קליטה'!$B$5:$B$204,$A13,'רווחה - קליטה'!$C$5:$C$204,"תחילת שנה",'רווחה - קליטה'!$AT$5:$AT$204,"אמין")/COUNTIFS('רווחה - קליטה'!$B$5:$B$204,$A13,'רווחה - קליטה'!$C$5:$C$204,"תחילת שנה"),""))</f>
        <v/>
      </c>
      <c r="I13" s="47">
        <f>IF($A13="","",COUNTIFS('זה אני - קליטה'!$B$5:$B$204,$A13,'זה אני - קליטה'!$C$5:$C$204,"אמצע שנה"))</f>
        <v/>
      </c>
      <c r="J13" s="37">
        <f>IF($A13="","",IFERROR(AVERAGEIFS('זה אני - קליטה'!$AL$5:$AL$204,'זה אני - קליטה'!$B$5:$B$204,$A13,'זה אני - קליטה'!$C$5:$C$204,"אמצע שנה"),""))</f>
        <v/>
      </c>
      <c r="K13" s="37">
        <f>IF($A13="","",IFERROR(AVERAGEIFS('זה אני - קליטה'!$AN$5:$AN$204,'זה אני - קליטה'!$B$5:$B$204,$A13,'זה אני - קליטה'!$C$5:$C$204,"אמצע שנה"),""))</f>
        <v/>
      </c>
      <c r="L13" s="37">
        <f>IF($A13="","",IFERROR(COUNTIFS('זה אני - קליטה'!$B$5:$B$204,$A13,'זה אני - קליטה'!$C$5:$C$204,"אמצע שנה",'זה אני - קליטה'!$AW$5:$AW$204,"אמין")/COUNTIFS('זה אני - קליטה'!$B$5:$B$204,$A13,'זה אני - קליטה'!$C$5:$C$204,"אמצע שנה"),""))</f>
        <v/>
      </c>
      <c r="M13" s="47">
        <f>IF($A13="","",COUNTIFS('רווחה - קליטה'!$B$5:$B$204,$A13,'רווחה - קליטה'!$C$5:$C$204,"אמצע שנה"))</f>
        <v/>
      </c>
      <c r="N13" s="45">
        <f>IF($A13="","",IFERROR(AVERAGEIFS('רווחה - קליטה'!$AR$5:$AR$204,'רווחה - קליטה'!$B$5:$B$204,$A13,'רווחה - קליטה'!$C$5:$C$204,"אמצע שנה"),""))</f>
        <v/>
      </c>
      <c r="O13" s="37">
        <f>IF($A13="","",IFERROR(COUNTIFS('רווחה - קליטה'!$B$5:$B$204,$A13,'רווחה - קליטה'!$C$5:$C$204,"אמצע שנה",'רווחה - קליטה'!$AT$5:$AT$204,"אמין")/COUNTIFS('רווחה - קליטה'!$B$5:$B$204,$A13,'רווחה - קליטה'!$C$5:$C$204,"אמצע שנה"),""))</f>
        <v/>
      </c>
      <c r="P13" s="47">
        <f>IF($A13="","",COUNTIFS('זה אני - קליטה'!$B$5:$B$204,$A13,'זה אני - קליטה'!$C$5:$C$204,"סוף שנה"))</f>
        <v/>
      </c>
      <c r="Q13" s="37">
        <f>IF($A13="","",IFERROR(AVERAGEIFS('זה אני - קליטה'!$AL$5:$AL$204,'זה אני - קליטה'!$B$5:$B$204,$A13,'זה אני - קליטה'!$C$5:$C$204,"סוף שנה"),""))</f>
        <v/>
      </c>
      <c r="R13" s="37">
        <f>IF($A13="","",IFERROR(AVERAGEIFS('זה אני - קליטה'!$AN$5:$AN$204,'זה אני - קליטה'!$B$5:$B$204,$A13,'זה אני - קליטה'!$C$5:$C$204,"סוף שנה"),""))</f>
        <v/>
      </c>
      <c r="S13" s="37">
        <f>IF($A13="","",IFERROR(COUNTIFS('זה אני - קליטה'!$B$5:$B$204,$A13,'זה אני - קליטה'!$C$5:$C$204,"סוף שנה",'זה אני - קליטה'!$AW$5:$AW$204,"אמין")/COUNTIFS('זה אני - קליטה'!$B$5:$B$204,$A13,'זה אני - קליטה'!$C$5:$C$204,"סוף שנה"),""))</f>
        <v/>
      </c>
      <c r="T13" s="47">
        <f>IF($A13="","",COUNTIFS('רווחה - קליטה'!$B$5:$B$204,$A13,'רווחה - קליטה'!$C$5:$C$204,"סוף שנה"))</f>
        <v/>
      </c>
      <c r="U13" s="45">
        <f>IF($A13="","",IFERROR(AVERAGEIFS('רווחה - קליטה'!$AR$5:$AR$204,'רווחה - קליטה'!$B$5:$B$204,$A13,'רווחה - קליטה'!$C$5:$C$204,"סוף שנה"),""))</f>
        <v/>
      </c>
      <c r="V13" s="37">
        <f>IF($A13="","",IFERROR(COUNTIFS('רווחה - קליטה'!$B$5:$B$204,$A13,'רווחה - קליטה'!$C$5:$C$204,"סוף שנה",'רווחה - קליטה'!$AT$5:$AT$204,"אמין")/COUNTIFS('רווחה - קליטה'!$B$5:$B$204,$A13,'רווחה - קליטה'!$C$5:$C$204,"סוף שנה"),""))</f>
        <v/>
      </c>
    </row>
    <row r="14">
      <c r="A14" s="38" t="n"/>
      <c r="B14" s="47">
        <f>IF($A14="","",COUNTIFS('זה אני - קליטה'!$B$5:$B$204,$A14,'זה אני - קליטה'!$C$5:$C$204,"תחילת שנה"))</f>
        <v/>
      </c>
      <c r="C14" s="37">
        <f>IF($A14="","",IFERROR(AVERAGEIFS('זה אני - קליטה'!$AL$5:$AL$204,'זה אני - קליטה'!$B$5:$B$204,$A14,'זה אני - קליטה'!$C$5:$C$204,"תחילת שנה"),""))</f>
        <v/>
      </c>
      <c r="D14" s="37">
        <f>IF($A14="","",IFERROR(AVERAGEIFS('זה אני - קליטה'!$AN$5:$AN$204,'זה אני - קליטה'!$B$5:$B$204,$A14,'זה אני - קליטה'!$C$5:$C$204,"תחילת שנה"),""))</f>
        <v/>
      </c>
      <c r="E14" s="37">
        <f>IF($A14="","",IFERROR(COUNTIFS('זה אני - קליטה'!$B$5:$B$204,$A14,'זה אני - קליטה'!$C$5:$C$204,"תחילת שנה",'זה אני - קליטה'!$AW$5:$AW$204,"אמין")/COUNTIFS('זה אני - קליטה'!$B$5:$B$204,$A14,'זה אני - קליטה'!$C$5:$C$204,"תחילת שנה"),""))</f>
        <v/>
      </c>
      <c r="F14" s="47">
        <f>IF($A14="","",COUNTIFS('רווחה - קליטה'!$B$5:$B$204,$A14,'רווחה - קליטה'!$C$5:$C$204,"תחילת שנה"))</f>
        <v/>
      </c>
      <c r="G14" s="45">
        <f>IF($A14="","",IFERROR(AVERAGEIFS('רווחה - קליטה'!$AR$5:$AR$204,'רווחה - קליטה'!$B$5:$B$204,$A14,'רווחה - קליטה'!$C$5:$C$204,"תחילת שנה"),""))</f>
        <v/>
      </c>
      <c r="H14" s="37">
        <f>IF($A14="","",IFERROR(COUNTIFS('רווחה - קליטה'!$B$5:$B$204,$A14,'רווחה - קליטה'!$C$5:$C$204,"תחילת שנה",'רווחה - קליטה'!$AT$5:$AT$204,"אמין")/COUNTIFS('רווחה - קליטה'!$B$5:$B$204,$A14,'רווחה - קליטה'!$C$5:$C$204,"תחילת שנה"),""))</f>
        <v/>
      </c>
      <c r="I14" s="47">
        <f>IF($A14="","",COUNTIFS('זה אני - קליטה'!$B$5:$B$204,$A14,'זה אני - קליטה'!$C$5:$C$204,"אמצע שנה"))</f>
        <v/>
      </c>
      <c r="J14" s="37">
        <f>IF($A14="","",IFERROR(AVERAGEIFS('זה אני - קליטה'!$AL$5:$AL$204,'זה אני - קליטה'!$B$5:$B$204,$A14,'זה אני - קליטה'!$C$5:$C$204,"אמצע שנה"),""))</f>
        <v/>
      </c>
      <c r="K14" s="37">
        <f>IF($A14="","",IFERROR(AVERAGEIFS('זה אני - קליטה'!$AN$5:$AN$204,'זה אני - קליטה'!$B$5:$B$204,$A14,'זה אני - קליטה'!$C$5:$C$204,"אמצע שנה"),""))</f>
        <v/>
      </c>
      <c r="L14" s="37">
        <f>IF($A14="","",IFERROR(COUNTIFS('זה אני - קליטה'!$B$5:$B$204,$A14,'זה אני - קליטה'!$C$5:$C$204,"אמצע שנה",'זה אני - קליטה'!$AW$5:$AW$204,"אמין")/COUNTIFS('זה אני - קליטה'!$B$5:$B$204,$A14,'זה אני - קליטה'!$C$5:$C$204,"אמצע שנה"),""))</f>
        <v/>
      </c>
      <c r="M14" s="47">
        <f>IF($A14="","",COUNTIFS('רווחה - קליטה'!$B$5:$B$204,$A14,'רווחה - קליטה'!$C$5:$C$204,"אמצע שנה"))</f>
        <v/>
      </c>
      <c r="N14" s="45">
        <f>IF($A14="","",IFERROR(AVERAGEIFS('רווחה - קליטה'!$AR$5:$AR$204,'רווחה - קליטה'!$B$5:$B$204,$A14,'רווחה - קליטה'!$C$5:$C$204,"אמצע שנה"),""))</f>
        <v/>
      </c>
      <c r="O14" s="37">
        <f>IF($A14="","",IFERROR(COUNTIFS('רווחה - קליטה'!$B$5:$B$204,$A14,'רווחה - קליטה'!$C$5:$C$204,"אמצע שנה",'רווחה - קליטה'!$AT$5:$AT$204,"אמין")/COUNTIFS('רווחה - קליטה'!$B$5:$B$204,$A14,'רווחה - קליטה'!$C$5:$C$204,"אמצע שנה"),""))</f>
        <v/>
      </c>
      <c r="P14" s="47">
        <f>IF($A14="","",COUNTIFS('זה אני - קליטה'!$B$5:$B$204,$A14,'זה אני - קליטה'!$C$5:$C$204,"סוף שנה"))</f>
        <v/>
      </c>
      <c r="Q14" s="37">
        <f>IF($A14="","",IFERROR(AVERAGEIFS('זה אני - קליטה'!$AL$5:$AL$204,'זה אני - קליטה'!$B$5:$B$204,$A14,'זה אני - קליטה'!$C$5:$C$204,"סוף שנה"),""))</f>
        <v/>
      </c>
      <c r="R14" s="37">
        <f>IF($A14="","",IFERROR(AVERAGEIFS('זה אני - קליטה'!$AN$5:$AN$204,'זה אני - קליטה'!$B$5:$B$204,$A14,'זה אני - קליטה'!$C$5:$C$204,"סוף שנה"),""))</f>
        <v/>
      </c>
      <c r="S14" s="37">
        <f>IF($A14="","",IFERROR(COUNTIFS('זה אני - קליטה'!$B$5:$B$204,$A14,'זה אני - קליטה'!$C$5:$C$204,"סוף שנה",'זה אני - קליטה'!$AW$5:$AW$204,"אמין")/COUNTIFS('זה אני - קליטה'!$B$5:$B$204,$A14,'זה אני - קליטה'!$C$5:$C$204,"סוף שנה"),""))</f>
        <v/>
      </c>
      <c r="T14" s="47">
        <f>IF($A14="","",COUNTIFS('רווחה - קליטה'!$B$5:$B$204,$A14,'רווחה - קליטה'!$C$5:$C$204,"סוף שנה"))</f>
        <v/>
      </c>
      <c r="U14" s="45">
        <f>IF($A14="","",IFERROR(AVERAGEIFS('רווחה - קליטה'!$AR$5:$AR$204,'רווחה - קליטה'!$B$5:$B$204,$A14,'רווחה - קליטה'!$C$5:$C$204,"סוף שנה"),""))</f>
        <v/>
      </c>
      <c r="V14" s="37">
        <f>IF($A14="","",IFERROR(COUNTIFS('רווחה - קליטה'!$B$5:$B$204,$A14,'רווחה - קליטה'!$C$5:$C$204,"סוף שנה",'רווחה - קליטה'!$AT$5:$AT$204,"אמין")/COUNTIFS('רווחה - קליטה'!$B$5:$B$204,$A14,'רווחה - קליטה'!$C$5:$C$204,"סוף שנה"),""))</f>
        <v/>
      </c>
    </row>
    <row r="15">
      <c r="A15" s="38" t="n"/>
      <c r="B15" s="47">
        <f>IF($A15="","",COUNTIFS('זה אני - קליטה'!$B$5:$B$204,$A15,'זה אני - קליטה'!$C$5:$C$204,"תחילת שנה"))</f>
        <v/>
      </c>
      <c r="C15" s="37">
        <f>IF($A15="","",IFERROR(AVERAGEIFS('זה אני - קליטה'!$AL$5:$AL$204,'זה אני - קליטה'!$B$5:$B$204,$A15,'זה אני - קליטה'!$C$5:$C$204,"תחילת שנה"),""))</f>
        <v/>
      </c>
      <c r="D15" s="37">
        <f>IF($A15="","",IFERROR(AVERAGEIFS('זה אני - קליטה'!$AN$5:$AN$204,'זה אני - קליטה'!$B$5:$B$204,$A15,'זה אני - קליטה'!$C$5:$C$204,"תחילת שנה"),""))</f>
        <v/>
      </c>
      <c r="E15" s="37">
        <f>IF($A15="","",IFERROR(COUNTIFS('זה אני - קליטה'!$B$5:$B$204,$A15,'זה אני - קליטה'!$C$5:$C$204,"תחילת שנה",'זה אני - קליטה'!$AW$5:$AW$204,"אמין")/COUNTIFS('זה אני - קליטה'!$B$5:$B$204,$A15,'זה אני - קליטה'!$C$5:$C$204,"תחילת שנה"),""))</f>
        <v/>
      </c>
      <c r="F15" s="47">
        <f>IF($A15="","",COUNTIFS('רווחה - קליטה'!$B$5:$B$204,$A15,'רווחה - קליטה'!$C$5:$C$204,"תחילת שנה"))</f>
        <v/>
      </c>
      <c r="G15" s="45">
        <f>IF($A15="","",IFERROR(AVERAGEIFS('רווחה - קליטה'!$AR$5:$AR$204,'רווחה - קליטה'!$B$5:$B$204,$A15,'רווחה - קליטה'!$C$5:$C$204,"תחילת שנה"),""))</f>
        <v/>
      </c>
      <c r="H15" s="37">
        <f>IF($A15="","",IFERROR(COUNTIFS('רווחה - קליטה'!$B$5:$B$204,$A15,'רווחה - קליטה'!$C$5:$C$204,"תחילת שנה",'רווחה - קליטה'!$AT$5:$AT$204,"אמין")/COUNTIFS('רווחה - קליטה'!$B$5:$B$204,$A15,'רווחה - קליטה'!$C$5:$C$204,"תחילת שנה"),""))</f>
        <v/>
      </c>
      <c r="I15" s="47">
        <f>IF($A15="","",COUNTIFS('זה אני - קליטה'!$B$5:$B$204,$A15,'זה אני - קליטה'!$C$5:$C$204,"אמצע שנה"))</f>
        <v/>
      </c>
      <c r="J15" s="37">
        <f>IF($A15="","",IFERROR(AVERAGEIFS('זה אני - קליטה'!$AL$5:$AL$204,'זה אני - קליטה'!$B$5:$B$204,$A15,'זה אני - קליטה'!$C$5:$C$204,"אמצע שנה"),""))</f>
        <v/>
      </c>
      <c r="K15" s="37">
        <f>IF($A15="","",IFERROR(AVERAGEIFS('זה אני - קליטה'!$AN$5:$AN$204,'זה אני - קליטה'!$B$5:$B$204,$A15,'זה אני - קליטה'!$C$5:$C$204,"אמצע שנה"),""))</f>
        <v/>
      </c>
      <c r="L15" s="37">
        <f>IF($A15="","",IFERROR(COUNTIFS('זה אני - קליטה'!$B$5:$B$204,$A15,'זה אני - קליטה'!$C$5:$C$204,"אמצע שנה",'זה אני - קליטה'!$AW$5:$AW$204,"אמין")/COUNTIFS('זה אני - קליטה'!$B$5:$B$204,$A15,'זה אני - קליטה'!$C$5:$C$204,"אמצע שנה"),""))</f>
        <v/>
      </c>
      <c r="M15" s="47">
        <f>IF($A15="","",COUNTIFS('רווחה - קליטה'!$B$5:$B$204,$A15,'רווחה - קליטה'!$C$5:$C$204,"אמצע שנה"))</f>
        <v/>
      </c>
      <c r="N15" s="45">
        <f>IF($A15="","",IFERROR(AVERAGEIFS('רווחה - קליטה'!$AR$5:$AR$204,'רווחה - קליטה'!$B$5:$B$204,$A15,'רווחה - קליטה'!$C$5:$C$204,"אמצע שנה"),""))</f>
        <v/>
      </c>
      <c r="O15" s="37">
        <f>IF($A15="","",IFERROR(COUNTIFS('רווחה - קליטה'!$B$5:$B$204,$A15,'רווחה - קליטה'!$C$5:$C$204,"אמצע שנה",'רווחה - קליטה'!$AT$5:$AT$204,"אמין")/COUNTIFS('רווחה - קליטה'!$B$5:$B$204,$A15,'רווחה - קליטה'!$C$5:$C$204,"אמצע שנה"),""))</f>
        <v/>
      </c>
      <c r="P15" s="47">
        <f>IF($A15="","",COUNTIFS('זה אני - קליטה'!$B$5:$B$204,$A15,'זה אני - קליטה'!$C$5:$C$204,"סוף שנה"))</f>
        <v/>
      </c>
      <c r="Q15" s="37">
        <f>IF($A15="","",IFERROR(AVERAGEIFS('זה אני - קליטה'!$AL$5:$AL$204,'זה אני - קליטה'!$B$5:$B$204,$A15,'זה אני - קליטה'!$C$5:$C$204,"סוף שנה"),""))</f>
        <v/>
      </c>
      <c r="R15" s="37">
        <f>IF($A15="","",IFERROR(AVERAGEIFS('זה אני - קליטה'!$AN$5:$AN$204,'זה אני - קליטה'!$B$5:$B$204,$A15,'זה אני - קליטה'!$C$5:$C$204,"סוף שנה"),""))</f>
        <v/>
      </c>
      <c r="S15" s="37">
        <f>IF($A15="","",IFERROR(COUNTIFS('זה אני - קליטה'!$B$5:$B$204,$A15,'זה אני - קליטה'!$C$5:$C$204,"סוף שנה",'זה אני - קליטה'!$AW$5:$AW$204,"אמין")/COUNTIFS('זה אני - קליטה'!$B$5:$B$204,$A15,'זה אני - קליטה'!$C$5:$C$204,"סוף שנה"),""))</f>
        <v/>
      </c>
      <c r="T15" s="47">
        <f>IF($A15="","",COUNTIFS('רווחה - קליטה'!$B$5:$B$204,$A15,'רווחה - קליטה'!$C$5:$C$204,"סוף שנה"))</f>
        <v/>
      </c>
      <c r="U15" s="45">
        <f>IF($A15="","",IFERROR(AVERAGEIFS('רווחה - קליטה'!$AR$5:$AR$204,'רווחה - קליטה'!$B$5:$B$204,$A15,'רווחה - קליטה'!$C$5:$C$204,"סוף שנה"),""))</f>
        <v/>
      </c>
      <c r="V15" s="37">
        <f>IF($A15="","",IFERROR(COUNTIFS('רווחה - קליטה'!$B$5:$B$204,$A15,'רווחה - קליטה'!$C$5:$C$204,"סוף שנה",'רווחה - קליטה'!$AT$5:$AT$204,"אמין")/COUNTIFS('רווחה - קליטה'!$B$5:$B$204,$A15,'רווחה - קליטה'!$C$5:$C$204,"סוף שנה"),""))</f>
        <v/>
      </c>
    </row>
    <row r="16">
      <c r="A16" s="38" t="n"/>
      <c r="B16" s="47">
        <f>IF($A16="","",COUNTIFS('זה אני - קליטה'!$B$5:$B$204,$A16,'זה אני - קליטה'!$C$5:$C$204,"תחילת שנה"))</f>
        <v/>
      </c>
      <c r="C16" s="37">
        <f>IF($A16="","",IFERROR(AVERAGEIFS('זה אני - קליטה'!$AL$5:$AL$204,'זה אני - קליטה'!$B$5:$B$204,$A16,'זה אני - קליטה'!$C$5:$C$204,"תחילת שנה"),""))</f>
        <v/>
      </c>
      <c r="D16" s="37">
        <f>IF($A16="","",IFERROR(AVERAGEIFS('זה אני - קליטה'!$AN$5:$AN$204,'זה אני - קליטה'!$B$5:$B$204,$A16,'זה אני - קליטה'!$C$5:$C$204,"תחילת שנה"),""))</f>
        <v/>
      </c>
      <c r="E16" s="37">
        <f>IF($A16="","",IFERROR(COUNTIFS('זה אני - קליטה'!$B$5:$B$204,$A16,'זה אני - קליטה'!$C$5:$C$204,"תחילת שנה",'זה אני - קליטה'!$AW$5:$AW$204,"אמין")/COUNTIFS('זה אני - קליטה'!$B$5:$B$204,$A16,'זה אני - קליטה'!$C$5:$C$204,"תחילת שנה"),""))</f>
        <v/>
      </c>
      <c r="F16" s="47">
        <f>IF($A16="","",COUNTIFS('רווחה - קליטה'!$B$5:$B$204,$A16,'רווחה - קליטה'!$C$5:$C$204,"תחילת שנה"))</f>
        <v/>
      </c>
      <c r="G16" s="45">
        <f>IF($A16="","",IFERROR(AVERAGEIFS('רווחה - קליטה'!$AR$5:$AR$204,'רווחה - קליטה'!$B$5:$B$204,$A16,'רווחה - קליטה'!$C$5:$C$204,"תחילת שנה"),""))</f>
        <v/>
      </c>
      <c r="H16" s="37">
        <f>IF($A16="","",IFERROR(COUNTIFS('רווחה - קליטה'!$B$5:$B$204,$A16,'רווחה - קליטה'!$C$5:$C$204,"תחילת שנה",'רווחה - קליטה'!$AT$5:$AT$204,"אמין")/COUNTIFS('רווחה - קליטה'!$B$5:$B$204,$A16,'רווחה - קליטה'!$C$5:$C$204,"תחילת שנה"),""))</f>
        <v/>
      </c>
      <c r="I16" s="47">
        <f>IF($A16="","",COUNTIFS('זה אני - קליטה'!$B$5:$B$204,$A16,'זה אני - קליטה'!$C$5:$C$204,"אמצע שנה"))</f>
        <v/>
      </c>
      <c r="J16" s="37">
        <f>IF($A16="","",IFERROR(AVERAGEIFS('זה אני - קליטה'!$AL$5:$AL$204,'זה אני - קליטה'!$B$5:$B$204,$A16,'זה אני - קליטה'!$C$5:$C$204,"אמצע שנה"),""))</f>
        <v/>
      </c>
      <c r="K16" s="37">
        <f>IF($A16="","",IFERROR(AVERAGEIFS('זה אני - קליטה'!$AN$5:$AN$204,'זה אני - קליטה'!$B$5:$B$204,$A16,'זה אני - קליטה'!$C$5:$C$204,"אמצע שנה"),""))</f>
        <v/>
      </c>
      <c r="L16" s="37">
        <f>IF($A16="","",IFERROR(COUNTIFS('זה אני - קליטה'!$B$5:$B$204,$A16,'זה אני - קליטה'!$C$5:$C$204,"אמצע שנה",'זה אני - קליטה'!$AW$5:$AW$204,"אמין")/COUNTIFS('זה אני - קליטה'!$B$5:$B$204,$A16,'זה אני - קליטה'!$C$5:$C$204,"אמצע שנה"),""))</f>
        <v/>
      </c>
      <c r="M16" s="47">
        <f>IF($A16="","",COUNTIFS('רווחה - קליטה'!$B$5:$B$204,$A16,'רווחה - קליטה'!$C$5:$C$204,"אמצע שנה"))</f>
        <v/>
      </c>
      <c r="N16" s="45">
        <f>IF($A16="","",IFERROR(AVERAGEIFS('רווחה - קליטה'!$AR$5:$AR$204,'רווחה - קליטה'!$B$5:$B$204,$A16,'רווחה - קליטה'!$C$5:$C$204,"אמצע שנה"),""))</f>
        <v/>
      </c>
      <c r="O16" s="37">
        <f>IF($A16="","",IFERROR(COUNTIFS('רווחה - קליטה'!$B$5:$B$204,$A16,'רווחה - קליטה'!$C$5:$C$204,"אמצע שנה",'רווחה - קליטה'!$AT$5:$AT$204,"אמין")/COUNTIFS('רווחה - קליטה'!$B$5:$B$204,$A16,'רווחה - קליטה'!$C$5:$C$204,"אמצע שנה"),""))</f>
        <v/>
      </c>
      <c r="P16" s="47">
        <f>IF($A16="","",COUNTIFS('זה אני - קליטה'!$B$5:$B$204,$A16,'זה אני - קליטה'!$C$5:$C$204,"סוף שנה"))</f>
        <v/>
      </c>
      <c r="Q16" s="37">
        <f>IF($A16="","",IFERROR(AVERAGEIFS('זה אני - קליטה'!$AL$5:$AL$204,'זה אני - קליטה'!$B$5:$B$204,$A16,'זה אני - קליטה'!$C$5:$C$204,"סוף שנה"),""))</f>
        <v/>
      </c>
      <c r="R16" s="37">
        <f>IF($A16="","",IFERROR(AVERAGEIFS('זה אני - קליטה'!$AN$5:$AN$204,'זה אני - קליטה'!$B$5:$B$204,$A16,'זה אני - קליטה'!$C$5:$C$204,"סוף שנה"),""))</f>
        <v/>
      </c>
      <c r="S16" s="37">
        <f>IF($A16="","",IFERROR(COUNTIFS('זה אני - קליטה'!$B$5:$B$204,$A16,'זה אני - קליטה'!$C$5:$C$204,"סוף שנה",'זה אני - קליטה'!$AW$5:$AW$204,"אמין")/COUNTIFS('זה אני - קליטה'!$B$5:$B$204,$A16,'זה אני - קליטה'!$C$5:$C$204,"סוף שנה"),""))</f>
        <v/>
      </c>
      <c r="T16" s="47">
        <f>IF($A16="","",COUNTIFS('רווחה - קליטה'!$B$5:$B$204,$A16,'רווחה - קליטה'!$C$5:$C$204,"סוף שנה"))</f>
        <v/>
      </c>
      <c r="U16" s="45">
        <f>IF($A16="","",IFERROR(AVERAGEIFS('רווחה - קליטה'!$AR$5:$AR$204,'רווחה - קליטה'!$B$5:$B$204,$A16,'רווחה - קליטה'!$C$5:$C$204,"סוף שנה"),""))</f>
        <v/>
      </c>
      <c r="V16" s="37">
        <f>IF($A16="","",IFERROR(COUNTIFS('רווחה - קליטה'!$B$5:$B$204,$A16,'רווחה - קליטה'!$C$5:$C$204,"סוף שנה",'רווחה - קליטה'!$AT$5:$AT$204,"אמין")/COUNTIFS('רווחה - קליטה'!$B$5:$B$204,$A16,'רווחה - קליטה'!$C$5:$C$204,"סוף שנה"),""))</f>
        <v/>
      </c>
    </row>
    <row r="17">
      <c r="A17" s="38" t="n"/>
      <c r="B17" s="47">
        <f>IF($A17="","",COUNTIFS('זה אני - קליטה'!$B$5:$B$204,$A17,'זה אני - קליטה'!$C$5:$C$204,"תחילת שנה"))</f>
        <v/>
      </c>
      <c r="C17" s="37">
        <f>IF($A17="","",IFERROR(AVERAGEIFS('זה אני - קליטה'!$AL$5:$AL$204,'זה אני - קליטה'!$B$5:$B$204,$A17,'זה אני - קליטה'!$C$5:$C$204,"תחילת שנה"),""))</f>
        <v/>
      </c>
      <c r="D17" s="37">
        <f>IF($A17="","",IFERROR(AVERAGEIFS('זה אני - קליטה'!$AN$5:$AN$204,'זה אני - קליטה'!$B$5:$B$204,$A17,'זה אני - קליטה'!$C$5:$C$204,"תחילת שנה"),""))</f>
        <v/>
      </c>
      <c r="E17" s="37">
        <f>IF($A17="","",IFERROR(COUNTIFS('זה אני - קליטה'!$B$5:$B$204,$A17,'זה אני - קליטה'!$C$5:$C$204,"תחילת שנה",'זה אני - קליטה'!$AW$5:$AW$204,"אמין")/COUNTIFS('זה אני - קליטה'!$B$5:$B$204,$A17,'זה אני - קליטה'!$C$5:$C$204,"תחילת שנה"),""))</f>
        <v/>
      </c>
      <c r="F17" s="47">
        <f>IF($A17="","",COUNTIFS('רווחה - קליטה'!$B$5:$B$204,$A17,'רווחה - קליטה'!$C$5:$C$204,"תחילת שנה"))</f>
        <v/>
      </c>
      <c r="G17" s="45">
        <f>IF($A17="","",IFERROR(AVERAGEIFS('רווחה - קליטה'!$AR$5:$AR$204,'רווחה - קליטה'!$B$5:$B$204,$A17,'רווחה - קליטה'!$C$5:$C$204,"תחילת שנה"),""))</f>
        <v/>
      </c>
      <c r="H17" s="37">
        <f>IF($A17="","",IFERROR(COUNTIFS('רווחה - קליטה'!$B$5:$B$204,$A17,'רווחה - קליטה'!$C$5:$C$204,"תחילת שנה",'רווחה - קליטה'!$AT$5:$AT$204,"אמין")/COUNTIFS('רווחה - קליטה'!$B$5:$B$204,$A17,'רווחה - קליטה'!$C$5:$C$204,"תחילת שנה"),""))</f>
        <v/>
      </c>
      <c r="I17" s="47">
        <f>IF($A17="","",COUNTIFS('זה אני - קליטה'!$B$5:$B$204,$A17,'זה אני - קליטה'!$C$5:$C$204,"אמצע שנה"))</f>
        <v/>
      </c>
      <c r="J17" s="37">
        <f>IF($A17="","",IFERROR(AVERAGEIFS('זה אני - קליטה'!$AL$5:$AL$204,'זה אני - קליטה'!$B$5:$B$204,$A17,'זה אני - קליטה'!$C$5:$C$204,"אמצע שנה"),""))</f>
        <v/>
      </c>
      <c r="K17" s="37">
        <f>IF($A17="","",IFERROR(AVERAGEIFS('זה אני - קליטה'!$AN$5:$AN$204,'זה אני - קליטה'!$B$5:$B$204,$A17,'זה אני - קליטה'!$C$5:$C$204,"אמצע שנה"),""))</f>
        <v/>
      </c>
      <c r="L17" s="37">
        <f>IF($A17="","",IFERROR(COUNTIFS('זה אני - קליטה'!$B$5:$B$204,$A17,'זה אני - קליטה'!$C$5:$C$204,"אמצע שנה",'זה אני - קליטה'!$AW$5:$AW$204,"אמין")/COUNTIFS('זה אני - קליטה'!$B$5:$B$204,$A17,'זה אני - קליטה'!$C$5:$C$204,"אמצע שנה"),""))</f>
        <v/>
      </c>
      <c r="M17" s="47">
        <f>IF($A17="","",COUNTIFS('רווחה - קליטה'!$B$5:$B$204,$A17,'רווחה - קליטה'!$C$5:$C$204,"אמצע שנה"))</f>
        <v/>
      </c>
      <c r="N17" s="45">
        <f>IF($A17="","",IFERROR(AVERAGEIFS('רווחה - קליטה'!$AR$5:$AR$204,'רווחה - קליטה'!$B$5:$B$204,$A17,'רווחה - קליטה'!$C$5:$C$204,"אמצע שנה"),""))</f>
        <v/>
      </c>
      <c r="O17" s="37">
        <f>IF($A17="","",IFERROR(COUNTIFS('רווחה - קליטה'!$B$5:$B$204,$A17,'רווחה - קליטה'!$C$5:$C$204,"אמצע שנה",'רווחה - קליטה'!$AT$5:$AT$204,"אמין")/COUNTIFS('רווחה - קליטה'!$B$5:$B$204,$A17,'רווחה - קליטה'!$C$5:$C$204,"אמצע שנה"),""))</f>
        <v/>
      </c>
      <c r="P17" s="47">
        <f>IF($A17="","",COUNTIFS('זה אני - קליטה'!$B$5:$B$204,$A17,'זה אני - קליטה'!$C$5:$C$204,"סוף שנה"))</f>
        <v/>
      </c>
      <c r="Q17" s="37">
        <f>IF($A17="","",IFERROR(AVERAGEIFS('זה אני - קליטה'!$AL$5:$AL$204,'זה אני - קליטה'!$B$5:$B$204,$A17,'זה אני - קליטה'!$C$5:$C$204,"סוף שנה"),""))</f>
        <v/>
      </c>
      <c r="R17" s="37">
        <f>IF($A17="","",IFERROR(AVERAGEIFS('זה אני - קליטה'!$AN$5:$AN$204,'זה אני - קליטה'!$B$5:$B$204,$A17,'זה אני - קליטה'!$C$5:$C$204,"סוף שנה"),""))</f>
        <v/>
      </c>
      <c r="S17" s="37">
        <f>IF($A17="","",IFERROR(COUNTIFS('זה אני - קליטה'!$B$5:$B$204,$A17,'זה אני - קליטה'!$C$5:$C$204,"סוף שנה",'זה אני - קליטה'!$AW$5:$AW$204,"אמין")/COUNTIFS('זה אני - קליטה'!$B$5:$B$204,$A17,'זה אני - קליטה'!$C$5:$C$204,"סוף שנה"),""))</f>
        <v/>
      </c>
      <c r="T17" s="47">
        <f>IF($A17="","",COUNTIFS('רווחה - קליטה'!$B$5:$B$204,$A17,'רווחה - קליטה'!$C$5:$C$204,"סוף שנה"))</f>
        <v/>
      </c>
      <c r="U17" s="45">
        <f>IF($A17="","",IFERROR(AVERAGEIFS('רווחה - קליטה'!$AR$5:$AR$204,'רווחה - קליטה'!$B$5:$B$204,$A17,'רווחה - קליטה'!$C$5:$C$204,"סוף שנה"),""))</f>
        <v/>
      </c>
      <c r="V17" s="37">
        <f>IF($A17="","",IFERROR(COUNTIFS('רווחה - קליטה'!$B$5:$B$204,$A17,'רווחה - קליטה'!$C$5:$C$204,"סוף שנה",'רווחה - קליטה'!$AT$5:$AT$204,"אמין")/COUNTIFS('רווחה - קליטה'!$B$5:$B$204,$A17,'רווחה - קליטה'!$C$5:$C$204,"סוף שנה"),""))</f>
        <v/>
      </c>
    </row>
    <row r="18">
      <c r="A18" s="38" t="n"/>
      <c r="B18" s="47">
        <f>IF($A18="","",COUNTIFS('זה אני - קליטה'!$B$5:$B$204,$A18,'זה אני - קליטה'!$C$5:$C$204,"תחילת שנה"))</f>
        <v/>
      </c>
      <c r="C18" s="37">
        <f>IF($A18="","",IFERROR(AVERAGEIFS('זה אני - קליטה'!$AL$5:$AL$204,'זה אני - קליטה'!$B$5:$B$204,$A18,'זה אני - קליטה'!$C$5:$C$204,"תחילת שנה"),""))</f>
        <v/>
      </c>
      <c r="D18" s="37">
        <f>IF($A18="","",IFERROR(AVERAGEIFS('זה אני - קליטה'!$AN$5:$AN$204,'זה אני - קליטה'!$B$5:$B$204,$A18,'זה אני - קליטה'!$C$5:$C$204,"תחילת שנה"),""))</f>
        <v/>
      </c>
      <c r="E18" s="37">
        <f>IF($A18="","",IFERROR(COUNTIFS('זה אני - קליטה'!$B$5:$B$204,$A18,'זה אני - קליטה'!$C$5:$C$204,"תחילת שנה",'זה אני - קליטה'!$AW$5:$AW$204,"אמין")/COUNTIFS('זה אני - קליטה'!$B$5:$B$204,$A18,'זה אני - קליטה'!$C$5:$C$204,"תחילת שנה"),""))</f>
        <v/>
      </c>
      <c r="F18" s="47">
        <f>IF($A18="","",COUNTIFS('רווחה - קליטה'!$B$5:$B$204,$A18,'רווחה - קליטה'!$C$5:$C$204,"תחילת שנה"))</f>
        <v/>
      </c>
      <c r="G18" s="45">
        <f>IF($A18="","",IFERROR(AVERAGEIFS('רווחה - קליטה'!$AR$5:$AR$204,'רווחה - קליטה'!$B$5:$B$204,$A18,'רווחה - קליטה'!$C$5:$C$204,"תחילת שנה"),""))</f>
        <v/>
      </c>
      <c r="H18" s="37">
        <f>IF($A18="","",IFERROR(COUNTIFS('רווחה - קליטה'!$B$5:$B$204,$A18,'רווחה - קליטה'!$C$5:$C$204,"תחילת שנה",'רווחה - קליטה'!$AT$5:$AT$204,"אמין")/COUNTIFS('רווחה - קליטה'!$B$5:$B$204,$A18,'רווחה - קליטה'!$C$5:$C$204,"תחילת שנה"),""))</f>
        <v/>
      </c>
      <c r="I18" s="47">
        <f>IF($A18="","",COUNTIFS('זה אני - קליטה'!$B$5:$B$204,$A18,'זה אני - קליטה'!$C$5:$C$204,"אמצע שנה"))</f>
        <v/>
      </c>
      <c r="J18" s="37">
        <f>IF($A18="","",IFERROR(AVERAGEIFS('זה אני - קליטה'!$AL$5:$AL$204,'זה אני - קליטה'!$B$5:$B$204,$A18,'זה אני - קליטה'!$C$5:$C$204,"אמצע שנה"),""))</f>
        <v/>
      </c>
      <c r="K18" s="37">
        <f>IF($A18="","",IFERROR(AVERAGEIFS('זה אני - קליטה'!$AN$5:$AN$204,'זה אני - קליטה'!$B$5:$B$204,$A18,'זה אני - קליטה'!$C$5:$C$204,"אמצע שנה"),""))</f>
        <v/>
      </c>
      <c r="L18" s="37">
        <f>IF($A18="","",IFERROR(COUNTIFS('זה אני - קליטה'!$B$5:$B$204,$A18,'זה אני - קליטה'!$C$5:$C$204,"אמצע שנה",'זה אני - קליטה'!$AW$5:$AW$204,"אמין")/COUNTIFS('זה אני - קליטה'!$B$5:$B$204,$A18,'זה אני - קליטה'!$C$5:$C$204,"אמצע שנה"),""))</f>
        <v/>
      </c>
      <c r="M18" s="47">
        <f>IF($A18="","",COUNTIFS('רווחה - קליטה'!$B$5:$B$204,$A18,'רווחה - קליטה'!$C$5:$C$204,"אמצע שנה"))</f>
        <v/>
      </c>
      <c r="N18" s="45">
        <f>IF($A18="","",IFERROR(AVERAGEIFS('רווחה - קליטה'!$AR$5:$AR$204,'רווחה - קליטה'!$B$5:$B$204,$A18,'רווחה - קליטה'!$C$5:$C$204,"אמצע שנה"),""))</f>
        <v/>
      </c>
      <c r="O18" s="37">
        <f>IF($A18="","",IFERROR(COUNTIFS('רווחה - קליטה'!$B$5:$B$204,$A18,'רווחה - קליטה'!$C$5:$C$204,"אמצע שנה",'רווחה - קליטה'!$AT$5:$AT$204,"אמין")/COUNTIFS('רווחה - קליטה'!$B$5:$B$204,$A18,'רווחה - קליטה'!$C$5:$C$204,"אמצע שנה"),""))</f>
        <v/>
      </c>
      <c r="P18" s="47">
        <f>IF($A18="","",COUNTIFS('זה אני - קליטה'!$B$5:$B$204,$A18,'זה אני - קליטה'!$C$5:$C$204,"סוף שנה"))</f>
        <v/>
      </c>
      <c r="Q18" s="37">
        <f>IF($A18="","",IFERROR(AVERAGEIFS('זה אני - קליטה'!$AL$5:$AL$204,'זה אני - קליטה'!$B$5:$B$204,$A18,'זה אני - קליטה'!$C$5:$C$204,"סוף שנה"),""))</f>
        <v/>
      </c>
      <c r="R18" s="37">
        <f>IF($A18="","",IFERROR(AVERAGEIFS('זה אני - קליטה'!$AN$5:$AN$204,'זה אני - קליטה'!$B$5:$B$204,$A18,'זה אני - קליטה'!$C$5:$C$204,"סוף שנה"),""))</f>
        <v/>
      </c>
      <c r="S18" s="37">
        <f>IF($A18="","",IFERROR(COUNTIFS('זה אני - קליטה'!$B$5:$B$204,$A18,'זה אני - קליטה'!$C$5:$C$204,"סוף שנה",'זה אני - קליטה'!$AW$5:$AW$204,"אמין")/COUNTIFS('זה אני - קליטה'!$B$5:$B$204,$A18,'זה אני - קליטה'!$C$5:$C$204,"סוף שנה"),""))</f>
        <v/>
      </c>
      <c r="T18" s="47">
        <f>IF($A18="","",COUNTIFS('רווחה - קליטה'!$B$5:$B$204,$A18,'רווחה - קליטה'!$C$5:$C$204,"סוף שנה"))</f>
        <v/>
      </c>
      <c r="U18" s="45">
        <f>IF($A18="","",IFERROR(AVERAGEIFS('רווחה - קליטה'!$AR$5:$AR$204,'רווחה - קליטה'!$B$5:$B$204,$A18,'רווחה - קליטה'!$C$5:$C$204,"סוף שנה"),""))</f>
        <v/>
      </c>
      <c r="V18" s="37">
        <f>IF($A18="","",IFERROR(COUNTIFS('רווחה - קליטה'!$B$5:$B$204,$A18,'רווחה - קליטה'!$C$5:$C$204,"סוף שנה",'רווחה - קליטה'!$AT$5:$AT$204,"אמין")/COUNTIFS('רווחה - קליטה'!$B$5:$B$204,$A18,'רווחה - קליטה'!$C$5:$C$204,"סוף שנה"),""))</f>
        <v/>
      </c>
    </row>
    <row r="19">
      <c r="A19" s="38" t="n"/>
      <c r="B19" s="47">
        <f>IF($A19="","",COUNTIFS('זה אני - קליטה'!$B$5:$B$204,$A19,'זה אני - קליטה'!$C$5:$C$204,"תחילת שנה"))</f>
        <v/>
      </c>
      <c r="C19" s="37">
        <f>IF($A19="","",IFERROR(AVERAGEIFS('זה אני - קליטה'!$AL$5:$AL$204,'זה אני - קליטה'!$B$5:$B$204,$A19,'זה אני - קליטה'!$C$5:$C$204,"תחילת שנה"),""))</f>
        <v/>
      </c>
      <c r="D19" s="37">
        <f>IF($A19="","",IFERROR(AVERAGEIFS('זה אני - קליטה'!$AN$5:$AN$204,'זה אני - קליטה'!$B$5:$B$204,$A19,'זה אני - קליטה'!$C$5:$C$204,"תחילת שנה"),""))</f>
        <v/>
      </c>
      <c r="E19" s="37">
        <f>IF($A19="","",IFERROR(COUNTIFS('זה אני - קליטה'!$B$5:$B$204,$A19,'זה אני - קליטה'!$C$5:$C$204,"תחילת שנה",'זה אני - קליטה'!$AW$5:$AW$204,"אמין")/COUNTIFS('זה אני - קליטה'!$B$5:$B$204,$A19,'זה אני - קליטה'!$C$5:$C$204,"תחילת שנה"),""))</f>
        <v/>
      </c>
      <c r="F19" s="47">
        <f>IF($A19="","",COUNTIFS('רווחה - קליטה'!$B$5:$B$204,$A19,'רווחה - קליטה'!$C$5:$C$204,"תחילת שנה"))</f>
        <v/>
      </c>
      <c r="G19" s="45">
        <f>IF($A19="","",IFERROR(AVERAGEIFS('רווחה - קליטה'!$AR$5:$AR$204,'רווחה - קליטה'!$B$5:$B$204,$A19,'רווחה - קליטה'!$C$5:$C$204,"תחילת שנה"),""))</f>
        <v/>
      </c>
      <c r="H19" s="37">
        <f>IF($A19="","",IFERROR(COUNTIFS('רווחה - קליטה'!$B$5:$B$204,$A19,'רווחה - קליטה'!$C$5:$C$204,"תחילת שנה",'רווחה - קליטה'!$AT$5:$AT$204,"אמין")/COUNTIFS('רווחה - קליטה'!$B$5:$B$204,$A19,'רווחה - קליטה'!$C$5:$C$204,"תחילת שנה"),""))</f>
        <v/>
      </c>
      <c r="I19" s="47">
        <f>IF($A19="","",COUNTIFS('זה אני - קליטה'!$B$5:$B$204,$A19,'זה אני - קליטה'!$C$5:$C$204,"אמצע שנה"))</f>
        <v/>
      </c>
      <c r="J19" s="37">
        <f>IF($A19="","",IFERROR(AVERAGEIFS('זה אני - קליטה'!$AL$5:$AL$204,'זה אני - קליטה'!$B$5:$B$204,$A19,'זה אני - קליטה'!$C$5:$C$204,"אמצע שנה"),""))</f>
        <v/>
      </c>
      <c r="K19" s="37">
        <f>IF($A19="","",IFERROR(AVERAGEIFS('זה אני - קליטה'!$AN$5:$AN$204,'זה אני - קליטה'!$B$5:$B$204,$A19,'זה אני - קליטה'!$C$5:$C$204,"אמצע שנה"),""))</f>
        <v/>
      </c>
      <c r="L19" s="37">
        <f>IF($A19="","",IFERROR(COUNTIFS('זה אני - קליטה'!$B$5:$B$204,$A19,'זה אני - קליטה'!$C$5:$C$204,"אמצע שנה",'זה אני - קליטה'!$AW$5:$AW$204,"אמין")/COUNTIFS('זה אני - קליטה'!$B$5:$B$204,$A19,'זה אני - קליטה'!$C$5:$C$204,"אמצע שנה"),""))</f>
        <v/>
      </c>
      <c r="M19" s="47">
        <f>IF($A19="","",COUNTIFS('רווחה - קליטה'!$B$5:$B$204,$A19,'רווחה - קליטה'!$C$5:$C$204,"אמצע שנה"))</f>
        <v/>
      </c>
      <c r="N19" s="45">
        <f>IF($A19="","",IFERROR(AVERAGEIFS('רווחה - קליטה'!$AR$5:$AR$204,'רווחה - קליטה'!$B$5:$B$204,$A19,'רווחה - קליטה'!$C$5:$C$204,"אמצע שנה"),""))</f>
        <v/>
      </c>
      <c r="O19" s="37">
        <f>IF($A19="","",IFERROR(COUNTIFS('רווחה - קליטה'!$B$5:$B$204,$A19,'רווחה - קליטה'!$C$5:$C$204,"אמצע שנה",'רווחה - קליטה'!$AT$5:$AT$204,"אמין")/COUNTIFS('רווחה - קליטה'!$B$5:$B$204,$A19,'רווחה - קליטה'!$C$5:$C$204,"אמצע שנה"),""))</f>
        <v/>
      </c>
      <c r="P19" s="47">
        <f>IF($A19="","",COUNTIFS('זה אני - קליטה'!$B$5:$B$204,$A19,'זה אני - קליטה'!$C$5:$C$204,"סוף שנה"))</f>
        <v/>
      </c>
      <c r="Q19" s="37">
        <f>IF($A19="","",IFERROR(AVERAGEIFS('זה אני - קליטה'!$AL$5:$AL$204,'זה אני - קליטה'!$B$5:$B$204,$A19,'זה אני - קליטה'!$C$5:$C$204,"סוף שנה"),""))</f>
        <v/>
      </c>
      <c r="R19" s="37">
        <f>IF($A19="","",IFERROR(AVERAGEIFS('זה אני - קליטה'!$AN$5:$AN$204,'זה אני - קליטה'!$B$5:$B$204,$A19,'זה אני - קליטה'!$C$5:$C$204,"סוף שנה"),""))</f>
        <v/>
      </c>
      <c r="S19" s="37">
        <f>IF($A19="","",IFERROR(COUNTIFS('זה אני - קליטה'!$B$5:$B$204,$A19,'זה אני - קליטה'!$C$5:$C$204,"סוף שנה",'זה אני - קליטה'!$AW$5:$AW$204,"אמין")/COUNTIFS('זה אני - קליטה'!$B$5:$B$204,$A19,'זה אני - קליטה'!$C$5:$C$204,"סוף שנה"),""))</f>
        <v/>
      </c>
      <c r="T19" s="47">
        <f>IF($A19="","",COUNTIFS('רווחה - קליטה'!$B$5:$B$204,$A19,'רווחה - קליטה'!$C$5:$C$204,"סוף שנה"))</f>
        <v/>
      </c>
      <c r="U19" s="45">
        <f>IF($A19="","",IFERROR(AVERAGEIFS('רווחה - קליטה'!$AR$5:$AR$204,'רווחה - קליטה'!$B$5:$B$204,$A19,'רווחה - קליטה'!$C$5:$C$204,"סוף שנה"),""))</f>
        <v/>
      </c>
      <c r="V19" s="37">
        <f>IF($A19="","",IFERROR(COUNTIFS('רווחה - קליטה'!$B$5:$B$204,$A19,'רווחה - קליטה'!$C$5:$C$204,"סוף שנה",'רווחה - קליטה'!$AT$5:$AT$204,"אמין")/COUNTIFS('רווחה - קליטה'!$B$5:$B$204,$A19,'רווחה - קליטה'!$C$5:$C$204,"סוף שנה"),""))</f>
        <v/>
      </c>
    </row>
    <row r="20">
      <c r="A20" s="38" t="n"/>
      <c r="B20" s="47">
        <f>IF($A20="","",COUNTIFS('זה אני - קליטה'!$B$5:$B$204,$A20,'זה אני - קליטה'!$C$5:$C$204,"תחילת שנה"))</f>
        <v/>
      </c>
      <c r="C20" s="37">
        <f>IF($A20="","",IFERROR(AVERAGEIFS('זה אני - קליטה'!$AL$5:$AL$204,'זה אני - קליטה'!$B$5:$B$204,$A20,'זה אני - קליטה'!$C$5:$C$204,"תחילת שנה"),""))</f>
        <v/>
      </c>
      <c r="D20" s="37">
        <f>IF($A20="","",IFERROR(AVERAGEIFS('זה אני - קליטה'!$AN$5:$AN$204,'זה אני - קליטה'!$B$5:$B$204,$A20,'זה אני - קליטה'!$C$5:$C$204,"תחילת שנה"),""))</f>
        <v/>
      </c>
      <c r="E20" s="37">
        <f>IF($A20="","",IFERROR(COUNTIFS('זה אני - קליטה'!$B$5:$B$204,$A20,'זה אני - קליטה'!$C$5:$C$204,"תחילת שנה",'זה אני - קליטה'!$AW$5:$AW$204,"אמין")/COUNTIFS('זה אני - קליטה'!$B$5:$B$204,$A20,'זה אני - קליטה'!$C$5:$C$204,"תחילת שנה"),""))</f>
        <v/>
      </c>
      <c r="F20" s="47">
        <f>IF($A20="","",COUNTIFS('רווחה - קליטה'!$B$5:$B$204,$A20,'רווחה - קליטה'!$C$5:$C$204,"תחילת שנה"))</f>
        <v/>
      </c>
      <c r="G20" s="45">
        <f>IF($A20="","",IFERROR(AVERAGEIFS('רווחה - קליטה'!$AR$5:$AR$204,'רווחה - קליטה'!$B$5:$B$204,$A20,'רווחה - קליטה'!$C$5:$C$204,"תחילת שנה"),""))</f>
        <v/>
      </c>
      <c r="H20" s="37">
        <f>IF($A20="","",IFERROR(COUNTIFS('רווחה - קליטה'!$B$5:$B$204,$A20,'רווחה - קליטה'!$C$5:$C$204,"תחילת שנה",'רווחה - קליטה'!$AT$5:$AT$204,"אמין")/COUNTIFS('רווחה - קליטה'!$B$5:$B$204,$A20,'רווחה - קליטה'!$C$5:$C$204,"תחילת שנה"),""))</f>
        <v/>
      </c>
      <c r="I20" s="47">
        <f>IF($A20="","",COUNTIFS('זה אני - קליטה'!$B$5:$B$204,$A20,'זה אני - קליטה'!$C$5:$C$204,"אמצע שנה"))</f>
        <v/>
      </c>
      <c r="J20" s="37">
        <f>IF($A20="","",IFERROR(AVERAGEIFS('זה אני - קליטה'!$AL$5:$AL$204,'זה אני - קליטה'!$B$5:$B$204,$A20,'זה אני - קליטה'!$C$5:$C$204,"אמצע שנה"),""))</f>
        <v/>
      </c>
      <c r="K20" s="37">
        <f>IF($A20="","",IFERROR(AVERAGEIFS('זה אני - קליטה'!$AN$5:$AN$204,'זה אני - קליטה'!$B$5:$B$204,$A20,'זה אני - קליטה'!$C$5:$C$204,"אמצע שנה"),""))</f>
        <v/>
      </c>
      <c r="L20" s="37">
        <f>IF($A20="","",IFERROR(COUNTIFS('זה אני - קליטה'!$B$5:$B$204,$A20,'זה אני - קליטה'!$C$5:$C$204,"אמצע שנה",'זה אני - קליטה'!$AW$5:$AW$204,"אמין")/COUNTIFS('זה אני - קליטה'!$B$5:$B$204,$A20,'זה אני - קליטה'!$C$5:$C$204,"אמצע שנה"),""))</f>
        <v/>
      </c>
      <c r="M20" s="47">
        <f>IF($A20="","",COUNTIFS('רווחה - קליטה'!$B$5:$B$204,$A20,'רווחה - קליטה'!$C$5:$C$204,"אמצע שנה"))</f>
        <v/>
      </c>
      <c r="N20" s="45">
        <f>IF($A20="","",IFERROR(AVERAGEIFS('רווחה - קליטה'!$AR$5:$AR$204,'רווחה - קליטה'!$B$5:$B$204,$A20,'רווחה - קליטה'!$C$5:$C$204,"אמצע שנה"),""))</f>
        <v/>
      </c>
      <c r="O20" s="37">
        <f>IF($A20="","",IFERROR(COUNTIFS('רווחה - קליטה'!$B$5:$B$204,$A20,'רווחה - קליטה'!$C$5:$C$204,"אמצע שנה",'רווחה - קליטה'!$AT$5:$AT$204,"אמין")/COUNTIFS('רווחה - קליטה'!$B$5:$B$204,$A20,'רווחה - קליטה'!$C$5:$C$204,"אמצע שנה"),""))</f>
        <v/>
      </c>
      <c r="P20" s="47">
        <f>IF($A20="","",COUNTIFS('זה אני - קליטה'!$B$5:$B$204,$A20,'זה אני - קליטה'!$C$5:$C$204,"סוף שנה"))</f>
        <v/>
      </c>
      <c r="Q20" s="37">
        <f>IF($A20="","",IFERROR(AVERAGEIFS('זה אני - קליטה'!$AL$5:$AL$204,'זה אני - קליטה'!$B$5:$B$204,$A20,'זה אני - קליטה'!$C$5:$C$204,"סוף שנה"),""))</f>
        <v/>
      </c>
      <c r="R20" s="37">
        <f>IF($A20="","",IFERROR(AVERAGEIFS('זה אני - קליטה'!$AN$5:$AN$204,'זה אני - קליטה'!$B$5:$B$204,$A20,'זה אני - קליטה'!$C$5:$C$204,"סוף שנה"),""))</f>
        <v/>
      </c>
      <c r="S20" s="37">
        <f>IF($A20="","",IFERROR(COUNTIFS('זה אני - קליטה'!$B$5:$B$204,$A20,'זה אני - קליטה'!$C$5:$C$204,"סוף שנה",'זה אני - קליטה'!$AW$5:$AW$204,"אמין")/COUNTIFS('זה אני - קליטה'!$B$5:$B$204,$A20,'זה אני - קליטה'!$C$5:$C$204,"סוף שנה"),""))</f>
        <v/>
      </c>
      <c r="T20" s="47">
        <f>IF($A20="","",COUNTIFS('רווחה - קליטה'!$B$5:$B$204,$A20,'רווחה - קליטה'!$C$5:$C$204,"סוף שנה"))</f>
        <v/>
      </c>
      <c r="U20" s="45">
        <f>IF($A20="","",IFERROR(AVERAGEIFS('רווחה - קליטה'!$AR$5:$AR$204,'רווחה - קליטה'!$B$5:$B$204,$A20,'רווחה - קליטה'!$C$5:$C$204,"סוף שנה"),""))</f>
        <v/>
      </c>
      <c r="V20" s="37">
        <f>IF($A20="","",IFERROR(COUNTIFS('רווחה - קליטה'!$B$5:$B$204,$A20,'רווחה - קליטה'!$C$5:$C$204,"סוף שנה",'רווחה - קליטה'!$AT$5:$AT$204,"אמין")/COUNTIFS('רווחה - קליטה'!$B$5:$B$204,$A20,'רווחה - קליטה'!$C$5:$C$204,"סוף שנה"),""))</f>
        <v/>
      </c>
    </row>
    <row r="21">
      <c r="A21" s="38" t="n"/>
      <c r="B21" s="47">
        <f>IF($A21="","",COUNTIFS('זה אני - קליטה'!$B$5:$B$204,$A21,'זה אני - קליטה'!$C$5:$C$204,"תחילת שנה"))</f>
        <v/>
      </c>
      <c r="C21" s="37">
        <f>IF($A21="","",IFERROR(AVERAGEIFS('זה אני - קליטה'!$AL$5:$AL$204,'זה אני - קליטה'!$B$5:$B$204,$A21,'זה אני - קליטה'!$C$5:$C$204,"תחילת שנה"),""))</f>
        <v/>
      </c>
      <c r="D21" s="37">
        <f>IF($A21="","",IFERROR(AVERAGEIFS('זה אני - קליטה'!$AN$5:$AN$204,'זה אני - קליטה'!$B$5:$B$204,$A21,'זה אני - קליטה'!$C$5:$C$204,"תחילת שנה"),""))</f>
        <v/>
      </c>
      <c r="E21" s="37">
        <f>IF($A21="","",IFERROR(COUNTIFS('זה אני - קליטה'!$B$5:$B$204,$A21,'זה אני - קליטה'!$C$5:$C$204,"תחילת שנה",'זה אני - קליטה'!$AW$5:$AW$204,"אמין")/COUNTIFS('זה אני - קליטה'!$B$5:$B$204,$A21,'זה אני - קליטה'!$C$5:$C$204,"תחילת שנה"),""))</f>
        <v/>
      </c>
      <c r="F21" s="47">
        <f>IF($A21="","",COUNTIFS('רווחה - קליטה'!$B$5:$B$204,$A21,'רווחה - קליטה'!$C$5:$C$204,"תחילת שנה"))</f>
        <v/>
      </c>
      <c r="G21" s="45">
        <f>IF($A21="","",IFERROR(AVERAGEIFS('רווחה - קליטה'!$AR$5:$AR$204,'רווחה - קליטה'!$B$5:$B$204,$A21,'רווחה - קליטה'!$C$5:$C$204,"תחילת שנה"),""))</f>
        <v/>
      </c>
      <c r="H21" s="37">
        <f>IF($A21="","",IFERROR(COUNTIFS('רווחה - קליטה'!$B$5:$B$204,$A21,'רווחה - קליטה'!$C$5:$C$204,"תחילת שנה",'רווחה - קליטה'!$AT$5:$AT$204,"אמין")/COUNTIFS('רווחה - קליטה'!$B$5:$B$204,$A21,'רווחה - קליטה'!$C$5:$C$204,"תחילת שנה"),""))</f>
        <v/>
      </c>
      <c r="I21" s="47">
        <f>IF($A21="","",COUNTIFS('זה אני - קליטה'!$B$5:$B$204,$A21,'זה אני - קליטה'!$C$5:$C$204,"אמצע שנה"))</f>
        <v/>
      </c>
      <c r="J21" s="37">
        <f>IF($A21="","",IFERROR(AVERAGEIFS('זה אני - קליטה'!$AL$5:$AL$204,'זה אני - קליטה'!$B$5:$B$204,$A21,'זה אני - קליטה'!$C$5:$C$204,"אמצע שנה"),""))</f>
        <v/>
      </c>
      <c r="K21" s="37">
        <f>IF($A21="","",IFERROR(AVERAGEIFS('זה אני - קליטה'!$AN$5:$AN$204,'זה אני - קליטה'!$B$5:$B$204,$A21,'זה אני - קליטה'!$C$5:$C$204,"אמצע שנה"),""))</f>
        <v/>
      </c>
      <c r="L21" s="37">
        <f>IF($A21="","",IFERROR(COUNTIFS('זה אני - קליטה'!$B$5:$B$204,$A21,'זה אני - קליטה'!$C$5:$C$204,"אמצע שנה",'זה אני - קליטה'!$AW$5:$AW$204,"אמין")/COUNTIFS('זה אני - קליטה'!$B$5:$B$204,$A21,'זה אני - קליטה'!$C$5:$C$204,"אמצע שנה"),""))</f>
        <v/>
      </c>
      <c r="M21" s="47">
        <f>IF($A21="","",COUNTIFS('רווחה - קליטה'!$B$5:$B$204,$A21,'רווחה - קליטה'!$C$5:$C$204,"אמצע שנה"))</f>
        <v/>
      </c>
      <c r="N21" s="45">
        <f>IF($A21="","",IFERROR(AVERAGEIFS('רווחה - קליטה'!$AR$5:$AR$204,'רווחה - קליטה'!$B$5:$B$204,$A21,'רווחה - קליטה'!$C$5:$C$204,"אמצע שנה"),""))</f>
        <v/>
      </c>
      <c r="O21" s="37">
        <f>IF($A21="","",IFERROR(COUNTIFS('רווחה - קליטה'!$B$5:$B$204,$A21,'רווחה - קליטה'!$C$5:$C$204,"אמצע שנה",'רווחה - קליטה'!$AT$5:$AT$204,"אמין")/COUNTIFS('רווחה - קליטה'!$B$5:$B$204,$A21,'רווחה - קליטה'!$C$5:$C$204,"אמצע שנה"),""))</f>
        <v/>
      </c>
      <c r="P21" s="47">
        <f>IF($A21="","",COUNTIFS('זה אני - קליטה'!$B$5:$B$204,$A21,'זה אני - קליטה'!$C$5:$C$204,"סוף שנה"))</f>
        <v/>
      </c>
      <c r="Q21" s="37">
        <f>IF($A21="","",IFERROR(AVERAGEIFS('זה אני - קליטה'!$AL$5:$AL$204,'זה אני - קליטה'!$B$5:$B$204,$A21,'זה אני - קליטה'!$C$5:$C$204,"סוף שנה"),""))</f>
        <v/>
      </c>
      <c r="R21" s="37">
        <f>IF($A21="","",IFERROR(AVERAGEIFS('זה אני - קליטה'!$AN$5:$AN$204,'זה אני - קליטה'!$B$5:$B$204,$A21,'זה אני - קליטה'!$C$5:$C$204,"סוף שנה"),""))</f>
        <v/>
      </c>
      <c r="S21" s="37">
        <f>IF($A21="","",IFERROR(COUNTIFS('זה אני - קליטה'!$B$5:$B$204,$A21,'זה אני - קליטה'!$C$5:$C$204,"סוף שנה",'זה אני - קליטה'!$AW$5:$AW$204,"אמין")/COUNTIFS('זה אני - קליטה'!$B$5:$B$204,$A21,'זה אני - קליטה'!$C$5:$C$204,"סוף שנה"),""))</f>
        <v/>
      </c>
      <c r="T21" s="47">
        <f>IF($A21="","",COUNTIFS('רווחה - קליטה'!$B$5:$B$204,$A21,'רווחה - קליטה'!$C$5:$C$204,"סוף שנה"))</f>
        <v/>
      </c>
      <c r="U21" s="45">
        <f>IF($A21="","",IFERROR(AVERAGEIFS('רווחה - קליטה'!$AR$5:$AR$204,'רווחה - קליטה'!$B$5:$B$204,$A21,'רווחה - קליטה'!$C$5:$C$204,"סוף שנה"),""))</f>
        <v/>
      </c>
      <c r="V21" s="37">
        <f>IF($A21="","",IFERROR(COUNTIFS('רווחה - קליטה'!$B$5:$B$204,$A21,'רווחה - קליטה'!$C$5:$C$204,"סוף שנה",'רווחה - קליטה'!$AT$5:$AT$204,"אמין")/COUNTIFS('רווחה - קליטה'!$B$5:$B$204,$A21,'רווחה - קליטה'!$C$5:$C$204,"סוף שנה"),""))</f>
        <v/>
      </c>
    </row>
    <row r="22">
      <c r="A22" s="38" t="n"/>
      <c r="B22" s="47">
        <f>IF($A22="","",COUNTIFS('זה אני - קליטה'!$B$5:$B$204,$A22,'זה אני - קליטה'!$C$5:$C$204,"תחילת שנה"))</f>
        <v/>
      </c>
      <c r="C22" s="37">
        <f>IF($A22="","",IFERROR(AVERAGEIFS('זה אני - קליטה'!$AL$5:$AL$204,'זה אני - קליטה'!$B$5:$B$204,$A22,'זה אני - קליטה'!$C$5:$C$204,"תחילת שנה"),""))</f>
        <v/>
      </c>
      <c r="D22" s="37">
        <f>IF($A22="","",IFERROR(AVERAGEIFS('זה אני - קליטה'!$AN$5:$AN$204,'זה אני - קליטה'!$B$5:$B$204,$A22,'זה אני - קליטה'!$C$5:$C$204,"תחילת שנה"),""))</f>
        <v/>
      </c>
      <c r="E22" s="37">
        <f>IF($A22="","",IFERROR(COUNTIFS('זה אני - קליטה'!$B$5:$B$204,$A22,'זה אני - קליטה'!$C$5:$C$204,"תחילת שנה",'זה אני - קליטה'!$AW$5:$AW$204,"אמין")/COUNTIFS('זה אני - קליטה'!$B$5:$B$204,$A22,'זה אני - קליטה'!$C$5:$C$204,"תחילת שנה"),""))</f>
        <v/>
      </c>
      <c r="F22" s="47">
        <f>IF($A22="","",COUNTIFS('רווחה - קליטה'!$B$5:$B$204,$A22,'רווחה - קליטה'!$C$5:$C$204,"תחילת שנה"))</f>
        <v/>
      </c>
      <c r="G22" s="45">
        <f>IF($A22="","",IFERROR(AVERAGEIFS('רווחה - קליטה'!$AR$5:$AR$204,'רווחה - קליטה'!$B$5:$B$204,$A22,'רווחה - קליטה'!$C$5:$C$204,"תחילת שנה"),""))</f>
        <v/>
      </c>
      <c r="H22" s="37">
        <f>IF($A22="","",IFERROR(COUNTIFS('רווחה - קליטה'!$B$5:$B$204,$A22,'רווחה - קליטה'!$C$5:$C$204,"תחילת שנה",'רווחה - קליטה'!$AT$5:$AT$204,"אמין")/COUNTIFS('רווחה - קליטה'!$B$5:$B$204,$A22,'רווחה - קליטה'!$C$5:$C$204,"תחילת שנה"),""))</f>
        <v/>
      </c>
      <c r="I22" s="47">
        <f>IF($A22="","",COUNTIFS('זה אני - קליטה'!$B$5:$B$204,$A22,'זה אני - קליטה'!$C$5:$C$204,"אמצע שנה"))</f>
        <v/>
      </c>
      <c r="J22" s="37">
        <f>IF($A22="","",IFERROR(AVERAGEIFS('זה אני - קליטה'!$AL$5:$AL$204,'זה אני - קליטה'!$B$5:$B$204,$A22,'זה אני - קליטה'!$C$5:$C$204,"אמצע שנה"),""))</f>
        <v/>
      </c>
      <c r="K22" s="37">
        <f>IF($A22="","",IFERROR(AVERAGEIFS('זה אני - קליטה'!$AN$5:$AN$204,'זה אני - קליטה'!$B$5:$B$204,$A22,'זה אני - קליטה'!$C$5:$C$204,"אמצע שנה"),""))</f>
        <v/>
      </c>
      <c r="L22" s="37">
        <f>IF($A22="","",IFERROR(COUNTIFS('זה אני - קליטה'!$B$5:$B$204,$A22,'זה אני - קליטה'!$C$5:$C$204,"אמצע שנה",'זה אני - קליטה'!$AW$5:$AW$204,"אמין")/COUNTIFS('זה אני - קליטה'!$B$5:$B$204,$A22,'זה אני - קליטה'!$C$5:$C$204,"אמצע שנה"),""))</f>
        <v/>
      </c>
      <c r="M22" s="47">
        <f>IF($A22="","",COUNTIFS('רווחה - קליטה'!$B$5:$B$204,$A22,'רווחה - קליטה'!$C$5:$C$204,"אמצע שנה"))</f>
        <v/>
      </c>
      <c r="N22" s="45">
        <f>IF($A22="","",IFERROR(AVERAGEIFS('רווחה - קליטה'!$AR$5:$AR$204,'רווחה - קליטה'!$B$5:$B$204,$A22,'רווחה - קליטה'!$C$5:$C$204,"אמצע שנה"),""))</f>
        <v/>
      </c>
      <c r="O22" s="37">
        <f>IF($A22="","",IFERROR(COUNTIFS('רווחה - קליטה'!$B$5:$B$204,$A22,'רווחה - קליטה'!$C$5:$C$204,"אמצע שנה",'רווחה - קליטה'!$AT$5:$AT$204,"אמין")/COUNTIFS('רווחה - קליטה'!$B$5:$B$204,$A22,'רווחה - קליטה'!$C$5:$C$204,"אמצע שנה"),""))</f>
        <v/>
      </c>
      <c r="P22" s="47">
        <f>IF($A22="","",COUNTIFS('זה אני - קליטה'!$B$5:$B$204,$A22,'זה אני - קליטה'!$C$5:$C$204,"סוף שנה"))</f>
        <v/>
      </c>
      <c r="Q22" s="37">
        <f>IF($A22="","",IFERROR(AVERAGEIFS('זה אני - קליטה'!$AL$5:$AL$204,'זה אני - קליטה'!$B$5:$B$204,$A22,'זה אני - קליטה'!$C$5:$C$204,"סוף שנה"),""))</f>
        <v/>
      </c>
      <c r="R22" s="37">
        <f>IF($A22="","",IFERROR(AVERAGEIFS('זה אני - קליטה'!$AN$5:$AN$204,'זה אני - קליטה'!$B$5:$B$204,$A22,'זה אני - קליטה'!$C$5:$C$204,"סוף שנה"),""))</f>
        <v/>
      </c>
      <c r="S22" s="37">
        <f>IF($A22="","",IFERROR(COUNTIFS('זה אני - קליטה'!$B$5:$B$204,$A22,'זה אני - קליטה'!$C$5:$C$204,"סוף שנה",'זה אני - קליטה'!$AW$5:$AW$204,"אמין")/COUNTIFS('זה אני - קליטה'!$B$5:$B$204,$A22,'זה אני - קליטה'!$C$5:$C$204,"סוף שנה"),""))</f>
        <v/>
      </c>
      <c r="T22" s="47">
        <f>IF($A22="","",COUNTIFS('רווחה - קליטה'!$B$5:$B$204,$A22,'רווחה - קליטה'!$C$5:$C$204,"סוף שנה"))</f>
        <v/>
      </c>
      <c r="U22" s="45">
        <f>IF($A22="","",IFERROR(AVERAGEIFS('רווחה - קליטה'!$AR$5:$AR$204,'רווחה - קליטה'!$B$5:$B$204,$A22,'רווחה - קליטה'!$C$5:$C$204,"סוף שנה"),""))</f>
        <v/>
      </c>
      <c r="V22" s="37">
        <f>IF($A22="","",IFERROR(COUNTIFS('רווחה - קליטה'!$B$5:$B$204,$A22,'רווחה - קליטה'!$C$5:$C$204,"סוף שנה",'רווחה - קליטה'!$AT$5:$AT$204,"אמין")/COUNTIFS('רווחה - קליטה'!$B$5:$B$204,$A22,'רווחה - קליטה'!$C$5:$C$204,"סוף שנה"),""))</f>
        <v/>
      </c>
    </row>
    <row r="23">
      <c r="A23" s="38" t="n"/>
      <c r="B23" s="47">
        <f>IF($A23="","",COUNTIFS('זה אני - קליטה'!$B$5:$B$204,$A23,'זה אני - קליטה'!$C$5:$C$204,"תחילת שנה"))</f>
        <v/>
      </c>
      <c r="C23" s="37">
        <f>IF($A23="","",IFERROR(AVERAGEIFS('זה אני - קליטה'!$AL$5:$AL$204,'זה אני - קליטה'!$B$5:$B$204,$A23,'זה אני - קליטה'!$C$5:$C$204,"תחילת שנה"),""))</f>
        <v/>
      </c>
      <c r="D23" s="37">
        <f>IF($A23="","",IFERROR(AVERAGEIFS('זה אני - קליטה'!$AN$5:$AN$204,'זה אני - קליטה'!$B$5:$B$204,$A23,'זה אני - קליטה'!$C$5:$C$204,"תחילת שנה"),""))</f>
        <v/>
      </c>
      <c r="E23" s="37">
        <f>IF($A23="","",IFERROR(COUNTIFS('זה אני - קליטה'!$B$5:$B$204,$A23,'זה אני - קליטה'!$C$5:$C$204,"תחילת שנה",'זה אני - קליטה'!$AW$5:$AW$204,"אמין")/COUNTIFS('זה אני - קליטה'!$B$5:$B$204,$A23,'זה אני - קליטה'!$C$5:$C$204,"תחילת שנה"),""))</f>
        <v/>
      </c>
      <c r="F23" s="47">
        <f>IF($A23="","",COUNTIFS('רווחה - קליטה'!$B$5:$B$204,$A23,'רווחה - קליטה'!$C$5:$C$204,"תחילת שנה"))</f>
        <v/>
      </c>
      <c r="G23" s="45">
        <f>IF($A23="","",IFERROR(AVERAGEIFS('רווחה - קליטה'!$AR$5:$AR$204,'רווחה - קליטה'!$B$5:$B$204,$A23,'רווחה - קליטה'!$C$5:$C$204,"תחילת שנה"),""))</f>
        <v/>
      </c>
      <c r="H23" s="37">
        <f>IF($A23="","",IFERROR(COUNTIFS('רווחה - קליטה'!$B$5:$B$204,$A23,'רווחה - קליטה'!$C$5:$C$204,"תחילת שנה",'רווחה - קליטה'!$AT$5:$AT$204,"אמין")/COUNTIFS('רווחה - קליטה'!$B$5:$B$204,$A23,'רווחה - קליטה'!$C$5:$C$204,"תחילת שנה"),""))</f>
        <v/>
      </c>
      <c r="I23" s="47">
        <f>IF($A23="","",COUNTIFS('זה אני - קליטה'!$B$5:$B$204,$A23,'זה אני - קליטה'!$C$5:$C$204,"אמצע שנה"))</f>
        <v/>
      </c>
      <c r="J23" s="37">
        <f>IF($A23="","",IFERROR(AVERAGEIFS('זה אני - קליטה'!$AL$5:$AL$204,'זה אני - קליטה'!$B$5:$B$204,$A23,'זה אני - קליטה'!$C$5:$C$204,"אמצע שנה"),""))</f>
        <v/>
      </c>
      <c r="K23" s="37">
        <f>IF($A23="","",IFERROR(AVERAGEIFS('זה אני - קליטה'!$AN$5:$AN$204,'זה אני - קליטה'!$B$5:$B$204,$A23,'זה אני - קליטה'!$C$5:$C$204,"אמצע שנה"),""))</f>
        <v/>
      </c>
      <c r="L23" s="37">
        <f>IF($A23="","",IFERROR(COUNTIFS('זה אני - קליטה'!$B$5:$B$204,$A23,'זה אני - קליטה'!$C$5:$C$204,"אמצע שנה",'זה אני - קליטה'!$AW$5:$AW$204,"אמין")/COUNTIFS('זה אני - קליטה'!$B$5:$B$204,$A23,'זה אני - קליטה'!$C$5:$C$204,"אמצע שנה"),""))</f>
        <v/>
      </c>
      <c r="M23" s="47">
        <f>IF($A23="","",COUNTIFS('רווחה - קליטה'!$B$5:$B$204,$A23,'רווחה - קליטה'!$C$5:$C$204,"אמצע שנה"))</f>
        <v/>
      </c>
      <c r="N23" s="45">
        <f>IF($A23="","",IFERROR(AVERAGEIFS('רווחה - קליטה'!$AR$5:$AR$204,'רווחה - קליטה'!$B$5:$B$204,$A23,'רווחה - קליטה'!$C$5:$C$204,"אמצע שנה"),""))</f>
        <v/>
      </c>
      <c r="O23" s="37">
        <f>IF($A23="","",IFERROR(COUNTIFS('רווחה - קליטה'!$B$5:$B$204,$A23,'רווחה - קליטה'!$C$5:$C$204,"אמצע שנה",'רווחה - קליטה'!$AT$5:$AT$204,"אמין")/COUNTIFS('רווחה - קליטה'!$B$5:$B$204,$A23,'רווחה - קליטה'!$C$5:$C$204,"אמצע שנה"),""))</f>
        <v/>
      </c>
      <c r="P23" s="47">
        <f>IF($A23="","",COUNTIFS('זה אני - קליטה'!$B$5:$B$204,$A23,'זה אני - קליטה'!$C$5:$C$204,"סוף שנה"))</f>
        <v/>
      </c>
      <c r="Q23" s="37">
        <f>IF($A23="","",IFERROR(AVERAGEIFS('זה אני - קליטה'!$AL$5:$AL$204,'זה אני - קליטה'!$B$5:$B$204,$A23,'זה אני - קליטה'!$C$5:$C$204,"סוף שנה"),""))</f>
        <v/>
      </c>
      <c r="R23" s="37">
        <f>IF($A23="","",IFERROR(AVERAGEIFS('זה אני - קליטה'!$AN$5:$AN$204,'זה אני - קליטה'!$B$5:$B$204,$A23,'זה אני - קליטה'!$C$5:$C$204,"סוף שנה"),""))</f>
        <v/>
      </c>
      <c r="S23" s="37">
        <f>IF($A23="","",IFERROR(COUNTIFS('זה אני - קליטה'!$B$5:$B$204,$A23,'זה אני - קליטה'!$C$5:$C$204,"סוף שנה",'זה אני - קליטה'!$AW$5:$AW$204,"אמין")/COUNTIFS('זה אני - קליטה'!$B$5:$B$204,$A23,'זה אני - קליטה'!$C$5:$C$204,"סוף שנה"),""))</f>
        <v/>
      </c>
      <c r="T23" s="47">
        <f>IF($A23="","",COUNTIFS('רווחה - קליטה'!$B$5:$B$204,$A23,'רווחה - קליטה'!$C$5:$C$204,"סוף שנה"))</f>
        <v/>
      </c>
      <c r="U23" s="45">
        <f>IF($A23="","",IFERROR(AVERAGEIFS('רווחה - קליטה'!$AR$5:$AR$204,'רווחה - קליטה'!$B$5:$B$204,$A23,'רווחה - קליטה'!$C$5:$C$204,"סוף שנה"),""))</f>
        <v/>
      </c>
      <c r="V23" s="37">
        <f>IF($A23="","",IFERROR(COUNTIFS('רווחה - קליטה'!$B$5:$B$204,$A23,'רווחה - קליטה'!$C$5:$C$204,"סוף שנה",'רווחה - קליטה'!$AT$5:$AT$204,"אמין")/COUNTIFS('רווחה - קליטה'!$B$5:$B$204,$A23,'רווחה - קליטה'!$C$5:$C$204,"סוף שנה"),""))</f>
        <v/>
      </c>
    </row>
    <row r="24">
      <c r="A24" s="38" t="n"/>
      <c r="B24" s="47">
        <f>IF($A24="","",COUNTIFS('זה אני - קליטה'!$B$5:$B$204,$A24,'זה אני - קליטה'!$C$5:$C$204,"תחילת שנה"))</f>
        <v/>
      </c>
      <c r="C24" s="37">
        <f>IF($A24="","",IFERROR(AVERAGEIFS('זה אני - קליטה'!$AL$5:$AL$204,'זה אני - קליטה'!$B$5:$B$204,$A24,'זה אני - קליטה'!$C$5:$C$204,"תחילת שנה"),""))</f>
        <v/>
      </c>
      <c r="D24" s="37">
        <f>IF($A24="","",IFERROR(AVERAGEIFS('זה אני - קליטה'!$AN$5:$AN$204,'זה אני - קליטה'!$B$5:$B$204,$A24,'זה אני - קליטה'!$C$5:$C$204,"תחילת שנה"),""))</f>
        <v/>
      </c>
      <c r="E24" s="37">
        <f>IF($A24="","",IFERROR(COUNTIFS('זה אני - קליטה'!$B$5:$B$204,$A24,'זה אני - קליטה'!$C$5:$C$204,"תחילת שנה",'זה אני - קליטה'!$AW$5:$AW$204,"אמין")/COUNTIFS('זה אני - קליטה'!$B$5:$B$204,$A24,'זה אני - קליטה'!$C$5:$C$204,"תחילת שנה"),""))</f>
        <v/>
      </c>
      <c r="F24" s="47">
        <f>IF($A24="","",COUNTIFS('רווחה - קליטה'!$B$5:$B$204,$A24,'רווחה - קליטה'!$C$5:$C$204,"תחילת שנה"))</f>
        <v/>
      </c>
      <c r="G24" s="45">
        <f>IF($A24="","",IFERROR(AVERAGEIFS('רווחה - קליטה'!$AR$5:$AR$204,'רווחה - קליטה'!$B$5:$B$204,$A24,'רווחה - קליטה'!$C$5:$C$204,"תחילת שנה"),""))</f>
        <v/>
      </c>
      <c r="H24" s="37">
        <f>IF($A24="","",IFERROR(COUNTIFS('רווחה - קליטה'!$B$5:$B$204,$A24,'רווחה - קליטה'!$C$5:$C$204,"תחילת שנה",'רווחה - קליטה'!$AT$5:$AT$204,"אמין")/COUNTIFS('רווחה - קליטה'!$B$5:$B$204,$A24,'רווחה - קליטה'!$C$5:$C$204,"תחילת שנה"),""))</f>
        <v/>
      </c>
      <c r="I24" s="47">
        <f>IF($A24="","",COUNTIFS('זה אני - קליטה'!$B$5:$B$204,$A24,'זה אני - קליטה'!$C$5:$C$204,"אמצע שנה"))</f>
        <v/>
      </c>
      <c r="J24" s="37">
        <f>IF($A24="","",IFERROR(AVERAGEIFS('זה אני - קליטה'!$AL$5:$AL$204,'זה אני - קליטה'!$B$5:$B$204,$A24,'זה אני - קליטה'!$C$5:$C$204,"אמצע שנה"),""))</f>
        <v/>
      </c>
      <c r="K24" s="37">
        <f>IF($A24="","",IFERROR(AVERAGEIFS('זה אני - קליטה'!$AN$5:$AN$204,'זה אני - קליטה'!$B$5:$B$204,$A24,'זה אני - קליטה'!$C$5:$C$204,"אמצע שנה"),""))</f>
        <v/>
      </c>
      <c r="L24" s="37">
        <f>IF($A24="","",IFERROR(COUNTIFS('זה אני - קליטה'!$B$5:$B$204,$A24,'זה אני - קליטה'!$C$5:$C$204,"אמצע שנה",'זה אני - קליטה'!$AW$5:$AW$204,"אמין")/COUNTIFS('זה אני - קליטה'!$B$5:$B$204,$A24,'זה אני - קליטה'!$C$5:$C$204,"אמצע שנה"),""))</f>
        <v/>
      </c>
      <c r="M24" s="47">
        <f>IF($A24="","",COUNTIFS('רווחה - קליטה'!$B$5:$B$204,$A24,'רווחה - קליטה'!$C$5:$C$204,"אמצע שנה"))</f>
        <v/>
      </c>
      <c r="N24" s="45">
        <f>IF($A24="","",IFERROR(AVERAGEIFS('רווחה - קליטה'!$AR$5:$AR$204,'רווחה - קליטה'!$B$5:$B$204,$A24,'רווחה - קליטה'!$C$5:$C$204,"אמצע שנה"),""))</f>
        <v/>
      </c>
      <c r="O24" s="37">
        <f>IF($A24="","",IFERROR(COUNTIFS('רווחה - קליטה'!$B$5:$B$204,$A24,'רווחה - קליטה'!$C$5:$C$204,"אמצע שנה",'רווחה - קליטה'!$AT$5:$AT$204,"אמין")/COUNTIFS('רווחה - קליטה'!$B$5:$B$204,$A24,'רווחה - קליטה'!$C$5:$C$204,"אמצע שנה"),""))</f>
        <v/>
      </c>
      <c r="P24" s="47">
        <f>IF($A24="","",COUNTIFS('זה אני - קליטה'!$B$5:$B$204,$A24,'זה אני - קליטה'!$C$5:$C$204,"סוף שנה"))</f>
        <v/>
      </c>
      <c r="Q24" s="37">
        <f>IF($A24="","",IFERROR(AVERAGEIFS('זה אני - קליטה'!$AL$5:$AL$204,'זה אני - קליטה'!$B$5:$B$204,$A24,'זה אני - קליטה'!$C$5:$C$204,"סוף שנה"),""))</f>
        <v/>
      </c>
      <c r="R24" s="37">
        <f>IF($A24="","",IFERROR(AVERAGEIFS('זה אני - קליטה'!$AN$5:$AN$204,'זה אני - קליטה'!$B$5:$B$204,$A24,'זה אני - קליטה'!$C$5:$C$204,"סוף שנה"),""))</f>
        <v/>
      </c>
      <c r="S24" s="37">
        <f>IF($A24="","",IFERROR(COUNTIFS('זה אני - קליטה'!$B$5:$B$204,$A24,'זה אני - קליטה'!$C$5:$C$204,"סוף שנה",'זה אני - קליטה'!$AW$5:$AW$204,"אמין")/COUNTIFS('זה אני - קליטה'!$B$5:$B$204,$A24,'זה אני - קליטה'!$C$5:$C$204,"סוף שנה"),""))</f>
        <v/>
      </c>
      <c r="T24" s="47">
        <f>IF($A24="","",COUNTIFS('רווחה - קליטה'!$B$5:$B$204,$A24,'רווחה - קליטה'!$C$5:$C$204,"סוף שנה"))</f>
        <v/>
      </c>
      <c r="U24" s="45">
        <f>IF($A24="","",IFERROR(AVERAGEIFS('רווחה - קליטה'!$AR$5:$AR$204,'רווחה - קליטה'!$B$5:$B$204,$A24,'רווחה - קליטה'!$C$5:$C$204,"סוף שנה"),""))</f>
        <v/>
      </c>
      <c r="V24" s="37">
        <f>IF($A24="","",IFERROR(COUNTIFS('רווחה - קליטה'!$B$5:$B$204,$A24,'רווחה - קליטה'!$C$5:$C$204,"סוף שנה",'רווחה - קליטה'!$AT$5:$AT$204,"אמין")/COUNTIFS('רווחה - קליטה'!$B$5:$B$204,$A24,'רווחה - קליטה'!$C$5:$C$204,"סוף שנה"),""))</f>
        <v/>
      </c>
    </row>
    <row r="25">
      <c r="A25" s="38" t="n"/>
      <c r="B25" s="47">
        <f>IF($A25="","",COUNTIFS('זה אני - קליטה'!$B$5:$B$204,$A25,'זה אני - קליטה'!$C$5:$C$204,"תחילת שנה"))</f>
        <v/>
      </c>
      <c r="C25" s="37">
        <f>IF($A25="","",IFERROR(AVERAGEIFS('זה אני - קליטה'!$AL$5:$AL$204,'זה אני - קליטה'!$B$5:$B$204,$A25,'זה אני - קליטה'!$C$5:$C$204,"תחילת שנה"),""))</f>
        <v/>
      </c>
      <c r="D25" s="37">
        <f>IF($A25="","",IFERROR(AVERAGEIFS('זה אני - קליטה'!$AN$5:$AN$204,'זה אני - קליטה'!$B$5:$B$204,$A25,'זה אני - קליטה'!$C$5:$C$204,"תחילת שנה"),""))</f>
        <v/>
      </c>
      <c r="E25" s="37">
        <f>IF($A25="","",IFERROR(COUNTIFS('זה אני - קליטה'!$B$5:$B$204,$A25,'זה אני - קליטה'!$C$5:$C$204,"תחילת שנה",'זה אני - קליטה'!$AW$5:$AW$204,"אמין")/COUNTIFS('זה אני - קליטה'!$B$5:$B$204,$A25,'זה אני - קליטה'!$C$5:$C$204,"תחילת שנה"),""))</f>
        <v/>
      </c>
      <c r="F25" s="47">
        <f>IF($A25="","",COUNTIFS('רווחה - קליטה'!$B$5:$B$204,$A25,'רווחה - קליטה'!$C$5:$C$204,"תחילת שנה"))</f>
        <v/>
      </c>
      <c r="G25" s="45">
        <f>IF($A25="","",IFERROR(AVERAGEIFS('רווחה - קליטה'!$AR$5:$AR$204,'רווחה - קליטה'!$B$5:$B$204,$A25,'רווחה - קליטה'!$C$5:$C$204,"תחילת שנה"),""))</f>
        <v/>
      </c>
      <c r="H25" s="37">
        <f>IF($A25="","",IFERROR(COUNTIFS('רווחה - קליטה'!$B$5:$B$204,$A25,'רווחה - קליטה'!$C$5:$C$204,"תחילת שנה",'רווחה - קליטה'!$AT$5:$AT$204,"אמין")/COUNTIFS('רווחה - קליטה'!$B$5:$B$204,$A25,'רווחה - קליטה'!$C$5:$C$204,"תחילת שנה"),""))</f>
        <v/>
      </c>
      <c r="I25" s="47">
        <f>IF($A25="","",COUNTIFS('זה אני - קליטה'!$B$5:$B$204,$A25,'זה אני - קליטה'!$C$5:$C$204,"אמצע שנה"))</f>
        <v/>
      </c>
      <c r="J25" s="37">
        <f>IF($A25="","",IFERROR(AVERAGEIFS('זה אני - קליטה'!$AL$5:$AL$204,'זה אני - קליטה'!$B$5:$B$204,$A25,'זה אני - קליטה'!$C$5:$C$204,"אמצע שנה"),""))</f>
        <v/>
      </c>
      <c r="K25" s="37">
        <f>IF($A25="","",IFERROR(AVERAGEIFS('זה אני - קליטה'!$AN$5:$AN$204,'זה אני - קליטה'!$B$5:$B$204,$A25,'זה אני - קליטה'!$C$5:$C$204,"אמצע שנה"),""))</f>
        <v/>
      </c>
      <c r="L25" s="37">
        <f>IF($A25="","",IFERROR(COUNTIFS('זה אני - קליטה'!$B$5:$B$204,$A25,'זה אני - קליטה'!$C$5:$C$204,"אמצע שנה",'זה אני - קליטה'!$AW$5:$AW$204,"אמין")/COUNTIFS('זה אני - קליטה'!$B$5:$B$204,$A25,'זה אני - קליטה'!$C$5:$C$204,"אמצע שנה"),""))</f>
        <v/>
      </c>
      <c r="M25" s="47">
        <f>IF($A25="","",COUNTIFS('רווחה - קליטה'!$B$5:$B$204,$A25,'רווחה - קליטה'!$C$5:$C$204,"אמצע שנה"))</f>
        <v/>
      </c>
      <c r="N25" s="45">
        <f>IF($A25="","",IFERROR(AVERAGEIFS('רווחה - קליטה'!$AR$5:$AR$204,'רווחה - קליטה'!$B$5:$B$204,$A25,'רווחה - קליטה'!$C$5:$C$204,"אמצע שנה"),""))</f>
        <v/>
      </c>
      <c r="O25" s="37">
        <f>IF($A25="","",IFERROR(COUNTIFS('רווחה - קליטה'!$B$5:$B$204,$A25,'רווחה - קליטה'!$C$5:$C$204,"אמצע שנה",'רווחה - קליטה'!$AT$5:$AT$204,"אמין")/COUNTIFS('רווחה - קליטה'!$B$5:$B$204,$A25,'רווחה - קליטה'!$C$5:$C$204,"אמצע שנה"),""))</f>
        <v/>
      </c>
      <c r="P25" s="47">
        <f>IF($A25="","",COUNTIFS('זה אני - קליטה'!$B$5:$B$204,$A25,'זה אני - קליטה'!$C$5:$C$204,"סוף שנה"))</f>
        <v/>
      </c>
      <c r="Q25" s="37">
        <f>IF($A25="","",IFERROR(AVERAGEIFS('זה אני - קליטה'!$AL$5:$AL$204,'זה אני - קליטה'!$B$5:$B$204,$A25,'זה אני - קליטה'!$C$5:$C$204,"סוף שנה"),""))</f>
        <v/>
      </c>
      <c r="R25" s="37">
        <f>IF($A25="","",IFERROR(AVERAGEIFS('זה אני - קליטה'!$AN$5:$AN$204,'זה אני - קליטה'!$B$5:$B$204,$A25,'זה אני - קליטה'!$C$5:$C$204,"סוף שנה"),""))</f>
        <v/>
      </c>
      <c r="S25" s="37">
        <f>IF($A25="","",IFERROR(COUNTIFS('זה אני - קליטה'!$B$5:$B$204,$A25,'זה אני - קליטה'!$C$5:$C$204,"סוף שנה",'זה אני - קליטה'!$AW$5:$AW$204,"אמין")/COUNTIFS('זה אני - קליטה'!$B$5:$B$204,$A25,'זה אני - קליטה'!$C$5:$C$204,"סוף שנה"),""))</f>
        <v/>
      </c>
      <c r="T25" s="47">
        <f>IF($A25="","",COUNTIFS('רווחה - קליטה'!$B$5:$B$204,$A25,'רווחה - קליטה'!$C$5:$C$204,"סוף שנה"))</f>
        <v/>
      </c>
      <c r="U25" s="45">
        <f>IF($A25="","",IFERROR(AVERAGEIFS('רווחה - קליטה'!$AR$5:$AR$204,'רווחה - קליטה'!$B$5:$B$204,$A25,'רווחה - קליטה'!$C$5:$C$204,"סוף שנה"),""))</f>
        <v/>
      </c>
      <c r="V25" s="37">
        <f>IF($A25="","",IFERROR(COUNTIFS('רווחה - קליטה'!$B$5:$B$204,$A25,'רווחה - קליטה'!$C$5:$C$204,"סוף שנה",'רווחה - קליטה'!$AT$5:$AT$204,"אמין")/COUNTIFS('רווחה - קליטה'!$B$5:$B$204,$A25,'רווחה - קליטה'!$C$5:$C$204,"סוף שנה"),""))</f>
        <v/>
      </c>
    </row>
    <row r="26">
      <c r="A26" s="38" t="n"/>
      <c r="B26" s="47">
        <f>IF($A26="","",COUNTIFS('זה אני - קליטה'!$B$5:$B$204,$A26,'זה אני - קליטה'!$C$5:$C$204,"תחילת שנה"))</f>
        <v/>
      </c>
      <c r="C26" s="37">
        <f>IF($A26="","",IFERROR(AVERAGEIFS('זה אני - קליטה'!$AL$5:$AL$204,'זה אני - קליטה'!$B$5:$B$204,$A26,'זה אני - קליטה'!$C$5:$C$204,"תחילת שנה"),""))</f>
        <v/>
      </c>
      <c r="D26" s="37">
        <f>IF($A26="","",IFERROR(AVERAGEIFS('זה אני - קליטה'!$AN$5:$AN$204,'זה אני - קליטה'!$B$5:$B$204,$A26,'זה אני - קליטה'!$C$5:$C$204,"תחילת שנה"),""))</f>
        <v/>
      </c>
      <c r="E26" s="37">
        <f>IF($A26="","",IFERROR(COUNTIFS('זה אני - קליטה'!$B$5:$B$204,$A26,'זה אני - קליטה'!$C$5:$C$204,"תחילת שנה",'זה אני - קליטה'!$AW$5:$AW$204,"אמין")/COUNTIFS('זה אני - קליטה'!$B$5:$B$204,$A26,'זה אני - קליטה'!$C$5:$C$204,"תחילת שנה"),""))</f>
        <v/>
      </c>
      <c r="F26" s="47">
        <f>IF($A26="","",COUNTIFS('רווחה - קליטה'!$B$5:$B$204,$A26,'רווחה - קליטה'!$C$5:$C$204,"תחילת שנה"))</f>
        <v/>
      </c>
      <c r="G26" s="45">
        <f>IF($A26="","",IFERROR(AVERAGEIFS('רווחה - קליטה'!$AR$5:$AR$204,'רווחה - קליטה'!$B$5:$B$204,$A26,'רווחה - קליטה'!$C$5:$C$204,"תחילת שנה"),""))</f>
        <v/>
      </c>
      <c r="H26" s="37">
        <f>IF($A26="","",IFERROR(COUNTIFS('רווחה - קליטה'!$B$5:$B$204,$A26,'רווחה - קליטה'!$C$5:$C$204,"תחילת שנה",'רווחה - קליטה'!$AT$5:$AT$204,"אמין")/COUNTIFS('רווחה - קליטה'!$B$5:$B$204,$A26,'רווחה - קליטה'!$C$5:$C$204,"תחילת שנה"),""))</f>
        <v/>
      </c>
      <c r="I26" s="47">
        <f>IF($A26="","",COUNTIFS('זה אני - קליטה'!$B$5:$B$204,$A26,'זה אני - קליטה'!$C$5:$C$204,"אמצע שנה"))</f>
        <v/>
      </c>
      <c r="J26" s="37">
        <f>IF($A26="","",IFERROR(AVERAGEIFS('זה אני - קליטה'!$AL$5:$AL$204,'זה אני - קליטה'!$B$5:$B$204,$A26,'זה אני - קליטה'!$C$5:$C$204,"אמצע שנה"),""))</f>
        <v/>
      </c>
      <c r="K26" s="37">
        <f>IF($A26="","",IFERROR(AVERAGEIFS('זה אני - קליטה'!$AN$5:$AN$204,'זה אני - קליטה'!$B$5:$B$204,$A26,'זה אני - קליטה'!$C$5:$C$204,"אמצע שנה"),""))</f>
        <v/>
      </c>
      <c r="L26" s="37">
        <f>IF($A26="","",IFERROR(COUNTIFS('זה אני - קליטה'!$B$5:$B$204,$A26,'זה אני - קליטה'!$C$5:$C$204,"אמצע שנה",'זה אני - קליטה'!$AW$5:$AW$204,"אמין")/COUNTIFS('זה אני - קליטה'!$B$5:$B$204,$A26,'זה אני - קליטה'!$C$5:$C$204,"אמצע שנה"),""))</f>
        <v/>
      </c>
      <c r="M26" s="47">
        <f>IF($A26="","",COUNTIFS('רווחה - קליטה'!$B$5:$B$204,$A26,'רווחה - קליטה'!$C$5:$C$204,"אמצע שנה"))</f>
        <v/>
      </c>
      <c r="N26" s="45">
        <f>IF($A26="","",IFERROR(AVERAGEIFS('רווחה - קליטה'!$AR$5:$AR$204,'רווחה - קליטה'!$B$5:$B$204,$A26,'רווחה - קליטה'!$C$5:$C$204,"אמצע שנה"),""))</f>
        <v/>
      </c>
      <c r="O26" s="37">
        <f>IF($A26="","",IFERROR(COUNTIFS('רווחה - קליטה'!$B$5:$B$204,$A26,'רווחה - קליטה'!$C$5:$C$204,"אמצע שנה",'רווחה - קליטה'!$AT$5:$AT$204,"אמין")/COUNTIFS('רווחה - קליטה'!$B$5:$B$204,$A26,'רווחה - קליטה'!$C$5:$C$204,"אמצע שנה"),""))</f>
        <v/>
      </c>
      <c r="P26" s="47">
        <f>IF($A26="","",COUNTIFS('זה אני - קליטה'!$B$5:$B$204,$A26,'זה אני - קליטה'!$C$5:$C$204,"סוף שנה"))</f>
        <v/>
      </c>
      <c r="Q26" s="37">
        <f>IF($A26="","",IFERROR(AVERAGEIFS('זה אני - קליטה'!$AL$5:$AL$204,'זה אני - קליטה'!$B$5:$B$204,$A26,'זה אני - קליטה'!$C$5:$C$204,"סוף שנה"),""))</f>
        <v/>
      </c>
      <c r="R26" s="37">
        <f>IF($A26="","",IFERROR(AVERAGEIFS('זה אני - קליטה'!$AN$5:$AN$204,'זה אני - קליטה'!$B$5:$B$204,$A26,'זה אני - קליטה'!$C$5:$C$204,"סוף שנה"),""))</f>
        <v/>
      </c>
      <c r="S26" s="37">
        <f>IF($A26="","",IFERROR(COUNTIFS('זה אני - קליטה'!$B$5:$B$204,$A26,'זה אני - קליטה'!$C$5:$C$204,"סוף שנה",'זה אני - קליטה'!$AW$5:$AW$204,"אמין")/COUNTIFS('זה אני - קליטה'!$B$5:$B$204,$A26,'זה אני - קליטה'!$C$5:$C$204,"סוף שנה"),""))</f>
        <v/>
      </c>
      <c r="T26" s="47">
        <f>IF($A26="","",COUNTIFS('רווחה - קליטה'!$B$5:$B$204,$A26,'רווחה - קליטה'!$C$5:$C$204,"סוף שנה"))</f>
        <v/>
      </c>
      <c r="U26" s="45">
        <f>IF($A26="","",IFERROR(AVERAGEIFS('רווחה - קליטה'!$AR$5:$AR$204,'רווחה - קליטה'!$B$5:$B$204,$A26,'רווחה - קליטה'!$C$5:$C$204,"סוף שנה"),""))</f>
        <v/>
      </c>
      <c r="V26" s="37">
        <f>IF($A26="","",IFERROR(COUNTIFS('רווחה - קליטה'!$B$5:$B$204,$A26,'רווחה - קליטה'!$C$5:$C$204,"סוף שנה",'רווחה - קליטה'!$AT$5:$AT$204,"אמין")/COUNTIFS('רווחה - קליטה'!$B$5:$B$204,$A26,'רווחה - קליטה'!$C$5:$C$204,"סוף שנה"),""))</f>
        <v/>
      </c>
    </row>
    <row r="27">
      <c r="A27" s="38" t="n"/>
      <c r="B27" s="47">
        <f>IF($A27="","",COUNTIFS('זה אני - קליטה'!$B$5:$B$204,$A27,'זה אני - קליטה'!$C$5:$C$204,"תחילת שנה"))</f>
        <v/>
      </c>
      <c r="C27" s="37">
        <f>IF($A27="","",IFERROR(AVERAGEIFS('זה אני - קליטה'!$AL$5:$AL$204,'זה אני - קליטה'!$B$5:$B$204,$A27,'זה אני - קליטה'!$C$5:$C$204,"תחילת שנה"),""))</f>
        <v/>
      </c>
      <c r="D27" s="37">
        <f>IF($A27="","",IFERROR(AVERAGEIFS('זה אני - קליטה'!$AN$5:$AN$204,'זה אני - קליטה'!$B$5:$B$204,$A27,'זה אני - קליטה'!$C$5:$C$204,"תחילת שנה"),""))</f>
        <v/>
      </c>
      <c r="E27" s="37">
        <f>IF($A27="","",IFERROR(COUNTIFS('זה אני - קליטה'!$B$5:$B$204,$A27,'זה אני - קליטה'!$C$5:$C$204,"תחילת שנה",'זה אני - קליטה'!$AW$5:$AW$204,"אמין")/COUNTIFS('זה אני - קליטה'!$B$5:$B$204,$A27,'זה אני - קליטה'!$C$5:$C$204,"תחילת שנה"),""))</f>
        <v/>
      </c>
      <c r="F27" s="47">
        <f>IF($A27="","",COUNTIFS('רווחה - קליטה'!$B$5:$B$204,$A27,'רווחה - קליטה'!$C$5:$C$204,"תחילת שנה"))</f>
        <v/>
      </c>
      <c r="G27" s="45">
        <f>IF($A27="","",IFERROR(AVERAGEIFS('רווחה - קליטה'!$AR$5:$AR$204,'רווחה - קליטה'!$B$5:$B$204,$A27,'רווחה - קליטה'!$C$5:$C$204,"תחילת שנה"),""))</f>
        <v/>
      </c>
      <c r="H27" s="37">
        <f>IF($A27="","",IFERROR(COUNTIFS('רווחה - קליטה'!$B$5:$B$204,$A27,'רווחה - קליטה'!$C$5:$C$204,"תחילת שנה",'רווחה - קליטה'!$AT$5:$AT$204,"אמין")/COUNTIFS('רווחה - קליטה'!$B$5:$B$204,$A27,'רווחה - קליטה'!$C$5:$C$204,"תחילת שנה"),""))</f>
        <v/>
      </c>
      <c r="I27" s="47">
        <f>IF($A27="","",COUNTIFS('זה אני - קליטה'!$B$5:$B$204,$A27,'זה אני - קליטה'!$C$5:$C$204,"אמצע שנה"))</f>
        <v/>
      </c>
      <c r="J27" s="37">
        <f>IF($A27="","",IFERROR(AVERAGEIFS('זה אני - קליטה'!$AL$5:$AL$204,'זה אני - קליטה'!$B$5:$B$204,$A27,'זה אני - קליטה'!$C$5:$C$204,"אמצע שנה"),""))</f>
        <v/>
      </c>
      <c r="K27" s="37">
        <f>IF($A27="","",IFERROR(AVERAGEIFS('זה אני - קליטה'!$AN$5:$AN$204,'זה אני - קליטה'!$B$5:$B$204,$A27,'זה אני - קליטה'!$C$5:$C$204,"אמצע שנה"),""))</f>
        <v/>
      </c>
      <c r="L27" s="37">
        <f>IF($A27="","",IFERROR(COUNTIFS('זה אני - קליטה'!$B$5:$B$204,$A27,'זה אני - קליטה'!$C$5:$C$204,"אמצע שנה",'זה אני - קליטה'!$AW$5:$AW$204,"אמין")/COUNTIFS('זה אני - קליטה'!$B$5:$B$204,$A27,'זה אני - קליטה'!$C$5:$C$204,"אמצע שנה"),""))</f>
        <v/>
      </c>
      <c r="M27" s="47">
        <f>IF($A27="","",COUNTIFS('רווחה - קליטה'!$B$5:$B$204,$A27,'רווחה - קליטה'!$C$5:$C$204,"אמצע שנה"))</f>
        <v/>
      </c>
      <c r="N27" s="45">
        <f>IF($A27="","",IFERROR(AVERAGEIFS('רווחה - קליטה'!$AR$5:$AR$204,'רווחה - קליטה'!$B$5:$B$204,$A27,'רווחה - קליטה'!$C$5:$C$204,"אמצע שנה"),""))</f>
        <v/>
      </c>
      <c r="O27" s="37">
        <f>IF($A27="","",IFERROR(COUNTIFS('רווחה - קליטה'!$B$5:$B$204,$A27,'רווחה - קליטה'!$C$5:$C$204,"אמצע שנה",'רווחה - קליטה'!$AT$5:$AT$204,"אמין")/COUNTIFS('רווחה - קליטה'!$B$5:$B$204,$A27,'רווחה - קליטה'!$C$5:$C$204,"אמצע שנה"),""))</f>
        <v/>
      </c>
      <c r="P27" s="47">
        <f>IF($A27="","",COUNTIFS('זה אני - קליטה'!$B$5:$B$204,$A27,'זה אני - קליטה'!$C$5:$C$204,"סוף שנה"))</f>
        <v/>
      </c>
      <c r="Q27" s="37">
        <f>IF($A27="","",IFERROR(AVERAGEIFS('זה אני - קליטה'!$AL$5:$AL$204,'זה אני - קליטה'!$B$5:$B$204,$A27,'זה אני - קליטה'!$C$5:$C$204,"סוף שנה"),""))</f>
        <v/>
      </c>
      <c r="R27" s="37">
        <f>IF($A27="","",IFERROR(AVERAGEIFS('זה אני - קליטה'!$AN$5:$AN$204,'זה אני - קליטה'!$B$5:$B$204,$A27,'זה אני - קליטה'!$C$5:$C$204,"סוף שנה"),""))</f>
        <v/>
      </c>
      <c r="S27" s="37">
        <f>IF($A27="","",IFERROR(COUNTIFS('זה אני - קליטה'!$B$5:$B$204,$A27,'זה אני - קליטה'!$C$5:$C$204,"סוף שנה",'זה אני - קליטה'!$AW$5:$AW$204,"אמין")/COUNTIFS('זה אני - קליטה'!$B$5:$B$204,$A27,'זה אני - קליטה'!$C$5:$C$204,"סוף שנה"),""))</f>
        <v/>
      </c>
      <c r="T27" s="47">
        <f>IF($A27="","",COUNTIFS('רווחה - קליטה'!$B$5:$B$204,$A27,'רווחה - קליטה'!$C$5:$C$204,"סוף שנה"))</f>
        <v/>
      </c>
      <c r="U27" s="45">
        <f>IF($A27="","",IFERROR(AVERAGEIFS('רווחה - קליטה'!$AR$5:$AR$204,'רווחה - קליטה'!$B$5:$B$204,$A27,'רווחה - קליטה'!$C$5:$C$204,"סוף שנה"),""))</f>
        <v/>
      </c>
      <c r="V27" s="37">
        <f>IF($A27="","",IFERROR(COUNTIFS('רווחה - קליטה'!$B$5:$B$204,$A27,'רווחה - קליטה'!$C$5:$C$204,"סוף שנה",'רווחה - קליטה'!$AT$5:$AT$204,"אמין")/COUNTIFS('רווחה - קליטה'!$B$5:$B$204,$A27,'רווחה - קליטה'!$C$5:$C$204,"סוף שנה"),""))</f>
        <v/>
      </c>
    </row>
    <row r="28">
      <c r="A28" s="38" t="n"/>
      <c r="B28" s="47">
        <f>IF($A28="","",COUNTIFS('זה אני - קליטה'!$B$5:$B$204,$A28,'זה אני - קליטה'!$C$5:$C$204,"תחילת שנה"))</f>
        <v/>
      </c>
      <c r="C28" s="37">
        <f>IF($A28="","",IFERROR(AVERAGEIFS('זה אני - קליטה'!$AL$5:$AL$204,'זה אני - קליטה'!$B$5:$B$204,$A28,'זה אני - קליטה'!$C$5:$C$204,"תחילת שנה"),""))</f>
        <v/>
      </c>
      <c r="D28" s="37">
        <f>IF($A28="","",IFERROR(AVERAGEIFS('זה אני - קליטה'!$AN$5:$AN$204,'זה אני - קליטה'!$B$5:$B$204,$A28,'זה אני - קליטה'!$C$5:$C$204,"תחילת שנה"),""))</f>
        <v/>
      </c>
      <c r="E28" s="37">
        <f>IF($A28="","",IFERROR(COUNTIFS('זה אני - קליטה'!$B$5:$B$204,$A28,'זה אני - קליטה'!$C$5:$C$204,"תחילת שנה",'זה אני - קליטה'!$AW$5:$AW$204,"אמין")/COUNTIFS('זה אני - קליטה'!$B$5:$B$204,$A28,'זה אני - קליטה'!$C$5:$C$204,"תחילת שנה"),""))</f>
        <v/>
      </c>
      <c r="F28" s="47">
        <f>IF($A28="","",COUNTIFS('רווחה - קליטה'!$B$5:$B$204,$A28,'רווחה - קליטה'!$C$5:$C$204,"תחילת שנה"))</f>
        <v/>
      </c>
      <c r="G28" s="45">
        <f>IF($A28="","",IFERROR(AVERAGEIFS('רווחה - קליטה'!$AR$5:$AR$204,'רווחה - קליטה'!$B$5:$B$204,$A28,'רווחה - קליטה'!$C$5:$C$204,"תחילת שנה"),""))</f>
        <v/>
      </c>
      <c r="H28" s="37">
        <f>IF($A28="","",IFERROR(COUNTIFS('רווחה - קליטה'!$B$5:$B$204,$A28,'רווחה - קליטה'!$C$5:$C$204,"תחילת שנה",'רווחה - קליטה'!$AT$5:$AT$204,"אמין")/COUNTIFS('רווחה - קליטה'!$B$5:$B$204,$A28,'רווחה - קליטה'!$C$5:$C$204,"תחילת שנה"),""))</f>
        <v/>
      </c>
      <c r="I28" s="47">
        <f>IF($A28="","",COUNTIFS('זה אני - קליטה'!$B$5:$B$204,$A28,'זה אני - קליטה'!$C$5:$C$204,"אמצע שנה"))</f>
        <v/>
      </c>
      <c r="J28" s="37">
        <f>IF($A28="","",IFERROR(AVERAGEIFS('זה אני - קליטה'!$AL$5:$AL$204,'זה אני - קליטה'!$B$5:$B$204,$A28,'זה אני - קליטה'!$C$5:$C$204,"אמצע שנה"),""))</f>
        <v/>
      </c>
      <c r="K28" s="37">
        <f>IF($A28="","",IFERROR(AVERAGEIFS('זה אני - קליטה'!$AN$5:$AN$204,'זה אני - קליטה'!$B$5:$B$204,$A28,'זה אני - קליטה'!$C$5:$C$204,"אמצע שנה"),""))</f>
        <v/>
      </c>
      <c r="L28" s="37">
        <f>IF($A28="","",IFERROR(COUNTIFS('זה אני - קליטה'!$B$5:$B$204,$A28,'זה אני - קליטה'!$C$5:$C$204,"אמצע שנה",'זה אני - קליטה'!$AW$5:$AW$204,"אמין")/COUNTIFS('זה אני - קליטה'!$B$5:$B$204,$A28,'זה אני - קליטה'!$C$5:$C$204,"אמצע שנה"),""))</f>
        <v/>
      </c>
      <c r="M28" s="47">
        <f>IF($A28="","",COUNTIFS('רווחה - קליטה'!$B$5:$B$204,$A28,'רווחה - קליטה'!$C$5:$C$204,"אמצע שנה"))</f>
        <v/>
      </c>
      <c r="N28" s="45">
        <f>IF($A28="","",IFERROR(AVERAGEIFS('רווחה - קליטה'!$AR$5:$AR$204,'רווחה - קליטה'!$B$5:$B$204,$A28,'רווחה - קליטה'!$C$5:$C$204,"אמצע שנה"),""))</f>
        <v/>
      </c>
      <c r="O28" s="37">
        <f>IF($A28="","",IFERROR(COUNTIFS('רווחה - קליטה'!$B$5:$B$204,$A28,'רווחה - קליטה'!$C$5:$C$204,"אמצע שנה",'רווחה - קליטה'!$AT$5:$AT$204,"אמין")/COUNTIFS('רווחה - קליטה'!$B$5:$B$204,$A28,'רווחה - קליטה'!$C$5:$C$204,"אמצע שנה"),""))</f>
        <v/>
      </c>
      <c r="P28" s="47">
        <f>IF($A28="","",COUNTIFS('זה אני - קליטה'!$B$5:$B$204,$A28,'זה אני - קליטה'!$C$5:$C$204,"סוף שנה"))</f>
        <v/>
      </c>
      <c r="Q28" s="37">
        <f>IF($A28="","",IFERROR(AVERAGEIFS('זה אני - קליטה'!$AL$5:$AL$204,'זה אני - קליטה'!$B$5:$B$204,$A28,'זה אני - קליטה'!$C$5:$C$204,"סוף שנה"),""))</f>
        <v/>
      </c>
      <c r="R28" s="37">
        <f>IF($A28="","",IFERROR(AVERAGEIFS('זה אני - קליטה'!$AN$5:$AN$204,'זה אני - קליטה'!$B$5:$B$204,$A28,'זה אני - קליטה'!$C$5:$C$204,"סוף שנה"),""))</f>
        <v/>
      </c>
      <c r="S28" s="37">
        <f>IF($A28="","",IFERROR(COUNTIFS('זה אני - קליטה'!$B$5:$B$204,$A28,'זה אני - קליטה'!$C$5:$C$204,"סוף שנה",'זה אני - קליטה'!$AW$5:$AW$204,"אמין")/COUNTIFS('זה אני - קליטה'!$B$5:$B$204,$A28,'זה אני - קליטה'!$C$5:$C$204,"סוף שנה"),""))</f>
        <v/>
      </c>
      <c r="T28" s="47">
        <f>IF($A28="","",COUNTIFS('רווחה - קליטה'!$B$5:$B$204,$A28,'רווחה - קליטה'!$C$5:$C$204,"סוף שנה"))</f>
        <v/>
      </c>
      <c r="U28" s="45">
        <f>IF($A28="","",IFERROR(AVERAGEIFS('רווחה - קליטה'!$AR$5:$AR$204,'רווחה - קליטה'!$B$5:$B$204,$A28,'רווחה - קליטה'!$C$5:$C$204,"סוף שנה"),""))</f>
        <v/>
      </c>
      <c r="V28" s="37">
        <f>IF($A28="","",IFERROR(COUNTIFS('רווחה - קליטה'!$B$5:$B$204,$A28,'רווחה - קליטה'!$C$5:$C$204,"סוף שנה",'רווחה - קליטה'!$AT$5:$AT$204,"אמין")/COUNTIFS('רווחה - קליטה'!$B$5:$B$204,$A28,'רווחה - קליטה'!$C$5:$C$204,"סוף שנה"),""))</f>
        <v/>
      </c>
    </row>
    <row r="29">
      <c r="A29" s="38" t="n"/>
      <c r="B29" s="47">
        <f>IF($A29="","",COUNTIFS('זה אני - קליטה'!$B$5:$B$204,$A29,'זה אני - קליטה'!$C$5:$C$204,"תחילת שנה"))</f>
        <v/>
      </c>
      <c r="C29" s="37">
        <f>IF($A29="","",IFERROR(AVERAGEIFS('זה אני - קליטה'!$AL$5:$AL$204,'זה אני - קליטה'!$B$5:$B$204,$A29,'זה אני - קליטה'!$C$5:$C$204,"תחילת שנה"),""))</f>
        <v/>
      </c>
      <c r="D29" s="37">
        <f>IF($A29="","",IFERROR(AVERAGEIFS('זה אני - קליטה'!$AN$5:$AN$204,'זה אני - קליטה'!$B$5:$B$204,$A29,'זה אני - קליטה'!$C$5:$C$204,"תחילת שנה"),""))</f>
        <v/>
      </c>
      <c r="E29" s="37">
        <f>IF($A29="","",IFERROR(COUNTIFS('זה אני - קליטה'!$B$5:$B$204,$A29,'זה אני - קליטה'!$C$5:$C$204,"תחילת שנה",'זה אני - קליטה'!$AW$5:$AW$204,"אמין")/COUNTIFS('זה אני - קליטה'!$B$5:$B$204,$A29,'זה אני - קליטה'!$C$5:$C$204,"תחילת שנה"),""))</f>
        <v/>
      </c>
      <c r="F29" s="47">
        <f>IF($A29="","",COUNTIFS('רווחה - קליטה'!$B$5:$B$204,$A29,'רווחה - קליטה'!$C$5:$C$204,"תחילת שנה"))</f>
        <v/>
      </c>
      <c r="G29" s="45">
        <f>IF($A29="","",IFERROR(AVERAGEIFS('רווחה - קליטה'!$AR$5:$AR$204,'רווחה - קליטה'!$B$5:$B$204,$A29,'רווחה - קליטה'!$C$5:$C$204,"תחילת שנה"),""))</f>
        <v/>
      </c>
      <c r="H29" s="37">
        <f>IF($A29="","",IFERROR(COUNTIFS('רווחה - קליטה'!$B$5:$B$204,$A29,'רווחה - קליטה'!$C$5:$C$204,"תחילת שנה",'רווחה - קליטה'!$AT$5:$AT$204,"אמין")/COUNTIFS('רווחה - קליטה'!$B$5:$B$204,$A29,'רווחה - קליטה'!$C$5:$C$204,"תחילת שנה"),""))</f>
        <v/>
      </c>
      <c r="I29" s="47">
        <f>IF($A29="","",COUNTIFS('זה אני - קליטה'!$B$5:$B$204,$A29,'זה אני - קליטה'!$C$5:$C$204,"אמצע שנה"))</f>
        <v/>
      </c>
      <c r="J29" s="37">
        <f>IF($A29="","",IFERROR(AVERAGEIFS('זה אני - קליטה'!$AL$5:$AL$204,'זה אני - קליטה'!$B$5:$B$204,$A29,'זה אני - קליטה'!$C$5:$C$204,"אמצע שנה"),""))</f>
        <v/>
      </c>
      <c r="K29" s="37">
        <f>IF($A29="","",IFERROR(AVERAGEIFS('זה אני - קליטה'!$AN$5:$AN$204,'זה אני - קליטה'!$B$5:$B$204,$A29,'זה אני - קליטה'!$C$5:$C$204,"אמצע שנה"),""))</f>
        <v/>
      </c>
      <c r="L29" s="37">
        <f>IF($A29="","",IFERROR(COUNTIFS('זה אני - קליטה'!$B$5:$B$204,$A29,'זה אני - קליטה'!$C$5:$C$204,"אמצע שנה",'זה אני - קליטה'!$AW$5:$AW$204,"אמין")/COUNTIFS('זה אני - קליטה'!$B$5:$B$204,$A29,'זה אני - קליטה'!$C$5:$C$204,"אמצע שנה"),""))</f>
        <v/>
      </c>
      <c r="M29" s="47">
        <f>IF($A29="","",COUNTIFS('רווחה - קליטה'!$B$5:$B$204,$A29,'רווחה - קליטה'!$C$5:$C$204,"אמצע שנה"))</f>
        <v/>
      </c>
      <c r="N29" s="45">
        <f>IF($A29="","",IFERROR(AVERAGEIFS('רווחה - קליטה'!$AR$5:$AR$204,'רווחה - קליטה'!$B$5:$B$204,$A29,'רווחה - קליטה'!$C$5:$C$204,"אמצע שנה"),""))</f>
        <v/>
      </c>
      <c r="O29" s="37">
        <f>IF($A29="","",IFERROR(COUNTIFS('רווחה - קליטה'!$B$5:$B$204,$A29,'רווחה - קליטה'!$C$5:$C$204,"אמצע שנה",'רווחה - קליטה'!$AT$5:$AT$204,"אמין")/COUNTIFS('רווחה - קליטה'!$B$5:$B$204,$A29,'רווחה - קליטה'!$C$5:$C$204,"אמצע שנה"),""))</f>
        <v/>
      </c>
      <c r="P29" s="47">
        <f>IF($A29="","",COUNTIFS('זה אני - קליטה'!$B$5:$B$204,$A29,'זה אני - קליטה'!$C$5:$C$204,"סוף שנה"))</f>
        <v/>
      </c>
      <c r="Q29" s="37">
        <f>IF($A29="","",IFERROR(AVERAGEIFS('זה אני - קליטה'!$AL$5:$AL$204,'זה אני - קליטה'!$B$5:$B$204,$A29,'זה אני - קליטה'!$C$5:$C$204,"סוף שנה"),""))</f>
        <v/>
      </c>
      <c r="R29" s="37">
        <f>IF($A29="","",IFERROR(AVERAGEIFS('זה אני - קליטה'!$AN$5:$AN$204,'זה אני - קליטה'!$B$5:$B$204,$A29,'זה אני - קליטה'!$C$5:$C$204,"סוף שנה"),""))</f>
        <v/>
      </c>
      <c r="S29" s="37">
        <f>IF($A29="","",IFERROR(COUNTIFS('זה אני - קליטה'!$B$5:$B$204,$A29,'זה אני - קליטה'!$C$5:$C$204,"סוף שנה",'זה אני - קליטה'!$AW$5:$AW$204,"אמין")/COUNTIFS('זה אני - קליטה'!$B$5:$B$204,$A29,'זה אני - קליטה'!$C$5:$C$204,"סוף שנה"),""))</f>
        <v/>
      </c>
      <c r="T29" s="47">
        <f>IF($A29="","",COUNTIFS('רווחה - קליטה'!$B$5:$B$204,$A29,'רווחה - קליטה'!$C$5:$C$204,"סוף שנה"))</f>
        <v/>
      </c>
      <c r="U29" s="45">
        <f>IF($A29="","",IFERROR(AVERAGEIFS('רווחה - קליטה'!$AR$5:$AR$204,'רווחה - קליטה'!$B$5:$B$204,$A29,'רווחה - קליטה'!$C$5:$C$204,"סוף שנה"),""))</f>
        <v/>
      </c>
      <c r="V29" s="37">
        <f>IF($A29="","",IFERROR(COUNTIFS('רווחה - קליטה'!$B$5:$B$204,$A29,'רווחה - קליטה'!$C$5:$C$204,"סוף שנה",'רווחה - קליטה'!$AT$5:$AT$204,"אמין")/COUNTIFS('רווחה - קליטה'!$B$5:$B$204,$A29,'רווחה - קליטה'!$C$5:$C$204,"סוף שנה"),""))</f>
        <v/>
      </c>
    </row>
    <row r="30">
      <c r="A30" s="38" t="n"/>
      <c r="B30" s="47">
        <f>IF($A30="","",COUNTIFS('זה אני - קליטה'!$B$5:$B$204,$A30,'זה אני - קליטה'!$C$5:$C$204,"תחילת שנה"))</f>
        <v/>
      </c>
      <c r="C30" s="37">
        <f>IF($A30="","",IFERROR(AVERAGEIFS('זה אני - קליטה'!$AL$5:$AL$204,'זה אני - קליטה'!$B$5:$B$204,$A30,'זה אני - קליטה'!$C$5:$C$204,"תחילת שנה"),""))</f>
        <v/>
      </c>
      <c r="D30" s="37">
        <f>IF($A30="","",IFERROR(AVERAGEIFS('זה אני - קליטה'!$AN$5:$AN$204,'זה אני - קליטה'!$B$5:$B$204,$A30,'זה אני - קליטה'!$C$5:$C$204,"תחילת שנה"),""))</f>
        <v/>
      </c>
      <c r="E30" s="37">
        <f>IF($A30="","",IFERROR(COUNTIFS('זה אני - קליטה'!$B$5:$B$204,$A30,'זה אני - קליטה'!$C$5:$C$204,"תחילת שנה",'זה אני - קליטה'!$AW$5:$AW$204,"אמין")/COUNTIFS('זה אני - קליטה'!$B$5:$B$204,$A30,'זה אני - קליטה'!$C$5:$C$204,"תחילת שנה"),""))</f>
        <v/>
      </c>
      <c r="F30" s="47">
        <f>IF($A30="","",COUNTIFS('רווחה - קליטה'!$B$5:$B$204,$A30,'רווחה - קליטה'!$C$5:$C$204,"תחילת שנה"))</f>
        <v/>
      </c>
      <c r="G30" s="45">
        <f>IF($A30="","",IFERROR(AVERAGEIFS('רווחה - קליטה'!$AR$5:$AR$204,'רווחה - קליטה'!$B$5:$B$204,$A30,'רווחה - קליטה'!$C$5:$C$204,"תחילת שנה"),""))</f>
        <v/>
      </c>
      <c r="H30" s="37">
        <f>IF($A30="","",IFERROR(COUNTIFS('רווחה - קליטה'!$B$5:$B$204,$A30,'רווחה - קליטה'!$C$5:$C$204,"תחילת שנה",'רווחה - קליטה'!$AT$5:$AT$204,"אמין")/COUNTIFS('רווחה - קליטה'!$B$5:$B$204,$A30,'רווחה - קליטה'!$C$5:$C$204,"תחילת שנה"),""))</f>
        <v/>
      </c>
      <c r="I30" s="47">
        <f>IF($A30="","",COUNTIFS('זה אני - קליטה'!$B$5:$B$204,$A30,'זה אני - קליטה'!$C$5:$C$204,"אמצע שנה"))</f>
        <v/>
      </c>
      <c r="J30" s="37">
        <f>IF($A30="","",IFERROR(AVERAGEIFS('זה אני - קליטה'!$AL$5:$AL$204,'זה אני - קליטה'!$B$5:$B$204,$A30,'זה אני - קליטה'!$C$5:$C$204,"אמצע שנה"),""))</f>
        <v/>
      </c>
      <c r="K30" s="37">
        <f>IF($A30="","",IFERROR(AVERAGEIFS('זה אני - קליטה'!$AN$5:$AN$204,'זה אני - קליטה'!$B$5:$B$204,$A30,'זה אני - קליטה'!$C$5:$C$204,"אמצע שנה"),""))</f>
        <v/>
      </c>
      <c r="L30" s="37">
        <f>IF($A30="","",IFERROR(COUNTIFS('זה אני - קליטה'!$B$5:$B$204,$A30,'זה אני - קליטה'!$C$5:$C$204,"אמצע שנה",'זה אני - קליטה'!$AW$5:$AW$204,"אמין")/COUNTIFS('זה אני - קליטה'!$B$5:$B$204,$A30,'זה אני - קליטה'!$C$5:$C$204,"אמצע שנה"),""))</f>
        <v/>
      </c>
      <c r="M30" s="47">
        <f>IF($A30="","",COUNTIFS('רווחה - קליטה'!$B$5:$B$204,$A30,'רווחה - קליטה'!$C$5:$C$204,"אמצע שנה"))</f>
        <v/>
      </c>
      <c r="N30" s="45">
        <f>IF($A30="","",IFERROR(AVERAGEIFS('רווחה - קליטה'!$AR$5:$AR$204,'רווחה - קליטה'!$B$5:$B$204,$A30,'רווחה - קליטה'!$C$5:$C$204,"אמצע שנה"),""))</f>
        <v/>
      </c>
      <c r="O30" s="37">
        <f>IF($A30="","",IFERROR(COUNTIFS('רווחה - קליטה'!$B$5:$B$204,$A30,'רווחה - קליטה'!$C$5:$C$204,"אמצע שנה",'רווחה - קליטה'!$AT$5:$AT$204,"אמין")/COUNTIFS('רווחה - קליטה'!$B$5:$B$204,$A30,'רווחה - קליטה'!$C$5:$C$204,"אמצע שנה"),""))</f>
        <v/>
      </c>
      <c r="P30" s="47">
        <f>IF($A30="","",COUNTIFS('זה אני - קליטה'!$B$5:$B$204,$A30,'זה אני - קליטה'!$C$5:$C$204,"סוף שנה"))</f>
        <v/>
      </c>
      <c r="Q30" s="37">
        <f>IF($A30="","",IFERROR(AVERAGEIFS('זה אני - קליטה'!$AL$5:$AL$204,'זה אני - קליטה'!$B$5:$B$204,$A30,'זה אני - קליטה'!$C$5:$C$204,"סוף שנה"),""))</f>
        <v/>
      </c>
      <c r="R30" s="37">
        <f>IF($A30="","",IFERROR(AVERAGEIFS('זה אני - קליטה'!$AN$5:$AN$204,'זה אני - קליטה'!$B$5:$B$204,$A30,'זה אני - קליטה'!$C$5:$C$204,"סוף שנה"),""))</f>
        <v/>
      </c>
      <c r="S30" s="37">
        <f>IF($A30="","",IFERROR(COUNTIFS('זה אני - קליטה'!$B$5:$B$204,$A30,'זה אני - קליטה'!$C$5:$C$204,"סוף שנה",'זה אני - קליטה'!$AW$5:$AW$204,"אמין")/COUNTIFS('זה אני - קליטה'!$B$5:$B$204,$A30,'זה אני - קליטה'!$C$5:$C$204,"סוף שנה"),""))</f>
        <v/>
      </c>
      <c r="T30" s="47">
        <f>IF($A30="","",COUNTIFS('רווחה - קליטה'!$B$5:$B$204,$A30,'רווחה - קליטה'!$C$5:$C$204,"סוף שנה"))</f>
        <v/>
      </c>
      <c r="U30" s="45">
        <f>IF($A30="","",IFERROR(AVERAGEIFS('רווחה - קליטה'!$AR$5:$AR$204,'רווחה - קליטה'!$B$5:$B$204,$A30,'רווחה - קליטה'!$C$5:$C$204,"סוף שנה"),""))</f>
        <v/>
      </c>
      <c r="V30" s="37">
        <f>IF($A30="","",IFERROR(COUNTIFS('רווחה - קליטה'!$B$5:$B$204,$A30,'רווחה - קליטה'!$C$5:$C$204,"סוף שנה",'רווחה - קליטה'!$AT$5:$AT$204,"אמין")/COUNTIFS('רווחה - קליטה'!$B$5:$B$204,$A30,'רווחה - קליטה'!$C$5:$C$204,"סוף שנה"),""))</f>
        <v/>
      </c>
    </row>
    <row r="31">
      <c r="A31" s="38" t="n"/>
      <c r="B31" s="47">
        <f>IF($A31="","",COUNTIFS('זה אני - קליטה'!$B$5:$B$204,$A31,'זה אני - קליטה'!$C$5:$C$204,"תחילת שנה"))</f>
        <v/>
      </c>
      <c r="C31" s="37">
        <f>IF($A31="","",IFERROR(AVERAGEIFS('זה אני - קליטה'!$AL$5:$AL$204,'זה אני - קליטה'!$B$5:$B$204,$A31,'זה אני - קליטה'!$C$5:$C$204,"תחילת שנה"),""))</f>
        <v/>
      </c>
      <c r="D31" s="37">
        <f>IF($A31="","",IFERROR(AVERAGEIFS('זה אני - קליטה'!$AN$5:$AN$204,'זה אני - קליטה'!$B$5:$B$204,$A31,'זה אני - קליטה'!$C$5:$C$204,"תחילת שנה"),""))</f>
        <v/>
      </c>
      <c r="E31" s="37">
        <f>IF($A31="","",IFERROR(COUNTIFS('זה אני - קליטה'!$B$5:$B$204,$A31,'זה אני - קליטה'!$C$5:$C$204,"תחילת שנה",'זה אני - קליטה'!$AW$5:$AW$204,"אמין")/COUNTIFS('זה אני - קליטה'!$B$5:$B$204,$A31,'זה אני - קליטה'!$C$5:$C$204,"תחילת שנה"),""))</f>
        <v/>
      </c>
      <c r="F31" s="47">
        <f>IF($A31="","",COUNTIFS('רווחה - קליטה'!$B$5:$B$204,$A31,'רווחה - קליטה'!$C$5:$C$204,"תחילת שנה"))</f>
        <v/>
      </c>
      <c r="G31" s="45">
        <f>IF($A31="","",IFERROR(AVERAGEIFS('רווחה - קליטה'!$AR$5:$AR$204,'רווחה - קליטה'!$B$5:$B$204,$A31,'רווחה - קליטה'!$C$5:$C$204,"תחילת שנה"),""))</f>
        <v/>
      </c>
      <c r="H31" s="37">
        <f>IF($A31="","",IFERROR(COUNTIFS('רווחה - קליטה'!$B$5:$B$204,$A31,'רווחה - קליטה'!$C$5:$C$204,"תחילת שנה",'רווחה - קליטה'!$AT$5:$AT$204,"אמין")/COUNTIFS('רווחה - קליטה'!$B$5:$B$204,$A31,'רווחה - קליטה'!$C$5:$C$204,"תחילת שנה"),""))</f>
        <v/>
      </c>
      <c r="I31" s="47">
        <f>IF($A31="","",COUNTIFS('זה אני - קליטה'!$B$5:$B$204,$A31,'זה אני - קליטה'!$C$5:$C$204,"אמצע שנה"))</f>
        <v/>
      </c>
      <c r="J31" s="37">
        <f>IF($A31="","",IFERROR(AVERAGEIFS('זה אני - קליטה'!$AL$5:$AL$204,'זה אני - קליטה'!$B$5:$B$204,$A31,'זה אני - קליטה'!$C$5:$C$204,"אמצע שנה"),""))</f>
        <v/>
      </c>
      <c r="K31" s="37">
        <f>IF($A31="","",IFERROR(AVERAGEIFS('זה אני - קליטה'!$AN$5:$AN$204,'זה אני - קליטה'!$B$5:$B$204,$A31,'זה אני - קליטה'!$C$5:$C$204,"אמצע שנה"),""))</f>
        <v/>
      </c>
      <c r="L31" s="37">
        <f>IF($A31="","",IFERROR(COUNTIFS('זה אני - קליטה'!$B$5:$B$204,$A31,'זה אני - קליטה'!$C$5:$C$204,"אמצע שנה",'זה אני - קליטה'!$AW$5:$AW$204,"אמין")/COUNTIFS('זה אני - קליטה'!$B$5:$B$204,$A31,'זה אני - קליטה'!$C$5:$C$204,"אמצע שנה"),""))</f>
        <v/>
      </c>
      <c r="M31" s="47">
        <f>IF($A31="","",COUNTIFS('רווחה - קליטה'!$B$5:$B$204,$A31,'רווחה - קליטה'!$C$5:$C$204,"אמצע שנה"))</f>
        <v/>
      </c>
      <c r="N31" s="45">
        <f>IF($A31="","",IFERROR(AVERAGEIFS('רווחה - קליטה'!$AR$5:$AR$204,'רווחה - קליטה'!$B$5:$B$204,$A31,'רווחה - קליטה'!$C$5:$C$204,"אמצע שנה"),""))</f>
        <v/>
      </c>
      <c r="O31" s="37">
        <f>IF($A31="","",IFERROR(COUNTIFS('רווחה - קליטה'!$B$5:$B$204,$A31,'רווחה - קליטה'!$C$5:$C$204,"אמצע שנה",'רווחה - קליטה'!$AT$5:$AT$204,"אמין")/COUNTIFS('רווחה - קליטה'!$B$5:$B$204,$A31,'רווחה - קליטה'!$C$5:$C$204,"אמצע שנה"),""))</f>
        <v/>
      </c>
      <c r="P31" s="47">
        <f>IF($A31="","",COUNTIFS('זה אני - קליטה'!$B$5:$B$204,$A31,'זה אני - קליטה'!$C$5:$C$204,"סוף שנה"))</f>
        <v/>
      </c>
      <c r="Q31" s="37">
        <f>IF($A31="","",IFERROR(AVERAGEIFS('זה אני - קליטה'!$AL$5:$AL$204,'זה אני - קליטה'!$B$5:$B$204,$A31,'זה אני - קליטה'!$C$5:$C$204,"סוף שנה"),""))</f>
        <v/>
      </c>
      <c r="R31" s="37">
        <f>IF($A31="","",IFERROR(AVERAGEIFS('זה אני - קליטה'!$AN$5:$AN$204,'זה אני - קליטה'!$B$5:$B$204,$A31,'זה אני - קליטה'!$C$5:$C$204,"סוף שנה"),""))</f>
        <v/>
      </c>
      <c r="S31" s="37">
        <f>IF($A31="","",IFERROR(COUNTIFS('זה אני - קליטה'!$B$5:$B$204,$A31,'זה אני - קליטה'!$C$5:$C$204,"סוף שנה",'זה אני - קליטה'!$AW$5:$AW$204,"אמין")/COUNTIFS('זה אני - קליטה'!$B$5:$B$204,$A31,'זה אני - קליטה'!$C$5:$C$204,"סוף שנה"),""))</f>
        <v/>
      </c>
      <c r="T31" s="47">
        <f>IF($A31="","",COUNTIFS('רווחה - קליטה'!$B$5:$B$204,$A31,'רווחה - קליטה'!$C$5:$C$204,"סוף שנה"))</f>
        <v/>
      </c>
      <c r="U31" s="45">
        <f>IF($A31="","",IFERROR(AVERAGEIFS('רווחה - קליטה'!$AR$5:$AR$204,'רווחה - קליטה'!$B$5:$B$204,$A31,'רווחה - קליטה'!$C$5:$C$204,"סוף שנה"),""))</f>
        <v/>
      </c>
      <c r="V31" s="37">
        <f>IF($A31="","",IFERROR(COUNTIFS('רווחה - קליטה'!$B$5:$B$204,$A31,'רווחה - קליטה'!$C$5:$C$204,"סוף שנה",'רווחה - קליטה'!$AT$5:$AT$204,"אמין")/COUNTIFS('רווחה - קליטה'!$B$5:$B$204,$A31,'רווחה - קליטה'!$C$5:$C$204,"סוף שנה"),""))</f>
        <v/>
      </c>
    </row>
    <row r="32">
      <c r="A32" s="38" t="n"/>
      <c r="B32" s="47">
        <f>IF($A32="","",COUNTIFS('זה אני - קליטה'!$B$5:$B$204,$A32,'זה אני - קליטה'!$C$5:$C$204,"תחילת שנה"))</f>
        <v/>
      </c>
      <c r="C32" s="37">
        <f>IF($A32="","",IFERROR(AVERAGEIFS('זה אני - קליטה'!$AL$5:$AL$204,'זה אני - קליטה'!$B$5:$B$204,$A32,'זה אני - קליטה'!$C$5:$C$204,"תחילת שנה"),""))</f>
        <v/>
      </c>
      <c r="D32" s="37">
        <f>IF($A32="","",IFERROR(AVERAGEIFS('זה אני - קליטה'!$AN$5:$AN$204,'זה אני - קליטה'!$B$5:$B$204,$A32,'זה אני - קליטה'!$C$5:$C$204,"תחילת שנה"),""))</f>
        <v/>
      </c>
      <c r="E32" s="37">
        <f>IF($A32="","",IFERROR(COUNTIFS('זה אני - קליטה'!$B$5:$B$204,$A32,'זה אני - קליטה'!$C$5:$C$204,"תחילת שנה",'זה אני - קליטה'!$AW$5:$AW$204,"אמין")/COUNTIFS('זה אני - קליטה'!$B$5:$B$204,$A32,'זה אני - קליטה'!$C$5:$C$204,"תחילת שנה"),""))</f>
        <v/>
      </c>
      <c r="F32" s="47">
        <f>IF($A32="","",COUNTIFS('רווחה - קליטה'!$B$5:$B$204,$A32,'רווחה - קליטה'!$C$5:$C$204,"תחילת שנה"))</f>
        <v/>
      </c>
      <c r="G32" s="45">
        <f>IF($A32="","",IFERROR(AVERAGEIFS('רווחה - קליטה'!$AR$5:$AR$204,'רווחה - קליטה'!$B$5:$B$204,$A32,'רווחה - קליטה'!$C$5:$C$204,"תחילת שנה"),""))</f>
        <v/>
      </c>
      <c r="H32" s="37">
        <f>IF($A32="","",IFERROR(COUNTIFS('רווחה - קליטה'!$B$5:$B$204,$A32,'רווחה - קליטה'!$C$5:$C$204,"תחילת שנה",'רווחה - קליטה'!$AT$5:$AT$204,"אמין")/COUNTIFS('רווחה - קליטה'!$B$5:$B$204,$A32,'רווחה - קליטה'!$C$5:$C$204,"תחילת שנה"),""))</f>
        <v/>
      </c>
      <c r="I32" s="47">
        <f>IF($A32="","",COUNTIFS('זה אני - קליטה'!$B$5:$B$204,$A32,'זה אני - קליטה'!$C$5:$C$204,"אמצע שנה"))</f>
        <v/>
      </c>
      <c r="J32" s="37">
        <f>IF($A32="","",IFERROR(AVERAGEIFS('זה אני - קליטה'!$AL$5:$AL$204,'זה אני - קליטה'!$B$5:$B$204,$A32,'זה אני - קליטה'!$C$5:$C$204,"אמצע שנה"),""))</f>
        <v/>
      </c>
      <c r="K32" s="37">
        <f>IF($A32="","",IFERROR(AVERAGEIFS('זה אני - קליטה'!$AN$5:$AN$204,'זה אני - קליטה'!$B$5:$B$204,$A32,'זה אני - קליטה'!$C$5:$C$204,"אמצע שנה"),""))</f>
        <v/>
      </c>
      <c r="L32" s="37">
        <f>IF($A32="","",IFERROR(COUNTIFS('זה אני - קליטה'!$B$5:$B$204,$A32,'זה אני - קליטה'!$C$5:$C$204,"אמצע שנה",'זה אני - קליטה'!$AW$5:$AW$204,"אמין")/COUNTIFS('זה אני - קליטה'!$B$5:$B$204,$A32,'זה אני - קליטה'!$C$5:$C$204,"אמצע שנה"),""))</f>
        <v/>
      </c>
      <c r="M32" s="47">
        <f>IF($A32="","",COUNTIFS('רווחה - קליטה'!$B$5:$B$204,$A32,'רווחה - קליטה'!$C$5:$C$204,"אמצע שנה"))</f>
        <v/>
      </c>
      <c r="N32" s="45">
        <f>IF($A32="","",IFERROR(AVERAGEIFS('רווחה - קליטה'!$AR$5:$AR$204,'רווחה - קליטה'!$B$5:$B$204,$A32,'רווחה - קליטה'!$C$5:$C$204,"אמצע שנה"),""))</f>
        <v/>
      </c>
      <c r="O32" s="37">
        <f>IF($A32="","",IFERROR(COUNTIFS('רווחה - קליטה'!$B$5:$B$204,$A32,'רווחה - קליטה'!$C$5:$C$204,"אמצע שנה",'רווחה - קליטה'!$AT$5:$AT$204,"אמין")/COUNTIFS('רווחה - קליטה'!$B$5:$B$204,$A32,'רווחה - קליטה'!$C$5:$C$204,"אמצע שנה"),""))</f>
        <v/>
      </c>
      <c r="P32" s="47">
        <f>IF($A32="","",COUNTIFS('זה אני - קליטה'!$B$5:$B$204,$A32,'זה אני - קליטה'!$C$5:$C$204,"סוף שנה"))</f>
        <v/>
      </c>
      <c r="Q32" s="37">
        <f>IF($A32="","",IFERROR(AVERAGEIFS('זה אני - קליטה'!$AL$5:$AL$204,'זה אני - קליטה'!$B$5:$B$204,$A32,'זה אני - קליטה'!$C$5:$C$204,"סוף שנה"),""))</f>
        <v/>
      </c>
      <c r="R32" s="37">
        <f>IF($A32="","",IFERROR(AVERAGEIFS('זה אני - קליטה'!$AN$5:$AN$204,'זה אני - קליטה'!$B$5:$B$204,$A32,'זה אני - קליטה'!$C$5:$C$204,"סוף שנה"),""))</f>
        <v/>
      </c>
      <c r="S32" s="37">
        <f>IF($A32="","",IFERROR(COUNTIFS('זה אני - קליטה'!$B$5:$B$204,$A32,'זה אני - קליטה'!$C$5:$C$204,"סוף שנה",'זה אני - קליטה'!$AW$5:$AW$204,"אמין")/COUNTIFS('זה אני - קליטה'!$B$5:$B$204,$A32,'זה אני - קליטה'!$C$5:$C$204,"סוף שנה"),""))</f>
        <v/>
      </c>
      <c r="T32" s="47">
        <f>IF($A32="","",COUNTIFS('רווחה - קליטה'!$B$5:$B$204,$A32,'רווחה - קליטה'!$C$5:$C$204,"סוף שנה"))</f>
        <v/>
      </c>
      <c r="U32" s="45">
        <f>IF($A32="","",IFERROR(AVERAGEIFS('רווחה - קליטה'!$AR$5:$AR$204,'רווחה - קליטה'!$B$5:$B$204,$A32,'רווחה - קליטה'!$C$5:$C$204,"סוף שנה"),""))</f>
        <v/>
      </c>
      <c r="V32" s="37">
        <f>IF($A32="","",IFERROR(COUNTIFS('רווחה - קליטה'!$B$5:$B$204,$A32,'רווחה - קליטה'!$C$5:$C$204,"סוף שנה",'רווחה - קליטה'!$AT$5:$AT$204,"אמין")/COUNTIFS('רווחה - קליטה'!$B$5:$B$204,$A32,'רווחה - קליטה'!$C$5:$C$204,"סוף שנה"),""))</f>
        <v/>
      </c>
    </row>
    <row r="33">
      <c r="A33" s="38" t="n"/>
      <c r="B33" s="47">
        <f>IF($A33="","",COUNTIFS('זה אני - קליטה'!$B$5:$B$204,$A33,'זה אני - קליטה'!$C$5:$C$204,"תחילת שנה"))</f>
        <v/>
      </c>
      <c r="C33" s="37">
        <f>IF($A33="","",IFERROR(AVERAGEIFS('זה אני - קליטה'!$AL$5:$AL$204,'זה אני - קליטה'!$B$5:$B$204,$A33,'זה אני - קליטה'!$C$5:$C$204,"תחילת שנה"),""))</f>
        <v/>
      </c>
      <c r="D33" s="37">
        <f>IF($A33="","",IFERROR(AVERAGEIFS('זה אני - קליטה'!$AN$5:$AN$204,'זה אני - קליטה'!$B$5:$B$204,$A33,'זה אני - קליטה'!$C$5:$C$204,"תחילת שנה"),""))</f>
        <v/>
      </c>
      <c r="E33" s="37">
        <f>IF($A33="","",IFERROR(COUNTIFS('זה אני - קליטה'!$B$5:$B$204,$A33,'זה אני - קליטה'!$C$5:$C$204,"תחילת שנה",'זה אני - קליטה'!$AW$5:$AW$204,"אמין")/COUNTIFS('זה אני - קליטה'!$B$5:$B$204,$A33,'זה אני - קליטה'!$C$5:$C$204,"תחילת שנה"),""))</f>
        <v/>
      </c>
      <c r="F33" s="47">
        <f>IF($A33="","",COUNTIFS('רווחה - קליטה'!$B$5:$B$204,$A33,'רווחה - קליטה'!$C$5:$C$204,"תחילת שנה"))</f>
        <v/>
      </c>
      <c r="G33" s="45">
        <f>IF($A33="","",IFERROR(AVERAGEIFS('רווחה - קליטה'!$AR$5:$AR$204,'רווחה - קליטה'!$B$5:$B$204,$A33,'רווחה - קליטה'!$C$5:$C$204,"תחילת שנה"),""))</f>
        <v/>
      </c>
      <c r="H33" s="37">
        <f>IF($A33="","",IFERROR(COUNTIFS('רווחה - קליטה'!$B$5:$B$204,$A33,'רווחה - קליטה'!$C$5:$C$204,"תחילת שנה",'רווחה - קליטה'!$AT$5:$AT$204,"אמין")/COUNTIFS('רווחה - קליטה'!$B$5:$B$204,$A33,'רווחה - קליטה'!$C$5:$C$204,"תחילת שנה"),""))</f>
        <v/>
      </c>
      <c r="I33" s="47">
        <f>IF($A33="","",COUNTIFS('זה אני - קליטה'!$B$5:$B$204,$A33,'זה אני - קליטה'!$C$5:$C$204,"אמצע שנה"))</f>
        <v/>
      </c>
      <c r="J33" s="37">
        <f>IF($A33="","",IFERROR(AVERAGEIFS('זה אני - קליטה'!$AL$5:$AL$204,'זה אני - קליטה'!$B$5:$B$204,$A33,'זה אני - קליטה'!$C$5:$C$204,"אמצע שנה"),""))</f>
        <v/>
      </c>
      <c r="K33" s="37">
        <f>IF($A33="","",IFERROR(AVERAGEIFS('זה אני - קליטה'!$AN$5:$AN$204,'זה אני - קליטה'!$B$5:$B$204,$A33,'זה אני - קליטה'!$C$5:$C$204,"אמצע שנה"),""))</f>
        <v/>
      </c>
      <c r="L33" s="37">
        <f>IF($A33="","",IFERROR(COUNTIFS('זה אני - קליטה'!$B$5:$B$204,$A33,'זה אני - קליטה'!$C$5:$C$204,"אמצע שנה",'זה אני - קליטה'!$AW$5:$AW$204,"אמין")/COUNTIFS('זה אני - קליטה'!$B$5:$B$204,$A33,'זה אני - קליטה'!$C$5:$C$204,"אמצע שנה"),""))</f>
        <v/>
      </c>
      <c r="M33" s="47">
        <f>IF($A33="","",COUNTIFS('רווחה - קליטה'!$B$5:$B$204,$A33,'רווחה - קליטה'!$C$5:$C$204,"אמצע שנה"))</f>
        <v/>
      </c>
      <c r="N33" s="45">
        <f>IF($A33="","",IFERROR(AVERAGEIFS('רווחה - קליטה'!$AR$5:$AR$204,'רווחה - קליטה'!$B$5:$B$204,$A33,'רווחה - קליטה'!$C$5:$C$204,"אמצע שנה"),""))</f>
        <v/>
      </c>
      <c r="O33" s="37">
        <f>IF($A33="","",IFERROR(COUNTIFS('רווחה - קליטה'!$B$5:$B$204,$A33,'רווחה - קליטה'!$C$5:$C$204,"אמצע שנה",'רווחה - קליטה'!$AT$5:$AT$204,"אמין")/COUNTIFS('רווחה - קליטה'!$B$5:$B$204,$A33,'רווחה - קליטה'!$C$5:$C$204,"אמצע שנה"),""))</f>
        <v/>
      </c>
      <c r="P33" s="47">
        <f>IF($A33="","",COUNTIFS('זה אני - קליטה'!$B$5:$B$204,$A33,'זה אני - קליטה'!$C$5:$C$204,"סוף שנה"))</f>
        <v/>
      </c>
      <c r="Q33" s="37">
        <f>IF($A33="","",IFERROR(AVERAGEIFS('זה אני - קליטה'!$AL$5:$AL$204,'זה אני - קליטה'!$B$5:$B$204,$A33,'זה אני - קליטה'!$C$5:$C$204,"סוף שנה"),""))</f>
        <v/>
      </c>
      <c r="R33" s="37">
        <f>IF($A33="","",IFERROR(AVERAGEIFS('זה אני - קליטה'!$AN$5:$AN$204,'זה אני - קליטה'!$B$5:$B$204,$A33,'זה אני - קליטה'!$C$5:$C$204,"סוף שנה"),""))</f>
        <v/>
      </c>
      <c r="S33" s="37">
        <f>IF($A33="","",IFERROR(COUNTIFS('זה אני - קליטה'!$B$5:$B$204,$A33,'זה אני - קליטה'!$C$5:$C$204,"סוף שנה",'זה אני - קליטה'!$AW$5:$AW$204,"אמין")/COUNTIFS('זה אני - קליטה'!$B$5:$B$204,$A33,'זה אני - קליטה'!$C$5:$C$204,"סוף שנה"),""))</f>
        <v/>
      </c>
      <c r="T33" s="47">
        <f>IF($A33="","",COUNTIFS('רווחה - קליטה'!$B$5:$B$204,$A33,'רווחה - קליטה'!$C$5:$C$204,"סוף שנה"))</f>
        <v/>
      </c>
      <c r="U33" s="45">
        <f>IF($A33="","",IFERROR(AVERAGEIFS('רווחה - קליטה'!$AR$5:$AR$204,'רווחה - קליטה'!$B$5:$B$204,$A33,'רווחה - קליטה'!$C$5:$C$204,"סוף שנה"),""))</f>
        <v/>
      </c>
      <c r="V33" s="37">
        <f>IF($A33="","",IFERROR(COUNTIFS('רווחה - קליטה'!$B$5:$B$204,$A33,'רווחה - קליטה'!$C$5:$C$204,"סוף שנה",'רווחה - קליטה'!$AT$5:$AT$204,"אמין")/COUNTIFS('רווחה - קליטה'!$B$5:$B$204,$A33,'רווחה - קליטה'!$C$5:$C$204,"סוף שנה"),""))</f>
        <v/>
      </c>
    </row>
    <row r="34">
      <c r="A34" s="38" t="n"/>
      <c r="B34" s="47">
        <f>IF($A34="","",COUNTIFS('זה אני - קליטה'!$B$5:$B$204,$A34,'זה אני - קליטה'!$C$5:$C$204,"תחילת שנה"))</f>
        <v/>
      </c>
      <c r="C34" s="37">
        <f>IF($A34="","",IFERROR(AVERAGEIFS('זה אני - קליטה'!$AL$5:$AL$204,'זה אני - קליטה'!$B$5:$B$204,$A34,'זה אני - קליטה'!$C$5:$C$204,"תחילת שנה"),""))</f>
        <v/>
      </c>
      <c r="D34" s="37">
        <f>IF($A34="","",IFERROR(AVERAGEIFS('זה אני - קליטה'!$AN$5:$AN$204,'זה אני - קליטה'!$B$5:$B$204,$A34,'זה אני - קליטה'!$C$5:$C$204,"תחילת שנה"),""))</f>
        <v/>
      </c>
      <c r="E34" s="37">
        <f>IF($A34="","",IFERROR(COUNTIFS('זה אני - קליטה'!$B$5:$B$204,$A34,'זה אני - קליטה'!$C$5:$C$204,"תחילת שנה",'זה אני - קליטה'!$AW$5:$AW$204,"אמין")/COUNTIFS('זה אני - קליטה'!$B$5:$B$204,$A34,'זה אני - קליטה'!$C$5:$C$204,"תחילת שנה"),""))</f>
        <v/>
      </c>
      <c r="F34" s="47">
        <f>IF($A34="","",COUNTIFS('רווחה - קליטה'!$B$5:$B$204,$A34,'רווחה - קליטה'!$C$5:$C$204,"תחילת שנה"))</f>
        <v/>
      </c>
      <c r="G34" s="45">
        <f>IF($A34="","",IFERROR(AVERAGEIFS('רווחה - קליטה'!$AR$5:$AR$204,'רווחה - קליטה'!$B$5:$B$204,$A34,'רווחה - קליטה'!$C$5:$C$204,"תחילת שנה"),""))</f>
        <v/>
      </c>
      <c r="H34" s="37">
        <f>IF($A34="","",IFERROR(COUNTIFS('רווחה - קליטה'!$B$5:$B$204,$A34,'רווחה - קליטה'!$C$5:$C$204,"תחילת שנה",'רווחה - קליטה'!$AT$5:$AT$204,"אמין")/COUNTIFS('רווחה - קליטה'!$B$5:$B$204,$A34,'רווחה - קליטה'!$C$5:$C$204,"תחילת שנה"),""))</f>
        <v/>
      </c>
      <c r="I34" s="47">
        <f>IF($A34="","",COUNTIFS('זה אני - קליטה'!$B$5:$B$204,$A34,'זה אני - קליטה'!$C$5:$C$204,"אמצע שנה"))</f>
        <v/>
      </c>
      <c r="J34" s="37">
        <f>IF($A34="","",IFERROR(AVERAGEIFS('זה אני - קליטה'!$AL$5:$AL$204,'זה אני - קליטה'!$B$5:$B$204,$A34,'זה אני - קליטה'!$C$5:$C$204,"אמצע שנה"),""))</f>
        <v/>
      </c>
      <c r="K34" s="37">
        <f>IF($A34="","",IFERROR(AVERAGEIFS('זה אני - קליטה'!$AN$5:$AN$204,'זה אני - קליטה'!$B$5:$B$204,$A34,'זה אני - קליטה'!$C$5:$C$204,"אמצע שנה"),""))</f>
        <v/>
      </c>
      <c r="L34" s="37">
        <f>IF($A34="","",IFERROR(COUNTIFS('זה אני - קליטה'!$B$5:$B$204,$A34,'זה אני - קליטה'!$C$5:$C$204,"אמצע שנה",'זה אני - קליטה'!$AW$5:$AW$204,"אמין")/COUNTIFS('זה אני - קליטה'!$B$5:$B$204,$A34,'זה אני - קליטה'!$C$5:$C$204,"אמצע שנה"),""))</f>
        <v/>
      </c>
      <c r="M34" s="47">
        <f>IF($A34="","",COUNTIFS('רווחה - קליטה'!$B$5:$B$204,$A34,'רווחה - קליטה'!$C$5:$C$204,"אמצע שנה"))</f>
        <v/>
      </c>
      <c r="N34" s="45">
        <f>IF($A34="","",IFERROR(AVERAGEIFS('רווחה - קליטה'!$AR$5:$AR$204,'רווחה - קליטה'!$B$5:$B$204,$A34,'רווחה - קליטה'!$C$5:$C$204,"אמצע שנה"),""))</f>
        <v/>
      </c>
      <c r="O34" s="37">
        <f>IF($A34="","",IFERROR(COUNTIFS('רווחה - קליטה'!$B$5:$B$204,$A34,'רווחה - קליטה'!$C$5:$C$204,"אמצע שנה",'רווחה - קליטה'!$AT$5:$AT$204,"אמין")/COUNTIFS('רווחה - קליטה'!$B$5:$B$204,$A34,'רווחה - קליטה'!$C$5:$C$204,"אמצע שנה"),""))</f>
        <v/>
      </c>
      <c r="P34" s="47">
        <f>IF($A34="","",COUNTIFS('זה אני - קליטה'!$B$5:$B$204,$A34,'זה אני - קליטה'!$C$5:$C$204,"סוף שנה"))</f>
        <v/>
      </c>
      <c r="Q34" s="37">
        <f>IF($A34="","",IFERROR(AVERAGEIFS('זה אני - קליטה'!$AL$5:$AL$204,'זה אני - קליטה'!$B$5:$B$204,$A34,'זה אני - קליטה'!$C$5:$C$204,"סוף שנה"),""))</f>
        <v/>
      </c>
      <c r="R34" s="37">
        <f>IF($A34="","",IFERROR(AVERAGEIFS('זה אני - קליטה'!$AN$5:$AN$204,'זה אני - קליטה'!$B$5:$B$204,$A34,'זה אני - קליטה'!$C$5:$C$204,"סוף שנה"),""))</f>
        <v/>
      </c>
      <c r="S34" s="37">
        <f>IF($A34="","",IFERROR(COUNTIFS('זה אני - קליטה'!$B$5:$B$204,$A34,'זה אני - קליטה'!$C$5:$C$204,"סוף שנה",'זה אני - קליטה'!$AW$5:$AW$204,"אמין")/COUNTIFS('זה אני - קליטה'!$B$5:$B$204,$A34,'זה אני - קליטה'!$C$5:$C$204,"סוף שנה"),""))</f>
        <v/>
      </c>
      <c r="T34" s="47">
        <f>IF($A34="","",COUNTIFS('רווחה - קליטה'!$B$5:$B$204,$A34,'רווחה - קליטה'!$C$5:$C$204,"סוף שנה"))</f>
        <v/>
      </c>
      <c r="U34" s="45">
        <f>IF($A34="","",IFERROR(AVERAGEIFS('רווחה - קליטה'!$AR$5:$AR$204,'רווחה - קליטה'!$B$5:$B$204,$A34,'רווחה - קליטה'!$C$5:$C$204,"סוף שנה"),""))</f>
        <v/>
      </c>
      <c r="V34" s="37">
        <f>IF($A34="","",IFERROR(COUNTIFS('רווחה - קליטה'!$B$5:$B$204,$A34,'רווחה - קליטה'!$C$5:$C$204,"סוף שנה",'רווחה - קליטה'!$AT$5:$AT$204,"אמין")/COUNTIFS('רווחה - קליטה'!$B$5:$B$204,$A34,'רווחה - קליטה'!$C$5:$C$204,"סוף שנה"),""))</f>
        <v/>
      </c>
    </row>
    <row r="35">
      <c r="A35" s="38" t="n"/>
      <c r="B35" s="47">
        <f>IF($A35="","",COUNTIFS('זה אני - קליטה'!$B$5:$B$204,$A35,'זה אני - קליטה'!$C$5:$C$204,"תחילת שנה"))</f>
        <v/>
      </c>
      <c r="C35" s="37">
        <f>IF($A35="","",IFERROR(AVERAGEIFS('זה אני - קליטה'!$AL$5:$AL$204,'זה אני - קליטה'!$B$5:$B$204,$A35,'זה אני - קליטה'!$C$5:$C$204,"תחילת שנה"),""))</f>
        <v/>
      </c>
      <c r="D35" s="37">
        <f>IF($A35="","",IFERROR(AVERAGEIFS('זה אני - קליטה'!$AN$5:$AN$204,'זה אני - קליטה'!$B$5:$B$204,$A35,'זה אני - קליטה'!$C$5:$C$204,"תחילת שנה"),""))</f>
        <v/>
      </c>
      <c r="E35" s="37">
        <f>IF($A35="","",IFERROR(COUNTIFS('זה אני - קליטה'!$B$5:$B$204,$A35,'זה אני - קליטה'!$C$5:$C$204,"תחילת שנה",'זה אני - קליטה'!$AW$5:$AW$204,"אמין")/COUNTIFS('זה אני - קליטה'!$B$5:$B$204,$A35,'זה אני - קליטה'!$C$5:$C$204,"תחילת שנה"),""))</f>
        <v/>
      </c>
      <c r="F35" s="47">
        <f>IF($A35="","",COUNTIFS('רווחה - קליטה'!$B$5:$B$204,$A35,'רווחה - קליטה'!$C$5:$C$204,"תחילת שנה"))</f>
        <v/>
      </c>
      <c r="G35" s="45">
        <f>IF($A35="","",IFERROR(AVERAGEIFS('רווחה - קליטה'!$AR$5:$AR$204,'רווחה - קליטה'!$B$5:$B$204,$A35,'רווחה - קליטה'!$C$5:$C$204,"תחילת שנה"),""))</f>
        <v/>
      </c>
      <c r="H35" s="37">
        <f>IF($A35="","",IFERROR(COUNTIFS('רווחה - קליטה'!$B$5:$B$204,$A35,'רווחה - קליטה'!$C$5:$C$204,"תחילת שנה",'רווחה - קליטה'!$AT$5:$AT$204,"אמין")/COUNTIFS('רווחה - קליטה'!$B$5:$B$204,$A35,'רווחה - קליטה'!$C$5:$C$204,"תחילת שנה"),""))</f>
        <v/>
      </c>
      <c r="I35" s="47">
        <f>IF($A35="","",COUNTIFS('זה אני - קליטה'!$B$5:$B$204,$A35,'זה אני - קליטה'!$C$5:$C$204,"אמצע שנה"))</f>
        <v/>
      </c>
      <c r="J35" s="37">
        <f>IF($A35="","",IFERROR(AVERAGEIFS('זה אני - קליטה'!$AL$5:$AL$204,'זה אני - קליטה'!$B$5:$B$204,$A35,'זה אני - קליטה'!$C$5:$C$204,"אמצע שנה"),""))</f>
        <v/>
      </c>
      <c r="K35" s="37">
        <f>IF($A35="","",IFERROR(AVERAGEIFS('זה אני - קליטה'!$AN$5:$AN$204,'זה אני - קליטה'!$B$5:$B$204,$A35,'זה אני - קליטה'!$C$5:$C$204,"אמצע שנה"),""))</f>
        <v/>
      </c>
      <c r="L35" s="37">
        <f>IF($A35="","",IFERROR(COUNTIFS('זה אני - קליטה'!$B$5:$B$204,$A35,'זה אני - קליטה'!$C$5:$C$204,"אמצע שנה",'זה אני - קליטה'!$AW$5:$AW$204,"אמין")/COUNTIFS('זה אני - קליטה'!$B$5:$B$204,$A35,'זה אני - קליטה'!$C$5:$C$204,"אמצע שנה"),""))</f>
        <v/>
      </c>
      <c r="M35" s="47">
        <f>IF($A35="","",COUNTIFS('רווחה - קליטה'!$B$5:$B$204,$A35,'רווחה - קליטה'!$C$5:$C$204,"אמצע שנה"))</f>
        <v/>
      </c>
      <c r="N35" s="45">
        <f>IF($A35="","",IFERROR(AVERAGEIFS('רווחה - קליטה'!$AR$5:$AR$204,'רווחה - קליטה'!$B$5:$B$204,$A35,'רווחה - קליטה'!$C$5:$C$204,"אמצע שנה"),""))</f>
        <v/>
      </c>
      <c r="O35" s="37">
        <f>IF($A35="","",IFERROR(COUNTIFS('רווחה - קליטה'!$B$5:$B$204,$A35,'רווחה - קליטה'!$C$5:$C$204,"אמצע שנה",'רווחה - קליטה'!$AT$5:$AT$204,"אמין")/COUNTIFS('רווחה - קליטה'!$B$5:$B$204,$A35,'רווחה - קליטה'!$C$5:$C$204,"אמצע שנה"),""))</f>
        <v/>
      </c>
      <c r="P35" s="47">
        <f>IF($A35="","",COUNTIFS('זה אני - קליטה'!$B$5:$B$204,$A35,'זה אני - קליטה'!$C$5:$C$204,"סוף שנה"))</f>
        <v/>
      </c>
      <c r="Q35" s="37">
        <f>IF($A35="","",IFERROR(AVERAGEIFS('זה אני - קליטה'!$AL$5:$AL$204,'זה אני - קליטה'!$B$5:$B$204,$A35,'זה אני - קליטה'!$C$5:$C$204,"סוף שנה"),""))</f>
        <v/>
      </c>
      <c r="R35" s="37">
        <f>IF($A35="","",IFERROR(AVERAGEIFS('זה אני - קליטה'!$AN$5:$AN$204,'זה אני - קליטה'!$B$5:$B$204,$A35,'זה אני - קליטה'!$C$5:$C$204,"סוף שנה"),""))</f>
        <v/>
      </c>
      <c r="S35" s="37">
        <f>IF($A35="","",IFERROR(COUNTIFS('זה אני - קליטה'!$B$5:$B$204,$A35,'זה אני - קליטה'!$C$5:$C$204,"סוף שנה",'זה אני - קליטה'!$AW$5:$AW$204,"אמין")/COUNTIFS('זה אני - קליטה'!$B$5:$B$204,$A35,'זה אני - קליטה'!$C$5:$C$204,"סוף שנה"),""))</f>
        <v/>
      </c>
      <c r="T35" s="47">
        <f>IF($A35="","",COUNTIFS('רווחה - קליטה'!$B$5:$B$204,$A35,'רווחה - קליטה'!$C$5:$C$204,"סוף שנה"))</f>
        <v/>
      </c>
      <c r="U35" s="45">
        <f>IF($A35="","",IFERROR(AVERAGEIFS('רווחה - קליטה'!$AR$5:$AR$204,'רווחה - קליטה'!$B$5:$B$204,$A35,'רווחה - קליטה'!$C$5:$C$204,"סוף שנה"),""))</f>
        <v/>
      </c>
      <c r="V35" s="37">
        <f>IF($A35="","",IFERROR(COUNTIFS('רווחה - קליטה'!$B$5:$B$204,$A35,'רווחה - קליטה'!$C$5:$C$204,"סוף שנה",'רווחה - קליטה'!$AT$5:$AT$204,"אמין")/COUNTIFS('רווחה - קליטה'!$B$5:$B$204,$A35,'רווחה - קליטה'!$C$5:$C$204,"סוף שנה"),""))</f>
        <v/>
      </c>
    </row>
    <row r="36">
      <c r="A36" s="38" t="n"/>
      <c r="B36" s="47">
        <f>IF($A36="","",COUNTIFS('זה אני - קליטה'!$B$5:$B$204,$A36,'זה אני - קליטה'!$C$5:$C$204,"תחילת שנה"))</f>
        <v/>
      </c>
      <c r="C36" s="37">
        <f>IF($A36="","",IFERROR(AVERAGEIFS('זה אני - קליטה'!$AL$5:$AL$204,'זה אני - קליטה'!$B$5:$B$204,$A36,'זה אני - קליטה'!$C$5:$C$204,"תחילת שנה"),""))</f>
        <v/>
      </c>
      <c r="D36" s="37">
        <f>IF($A36="","",IFERROR(AVERAGEIFS('זה אני - קליטה'!$AN$5:$AN$204,'זה אני - קליטה'!$B$5:$B$204,$A36,'זה אני - קליטה'!$C$5:$C$204,"תחילת שנה"),""))</f>
        <v/>
      </c>
      <c r="E36" s="37">
        <f>IF($A36="","",IFERROR(COUNTIFS('זה אני - קליטה'!$B$5:$B$204,$A36,'זה אני - קליטה'!$C$5:$C$204,"תחילת שנה",'זה אני - קליטה'!$AW$5:$AW$204,"אמין")/COUNTIFS('זה אני - קליטה'!$B$5:$B$204,$A36,'זה אני - קליטה'!$C$5:$C$204,"תחילת שנה"),""))</f>
        <v/>
      </c>
      <c r="F36" s="47">
        <f>IF($A36="","",COUNTIFS('רווחה - קליטה'!$B$5:$B$204,$A36,'רווחה - קליטה'!$C$5:$C$204,"תחילת שנה"))</f>
        <v/>
      </c>
      <c r="G36" s="45">
        <f>IF($A36="","",IFERROR(AVERAGEIFS('רווחה - קליטה'!$AR$5:$AR$204,'רווחה - קליטה'!$B$5:$B$204,$A36,'רווחה - קליטה'!$C$5:$C$204,"תחילת שנה"),""))</f>
        <v/>
      </c>
      <c r="H36" s="37">
        <f>IF($A36="","",IFERROR(COUNTIFS('רווחה - קליטה'!$B$5:$B$204,$A36,'רווחה - קליטה'!$C$5:$C$204,"תחילת שנה",'רווחה - קליטה'!$AT$5:$AT$204,"אמין")/COUNTIFS('רווחה - קליטה'!$B$5:$B$204,$A36,'רווחה - קליטה'!$C$5:$C$204,"תחילת שנה"),""))</f>
        <v/>
      </c>
      <c r="I36" s="47">
        <f>IF($A36="","",COUNTIFS('זה אני - קליטה'!$B$5:$B$204,$A36,'זה אני - קליטה'!$C$5:$C$204,"אמצע שנה"))</f>
        <v/>
      </c>
      <c r="J36" s="37">
        <f>IF($A36="","",IFERROR(AVERAGEIFS('זה אני - קליטה'!$AL$5:$AL$204,'זה אני - קליטה'!$B$5:$B$204,$A36,'זה אני - קליטה'!$C$5:$C$204,"אמצע שנה"),""))</f>
        <v/>
      </c>
      <c r="K36" s="37">
        <f>IF($A36="","",IFERROR(AVERAGEIFS('זה אני - קליטה'!$AN$5:$AN$204,'זה אני - קליטה'!$B$5:$B$204,$A36,'זה אני - קליטה'!$C$5:$C$204,"אמצע שנה"),""))</f>
        <v/>
      </c>
      <c r="L36" s="37">
        <f>IF($A36="","",IFERROR(COUNTIFS('זה אני - קליטה'!$B$5:$B$204,$A36,'זה אני - קליטה'!$C$5:$C$204,"אמצע שנה",'זה אני - קליטה'!$AW$5:$AW$204,"אמין")/COUNTIFS('זה אני - קליטה'!$B$5:$B$204,$A36,'זה אני - קליטה'!$C$5:$C$204,"אמצע שנה"),""))</f>
        <v/>
      </c>
      <c r="M36" s="47">
        <f>IF($A36="","",COUNTIFS('רווחה - קליטה'!$B$5:$B$204,$A36,'רווחה - קליטה'!$C$5:$C$204,"אמצע שנה"))</f>
        <v/>
      </c>
      <c r="N36" s="45">
        <f>IF($A36="","",IFERROR(AVERAGEIFS('רווחה - קליטה'!$AR$5:$AR$204,'רווחה - קליטה'!$B$5:$B$204,$A36,'רווחה - קליטה'!$C$5:$C$204,"אמצע שנה"),""))</f>
        <v/>
      </c>
      <c r="O36" s="37">
        <f>IF($A36="","",IFERROR(COUNTIFS('רווחה - קליטה'!$B$5:$B$204,$A36,'רווחה - קליטה'!$C$5:$C$204,"אמצע שנה",'רווחה - קליטה'!$AT$5:$AT$204,"אמין")/COUNTIFS('רווחה - קליטה'!$B$5:$B$204,$A36,'רווחה - קליטה'!$C$5:$C$204,"אמצע שנה"),""))</f>
        <v/>
      </c>
      <c r="P36" s="47">
        <f>IF($A36="","",COUNTIFS('זה אני - קליטה'!$B$5:$B$204,$A36,'זה אני - קליטה'!$C$5:$C$204,"סוף שנה"))</f>
        <v/>
      </c>
      <c r="Q36" s="37">
        <f>IF($A36="","",IFERROR(AVERAGEIFS('זה אני - קליטה'!$AL$5:$AL$204,'זה אני - קליטה'!$B$5:$B$204,$A36,'זה אני - קליטה'!$C$5:$C$204,"סוף שנה"),""))</f>
        <v/>
      </c>
      <c r="R36" s="37">
        <f>IF($A36="","",IFERROR(AVERAGEIFS('זה אני - קליטה'!$AN$5:$AN$204,'זה אני - קליטה'!$B$5:$B$204,$A36,'זה אני - קליטה'!$C$5:$C$204,"סוף שנה"),""))</f>
        <v/>
      </c>
      <c r="S36" s="37">
        <f>IF($A36="","",IFERROR(COUNTIFS('זה אני - קליטה'!$B$5:$B$204,$A36,'זה אני - קליטה'!$C$5:$C$204,"סוף שנה",'זה אני - קליטה'!$AW$5:$AW$204,"אמין")/COUNTIFS('זה אני - קליטה'!$B$5:$B$204,$A36,'זה אני - קליטה'!$C$5:$C$204,"סוף שנה"),""))</f>
        <v/>
      </c>
      <c r="T36" s="47">
        <f>IF($A36="","",COUNTIFS('רווחה - קליטה'!$B$5:$B$204,$A36,'רווחה - קליטה'!$C$5:$C$204,"סוף שנה"))</f>
        <v/>
      </c>
      <c r="U36" s="45">
        <f>IF($A36="","",IFERROR(AVERAGEIFS('רווחה - קליטה'!$AR$5:$AR$204,'רווחה - קליטה'!$B$5:$B$204,$A36,'רווחה - קליטה'!$C$5:$C$204,"סוף שנה"),""))</f>
        <v/>
      </c>
      <c r="V36" s="37">
        <f>IF($A36="","",IFERROR(COUNTIFS('רווחה - קליטה'!$B$5:$B$204,$A36,'רווחה - קליטה'!$C$5:$C$204,"סוף שנה",'רווחה - קליטה'!$AT$5:$AT$204,"אמין")/COUNTIFS('רווחה - קליטה'!$B$5:$B$204,$A36,'רווחה - קליטה'!$C$5:$C$204,"סוף שנה"),""))</f>
        <v/>
      </c>
    </row>
    <row r="37">
      <c r="A37" s="38" t="n"/>
      <c r="B37" s="47">
        <f>IF($A37="","",COUNTIFS('זה אני - קליטה'!$B$5:$B$204,$A37,'זה אני - קליטה'!$C$5:$C$204,"תחילת שנה"))</f>
        <v/>
      </c>
      <c r="C37" s="37">
        <f>IF($A37="","",IFERROR(AVERAGEIFS('זה אני - קליטה'!$AL$5:$AL$204,'זה אני - קליטה'!$B$5:$B$204,$A37,'זה אני - קליטה'!$C$5:$C$204,"תחילת שנה"),""))</f>
        <v/>
      </c>
      <c r="D37" s="37">
        <f>IF($A37="","",IFERROR(AVERAGEIFS('זה אני - קליטה'!$AN$5:$AN$204,'זה אני - קליטה'!$B$5:$B$204,$A37,'זה אני - קליטה'!$C$5:$C$204,"תחילת שנה"),""))</f>
        <v/>
      </c>
      <c r="E37" s="37">
        <f>IF($A37="","",IFERROR(COUNTIFS('זה אני - קליטה'!$B$5:$B$204,$A37,'זה אני - קליטה'!$C$5:$C$204,"תחילת שנה",'זה אני - קליטה'!$AW$5:$AW$204,"אמין")/COUNTIFS('זה אני - קליטה'!$B$5:$B$204,$A37,'זה אני - קליטה'!$C$5:$C$204,"תחילת שנה"),""))</f>
        <v/>
      </c>
      <c r="F37" s="47">
        <f>IF($A37="","",COUNTIFS('רווחה - קליטה'!$B$5:$B$204,$A37,'רווחה - קליטה'!$C$5:$C$204,"תחילת שנה"))</f>
        <v/>
      </c>
      <c r="G37" s="45">
        <f>IF($A37="","",IFERROR(AVERAGEIFS('רווחה - קליטה'!$AR$5:$AR$204,'רווחה - קליטה'!$B$5:$B$204,$A37,'רווחה - קליטה'!$C$5:$C$204,"תחילת שנה"),""))</f>
        <v/>
      </c>
      <c r="H37" s="37">
        <f>IF($A37="","",IFERROR(COUNTIFS('רווחה - קליטה'!$B$5:$B$204,$A37,'רווחה - קליטה'!$C$5:$C$204,"תחילת שנה",'רווחה - קליטה'!$AT$5:$AT$204,"אמין")/COUNTIFS('רווחה - קליטה'!$B$5:$B$204,$A37,'רווחה - קליטה'!$C$5:$C$204,"תחילת שנה"),""))</f>
        <v/>
      </c>
      <c r="I37" s="47">
        <f>IF($A37="","",COUNTIFS('זה אני - קליטה'!$B$5:$B$204,$A37,'זה אני - קליטה'!$C$5:$C$204,"אמצע שנה"))</f>
        <v/>
      </c>
      <c r="J37" s="37">
        <f>IF($A37="","",IFERROR(AVERAGEIFS('זה אני - קליטה'!$AL$5:$AL$204,'זה אני - קליטה'!$B$5:$B$204,$A37,'זה אני - קליטה'!$C$5:$C$204,"אמצע שנה"),""))</f>
        <v/>
      </c>
      <c r="K37" s="37">
        <f>IF($A37="","",IFERROR(AVERAGEIFS('זה אני - קליטה'!$AN$5:$AN$204,'זה אני - קליטה'!$B$5:$B$204,$A37,'זה אני - קליטה'!$C$5:$C$204,"אמצע שנה"),""))</f>
        <v/>
      </c>
      <c r="L37" s="37">
        <f>IF($A37="","",IFERROR(COUNTIFS('זה אני - קליטה'!$B$5:$B$204,$A37,'זה אני - קליטה'!$C$5:$C$204,"אמצע שנה",'זה אני - קליטה'!$AW$5:$AW$204,"אמין")/COUNTIFS('זה אני - קליטה'!$B$5:$B$204,$A37,'זה אני - קליטה'!$C$5:$C$204,"אמצע שנה"),""))</f>
        <v/>
      </c>
      <c r="M37" s="47">
        <f>IF($A37="","",COUNTIFS('רווחה - קליטה'!$B$5:$B$204,$A37,'רווחה - קליטה'!$C$5:$C$204,"אמצע שנה"))</f>
        <v/>
      </c>
      <c r="N37" s="45">
        <f>IF($A37="","",IFERROR(AVERAGEIFS('רווחה - קליטה'!$AR$5:$AR$204,'רווחה - קליטה'!$B$5:$B$204,$A37,'רווחה - קליטה'!$C$5:$C$204,"אמצע שנה"),""))</f>
        <v/>
      </c>
      <c r="O37" s="37">
        <f>IF($A37="","",IFERROR(COUNTIFS('רווחה - קליטה'!$B$5:$B$204,$A37,'רווחה - קליטה'!$C$5:$C$204,"אמצע שנה",'רווחה - קליטה'!$AT$5:$AT$204,"אמין")/COUNTIFS('רווחה - קליטה'!$B$5:$B$204,$A37,'רווחה - קליטה'!$C$5:$C$204,"אמצע שנה"),""))</f>
        <v/>
      </c>
      <c r="P37" s="47">
        <f>IF($A37="","",COUNTIFS('זה אני - קליטה'!$B$5:$B$204,$A37,'זה אני - קליטה'!$C$5:$C$204,"סוף שנה"))</f>
        <v/>
      </c>
      <c r="Q37" s="37">
        <f>IF($A37="","",IFERROR(AVERAGEIFS('זה אני - קליטה'!$AL$5:$AL$204,'זה אני - קליטה'!$B$5:$B$204,$A37,'זה אני - קליטה'!$C$5:$C$204,"סוף שנה"),""))</f>
        <v/>
      </c>
      <c r="R37" s="37">
        <f>IF($A37="","",IFERROR(AVERAGEIFS('זה אני - קליטה'!$AN$5:$AN$204,'זה אני - קליטה'!$B$5:$B$204,$A37,'זה אני - קליטה'!$C$5:$C$204,"סוף שנה"),""))</f>
        <v/>
      </c>
      <c r="S37" s="37">
        <f>IF($A37="","",IFERROR(COUNTIFS('זה אני - קליטה'!$B$5:$B$204,$A37,'זה אני - קליטה'!$C$5:$C$204,"סוף שנה",'זה אני - קליטה'!$AW$5:$AW$204,"אמין")/COUNTIFS('זה אני - קליטה'!$B$5:$B$204,$A37,'זה אני - קליטה'!$C$5:$C$204,"סוף שנה"),""))</f>
        <v/>
      </c>
      <c r="T37" s="47">
        <f>IF($A37="","",COUNTIFS('רווחה - קליטה'!$B$5:$B$204,$A37,'רווחה - קליטה'!$C$5:$C$204,"סוף שנה"))</f>
        <v/>
      </c>
      <c r="U37" s="45">
        <f>IF($A37="","",IFERROR(AVERAGEIFS('רווחה - קליטה'!$AR$5:$AR$204,'רווחה - קליטה'!$B$5:$B$204,$A37,'רווחה - קליטה'!$C$5:$C$204,"סוף שנה"),""))</f>
        <v/>
      </c>
      <c r="V37" s="37">
        <f>IF($A37="","",IFERROR(COUNTIFS('רווחה - קליטה'!$B$5:$B$204,$A37,'רווחה - קליטה'!$C$5:$C$204,"סוף שנה",'רווחה - קליטה'!$AT$5:$AT$204,"אמין")/COUNTIFS('רווחה - קליטה'!$B$5:$B$204,$A37,'רווחה - קליטה'!$C$5:$C$204,"סוף שנה"),""))</f>
        <v/>
      </c>
    </row>
    <row r="38">
      <c r="A38" s="38" t="n"/>
      <c r="B38" s="47">
        <f>IF($A38="","",COUNTIFS('זה אני - קליטה'!$B$5:$B$204,$A38,'זה אני - קליטה'!$C$5:$C$204,"תחילת שנה"))</f>
        <v/>
      </c>
      <c r="C38" s="37">
        <f>IF($A38="","",IFERROR(AVERAGEIFS('זה אני - קליטה'!$AL$5:$AL$204,'זה אני - קליטה'!$B$5:$B$204,$A38,'זה אני - קליטה'!$C$5:$C$204,"תחילת שנה"),""))</f>
        <v/>
      </c>
      <c r="D38" s="37">
        <f>IF($A38="","",IFERROR(AVERAGEIFS('זה אני - קליטה'!$AN$5:$AN$204,'זה אני - קליטה'!$B$5:$B$204,$A38,'זה אני - קליטה'!$C$5:$C$204,"תחילת שנה"),""))</f>
        <v/>
      </c>
      <c r="E38" s="37">
        <f>IF($A38="","",IFERROR(COUNTIFS('זה אני - קליטה'!$B$5:$B$204,$A38,'זה אני - קליטה'!$C$5:$C$204,"תחילת שנה",'זה אני - קליטה'!$AW$5:$AW$204,"אמין")/COUNTIFS('זה אני - קליטה'!$B$5:$B$204,$A38,'זה אני - קליטה'!$C$5:$C$204,"תחילת שנה"),""))</f>
        <v/>
      </c>
      <c r="F38" s="47">
        <f>IF($A38="","",COUNTIFS('רווחה - קליטה'!$B$5:$B$204,$A38,'רווחה - קליטה'!$C$5:$C$204,"תחילת שנה"))</f>
        <v/>
      </c>
      <c r="G38" s="45">
        <f>IF($A38="","",IFERROR(AVERAGEIFS('רווחה - קליטה'!$AR$5:$AR$204,'רווחה - קליטה'!$B$5:$B$204,$A38,'רווחה - קליטה'!$C$5:$C$204,"תחילת שנה"),""))</f>
        <v/>
      </c>
      <c r="H38" s="37">
        <f>IF($A38="","",IFERROR(COUNTIFS('רווחה - קליטה'!$B$5:$B$204,$A38,'רווחה - קליטה'!$C$5:$C$204,"תחילת שנה",'רווחה - קליטה'!$AT$5:$AT$204,"אמין")/COUNTIFS('רווחה - קליטה'!$B$5:$B$204,$A38,'רווחה - קליטה'!$C$5:$C$204,"תחילת שנה"),""))</f>
        <v/>
      </c>
      <c r="I38" s="47">
        <f>IF($A38="","",COUNTIFS('זה אני - קליטה'!$B$5:$B$204,$A38,'זה אני - קליטה'!$C$5:$C$204,"אמצע שנה"))</f>
        <v/>
      </c>
      <c r="J38" s="37">
        <f>IF($A38="","",IFERROR(AVERAGEIFS('זה אני - קליטה'!$AL$5:$AL$204,'זה אני - קליטה'!$B$5:$B$204,$A38,'זה אני - קליטה'!$C$5:$C$204,"אמצע שנה"),""))</f>
        <v/>
      </c>
      <c r="K38" s="37">
        <f>IF($A38="","",IFERROR(AVERAGEIFS('זה אני - קליטה'!$AN$5:$AN$204,'זה אני - קליטה'!$B$5:$B$204,$A38,'זה אני - קליטה'!$C$5:$C$204,"אמצע שנה"),""))</f>
        <v/>
      </c>
      <c r="L38" s="37">
        <f>IF($A38="","",IFERROR(COUNTIFS('זה אני - קליטה'!$B$5:$B$204,$A38,'זה אני - קליטה'!$C$5:$C$204,"אמצע שנה",'זה אני - קליטה'!$AW$5:$AW$204,"אמין")/COUNTIFS('זה אני - קליטה'!$B$5:$B$204,$A38,'זה אני - קליטה'!$C$5:$C$204,"אמצע שנה"),""))</f>
        <v/>
      </c>
      <c r="M38" s="47">
        <f>IF($A38="","",COUNTIFS('רווחה - קליטה'!$B$5:$B$204,$A38,'רווחה - קליטה'!$C$5:$C$204,"אמצע שנה"))</f>
        <v/>
      </c>
      <c r="N38" s="45">
        <f>IF($A38="","",IFERROR(AVERAGEIFS('רווחה - קליטה'!$AR$5:$AR$204,'רווחה - קליטה'!$B$5:$B$204,$A38,'רווחה - קליטה'!$C$5:$C$204,"אמצע שנה"),""))</f>
        <v/>
      </c>
      <c r="O38" s="37">
        <f>IF($A38="","",IFERROR(COUNTIFS('רווחה - קליטה'!$B$5:$B$204,$A38,'רווחה - קליטה'!$C$5:$C$204,"אמצע שנה",'רווחה - קליטה'!$AT$5:$AT$204,"אמין")/COUNTIFS('רווחה - קליטה'!$B$5:$B$204,$A38,'רווחה - קליטה'!$C$5:$C$204,"אמצע שנה"),""))</f>
        <v/>
      </c>
      <c r="P38" s="47">
        <f>IF($A38="","",COUNTIFS('זה אני - קליטה'!$B$5:$B$204,$A38,'זה אני - קליטה'!$C$5:$C$204,"סוף שנה"))</f>
        <v/>
      </c>
      <c r="Q38" s="37">
        <f>IF($A38="","",IFERROR(AVERAGEIFS('זה אני - קליטה'!$AL$5:$AL$204,'זה אני - קליטה'!$B$5:$B$204,$A38,'זה אני - קליטה'!$C$5:$C$204,"סוף שנה"),""))</f>
        <v/>
      </c>
      <c r="R38" s="37">
        <f>IF($A38="","",IFERROR(AVERAGEIFS('זה אני - קליטה'!$AN$5:$AN$204,'זה אני - קליטה'!$B$5:$B$204,$A38,'זה אני - קליטה'!$C$5:$C$204,"סוף שנה"),""))</f>
        <v/>
      </c>
      <c r="S38" s="37">
        <f>IF($A38="","",IFERROR(COUNTIFS('זה אני - קליטה'!$B$5:$B$204,$A38,'זה אני - קליטה'!$C$5:$C$204,"סוף שנה",'זה אני - קליטה'!$AW$5:$AW$204,"אמין")/COUNTIFS('זה אני - קליטה'!$B$5:$B$204,$A38,'זה אני - קליטה'!$C$5:$C$204,"סוף שנה"),""))</f>
        <v/>
      </c>
      <c r="T38" s="47">
        <f>IF($A38="","",COUNTIFS('רווחה - קליטה'!$B$5:$B$204,$A38,'רווחה - קליטה'!$C$5:$C$204,"סוף שנה"))</f>
        <v/>
      </c>
      <c r="U38" s="45">
        <f>IF($A38="","",IFERROR(AVERAGEIFS('רווחה - קליטה'!$AR$5:$AR$204,'רווחה - קליטה'!$B$5:$B$204,$A38,'רווחה - קליטה'!$C$5:$C$204,"סוף שנה"),""))</f>
        <v/>
      </c>
      <c r="V38" s="37">
        <f>IF($A38="","",IFERROR(COUNTIFS('רווחה - קליטה'!$B$5:$B$204,$A38,'רווחה - קליטה'!$C$5:$C$204,"סוף שנה",'רווחה - קליטה'!$AT$5:$AT$204,"אמין")/COUNTIFS('רווחה - קליטה'!$B$5:$B$204,$A38,'רווחה - קליטה'!$C$5:$C$204,"סוף שנה"),""))</f>
        <v/>
      </c>
    </row>
    <row r="39">
      <c r="A39" s="38" t="n"/>
      <c r="B39" s="47">
        <f>IF($A39="","",COUNTIFS('זה אני - קליטה'!$B$5:$B$204,$A39,'זה אני - קליטה'!$C$5:$C$204,"תחילת שנה"))</f>
        <v/>
      </c>
      <c r="C39" s="37">
        <f>IF($A39="","",IFERROR(AVERAGEIFS('זה אני - קליטה'!$AL$5:$AL$204,'זה אני - קליטה'!$B$5:$B$204,$A39,'זה אני - קליטה'!$C$5:$C$204,"תחילת שנה"),""))</f>
        <v/>
      </c>
      <c r="D39" s="37">
        <f>IF($A39="","",IFERROR(AVERAGEIFS('זה אני - קליטה'!$AN$5:$AN$204,'זה אני - קליטה'!$B$5:$B$204,$A39,'זה אני - קליטה'!$C$5:$C$204,"תחילת שנה"),""))</f>
        <v/>
      </c>
      <c r="E39" s="37">
        <f>IF($A39="","",IFERROR(COUNTIFS('זה אני - קליטה'!$B$5:$B$204,$A39,'זה אני - קליטה'!$C$5:$C$204,"תחילת שנה",'זה אני - קליטה'!$AW$5:$AW$204,"אמין")/COUNTIFS('זה אני - קליטה'!$B$5:$B$204,$A39,'זה אני - קליטה'!$C$5:$C$204,"תחילת שנה"),""))</f>
        <v/>
      </c>
      <c r="F39" s="47">
        <f>IF($A39="","",COUNTIFS('רווחה - קליטה'!$B$5:$B$204,$A39,'רווחה - קליטה'!$C$5:$C$204,"תחילת שנה"))</f>
        <v/>
      </c>
      <c r="G39" s="45">
        <f>IF($A39="","",IFERROR(AVERAGEIFS('רווחה - קליטה'!$AR$5:$AR$204,'רווחה - קליטה'!$B$5:$B$204,$A39,'רווחה - קליטה'!$C$5:$C$204,"תחילת שנה"),""))</f>
        <v/>
      </c>
      <c r="H39" s="37">
        <f>IF($A39="","",IFERROR(COUNTIFS('רווחה - קליטה'!$B$5:$B$204,$A39,'רווחה - קליטה'!$C$5:$C$204,"תחילת שנה",'רווחה - קליטה'!$AT$5:$AT$204,"אמין")/COUNTIFS('רווחה - קליטה'!$B$5:$B$204,$A39,'רווחה - קליטה'!$C$5:$C$204,"תחילת שנה"),""))</f>
        <v/>
      </c>
      <c r="I39" s="47">
        <f>IF($A39="","",COUNTIFS('זה אני - קליטה'!$B$5:$B$204,$A39,'זה אני - קליטה'!$C$5:$C$204,"אמצע שנה"))</f>
        <v/>
      </c>
      <c r="J39" s="37">
        <f>IF($A39="","",IFERROR(AVERAGEIFS('זה אני - קליטה'!$AL$5:$AL$204,'זה אני - קליטה'!$B$5:$B$204,$A39,'זה אני - קליטה'!$C$5:$C$204,"אמצע שנה"),""))</f>
        <v/>
      </c>
      <c r="K39" s="37">
        <f>IF($A39="","",IFERROR(AVERAGEIFS('זה אני - קליטה'!$AN$5:$AN$204,'זה אני - קליטה'!$B$5:$B$204,$A39,'זה אני - קליטה'!$C$5:$C$204,"אמצע שנה"),""))</f>
        <v/>
      </c>
      <c r="L39" s="37">
        <f>IF($A39="","",IFERROR(COUNTIFS('זה אני - קליטה'!$B$5:$B$204,$A39,'זה אני - קליטה'!$C$5:$C$204,"אמצע שנה",'זה אני - קליטה'!$AW$5:$AW$204,"אמין")/COUNTIFS('זה אני - קליטה'!$B$5:$B$204,$A39,'זה אני - קליטה'!$C$5:$C$204,"אמצע שנה"),""))</f>
        <v/>
      </c>
      <c r="M39" s="47">
        <f>IF($A39="","",COUNTIFS('רווחה - קליטה'!$B$5:$B$204,$A39,'רווחה - קליטה'!$C$5:$C$204,"אמצע שנה"))</f>
        <v/>
      </c>
      <c r="N39" s="45">
        <f>IF($A39="","",IFERROR(AVERAGEIFS('רווחה - קליטה'!$AR$5:$AR$204,'רווחה - קליטה'!$B$5:$B$204,$A39,'רווחה - קליטה'!$C$5:$C$204,"אמצע שנה"),""))</f>
        <v/>
      </c>
      <c r="O39" s="37">
        <f>IF($A39="","",IFERROR(COUNTIFS('רווחה - קליטה'!$B$5:$B$204,$A39,'רווחה - קליטה'!$C$5:$C$204,"אמצע שנה",'רווחה - קליטה'!$AT$5:$AT$204,"אמין")/COUNTIFS('רווחה - קליטה'!$B$5:$B$204,$A39,'רווחה - קליטה'!$C$5:$C$204,"אמצע שנה"),""))</f>
        <v/>
      </c>
      <c r="P39" s="47">
        <f>IF($A39="","",COUNTIFS('זה אני - קליטה'!$B$5:$B$204,$A39,'זה אני - קליטה'!$C$5:$C$204,"סוף שנה"))</f>
        <v/>
      </c>
      <c r="Q39" s="37">
        <f>IF($A39="","",IFERROR(AVERAGEIFS('זה אני - קליטה'!$AL$5:$AL$204,'זה אני - קליטה'!$B$5:$B$204,$A39,'זה אני - קליטה'!$C$5:$C$204,"סוף שנה"),""))</f>
        <v/>
      </c>
      <c r="R39" s="37">
        <f>IF($A39="","",IFERROR(AVERAGEIFS('זה אני - קליטה'!$AN$5:$AN$204,'זה אני - קליטה'!$B$5:$B$204,$A39,'זה אני - קליטה'!$C$5:$C$204,"סוף שנה"),""))</f>
        <v/>
      </c>
      <c r="S39" s="37">
        <f>IF($A39="","",IFERROR(COUNTIFS('זה אני - קליטה'!$B$5:$B$204,$A39,'זה אני - קליטה'!$C$5:$C$204,"סוף שנה",'זה אני - קליטה'!$AW$5:$AW$204,"אמין")/COUNTIFS('זה אני - קליטה'!$B$5:$B$204,$A39,'זה אני - קליטה'!$C$5:$C$204,"סוף שנה"),""))</f>
        <v/>
      </c>
      <c r="T39" s="47">
        <f>IF($A39="","",COUNTIFS('רווחה - קליטה'!$B$5:$B$204,$A39,'רווחה - קליטה'!$C$5:$C$204,"סוף שנה"))</f>
        <v/>
      </c>
      <c r="U39" s="45">
        <f>IF($A39="","",IFERROR(AVERAGEIFS('רווחה - קליטה'!$AR$5:$AR$204,'רווחה - קליטה'!$B$5:$B$204,$A39,'רווחה - קליטה'!$C$5:$C$204,"סוף שנה"),""))</f>
        <v/>
      </c>
      <c r="V39" s="37">
        <f>IF($A39="","",IFERROR(COUNTIFS('רווחה - קליטה'!$B$5:$B$204,$A39,'רווחה - קליטה'!$C$5:$C$204,"סוף שנה",'רווחה - קליטה'!$AT$5:$AT$204,"אמין")/COUNTIFS('רווחה - קליטה'!$B$5:$B$204,$A39,'רווחה - קליטה'!$C$5:$C$204,"סוף שנה"),""))</f>
        <v/>
      </c>
    </row>
    <row r="40">
      <c r="A40" s="38" t="n"/>
      <c r="B40" s="47">
        <f>IF($A40="","",COUNTIFS('זה אני - קליטה'!$B$5:$B$204,$A40,'זה אני - קליטה'!$C$5:$C$204,"תחילת שנה"))</f>
        <v/>
      </c>
      <c r="C40" s="37">
        <f>IF($A40="","",IFERROR(AVERAGEIFS('זה אני - קליטה'!$AL$5:$AL$204,'זה אני - קליטה'!$B$5:$B$204,$A40,'זה אני - קליטה'!$C$5:$C$204,"תחילת שנה"),""))</f>
        <v/>
      </c>
      <c r="D40" s="37">
        <f>IF($A40="","",IFERROR(AVERAGEIFS('זה אני - קליטה'!$AN$5:$AN$204,'זה אני - קליטה'!$B$5:$B$204,$A40,'זה אני - קליטה'!$C$5:$C$204,"תחילת שנה"),""))</f>
        <v/>
      </c>
      <c r="E40" s="37">
        <f>IF($A40="","",IFERROR(COUNTIFS('זה אני - קליטה'!$B$5:$B$204,$A40,'זה אני - קליטה'!$C$5:$C$204,"תחילת שנה",'זה אני - קליטה'!$AW$5:$AW$204,"אמין")/COUNTIFS('זה אני - קליטה'!$B$5:$B$204,$A40,'זה אני - קליטה'!$C$5:$C$204,"תחילת שנה"),""))</f>
        <v/>
      </c>
      <c r="F40" s="47">
        <f>IF($A40="","",COUNTIFS('רווחה - קליטה'!$B$5:$B$204,$A40,'רווחה - קליטה'!$C$5:$C$204,"תחילת שנה"))</f>
        <v/>
      </c>
      <c r="G40" s="45">
        <f>IF($A40="","",IFERROR(AVERAGEIFS('רווחה - קליטה'!$AR$5:$AR$204,'רווחה - קליטה'!$B$5:$B$204,$A40,'רווחה - קליטה'!$C$5:$C$204,"תחילת שנה"),""))</f>
        <v/>
      </c>
      <c r="H40" s="37">
        <f>IF($A40="","",IFERROR(COUNTIFS('רווחה - קליטה'!$B$5:$B$204,$A40,'רווחה - קליטה'!$C$5:$C$204,"תחילת שנה",'רווחה - קליטה'!$AT$5:$AT$204,"אמין")/COUNTIFS('רווחה - קליטה'!$B$5:$B$204,$A40,'רווחה - קליטה'!$C$5:$C$204,"תחילת שנה"),""))</f>
        <v/>
      </c>
      <c r="I40" s="47">
        <f>IF($A40="","",COUNTIFS('זה אני - קליטה'!$B$5:$B$204,$A40,'זה אני - קליטה'!$C$5:$C$204,"אמצע שנה"))</f>
        <v/>
      </c>
      <c r="J40" s="37">
        <f>IF($A40="","",IFERROR(AVERAGEIFS('זה אני - קליטה'!$AL$5:$AL$204,'זה אני - קליטה'!$B$5:$B$204,$A40,'זה אני - קליטה'!$C$5:$C$204,"אמצע שנה"),""))</f>
        <v/>
      </c>
      <c r="K40" s="37">
        <f>IF($A40="","",IFERROR(AVERAGEIFS('זה אני - קליטה'!$AN$5:$AN$204,'זה אני - קליטה'!$B$5:$B$204,$A40,'זה אני - קליטה'!$C$5:$C$204,"אמצע שנה"),""))</f>
        <v/>
      </c>
      <c r="L40" s="37">
        <f>IF($A40="","",IFERROR(COUNTIFS('זה אני - קליטה'!$B$5:$B$204,$A40,'זה אני - קליטה'!$C$5:$C$204,"אמצע שנה",'זה אני - קליטה'!$AW$5:$AW$204,"אמין")/COUNTIFS('זה אני - קליטה'!$B$5:$B$204,$A40,'זה אני - קליטה'!$C$5:$C$204,"אמצע שנה"),""))</f>
        <v/>
      </c>
      <c r="M40" s="47">
        <f>IF($A40="","",COUNTIFS('רווחה - קליטה'!$B$5:$B$204,$A40,'רווחה - קליטה'!$C$5:$C$204,"אמצע שנה"))</f>
        <v/>
      </c>
      <c r="N40" s="45">
        <f>IF($A40="","",IFERROR(AVERAGEIFS('רווחה - קליטה'!$AR$5:$AR$204,'רווחה - קליטה'!$B$5:$B$204,$A40,'רווחה - קליטה'!$C$5:$C$204,"אמצע שנה"),""))</f>
        <v/>
      </c>
      <c r="O40" s="37">
        <f>IF($A40="","",IFERROR(COUNTIFS('רווחה - קליטה'!$B$5:$B$204,$A40,'רווחה - קליטה'!$C$5:$C$204,"אמצע שנה",'רווחה - קליטה'!$AT$5:$AT$204,"אמין")/COUNTIFS('רווחה - קליטה'!$B$5:$B$204,$A40,'רווחה - קליטה'!$C$5:$C$204,"אמצע שנה"),""))</f>
        <v/>
      </c>
      <c r="P40" s="47">
        <f>IF($A40="","",COUNTIFS('זה אני - קליטה'!$B$5:$B$204,$A40,'זה אני - קליטה'!$C$5:$C$204,"סוף שנה"))</f>
        <v/>
      </c>
      <c r="Q40" s="37">
        <f>IF($A40="","",IFERROR(AVERAGEIFS('זה אני - קליטה'!$AL$5:$AL$204,'זה אני - קליטה'!$B$5:$B$204,$A40,'זה אני - קליטה'!$C$5:$C$204,"סוף שנה"),""))</f>
        <v/>
      </c>
      <c r="R40" s="37">
        <f>IF($A40="","",IFERROR(AVERAGEIFS('זה אני - קליטה'!$AN$5:$AN$204,'זה אני - קליטה'!$B$5:$B$204,$A40,'זה אני - קליטה'!$C$5:$C$204,"סוף שנה"),""))</f>
        <v/>
      </c>
      <c r="S40" s="37">
        <f>IF($A40="","",IFERROR(COUNTIFS('זה אני - קליטה'!$B$5:$B$204,$A40,'זה אני - קליטה'!$C$5:$C$204,"סוף שנה",'זה אני - קליטה'!$AW$5:$AW$204,"אמין")/COUNTIFS('זה אני - קליטה'!$B$5:$B$204,$A40,'זה אני - קליטה'!$C$5:$C$204,"סוף שנה"),""))</f>
        <v/>
      </c>
      <c r="T40" s="47">
        <f>IF($A40="","",COUNTIFS('רווחה - קליטה'!$B$5:$B$204,$A40,'רווחה - קליטה'!$C$5:$C$204,"סוף שנה"))</f>
        <v/>
      </c>
      <c r="U40" s="45">
        <f>IF($A40="","",IFERROR(AVERAGEIFS('רווחה - קליטה'!$AR$5:$AR$204,'רווחה - קליטה'!$B$5:$B$204,$A40,'רווחה - קליטה'!$C$5:$C$204,"סוף שנה"),""))</f>
        <v/>
      </c>
      <c r="V40" s="37">
        <f>IF($A40="","",IFERROR(COUNTIFS('רווחה - קליטה'!$B$5:$B$204,$A40,'רווחה - קליטה'!$C$5:$C$204,"סוף שנה",'רווחה - קליטה'!$AT$5:$AT$204,"אמין")/COUNTIFS('רווחה - קליטה'!$B$5:$B$204,$A40,'רווחה - קליטה'!$C$5:$C$204,"סוף שנה"),""))</f>
        <v/>
      </c>
    </row>
    <row r="41">
      <c r="A41" s="38" t="n"/>
      <c r="B41" s="47">
        <f>IF($A41="","",COUNTIFS('זה אני - קליטה'!$B$5:$B$204,$A41,'זה אני - קליטה'!$C$5:$C$204,"תחילת שנה"))</f>
        <v/>
      </c>
      <c r="C41" s="37">
        <f>IF($A41="","",IFERROR(AVERAGEIFS('זה אני - קליטה'!$AL$5:$AL$204,'זה אני - קליטה'!$B$5:$B$204,$A41,'זה אני - קליטה'!$C$5:$C$204,"תחילת שנה"),""))</f>
        <v/>
      </c>
      <c r="D41" s="37">
        <f>IF($A41="","",IFERROR(AVERAGEIFS('זה אני - קליטה'!$AN$5:$AN$204,'זה אני - קליטה'!$B$5:$B$204,$A41,'זה אני - קליטה'!$C$5:$C$204,"תחילת שנה"),""))</f>
        <v/>
      </c>
      <c r="E41" s="37">
        <f>IF($A41="","",IFERROR(COUNTIFS('זה אני - קליטה'!$B$5:$B$204,$A41,'זה אני - קליטה'!$C$5:$C$204,"תחילת שנה",'זה אני - קליטה'!$AW$5:$AW$204,"אמין")/COUNTIFS('זה אני - קליטה'!$B$5:$B$204,$A41,'זה אני - קליטה'!$C$5:$C$204,"תחילת שנה"),""))</f>
        <v/>
      </c>
      <c r="F41" s="47">
        <f>IF($A41="","",COUNTIFS('רווחה - קליטה'!$B$5:$B$204,$A41,'רווחה - קליטה'!$C$5:$C$204,"תחילת שנה"))</f>
        <v/>
      </c>
      <c r="G41" s="45">
        <f>IF($A41="","",IFERROR(AVERAGEIFS('רווחה - קליטה'!$AR$5:$AR$204,'רווחה - קליטה'!$B$5:$B$204,$A41,'רווחה - קליטה'!$C$5:$C$204,"תחילת שנה"),""))</f>
        <v/>
      </c>
      <c r="H41" s="37">
        <f>IF($A41="","",IFERROR(COUNTIFS('רווחה - קליטה'!$B$5:$B$204,$A41,'רווחה - קליטה'!$C$5:$C$204,"תחילת שנה",'רווחה - קליטה'!$AT$5:$AT$204,"אמין")/COUNTIFS('רווחה - קליטה'!$B$5:$B$204,$A41,'רווחה - קליטה'!$C$5:$C$204,"תחילת שנה"),""))</f>
        <v/>
      </c>
      <c r="I41" s="47">
        <f>IF($A41="","",COUNTIFS('זה אני - קליטה'!$B$5:$B$204,$A41,'זה אני - קליטה'!$C$5:$C$204,"אמצע שנה"))</f>
        <v/>
      </c>
      <c r="J41" s="37">
        <f>IF($A41="","",IFERROR(AVERAGEIFS('זה אני - קליטה'!$AL$5:$AL$204,'זה אני - קליטה'!$B$5:$B$204,$A41,'זה אני - קליטה'!$C$5:$C$204,"אמצע שנה"),""))</f>
        <v/>
      </c>
      <c r="K41" s="37">
        <f>IF($A41="","",IFERROR(AVERAGEIFS('זה אני - קליטה'!$AN$5:$AN$204,'זה אני - קליטה'!$B$5:$B$204,$A41,'זה אני - קליטה'!$C$5:$C$204,"אמצע שנה"),""))</f>
        <v/>
      </c>
      <c r="L41" s="37">
        <f>IF($A41="","",IFERROR(COUNTIFS('זה אני - קליטה'!$B$5:$B$204,$A41,'זה אני - קליטה'!$C$5:$C$204,"אמצע שנה",'זה אני - קליטה'!$AW$5:$AW$204,"אמין")/COUNTIFS('זה אני - קליטה'!$B$5:$B$204,$A41,'זה אני - קליטה'!$C$5:$C$204,"אמצע שנה"),""))</f>
        <v/>
      </c>
      <c r="M41" s="47">
        <f>IF($A41="","",COUNTIFS('רווחה - קליטה'!$B$5:$B$204,$A41,'רווחה - קליטה'!$C$5:$C$204,"אמצע שנה"))</f>
        <v/>
      </c>
      <c r="N41" s="45">
        <f>IF($A41="","",IFERROR(AVERAGEIFS('רווחה - קליטה'!$AR$5:$AR$204,'רווחה - קליטה'!$B$5:$B$204,$A41,'רווחה - קליטה'!$C$5:$C$204,"אמצע שנה"),""))</f>
        <v/>
      </c>
      <c r="O41" s="37">
        <f>IF($A41="","",IFERROR(COUNTIFS('רווחה - קליטה'!$B$5:$B$204,$A41,'רווחה - קליטה'!$C$5:$C$204,"אמצע שנה",'רווחה - קליטה'!$AT$5:$AT$204,"אמין")/COUNTIFS('רווחה - קליטה'!$B$5:$B$204,$A41,'רווחה - קליטה'!$C$5:$C$204,"אמצע שנה"),""))</f>
        <v/>
      </c>
      <c r="P41" s="47">
        <f>IF($A41="","",COUNTIFS('זה אני - קליטה'!$B$5:$B$204,$A41,'זה אני - קליטה'!$C$5:$C$204,"סוף שנה"))</f>
        <v/>
      </c>
      <c r="Q41" s="37">
        <f>IF($A41="","",IFERROR(AVERAGEIFS('זה אני - קליטה'!$AL$5:$AL$204,'זה אני - קליטה'!$B$5:$B$204,$A41,'זה אני - קליטה'!$C$5:$C$204,"סוף שנה"),""))</f>
        <v/>
      </c>
      <c r="R41" s="37">
        <f>IF($A41="","",IFERROR(AVERAGEIFS('זה אני - קליטה'!$AN$5:$AN$204,'זה אני - קליטה'!$B$5:$B$204,$A41,'זה אני - קליטה'!$C$5:$C$204,"סוף שנה"),""))</f>
        <v/>
      </c>
      <c r="S41" s="37">
        <f>IF($A41="","",IFERROR(COUNTIFS('זה אני - קליטה'!$B$5:$B$204,$A41,'זה אני - קליטה'!$C$5:$C$204,"סוף שנה",'זה אני - קליטה'!$AW$5:$AW$204,"אמין")/COUNTIFS('זה אני - קליטה'!$B$5:$B$204,$A41,'זה אני - קליטה'!$C$5:$C$204,"סוף שנה"),""))</f>
        <v/>
      </c>
      <c r="T41" s="47">
        <f>IF($A41="","",COUNTIFS('רווחה - קליטה'!$B$5:$B$204,$A41,'רווחה - קליטה'!$C$5:$C$204,"סוף שנה"))</f>
        <v/>
      </c>
      <c r="U41" s="45">
        <f>IF($A41="","",IFERROR(AVERAGEIFS('רווחה - קליטה'!$AR$5:$AR$204,'רווחה - קליטה'!$B$5:$B$204,$A41,'רווחה - קליטה'!$C$5:$C$204,"סוף שנה"),""))</f>
        <v/>
      </c>
      <c r="V41" s="37">
        <f>IF($A41="","",IFERROR(COUNTIFS('רווחה - קליטה'!$B$5:$B$204,$A41,'רווחה - קליטה'!$C$5:$C$204,"סוף שנה",'רווחה - קליטה'!$AT$5:$AT$204,"אמין")/COUNTIFS('רווחה - קליטה'!$B$5:$B$204,$A41,'רווחה - קליטה'!$C$5:$C$204,"סוף שנה"),""))</f>
        <v/>
      </c>
    </row>
    <row r="42">
      <c r="A42" s="38" t="n"/>
      <c r="B42" s="47">
        <f>IF($A42="","",COUNTIFS('זה אני - קליטה'!$B$5:$B$204,$A42,'זה אני - קליטה'!$C$5:$C$204,"תחילת שנה"))</f>
        <v/>
      </c>
      <c r="C42" s="37">
        <f>IF($A42="","",IFERROR(AVERAGEIFS('זה אני - קליטה'!$AL$5:$AL$204,'זה אני - קליטה'!$B$5:$B$204,$A42,'זה אני - קליטה'!$C$5:$C$204,"תחילת שנה"),""))</f>
        <v/>
      </c>
      <c r="D42" s="37">
        <f>IF($A42="","",IFERROR(AVERAGEIFS('זה אני - קליטה'!$AN$5:$AN$204,'זה אני - קליטה'!$B$5:$B$204,$A42,'זה אני - קליטה'!$C$5:$C$204,"תחילת שנה"),""))</f>
        <v/>
      </c>
      <c r="E42" s="37">
        <f>IF($A42="","",IFERROR(COUNTIFS('זה אני - קליטה'!$B$5:$B$204,$A42,'זה אני - קליטה'!$C$5:$C$204,"תחילת שנה",'זה אני - קליטה'!$AW$5:$AW$204,"אמין")/COUNTIFS('זה אני - קליטה'!$B$5:$B$204,$A42,'זה אני - קליטה'!$C$5:$C$204,"תחילת שנה"),""))</f>
        <v/>
      </c>
      <c r="F42" s="47">
        <f>IF($A42="","",COUNTIFS('רווחה - קליטה'!$B$5:$B$204,$A42,'רווחה - קליטה'!$C$5:$C$204,"תחילת שנה"))</f>
        <v/>
      </c>
      <c r="G42" s="45">
        <f>IF($A42="","",IFERROR(AVERAGEIFS('רווחה - קליטה'!$AR$5:$AR$204,'רווחה - קליטה'!$B$5:$B$204,$A42,'רווחה - קליטה'!$C$5:$C$204,"תחילת שנה"),""))</f>
        <v/>
      </c>
      <c r="H42" s="37">
        <f>IF($A42="","",IFERROR(COUNTIFS('רווחה - קליטה'!$B$5:$B$204,$A42,'רווחה - קליטה'!$C$5:$C$204,"תחילת שנה",'רווחה - קליטה'!$AT$5:$AT$204,"אמין")/COUNTIFS('רווחה - קליטה'!$B$5:$B$204,$A42,'רווחה - קליטה'!$C$5:$C$204,"תחילת שנה"),""))</f>
        <v/>
      </c>
      <c r="I42" s="47">
        <f>IF($A42="","",COUNTIFS('זה אני - קליטה'!$B$5:$B$204,$A42,'זה אני - קליטה'!$C$5:$C$204,"אמצע שנה"))</f>
        <v/>
      </c>
      <c r="J42" s="37">
        <f>IF($A42="","",IFERROR(AVERAGEIFS('זה אני - קליטה'!$AL$5:$AL$204,'זה אני - קליטה'!$B$5:$B$204,$A42,'זה אני - קליטה'!$C$5:$C$204,"אמצע שנה"),""))</f>
        <v/>
      </c>
      <c r="K42" s="37">
        <f>IF($A42="","",IFERROR(AVERAGEIFS('זה אני - קליטה'!$AN$5:$AN$204,'זה אני - קליטה'!$B$5:$B$204,$A42,'זה אני - קליטה'!$C$5:$C$204,"אמצע שנה"),""))</f>
        <v/>
      </c>
      <c r="L42" s="37">
        <f>IF($A42="","",IFERROR(COUNTIFS('זה אני - קליטה'!$B$5:$B$204,$A42,'זה אני - קליטה'!$C$5:$C$204,"אמצע שנה",'זה אני - קליטה'!$AW$5:$AW$204,"אמין")/COUNTIFS('זה אני - קליטה'!$B$5:$B$204,$A42,'זה אני - קליטה'!$C$5:$C$204,"אמצע שנה"),""))</f>
        <v/>
      </c>
      <c r="M42" s="47">
        <f>IF($A42="","",COUNTIFS('רווחה - קליטה'!$B$5:$B$204,$A42,'רווחה - קליטה'!$C$5:$C$204,"אמצע שנה"))</f>
        <v/>
      </c>
      <c r="N42" s="45">
        <f>IF($A42="","",IFERROR(AVERAGEIFS('רווחה - קליטה'!$AR$5:$AR$204,'רווחה - קליטה'!$B$5:$B$204,$A42,'רווחה - קליטה'!$C$5:$C$204,"אמצע שנה"),""))</f>
        <v/>
      </c>
      <c r="O42" s="37">
        <f>IF($A42="","",IFERROR(COUNTIFS('רווחה - קליטה'!$B$5:$B$204,$A42,'רווחה - קליטה'!$C$5:$C$204,"אמצע שנה",'רווחה - קליטה'!$AT$5:$AT$204,"אמין")/COUNTIFS('רווחה - קליטה'!$B$5:$B$204,$A42,'רווחה - קליטה'!$C$5:$C$204,"אמצע שנה"),""))</f>
        <v/>
      </c>
      <c r="P42" s="47">
        <f>IF($A42="","",COUNTIFS('זה אני - קליטה'!$B$5:$B$204,$A42,'זה אני - קליטה'!$C$5:$C$204,"סוף שנה"))</f>
        <v/>
      </c>
      <c r="Q42" s="37">
        <f>IF($A42="","",IFERROR(AVERAGEIFS('זה אני - קליטה'!$AL$5:$AL$204,'זה אני - קליטה'!$B$5:$B$204,$A42,'זה אני - קליטה'!$C$5:$C$204,"סוף שנה"),""))</f>
        <v/>
      </c>
      <c r="R42" s="37">
        <f>IF($A42="","",IFERROR(AVERAGEIFS('זה אני - קליטה'!$AN$5:$AN$204,'זה אני - קליטה'!$B$5:$B$204,$A42,'זה אני - קליטה'!$C$5:$C$204,"סוף שנה"),""))</f>
        <v/>
      </c>
      <c r="S42" s="37">
        <f>IF($A42="","",IFERROR(COUNTIFS('זה אני - קליטה'!$B$5:$B$204,$A42,'זה אני - קליטה'!$C$5:$C$204,"סוף שנה",'זה אני - קליטה'!$AW$5:$AW$204,"אמין")/COUNTIFS('זה אני - קליטה'!$B$5:$B$204,$A42,'זה אני - קליטה'!$C$5:$C$204,"סוף שנה"),""))</f>
        <v/>
      </c>
      <c r="T42" s="47">
        <f>IF($A42="","",COUNTIFS('רווחה - קליטה'!$B$5:$B$204,$A42,'רווחה - קליטה'!$C$5:$C$204,"סוף שנה"))</f>
        <v/>
      </c>
      <c r="U42" s="45">
        <f>IF($A42="","",IFERROR(AVERAGEIFS('רווחה - קליטה'!$AR$5:$AR$204,'רווחה - קליטה'!$B$5:$B$204,$A42,'רווחה - קליטה'!$C$5:$C$204,"סוף שנה"),""))</f>
        <v/>
      </c>
      <c r="V42" s="37">
        <f>IF($A42="","",IFERROR(COUNTIFS('רווחה - קליטה'!$B$5:$B$204,$A42,'רווחה - קליטה'!$C$5:$C$204,"סוף שנה",'רווחה - קליטה'!$AT$5:$AT$204,"אמין")/COUNTIFS('רווחה - קליטה'!$B$5:$B$204,$A42,'רווחה - קליטה'!$C$5:$C$204,"סוף שנה"),""))</f>
        <v/>
      </c>
    </row>
    <row r="43">
      <c r="A43" s="38" t="n"/>
      <c r="B43" s="47">
        <f>IF($A43="","",COUNTIFS('זה אני - קליטה'!$B$5:$B$204,$A43,'זה אני - קליטה'!$C$5:$C$204,"תחילת שנה"))</f>
        <v/>
      </c>
      <c r="C43" s="37">
        <f>IF($A43="","",IFERROR(AVERAGEIFS('זה אני - קליטה'!$AL$5:$AL$204,'זה אני - קליטה'!$B$5:$B$204,$A43,'זה אני - קליטה'!$C$5:$C$204,"תחילת שנה"),""))</f>
        <v/>
      </c>
      <c r="D43" s="37">
        <f>IF($A43="","",IFERROR(AVERAGEIFS('זה אני - קליטה'!$AN$5:$AN$204,'זה אני - קליטה'!$B$5:$B$204,$A43,'זה אני - קליטה'!$C$5:$C$204,"תחילת שנה"),""))</f>
        <v/>
      </c>
      <c r="E43" s="37">
        <f>IF($A43="","",IFERROR(COUNTIFS('זה אני - קליטה'!$B$5:$B$204,$A43,'זה אני - קליטה'!$C$5:$C$204,"תחילת שנה",'זה אני - קליטה'!$AW$5:$AW$204,"אמין")/COUNTIFS('זה אני - קליטה'!$B$5:$B$204,$A43,'זה אני - קליטה'!$C$5:$C$204,"תחילת שנה"),""))</f>
        <v/>
      </c>
      <c r="F43" s="47">
        <f>IF($A43="","",COUNTIFS('רווחה - קליטה'!$B$5:$B$204,$A43,'רווחה - קליטה'!$C$5:$C$204,"תחילת שנה"))</f>
        <v/>
      </c>
      <c r="G43" s="45">
        <f>IF($A43="","",IFERROR(AVERAGEIFS('רווחה - קליטה'!$AR$5:$AR$204,'רווחה - קליטה'!$B$5:$B$204,$A43,'רווחה - קליטה'!$C$5:$C$204,"תחילת שנה"),""))</f>
        <v/>
      </c>
      <c r="H43" s="37">
        <f>IF($A43="","",IFERROR(COUNTIFS('רווחה - קליטה'!$B$5:$B$204,$A43,'רווחה - קליטה'!$C$5:$C$204,"תחילת שנה",'רווחה - קליטה'!$AT$5:$AT$204,"אמין")/COUNTIFS('רווחה - קליטה'!$B$5:$B$204,$A43,'רווחה - קליטה'!$C$5:$C$204,"תחילת שנה"),""))</f>
        <v/>
      </c>
      <c r="I43" s="47">
        <f>IF($A43="","",COUNTIFS('זה אני - קליטה'!$B$5:$B$204,$A43,'זה אני - קליטה'!$C$5:$C$204,"אמצע שנה"))</f>
        <v/>
      </c>
      <c r="J43" s="37">
        <f>IF($A43="","",IFERROR(AVERAGEIFS('זה אני - קליטה'!$AL$5:$AL$204,'זה אני - קליטה'!$B$5:$B$204,$A43,'זה אני - קליטה'!$C$5:$C$204,"אמצע שנה"),""))</f>
        <v/>
      </c>
      <c r="K43" s="37">
        <f>IF($A43="","",IFERROR(AVERAGEIFS('זה אני - קליטה'!$AN$5:$AN$204,'זה אני - קליטה'!$B$5:$B$204,$A43,'זה אני - קליטה'!$C$5:$C$204,"אמצע שנה"),""))</f>
        <v/>
      </c>
      <c r="L43" s="37">
        <f>IF($A43="","",IFERROR(COUNTIFS('זה אני - קליטה'!$B$5:$B$204,$A43,'זה אני - קליטה'!$C$5:$C$204,"אמצע שנה",'זה אני - קליטה'!$AW$5:$AW$204,"אמין")/COUNTIFS('זה אני - קליטה'!$B$5:$B$204,$A43,'זה אני - קליטה'!$C$5:$C$204,"אמצע שנה"),""))</f>
        <v/>
      </c>
      <c r="M43" s="47">
        <f>IF($A43="","",COUNTIFS('רווחה - קליטה'!$B$5:$B$204,$A43,'רווחה - קליטה'!$C$5:$C$204,"אמצע שנה"))</f>
        <v/>
      </c>
      <c r="N43" s="45">
        <f>IF($A43="","",IFERROR(AVERAGEIFS('רווחה - קליטה'!$AR$5:$AR$204,'רווחה - קליטה'!$B$5:$B$204,$A43,'רווחה - קליטה'!$C$5:$C$204,"אמצע שנה"),""))</f>
        <v/>
      </c>
      <c r="O43" s="37">
        <f>IF($A43="","",IFERROR(COUNTIFS('רווחה - קליטה'!$B$5:$B$204,$A43,'רווחה - קליטה'!$C$5:$C$204,"אמצע שנה",'רווחה - קליטה'!$AT$5:$AT$204,"אמין")/COUNTIFS('רווחה - קליטה'!$B$5:$B$204,$A43,'רווחה - קליטה'!$C$5:$C$204,"אמצע שנה"),""))</f>
        <v/>
      </c>
      <c r="P43" s="47">
        <f>IF($A43="","",COUNTIFS('זה אני - קליטה'!$B$5:$B$204,$A43,'זה אני - קליטה'!$C$5:$C$204,"סוף שנה"))</f>
        <v/>
      </c>
      <c r="Q43" s="37">
        <f>IF($A43="","",IFERROR(AVERAGEIFS('זה אני - קליטה'!$AL$5:$AL$204,'זה אני - קליטה'!$B$5:$B$204,$A43,'זה אני - קליטה'!$C$5:$C$204,"סוף שנה"),""))</f>
        <v/>
      </c>
      <c r="R43" s="37">
        <f>IF($A43="","",IFERROR(AVERAGEIFS('זה אני - קליטה'!$AN$5:$AN$204,'זה אני - קליטה'!$B$5:$B$204,$A43,'זה אני - קליטה'!$C$5:$C$204,"סוף שנה"),""))</f>
        <v/>
      </c>
      <c r="S43" s="37">
        <f>IF($A43="","",IFERROR(COUNTIFS('זה אני - קליטה'!$B$5:$B$204,$A43,'זה אני - קליטה'!$C$5:$C$204,"סוף שנה",'זה אני - קליטה'!$AW$5:$AW$204,"אמין")/COUNTIFS('זה אני - קליטה'!$B$5:$B$204,$A43,'זה אני - קליטה'!$C$5:$C$204,"סוף שנה"),""))</f>
        <v/>
      </c>
      <c r="T43" s="47">
        <f>IF($A43="","",COUNTIFS('רווחה - קליטה'!$B$5:$B$204,$A43,'רווחה - קליטה'!$C$5:$C$204,"סוף שנה"))</f>
        <v/>
      </c>
      <c r="U43" s="45">
        <f>IF($A43="","",IFERROR(AVERAGEIFS('רווחה - קליטה'!$AR$5:$AR$204,'רווחה - קליטה'!$B$5:$B$204,$A43,'רווחה - קליטה'!$C$5:$C$204,"סוף שנה"),""))</f>
        <v/>
      </c>
      <c r="V43" s="37">
        <f>IF($A43="","",IFERROR(COUNTIFS('רווחה - קליטה'!$B$5:$B$204,$A43,'רווחה - קליטה'!$C$5:$C$204,"סוף שנה",'רווחה - קליטה'!$AT$5:$AT$204,"אמין")/COUNTIFS('רווחה - קליטה'!$B$5:$B$204,$A43,'רווחה - קליטה'!$C$5:$C$204,"סוף שנה"),""))</f>
        <v/>
      </c>
    </row>
    <row r="44">
      <c r="A44" s="38" t="n"/>
      <c r="B44" s="47">
        <f>IF($A44="","",COUNTIFS('זה אני - קליטה'!$B$5:$B$204,$A44,'זה אני - קליטה'!$C$5:$C$204,"תחילת שנה"))</f>
        <v/>
      </c>
      <c r="C44" s="37">
        <f>IF($A44="","",IFERROR(AVERAGEIFS('זה אני - קליטה'!$AL$5:$AL$204,'זה אני - קליטה'!$B$5:$B$204,$A44,'זה אני - קליטה'!$C$5:$C$204,"תחילת שנה"),""))</f>
        <v/>
      </c>
      <c r="D44" s="37">
        <f>IF($A44="","",IFERROR(AVERAGEIFS('זה אני - קליטה'!$AN$5:$AN$204,'זה אני - קליטה'!$B$5:$B$204,$A44,'זה אני - קליטה'!$C$5:$C$204,"תחילת שנה"),""))</f>
        <v/>
      </c>
      <c r="E44" s="37">
        <f>IF($A44="","",IFERROR(COUNTIFS('זה אני - קליטה'!$B$5:$B$204,$A44,'זה אני - קליטה'!$C$5:$C$204,"תחילת שנה",'זה אני - קליטה'!$AW$5:$AW$204,"אמין")/COUNTIFS('זה אני - קליטה'!$B$5:$B$204,$A44,'זה אני - קליטה'!$C$5:$C$204,"תחילת שנה"),""))</f>
        <v/>
      </c>
      <c r="F44" s="47">
        <f>IF($A44="","",COUNTIFS('רווחה - קליטה'!$B$5:$B$204,$A44,'רווחה - קליטה'!$C$5:$C$204,"תחילת שנה"))</f>
        <v/>
      </c>
      <c r="G44" s="45">
        <f>IF($A44="","",IFERROR(AVERAGEIFS('רווחה - קליטה'!$AR$5:$AR$204,'רווחה - קליטה'!$B$5:$B$204,$A44,'רווחה - קליטה'!$C$5:$C$204,"תחילת שנה"),""))</f>
        <v/>
      </c>
      <c r="H44" s="37">
        <f>IF($A44="","",IFERROR(COUNTIFS('רווחה - קליטה'!$B$5:$B$204,$A44,'רווחה - קליטה'!$C$5:$C$204,"תחילת שנה",'רווחה - קליטה'!$AT$5:$AT$204,"אמין")/COUNTIFS('רווחה - קליטה'!$B$5:$B$204,$A44,'רווחה - קליטה'!$C$5:$C$204,"תחילת שנה"),""))</f>
        <v/>
      </c>
      <c r="I44" s="47">
        <f>IF($A44="","",COUNTIFS('זה אני - קליטה'!$B$5:$B$204,$A44,'זה אני - קליטה'!$C$5:$C$204,"אמצע שנה"))</f>
        <v/>
      </c>
      <c r="J44" s="37">
        <f>IF($A44="","",IFERROR(AVERAGEIFS('זה אני - קליטה'!$AL$5:$AL$204,'זה אני - קליטה'!$B$5:$B$204,$A44,'זה אני - קליטה'!$C$5:$C$204,"אמצע שנה"),""))</f>
        <v/>
      </c>
      <c r="K44" s="37">
        <f>IF($A44="","",IFERROR(AVERAGEIFS('זה אני - קליטה'!$AN$5:$AN$204,'זה אני - קליטה'!$B$5:$B$204,$A44,'זה אני - קליטה'!$C$5:$C$204,"אמצע שנה"),""))</f>
        <v/>
      </c>
      <c r="L44" s="37">
        <f>IF($A44="","",IFERROR(COUNTIFS('זה אני - קליטה'!$B$5:$B$204,$A44,'זה אני - קליטה'!$C$5:$C$204,"אמצע שנה",'זה אני - קליטה'!$AW$5:$AW$204,"אמין")/COUNTIFS('זה אני - קליטה'!$B$5:$B$204,$A44,'זה אני - קליטה'!$C$5:$C$204,"אמצע שנה"),""))</f>
        <v/>
      </c>
      <c r="M44" s="47">
        <f>IF($A44="","",COUNTIFS('רווחה - קליטה'!$B$5:$B$204,$A44,'רווחה - קליטה'!$C$5:$C$204,"אמצע שנה"))</f>
        <v/>
      </c>
      <c r="N44" s="45">
        <f>IF($A44="","",IFERROR(AVERAGEIFS('רווחה - קליטה'!$AR$5:$AR$204,'רווחה - קליטה'!$B$5:$B$204,$A44,'רווחה - קליטה'!$C$5:$C$204,"אמצע שנה"),""))</f>
        <v/>
      </c>
      <c r="O44" s="37">
        <f>IF($A44="","",IFERROR(COUNTIFS('רווחה - קליטה'!$B$5:$B$204,$A44,'רווחה - קליטה'!$C$5:$C$204,"אמצע שנה",'רווחה - קליטה'!$AT$5:$AT$204,"אמין")/COUNTIFS('רווחה - קליטה'!$B$5:$B$204,$A44,'רווחה - קליטה'!$C$5:$C$204,"אמצע שנה"),""))</f>
        <v/>
      </c>
      <c r="P44" s="47">
        <f>IF($A44="","",COUNTIFS('זה אני - קליטה'!$B$5:$B$204,$A44,'זה אני - קליטה'!$C$5:$C$204,"סוף שנה"))</f>
        <v/>
      </c>
      <c r="Q44" s="37">
        <f>IF($A44="","",IFERROR(AVERAGEIFS('זה אני - קליטה'!$AL$5:$AL$204,'זה אני - קליטה'!$B$5:$B$204,$A44,'זה אני - קליטה'!$C$5:$C$204,"סוף שנה"),""))</f>
        <v/>
      </c>
      <c r="R44" s="37">
        <f>IF($A44="","",IFERROR(AVERAGEIFS('זה אני - קליטה'!$AN$5:$AN$204,'זה אני - קליטה'!$B$5:$B$204,$A44,'זה אני - קליטה'!$C$5:$C$204,"סוף שנה"),""))</f>
        <v/>
      </c>
      <c r="S44" s="37">
        <f>IF($A44="","",IFERROR(COUNTIFS('זה אני - קליטה'!$B$5:$B$204,$A44,'זה אני - קליטה'!$C$5:$C$204,"סוף שנה",'זה אני - קליטה'!$AW$5:$AW$204,"אמין")/COUNTIFS('זה אני - קליטה'!$B$5:$B$204,$A44,'זה אני - קליטה'!$C$5:$C$204,"סוף שנה"),""))</f>
        <v/>
      </c>
      <c r="T44" s="47">
        <f>IF($A44="","",COUNTIFS('רווחה - קליטה'!$B$5:$B$204,$A44,'רווחה - קליטה'!$C$5:$C$204,"סוף שנה"))</f>
        <v/>
      </c>
      <c r="U44" s="45">
        <f>IF($A44="","",IFERROR(AVERAGEIFS('רווחה - קליטה'!$AR$5:$AR$204,'רווחה - קליטה'!$B$5:$B$204,$A44,'רווחה - קליטה'!$C$5:$C$204,"סוף שנה"),""))</f>
        <v/>
      </c>
      <c r="V44" s="37">
        <f>IF($A44="","",IFERROR(COUNTIFS('רווחה - קליטה'!$B$5:$B$204,$A44,'רווחה - קליטה'!$C$5:$C$204,"סוף שנה",'רווחה - קליטה'!$AT$5:$AT$204,"אמין")/COUNTIFS('רווחה - קליטה'!$B$5:$B$204,$A44,'רווחה - קליטה'!$C$5:$C$204,"סוף שנה"),""))</f>
        <v/>
      </c>
    </row>
    <row r="45">
      <c r="A45" s="48" t="n"/>
      <c r="B45" s="48" t="n"/>
      <c r="C45" s="48" t="n"/>
      <c r="D45" s="48" t="n"/>
      <c r="E45" s="48" t="n"/>
      <c r="F45" s="48" t="n"/>
      <c r="G45" s="48" t="n"/>
      <c r="H45" s="48" t="n"/>
      <c r="I45" s="48" t="n"/>
      <c r="J45" s="48" t="n"/>
      <c r="K45" s="48" t="n"/>
      <c r="L45" s="48" t="n"/>
      <c r="M45" s="48" t="n"/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</row>
    <row r="46">
      <c r="A46" s="48" t="n"/>
      <c r="B46" s="48" t="n"/>
      <c r="C46" s="48" t="n"/>
      <c r="D46" s="48" t="n"/>
      <c r="E46" s="48" t="n"/>
      <c r="F46" s="48" t="n"/>
      <c r="G46" s="48" t="n"/>
      <c r="H46" s="48" t="n"/>
      <c r="I46" s="48" t="n"/>
      <c r="J46" s="48" t="n"/>
      <c r="K46" s="48" t="n"/>
      <c r="L46" s="48" t="n"/>
      <c r="M46" s="48" t="n"/>
      <c r="N46" s="48" t="n"/>
      <c r="O46" s="48" t="n"/>
      <c r="P46" s="48" t="n"/>
      <c r="Q46" s="48" t="n"/>
      <c r="R46" s="48" t="n"/>
      <c r="S46" s="48" t="n"/>
      <c r="T46" s="48" t="n"/>
      <c r="U46" s="48" t="n"/>
      <c r="V46" s="48" t="n"/>
    </row>
    <row r="47">
      <c r="A47" s="48" t="n"/>
      <c r="B47" s="48" t="n"/>
      <c r="C47" s="48" t="n"/>
      <c r="D47" s="48" t="n"/>
      <c r="E47" s="48" t="n"/>
      <c r="F47" s="48" t="n"/>
      <c r="G47" s="48" t="n"/>
      <c r="H47" s="48" t="n"/>
      <c r="I47" s="48" t="n"/>
      <c r="J47" s="48" t="n"/>
      <c r="K47" s="48" t="n"/>
      <c r="L47" s="48" t="n"/>
      <c r="M47" s="48" t="n"/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</row>
    <row r="48">
      <c r="A48" s="48" t="n"/>
      <c r="B48" s="48" t="n"/>
      <c r="C48" s="48" t="n"/>
      <c r="D48" s="48" t="n"/>
      <c r="E48" s="48" t="n"/>
      <c r="F48" s="48" t="n"/>
      <c r="G48" s="48" t="n"/>
      <c r="H48" s="48" t="n"/>
      <c r="I48" s="48" t="n"/>
      <c r="J48" s="48" t="n"/>
      <c r="K48" s="48" t="n"/>
      <c r="L48" s="48" t="n"/>
      <c r="M48" s="48" t="n"/>
      <c r="N48" s="48" t="n"/>
      <c r="O48" s="48" t="n"/>
      <c r="P48" s="48" t="n"/>
      <c r="Q48" s="48" t="n"/>
      <c r="R48" s="48" t="n"/>
      <c r="S48" s="48" t="n"/>
      <c r="T48" s="48" t="n"/>
      <c r="U48" s="48" t="n"/>
      <c r="V48" s="48" t="n"/>
    </row>
    <row r="49">
      <c r="A49" s="48" t="n"/>
      <c r="B49" s="48" t="n"/>
      <c r="C49" s="48" t="n"/>
      <c r="D49" s="48" t="n"/>
      <c r="E49" s="48" t="n"/>
      <c r="F49" s="48" t="n"/>
      <c r="G49" s="48" t="n"/>
      <c r="H49" s="48" t="n"/>
      <c r="I49" s="48" t="n"/>
      <c r="J49" s="48" t="n"/>
      <c r="K49" s="48" t="n"/>
      <c r="L49" s="48" t="n"/>
      <c r="M49" s="48" t="n"/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</row>
    <row r="50">
      <c r="A50" s="48" t="n"/>
      <c r="B50" s="48" t="n"/>
      <c r="C50" s="48" t="n"/>
      <c r="D50" s="48" t="n"/>
      <c r="E50" s="48" t="n"/>
      <c r="F50" s="48" t="n"/>
      <c r="G50" s="48" t="n"/>
      <c r="H50" s="48" t="n"/>
      <c r="I50" s="48" t="n"/>
      <c r="J50" s="48" t="n"/>
      <c r="K50" s="48" t="n"/>
      <c r="L50" s="48" t="n"/>
      <c r="M50" s="48" t="n"/>
      <c r="N50" s="48" t="n"/>
      <c r="O50" s="48" t="n"/>
      <c r="P50" s="48" t="n"/>
      <c r="Q50" s="48" t="n"/>
      <c r="R50" s="48" t="n"/>
      <c r="S50" s="48" t="n"/>
      <c r="T50" s="48" t="n"/>
      <c r="U50" s="48" t="n"/>
      <c r="V50" s="48" t="n"/>
    </row>
    <row r="51">
      <c r="A51" s="48" t="n"/>
      <c r="B51" s="48" t="n"/>
      <c r="C51" s="48" t="n"/>
      <c r="D51" s="48" t="n"/>
      <c r="E51" s="48" t="n"/>
      <c r="F51" s="48" t="n"/>
      <c r="G51" s="48" t="n"/>
      <c r="H51" s="48" t="n"/>
      <c r="I51" s="48" t="n"/>
      <c r="J51" s="48" t="n"/>
      <c r="K51" s="48" t="n"/>
      <c r="L51" s="48" t="n"/>
      <c r="M51" s="48" t="n"/>
      <c r="N51" s="48" t="n"/>
      <c r="O51" s="48" t="n"/>
      <c r="P51" s="48" t="n"/>
      <c r="Q51" s="48" t="n"/>
      <c r="R51" s="48" t="n"/>
      <c r="S51" s="48" t="n"/>
      <c r="T51" s="48" t="n"/>
      <c r="U51" s="48" t="n"/>
      <c r="V51" s="48" t="n"/>
    </row>
    <row r="52">
      <c r="A52" s="48" t="n"/>
      <c r="B52" s="48" t="n"/>
      <c r="C52" s="48" t="n"/>
      <c r="D52" s="48" t="n"/>
      <c r="E52" s="48" t="n"/>
      <c r="F52" s="48" t="n"/>
      <c r="G52" s="48" t="n"/>
      <c r="H52" s="48" t="n"/>
      <c r="I52" s="48" t="n"/>
      <c r="J52" s="48" t="n"/>
      <c r="K52" s="48" t="n"/>
      <c r="L52" s="48" t="n"/>
      <c r="M52" s="48" t="n"/>
      <c r="N52" s="48" t="n"/>
      <c r="O52" s="48" t="n"/>
      <c r="P52" s="48" t="n"/>
      <c r="Q52" s="48" t="n"/>
      <c r="R52" s="48" t="n"/>
      <c r="S52" s="48" t="n"/>
      <c r="T52" s="48" t="n"/>
      <c r="U52" s="48" t="n"/>
      <c r="V52" s="48" t="n"/>
    </row>
    <row r="53">
      <c r="A53" s="48" t="n"/>
      <c r="B53" s="48" t="n"/>
      <c r="C53" s="48" t="n"/>
      <c r="D53" s="48" t="n"/>
      <c r="E53" s="48" t="n"/>
      <c r="F53" s="48" t="n"/>
      <c r="G53" s="48" t="n"/>
      <c r="H53" s="48" t="n"/>
      <c r="I53" s="48" t="n"/>
      <c r="J53" s="48" t="n"/>
      <c r="K53" s="48" t="n"/>
      <c r="L53" s="48" t="n"/>
      <c r="M53" s="48" t="n"/>
      <c r="N53" s="48" t="n"/>
      <c r="O53" s="48" t="n"/>
      <c r="P53" s="48" t="n"/>
      <c r="Q53" s="48" t="n"/>
      <c r="R53" s="48" t="n"/>
      <c r="S53" s="48" t="n"/>
      <c r="T53" s="48" t="n"/>
      <c r="U53" s="48" t="n"/>
      <c r="V53" s="48" t="n"/>
    </row>
    <row r="54">
      <c r="A54" s="48" t="n"/>
      <c r="B54" s="48" t="n"/>
      <c r="C54" s="48" t="n"/>
      <c r="D54" s="48" t="n"/>
      <c r="E54" s="48" t="n"/>
      <c r="F54" s="48" t="n"/>
      <c r="G54" s="48" t="n"/>
      <c r="H54" s="48" t="n"/>
      <c r="I54" s="48" t="n"/>
      <c r="J54" s="48" t="n"/>
      <c r="K54" s="48" t="n"/>
      <c r="L54" s="48" t="n"/>
      <c r="M54" s="48" t="n"/>
      <c r="N54" s="48" t="n"/>
      <c r="O54" s="48" t="n"/>
      <c r="P54" s="48" t="n"/>
      <c r="Q54" s="48" t="n"/>
      <c r="R54" s="48" t="n"/>
      <c r="S54" s="48" t="n"/>
      <c r="T54" s="48" t="n"/>
      <c r="U54" s="48" t="n"/>
      <c r="V54" s="48" t="n"/>
    </row>
    <row r="55">
      <c r="A55" s="48" t="n"/>
      <c r="B55" s="48" t="n"/>
      <c r="C55" s="48" t="n"/>
      <c r="D55" s="48" t="n"/>
      <c r="E55" s="48" t="n"/>
      <c r="F55" s="48" t="n"/>
      <c r="G55" s="48" t="n"/>
      <c r="H55" s="48" t="n"/>
      <c r="I55" s="48" t="n"/>
      <c r="J55" s="48" t="n"/>
      <c r="K55" s="48" t="n"/>
      <c r="L55" s="48" t="n"/>
      <c r="M55" s="48" t="n"/>
      <c r="N55" s="48" t="n"/>
      <c r="O55" s="48" t="n"/>
      <c r="P55" s="48" t="n"/>
      <c r="Q55" s="48" t="n"/>
      <c r="R55" s="48" t="n"/>
      <c r="S55" s="48" t="n"/>
      <c r="T55" s="48" t="n"/>
      <c r="U55" s="48" t="n"/>
      <c r="V55" s="48" t="n"/>
    </row>
    <row r="56">
      <c r="A56" s="48" t="n"/>
      <c r="B56" s="48" t="n"/>
      <c r="C56" s="48" t="n"/>
      <c r="D56" s="48" t="n"/>
      <c r="E56" s="48" t="n"/>
      <c r="F56" s="48" t="n"/>
      <c r="G56" s="48" t="n"/>
      <c r="H56" s="48" t="n"/>
      <c r="I56" s="48" t="n"/>
      <c r="J56" s="48" t="n"/>
      <c r="K56" s="48" t="n"/>
      <c r="L56" s="48" t="n"/>
      <c r="M56" s="48" t="n"/>
      <c r="N56" s="48" t="n"/>
      <c r="O56" s="48" t="n"/>
      <c r="P56" s="48" t="n"/>
      <c r="Q56" s="48" t="n"/>
      <c r="R56" s="48" t="n"/>
      <c r="S56" s="48" t="n"/>
      <c r="T56" s="48" t="n"/>
      <c r="U56" s="48" t="n"/>
      <c r="V56" s="48" t="n"/>
    </row>
    <row r="57">
      <c r="A57" s="48" t="n"/>
      <c r="B57" s="48" t="n"/>
      <c r="C57" s="48" t="n"/>
      <c r="D57" s="48" t="n"/>
      <c r="E57" s="48" t="n"/>
      <c r="F57" s="48" t="n"/>
      <c r="G57" s="48" t="n"/>
      <c r="H57" s="48" t="n"/>
      <c r="I57" s="48" t="n"/>
      <c r="J57" s="48" t="n"/>
      <c r="K57" s="48" t="n"/>
      <c r="L57" s="48" t="n"/>
      <c r="M57" s="48" t="n"/>
      <c r="N57" s="48" t="n"/>
      <c r="O57" s="48" t="n"/>
      <c r="P57" s="48" t="n"/>
      <c r="Q57" s="48" t="n"/>
      <c r="R57" s="48" t="n"/>
      <c r="S57" s="48" t="n"/>
      <c r="T57" s="48" t="n"/>
      <c r="U57" s="48" t="n"/>
      <c r="V57" s="48" t="n"/>
    </row>
    <row r="58">
      <c r="A58" s="48" t="n"/>
      <c r="B58" s="48" t="n"/>
      <c r="C58" s="48" t="n"/>
      <c r="D58" s="48" t="n"/>
      <c r="E58" s="48" t="n"/>
      <c r="F58" s="48" t="n"/>
      <c r="G58" s="48" t="n"/>
      <c r="H58" s="48" t="n"/>
      <c r="I58" s="48" t="n"/>
      <c r="J58" s="48" t="n"/>
      <c r="K58" s="48" t="n"/>
      <c r="L58" s="48" t="n"/>
      <c r="M58" s="48" t="n"/>
      <c r="N58" s="48" t="n"/>
      <c r="O58" s="48" t="n"/>
      <c r="P58" s="48" t="n"/>
      <c r="Q58" s="48" t="n"/>
      <c r="R58" s="48" t="n"/>
      <c r="S58" s="48" t="n"/>
      <c r="T58" s="48" t="n"/>
      <c r="U58" s="48" t="n"/>
      <c r="V58" s="48" t="n"/>
    </row>
    <row r="59">
      <c r="A59" s="48" t="n"/>
      <c r="B59" s="48" t="n"/>
      <c r="C59" s="48" t="n"/>
      <c r="D59" s="48" t="n"/>
      <c r="E59" s="48" t="n"/>
      <c r="F59" s="48" t="n"/>
      <c r="G59" s="48" t="n"/>
      <c r="H59" s="48" t="n"/>
      <c r="I59" s="48" t="n"/>
      <c r="J59" s="48" t="n"/>
      <c r="K59" s="48" t="n"/>
      <c r="L59" s="48" t="n"/>
      <c r="M59" s="48" t="n"/>
      <c r="N59" s="48" t="n"/>
      <c r="O59" s="48" t="n"/>
      <c r="P59" s="48" t="n"/>
      <c r="Q59" s="48" t="n"/>
      <c r="R59" s="48" t="n"/>
      <c r="S59" s="48" t="n"/>
      <c r="T59" s="48" t="n"/>
      <c r="U59" s="48" t="n"/>
      <c r="V59" s="48" t="n"/>
    </row>
    <row r="60">
      <c r="A60" s="48" t="n"/>
      <c r="B60" s="48" t="n"/>
      <c r="C60" s="48" t="n"/>
      <c r="D60" s="48" t="n"/>
      <c r="E60" s="48" t="n"/>
      <c r="F60" s="48" t="n"/>
      <c r="G60" s="48" t="n"/>
      <c r="H60" s="48" t="n"/>
      <c r="I60" s="48" t="n"/>
      <c r="J60" s="48" t="n"/>
      <c r="K60" s="48" t="n"/>
      <c r="L60" s="48" t="n"/>
      <c r="M60" s="48" t="n"/>
      <c r="N60" s="48" t="n"/>
      <c r="O60" s="48" t="n"/>
      <c r="P60" s="48" t="n"/>
      <c r="Q60" s="48" t="n"/>
      <c r="R60" s="48" t="n"/>
      <c r="S60" s="48" t="n"/>
      <c r="T60" s="48" t="n"/>
      <c r="U60" s="48" t="n"/>
      <c r="V60" s="48" t="n"/>
    </row>
    <row r="61">
      <c r="A61" s="48" t="n"/>
      <c r="B61" s="48" t="n"/>
      <c r="C61" s="48" t="n"/>
      <c r="D61" s="48" t="n"/>
      <c r="E61" s="48" t="n"/>
      <c r="F61" s="48" t="n"/>
      <c r="G61" s="48" t="n"/>
      <c r="H61" s="48" t="n"/>
      <c r="I61" s="48" t="n"/>
      <c r="J61" s="48" t="n"/>
      <c r="K61" s="48" t="n"/>
      <c r="L61" s="48" t="n"/>
      <c r="M61" s="48" t="n"/>
      <c r="N61" s="48" t="n"/>
      <c r="O61" s="48" t="n"/>
      <c r="P61" s="48" t="n"/>
      <c r="Q61" s="48" t="n"/>
      <c r="R61" s="48" t="n"/>
      <c r="S61" s="48" t="n"/>
      <c r="T61" s="48" t="n"/>
      <c r="U61" s="48" t="n"/>
      <c r="V61" s="48" t="n"/>
    </row>
    <row r="62">
      <c r="A62" s="48" t="n"/>
      <c r="B62" s="48" t="n"/>
      <c r="C62" s="48" t="n"/>
      <c r="D62" s="48" t="n"/>
      <c r="E62" s="48" t="n"/>
      <c r="F62" s="48" t="n"/>
      <c r="G62" s="48" t="n"/>
      <c r="H62" s="48" t="n"/>
      <c r="I62" s="48" t="n"/>
      <c r="J62" s="48" t="n"/>
      <c r="K62" s="48" t="n"/>
      <c r="L62" s="48" t="n"/>
      <c r="M62" s="48" t="n"/>
      <c r="N62" s="48" t="n"/>
      <c r="O62" s="48" t="n"/>
      <c r="P62" s="48" t="n"/>
      <c r="Q62" s="48" t="n"/>
      <c r="R62" s="48" t="n"/>
      <c r="S62" s="48" t="n"/>
      <c r="T62" s="48" t="n"/>
      <c r="U62" s="48" t="n"/>
      <c r="V62" s="48" t="n"/>
    </row>
    <row r="63">
      <c r="A63" s="48" t="n"/>
      <c r="B63" s="48" t="n"/>
      <c r="C63" s="48" t="n"/>
      <c r="D63" s="48" t="n"/>
      <c r="E63" s="48" t="n"/>
      <c r="F63" s="48" t="n"/>
      <c r="G63" s="48" t="n"/>
      <c r="H63" s="48" t="n"/>
      <c r="I63" s="48" t="n"/>
      <c r="J63" s="48" t="n"/>
      <c r="K63" s="48" t="n"/>
      <c r="L63" s="48" t="n"/>
      <c r="M63" s="48" t="n"/>
      <c r="N63" s="48" t="n"/>
      <c r="O63" s="48" t="n"/>
      <c r="P63" s="48" t="n"/>
      <c r="Q63" s="48" t="n"/>
      <c r="R63" s="48" t="n"/>
      <c r="S63" s="48" t="n"/>
      <c r="T63" s="48" t="n"/>
      <c r="U63" s="48" t="n"/>
      <c r="V63" s="48" t="n"/>
    </row>
    <row r="64">
      <c r="A64" s="48" t="n"/>
      <c r="B64" s="48" t="n"/>
      <c r="C64" s="48" t="n"/>
      <c r="D64" s="48" t="n"/>
      <c r="E64" s="48" t="n"/>
      <c r="F64" s="48" t="n"/>
      <c r="G64" s="48" t="n"/>
      <c r="H64" s="48" t="n"/>
      <c r="I64" s="48" t="n"/>
      <c r="J64" s="48" t="n"/>
      <c r="K64" s="48" t="n"/>
      <c r="L64" s="48" t="n"/>
      <c r="M64" s="48" t="n"/>
      <c r="N64" s="48" t="n"/>
      <c r="O64" s="48" t="n"/>
      <c r="P64" s="48" t="n"/>
      <c r="Q64" s="48" t="n"/>
      <c r="R64" s="48" t="n"/>
      <c r="S64" s="48" t="n"/>
      <c r="T64" s="48" t="n"/>
      <c r="U64" s="48" t="n"/>
      <c r="V64" s="48" t="n"/>
    </row>
    <row r="65">
      <c r="A65" s="48" t="n"/>
      <c r="B65" s="48" t="n"/>
      <c r="C65" s="48" t="n"/>
      <c r="D65" s="48" t="n"/>
      <c r="E65" s="48" t="n"/>
      <c r="F65" s="48" t="n"/>
      <c r="G65" s="48" t="n"/>
      <c r="H65" s="48" t="n"/>
      <c r="I65" s="48" t="n"/>
      <c r="J65" s="48" t="n"/>
      <c r="K65" s="48" t="n"/>
      <c r="L65" s="48" t="n"/>
      <c r="M65" s="48" t="n"/>
      <c r="N65" s="48" t="n"/>
      <c r="O65" s="48" t="n"/>
      <c r="P65" s="48" t="n"/>
      <c r="Q65" s="48" t="n"/>
      <c r="R65" s="48" t="n"/>
      <c r="S65" s="48" t="n"/>
      <c r="T65" s="48" t="n"/>
      <c r="U65" s="48" t="n"/>
      <c r="V65" s="48" t="n"/>
    </row>
    <row r="66">
      <c r="A66" s="48" t="n"/>
      <c r="B66" s="48" t="n"/>
      <c r="C66" s="48" t="n"/>
      <c r="D66" s="48" t="n"/>
      <c r="E66" s="48" t="n"/>
      <c r="F66" s="48" t="n"/>
      <c r="G66" s="48" t="n"/>
      <c r="H66" s="48" t="n"/>
      <c r="I66" s="48" t="n"/>
      <c r="J66" s="48" t="n"/>
      <c r="K66" s="48" t="n"/>
      <c r="L66" s="48" t="n"/>
      <c r="M66" s="48" t="n"/>
      <c r="N66" s="48" t="n"/>
      <c r="O66" s="48" t="n"/>
      <c r="P66" s="48" t="n"/>
      <c r="Q66" s="48" t="n"/>
      <c r="R66" s="48" t="n"/>
      <c r="S66" s="48" t="n"/>
      <c r="T66" s="48" t="n"/>
      <c r="U66" s="48" t="n"/>
      <c r="V66" s="48" t="n"/>
    </row>
    <row r="67">
      <c r="A67" s="48" t="n"/>
      <c r="B67" s="48" t="n"/>
      <c r="C67" s="48" t="n"/>
      <c r="D67" s="48" t="n"/>
      <c r="E67" s="48" t="n"/>
      <c r="F67" s="48" t="n"/>
      <c r="G67" s="48" t="n"/>
      <c r="H67" s="48" t="n"/>
      <c r="I67" s="48" t="n"/>
      <c r="J67" s="48" t="n"/>
      <c r="K67" s="48" t="n"/>
      <c r="L67" s="48" t="n"/>
      <c r="M67" s="48" t="n"/>
      <c r="N67" s="48" t="n"/>
      <c r="O67" s="48" t="n"/>
      <c r="P67" s="48" t="n"/>
      <c r="Q67" s="48" t="n"/>
      <c r="R67" s="48" t="n"/>
      <c r="S67" s="48" t="n"/>
      <c r="T67" s="48" t="n"/>
      <c r="U67" s="48" t="n"/>
      <c r="V67" s="48" t="n"/>
    </row>
    <row r="68">
      <c r="A68" s="48" t="n"/>
      <c r="B68" s="48" t="n"/>
      <c r="C68" s="48" t="n"/>
      <c r="D68" s="48" t="n"/>
      <c r="E68" s="48" t="n"/>
      <c r="F68" s="48" t="n"/>
      <c r="G68" s="48" t="n"/>
      <c r="H68" s="48" t="n"/>
      <c r="I68" s="48" t="n"/>
      <c r="J68" s="48" t="n"/>
      <c r="K68" s="48" t="n"/>
      <c r="L68" s="48" t="n"/>
      <c r="M68" s="48" t="n"/>
      <c r="N68" s="48" t="n"/>
      <c r="O68" s="48" t="n"/>
      <c r="P68" s="48" t="n"/>
      <c r="Q68" s="48" t="n"/>
      <c r="R68" s="48" t="n"/>
      <c r="S68" s="48" t="n"/>
      <c r="T68" s="48" t="n"/>
      <c r="U68" s="48" t="n"/>
      <c r="V68" s="48" t="n"/>
    </row>
    <row r="69">
      <c r="A69" s="48" t="n"/>
      <c r="B69" s="48" t="n"/>
      <c r="C69" s="48" t="n"/>
      <c r="D69" s="48" t="n"/>
      <c r="E69" s="48" t="n"/>
      <c r="F69" s="48" t="n"/>
      <c r="G69" s="48" t="n"/>
      <c r="H69" s="48" t="n"/>
      <c r="I69" s="48" t="n"/>
      <c r="J69" s="48" t="n"/>
      <c r="K69" s="48" t="n"/>
      <c r="L69" s="48" t="n"/>
      <c r="M69" s="48" t="n"/>
      <c r="N69" s="48" t="n"/>
      <c r="O69" s="48" t="n"/>
      <c r="P69" s="48" t="n"/>
      <c r="Q69" s="48" t="n"/>
      <c r="R69" s="48" t="n"/>
      <c r="S69" s="48" t="n"/>
      <c r="T69" s="48" t="n"/>
      <c r="U69" s="48" t="n"/>
      <c r="V69" s="48" t="n"/>
    </row>
    <row r="70">
      <c r="A70" s="48" t="n"/>
      <c r="B70" s="48" t="n"/>
      <c r="C70" s="48" t="n"/>
      <c r="D70" s="48" t="n"/>
      <c r="E70" s="48" t="n"/>
      <c r="F70" s="48" t="n"/>
      <c r="G70" s="48" t="n"/>
      <c r="H70" s="48" t="n"/>
      <c r="I70" s="48" t="n"/>
      <c r="J70" s="48" t="n"/>
      <c r="K70" s="48" t="n"/>
      <c r="L70" s="48" t="n"/>
      <c r="M70" s="48" t="n"/>
      <c r="N70" s="48" t="n"/>
      <c r="O70" s="48" t="n"/>
      <c r="P70" s="48" t="n"/>
      <c r="Q70" s="48" t="n"/>
      <c r="R70" s="48" t="n"/>
      <c r="S70" s="48" t="n"/>
      <c r="T70" s="48" t="n"/>
      <c r="U70" s="48" t="n"/>
      <c r="V70" s="48" t="n"/>
    </row>
    <row r="71">
      <c r="A71" s="48" t="n"/>
      <c r="B71" s="48" t="n"/>
      <c r="C71" s="48" t="n"/>
      <c r="D71" s="48" t="n"/>
      <c r="E71" s="48" t="n"/>
      <c r="F71" s="48" t="n"/>
      <c r="G71" s="48" t="n"/>
      <c r="H71" s="48" t="n"/>
      <c r="I71" s="48" t="n"/>
      <c r="J71" s="48" t="n"/>
      <c r="K71" s="48" t="n"/>
      <c r="L71" s="48" t="n"/>
      <c r="M71" s="48" t="n"/>
      <c r="N71" s="48" t="n"/>
      <c r="O71" s="48" t="n"/>
      <c r="P71" s="48" t="n"/>
      <c r="Q71" s="48" t="n"/>
      <c r="R71" s="48" t="n"/>
      <c r="S71" s="48" t="n"/>
      <c r="T71" s="48" t="n"/>
      <c r="U71" s="48" t="n"/>
      <c r="V71" s="48" t="n"/>
    </row>
    <row r="72">
      <c r="A72" s="48" t="n"/>
      <c r="B72" s="48" t="n"/>
      <c r="C72" s="48" t="n"/>
      <c r="D72" s="48" t="n"/>
      <c r="E72" s="48" t="n"/>
      <c r="F72" s="48" t="n"/>
      <c r="G72" s="48" t="n"/>
      <c r="H72" s="48" t="n"/>
      <c r="I72" s="48" t="n"/>
      <c r="J72" s="48" t="n"/>
      <c r="K72" s="48" t="n"/>
      <c r="L72" s="48" t="n"/>
      <c r="M72" s="48" t="n"/>
      <c r="N72" s="48" t="n"/>
      <c r="O72" s="48" t="n"/>
      <c r="P72" s="48" t="n"/>
      <c r="Q72" s="48" t="n"/>
      <c r="R72" s="48" t="n"/>
      <c r="S72" s="48" t="n"/>
      <c r="T72" s="48" t="n"/>
      <c r="U72" s="48" t="n"/>
      <c r="V72" s="48" t="n"/>
    </row>
    <row r="73">
      <c r="A73" s="48" t="n"/>
      <c r="B73" s="48" t="n"/>
      <c r="C73" s="48" t="n"/>
      <c r="D73" s="48" t="n"/>
      <c r="E73" s="48" t="n"/>
      <c r="F73" s="48" t="n"/>
      <c r="G73" s="48" t="n"/>
      <c r="H73" s="48" t="n"/>
      <c r="I73" s="48" t="n"/>
      <c r="J73" s="48" t="n"/>
      <c r="K73" s="48" t="n"/>
      <c r="L73" s="48" t="n"/>
      <c r="M73" s="48" t="n"/>
      <c r="N73" s="48" t="n"/>
      <c r="O73" s="48" t="n"/>
      <c r="P73" s="48" t="n"/>
      <c r="Q73" s="48" t="n"/>
      <c r="R73" s="48" t="n"/>
      <c r="S73" s="48" t="n"/>
      <c r="T73" s="48" t="n"/>
      <c r="U73" s="48" t="n"/>
      <c r="V73" s="48" t="n"/>
    </row>
    <row r="74">
      <c r="A74" s="48" t="n"/>
      <c r="B74" s="48" t="n"/>
      <c r="C74" s="48" t="n"/>
      <c r="D74" s="48" t="n"/>
      <c r="E74" s="48" t="n"/>
      <c r="F74" s="48" t="n"/>
      <c r="G74" s="48" t="n"/>
      <c r="H74" s="48" t="n"/>
      <c r="I74" s="48" t="n"/>
      <c r="J74" s="48" t="n"/>
      <c r="K74" s="48" t="n"/>
      <c r="L74" s="48" t="n"/>
      <c r="M74" s="48" t="n"/>
      <c r="N74" s="48" t="n"/>
      <c r="O74" s="48" t="n"/>
      <c r="P74" s="48" t="n"/>
      <c r="Q74" s="48" t="n"/>
      <c r="R74" s="48" t="n"/>
      <c r="S74" s="48" t="n"/>
      <c r="T74" s="48" t="n"/>
      <c r="U74" s="48" t="n"/>
      <c r="V74" s="48" t="n"/>
    </row>
    <row r="75">
      <c r="A75" s="48" t="n"/>
      <c r="B75" s="48" t="n"/>
      <c r="C75" s="48" t="n"/>
      <c r="D75" s="48" t="n"/>
      <c r="E75" s="48" t="n"/>
      <c r="F75" s="48" t="n"/>
      <c r="G75" s="48" t="n"/>
      <c r="H75" s="48" t="n"/>
      <c r="I75" s="48" t="n"/>
      <c r="J75" s="48" t="n"/>
      <c r="K75" s="48" t="n"/>
      <c r="L75" s="48" t="n"/>
      <c r="M75" s="48" t="n"/>
      <c r="N75" s="48" t="n"/>
      <c r="O75" s="48" t="n"/>
      <c r="P75" s="48" t="n"/>
      <c r="Q75" s="48" t="n"/>
      <c r="R75" s="48" t="n"/>
      <c r="S75" s="48" t="n"/>
      <c r="T75" s="48" t="n"/>
      <c r="U75" s="48" t="n"/>
      <c r="V75" s="48" t="n"/>
    </row>
    <row r="76">
      <c r="A76" s="48" t="n"/>
      <c r="B76" s="48" t="n"/>
      <c r="C76" s="48" t="n"/>
      <c r="D76" s="48" t="n"/>
      <c r="E76" s="48" t="n"/>
      <c r="F76" s="48" t="n"/>
      <c r="G76" s="48" t="n"/>
      <c r="H76" s="48" t="n"/>
      <c r="I76" s="48" t="n"/>
      <c r="J76" s="48" t="n"/>
      <c r="K76" s="48" t="n"/>
      <c r="L76" s="48" t="n"/>
      <c r="M76" s="48" t="n"/>
      <c r="N76" s="48" t="n"/>
      <c r="O76" s="48" t="n"/>
      <c r="P76" s="48" t="n"/>
      <c r="Q76" s="48" t="n"/>
      <c r="R76" s="48" t="n"/>
      <c r="S76" s="48" t="n"/>
      <c r="T76" s="48" t="n"/>
      <c r="U76" s="48" t="n"/>
      <c r="V76" s="48" t="n"/>
    </row>
    <row r="77">
      <c r="A77" s="48" t="n"/>
      <c r="B77" s="48" t="n"/>
      <c r="C77" s="48" t="n"/>
      <c r="D77" s="48" t="n"/>
      <c r="E77" s="48" t="n"/>
      <c r="F77" s="48" t="n"/>
      <c r="G77" s="48" t="n"/>
      <c r="H77" s="48" t="n"/>
      <c r="I77" s="48" t="n"/>
      <c r="J77" s="48" t="n"/>
      <c r="K77" s="48" t="n"/>
      <c r="L77" s="48" t="n"/>
      <c r="M77" s="48" t="n"/>
      <c r="N77" s="48" t="n"/>
      <c r="O77" s="48" t="n"/>
      <c r="P77" s="48" t="n"/>
      <c r="Q77" s="48" t="n"/>
      <c r="R77" s="48" t="n"/>
      <c r="S77" s="48" t="n"/>
      <c r="T77" s="48" t="n"/>
      <c r="U77" s="48" t="n"/>
      <c r="V77" s="48" t="n"/>
    </row>
    <row r="78">
      <c r="A78" s="48" t="n"/>
      <c r="B78" s="48" t="n"/>
      <c r="C78" s="48" t="n"/>
      <c r="D78" s="48" t="n"/>
      <c r="E78" s="48" t="n"/>
      <c r="F78" s="48" t="n"/>
      <c r="G78" s="48" t="n"/>
      <c r="H78" s="48" t="n"/>
      <c r="I78" s="48" t="n"/>
      <c r="J78" s="48" t="n"/>
      <c r="K78" s="48" t="n"/>
      <c r="L78" s="48" t="n"/>
      <c r="M78" s="48" t="n"/>
      <c r="N78" s="48" t="n"/>
      <c r="O78" s="48" t="n"/>
      <c r="P78" s="48" t="n"/>
      <c r="Q78" s="48" t="n"/>
      <c r="R78" s="48" t="n"/>
      <c r="S78" s="48" t="n"/>
      <c r="T78" s="48" t="n"/>
      <c r="U78" s="48" t="n"/>
      <c r="V78" s="48" t="n"/>
    </row>
    <row r="79">
      <c r="A79" s="48" t="n"/>
      <c r="B79" s="48" t="n"/>
      <c r="C79" s="48" t="n"/>
      <c r="D79" s="48" t="n"/>
      <c r="E79" s="48" t="n"/>
      <c r="F79" s="48" t="n"/>
      <c r="G79" s="48" t="n"/>
      <c r="H79" s="48" t="n"/>
      <c r="I79" s="48" t="n"/>
      <c r="J79" s="48" t="n"/>
      <c r="K79" s="48" t="n"/>
      <c r="L79" s="48" t="n"/>
      <c r="M79" s="48" t="n"/>
      <c r="N79" s="48" t="n"/>
      <c r="O79" s="48" t="n"/>
      <c r="P79" s="48" t="n"/>
      <c r="Q79" s="48" t="n"/>
      <c r="R79" s="48" t="n"/>
      <c r="S79" s="48" t="n"/>
      <c r="T79" s="48" t="n"/>
      <c r="U79" s="48" t="n"/>
      <c r="V79" s="48" t="n"/>
    </row>
    <row r="80">
      <c r="A80" s="48" t="n"/>
      <c r="B80" s="48" t="n"/>
      <c r="C80" s="48" t="n"/>
      <c r="D80" s="48" t="n"/>
      <c r="E80" s="48" t="n"/>
      <c r="F80" s="48" t="n"/>
      <c r="G80" s="48" t="n"/>
      <c r="H80" s="48" t="n"/>
      <c r="I80" s="48" t="n"/>
      <c r="J80" s="48" t="n"/>
      <c r="K80" s="48" t="n"/>
      <c r="L80" s="48" t="n"/>
      <c r="M80" s="48" t="n"/>
      <c r="N80" s="48" t="n"/>
      <c r="O80" s="48" t="n"/>
      <c r="P80" s="48" t="n"/>
      <c r="Q80" s="48" t="n"/>
      <c r="R80" s="48" t="n"/>
      <c r="S80" s="48" t="n"/>
      <c r="T80" s="48" t="n"/>
      <c r="U80" s="48" t="n"/>
      <c r="V80" s="48" t="n"/>
    </row>
    <row r="81">
      <c r="A81" s="48" t="n"/>
      <c r="B81" s="48" t="n"/>
      <c r="C81" s="48" t="n"/>
      <c r="D81" s="48" t="n"/>
      <c r="E81" s="48" t="n"/>
      <c r="F81" s="48" t="n"/>
      <c r="G81" s="48" t="n"/>
      <c r="H81" s="48" t="n"/>
      <c r="I81" s="48" t="n"/>
      <c r="J81" s="48" t="n"/>
      <c r="K81" s="48" t="n"/>
      <c r="L81" s="48" t="n"/>
      <c r="M81" s="48" t="n"/>
      <c r="N81" s="48" t="n"/>
      <c r="O81" s="48" t="n"/>
      <c r="P81" s="48" t="n"/>
      <c r="Q81" s="48" t="n"/>
      <c r="R81" s="48" t="n"/>
      <c r="S81" s="48" t="n"/>
      <c r="T81" s="48" t="n"/>
      <c r="U81" s="48" t="n"/>
      <c r="V81" s="48" t="n"/>
    </row>
    <row r="82">
      <c r="A82" s="48" t="n"/>
      <c r="B82" s="48" t="n"/>
      <c r="C82" s="48" t="n"/>
      <c r="D82" s="48" t="n"/>
      <c r="E82" s="48" t="n"/>
      <c r="F82" s="48" t="n"/>
      <c r="G82" s="48" t="n"/>
      <c r="H82" s="48" t="n"/>
      <c r="I82" s="48" t="n"/>
      <c r="J82" s="48" t="n"/>
      <c r="K82" s="48" t="n"/>
      <c r="L82" s="48" t="n"/>
      <c r="M82" s="48" t="n"/>
      <c r="N82" s="48" t="n"/>
      <c r="O82" s="48" t="n"/>
      <c r="P82" s="48" t="n"/>
      <c r="Q82" s="48" t="n"/>
      <c r="R82" s="48" t="n"/>
      <c r="S82" s="48" t="n"/>
      <c r="T82" s="48" t="n"/>
      <c r="U82" s="48" t="n"/>
      <c r="V82" s="48" t="n"/>
    </row>
    <row r="83">
      <c r="A83" s="48" t="n"/>
      <c r="B83" s="48" t="n"/>
      <c r="C83" s="48" t="n"/>
      <c r="D83" s="48" t="n"/>
      <c r="E83" s="48" t="n"/>
      <c r="F83" s="48" t="n"/>
      <c r="G83" s="48" t="n"/>
      <c r="H83" s="48" t="n"/>
      <c r="I83" s="48" t="n"/>
      <c r="J83" s="48" t="n"/>
      <c r="K83" s="48" t="n"/>
      <c r="L83" s="48" t="n"/>
      <c r="M83" s="48" t="n"/>
      <c r="N83" s="48" t="n"/>
      <c r="O83" s="48" t="n"/>
      <c r="P83" s="48" t="n"/>
      <c r="Q83" s="48" t="n"/>
      <c r="R83" s="48" t="n"/>
      <c r="S83" s="48" t="n"/>
      <c r="T83" s="48" t="n"/>
      <c r="U83" s="48" t="n"/>
      <c r="V83" s="48" t="n"/>
    </row>
    <row r="84">
      <c r="A84" s="48" t="n"/>
      <c r="B84" s="48" t="n"/>
      <c r="C84" s="48" t="n"/>
      <c r="D84" s="48" t="n"/>
      <c r="E84" s="48" t="n"/>
      <c r="F84" s="48" t="n"/>
      <c r="G84" s="48" t="n"/>
      <c r="H84" s="48" t="n"/>
      <c r="I84" s="48" t="n"/>
      <c r="J84" s="48" t="n"/>
      <c r="K84" s="48" t="n"/>
      <c r="L84" s="48" t="n"/>
      <c r="M84" s="48" t="n"/>
      <c r="N84" s="48" t="n"/>
      <c r="O84" s="48" t="n"/>
      <c r="P84" s="48" t="n"/>
      <c r="Q84" s="48" t="n"/>
      <c r="R84" s="48" t="n"/>
      <c r="S84" s="48" t="n"/>
      <c r="T84" s="48" t="n"/>
      <c r="U84" s="48" t="n"/>
      <c r="V84" s="48" t="n"/>
    </row>
    <row r="85">
      <c r="A85" s="48" t="n"/>
      <c r="B85" s="48" t="n"/>
      <c r="C85" s="48" t="n"/>
      <c r="D85" s="48" t="n"/>
      <c r="E85" s="48" t="n"/>
      <c r="F85" s="48" t="n"/>
      <c r="G85" s="48" t="n"/>
      <c r="H85" s="48" t="n"/>
      <c r="I85" s="48" t="n"/>
      <c r="J85" s="48" t="n"/>
      <c r="K85" s="48" t="n"/>
      <c r="L85" s="48" t="n"/>
      <c r="M85" s="48" t="n"/>
      <c r="N85" s="48" t="n"/>
      <c r="O85" s="48" t="n"/>
      <c r="P85" s="48" t="n"/>
      <c r="Q85" s="48" t="n"/>
      <c r="R85" s="48" t="n"/>
      <c r="S85" s="48" t="n"/>
      <c r="T85" s="48" t="n"/>
      <c r="U85" s="48" t="n"/>
      <c r="V85" s="48" t="n"/>
    </row>
    <row r="86">
      <c r="A86" s="48" t="n"/>
      <c r="B86" s="48" t="n"/>
      <c r="C86" s="48" t="n"/>
      <c r="D86" s="48" t="n"/>
      <c r="E86" s="48" t="n"/>
      <c r="F86" s="48" t="n"/>
      <c r="G86" s="48" t="n"/>
      <c r="H86" s="48" t="n"/>
      <c r="I86" s="48" t="n"/>
      <c r="J86" s="48" t="n"/>
      <c r="K86" s="48" t="n"/>
      <c r="L86" s="48" t="n"/>
      <c r="M86" s="48" t="n"/>
      <c r="N86" s="48" t="n"/>
      <c r="O86" s="48" t="n"/>
      <c r="P86" s="48" t="n"/>
      <c r="Q86" s="48" t="n"/>
      <c r="R86" s="48" t="n"/>
      <c r="S86" s="48" t="n"/>
      <c r="T86" s="48" t="n"/>
      <c r="U86" s="48" t="n"/>
      <c r="V86" s="48" t="n"/>
    </row>
    <row r="87">
      <c r="A87" s="48" t="n"/>
      <c r="B87" s="48" t="n"/>
      <c r="C87" s="48" t="n"/>
      <c r="D87" s="48" t="n"/>
      <c r="E87" s="48" t="n"/>
      <c r="F87" s="48" t="n"/>
      <c r="G87" s="48" t="n"/>
      <c r="H87" s="48" t="n"/>
      <c r="I87" s="48" t="n"/>
      <c r="J87" s="48" t="n"/>
      <c r="K87" s="48" t="n"/>
      <c r="L87" s="48" t="n"/>
      <c r="M87" s="48" t="n"/>
      <c r="N87" s="48" t="n"/>
      <c r="O87" s="48" t="n"/>
      <c r="P87" s="48" t="n"/>
      <c r="Q87" s="48" t="n"/>
      <c r="R87" s="48" t="n"/>
      <c r="S87" s="48" t="n"/>
      <c r="T87" s="48" t="n"/>
      <c r="U87" s="48" t="n"/>
      <c r="V87" s="48" t="n"/>
    </row>
    <row r="88">
      <c r="A88" s="48" t="n"/>
      <c r="B88" s="48" t="n"/>
      <c r="C88" s="48" t="n"/>
      <c r="D88" s="48" t="n"/>
      <c r="E88" s="48" t="n"/>
      <c r="F88" s="48" t="n"/>
      <c r="G88" s="48" t="n"/>
      <c r="H88" s="48" t="n"/>
      <c r="I88" s="48" t="n"/>
      <c r="J88" s="48" t="n"/>
      <c r="K88" s="48" t="n"/>
      <c r="L88" s="48" t="n"/>
      <c r="M88" s="48" t="n"/>
      <c r="N88" s="48" t="n"/>
      <c r="O88" s="48" t="n"/>
      <c r="P88" s="48" t="n"/>
      <c r="Q88" s="48" t="n"/>
      <c r="R88" s="48" t="n"/>
      <c r="S88" s="48" t="n"/>
      <c r="T88" s="48" t="n"/>
      <c r="U88" s="48" t="n"/>
      <c r="V88" s="48" t="n"/>
    </row>
    <row r="89">
      <c r="A89" s="48" t="n"/>
      <c r="B89" s="48" t="n"/>
      <c r="C89" s="48" t="n"/>
      <c r="D89" s="48" t="n"/>
      <c r="E89" s="48" t="n"/>
      <c r="F89" s="48" t="n"/>
      <c r="G89" s="48" t="n"/>
      <c r="H89" s="48" t="n"/>
      <c r="I89" s="48" t="n"/>
      <c r="J89" s="48" t="n"/>
      <c r="K89" s="48" t="n"/>
      <c r="L89" s="48" t="n"/>
      <c r="M89" s="48" t="n"/>
      <c r="N89" s="48" t="n"/>
      <c r="O89" s="48" t="n"/>
      <c r="P89" s="48" t="n"/>
      <c r="Q89" s="48" t="n"/>
      <c r="R89" s="48" t="n"/>
      <c r="S89" s="48" t="n"/>
      <c r="T89" s="48" t="n"/>
      <c r="U89" s="48" t="n"/>
      <c r="V89" s="48" t="n"/>
    </row>
    <row r="90">
      <c r="A90" s="48" t="n"/>
      <c r="B90" s="48" t="n"/>
      <c r="C90" s="48" t="n"/>
      <c r="D90" s="48" t="n"/>
      <c r="E90" s="48" t="n"/>
      <c r="F90" s="48" t="n"/>
      <c r="G90" s="48" t="n"/>
      <c r="H90" s="48" t="n"/>
      <c r="I90" s="48" t="n"/>
      <c r="J90" s="48" t="n"/>
      <c r="K90" s="48" t="n"/>
      <c r="L90" s="48" t="n"/>
      <c r="M90" s="48" t="n"/>
      <c r="N90" s="48" t="n"/>
      <c r="O90" s="48" t="n"/>
      <c r="P90" s="48" t="n"/>
      <c r="Q90" s="48" t="n"/>
      <c r="R90" s="48" t="n"/>
      <c r="S90" s="48" t="n"/>
      <c r="T90" s="48" t="n"/>
      <c r="U90" s="48" t="n"/>
      <c r="V90" s="48" t="n"/>
    </row>
    <row r="91">
      <c r="A91" s="48" t="n"/>
      <c r="B91" s="48" t="n"/>
      <c r="C91" s="48" t="n"/>
      <c r="D91" s="48" t="n"/>
      <c r="E91" s="48" t="n"/>
      <c r="F91" s="48" t="n"/>
      <c r="G91" s="48" t="n"/>
      <c r="H91" s="48" t="n"/>
      <c r="I91" s="48" t="n"/>
      <c r="J91" s="48" t="n"/>
      <c r="K91" s="48" t="n"/>
      <c r="L91" s="48" t="n"/>
      <c r="M91" s="48" t="n"/>
      <c r="N91" s="48" t="n"/>
      <c r="O91" s="48" t="n"/>
      <c r="P91" s="48" t="n"/>
      <c r="Q91" s="48" t="n"/>
      <c r="R91" s="48" t="n"/>
      <c r="S91" s="48" t="n"/>
      <c r="T91" s="48" t="n"/>
      <c r="U91" s="48" t="n"/>
      <c r="V91" s="48" t="n"/>
    </row>
    <row r="92">
      <c r="A92" s="48" t="n"/>
      <c r="B92" s="48" t="n"/>
      <c r="C92" s="48" t="n"/>
      <c r="D92" s="48" t="n"/>
      <c r="E92" s="48" t="n"/>
      <c r="F92" s="48" t="n"/>
      <c r="G92" s="48" t="n"/>
      <c r="H92" s="48" t="n"/>
      <c r="I92" s="48" t="n"/>
      <c r="J92" s="48" t="n"/>
      <c r="K92" s="48" t="n"/>
      <c r="L92" s="48" t="n"/>
      <c r="M92" s="48" t="n"/>
      <c r="N92" s="48" t="n"/>
      <c r="O92" s="48" t="n"/>
      <c r="P92" s="48" t="n"/>
      <c r="Q92" s="48" t="n"/>
      <c r="R92" s="48" t="n"/>
      <c r="S92" s="48" t="n"/>
      <c r="T92" s="48" t="n"/>
      <c r="U92" s="48" t="n"/>
      <c r="V92" s="48" t="n"/>
    </row>
    <row r="93">
      <c r="A93" s="48" t="n"/>
      <c r="B93" s="48" t="n"/>
      <c r="C93" s="48" t="n"/>
      <c r="D93" s="48" t="n"/>
      <c r="E93" s="48" t="n"/>
      <c r="F93" s="48" t="n"/>
      <c r="G93" s="48" t="n"/>
      <c r="H93" s="48" t="n"/>
      <c r="I93" s="48" t="n"/>
      <c r="J93" s="48" t="n"/>
      <c r="K93" s="48" t="n"/>
      <c r="L93" s="48" t="n"/>
      <c r="M93" s="48" t="n"/>
      <c r="N93" s="48" t="n"/>
      <c r="O93" s="48" t="n"/>
      <c r="P93" s="48" t="n"/>
      <c r="Q93" s="48" t="n"/>
      <c r="R93" s="48" t="n"/>
      <c r="S93" s="48" t="n"/>
      <c r="T93" s="48" t="n"/>
      <c r="U93" s="48" t="n"/>
      <c r="V93" s="48" t="n"/>
    </row>
    <row r="94">
      <c r="A94" s="48" t="n"/>
      <c r="B94" s="48" t="n"/>
      <c r="C94" s="48" t="n"/>
      <c r="D94" s="48" t="n"/>
      <c r="E94" s="48" t="n"/>
      <c r="F94" s="48" t="n"/>
      <c r="G94" s="48" t="n"/>
      <c r="H94" s="48" t="n"/>
      <c r="I94" s="48" t="n"/>
      <c r="J94" s="48" t="n"/>
      <c r="K94" s="48" t="n"/>
      <c r="L94" s="48" t="n"/>
      <c r="M94" s="48" t="n"/>
      <c r="N94" s="48" t="n"/>
      <c r="O94" s="48" t="n"/>
      <c r="P94" s="48" t="n"/>
      <c r="Q94" s="48" t="n"/>
      <c r="R94" s="48" t="n"/>
      <c r="S94" s="48" t="n"/>
      <c r="T94" s="48" t="n"/>
      <c r="U94" s="48" t="n"/>
      <c r="V94" s="48" t="n"/>
    </row>
    <row r="95">
      <c r="A95" s="48" t="n"/>
      <c r="B95" s="48" t="n"/>
      <c r="C95" s="48" t="n"/>
      <c r="D95" s="48" t="n"/>
      <c r="E95" s="48" t="n"/>
      <c r="F95" s="48" t="n"/>
      <c r="G95" s="48" t="n"/>
      <c r="H95" s="48" t="n"/>
      <c r="I95" s="48" t="n"/>
      <c r="J95" s="48" t="n"/>
      <c r="K95" s="48" t="n"/>
      <c r="L95" s="48" t="n"/>
      <c r="M95" s="48" t="n"/>
      <c r="N95" s="48" t="n"/>
      <c r="O95" s="48" t="n"/>
      <c r="P95" s="48" t="n"/>
      <c r="Q95" s="48" t="n"/>
      <c r="R95" s="48" t="n"/>
      <c r="S95" s="48" t="n"/>
      <c r="T95" s="48" t="n"/>
      <c r="U95" s="48" t="n"/>
      <c r="V95" s="48" t="n"/>
    </row>
    <row r="96">
      <c r="A96" s="48" t="n"/>
      <c r="B96" s="48" t="n"/>
      <c r="C96" s="48" t="n"/>
      <c r="D96" s="48" t="n"/>
      <c r="E96" s="48" t="n"/>
      <c r="F96" s="48" t="n"/>
      <c r="G96" s="48" t="n"/>
      <c r="H96" s="48" t="n"/>
      <c r="I96" s="48" t="n"/>
      <c r="J96" s="48" t="n"/>
      <c r="K96" s="48" t="n"/>
      <c r="L96" s="48" t="n"/>
      <c r="M96" s="48" t="n"/>
      <c r="N96" s="48" t="n"/>
      <c r="O96" s="48" t="n"/>
      <c r="P96" s="48" t="n"/>
      <c r="Q96" s="48" t="n"/>
      <c r="R96" s="48" t="n"/>
      <c r="S96" s="48" t="n"/>
      <c r="T96" s="48" t="n"/>
      <c r="U96" s="48" t="n"/>
      <c r="V96" s="48" t="n"/>
    </row>
    <row r="97">
      <c r="A97" s="48" t="n"/>
      <c r="B97" s="48" t="n"/>
      <c r="C97" s="48" t="n"/>
      <c r="D97" s="48" t="n"/>
      <c r="E97" s="48" t="n"/>
      <c r="F97" s="48" t="n"/>
      <c r="G97" s="48" t="n"/>
      <c r="H97" s="48" t="n"/>
      <c r="I97" s="48" t="n"/>
      <c r="J97" s="48" t="n"/>
      <c r="K97" s="48" t="n"/>
      <c r="L97" s="48" t="n"/>
      <c r="M97" s="48" t="n"/>
      <c r="N97" s="48" t="n"/>
      <c r="O97" s="48" t="n"/>
      <c r="P97" s="48" t="n"/>
      <c r="Q97" s="48" t="n"/>
      <c r="R97" s="48" t="n"/>
      <c r="S97" s="48" t="n"/>
      <c r="T97" s="48" t="n"/>
      <c r="U97" s="48" t="n"/>
      <c r="V97" s="48" t="n"/>
    </row>
    <row r="98">
      <c r="A98" s="48" t="n"/>
      <c r="B98" s="48" t="n"/>
      <c r="C98" s="48" t="n"/>
      <c r="D98" s="48" t="n"/>
      <c r="E98" s="48" t="n"/>
      <c r="F98" s="48" t="n"/>
      <c r="G98" s="48" t="n"/>
      <c r="H98" s="48" t="n"/>
      <c r="I98" s="48" t="n"/>
      <c r="J98" s="48" t="n"/>
      <c r="K98" s="48" t="n"/>
      <c r="L98" s="48" t="n"/>
      <c r="M98" s="48" t="n"/>
      <c r="N98" s="48" t="n"/>
      <c r="O98" s="48" t="n"/>
      <c r="P98" s="48" t="n"/>
      <c r="Q98" s="48" t="n"/>
      <c r="R98" s="48" t="n"/>
      <c r="S98" s="48" t="n"/>
      <c r="T98" s="48" t="n"/>
      <c r="U98" s="48" t="n"/>
      <c r="V98" s="48" t="n"/>
    </row>
    <row r="99">
      <c r="A99" s="48" t="n"/>
      <c r="B99" s="48" t="n"/>
      <c r="C99" s="48" t="n"/>
      <c r="D99" s="48" t="n"/>
      <c r="E99" s="48" t="n"/>
      <c r="F99" s="48" t="n"/>
      <c r="G99" s="48" t="n"/>
      <c r="H99" s="48" t="n"/>
      <c r="I99" s="48" t="n"/>
      <c r="J99" s="48" t="n"/>
      <c r="K99" s="48" t="n"/>
      <c r="L99" s="48" t="n"/>
      <c r="M99" s="48" t="n"/>
      <c r="N99" s="48" t="n"/>
      <c r="O99" s="48" t="n"/>
      <c r="P99" s="48" t="n"/>
      <c r="Q99" s="48" t="n"/>
      <c r="R99" s="48" t="n"/>
      <c r="S99" s="48" t="n"/>
      <c r="T99" s="48" t="n"/>
      <c r="U99" s="48" t="n"/>
      <c r="V99" s="48" t="n"/>
    </row>
    <row r="100">
      <c r="A100" s="48" t="n"/>
      <c r="B100" s="48" t="n"/>
      <c r="C100" s="48" t="n"/>
      <c r="D100" s="48" t="n"/>
      <c r="E100" s="48" t="n"/>
      <c r="F100" s="48" t="n"/>
      <c r="G100" s="48" t="n"/>
      <c r="H100" s="48" t="n"/>
      <c r="I100" s="48" t="n"/>
      <c r="J100" s="48" t="n"/>
      <c r="K100" s="48" t="n"/>
      <c r="L100" s="48" t="n"/>
      <c r="M100" s="48" t="n"/>
      <c r="N100" s="48" t="n"/>
      <c r="O100" s="48" t="n"/>
      <c r="P100" s="48" t="n"/>
      <c r="Q100" s="48" t="n"/>
      <c r="R100" s="48" t="n"/>
      <c r="S100" s="48" t="n"/>
      <c r="T100" s="48" t="n"/>
      <c r="U100" s="48" t="n"/>
      <c r="V100" s="48" t="n"/>
    </row>
    <row r="101">
      <c r="A101" s="48" t="n"/>
      <c r="B101" s="48" t="n"/>
      <c r="C101" s="48" t="n"/>
      <c r="D101" s="48" t="n"/>
      <c r="E101" s="48" t="n"/>
      <c r="F101" s="48" t="n"/>
      <c r="G101" s="48" t="n"/>
      <c r="H101" s="48" t="n"/>
      <c r="I101" s="48" t="n"/>
      <c r="J101" s="48" t="n"/>
      <c r="K101" s="48" t="n"/>
      <c r="L101" s="48" t="n"/>
      <c r="M101" s="48" t="n"/>
      <c r="N101" s="48" t="n"/>
      <c r="O101" s="48" t="n"/>
      <c r="P101" s="48" t="n"/>
      <c r="Q101" s="48" t="n"/>
      <c r="R101" s="48" t="n"/>
      <c r="S101" s="48" t="n"/>
      <c r="T101" s="48" t="n"/>
      <c r="U101" s="48" t="n"/>
      <c r="V101" s="48" t="n"/>
    </row>
    <row r="102">
      <c r="A102" s="48" t="n"/>
      <c r="B102" s="48" t="n"/>
      <c r="C102" s="48" t="n"/>
      <c r="D102" s="48" t="n"/>
      <c r="E102" s="48" t="n"/>
      <c r="F102" s="48" t="n"/>
      <c r="G102" s="48" t="n"/>
      <c r="H102" s="48" t="n"/>
      <c r="I102" s="48" t="n"/>
      <c r="J102" s="48" t="n"/>
      <c r="K102" s="48" t="n"/>
      <c r="L102" s="48" t="n"/>
      <c r="M102" s="48" t="n"/>
      <c r="N102" s="48" t="n"/>
      <c r="O102" s="48" t="n"/>
      <c r="P102" s="48" t="n"/>
      <c r="Q102" s="48" t="n"/>
      <c r="R102" s="48" t="n"/>
      <c r="S102" s="48" t="n"/>
      <c r="T102" s="48" t="n"/>
      <c r="U102" s="48" t="n"/>
      <c r="V102" s="48" t="n"/>
    </row>
    <row r="103">
      <c r="A103" s="48" t="n"/>
      <c r="B103" s="48" t="n"/>
      <c r="C103" s="48" t="n"/>
      <c r="D103" s="48" t="n"/>
      <c r="E103" s="48" t="n"/>
      <c r="F103" s="48" t="n"/>
      <c r="G103" s="48" t="n"/>
      <c r="H103" s="48" t="n"/>
      <c r="I103" s="48" t="n"/>
      <c r="J103" s="48" t="n"/>
      <c r="K103" s="48" t="n"/>
      <c r="L103" s="48" t="n"/>
      <c r="M103" s="48" t="n"/>
      <c r="N103" s="48" t="n"/>
      <c r="O103" s="48" t="n"/>
      <c r="P103" s="48" t="n"/>
      <c r="Q103" s="48" t="n"/>
      <c r="R103" s="48" t="n"/>
      <c r="S103" s="48" t="n"/>
      <c r="T103" s="48" t="n"/>
      <c r="U103" s="48" t="n"/>
      <c r="V103" s="48" t="n"/>
    </row>
    <row r="104">
      <c r="A104" s="48" t="n"/>
      <c r="B104" s="48" t="n"/>
      <c r="C104" s="48" t="n"/>
      <c r="D104" s="48" t="n"/>
      <c r="E104" s="48" t="n"/>
      <c r="F104" s="48" t="n"/>
      <c r="G104" s="48" t="n"/>
      <c r="H104" s="48" t="n"/>
      <c r="I104" s="48" t="n"/>
      <c r="J104" s="48" t="n"/>
      <c r="K104" s="48" t="n"/>
      <c r="L104" s="48" t="n"/>
      <c r="M104" s="48" t="n"/>
      <c r="N104" s="48" t="n"/>
      <c r="O104" s="48" t="n"/>
      <c r="P104" s="48" t="n"/>
      <c r="Q104" s="48" t="n"/>
      <c r="R104" s="48" t="n"/>
      <c r="S104" s="48" t="n"/>
      <c r="T104" s="48" t="n"/>
      <c r="U104" s="48" t="n"/>
      <c r="V104" s="48" t="n"/>
    </row>
    <row r="105">
      <c r="A105" s="48" t="n"/>
      <c r="B105" s="48" t="n"/>
      <c r="C105" s="48" t="n"/>
      <c r="D105" s="48" t="n"/>
      <c r="E105" s="48" t="n"/>
      <c r="F105" s="48" t="n"/>
      <c r="G105" s="48" t="n"/>
      <c r="H105" s="48" t="n"/>
      <c r="I105" s="48" t="n"/>
      <c r="J105" s="48" t="n"/>
      <c r="K105" s="48" t="n"/>
      <c r="L105" s="48" t="n"/>
      <c r="M105" s="48" t="n"/>
      <c r="N105" s="48" t="n"/>
      <c r="O105" s="48" t="n"/>
      <c r="P105" s="48" t="n"/>
      <c r="Q105" s="48" t="n"/>
      <c r="R105" s="48" t="n"/>
      <c r="S105" s="48" t="n"/>
      <c r="T105" s="48" t="n"/>
      <c r="U105" s="48" t="n"/>
      <c r="V105" s="48" t="n"/>
    </row>
    <row r="106">
      <c r="A106" s="48" t="n"/>
      <c r="B106" s="48" t="n"/>
      <c r="C106" s="48" t="n"/>
      <c r="D106" s="48" t="n"/>
      <c r="E106" s="48" t="n"/>
      <c r="F106" s="48" t="n"/>
      <c r="G106" s="48" t="n"/>
      <c r="H106" s="48" t="n"/>
      <c r="I106" s="48" t="n"/>
      <c r="J106" s="48" t="n"/>
      <c r="K106" s="48" t="n"/>
      <c r="L106" s="48" t="n"/>
      <c r="M106" s="48" t="n"/>
      <c r="N106" s="48" t="n"/>
      <c r="O106" s="48" t="n"/>
      <c r="P106" s="48" t="n"/>
      <c r="Q106" s="48" t="n"/>
      <c r="R106" s="48" t="n"/>
      <c r="S106" s="48" t="n"/>
      <c r="T106" s="48" t="n"/>
      <c r="U106" s="48" t="n"/>
      <c r="V106" s="48" t="n"/>
    </row>
    <row r="107">
      <c r="A107" s="48" t="n"/>
      <c r="B107" s="48" t="n"/>
      <c r="C107" s="48" t="n"/>
      <c r="D107" s="48" t="n"/>
      <c r="E107" s="48" t="n"/>
      <c r="F107" s="48" t="n"/>
      <c r="G107" s="48" t="n"/>
      <c r="H107" s="48" t="n"/>
      <c r="I107" s="48" t="n"/>
      <c r="J107" s="48" t="n"/>
      <c r="K107" s="48" t="n"/>
      <c r="L107" s="48" t="n"/>
      <c r="M107" s="48" t="n"/>
      <c r="N107" s="48" t="n"/>
      <c r="O107" s="48" t="n"/>
      <c r="P107" s="48" t="n"/>
      <c r="Q107" s="48" t="n"/>
      <c r="R107" s="48" t="n"/>
      <c r="S107" s="48" t="n"/>
      <c r="T107" s="48" t="n"/>
      <c r="U107" s="48" t="n"/>
      <c r="V107" s="48" t="n"/>
    </row>
    <row r="108">
      <c r="A108" s="48" t="n"/>
      <c r="B108" s="48" t="n"/>
      <c r="C108" s="48" t="n"/>
      <c r="D108" s="48" t="n"/>
      <c r="E108" s="48" t="n"/>
      <c r="F108" s="48" t="n"/>
      <c r="G108" s="48" t="n"/>
      <c r="H108" s="48" t="n"/>
      <c r="I108" s="48" t="n"/>
      <c r="J108" s="48" t="n"/>
      <c r="K108" s="48" t="n"/>
      <c r="L108" s="48" t="n"/>
      <c r="M108" s="48" t="n"/>
      <c r="N108" s="48" t="n"/>
      <c r="O108" s="48" t="n"/>
      <c r="P108" s="48" t="n"/>
      <c r="Q108" s="48" t="n"/>
      <c r="R108" s="48" t="n"/>
      <c r="S108" s="48" t="n"/>
      <c r="T108" s="48" t="n"/>
      <c r="U108" s="48" t="n"/>
      <c r="V108" s="48" t="n"/>
    </row>
    <row r="109">
      <c r="A109" s="48" t="n"/>
      <c r="B109" s="48" t="n"/>
      <c r="C109" s="48" t="n"/>
      <c r="D109" s="48" t="n"/>
      <c r="E109" s="48" t="n"/>
      <c r="F109" s="48" t="n"/>
      <c r="G109" s="48" t="n"/>
      <c r="H109" s="48" t="n"/>
      <c r="I109" s="48" t="n"/>
      <c r="J109" s="48" t="n"/>
      <c r="K109" s="48" t="n"/>
      <c r="L109" s="48" t="n"/>
      <c r="M109" s="48" t="n"/>
      <c r="N109" s="48" t="n"/>
      <c r="O109" s="48" t="n"/>
      <c r="P109" s="48" t="n"/>
      <c r="Q109" s="48" t="n"/>
      <c r="R109" s="48" t="n"/>
      <c r="S109" s="48" t="n"/>
      <c r="T109" s="48" t="n"/>
      <c r="U109" s="48" t="n"/>
      <c r="V109" s="48" t="n"/>
    </row>
    <row r="110">
      <c r="A110" s="48" t="n"/>
      <c r="B110" s="48" t="n"/>
      <c r="C110" s="48" t="n"/>
      <c r="D110" s="48" t="n"/>
      <c r="E110" s="48" t="n"/>
      <c r="F110" s="48" t="n"/>
      <c r="G110" s="48" t="n"/>
      <c r="H110" s="48" t="n"/>
      <c r="I110" s="48" t="n"/>
      <c r="J110" s="48" t="n"/>
      <c r="K110" s="48" t="n"/>
      <c r="L110" s="48" t="n"/>
      <c r="M110" s="48" t="n"/>
      <c r="N110" s="48" t="n"/>
      <c r="O110" s="48" t="n"/>
      <c r="P110" s="48" t="n"/>
      <c r="Q110" s="48" t="n"/>
      <c r="R110" s="48" t="n"/>
      <c r="S110" s="48" t="n"/>
      <c r="T110" s="48" t="n"/>
      <c r="U110" s="48" t="n"/>
      <c r="V110" s="48" t="n"/>
    </row>
    <row r="111">
      <c r="A111" s="48" t="n"/>
      <c r="B111" s="48" t="n"/>
      <c r="C111" s="48" t="n"/>
      <c r="D111" s="48" t="n"/>
      <c r="E111" s="48" t="n"/>
      <c r="F111" s="48" t="n"/>
      <c r="G111" s="48" t="n"/>
      <c r="H111" s="48" t="n"/>
      <c r="I111" s="48" t="n"/>
      <c r="J111" s="48" t="n"/>
      <c r="K111" s="48" t="n"/>
      <c r="L111" s="48" t="n"/>
      <c r="M111" s="48" t="n"/>
      <c r="N111" s="48" t="n"/>
      <c r="O111" s="48" t="n"/>
      <c r="P111" s="48" t="n"/>
      <c r="Q111" s="48" t="n"/>
      <c r="R111" s="48" t="n"/>
      <c r="S111" s="48" t="n"/>
      <c r="T111" s="48" t="n"/>
      <c r="U111" s="48" t="n"/>
      <c r="V111" s="48" t="n"/>
    </row>
    <row r="112">
      <c r="A112" s="48" t="n"/>
      <c r="B112" s="48" t="n"/>
      <c r="C112" s="48" t="n"/>
      <c r="D112" s="48" t="n"/>
      <c r="E112" s="48" t="n"/>
      <c r="F112" s="48" t="n"/>
      <c r="G112" s="48" t="n"/>
      <c r="H112" s="48" t="n"/>
      <c r="I112" s="48" t="n"/>
      <c r="J112" s="48" t="n"/>
      <c r="K112" s="48" t="n"/>
      <c r="L112" s="48" t="n"/>
      <c r="M112" s="48" t="n"/>
      <c r="N112" s="48" t="n"/>
      <c r="O112" s="48" t="n"/>
      <c r="P112" s="48" t="n"/>
      <c r="Q112" s="48" t="n"/>
      <c r="R112" s="48" t="n"/>
      <c r="S112" s="48" t="n"/>
      <c r="T112" s="48" t="n"/>
      <c r="U112" s="48" t="n"/>
      <c r="V112" s="48" t="n"/>
    </row>
    <row r="113">
      <c r="A113" s="48" t="n"/>
      <c r="B113" s="48" t="n"/>
      <c r="C113" s="48" t="n"/>
      <c r="D113" s="48" t="n"/>
      <c r="E113" s="48" t="n"/>
      <c r="F113" s="48" t="n"/>
      <c r="G113" s="48" t="n"/>
      <c r="H113" s="48" t="n"/>
      <c r="I113" s="48" t="n"/>
      <c r="J113" s="48" t="n"/>
      <c r="K113" s="48" t="n"/>
      <c r="L113" s="48" t="n"/>
      <c r="M113" s="48" t="n"/>
      <c r="N113" s="48" t="n"/>
      <c r="O113" s="48" t="n"/>
      <c r="P113" s="48" t="n"/>
      <c r="Q113" s="48" t="n"/>
      <c r="R113" s="48" t="n"/>
      <c r="S113" s="48" t="n"/>
      <c r="T113" s="48" t="n"/>
      <c r="U113" s="48" t="n"/>
      <c r="V113" s="48" t="n"/>
    </row>
    <row r="114">
      <c r="A114" s="48" t="n"/>
      <c r="B114" s="48" t="n"/>
      <c r="C114" s="48" t="n"/>
      <c r="D114" s="48" t="n"/>
      <c r="E114" s="48" t="n"/>
      <c r="F114" s="48" t="n"/>
      <c r="G114" s="48" t="n"/>
      <c r="H114" s="48" t="n"/>
      <c r="I114" s="48" t="n"/>
      <c r="J114" s="48" t="n"/>
      <c r="K114" s="48" t="n"/>
      <c r="L114" s="48" t="n"/>
      <c r="M114" s="48" t="n"/>
      <c r="N114" s="48" t="n"/>
      <c r="O114" s="48" t="n"/>
      <c r="P114" s="48" t="n"/>
      <c r="Q114" s="48" t="n"/>
      <c r="R114" s="48" t="n"/>
      <c r="S114" s="48" t="n"/>
      <c r="T114" s="48" t="n"/>
      <c r="U114" s="48" t="n"/>
      <c r="V114" s="48" t="n"/>
    </row>
    <row r="115">
      <c r="A115" s="48" t="n"/>
      <c r="B115" s="48" t="n"/>
      <c r="C115" s="48" t="n"/>
      <c r="D115" s="48" t="n"/>
      <c r="E115" s="48" t="n"/>
      <c r="F115" s="48" t="n"/>
      <c r="G115" s="48" t="n"/>
      <c r="H115" s="48" t="n"/>
      <c r="I115" s="48" t="n"/>
      <c r="J115" s="48" t="n"/>
      <c r="K115" s="48" t="n"/>
      <c r="L115" s="48" t="n"/>
      <c r="M115" s="48" t="n"/>
      <c r="N115" s="48" t="n"/>
      <c r="O115" s="48" t="n"/>
      <c r="P115" s="48" t="n"/>
      <c r="Q115" s="48" t="n"/>
      <c r="R115" s="48" t="n"/>
      <c r="S115" s="48" t="n"/>
      <c r="T115" s="48" t="n"/>
      <c r="U115" s="48" t="n"/>
      <c r="V115" s="48" t="n"/>
    </row>
    <row r="116">
      <c r="A116" s="48" t="n"/>
      <c r="B116" s="48" t="n"/>
      <c r="C116" s="48" t="n"/>
      <c r="D116" s="48" t="n"/>
      <c r="E116" s="48" t="n"/>
      <c r="F116" s="48" t="n"/>
      <c r="G116" s="48" t="n"/>
      <c r="H116" s="48" t="n"/>
      <c r="I116" s="48" t="n"/>
      <c r="J116" s="48" t="n"/>
      <c r="K116" s="48" t="n"/>
      <c r="L116" s="48" t="n"/>
      <c r="M116" s="48" t="n"/>
      <c r="N116" s="48" t="n"/>
      <c r="O116" s="48" t="n"/>
      <c r="P116" s="48" t="n"/>
      <c r="Q116" s="48" t="n"/>
      <c r="R116" s="48" t="n"/>
      <c r="S116" s="48" t="n"/>
      <c r="T116" s="48" t="n"/>
      <c r="U116" s="48" t="n"/>
      <c r="V116" s="48" t="n"/>
    </row>
    <row r="117">
      <c r="A117" s="48" t="n"/>
      <c r="B117" s="48" t="n"/>
      <c r="C117" s="48" t="n"/>
      <c r="D117" s="48" t="n"/>
      <c r="E117" s="48" t="n"/>
      <c r="F117" s="48" t="n"/>
      <c r="G117" s="48" t="n"/>
      <c r="H117" s="48" t="n"/>
      <c r="I117" s="48" t="n"/>
      <c r="J117" s="48" t="n"/>
      <c r="K117" s="48" t="n"/>
      <c r="L117" s="48" t="n"/>
      <c r="M117" s="48" t="n"/>
      <c r="N117" s="48" t="n"/>
      <c r="O117" s="48" t="n"/>
      <c r="P117" s="48" t="n"/>
      <c r="Q117" s="48" t="n"/>
      <c r="R117" s="48" t="n"/>
      <c r="S117" s="48" t="n"/>
      <c r="T117" s="48" t="n"/>
      <c r="U117" s="48" t="n"/>
      <c r="V117" s="48" t="n"/>
    </row>
    <row r="118">
      <c r="A118" s="48" t="n"/>
      <c r="B118" s="48" t="n"/>
      <c r="C118" s="48" t="n"/>
      <c r="D118" s="48" t="n"/>
      <c r="E118" s="48" t="n"/>
      <c r="F118" s="48" t="n"/>
      <c r="G118" s="48" t="n"/>
      <c r="H118" s="48" t="n"/>
      <c r="I118" s="48" t="n"/>
      <c r="J118" s="48" t="n"/>
      <c r="K118" s="48" t="n"/>
      <c r="L118" s="48" t="n"/>
      <c r="M118" s="48" t="n"/>
      <c r="N118" s="48" t="n"/>
      <c r="O118" s="48" t="n"/>
      <c r="P118" s="48" t="n"/>
      <c r="Q118" s="48" t="n"/>
      <c r="R118" s="48" t="n"/>
      <c r="S118" s="48" t="n"/>
      <c r="T118" s="48" t="n"/>
      <c r="U118" s="48" t="n"/>
      <c r="V118" s="48" t="n"/>
    </row>
    <row r="119">
      <c r="A119" s="48" t="n"/>
      <c r="B119" s="48" t="n"/>
      <c r="C119" s="48" t="n"/>
      <c r="D119" s="48" t="n"/>
      <c r="E119" s="48" t="n"/>
      <c r="F119" s="48" t="n"/>
      <c r="G119" s="48" t="n"/>
      <c r="H119" s="48" t="n"/>
      <c r="I119" s="48" t="n"/>
      <c r="J119" s="48" t="n"/>
      <c r="K119" s="48" t="n"/>
      <c r="L119" s="48" t="n"/>
      <c r="M119" s="48" t="n"/>
      <c r="N119" s="48" t="n"/>
      <c r="O119" s="48" t="n"/>
      <c r="P119" s="48" t="n"/>
      <c r="Q119" s="48" t="n"/>
      <c r="R119" s="48" t="n"/>
      <c r="S119" s="48" t="n"/>
      <c r="T119" s="48" t="n"/>
      <c r="U119" s="48" t="n"/>
      <c r="V119" s="48" t="n"/>
    </row>
    <row r="120">
      <c r="A120" s="48" t="n"/>
      <c r="B120" s="48" t="n"/>
      <c r="C120" s="48" t="n"/>
      <c r="D120" s="48" t="n"/>
      <c r="E120" s="48" t="n"/>
      <c r="F120" s="48" t="n"/>
      <c r="G120" s="48" t="n"/>
      <c r="H120" s="48" t="n"/>
      <c r="I120" s="48" t="n"/>
      <c r="J120" s="48" t="n"/>
      <c r="K120" s="48" t="n"/>
      <c r="L120" s="48" t="n"/>
      <c r="M120" s="48" t="n"/>
      <c r="N120" s="48" t="n"/>
      <c r="O120" s="48" t="n"/>
      <c r="P120" s="48" t="n"/>
      <c r="Q120" s="48" t="n"/>
      <c r="R120" s="48" t="n"/>
      <c r="S120" s="48" t="n"/>
      <c r="T120" s="48" t="n"/>
      <c r="U120" s="48" t="n"/>
      <c r="V120" s="48" t="n"/>
    </row>
    <row r="121">
      <c r="A121" s="48" t="n"/>
      <c r="B121" s="48" t="n"/>
      <c r="C121" s="48" t="n"/>
      <c r="D121" s="48" t="n"/>
      <c r="E121" s="48" t="n"/>
      <c r="F121" s="48" t="n"/>
      <c r="G121" s="48" t="n"/>
      <c r="H121" s="48" t="n"/>
      <c r="I121" s="48" t="n"/>
      <c r="J121" s="48" t="n"/>
      <c r="K121" s="48" t="n"/>
      <c r="L121" s="48" t="n"/>
      <c r="M121" s="48" t="n"/>
      <c r="N121" s="48" t="n"/>
      <c r="O121" s="48" t="n"/>
      <c r="P121" s="48" t="n"/>
      <c r="Q121" s="48" t="n"/>
      <c r="R121" s="48" t="n"/>
      <c r="S121" s="48" t="n"/>
      <c r="T121" s="48" t="n"/>
      <c r="U121" s="48" t="n"/>
      <c r="V121" s="48" t="n"/>
    </row>
    <row r="122">
      <c r="A122" s="48" t="n"/>
      <c r="B122" s="48" t="n"/>
      <c r="C122" s="48" t="n"/>
      <c r="D122" s="48" t="n"/>
      <c r="E122" s="48" t="n"/>
      <c r="F122" s="48" t="n"/>
      <c r="G122" s="48" t="n"/>
      <c r="H122" s="48" t="n"/>
      <c r="I122" s="48" t="n"/>
      <c r="J122" s="48" t="n"/>
      <c r="K122" s="48" t="n"/>
      <c r="L122" s="48" t="n"/>
      <c r="M122" s="48" t="n"/>
      <c r="N122" s="48" t="n"/>
      <c r="O122" s="48" t="n"/>
      <c r="P122" s="48" t="n"/>
      <c r="Q122" s="48" t="n"/>
      <c r="R122" s="48" t="n"/>
      <c r="S122" s="48" t="n"/>
      <c r="T122" s="48" t="n"/>
      <c r="U122" s="48" t="n"/>
      <c r="V122" s="48" t="n"/>
    </row>
    <row r="123">
      <c r="A123" s="48" t="n"/>
      <c r="B123" s="48" t="n"/>
      <c r="C123" s="48" t="n"/>
      <c r="D123" s="48" t="n"/>
      <c r="E123" s="48" t="n"/>
      <c r="F123" s="48" t="n"/>
      <c r="G123" s="48" t="n"/>
      <c r="H123" s="48" t="n"/>
      <c r="I123" s="48" t="n"/>
      <c r="J123" s="48" t="n"/>
      <c r="K123" s="48" t="n"/>
      <c r="L123" s="48" t="n"/>
      <c r="M123" s="48" t="n"/>
      <c r="N123" s="48" t="n"/>
      <c r="O123" s="48" t="n"/>
      <c r="P123" s="48" t="n"/>
      <c r="Q123" s="48" t="n"/>
      <c r="R123" s="48" t="n"/>
      <c r="S123" s="48" t="n"/>
      <c r="T123" s="48" t="n"/>
      <c r="U123" s="48" t="n"/>
      <c r="V123" s="48" t="n"/>
    </row>
    <row r="124">
      <c r="A124" s="48" t="n"/>
      <c r="B124" s="48" t="n"/>
      <c r="C124" s="48" t="n"/>
      <c r="D124" s="48" t="n"/>
      <c r="E124" s="48" t="n"/>
      <c r="F124" s="48" t="n"/>
      <c r="G124" s="48" t="n"/>
      <c r="H124" s="48" t="n"/>
      <c r="I124" s="48" t="n"/>
      <c r="J124" s="48" t="n"/>
      <c r="K124" s="48" t="n"/>
      <c r="L124" s="48" t="n"/>
      <c r="M124" s="48" t="n"/>
      <c r="N124" s="48" t="n"/>
      <c r="O124" s="48" t="n"/>
      <c r="P124" s="48" t="n"/>
      <c r="Q124" s="48" t="n"/>
      <c r="R124" s="48" t="n"/>
      <c r="S124" s="48" t="n"/>
      <c r="T124" s="48" t="n"/>
      <c r="U124" s="48" t="n"/>
      <c r="V124" s="48" t="n"/>
    </row>
    <row r="125">
      <c r="A125" s="48" t="n"/>
      <c r="B125" s="48" t="n"/>
      <c r="C125" s="48" t="n"/>
      <c r="D125" s="48" t="n"/>
      <c r="E125" s="48" t="n"/>
      <c r="F125" s="48" t="n"/>
      <c r="G125" s="48" t="n"/>
      <c r="H125" s="48" t="n"/>
      <c r="I125" s="48" t="n"/>
      <c r="J125" s="48" t="n"/>
      <c r="K125" s="48" t="n"/>
      <c r="L125" s="48" t="n"/>
      <c r="M125" s="48" t="n"/>
      <c r="N125" s="48" t="n"/>
      <c r="O125" s="48" t="n"/>
      <c r="P125" s="48" t="n"/>
      <c r="Q125" s="48" t="n"/>
      <c r="R125" s="48" t="n"/>
      <c r="S125" s="48" t="n"/>
      <c r="T125" s="48" t="n"/>
      <c r="U125" s="48" t="n"/>
      <c r="V125" s="48" t="n"/>
    </row>
    <row r="126">
      <c r="A126" s="48" t="n"/>
      <c r="B126" s="48" t="n"/>
      <c r="C126" s="48" t="n"/>
      <c r="D126" s="48" t="n"/>
      <c r="E126" s="48" t="n"/>
      <c r="F126" s="48" t="n"/>
      <c r="G126" s="48" t="n"/>
      <c r="H126" s="48" t="n"/>
      <c r="I126" s="48" t="n"/>
      <c r="J126" s="48" t="n"/>
      <c r="K126" s="48" t="n"/>
      <c r="L126" s="48" t="n"/>
      <c r="M126" s="48" t="n"/>
      <c r="N126" s="48" t="n"/>
      <c r="O126" s="48" t="n"/>
      <c r="P126" s="48" t="n"/>
      <c r="Q126" s="48" t="n"/>
      <c r="R126" s="48" t="n"/>
      <c r="S126" s="48" t="n"/>
      <c r="T126" s="48" t="n"/>
      <c r="U126" s="48" t="n"/>
      <c r="V126" s="48" t="n"/>
    </row>
    <row r="127">
      <c r="A127" s="48" t="n"/>
      <c r="B127" s="48" t="n"/>
      <c r="C127" s="48" t="n"/>
      <c r="D127" s="48" t="n"/>
      <c r="E127" s="48" t="n"/>
      <c r="F127" s="48" t="n"/>
      <c r="G127" s="48" t="n"/>
      <c r="H127" s="48" t="n"/>
      <c r="I127" s="48" t="n"/>
      <c r="J127" s="48" t="n"/>
      <c r="K127" s="48" t="n"/>
      <c r="L127" s="48" t="n"/>
      <c r="M127" s="48" t="n"/>
      <c r="N127" s="48" t="n"/>
      <c r="O127" s="48" t="n"/>
      <c r="P127" s="48" t="n"/>
      <c r="Q127" s="48" t="n"/>
      <c r="R127" s="48" t="n"/>
      <c r="S127" s="48" t="n"/>
      <c r="T127" s="48" t="n"/>
      <c r="U127" s="48" t="n"/>
      <c r="V127" s="48" t="n"/>
    </row>
    <row r="128">
      <c r="A128" s="48" t="n"/>
      <c r="B128" s="48" t="n"/>
      <c r="C128" s="48" t="n"/>
      <c r="D128" s="48" t="n"/>
      <c r="E128" s="48" t="n"/>
      <c r="F128" s="48" t="n"/>
      <c r="G128" s="48" t="n"/>
      <c r="H128" s="48" t="n"/>
      <c r="I128" s="48" t="n"/>
      <c r="J128" s="48" t="n"/>
      <c r="K128" s="48" t="n"/>
      <c r="L128" s="48" t="n"/>
      <c r="M128" s="48" t="n"/>
      <c r="N128" s="48" t="n"/>
      <c r="O128" s="48" t="n"/>
      <c r="P128" s="48" t="n"/>
      <c r="Q128" s="48" t="n"/>
      <c r="R128" s="48" t="n"/>
      <c r="S128" s="48" t="n"/>
      <c r="T128" s="48" t="n"/>
      <c r="U128" s="48" t="n"/>
      <c r="V128" s="48" t="n"/>
    </row>
    <row r="129">
      <c r="A129" s="48" t="n"/>
      <c r="B129" s="48" t="n"/>
      <c r="C129" s="48" t="n"/>
      <c r="D129" s="48" t="n"/>
      <c r="E129" s="48" t="n"/>
      <c r="F129" s="48" t="n"/>
      <c r="G129" s="48" t="n"/>
      <c r="H129" s="48" t="n"/>
      <c r="I129" s="48" t="n"/>
      <c r="J129" s="48" t="n"/>
      <c r="K129" s="48" t="n"/>
      <c r="L129" s="48" t="n"/>
      <c r="M129" s="48" t="n"/>
      <c r="N129" s="48" t="n"/>
      <c r="O129" s="48" t="n"/>
      <c r="P129" s="48" t="n"/>
      <c r="Q129" s="48" t="n"/>
      <c r="R129" s="48" t="n"/>
      <c r="S129" s="48" t="n"/>
      <c r="T129" s="48" t="n"/>
      <c r="U129" s="48" t="n"/>
      <c r="V129" s="48" t="n"/>
    </row>
    <row r="130">
      <c r="A130" s="48" t="n"/>
      <c r="B130" s="48" t="n"/>
      <c r="C130" s="48" t="n"/>
      <c r="D130" s="48" t="n"/>
      <c r="E130" s="48" t="n"/>
      <c r="F130" s="48" t="n"/>
      <c r="G130" s="48" t="n"/>
      <c r="H130" s="48" t="n"/>
      <c r="I130" s="48" t="n"/>
      <c r="J130" s="48" t="n"/>
      <c r="K130" s="48" t="n"/>
      <c r="L130" s="48" t="n"/>
      <c r="M130" s="48" t="n"/>
      <c r="N130" s="48" t="n"/>
      <c r="O130" s="48" t="n"/>
      <c r="P130" s="48" t="n"/>
      <c r="Q130" s="48" t="n"/>
      <c r="R130" s="48" t="n"/>
      <c r="S130" s="48" t="n"/>
      <c r="T130" s="48" t="n"/>
      <c r="U130" s="48" t="n"/>
      <c r="V130" s="48" t="n"/>
    </row>
    <row r="131">
      <c r="A131" s="48" t="n"/>
      <c r="B131" s="48" t="n"/>
      <c r="C131" s="48" t="n"/>
      <c r="D131" s="48" t="n"/>
      <c r="E131" s="48" t="n"/>
      <c r="F131" s="48" t="n"/>
      <c r="G131" s="48" t="n"/>
      <c r="H131" s="48" t="n"/>
      <c r="I131" s="48" t="n"/>
      <c r="J131" s="48" t="n"/>
      <c r="K131" s="48" t="n"/>
      <c r="L131" s="48" t="n"/>
      <c r="M131" s="48" t="n"/>
      <c r="N131" s="48" t="n"/>
      <c r="O131" s="48" t="n"/>
      <c r="P131" s="48" t="n"/>
      <c r="Q131" s="48" t="n"/>
      <c r="R131" s="48" t="n"/>
      <c r="S131" s="48" t="n"/>
      <c r="T131" s="48" t="n"/>
      <c r="U131" s="48" t="n"/>
      <c r="V131" s="48" t="n"/>
    </row>
    <row r="132">
      <c r="A132" s="48" t="n"/>
      <c r="B132" s="48" t="n"/>
      <c r="C132" s="48" t="n"/>
      <c r="D132" s="48" t="n"/>
      <c r="E132" s="48" t="n"/>
      <c r="F132" s="48" t="n"/>
      <c r="G132" s="48" t="n"/>
      <c r="H132" s="48" t="n"/>
      <c r="I132" s="48" t="n"/>
      <c r="J132" s="48" t="n"/>
      <c r="K132" s="48" t="n"/>
      <c r="L132" s="48" t="n"/>
      <c r="M132" s="48" t="n"/>
      <c r="N132" s="48" t="n"/>
      <c r="O132" s="48" t="n"/>
      <c r="P132" s="48" t="n"/>
      <c r="Q132" s="48" t="n"/>
      <c r="R132" s="48" t="n"/>
      <c r="S132" s="48" t="n"/>
      <c r="T132" s="48" t="n"/>
      <c r="U132" s="48" t="n"/>
      <c r="V132" s="48" t="n"/>
    </row>
    <row r="133">
      <c r="A133" s="48" t="n"/>
      <c r="B133" s="48" t="n"/>
      <c r="C133" s="48" t="n"/>
      <c r="D133" s="48" t="n"/>
      <c r="E133" s="48" t="n"/>
      <c r="F133" s="48" t="n"/>
      <c r="G133" s="48" t="n"/>
      <c r="H133" s="48" t="n"/>
      <c r="I133" s="48" t="n"/>
      <c r="J133" s="48" t="n"/>
      <c r="K133" s="48" t="n"/>
      <c r="L133" s="48" t="n"/>
      <c r="M133" s="48" t="n"/>
      <c r="N133" s="48" t="n"/>
      <c r="O133" s="48" t="n"/>
      <c r="P133" s="48" t="n"/>
      <c r="Q133" s="48" t="n"/>
      <c r="R133" s="48" t="n"/>
      <c r="S133" s="48" t="n"/>
      <c r="T133" s="48" t="n"/>
      <c r="U133" s="48" t="n"/>
      <c r="V133" s="48" t="n"/>
    </row>
    <row r="134">
      <c r="A134" s="48" t="n"/>
      <c r="B134" s="48" t="n"/>
      <c r="C134" s="48" t="n"/>
      <c r="D134" s="48" t="n"/>
      <c r="E134" s="48" t="n"/>
      <c r="F134" s="48" t="n"/>
      <c r="G134" s="48" t="n"/>
      <c r="H134" s="48" t="n"/>
      <c r="I134" s="48" t="n"/>
      <c r="J134" s="48" t="n"/>
      <c r="K134" s="48" t="n"/>
      <c r="L134" s="48" t="n"/>
      <c r="M134" s="48" t="n"/>
      <c r="N134" s="48" t="n"/>
      <c r="O134" s="48" t="n"/>
      <c r="P134" s="48" t="n"/>
      <c r="Q134" s="48" t="n"/>
      <c r="R134" s="48" t="n"/>
      <c r="S134" s="48" t="n"/>
      <c r="T134" s="48" t="n"/>
      <c r="U134" s="48" t="n"/>
      <c r="V134" s="48" t="n"/>
    </row>
    <row r="135">
      <c r="A135" s="48" t="n"/>
      <c r="B135" s="48" t="n"/>
      <c r="C135" s="48" t="n"/>
      <c r="D135" s="48" t="n"/>
      <c r="E135" s="48" t="n"/>
      <c r="F135" s="48" t="n"/>
      <c r="G135" s="48" t="n"/>
      <c r="H135" s="48" t="n"/>
      <c r="I135" s="48" t="n"/>
      <c r="J135" s="48" t="n"/>
      <c r="K135" s="48" t="n"/>
      <c r="L135" s="48" t="n"/>
      <c r="M135" s="48" t="n"/>
      <c r="N135" s="48" t="n"/>
      <c r="O135" s="48" t="n"/>
      <c r="P135" s="48" t="n"/>
      <c r="Q135" s="48" t="n"/>
      <c r="R135" s="48" t="n"/>
      <c r="S135" s="48" t="n"/>
      <c r="T135" s="48" t="n"/>
      <c r="U135" s="48" t="n"/>
      <c r="V135" s="48" t="n"/>
    </row>
    <row r="136">
      <c r="A136" s="48" t="n"/>
      <c r="B136" s="48" t="n"/>
      <c r="C136" s="48" t="n"/>
      <c r="D136" s="48" t="n"/>
      <c r="E136" s="48" t="n"/>
      <c r="F136" s="48" t="n"/>
      <c r="G136" s="48" t="n"/>
      <c r="H136" s="48" t="n"/>
      <c r="I136" s="48" t="n"/>
      <c r="J136" s="48" t="n"/>
      <c r="K136" s="48" t="n"/>
      <c r="L136" s="48" t="n"/>
      <c r="M136" s="48" t="n"/>
      <c r="N136" s="48" t="n"/>
      <c r="O136" s="48" t="n"/>
      <c r="P136" s="48" t="n"/>
      <c r="Q136" s="48" t="n"/>
      <c r="R136" s="48" t="n"/>
      <c r="S136" s="48" t="n"/>
      <c r="T136" s="48" t="n"/>
      <c r="U136" s="48" t="n"/>
      <c r="V136" s="48" t="n"/>
    </row>
    <row r="137">
      <c r="A137" s="48" t="n"/>
      <c r="B137" s="48" t="n"/>
      <c r="C137" s="48" t="n"/>
      <c r="D137" s="48" t="n"/>
      <c r="E137" s="48" t="n"/>
      <c r="F137" s="48" t="n"/>
      <c r="G137" s="48" t="n"/>
      <c r="H137" s="48" t="n"/>
      <c r="I137" s="48" t="n"/>
      <c r="J137" s="48" t="n"/>
      <c r="K137" s="48" t="n"/>
      <c r="L137" s="48" t="n"/>
      <c r="M137" s="48" t="n"/>
      <c r="N137" s="48" t="n"/>
      <c r="O137" s="48" t="n"/>
      <c r="P137" s="48" t="n"/>
      <c r="Q137" s="48" t="n"/>
      <c r="R137" s="48" t="n"/>
      <c r="S137" s="48" t="n"/>
      <c r="T137" s="48" t="n"/>
      <c r="U137" s="48" t="n"/>
      <c r="V137" s="48" t="n"/>
    </row>
    <row r="138">
      <c r="A138" s="48" t="n"/>
      <c r="B138" s="48" t="n"/>
      <c r="C138" s="48" t="n"/>
      <c r="D138" s="48" t="n"/>
      <c r="E138" s="48" t="n"/>
      <c r="F138" s="48" t="n"/>
      <c r="G138" s="48" t="n"/>
      <c r="H138" s="48" t="n"/>
      <c r="I138" s="48" t="n"/>
      <c r="J138" s="48" t="n"/>
      <c r="K138" s="48" t="n"/>
      <c r="L138" s="48" t="n"/>
      <c r="M138" s="48" t="n"/>
      <c r="N138" s="48" t="n"/>
      <c r="O138" s="48" t="n"/>
      <c r="P138" s="48" t="n"/>
      <c r="Q138" s="48" t="n"/>
      <c r="R138" s="48" t="n"/>
      <c r="S138" s="48" t="n"/>
      <c r="T138" s="48" t="n"/>
      <c r="U138" s="48" t="n"/>
      <c r="V138" s="48" t="n"/>
    </row>
    <row r="139">
      <c r="A139" s="48" t="n"/>
      <c r="B139" s="48" t="n"/>
      <c r="C139" s="48" t="n"/>
      <c r="D139" s="48" t="n"/>
      <c r="E139" s="48" t="n"/>
      <c r="F139" s="48" t="n"/>
      <c r="G139" s="48" t="n"/>
      <c r="H139" s="48" t="n"/>
      <c r="I139" s="48" t="n"/>
      <c r="J139" s="48" t="n"/>
      <c r="K139" s="48" t="n"/>
      <c r="L139" s="48" t="n"/>
      <c r="M139" s="48" t="n"/>
      <c r="N139" s="48" t="n"/>
      <c r="O139" s="48" t="n"/>
      <c r="P139" s="48" t="n"/>
      <c r="Q139" s="48" t="n"/>
      <c r="R139" s="48" t="n"/>
      <c r="S139" s="48" t="n"/>
      <c r="T139" s="48" t="n"/>
      <c r="U139" s="48" t="n"/>
      <c r="V139" s="48" t="n"/>
    </row>
    <row r="140">
      <c r="A140" s="48" t="n"/>
      <c r="B140" s="48" t="n"/>
      <c r="C140" s="48" t="n"/>
      <c r="D140" s="48" t="n"/>
      <c r="E140" s="48" t="n"/>
      <c r="F140" s="48" t="n"/>
      <c r="G140" s="48" t="n"/>
      <c r="H140" s="48" t="n"/>
      <c r="I140" s="48" t="n"/>
      <c r="J140" s="48" t="n"/>
      <c r="K140" s="48" t="n"/>
      <c r="L140" s="48" t="n"/>
      <c r="M140" s="48" t="n"/>
      <c r="N140" s="48" t="n"/>
      <c r="O140" s="48" t="n"/>
      <c r="P140" s="48" t="n"/>
      <c r="Q140" s="48" t="n"/>
      <c r="R140" s="48" t="n"/>
      <c r="S140" s="48" t="n"/>
      <c r="T140" s="48" t="n"/>
      <c r="U140" s="48" t="n"/>
      <c r="V140" s="48" t="n"/>
    </row>
    <row r="141">
      <c r="A141" s="48" t="n"/>
      <c r="B141" s="48" t="n"/>
      <c r="C141" s="48" t="n"/>
      <c r="D141" s="48" t="n"/>
      <c r="E141" s="48" t="n"/>
      <c r="F141" s="48" t="n"/>
      <c r="G141" s="48" t="n"/>
      <c r="H141" s="48" t="n"/>
      <c r="I141" s="48" t="n"/>
      <c r="J141" s="48" t="n"/>
      <c r="K141" s="48" t="n"/>
      <c r="L141" s="48" t="n"/>
      <c r="M141" s="48" t="n"/>
      <c r="N141" s="48" t="n"/>
      <c r="O141" s="48" t="n"/>
      <c r="P141" s="48" t="n"/>
      <c r="Q141" s="48" t="n"/>
      <c r="R141" s="48" t="n"/>
      <c r="S141" s="48" t="n"/>
      <c r="T141" s="48" t="n"/>
      <c r="U141" s="48" t="n"/>
      <c r="V141" s="48" t="n"/>
    </row>
    <row r="142">
      <c r="A142" s="48" t="n"/>
      <c r="B142" s="48" t="n"/>
      <c r="C142" s="48" t="n"/>
      <c r="D142" s="48" t="n"/>
      <c r="E142" s="48" t="n"/>
      <c r="F142" s="48" t="n"/>
      <c r="G142" s="48" t="n"/>
      <c r="H142" s="48" t="n"/>
      <c r="I142" s="48" t="n"/>
      <c r="J142" s="48" t="n"/>
      <c r="K142" s="48" t="n"/>
      <c r="L142" s="48" t="n"/>
      <c r="M142" s="48" t="n"/>
      <c r="N142" s="48" t="n"/>
      <c r="O142" s="48" t="n"/>
      <c r="P142" s="48" t="n"/>
      <c r="Q142" s="48" t="n"/>
      <c r="R142" s="48" t="n"/>
      <c r="S142" s="48" t="n"/>
      <c r="T142" s="48" t="n"/>
      <c r="U142" s="48" t="n"/>
      <c r="V142" s="48" t="n"/>
    </row>
    <row r="143">
      <c r="A143" s="48" t="n"/>
      <c r="B143" s="48" t="n"/>
      <c r="C143" s="48" t="n"/>
      <c r="D143" s="48" t="n"/>
      <c r="E143" s="48" t="n"/>
      <c r="F143" s="48" t="n"/>
      <c r="G143" s="48" t="n"/>
      <c r="H143" s="48" t="n"/>
      <c r="I143" s="48" t="n"/>
      <c r="J143" s="48" t="n"/>
      <c r="K143" s="48" t="n"/>
      <c r="L143" s="48" t="n"/>
      <c r="M143" s="48" t="n"/>
      <c r="N143" s="48" t="n"/>
      <c r="O143" s="48" t="n"/>
      <c r="P143" s="48" t="n"/>
      <c r="Q143" s="48" t="n"/>
      <c r="R143" s="48" t="n"/>
      <c r="S143" s="48" t="n"/>
      <c r="T143" s="48" t="n"/>
      <c r="U143" s="48" t="n"/>
      <c r="V143" s="48" t="n"/>
    </row>
    <row r="144">
      <c r="A144" s="48" t="n"/>
      <c r="B144" s="48" t="n"/>
      <c r="C144" s="48" t="n"/>
      <c r="D144" s="48" t="n"/>
      <c r="E144" s="48" t="n"/>
      <c r="F144" s="48" t="n"/>
      <c r="G144" s="48" t="n"/>
      <c r="H144" s="48" t="n"/>
      <c r="I144" s="48" t="n"/>
      <c r="J144" s="48" t="n"/>
      <c r="K144" s="48" t="n"/>
      <c r="L144" s="48" t="n"/>
      <c r="M144" s="48" t="n"/>
      <c r="N144" s="48" t="n"/>
      <c r="O144" s="48" t="n"/>
      <c r="P144" s="48" t="n"/>
      <c r="Q144" s="48" t="n"/>
      <c r="R144" s="48" t="n"/>
      <c r="S144" s="48" t="n"/>
      <c r="T144" s="48" t="n"/>
      <c r="U144" s="48" t="n"/>
      <c r="V144" s="48" t="n"/>
    </row>
    <row r="145">
      <c r="A145" s="48" t="n"/>
      <c r="B145" s="48" t="n"/>
      <c r="C145" s="48" t="n"/>
      <c r="D145" s="48" t="n"/>
      <c r="E145" s="48" t="n"/>
      <c r="F145" s="48" t="n"/>
      <c r="G145" s="48" t="n"/>
      <c r="H145" s="48" t="n"/>
      <c r="I145" s="48" t="n"/>
      <c r="J145" s="48" t="n"/>
      <c r="K145" s="48" t="n"/>
      <c r="L145" s="48" t="n"/>
      <c r="M145" s="48" t="n"/>
      <c r="N145" s="48" t="n"/>
      <c r="O145" s="48" t="n"/>
      <c r="P145" s="48" t="n"/>
      <c r="Q145" s="48" t="n"/>
      <c r="R145" s="48" t="n"/>
      <c r="S145" s="48" t="n"/>
      <c r="T145" s="48" t="n"/>
      <c r="U145" s="48" t="n"/>
      <c r="V145" s="48" t="n"/>
    </row>
    <row r="146">
      <c r="A146" s="48" t="n"/>
      <c r="B146" s="48" t="n"/>
      <c r="C146" s="48" t="n"/>
      <c r="D146" s="48" t="n"/>
      <c r="E146" s="48" t="n"/>
      <c r="F146" s="48" t="n"/>
      <c r="G146" s="48" t="n"/>
      <c r="H146" s="48" t="n"/>
      <c r="I146" s="48" t="n"/>
      <c r="J146" s="48" t="n"/>
      <c r="K146" s="48" t="n"/>
      <c r="L146" s="48" t="n"/>
      <c r="M146" s="48" t="n"/>
      <c r="N146" s="48" t="n"/>
      <c r="O146" s="48" t="n"/>
      <c r="P146" s="48" t="n"/>
      <c r="Q146" s="48" t="n"/>
      <c r="R146" s="48" t="n"/>
      <c r="S146" s="48" t="n"/>
      <c r="T146" s="48" t="n"/>
      <c r="U146" s="48" t="n"/>
      <c r="V146" s="48" t="n"/>
    </row>
    <row r="147">
      <c r="A147" s="48" t="n"/>
      <c r="B147" s="48" t="n"/>
      <c r="C147" s="48" t="n"/>
      <c r="D147" s="48" t="n"/>
      <c r="E147" s="48" t="n"/>
      <c r="F147" s="48" t="n"/>
      <c r="G147" s="48" t="n"/>
      <c r="H147" s="48" t="n"/>
      <c r="I147" s="48" t="n"/>
      <c r="J147" s="48" t="n"/>
      <c r="K147" s="48" t="n"/>
      <c r="L147" s="48" t="n"/>
      <c r="M147" s="48" t="n"/>
      <c r="N147" s="48" t="n"/>
      <c r="O147" s="48" t="n"/>
      <c r="P147" s="48" t="n"/>
      <c r="Q147" s="48" t="n"/>
      <c r="R147" s="48" t="n"/>
      <c r="S147" s="48" t="n"/>
      <c r="T147" s="48" t="n"/>
      <c r="U147" s="48" t="n"/>
      <c r="V147" s="48" t="n"/>
    </row>
    <row r="148">
      <c r="A148" s="48" t="n"/>
      <c r="B148" s="48" t="n"/>
      <c r="C148" s="48" t="n"/>
      <c r="D148" s="48" t="n"/>
      <c r="E148" s="48" t="n"/>
      <c r="F148" s="48" t="n"/>
      <c r="G148" s="48" t="n"/>
      <c r="H148" s="48" t="n"/>
      <c r="I148" s="48" t="n"/>
      <c r="J148" s="48" t="n"/>
      <c r="K148" s="48" t="n"/>
      <c r="L148" s="48" t="n"/>
      <c r="M148" s="48" t="n"/>
      <c r="N148" s="48" t="n"/>
      <c r="O148" s="48" t="n"/>
      <c r="P148" s="48" t="n"/>
      <c r="Q148" s="48" t="n"/>
      <c r="R148" s="48" t="n"/>
      <c r="S148" s="48" t="n"/>
      <c r="T148" s="48" t="n"/>
      <c r="U148" s="48" t="n"/>
      <c r="V148" s="48" t="n"/>
    </row>
    <row r="149">
      <c r="A149" s="48" t="n"/>
      <c r="B149" s="48" t="n"/>
      <c r="C149" s="48" t="n"/>
      <c r="D149" s="48" t="n"/>
      <c r="E149" s="48" t="n"/>
      <c r="F149" s="48" t="n"/>
      <c r="G149" s="48" t="n"/>
      <c r="H149" s="48" t="n"/>
      <c r="I149" s="48" t="n"/>
      <c r="J149" s="48" t="n"/>
      <c r="K149" s="48" t="n"/>
      <c r="L149" s="48" t="n"/>
      <c r="M149" s="48" t="n"/>
      <c r="N149" s="48" t="n"/>
      <c r="O149" s="48" t="n"/>
      <c r="P149" s="48" t="n"/>
      <c r="Q149" s="48" t="n"/>
      <c r="R149" s="48" t="n"/>
      <c r="S149" s="48" t="n"/>
      <c r="T149" s="48" t="n"/>
      <c r="U149" s="48" t="n"/>
      <c r="V149" s="48" t="n"/>
    </row>
    <row r="150">
      <c r="A150" s="48" t="n"/>
      <c r="B150" s="48" t="n"/>
      <c r="C150" s="48" t="n"/>
      <c r="D150" s="48" t="n"/>
      <c r="E150" s="48" t="n"/>
      <c r="F150" s="48" t="n"/>
      <c r="G150" s="48" t="n"/>
      <c r="H150" s="48" t="n"/>
      <c r="I150" s="48" t="n"/>
      <c r="J150" s="48" t="n"/>
      <c r="K150" s="48" t="n"/>
      <c r="L150" s="48" t="n"/>
      <c r="M150" s="48" t="n"/>
      <c r="N150" s="48" t="n"/>
      <c r="O150" s="48" t="n"/>
      <c r="P150" s="48" t="n"/>
      <c r="Q150" s="48" t="n"/>
      <c r="R150" s="48" t="n"/>
      <c r="S150" s="48" t="n"/>
      <c r="T150" s="48" t="n"/>
      <c r="U150" s="48" t="n"/>
      <c r="V150" s="48" t="n"/>
    </row>
    <row r="151">
      <c r="A151" s="48" t="n"/>
      <c r="B151" s="48" t="n"/>
      <c r="C151" s="48" t="n"/>
      <c r="D151" s="48" t="n"/>
      <c r="E151" s="48" t="n"/>
      <c r="F151" s="48" t="n"/>
      <c r="G151" s="48" t="n"/>
      <c r="H151" s="48" t="n"/>
      <c r="I151" s="48" t="n"/>
      <c r="J151" s="48" t="n"/>
      <c r="K151" s="48" t="n"/>
      <c r="L151" s="48" t="n"/>
      <c r="M151" s="48" t="n"/>
      <c r="N151" s="48" t="n"/>
      <c r="O151" s="48" t="n"/>
      <c r="P151" s="48" t="n"/>
      <c r="Q151" s="48" t="n"/>
      <c r="R151" s="48" t="n"/>
      <c r="S151" s="48" t="n"/>
      <c r="T151" s="48" t="n"/>
      <c r="U151" s="48" t="n"/>
      <c r="V151" s="48" t="n"/>
    </row>
    <row r="152">
      <c r="A152" s="48" t="n"/>
      <c r="B152" s="48" t="n"/>
      <c r="C152" s="48" t="n"/>
      <c r="D152" s="48" t="n"/>
      <c r="E152" s="48" t="n"/>
      <c r="F152" s="48" t="n"/>
      <c r="G152" s="48" t="n"/>
      <c r="H152" s="48" t="n"/>
      <c r="I152" s="48" t="n"/>
      <c r="J152" s="48" t="n"/>
      <c r="K152" s="48" t="n"/>
      <c r="L152" s="48" t="n"/>
      <c r="M152" s="48" t="n"/>
      <c r="N152" s="48" t="n"/>
      <c r="O152" s="48" t="n"/>
      <c r="P152" s="48" t="n"/>
      <c r="Q152" s="48" t="n"/>
      <c r="R152" s="48" t="n"/>
      <c r="S152" s="48" t="n"/>
      <c r="T152" s="48" t="n"/>
      <c r="U152" s="48" t="n"/>
      <c r="V152" s="48" t="n"/>
    </row>
    <row r="153">
      <c r="A153" s="48" t="n"/>
      <c r="B153" s="48" t="n"/>
      <c r="C153" s="48" t="n"/>
      <c r="D153" s="48" t="n"/>
      <c r="E153" s="48" t="n"/>
      <c r="F153" s="48" t="n"/>
      <c r="G153" s="48" t="n"/>
      <c r="H153" s="48" t="n"/>
      <c r="I153" s="48" t="n"/>
      <c r="J153" s="48" t="n"/>
      <c r="K153" s="48" t="n"/>
      <c r="L153" s="48" t="n"/>
      <c r="M153" s="48" t="n"/>
      <c r="N153" s="48" t="n"/>
      <c r="O153" s="48" t="n"/>
      <c r="P153" s="48" t="n"/>
      <c r="Q153" s="48" t="n"/>
      <c r="R153" s="48" t="n"/>
      <c r="S153" s="48" t="n"/>
      <c r="T153" s="48" t="n"/>
      <c r="U153" s="48" t="n"/>
      <c r="V153" s="48" t="n"/>
    </row>
    <row r="154">
      <c r="A154" s="48" t="n"/>
      <c r="B154" s="48" t="n"/>
      <c r="C154" s="48" t="n"/>
      <c r="D154" s="48" t="n"/>
      <c r="E154" s="48" t="n"/>
      <c r="F154" s="48" t="n"/>
      <c r="G154" s="48" t="n"/>
      <c r="H154" s="48" t="n"/>
      <c r="I154" s="48" t="n"/>
      <c r="J154" s="48" t="n"/>
      <c r="K154" s="48" t="n"/>
      <c r="L154" s="48" t="n"/>
      <c r="M154" s="48" t="n"/>
      <c r="N154" s="48" t="n"/>
      <c r="O154" s="48" t="n"/>
      <c r="P154" s="48" t="n"/>
      <c r="Q154" s="48" t="n"/>
      <c r="R154" s="48" t="n"/>
      <c r="S154" s="48" t="n"/>
      <c r="T154" s="48" t="n"/>
      <c r="U154" s="48" t="n"/>
      <c r="V154" s="48" t="n"/>
    </row>
    <row r="155">
      <c r="A155" s="48" t="n"/>
      <c r="B155" s="48" t="n"/>
      <c r="C155" s="48" t="n"/>
      <c r="D155" s="48" t="n"/>
      <c r="E155" s="48" t="n"/>
      <c r="F155" s="48" t="n"/>
      <c r="G155" s="48" t="n"/>
      <c r="H155" s="48" t="n"/>
      <c r="I155" s="48" t="n"/>
      <c r="J155" s="48" t="n"/>
      <c r="K155" s="48" t="n"/>
      <c r="L155" s="48" t="n"/>
      <c r="M155" s="48" t="n"/>
      <c r="N155" s="48" t="n"/>
      <c r="O155" s="48" t="n"/>
      <c r="P155" s="48" t="n"/>
      <c r="Q155" s="48" t="n"/>
      <c r="R155" s="48" t="n"/>
      <c r="S155" s="48" t="n"/>
      <c r="T155" s="48" t="n"/>
      <c r="U155" s="48" t="n"/>
      <c r="V155" s="48" t="n"/>
    </row>
    <row r="156">
      <c r="A156" s="48" t="n"/>
      <c r="B156" s="48" t="n"/>
      <c r="C156" s="48" t="n"/>
      <c r="D156" s="48" t="n"/>
      <c r="E156" s="48" t="n"/>
      <c r="F156" s="48" t="n"/>
      <c r="G156" s="48" t="n"/>
      <c r="H156" s="48" t="n"/>
      <c r="I156" s="48" t="n"/>
      <c r="J156" s="48" t="n"/>
      <c r="K156" s="48" t="n"/>
      <c r="L156" s="48" t="n"/>
      <c r="M156" s="48" t="n"/>
      <c r="N156" s="48" t="n"/>
      <c r="O156" s="48" t="n"/>
      <c r="P156" s="48" t="n"/>
      <c r="Q156" s="48" t="n"/>
      <c r="R156" s="48" t="n"/>
      <c r="S156" s="48" t="n"/>
      <c r="T156" s="48" t="n"/>
      <c r="U156" s="48" t="n"/>
      <c r="V156" s="48" t="n"/>
    </row>
    <row r="157">
      <c r="A157" s="48" t="n"/>
      <c r="B157" s="48" t="n"/>
      <c r="C157" s="48" t="n"/>
      <c r="D157" s="48" t="n"/>
      <c r="E157" s="48" t="n"/>
      <c r="F157" s="48" t="n"/>
      <c r="G157" s="48" t="n"/>
      <c r="H157" s="48" t="n"/>
      <c r="I157" s="48" t="n"/>
      <c r="J157" s="48" t="n"/>
      <c r="K157" s="48" t="n"/>
      <c r="L157" s="48" t="n"/>
      <c r="M157" s="48" t="n"/>
      <c r="N157" s="48" t="n"/>
      <c r="O157" s="48" t="n"/>
      <c r="P157" s="48" t="n"/>
      <c r="Q157" s="48" t="n"/>
      <c r="R157" s="48" t="n"/>
      <c r="S157" s="48" t="n"/>
      <c r="T157" s="48" t="n"/>
      <c r="U157" s="48" t="n"/>
      <c r="V157" s="48" t="n"/>
    </row>
    <row r="158">
      <c r="A158" s="48" t="n"/>
      <c r="B158" s="48" t="n"/>
      <c r="C158" s="48" t="n"/>
      <c r="D158" s="48" t="n"/>
      <c r="E158" s="48" t="n"/>
      <c r="F158" s="48" t="n"/>
      <c r="G158" s="48" t="n"/>
      <c r="H158" s="48" t="n"/>
      <c r="I158" s="48" t="n"/>
      <c r="J158" s="48" t="n"/>
      <c r="K158" s="48" t="n"/>
      <c r="L158" s="48" t="n"/>
      <c r="M158" s="48" t="n"/>
      <c r="N158" s="48" t="n"/>
      <c r="O158" s="48" t="n"/>
      <c r="P158" s="48" t="n"/>
      <c r="Q158" s="48" t="n"/>
      <c r="R158" s="48" t="n"/>
      <c r="S158" s="48" t="n"/>
      <c r="T158" s="48" t="n"/>
      <c r="U158" s="48" t="n"/>
      <c r="V158" s="48" t="n"/>
    </row>
    <row r="159">
      <c r="A159" s="48" t="n"/>
      <c r="B159" s="48" t="n"/>
      <c r="C159" s="48" t="n"/>
      <c r="D159" s="48" t="n"/>
      <c r="E159" s="48" t="n"/>
      <c r="F159" s="48" t="n"/>
      <c r="G159" s="48" t="n"/>
      <c r="H159" s="48" t="n"/>
      <c r="I159" s="48" t="n"/>
      <c r="J159" s="48" t="n"/>
      <c r="K159" s="48" t="n"/>
      <c r="L159" s="48" t="n"/>
      <c r="M159" s="48" t="n"/>
      <c r="N159" s="48" t="n"/>
      <c r="O159" s="48" t="n"/>
      <c r="P159" s="48" t="n"/>
      <c r="Q159" s="48" t="n"/>
      <c r="R159" s="48" t="n"/>
      <c r="S159" s="48" t="n"/>
      <c r="T159" s="48" t="n"/>
      <c r="U159" s="48" t="n"/>
      <c r="V159" s="48" t="n"/>
    </row>
    <row r="160">
      <c r="A160" s="48" t="n"/>
      <c r="B160" s="48" t="n"/>
      <c r="C160" s="48" t="n"/>
      <c r="D160" s="48" t="n"/>
      <c r="E160" s="48" t="n"/>
      <c r="F160" s="48" t="n"/>
      <c r="G160" s="48" t="n"/>
      <c r="H160" s="48" t="n"/>
      <c r="I160" s="48" t="n"/>
      <c r="J160" s="48" t="n"/>
      <c r="K160" s="48" t="n"/>
      <c r="L160" s="48" t="n"/>
      <c r="M160" s="48" t="n"/>
      <c r="N160" s="48" t="n"/>
      <c r="O160" s="48" t="n"/>
      <c r="P160" s="48" t="n"/>
      <c r="Q160" s="48" t="n"/>
      <c r="R160" s="48" t="n"/>
      <c r="S160" s="48" t="n"/>
      <c r="T160" s="48" t="n"/>
      <c r="U160" s="48" t="n"/>
      <c r="V160" s="48" t="n"/>
    </row>
    <row r="161">
      <c r="A161" s="48" t="n"/>
      <c r="B161" s="48" t="n"/>
      <c r="C161" s="48" t="n"/>
      <c r="D161" s="48" t="n"/>
      <c r="E161" s="48" t="n"/>
      <c r="F161" s="48" t="n"/>
      <c r="G161" s="48" t="n"/>
      <c r="H161" s="48" t="n"/>
      <c r="I161" s="48" t="n"/>
      <c r="J161" s="48" t="n"/>
      <c r="K161" s="48" t="n"/>
      <c r="L161" s="48" t="n"/>
      <c r="M161" s="48" t="n"/>
      <c r="N161" s="48" t="n"/>
      <c r="O161" s="48" t="n"/>
      <c r="P161" s="48" t="n"/>
      <c r="Q161" s="48" t="n"/>
      <c r="R161" s="48" t="n"/>
      <c r="S161" s="48" t="n"/>
      <c r="T161" s="48" t="n"/>
      <c r="U161" s="48" t="n"/>
      <c r="V161" s="48" t="n"/>
    </row>
    <row r="162">
      <c r="A162" s="48" t="n"/>
      <c r="B162" s="48" t="n"/>
      <c r="C162" s="48" t="n"/>
      <c r="D162" s="48" t="n"/>
      <c r="E162" s="48" t="n"/>
      <c r="F162" s="48" t="n"/>
      <c r="G162" s="48" t="n"/>
      <c r="H162" s="48" t="n"/>
      <c r="I162" s="48" t="n"/>
      <c r="J162" s="48" t="n"/>
      <c r="K162" s="48" t="n"/>
      <c r="L162" s="48" t="n"/>
      <c r="M162" s="48" t="n"/>
      <c r="N162" s="48" t="n"/>
      <c r="O162" s="48" t="n"/>
      <c r="P162" s="48" t="n"/>
      <c r="Q162" s="48" t="n"/>
      <c r="R162" s="48" t="n"/>
      <c r="S162" s="48" t="n"/>
      <c r="T162" s="48" t="n"/>
      <c r="U162" s="48" t="n"/>
      <c r="V162" s="48" t="n"/>
    </row>
    <row r="163">
      <c r="A163" s="48" t="n"/>
      <c r="B163" s="48" t="n"/>
      <c r="C163" s="48" t="n"/>
      <c r="D163" s="48" t="n"/>
      <c r="E163" s="48" t="n"/>
      <c r="F163" s="48" t="n"/>
      <c r="G163" s="48" t="n"/>
      <c r="H163" s="48" t="n"/>
      <c r="I163" s="48" t="n"/>
      <c r="J163" s="48" t="n"/>
      <c r="K163" s="48" t="n"/>
      <c r="L163" s="48" t="n"/>
      <c r="M163" s="48" t="n"/>
      <c r="N163" s="48" t="n"/>
      <c r="O163" s="48" t="n"/>
      <c r="P163" s="48" t="n"/>
      <c r="Q163" s="48" t="n"/>
      <c r="R163" s="48" t="n"/>
      <c r="S163" s="48" t="n"/>
      <c r="T163" s="48" t="n"/>
      <c r="U163" s="48" t="n"/>
      <c r="V163" s="48" t="n"/>
    </row>
    <row r="164">
      <c r="A164" s="48" t="n"/>
      <c r="B164" s="48" t="n"/>
      <c r="C164" s="48" t="n"/>
      <c r="D164" s="48" t="n"/>
      <c r="E164" s="48" t="n"/>
      <c r="F164" s="48" t="n"/>
      <c r="G164" s="48" t="n"/>
      <c r="H164" s="48" t="n"/>
      <c r="I164" s="48" t="n"/>
      <c r="J164" s="48" t="n"/>
      <c r="K164" s="48" t="n"/>
      <c r="L164" s="48" t="n"/>
      <c r="M164" s="48" t="n"/>
      <c r="N164" s="48" t="n"/>
      <c r="O164" s="48" t="n"/>
      <c r="P164" s="48" t="n"/>
      <c r="Q164" s="48" t="n"/>
      <c r="R164" s="48" t="n"/>
      <c r="S164" s="48" t="n"/>
      <c r="T164" s="48" t="n"/>
      <c r="U164" s="48" t="n"/>
      <c r="V164" s="48" t="n"/>
    </row>
    <row r="165">
      <c r="A165" s="48" t="n"/>
      <c r="B165" s="48" t="n"/>
      <c r="C165" s="48" t="n"/>
      <c r="D165" s="48" t="n"/>
      <c r="E165" s="48" t="n"/>
      <c r="F165" s="48" t="n"/>
      <c r="G165" s="48" t="n"/>
      <c r="H165" s="48" t="n"/>
      <c r="I165" s="48" t="n"/>
      <c r="J165" s="48" t="n"/>
      <c r="K165" s="48" t="n"/>
      <c r="L165" s="48" t="n"/>
      <c r="M165" s="48" t="n"/>
      <c r="N165" s="48" t="n"/>
      <c r="O165" s="48" t="n"/>
      <c r="P165" s="48" t="n"/>
      <c r="Q165" s="48" t="n"/>
      <c r="R165" s="48" t="n"/>
      <c r="S165" s="48" t="n"/>
      <c r="T165" s="48" t="n"/>
      <c r="U165" s="48" t="n"/>
      <c r="V165" s="48" t="n"/>
    </row>
    <row r="166">
      <c r="A166" s="48" t="n"/>
      <c r="B166" s="48" t="n"/>
      <c r="C166" s="48" t="n"/>
      <c r="D166" s="48" t="n"/>
      <c r="E166" s="48" t="n"/>
      <c r="F166" s="48" t="n"/>
      <c r="G166" s="48" t="n"/>
      <c r="H166" s="48" t="n"/>
      <c r="I166" s="48" t="n"/>
      <c r="J166" s="48" t="n"/>
      <c r="K166" s="48" t="n"/>
      <c r="L166" s="48" t="n"/>
      <c r="M166" s="48" t="n"/>
      <c r="N166" s="48" t="n"/>
      <c r="O166" s="48" t="n"/>
      <c r="P166" s="48" t="n"/>
      <c r="Q166" s="48" t="n"/>
      <c r="R166" s="48" t="n"/>
      <c r="S166" s="48" t="n"/>
      <c r="T166" s="48" t="n"/>
      <c r="U166" s="48" t="n"/>
      <c r="V166" s="48" t="n"/>
    </row>
    <row r="167">
      <c r="A167" s="48" t="n"/>
      <c r="B167" s="48" t="n"/>
      <c r="C167" s="48" t="n"/>
      <c r="D167" s="48" t="n"/>
      <c r="E167" s="48" t="n"/>
      <c r="F167" s="48" t="n"/>
      <c r="G167" s="48" t="n"/>
      <c r="H167" s="48" t="n"/>
      <c r="I167" s="48" t="n"/>
      <c r="J167" s="48" t="n"/>
      <c r="K167" s="48" t="n"/>
      <c r="L167" s="48" t="n"/>
      <c r="M167" s="48" t="n"/>
      <c r="N167" s="48" t="n"/>
      <c r="O167" s="48" t="n"/>
      <c r="P167" s="48" t="n"/>
      <c r="Q167" s="48" t="n"/>
      <c r="R167" s="48" t="n"/>
      <c r="S167" s="48" t="n"/>
      <c r="T167" s="48" t="n"/>
      <c r="U167" s="48" t="n"/>
      <c r="V167" s="48" t="n"/>
    </row>
    <row r="168">
      <c r="A168" s="48" t="n"/>
      <c r="B168" s="48" t="n"/>
      <c r="C168" s="48" t="n"/>
      <c r="D168" s="48" t="n"/>
      <c r="E168" s="48" t="n"/>
      <c r="F168" s="48" t="n"/>
      <c r="G168" s="48" t="n"/>
      <c r="H168" s="48" t="n"/>
      <c r="I168" s="48" t="n"/>
      <c r="J168" s="48" t="n"/>
      <c r="K168" s="48" t="n"/>
      <c r="L168" s="48" t="n"/>
      <c r="M168" s="48" t="n"/>
      <c r="N168" s="48" t="n"/>
      <c r="O168" s="48" t="n"/>
      <c r="P168" s="48" t="n"/>
      <c r="Q168" s="48" t="n"/>
      <c r="R168" s="48" t="n"/>
      <c r="S168" s="48" t="n"/>
      <c r="T168" s="48" t="n"/>
      <c r="U168" s="48" t="n"/>
      <c r="V168" s="48" t="n"/>
    </row>
    <row r="169">
      <c r="A169" s="48" t="n"/>
      <c r="B169" s="48" t="n"/>
      <c r="C169" s="48" t="n"/>
      <c r="D169" s="48" t="n"/>
      <c r="E169" s="48" t="n"/>
      <c r="F169" s="48" t="n"/>
      <c r="G169" s="48" t="n"/>
      <c r="H169" s="48" t="n"/>
      <c r="I169" s="48" t="n"/>
      <c r="J169" s="48" t="n"/>
      <c r="K169" s="48" t="n"/>
      <c r="L169" s="48" t="n"/>
      <c r="M169" s="48" t="n"/>
      <c r="N169" s="48" t="n"/>
      <c r="O169" s="48" t="n"/>
      <c r="P169" s="48" t="n"/>
      <c r="Q169" s="48" t="n"/>
      <c r="R169" s="48" t="n"/>
      <c r="S169" s="48" t="n"/>
      <c r="T169" s="48" t="n"/>
      <c r="U169" s="48" t="n"/>
      <c r="V169" s="48" t="n"/>
    </row>
    <row r="170">
      <c r="A170" s="48" t="n"/>
      <c r="B170" s="48" t="n"/>
      <c r="C170" s="48" t="n"/>
      <c r="D170" s="48" t="n"/>
      <c r="E170" s="48" t="n"/>
      <c r="F170" s="48" t="n"/>
      <c r="G170" s="48" t="n"/>
      <c r="H170" s="48" t="n"/>
      <c r="I170" s="48" t="n"/>
      <c r="J170" s="48" t="n"/>
      <c r="K170" s="48" t="n"/>
      <c r="L170" s="48" t="n"/>
      <c r="M170" s="48" t="n"/>
      <c r="N170" s="48" t="n"/>
      <c r="O170" s="48" t="n"/>
      <c r="P170" s="48" t="n"/>
      <c r="Q170" s="48" t="n"/>
      <c r="R170" s="48" t="n"/>
      <c r="S170" s="48" t="n"/>
      <c r="T170" s="48" t="n"/>
      <c r="U170" s="48" t="n"/>
      <c r="V170" s="48" t="n"/>
    </row>
    <row r="171">
      <c r="A171" s="48" t="n"/>
      <c r="B171" s="48" t="n"/>
      <c r="C171" s="48" t="n"/>
      <c r="D171" s="48" t="n"/>
      <c r="E171" s="48" t="n"/>
      <c r="F171" s="48" t="n"/>
      <c r="G171" s="48" t="n"/>
      <c r="H171" s="48" t="n"/>
      <c r="I171" s="48" t="n"/>
      <c r="J171" s="48" t="n"/>
      <c r="K171" s="48" t="n"/>
      <c r="L171" s="48" t="n"/>
      <c r="M171" s="48" t="n"/>
      <c r="N171" s="48" t="n"/>
      <c r="O171" s="48" t="n"/>
      <c r="P171" s="48" t="n"/>
      <c r="Q171" s="48" t="n"/>
      <c r="R171" s="48" t="n"/>
      <c r="S171" s="48" t="n"/>
      <c r="T171" s="48" t="n"/>
      <c r="U171" s="48" t="n"/>
      <c r="V171" s="48" t="n"/>
    </row>
    <row r="172">
      <c r="A172" s="48" t="n"/>
      <c r="B172" s="48" t="n"/>
      <c r="C172" s="48" t="n"/>
      <c r="D172" s="48" t="n"/>
      <c r="E172" s="48" t="n"/>
      <c r="F172" s="48" t="n"/>
      <c r="G172" s="48" t="n"/>
      <c r="H172" s="48" t="n"/>
      <c r="I172" s="48" t="n"/>
      <c r="J172" s="48" t="n"/>
      <c r="K172" s="48" t="n"/>
      <c r="L172" s="48" t="n"/>
      <c r="M172" s="48" t="n"/>
      <c r="N172" s="48" t="n"/>
      <c r="O172" s="48" t="n"/>
      <c r="P172" s="48" t="n"/>
      <c r="Q172" s="48" t="n"/>
      <c r="R172" s="48" t="n"/>
      <c r="S172" s="48" t="n"/>
      <c r="T172" s="48" t="n"/>
      <c r="U172" s="48" t="n"/>
      <c r="V172" s="48" t="n"/>
    </row>
    <row r="173">
      <c r="A173" s="48" t="n"/>
      <c r="B173" s="48" t="n"/>
      <c r="C173" s="48" t="n"/>
      <c r="D173" s="48" t="n"/>
      <c r="E173" s="48" t="n"/>
      <c r="F173" s="48" t="n"/>
      <c r="G173" s="48" t="n"/>
      <c r="H173" s="48" t="n"/>
      <c r="I173" s="48" t="n"/>
      <c r="J173" s="48" t="n"/>
      <c r="K173" s="48" t="n"/>
      <c r="L173" s="48" t="n"/>
      <c r="M173" s="48" t="n"/>
      <c r="N173" s="48" t="n"/>
      <c r="O173" s="48" t="n"/>
      <c r="P173" s="48" t="n"/>
      <c r="Q173" s="48" t="n"/>
      <c r="R173" s="48" t="n"/>
      <c r="S173" s="48" t="n"/>
      <c r="T173" s="48" t="n"/>
      <c r="U173" s="48" t="n"/>
      <c r="V173" s="48" t="n"/>
    </row>
    <row r="174">
      <c r="A174" s="48" t="n"/>
      <c r="B174" s="48" t="n"/>
      <c r="C174" s="48" t="n"/>
      <c r="D174" s="48" t="n"/>
      <c r="E174" s="48" t="n"/>
      <c r="F174" s="48" t="n"/>
      <c r="G174" s="48" t="n"/>
      <c r="H174" s="48" t="n"/>
      <c r="I174" s="48" t="n"/>
      <c r="J174" s="48" t="n"/>
      <c r="K174" s="48" t="n"/>
      <c r="L174" s="48" t="n"/>
      <c r="M174" s="48" t="n"/>
      <c r="N174" s="48" t="n"/>
      <c r="O174" s="48" t="n"/>
      <c r="P174" s="48" t="n"/>
      <c r="Q174" s="48" t="n"/>
      <c r="R174" s="48" t="n"/>
      <c r="S174" s="48" t="n"/>
      <c r="T174" s="48" t="n"/>
      <c r="U174" s="48" t="n"/>
      <c r="V174" s="48" t="n"/>
    </row>
    <row r="175">
      <c r="A175" s="48" t="n"/>
      <c r="B175" s="48" t="n"/>
      <c r="C175" s="48" t="n"/>
      <c r="D175" s="48" t="n"/>
      <c r="E175" s="48" t="n"/>
      <c r="F175" s="48" t="n"/>
      <c r="G175" s="48" t="n"/>
      <c r="H175" s="48" t="n"/>
      <c r="I175" s="48" t="n"/>
      <c r="J175" s="48" t="n"/>
      <c r="K175" s="48" t="n"/>
      <c r="L175" s="48" t="n"/>
      <c r="M175" s="48" t="n"/>
      <c r="N175" s="48" t="n"/>
      <c r="O175" s="48" t="n"/>
      <c r="P175" s="48" t="n"/>
      <c r="Q175" s="48" t="n"/>
      <c r="R175" s="48" t="n"/>
      <c r="S175" s="48" t="n"/>
      <c r="T175" s="48" t="n"/>
      <c r="U175" s="48" t="n"/>
      <c r="V175" s="48" t="n"/>
    </row>
    <row r="176">
      <c r="A176" s="48" t="n"/>
      <c r="B176" s="48" t="n"/>
      <c r="C176" s="48" t="n"/>
      <c r="D176" s="48" t="n"/>
      <c r="E176" s="48" t="n"/>
      <c r="F176" s="48" t="n"/>
      <c r="G176" s="48" t="n"/>
      <c r="H176" s="48" t="n"/>
      <c r="I176" s="48" t="n"/>
      <c r="J176" s="48" t="n"/>
      <c r="K176" s="48" t="n"/>
      <c r="L176" s="48" t="n"/>
      <c r="M176" s="48" t="n"/>
      <c r="N176" s="48" t="n"/>
      <c r="O176" s="48" t="n"/>
      <c r="P176" s="48" t="n"/>
      <c r="Q176" s="48" t="n"/>
      <c r="R176" s="48" t="n"/>
      <c r="S176" s="48" t="n"/>
      <c r="T176" s="48" t="n"/>
      <c r="U176" s="48" t="n"/>
      <c r="V176" s="48" t="n"/>
    </row>
    <row r="177">
      <c r="A177" s="48" t="n"/>
      <c r="B177" s="48" t="n"/>
      <c r="C177" s="48" t="n"/>
      <c r="D177" s="48" t="n"/>
      <c r="E177" s="48" t="n"/>
      <c r="F177" s="48" t="n"/>
      <c r="G177" s="48" t="n"/>
      <c r="H177" s="48" t="n"/>
      <c r="I177" s="48" t="n"/>
      <c r="J177" s="48" t="n"/>
      <c r="K177" s="48" t="n"/>
      <c r="L177" s="48" t="n"/>
      <c r="M177" s="48" t="n"/>
      <c r="N177" s="48" t="n"/>
      <c r="O177" s="48" t="n"/>
      <c r="P177" s="48" t="n"/>
      <c r="Q177" s="48" t="n"/>
      <c r="R177" s="48" t="n"/>
      <c r="S177" s="48" t="n"/>
      <c r="T177" s="48" t="n"/>
      <c r="U177" s="48" t="n"/>
      <c r="V177" s="48" t="n"/>
    </row>
    <row r="178">
      <c r="A178" s="48" t="n"/>
      <c r="B178" s="48" t="n"/>
      <c r="C178" s="48" t="n"/>
      <c r="D178" s="48" t="n"/>
      <c r="E178" s="48" t="n"/>
      <c r="F178" s="48" t="n"/>
      <c r="G178" s="48" t="n"/>
      <c r="H178" s="48" t="n"/>
      <c r="I178" s="48" t="n"/>
      <c r="J178" s="48" t="n"/>
      <c r="K178" s="48" t="n"/>
      <c r="L178" s="48" t="n"/>
      <c r="M178" s="48" t="n"/>
      <c r="N178" s="48" t="n"/>
      <c r="O178" s="48" t="n"/>
      <c r="P178" s="48" t="n"/>
      <c r="Q178" s="48" t="n"/>
      <c r="R178" s="48" t="n"/>
      <c r="S178" s="48" t="n"/>
      <c r="T178" s="48" t="n"/>
      <c r="U178" s="48" t="n"/>
      <c r="V178" s="48" t="n"/>
    </row>
    <row r="179">
      <c r="A179" s="48" t="n"/>
      <c r="B179" s="48" t="n"/>
      <c r="C179" s="48" t="n"/>
      <c r="D179" s="48" t="n"/>
      <c r="E179" s="48" t="n"/>
      <c r="F179" s="48" t="n"/>
      <c r="G179" s="48" t="n"/>
      <c r="H179" s="48" t="n"/>
      <c r="I179" s="48" t="n"/>
      <c r="J179" s="48" t="n"/>
      <c r="K179" s="48" t="n"/>
      <c r="L179" s="48" t="n"/>
      <c r="M179" s="48" t="n"/>
      <c r="N179" s="48" t="n"/>
      <c r="O179" s="48" t="n"/>
      <c r="P179" s="48" t="n"/>
      <c r="Q179" s="48" t="n"/>
      <c r="R179" s="48" t="n"/>
      <c r="S179" s="48" t="n"/>
      <c r="T179" s="48" t="n"/>
      <c r="U179" s="48" t="n"/>
      <c r="V179" s="48" t="n"/>
    </row>
    <row r="180">
      <c r="A180" s="48" t="n"/>
      <c r="B180" s="48" t="n"/>
      <c r="C180" s="48" t="n"/>
      <c r="D180" s="48" t="n"/>
      <c r="E180" s="48" t="n"/>
      <c r="F180" s="48" t="n"/>
      <c r="G180" s="48" t="n"/>
      <c r="H180" s="48" t="n"/>
      <c r="I180" s="48" t="n"/>
      <c r="J180" s="48" t="n"/>
      <c r="K180" s="48" t="n"/>
      <c r="L180" s="48" t="n"/>
      <c r="M180" s="48" t="n"/>
      <c r="N180" s="48" t="n"/>
      <c r="O180" s="48" t="n"/>
      <c r="P180" s="48" t="n"/>
      <c r="Q180" s="48" t="n"/>
      <c r="R180" s="48" t="n"/>
      <c r="S180" s="48" t="n"/>
      <c r="T180" s="48" t="n"/>
      <c r="U180" s="48" t="n"/>
      <c r="V180" s="48" t="n"/>
    </row>
    <row r="181">
      <c r="A181" s="48" t="n"/>
      <c r="B181" s="48" t="n"/>
      <c r="C181" s="48" t="n"/>
      <c r="D181" s="48" t="n"/>
      <c r="E181" s="48" t="n"/>
      <c r="F181" s="48" t="n"/>
      <c r="G181" s="48" t="n"/>
      <c r="H181" s="48" t="n"/>
      <c r="I181" s="48" t="n"/>
      <c r="J181" s="48" t="n"/>
      <c r="K181" s="48" t="n"/>
      <c r="L181" s="48" t="n"/>
      <c r="M181" s="48" t="n"/>
      <c r="N181" s="48" t="n"/>
      <c r="O181" s="48" t="n"/>
      <c r="P181" s="48" t="n"/>
      <c r="Q181" s="48" t="n"/>
      <c r="R181" s="48" t="n"/>
      <c r="S181" s="48" t="n"/>
      <c r="T181" s="48" t="n"/>
      <c r="U181" s="48" t="n"/>
      <c r="V181" s="48" t="n"/>
    </row>
    <row r="182">
      <c r="A182" s="48" t="n"/>
      <c r="B182" s="48" t="n"/>
      <c r="C182" s="48" t="n"/>
      <c r="D182" s="48" t="n"/>
      <c r="E182" s="48" t="n"/>
      <c r="F182" s="48" t="n"/>
      <c r="G182" s="48" t="n"/>
      <c r="H182" s="48" t="n"/>
      <c r="I182" s="48" t="n"/>
      <c r="J182" s="48" t="n"/>
      <c r="K182" s="48" t="n"/>
      <c r="L182" s="48" t="n"/>
      <c r="M182" s="48" t="n"/>
      <c r="N182" s="48" t="n"/>
      <c r="O182" s="48" t="n"/>
      <c r="P182" s="48" t="n"/>
      <c r="Q182" s="48" t="n"/>
      <c r="R182" s="48" t="n"/>
      <c r="S182" s="48" t="n"/>
      <c r="T182" s="48" t="n"/>
      <c r="U182" s="48" t="n"/>
      <c r="V182" s="48" t="n"/>
    </row>
    <row r="183">
      <c r="A183" s="48" t="n"/>
      <c r="B183" s="48" t="n"/>
      <c r="C183" s="48" t="n"/>
      <c r="D183" s="48" t="n"/>
      <c r="E183" s="48" t="n"/>
      <c r="F183" s="48" t="n"/>
      <c r="G183" s="48" t="n"/>
      <c r="H183" s="48" t="n"/>
      <c r="I183" s="48" t="n"/>
      <c r="J183" s="48" t="n"/>
      <c r="K183" s="48" t="n"/>
      <c r="L183" s="48" t="n"/>
      <c r="M183" s="48" t="n"/>
      <c r="N183" s="48" t="n"/>
      <c r="O183" s="48" t="n"/>
      <c r="P183" s="48" t="n"/>
      <c r="Q183" s="48" t="n"/>
      <c r="R183" s="48" t="n"/>
      <c r="S183" s="48" t="n"/>
      <c r="T183" s="48" t="n"/>
      <c r="U183" s="48" t="n"/>
      <c r="V183" s="48" t="n"/>
    </row>
    <row r="184">
      <c r="A184" s="48" t="n"/>
      <c r="B184" s="48" t="n"/>
      <c r="C184" s="48" t="n"/>
      <c r="D184" s="48" t="n"/>
      <c r="E184" s="48" t="n"/>
      <c r="F184" s="48" t="n"/>
      <c r="G184" s="48" t="n"/>
      <c r="H184" s="48" t="n"/>
      <c r="I184" s="48" t="n"/>
      <c r="J184" s="48" t="n"/>
      <c r="K184" s="48" t="n"/>
      <c r="L184" s="48" t="n"/>
      <c r="M184" s="48" t="n"/>
      <c r="N184" s="48" t="n"/>
      <c r="O184" s="48" t="n"/>
      <c r="P184" s="48" t="n"/>
      <c r="Q184" s="48" t="n"/>
      <c r="R184" s="48" t="n"/>
      <c r="S184" s="48" t="n"/>
      <c r="T184" s="48" t="n"/>
      <c r="U184" s="48" t="n"/>
      <c r="V184" s="48" t="n"/>
    </row>
    <row r="185">
      <c r="A185" s="48" t="n"/>
      <c r="B185" s="48" t="n"/>
      <c r="C185" s="48" t="n"/>
      <c r="D185" s="48" t="n"/>
      <c r="E185" s="48" t="n"/>
      <c r="F185" s="48" t="n"/>
      <c r="G185" s="48" t="n"/>
      <c r="H185" s="48" t="n"/>
      <c r="I185" s="48" t="n"/>
      <c r="J185" s="48" t="n"/>
      <c r="K185" s="48" t="n"/>
      <c r="L185" s="48" t="n"/>
      <c r="M185" s="48" t="n"/>
      <c r="N185" s="48" t="n"/>
      <c r="O185" s="48" t="n"/>
      <c r="P185" s="48" t="n"/>
      <c r="Q185" s="48" t="n"/>
      <c r="R185" s="48" t="n"/>
      <c r="S185" s="48" t="n"/>
      <c r="T185" s="48" t="n"/>
      <c r="U185" s="48" t="n"/>
      <c r="V185" s="48" t="n"/>
    </row>
    <row r="186">
      <c r="A186" s="48" t="n"/>
      <c r="B186" s="48" t="n"/>
      <c r="C186" s="48" t="n"/>
      <c r="D186" s="48" t="n"/>
      <c r="E186" s="48" t="n"/>
      <c r="F186" s="48" t="n"/>
      <c r="G186" s="48" t="n"/>
      <c r="H186" s="48" t="n"/>
      <c r="I186" s="48" t="n"/>
      <c r="J186" s="48" t="n"/>
      <c r="K186" s="48" t="n"/>
      <c r="L186" s="48" t="n"/>
      <c r="M186" s="48" t="n"/>
      <c r="N186" s="48" t="n"/>
      <c r="O186" s="48" t="n"/>
      <c r="P186" s="48" t="n"/>
      <c r="Q186" s="48" t="n"/>
      <c r="R186" s="48" t="n"/>
      <c r="S186" s="48" t="n"/>
      <c r="T186" s="48" t="n"/>
      <c r="U186" s="48" t="n"/>
      <c r="V186" s="48" t="n"/>
    </row>
    <row r="187">
      <c r="A187" s="48" t="n"/>
      <c r="B187" s="48" t="n"/>
      <c r="C187" s="48" t="n"/>
      <c r="D187" s="48" t="n"/>
      <c r="E187" s="48" t="n"/>
      <c r="F187" s="48" t="n"/>
      <c r="G187" s="48" t="n"/>
      <c r="H187" s="48" t="n"/>
      <c r="I187" s="48" t="n"/>
      <c r="J187" s="48" t="n"/>
      <c r="K187" s="48" t="n"/>
      <c r="L187" s="48" t="n"/>
      <c r="M187" s="48" t="n"/>
      <c r="N187" s="48" t="n"/>
      <c r="O187" s="48" t="n"/>
      <c r="P187" s="48" t="n"/>
      <c r="Q187" s="48" t="n"/>
      <c r="R187" s="48" t="n"/>
      <c r="S187" s="48" t="n"/>
      <c r="T187" s="48" t="n"/>
      <c r="U187" s="48" t="n"/>
      <c r="V187" s="48" t="n"/>
    </row>
    <row r="188">
      <c r="A188" s="48" t="n"/>
      <c r="B188" s="48" t="n"/>
      <c r="C188" s="48" t="n"/>
      <c r="D188" s="48" t="n"/>
      <c r="E188" s="48" t="n"/>
      <c r="F188" s="48" t="n"/>
      <c r="G188" s="48" t="n"/>
      <c r="H188" s="48" t="n"/>
      <c r="I188" s="48" t="n"/>
      <c r="J188" s="48" t="n"/>
      <c r="K188" s="48" t="n"/>
      <c r="L188" s="48" t="n"/>
      <c r="M188" s="48" t="n"/>
      <c r="N188" s="48" t="n"/>
      <c r="O188" s="48" t="n"/>
      <c r="P188" s="48" t="n"/>
      <c r="Q188" s="48" t="n"/>
      <c r="R188" s="48" t="n"/>
      <c r="S188" s="48" t="n"/>
      <c r="T188" s="48" t="n"/>
      <c r="U188" s="48" t="n"/>
      <c r="V188" s="48" t="n"/>
    </row>
    <row r="189">
      <c r="A189" s="48" t="n"/>
      <c r="B189" s="48" t="n"/>
      <c r="C189" s="48" t="n"/>
      <c r="D189" s="48" t="n"/>
      <c r="E189" s="48" t="n"/>
      <c r="F189" s="48" t="n"/>
      <c r="G189" s="48" t="n"/>
      <c r="H189" s="48" t="n"/>
      <c r="I189" s="48" t="n"/>
      <c r="J189" s="48" t="n"/>
      <c r="K189" s="48" t="n"/>
      <c r="L189" s="48" t="n"/>
      <c r="M189" s="48" t="n"/>
      <c r="N189" s="48" t="n"/>
      <c r="O189" s="48" t="n"/>
      <c r="P189" s="48" t="n"/>
      <c r="Q189" s="48" t="n"/>
      <c r="R189" s="48" t="n"/>
      <c r="S189" s="48" t="n"/>
      <c r="T189" s="48" t="n"/>
      <c r="U189" s="48" t="n"/>
      <c r="V189" s="48" t="n"/>
    </row>
    <row r="190">
      <c r="A190" s="48" t="n"/>
      <c r="B190" s="48" t="n"/>
      <c r="C190" s="48" t="n"/>
      <c r="D190" s="48" t="n"/>
      <c r="E190" s="48" t="n"/>
      <c r="F190" s="48" t="n"/>
      <c r="G190" s="48" t="n"/>
      <c r="H190" s="48" t="n"/>
      <c r="I190" s="48" t="n"/>
      <c r="J190" s="48" t="n"/>
      <c r="K190" s="48" t="n"/>
      <c r="L190" s="48" t="n"/>
      <c r="M190" s="48" t="n"/>
      <c r="N190" s="48" t="n"/>
      <c r="O190" s="48" t="n"/>
      <c r="P190" s="48" t="n"/>
      <c r="Q190" s="48" t="n"/>
      <c r="R190" s="48" t="n"/>
      <c r="S190" s="48" t="n"/>
      <c r="T190" s="48" t="n"/>
      <c r="U190" s="48" t="n"/>
      <c r="V190" s="48" t="n"/>
    </row>
    <row r="191">
      <c r="A191" s="48" t="n"/>
      <c r="B191" s="48" t="n"/>
      <c r="C191" s="48" t="n"/>
      <c r="D191" s="48" t="n"/>
      <c r="E191" s="48" t="n"/>
      <c r="F191" s="48" t="n"/>
      <c r="G191" s="48" t="n"/>
      <c r="H191" s="48" t="n"/>
      <c r="I191" s="48" t="n"/>
      <c r="J191" s="48" t="n"/>
      <c r="K191" s="48" t="n"/>
      <c r="L191" s="48" t="n"/>
      <c r="M191" s="48" t="n"/>
      <c r="N191" s="48" t="n"/>
      <c r="O191" s="48" t="n"/>
      <c r="P191" s="48" t="n"/>
      <c r="Q191" s="48" t="n"/>
      <c r="R191" s="48" t="n"/>
      <c r="S191" s="48" t="n"/>
      <c r="T191" s="48" t="n"/>
      <c r="U191" s="48" t="n"/>
      <c r="V191" s="48" t="n"/>
    </row>
    <row r="192">
      <c r="A192" s="48" t="n"/>
      <c r="B192" s="48" t="n"/>
      <c r="C192" s="48" t="n"/>
      <c r="D192" s="48" t="n"/>
      <c r="E192" s="48" t="n"/>
      <c r="F192" s="48" t="n"/>
      <c r="G192" s="48" t="n"/>
      <c r="H192" s="48" t="n"/>
      <c r="I192" s="48" t="n"/>
      <c r="J192" s="48" t="n"/>
      <c r="K192" s="48" t="n"/>
      <c r="L192" s="48" t="n"/>
      <c r="M192" s="48" t="n"/>
      <c r="N192" s="48" t="n"/>
      <c r="O192" s="48" t="n"/>
      <c r="P192" s="48" t="n"/>
      <c r="Q192" s="48" t="n"/>
      <c r="R192" s="48" t="n"/>
      <c r="S192" s="48" t="n"/>
      <c r="T192" s="48" t="n"/>
      <c r="U192" s="48" t="n"/>
      <c r="V192" s="48" t="n"/>
    </row>
    <row r="193">
      <c r="A193" s="48" t="n"/>
      <c r="B193" s="48" t="n"/>
      <c r="C193" s="48" t="n"/>
      <c r="D193" s="48" t="n"/>
      <c r="E193" s="48" t="n"/>
      <c r="F193" s="48" t="n"/>
      <c r="G193" s="48" t="n"/>
      <c r="H193" s="48" t="n"/>
      <c r="I193" s="48" t="n"/>
      <c r="J193" s="48" t="n"/>
      <c r="K193" s="48" t="n"/>
      <c r="L193" s="48" t="n"/>
      <c r="M193" s="48" t="n"/>
      <c r="N193" s="48" t="n"/>
      <c r="O193" s="48" t="n"/>
      <c r="P193" s="48" t="n"/>
      <c r="Q193" s="48" t="n"/>
      <c r="R193" s="48" t="n"/>
      <c r="S193" s="48" t="n"/>
      <c r="T193" s="48" t="n"/>
      <c r="U193" s="48" t="n"/>
      <c r="V193" s="48" t="n"/>
    </row>
    <row r="194">
      <c r="A194" s="48" t="n"/>
      <c r="B194" s="48" t="n"/>
      <c r="C194" s="48" t="n"/>
      <c r="D194" s="48" t="n"/>
      <c r="E194" s="48" t="n"/>
      <c r="F194" s="48" t="n"/>
      <c r="G194" s="48" t="n"/>
      <c r="H194" s="48" t="n"/>
      <c r="I194" s="48" t="n"/>
      <c r="J194" s="48" t="n"/>
      <c r="K194" s="48" t="n"/>
      <c r="L194" s="48" t="n"/>
      <c r="M194" s="48" t="n"/>
      <c r="N194" s="48" t="n"/>
      <c r="O194" s="48" t="n"/>
      <c r="P194" s="48" t="n"/>
      <c r="Q194" s="48" t="n"/>
      <c r="R194" s="48" t="n"/>
      <c r="S194" s="48" t="n"/>
      <c r="T194" s="48" t="n"/>
      <c r="U194" s="48" t="n"/>
      <c r="V194" s="48" t="n"/>
    </row>
    <row r="195">
      <c r="A195" s="48" t="n"/>
      <c r="B195" s="48" t="n"/>
      <c r="C195" s="48" t="n"/>
      <c r="D195" s="48" t="n"/>
      <c r="E195" s="48" t="n"/>
      <c r="F195" s="48" t="n"/>
      <c r="G195" s="48" t="n"/>
      <c r="H195" s="48" t="n"/>
      <c r="I195" s="48" t="n"/>
      <c r="J195" s="48" t="n"/>
      <c r="K195" s="48" t="n"/>
      <c r="L195" s="48" t="n"/>
      <c r="M195" s="48" t="n"/>
      <c r="N195" s="48" t="n"/>
      <c r="O195" s="48" t="n"/>
      <c r="P195" s="48" t="n"/>
      <c r="Q195" s="48" t="n"/>
      <c r="R195" s="48" t="n"/>
      <c r="S195" s="48" t="n"/>
      <c r="T195" s="48" t="n"/>
      <c r="U195" s="48" t="n"/>
      <c r="V195" s="48" t="n"/>
    </row>
    <row r="196">
      <c r="A196" s="48" t="n"/>
      <c r="B196" s="48" t="n"/>
      <c r="C196" s="48" t="n"/>
      <c r="D196" s="48" t="n"/>
      <c r="E196" s="48" t="n"/>
      <c r="F196" s="48" t="n"/>
      <c r="G196" s="48" t="n"/>
      <c r="H196" s="48" t="n"/>
      <c r="I196" s="48" t="n"/>
      <c r="J196" s="48" t="n"/>
      <c r="K196" s="48" t="n"/>
      <c r="L196" s="48" t="n"/>
      <c r="M196" s="48" t="n"/>
      <c r="N196" s="48" t="n"/>
      <c r="O196" s="48" t="n"/>
      <c r="P196" s="48" t="n"/>
      <c r="Q196" s="48" t="n"/>
      <c r="R196" s="48" t="n"/>
      <c r="S196" s="48" t="n"/>
      <c r="T196" s="48" t="n"/>
      <c r="U196" s="48" t="n"/>
      <c r="V196" s="48" t="n"/>
    </row>
    <row r="197">
      <c r="A197" s="48" t="n"/>
      <c r="B197" s="48" t="n"/>
      <c r="C197" s="48" t="n"/>
      <c r="D197" s="48" t="n"/>
      <c r="E197" s="48" t="n"/>
      <c r="F197" s="48" t="n"/>
      <c r="G197" s="48" t="n"/>
      <c r="H197" s="48" t="n"/>
      <c r="I197" s="48" t="n"/>
      <c r="J197" s="48" t="n"/>
      <c r="K197" s="48" t="n"/>
      <c r="L197" s="48" t="n"/>
      <c r="M197" s="48" t="n"/>
      <c r="N197" s="48" t="n"/>
      <c r="O197" s="48" t="n"/>
      <c r="P197" s="48" t="n"/>
      <c r="Q197" s="48" t="n"/>
      <c r="R197" s="48" t="n"/>
      <c r="S197" s="48" t="n"/>
      <c r="T197" s="48" t="n"/>
      <c r="U197" s="48" t="n"/>
      <c r="V197" s="48" t="n"/>
    </row>
    <row r="198">
      <c r="A198" s="48" t="n"/>
      <c r="B198" s="48" t="n"/>
      <c r="C198" s="48" t="n"/>
      <c r="D198" s="48" t="n"/>
      <c r="E198" s="48" t="n"/>
      <c r="F198" s="48" t="n"/>
      <c r="G198" s="48" t="n"/>
      <c r="H198" s="48" t="n"/>
      <c r="I198" s="48" t="n"/>
      <c r="J198" s="48" t="n"/>
      <c r="K198" s="48" t="n"/>
      <c r="L198" s="48" t="n"/>
      <c r="M198" s="48" t="n"/>
      <c r="N198" s="48" t="n"/>
      <c r="O198" s="48" t="n"/>
      <c r="P198" s="48" t="n"/>
      <c r="Q198" s="48" t="n"/>
      <c r="R198" s="48" t="n"/>
      <c r="S198" s="48" t="n"/>
      <c r="T198" s="48" t="n"/>
      <c r="U198" s="48" t="n"/>
      <c r="V198" s="48" t="n"/>
    </row>
    <row r="199">
      <c r="A199" s="48" t="n"/>
      <c r="B199" s="48" t="n"/>
      <c r="C199" s="48" t="n"/>
      <c r="D199" s="48" t="n"/>
      <c r="E199" s="48" t="n"/>
      <c r="F199" s="48" t="n"/>
      <c r="G199" s="48" t="n"/>
      <c r="H199" s="48" t="n"/>
      <c r="I199" s="48" t="n"/>
      <c r="J199" s="48" t="n"/>
      <c r="K199" s="48" t="n"/>
      <c r="L199" s="48" t="n"/>
      <c r="M199" s="48" t="n"/>
      <c r="N199" s="48" t="n"/>
      <c r="O199" s="48" t="n"/>
      <c r="P199" s="48" t="n"/>
      <c r="Q199" s="48" t="n"/>
      <c r="R199" s="48" t="n"/>
      <c r="S199" s="48" t="n"/>
      <c r="T199" s="48" t="n"/>
      <c r="U199" s="48" t="n"/>
      <c r="V199" s="48" t="n"/>
    </row>
    <row r="200">
      <c r="A200" s="48" t="n"/>
      <c r="B200" s="48" t="n"/>
      <c r="C200" s="48" t="n"/>
      <c r="D200" s="48" t="n"/>
      <c r="E200" s="48" t="n"/>
      <c r="F200" s="48" t="n"/>
      <c r="G200" s="48" t="n"/>
      <c r="H200" s="48" t="n"/>
      <c r="I200" s="48" t="n"/>
      <c r="J200" s="48" t="n"/>
      <c r="K200" s="48" t="n"/>
      <c r="L200" s="48" t="n"/>
      <c r="M200" s="48" t="n"/>
      <c r="N200" s="48" t="n"/>
      <c r="O200" s="48" t="n"/>
      <c r="P200" s="48" t="n"/>
      <c r="Q200" s="48" t="n"/>
      <c r="R200" s="48" t="n"/>
      <c r="S200" s="48" t="n"/>
      <c r="T200" s="48" t="n"/>
      <c r="U200" s="48" t="n"/>
      <c r="V200" s="48" t="n"/>
    </row>
    <row r="201">
      <c r="A201" s="48" t="n"/>
      <c r="B201" s="48" t="n"/>
      <c r="C201" s="48" t="n"/>
      <c r="D201" s="48" t="n"/>
      <c r="E201" s="48" t="n"/>
      <c r="F201" s="48" t="n"/>
      <c r="G201" s="48" t="n"/>
      <c r="H201" s="48" t="n"/>
      <c r="I201" s="48" t="n"/>
      <c r="J201" s="48" t="n"/>
      <c r="K201" s="48" t="n"/>
      <c r="L201" s="48" t="n"/>
      <c r="M201" s="48" t="n"/>
      <c r="N201" s="48" t="n"/>
      <c r="O201" s="48" t="n"/>
      <c r="P201" s="48" t="n"/>
      <c r="Q201" s="48" t="n"/>
      <c r="R201" s="48" t="n"/>
      <c r="S201" s="48" t="n"/>
      <c r="T201" s="48" t="n"/>
      <c r="U201" s="48" t="n"/>
      <c r="V201" s="48" t="n"/>
    </row>
    <row r="202">
      <c r="A202" s="48" t="n"/>
      <c r="B202" s="48" t="n"/>
      <c r="C202" s="48" t="n"/>
      <c r="D202" s="48" t="n"/>
      <c r="E202" s="48" t="n"/>
      <c r="F202" s="48" t="n"/>
      <c r="G202" s="48" t="n"/>
      <c r="H202" s="48" t="n"/>
      <c r="I202" s="48" t="n"/>
      <c r="J202" s="48" t="n"/>
      <c r="K202" s="48" t="n"/>
      <c r="L202" s="48" t="n"/>
      <c r="M202" s="48" t="n"/>
      <c r="N202" s="48" t="n"/>
      <c r="O202" s="48" t="n"/>
      <c r="P202" s="48" t="n"/>
      <c r="Q202" s="48" t="n"/>
      <c r="R202" s="48" t="n"/>
      <c r="S202" s="48" t="n"/>
      <c r="T202" s="48" t="n"/>
      <c r="U202" s="48" t="n"/>
      <c r="V202" s="48" t="n"/>
    </row>
    <row r="203">
      <c r="A203" s="48" t="n"/>
      <c r="B203" s="48" t="n"/>
      <c r="C203" s="48" t="n"/>
      <c r="D203" s="48" t="n"/>
      <c r="E203" s="48" t="n"/>
      <c r="F203" s="48" t="n"/>
      <c r="G203" s="48" t="n"/>
      <c r="H203" s="48" t="n"/>
      <c r="I203" s="48" t="n"/>
      <c r="J203" s="48" t="n"/>
      <c r="K203" s="48" t="n"/>
      <c r="L203" s="48" t="n"/>
      <c r="M203" s="48" t="n"/>
      <c r="N203" s="48" t="n"/>
      <c r="O203" s="48" t="n"/>
      <c r="P203" s="48" t="n"/>
      <c r="Q203" s="48" t="n"/>
      <c r="R203" s="48" t="n"/>
      <c r="S203" s="48" t="n"/>
      <c r="T203" s="48" t="n"/>
      <c r="U203" s="48" t="n"/>
      <c r="V203" s="48" t="n"/>
    </row>
    <row r="204">
      <c r="A204" s="48" t="n"/>
      <c r="B204" s="48" t="n"/>
      <c r="C204" s="48" t="n"/>
      <c r="D204" s="48" t="n"/>
      <c r="E204" s="48" t="n"/>
      <c r="F204" s="48" t="n"/>
      <c r="G204" s="48" t="n"/>
      <c r="H204" s="48" t="n"/>
      <c r="I204" s="48" t="n"/>
      <c r="J204" s="48" t="n"/>
      <c r="K204" s="48" t="n"/>
      <c r="L204" s="48" t="n"/>
      <c r="M204" s="48" t="n"/>
      <c r="N204" s="48" t="n"/>
      <c r="O204" s="48" t="n"/>
      <c r="P204" s="48" t="n"/>
      <c r="Q204" s="48" t="n"/>
      <c r="R204" s="48" t="n"/>
      <c r="S204" s="48" t="n"/>
      <c r="T204" s="48" t="n"/>
      <c r="U204" s="48" t="n"/>
      <c r="V204" s="48" t="n"/>
    </row>
  </sheetData>
  <mergeCells count="3">
    <mergeCell ref="B3:H3"/>
    <mergeCell ref="P3:V3"/>
    <mergeCell ref="I3:O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2026-10-18T13:15:07Z</dcterms:created>
  <dcterms:modified xmlns:dcterms="http://purl.org/dc/terms/" xmlns:xsi="http://www.w3.org/2001/XMLSchema-instance" xsi:type="dcterms:W3CDTF">2026-10-18T13:15:10Z</dcterms:modified>
</cp:coreProperties>
</file>